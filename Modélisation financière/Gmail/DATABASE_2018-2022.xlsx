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3.xml" ContentType="application/vnd.openxmlformats-officedocument.spreadsheetml.table+xml"/>
  <Override PartName="/xl/pivotTables/pivotTable9.xml" ContentType="application/vnd.openxmlformats-officedocument.spreadsheetml.pivot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0.xml" ContentType="application/vnd.openxmlformats-officedocument.spreadsheetml.pivot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tr2_11_faireuneanalysecomparativedescotsdeprojets\Gmail\"/>
    </mc:Choice>
  </mc:AlternateContent>
  <xr:revisionPtr revIDLastSave="0" documentId="13_ncr:1_{D758AE7D-C6DE-4247-9C20-085D4E801E05}" xr6:coauthVersionLast="47" xr6:coauthVersionMax="47" xr10:uidLastSave="{00000000-0000-0000-0000-000000000000}"/>
  <bookViews>
    <workbookView xWindow="-110" yWindow="-110" windowWidth="19420" windowHeight="10300" tabRatio="943" firstSheet="1" activeTab="12" xr2:uid="{00000000-000D-0000-FFFF-FFFF00000000}"/>
  </bookViews>
  <sheets>
    <sheet name="Feuil2" sheetId="2" r:id="rId1"/>
    <sheet name="INFO_TITRE_MINIER" sheetId="1" r:id="rId2"/>
    <sheet name="SONDAGE" sheetId="3" r:id="rId3"/>
    <sheet name="PRODUCTION CIMICS" sheetId="5" r:id="rId4"/>
    <sheet name="Feuil1" sheetId="17" state="hidden" r:id="rId5"/>
    <sheet name="Feuil3" sheetId="18" state="hidden" r:id="rId6"/>
    <sheet name="ok" sheetId="19" state="hidden" r:id="rId7"/>
    <sheet name="MAIN D'OEUVRE" sheetId="15" r:id="rId8"/>
    <sheet name="Feuil6" sheetId="27" r:id="rId9"/>
    <sheet name="PRODUCTION_TRANSFORMEE" sheetId="6" r:id="rId10"/>
    <sheet name="Feuil7" sheetId="28" r:id="rId11"/>
    <sheet name="EXPORTATION" sheetId="7" r:id="rId12"/>
    <sheet name="2018_CHARGES" sheetId="8" r:id="rId13"/>
    <sheet name="2019_CHARGES" sheetId="9" r:id="rId14"/>
    <sheet name="2020_CHARGES" sheetId="12" r:id="rId15"/>
    <sheet name="2021_CHARGES" sheetId="11" r:id="rId16"/>
    <sheet name="2022_CHARGES" sheetId="13" r:id="rId17"/>
    <sheet name="Feuil4" sheetId="20" r:id="rId18"/>
    <sheet name="PRODUCTION ELECTRICITE" sheetId="14" r:id="rId19"/>
    <sheet name="REALISATION SOCIALE" sheetId="16" r:id="rId20"/>
  </sheets>
  <externalReferences>
    <externalReference r:id="rId21"/>
  </externalReferences>
  <definedNames>
    <definedName name="_xlnm._FilterDatabase" localSheetId="12" hidden="1">'2018_CHARGES'!$A$1:$AA$12</definedName>
    <definedName name="_xlnm._FilterDatabase" localSheetId="15" hidden="1">'2021_CHARGES'!$A$1:$CD$71</definedName>
    <definedName name="_xlnm._FilterDatabase" localSheetId="16" hidden="1">'2022_CHARGES'!$A$1:$BX$70</definedName>
    <definedName name="_xlnm._FilterDatabase" localSheetId="11" hidden="1">EXPORTATION!$A$1:$F$454</definedName>
    <definedName name="_xlnm._FilterDatabase" localSheetId="1" hidden="1">INFO_TITRE_MINIER!$A$1:$R$386</definedName>
    <definedName name="_xlnm._FilterDatabase" localSheetId="7" hidden="1">'MAIN D''OEUVRE'!$A$1:$N$1425</definedName>
    <definedName name="_xlnm._FilterDatabase" localSheetId="3" hidden="1">'PRODUCTION CIMICS'!$A$1:$G$50</definedName>
    <definedName name="_xlnm._FilterDatabase" localSheetId="18" hidden="1">'PRODUCTION ELECTRICITE'!$A$1:$E$52</definedName>
    <definedName name="_xlnm._FilterDatabase" localSheetId="9" hidden="1">PRODUCTION_TRANSFORMEE!$A$1:$Q$204</definedName>
    <definedName name="_xlnm._FilterDatabase" localSheetId="19" hidden="1">'REALISATION SOCIALE'!$A$1:$H$201</definedName>
    <definedName name="_xlnm._FilterDatabase" localSheetId="2" hidden="1">SONDAGE!$A$1:$N$134</definedName>
  </definedNames>
  <calcPr calcId="191029" concurrentCalc="0"/>
  <pivotCaches>
    <pivotCache cacheId="1" r:id="rId22"/>
    <pivotCache cacheId="2" r:id="rId23"/>
    <pivotCache cacheId="3" r:id="rId24"/>
    <pivotCache cacheId="4" r:id="rId25"/>
    <pivotCache cacheId="5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0" i="6" l="1"/>
  <c r="D5" i="18"/>
  <c r="D6" i="18"/>
  <c r="D7" i="18"/>
  <c r="D8" i="18"/>
  <c r="D4" i="18"/>
  <c r="C51" i="5"/>
  <c r="N199" i="6"/>
  <c r="N200" i="6"/>
  <c r="N202" i="6"/>
  <c r="N203" i="6"/>
  <c r="N204" i="6"/>
  <c r="O129" i="6"/>
  <c r="E587" i="16"/>
  <c r="C492" i="16"/>
  <c r="C491" i="16"/>
  <c r="C490" i="16"/>
  <c r="C489" i="16"/>
  <c r="C488" i="16"/>
  <c r="C487" i="16"/>
  <c r="C486" i="16"/>
  <c r="C485" i="16"/>
  <c r="C484" i="16"/>
  <c r="C483" i="16"/>
  <c r="C482" i="16"/>
  <c r="C481" i="16"/>
  <c r="C480" i="16"/>
  <c r="C479" i="16"/>
  <c r="C478" i="16"/>
  <c r="C477" i="16"/>
  <c r="C476" i="16"/>
  <c r="C475" i="16"/>
  <c r="C474" i="16"/>
  <c r="C473" i="16"/>
  <c r="C472" i="16"/>
  <c r="C471" i="16"/>
  <c r="C470" i="16"/>
  <c r="C469" i="16"/>
  <c r="C468" i="16"/>
  <c r="C467" i="16"/>
  <c r="C466" i="16"/>
  <c r="C465" i="16"/>
  <c r="C464" i="16"/>
  <c r="C463" i="16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C448" i="16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E1403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H1362" i="15"/>
  <c r="I1362" i="15"/>
  <c r="H1361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H1314" i="15"/>
  <c r="I1314" i="15"/>
  <c r="H1313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H1272" i="15"/>
  <c r="G1272" i="15"/>
  <c r="F1272" i="15"/>
  <c r="E1272" i="15"/>
  <c r="H1271" i="15"/>
  <c r="G1271" i="15"/>
  <c r="F1271" i="15"/>
  <c r="E1271" i="15"/>
  <c r="F1270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H1188" i="15"/>
  <c r="G1188" i="15"/>
  <c r="F1188" i="15"/>
  <c r="H1187" i="15"/>
  <c r="G1187" i="15"/>
  <c r="F1187" i="15"/>
  <c r="H1186" i="15"/>
  <c r="G1186" i="15"/>
  <c r="F1186" i="15"/>
  <c r="I1185" i="15"/>
  <c r="I1184" i="15"/>
  <c r="I1183" i="15"/>
  <c r="I1182" i="15"/>
  <c r="I1181" i="15"/>
  <c r="I1180" i="15"/>
  <c r="I1179" i="15"/>
  <c r="I1178" i="15"/>
  <c r="I1177" i="15"/>
  <c r="H1176" i="15"/>
  <c r="I1176" i="15"/>
  <c r="H1175" i="15"/>
  <c r="I1175" i="15"/>
  <c r="I1174" i="15"/>
  <c r="I1173" i="15"/>
  <c r="I1172" i="15"/>
  <c r="I1171" i="15"/>
  <c r="H1170" i="15"/>
  <c r="I1170" i="15"/>
  <c r="H1169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H1152" i="15"/>
  <c r="G1152" i="15"/>
  <c r="H1151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E1040" i="15"/>
  <c r="I1040" i="15"/>
  <c r="I1039" i="15"/>
  <c r="H1038" i="15"/>
  <c r="G1038" i="15"/>
  <c r="H1037" i="15"/>
  <c r="G1037" i="15"/>
  <c r="H1036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E1023" i="15"/>
  <c r="I1023" i="15"/>
  <c r="E1022" i="15"/>
  <c r="I1022" i="15"/>
  <c r="I1021" i="15"/>
  <c r="E1020" i="15"/>
  <c r="I1020" i="15"/>
  <c r="E1019" i="15"/>
  <c r="I1019" i="15"/>
  <c r="E1018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G1002" i="15"/>
  <c r="E1002" i="15"/>
  <c r="G1001" i="15"/>
  <c r="E1001" i="15"/>
  <c r="I1001" i="15"/>
  <c r="I1000" i="15"/>
  <c r="I999" i="15"/>
  <c r="I998" i="15"/>
  <c r="I997" i="15"/>
  <c r="I996" i="15"/>
  <c r="I995" i="15"/>
  <c r="I994" i="15"/>
  <c r="E993" i="15"/>
  <c r="I993" i="15"/>
  <c r="I992" i="15"/>
  <c r="I991" i="15"/>
  <c r="G990" i="15"/>
  <c r="I990" i="15"/>
  <c r="G989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6" i="15"/>
  <c r="I965" i="15"/>
  <c r="I864" i="15"/>
  <c r="I863" i="15"/>
  <c r="I862" i="15"/>
  <c r="I861" i="15"/>
  <c r="I860" i="15"/>
  <c r="I859" i="15"/>
  <c r="I840" i="15"/>
  <c r="E839" i="15"/>
  <c r="I839" i="15"/>
  <c r="I838" i="15"/>
  <c r="I837" i="15"/>
  <c r="H836" i="15"/>
  <c r="G836" i="15"/>
  <c r="F836" i="15"/>
  <c r="H835" i="15"/>
  <c r="G835" i="15"/>
  <c r="F835" i="15"/>
  <c r="I786" i="15"/>
  <c r="I785" i="15"/>
  <c r="I784" i="15"/>
  <c r="I783" i="15"/>
  <c r="I782" i="15"/>
  <c r="I781" i="15"/>
  <c r="G773" i="15"/>
  <c r="I748" i="15"/>
  <c r="I747" i="15"/>
  <c r="H746" i="15"/>
  <c r="I746" i="15"/>
  <c r="I745" i="15"/>
  <c r="I726" i="15"/>
  <c r="E543" i="15"/>
  <c r="I543" i="15"/>
  <c r="I542" i="15"/>
  <c r="G541" i="15"/>
  <c r="I541" i="15"/>
  <c r="I540" i="15"/>
  <c r="G539" i="15"/>
  <c r="I539" i="15"/>
  <c r="G532" i="15"/>
  <c r="G531" i="15"/>
  <c r="G530" i="15"/>
  <c r="H508" i="15"/>
  <c r="G508" i="15"/>
  <c r="H484" i="15"/>
  <c r="E484" i="15"/>
  <c r="H483" i="15"/>
  <c r="E483" i="15"/>
  <c r="H482" i="15"/>
  <c r="H425" i="15"/>
  <c r="G425" i="15"/>
  <c r="F425" i="15"/>
  <c r="H424" i="15"/>
  <c r="G424" i="15"/>
  <c r="F424" i="15"/>
  <c r="H423" i="15"/>
  <c r="G423" i="15"/>
  <c r="I422" i="15"/>
  <c r="I421" i="15"/>
  <c r="E407" i="15"/>
  <c r="H344" i="15"/>
  <c r="G344" i="15"/>
  <c r="E344" i="15"/>
  <c r="H343" i="15"/>
  <c r="G343" i="15"/>
  <c r="H296" i="15"/>
  <c r="F296" i="15"/>
  <c r="C38" i="14"/>
  <c r="B38" i="14"/>
  <c r="BJ70" i="13"/>
  <c r="AZ70" i="13"/>
  <c r="AI70" i="13"/>
  <c r="AE70" i="13"/>
  <c r="L70" i="13"/>
  <c r="I70" i="13"/>
  <c r="BJ69" i="13"/>
  <c r="AZ69" i="13"/>
  <c r="AI69" i="13"/>
  <c r="AE69" i="13"/>
  <c r="L69" i="13"/>
  <c r="I69" i="13"/>
  <c r="BX69" i="13"/>
  <c r="BJ68" i="13"/>
  <c r="AZ68" i="13"/>
  <c r="AI68" i="13"/>
  <c r="AE68" i="13"/>
  <c r="L68" i="13"/>
  <c r="I68" i="13"/>
  <c r="BK67" i="13"/>
  <c r="BJ67" i="13"/>
  <c r="AZ67" i="13"/>
  <c r="AI67" i="13"/>
  <c r="AE67" i="13"/>
  <c r="L67" i="13"/>
  <c r="I67" i="13"/>
  <c r="J67" i="13"/>
  <c r="BJ66" i="13"/>
  <c r="AZ66" i="13"/>
  <c r="AI66" i="13"/>
  <c r="AE66" i="13"/>
  <c r="L66" i="13"/>
  <c r="I66" i="13"/>
  <c r="BJ65" i="13"/>
  <c r="AZ65" i="13"/>
  <c r="AI65" i="13"/>
  <c r="AE65" i="13"/>
  <c r="L65" i="13"/>
  <c r="I65" i="13"/>
  <c r="BJ64" i="13"/>
  <c r="AZ64" i="13"/>
  <c r="AI64" i="13"/>
  <c r="AE64" i="13"/>
  <c r="L64" i="13"/>
  <c r="I64" i="13"/>
  <c r="BX64" i="13"/>
  <c r="BJ63" i="13"/>
  <c r="AZ63" i="13"/>
  <c r="L63" i="13"/>
  <c r="I63" i="13"/>
  <c r="AE63" i="13"/>
  <c r="AI63" i="13"/>
  <c r="BV63" i="13"/>
  <c r="BW63" i="13"/>
  <c r="BX63" i="13"/>
  <c r="BJ62" i="13"/>
  <c r="AZ62" i="13"/>
  <c r="AI62" i="13"/>
  <c r="AE62" i="13"/>
  <c r="L62" i="13"/>
  <c r="I62" i="13"/>
  <c r="L61" i="13"/>
  <c r="I61" i="13"/>
  <c r="AE61" i="13"/>
  <c r="AI61" i="13"/>
  <c r="BX61" i="13"/>
  <c r="BJ61" i="13"/>
  <c r="AZ61" i="13"/>
  <c r="M61" i="13"/>
  <c r="BJ60" i="13"/>
  <c r="AZ60" i="13"/>
  <c r="AI60" i="13"/>
  <c r="AE60" i="13"/>
  <c r="L60" i="13"/>
  <c r="I60" i="13"/>
  <c r="BK59" i="13"/>
  <c r="BJ59" i="13"/>
  <c r="BA59" i="13"/>
  <c r="AZ59" i="13"/>
  <c r="AJ59" i="13"/>
  <c r="AI59" i="13"/>
  <c r="AE59" i="13"/>
  <c r="L59" i="13"/>
  <c r="I59" i="13"/>
  <c r="BX59" i="13"/>
  <c r="BK58" i="13"/>
  <c r="BJ58" i="13"/>
  <c r="BA58" i="13"/>
  <c r="AZ58" i="13"/>
  <c r="AJ58" i="13"/>
  <c r="AI58" i="13"/>
  <c r="AE58" i="13"/>
  <c r="L58" i="13"/>
  <c r="I58" i="13"/>
  <c r="BX58" i="13"/>
  <c r="L57" i="13"/>
  <c r="I57" i="13"/>
  <c r="AE57" i="13"/>
  <c r="AI57" i="13"/>
  <c r="BX57" i="13"/>
  <c r="BJ57" i="13"/>
  <c r="AZ57" i="13"/>
  <c r="BJ56" i="13"/>
  <c r="AZ56" i="13"/>
  <c r="AI56" i="13"/>
  <c r="AE56" i="13"/>
  <c r="L56" i="13"/>
  <c r="I56" i="13"/>
  <c r="BX56" i="13"/>
  <c r="BJ55" i="13"/>
  <c r="BA55" i="13"/>
  <c r="AZ55" i="13"/>
  <c r="AJ55" i="13"/>
  <c r="AI55" i="13"/>
  <c r="AE55" i="13"/>
  <c r="L55" i="13"/>
  <c r="I55" i="13"/>
  <c r="BK54" i="13"/>
  <c r="BJ54" i="13"/>
  <c r="AZ54" i="13"/>
  <c r="AI54" i="13"/>
  <c r="AJ54" i="13"/>
  <c r="AE54" i="13"/>
  <c r="L54" i="13"/>
  <c r="I54" i="13"/>
  <c r="BJ53" i="13"/>
  <c r="BA53" i="13"/>
  <c r="AZ53" i="13"/>
  <c r="AI53" i="13"/>
  <c r="AE53" i="13"/>
  <c r="L53" i="13"/>
  <c r="BK52" i="13"/>
  <c r="BJ52" i="13"/>
  <c r="BA52" i="13"/>
  <c r="AZ52" i="13"/>
  <c r="AY52" i="13"/>
  <c r="AJ52" i="13"/>
  <c r="AF52" i="13"/>
  <c r="AE52" i="13"/>
  <c r="L52" i="13"/>
  <c r="I52" i="13"/>
  <c r="BJ51" i="13"/>
  <c r="AZ51" i="13"/>
  <c r="AI51" i="13"/>
  <c r="AF51" i="13"/>
  <c r="AE51" i="13"/>
  <c r="L51" i="13"/>
  <c r="I51" i="13"/>
  <c r="J51" i="13"/>
  <c r="BJ50" i="13"/>
  <c r="BI50" i="13"/>
  <c r="AZ50" i="13"/>
  <c r="BA50" i="13"/>
  <c r="AI50" i="13"/>
  <c r="AE50" i="13"/>
  <c r="M50" i="13"/>
  <c r="L50" i="13"/>
  <c r="I50" i="13"/>
  <c r="BX50" i="13"/>
  <c r="BJ49" i="13"/>
  <c r="AZ49" i="13"/>
  <c r="AI49" i="13"/>
  <c r="AE49" i="13"/>
  <c r="L49" i="13"/>
  <c r="I49" i="13"/>
  <c r="BX49" i="13"/>
  <c r="J49" i="13"/>
  <c r="BJ48" i="13"/>
  <c r="AZ48" i="13"/>
  <c r="AI48" i="13"/>
  <c r="AF48" i="13"/>
  <c r="AE48" i="13"/>
  <c r="L48" i="13"/>
  <c r="J48" i="13"/>
  <c r="I48" i="13"/>
  <c r="BJ47" i="13"/>
  <c r="AZ47" i="13"/>
  <c r="AI47" i="13"/>
  <c r="AF47" i="13"/>
  <c r="AE47" i="13"/>
  <c r="L47" i="13"/>
  <c r="I47" i="13"/>
  <c r="BK46" i="13"/>
  <c r="BJ46" i="13"/>
  <c r="AZ46" i="13"/>
  <c r="AI46" i="13"/>
  <c r="AF46" i="13"/>
  <c r="AE46" i="13"/>
  <c r="L46" i="13"/>
  <c r="J46" i="13"/>
  <c r="I46" i="13"/>
  <c r="BJ45" i="13"/>
  <c r="BA45" i="13"/>
  <c r="AZ45" i="13"/>
  <c r="AJ45" i="13"/>
  <c r="AI45" i="13"/>
  <c r="AE45" i="13"/>
  <c r="L45" i="13"/>
  <c r="M45" i="13"/>
  <c r="I45" i="13"/>
  <c r="BX45" i="13"/>
  <c r="L44" i="13"/>
  <c r="I44" i="13"/>
  <c r="AE44" i="13"/>
  <c r="AI44" i="13"/>
  <c r="BB44" i="13"/>
  <c r="AZ44" i="13"/>
  <c r="BJ44" i="13"/>
  <c r="BV44" i="13"/>
  <c r="BU44" i="13"/>
  <c r="BK44" i="13"/>
  <c r="AF44" i="13"/>
  <c r="J44" i="13"/>
  <c r="BX44" i="13"/>
  <c r="L43" i="13"/>
  <c r="I43" i="13"/>
  <c r="AE43" i="13"/>
  <c r="AI43" i="13"/>
  <c r="BX43" i="13"/>
  <c r="BJ43" i="13"/>
  <c r="AZ43" i="13"/>
  <c r="AJ43" i="13"/>
  <c r="J43" i="13"/>
  <c r="BV43" i="13"/>
  <c r="BU43" i="13"/>
  <c r="L42" i="13"/>
  <c r="I42" i="13"/>
  <c r="AE42" i="13"/>
  <c r="AI42" i="13"/>
  <c r="BX42" i="13"/>
  <c r="BJ42" i="13"/>
  <c r="AZ42" i="13"/>
  <c r="BV42" i="13"/>
  <c r="BW42" i="13"/>
  <c r="BJ41" i="13"/>
  <c r="AZ41" i="13"/>
  <c r="AI41" i="13"/>
  <c r="AF41" i="13"/>
  <c r="AE41" i="13"/>
  <c r="L41" i="13"/>
  <c r="I41" i="13"/>
  <c r="BJ40" i="13"/>
  <c r="AZ40" i="13"/>
  <c r="AI40" i="13"/>
  <c r="AG40" i="13"/>
  <c r="AE40" i="13"/>
  <c r="L40" i="13"/>
  <c r="I40" i="13"/>
  <c r="BJ39" i="13"/>
  <c r="AZ39" i="13"/>
  <c r="AJ39" i="13"/>
  <c r="AI39" i="13"/>
  <c r="AF39" i="13"/>
  <c r="AE39" i="13"/>
  <c r="L39" i="13"/>
  <c r="I39" i="13"/>
  <c r="BK38" i="13"/>
  <c r="BJ38" i="13"/>
  <c r="BA38" i="13"/>
  <c r="AZ38" i="13"/>
  <c r="AJ38" i="13"/>
  <c r="AI38" i="13"/>
  <c r="AE38" i="13"/>
  <c r="L38" i="13"/>
  <c r="I38" i="13"/>
  <c r="BJ37" i="13"/>
  <c r="AZ37" i="13"/>
  <c r="AI37" i="13"/>
  <c r="AE37" i="13"/>
  <c r="L37" i="13"/>
  <c r="I37" i="13"/>
  <c r="BJ36" i="13"/>
  <c r="AZ36" i="13"/>
  <c r="AI36" i="13"/>
  <c r="AE36" i="13"/>
  <c r="L36" i="13"/>
  <c r="I36" i="13"/>
  <c r="BJ35" i="13"/>
  <c r="BA35" i="13"/>
  <c r="AZ35" i="13"/>
  <c r="AI35" i="13"/>
  <c r="AE35" i="13"/>
  <c r="L35" i="13"/>
  <c r="I35" i="13"/>
  <c r="BJ34" i="13"/>
  <c r="AZ34" i="13"/>
  <c r="AJ34" i="13"/>
  <c r="AI34" i="13"/>
  <c r="AF34" i="13"/>
  <c r="AE34" i="13"/>
  <c r="L34" i="13"/>
  <c r="I34" i="13"/>
  <c r="BX34" i="13"/>
  <c r="BJ33" i="13"/>
  <c r="AZ33" i="13"/>
  <c r="AI33" i="13"/>
  <c r="AF33" i="13"/>
  <c r="AE33" i="13"/>
  <c r="L33" i="13"/>
  <c r="I33" i="13"/>
  <c r="BV33" i="13"/>
  <c r="BW33" i="13"/>
  <c r="L32" i="13"/>
  <c r="I32" i="13"/>
  <c r="AE32" i="13"/>
  <c r="AI32" i="13"/>
  <c r="BX32" i="13"/>
  <c r="BJ32" i="13"/>
  <c r="AZ32" i="13"/>
  <c r="BV32" i="13"/>
  <c r="BU32" i="13"/>
  <c r="J32" i="13"/>
  <c r="BJ31" i="13"/>
  <c r="AZ31" i="13"/>
  <c r="AI31" i="13"/>
  <c r="L31" i="13"/>
  <c r="I31" i="13"/>
  <c r="AE31" i="13"/>
  <c r="BX31" i="13"/>
  <c r="AF31" i="13"/>
  <c r="J31" i="13"/>
  <c r="BL30" i="13"/>
  <c r="BJ30" i="13"/>
  <c r="BA30" i="13"/>
  <c r="AZ30" i="13"/>
  <c r="AI30" i="13"/>
  <c r="AH30" i="13"/>
  <c r="AE30" i="13"/>
  <c r="L30" i="13"/>
  <c r="I30" i="13"/>
  <c r="BX30" i="13"/>
  <c r="L29" i="13"/>
  <c r="I29" i="13"/>
  <c r="AE29" i="13"/>
  <c r="AI29" i="13"/>
  <c r="BX29" i="13"/>
  <c r="BJ29" i="13"/>
  <c r="AZ29" i="13"/>
  <c r="BJ28" i="13"/>
  <c r="BA28" i="13"/>
  <c r="AZ28" i="13"/>
  <c r="AI28" i="13"/>
  <c r="AJ28" i="13"/>
  <c r="AF28" i="13"/>
  <c r="AE28" i="13"/>
  <c r="L28" i="13"/>
  <c r="I28" i="13"/>
  <c r="BJ27" i="13"/>
  <c r="AZ27" i="13"/>
  <c r="AI27" i="13"/>
  <c r="AE27" i="13"/>
  <c r="L27" i="13"/>
  <c r="I27" i="13"/>
  <c r="BJ26" i="13"/>
  <c r="AZ26" i="13"/>
  <c r="AJ26" i="13"/>
  <c r="AI26" i="13"/>
  <c r="AF26" i="13"/>
  <c r="AE26" i="13"/>
  <c r="L26" i="13"/>
  <c r="I26" i="13"/>
  <c r="J26" i="13"/>
  <c r="G26" i="13"/>
  <c r="D26" i="13"/>
  <c r="BK25" i="13"/>
  <c r="BJ25" i="13"/>
  <c r="AZ25" i="13"/>
  <c r="AI25" i="13"/>
  <c r="AJ25" i="13"/>
  <c r="AF25" i="13"/>
  <c r="AE25" i="13"/>
  <c r="L25" i="13"/>
  <c r="I25" i="13"/>
  <c r="BJ24" i="13"/>
  <c r="AZ24" i="13"/>
  <c r="AI24" i="13"/>
  <c r="AE24" i="13"/>
  <c r="L24" i="13"/>
  <c r="I24" i="13"/>
  <c r="BX24" i="13"/>
  <c r="L23" i="13"/>
  <c r="I23" i="13"/>
  <c r="AE23" i="13"/>
  <c r="AI23" i="13"/>
  <c r="AZ23" i="13"/>
  <c r="BJ23" i="13"/>
  <c r="BV23" i="13"/>
  <c r="BU23" i="13"/>
  <c r="BK23" i="13"/>
  <c r="AJ23" i="13"/>
  <c r="AF23" i="13"/>
  <c r="BX23" i="13"/>
  <c r="BK22" i="13"/>
  <c r="BJ22" i="13"/>
  <c r="L22" i="13"/>
  <c r="I22" i="13"/>
  <c r="AE22" i="13"/>
  <c r="AI22" i="13"/>
  <c r="AZ22" i="13"/>
  <c r="BV22" i="13"/>
  <c r="BU22" i="13"/>
  <c r="AJ22" i="13"/>
  <c r="AF22" i="13"/>
  <c r="BX22" i="13"/>
  <c r="BJ21" i="13"/>
  <c r="AZ21" i="13"/>
  <c r="AI21" i="13"/>
  <c r="AE21" i="13"/>
  <c r="L21" i="13"/>
  <c r="I21" i="13"/>
  <c r="BX21" i="13"/>
  <c r="BJ20" i="13"/>
  <c r="AZ20" i="13"/>
  <c r="AI20" i="13"/>
  <c r="AE20" i="13"/>
  <c r="BJ19" i="13"/>
  <c r="AZ19" i="13"/>
  <c r="AI19" i="13"/>
  <c r="AF19" i="13"/>
  <c r="AE19" i="13"/>
  <c r="L19" i="13"/>
  <c r="I19" i="13"/>
  <c r="BK18" i="13"/>
  <c r="BJ18" i="13"/>
  <c r="BA18" i="13"/>
  <c r="AZ18" i="13"/>
  <c r="AJ18" i="13"/>
  <c r="AI18" i="13"/>
  <c r="AF18" i="13"/>
  <c r="AE18" i="13"/>
  <c r="L18" i="13"/>
  <c r="J18" i="13"/>
  <c r="I18" i="13"/>
  <c r="BX18" i="13"/>
  <c r="BJ17" i="13"/>
  <c r="AZ17" i="13"/>
  <c r="AI17" i="13"/>
  <c r="AF17" i="13"/>
  <c r="AE17" i="13"/>
  <c r="L17" i="13"/>
  <c r="J17" i="13"/>
  <c r="I17" i="13"/>
  <c r="BK16" i="13"/>
  <c r="BJ16" i="13"/>
  <c r="AZ16" i="13"/>
  <c r="AI16" i="13"/>
  <c r="AE16" i="13"/>
  <c r="L16" i="13"/>
  <c r="I16" i="13"/>
  <c r="BX16" i="13"/>
  <c r="BJ15" i="13"/>
  <c r="AZ15" i="13"/>
  <c r="AI15" i="13"/>
  <c r="AF15" i="13"/>
  <c r="AE15" i="13"/>
  <c r="L15" i="13"/>
  <c r="I15" i="13"/>
  <c r="BJ14" i="13"/>
  <c r="BA14" i="13"/>
  <c r="AZ14" i="13"/>
  <c r="AI14" i="13"/>
  <c r="AE14" i="13"/>
  <c r="L14" i="13"/>
  <c r="I14" i="13"/>
  <c r="L13" i="13"/>
  <c r="I13" i="13"/>
  <c r="BV13" i="13"/>
  <c r="BW13" i="13"/>
  <c r="BJ12" i="13"/>
  <c r="BK12" i="13"/>
  <c r="AZ12" i="13"/>
  <c r="AI12" i="13"/>
  <c r="AE12" i="13"/>
  <c r="AF12" i="13"/>
  <c r="L12" i="13"/>
  <c r="I12" i="13"/>
  <c r="BJ11" i="13"/>
  <c r="AZ11" i="13"/>
  <c r="AI11" i="13"/>
  <c r="AE11" i="13"/>
  <c r="L11" i="13"/>
  <c r="I11" i="13"/>
  <c r="BX11" i="13"/>
  <c r="BS10" i="13"/>
  <c r="BO10" i="13"/>
  <c r="BM10" i="13"/>
  <c r="BL10" i="13"/>
  <c r="BJ10" i="13"/>
  <c r="BE10" i="13"/>
  <c r="AZ10" i="13"/>
  <c r="AT10" i="13"/>
  <c r="AR10" i="13"/>
  <c r="AO10" i="13"/>
  <c r="AL10" i="13"/>
  <c r="AK10" i="13"/>
  <c r="AE10" i="13"/>
  <c r="W10" i="13"/>
  <c r="V10" i="13"/>
  <c r="Q10" i="13"/>
  <c r="M10" i="13"/>
  <c r="L10" i="13"/>
  <c r="BK9" i="13"/>
  <c r="BJ9" i="13"/>
  <c r="BA9" i="13"/>
  <c r="AZ9" i="13"/>
  <c r="AI9" i="13"/>
  <c r="AF9" i="13"/>
  <c r="AE9" i="13"/>
  <c r="M9" i="13"/>
  <c r="L9" i="13"/>
  <c r="I9" i="13"/>
  <c r="J9" i="13"/>
  <c r="BK8" i="13"/>
  <c r="BJ8" i="13"/>
  <c r="BA8" i="13"/>
  <c r="AZ8" i="13"/>
  <c r="AJ8" i="13"/>
  <c r="AI8" i="13"/>
  <c r="AE8" i="13"/>
  <c r="M8" i="13"/>
  <c r="J8" i="13"/>
  <c r="L8" i="13"/>
  <c r="I8" i="13"/>
  <c r="BK7" i="13"/>
  <c r="BJ7" i="13"/>
  <c r="BA7" i="13"/>
  <c r="AZ7" i="13"/>
  <c r="L7" i="13"/>
  <c r="I7" i="13"/>
  <c r="AE7" i="13"/>
  <c r="AI7" i="13"/>
  <c r="BV7" i="13"/>
  <c r="AJ7" i="13"/>
  <c r="BX7" i="13"/>
  <c r="BK6" i="13"/>
  <c r="BJ6" i="13"/>
  <c r="AZ6" i="13"/>
  <c r="AJ6" i="13"/>
  <c r="AI6" i="13"/>
  <c r="AE6" i="13"/>
  <c r="M6" i="13"/>
  <c r="L6" i="13"/>
  <c r="I6" i="13"/>
  <c r="BL5" i="13"/>
  <c r="BK5" i="13"/>
  <c r="BE5" i="13"/>
  <c r="BA5" i="13"/>
  <c r="AZ5" i="13"/>
  <c r="AJ5" i="13"/>
  <c r="AK5" i="13"/>
  <c r="AI5" i="13"/>
  <c r="AF5" i="13"/>
  <c r="AE5" i="13"/>
  <c r="AD5" i="13"/>
  <c r="X5" i="13"/>
  <c r="P5" i="13"/>
  <c r="Q5" i="13"/>
  <c r="L5" i="13"/>
  <c r="V5" i="13"/>
  <c r="W5" i="13"/>
  <c r="I5" i="13"/>
  <c r="BX5" i="13"/>
  <c r="M5" i="13"/>
  <c r="BJ4" i="13"/>
  <c r="BI4" i="13"/>
  <c r="AZ4" i="13"/>
  <c r="AI4" i="13"/>
  <c r="L4" i="13"/>
  <c r="I4" i="13"/>
  <c r="AE4" i="13"/>
  <c r="BX4" i="13"/>
  <c r="AF4" i="13"/>
  <c r="BK3" i="13"/>
  <c r="BJ3" i="13"/>
  <c r="BA3" i="13"/>
  <c r="AZ3" i="13"/>
  <c r="AY3" i="13"/>
  <c r="AJ3" i="13"/>
  <c r="AI3" i="13"/>
  <c r="AF3" i="13"/>
  <c r="AE3" i="13"/>
  <c r="M3" i="13"/>
  <c r="L3" i="13"/>
  <c r="I3" i="13"/>
  <c r="BK2" i="13"/>
  <c r="BJ2" i="13"/>
  <c r="BA2" i="13"/>
  <c r="AZ2" i="13"/>
  <c r="AJ2" i="13"/>
  <c r="AI2" i="13"/>
  <c r="AE2" i="13"/>
  <c r="L2" i="13"/>
  <c r="I2" i="13"/>
  <c r="J2" i="13"/>
  <c r="BJ78" i="12"/>
  <c r="BJ77" i="12"/>
  <c r="BJ76" i="12"/>
  <c r="BI75" i="12"/>
  <c r="BH75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T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BJ74" i="12"/>
  <c r="BI73" i="12"/>
  <c r="BH73" i="12"/>
  <c r="BG73" i="12"/>
  <c r="BF73" i="12"/>
  <c r="BE73" i="12"/>
  <c r="BD73" i="12"/>
  <c r="BC73" i="12"/>
  <c r="BB73" i="12"/>
  <c r="BA73" i="12"/>
  <c r="AZ73" i="12"/>
  <c r="AW73" i="12"/>
  <c r="AV73" i="12"/>
  <c r="AU73" i="12"/>
  <c r="AT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F73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AG72" i="12"/>
  <c r="AG71" i="12"/>
  <c r="BI71" i="12"/>
  <c r="BH71" i="12"/>
  <c r="BG71" i="12"/>
  <c r="BF71" i="12"/>
  <c r="BE71" i="12"/>
  <c r="BD71" i="12"/>
  <c r="BC71" i="12"/>
  <c r="BB71" i="12"/>
  <c r="BA71" i="12"/>
  <c r="AZ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AK70" i="12"/>
  <c r="AK64" i="12"/>
  <c r="C69" i="12"/>
  <c r="BJ69" i="12"/>
  <c r="BJ68" i="12"/>
  <c r="C67" i="12"/>
  <c r="BJ67" i="12"/>
  <c r="BJ66" i="12"/>
  <c r="AW65" i="12"/>
  <c r="AW64" i="12"/>
  <c r="AR65" i="12"/>
  <c r="AR63" i="12"/>
  <c r="P65" i="12"/>
  <c r="K65" i="12"/>
  <c r="K63" i="12"/>
  <c r="C65" i="12"/>
  <c r="C63" i="12"/>
  <c r="BH64" i="12"/>
  <c r="BG64" i="12"/>
  <c r="BF64" i="12"/>
  <c r="BE64" i="12"/>
  <c r="BD64" i="12"/>
  <c r="BC64" i="12"/>
  <c r="BB64" i="12"/>
  <c r="BA64" i="12"/>
  <c r="AZ64" i="12"/>
  <c r="AY64" i="12"/>
  <c r="AX64" i="12"/>
  <c r="AV64" i="12"/>
  <c r="AU64" i="12"/>
  <c r="AT64" i="12"/>
  <c r="AS64" i="12"/>
  <c r="AR64" i="12"/>
  <c r="AQ64" i="12"/>
  <c r="AP64" i="12"/>
  <c r="AO64" i="12"/>
  <c r="AN64" i="12"/>
  <c r="AM64" i="12"/>
  <c r="AL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O64" i="12"/>
  <c r="M64" i="12"/>
  <c r="K64" i="12"/>
  <c r="H64" i="12"/>
  <c r="F64" i="12"/>
  <c r="E64" i="12"/>
  <c r="D64" i="12"/>
  <c r="B64" i="12"/>
  <c r="BI63" i="12"/>
  <c r="BH63" i="12"/>
  <c r="BG63" i="12"/>
  <c r="BF63" i="12"/>
  <c r="BE63" i="12"/>
  <c r="BD63" i="12"/>
  <c r="BC63" i="12"/>
  <c r="BB63" i="12"/>
  <c r="BA63" i="12"/>
  <c r="AZ63" i="12"/>
  <c r="AY63" i="12"/>
  <c r="AX63" i="12"/>
  <c r="AW63" i="12"/>
  <c r="AV63" i="12"/>
  <c r="AU63" i="12"/>
  <c r="AT63" i="12"/>
  <c r="AS63" i="12"/>
  <c r="AQ63" i="12"/>
  <c r="AP63" i="12"/>
  <c r="AO63" i="12"/>
  <c r="AN63" i="12"/>
  <c r="AM63" i="12"/>
  <c r="AL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J63" i="12"/>
  <c r="I63" i="12"/>
  <c r="H63" i="12"/>
  <c r="G63" i="12"/>
  <c r="F63" i="12"/>
  <c r="E63" i="12"/>
  <c r="D63" i="12"/>
  <c r="B63" i="12"/>
  <c r="BJ62" i="12"/>
  <c r="BJ61" i="12"/>
  <c r="BJ60" i="12"/>
  <c r="BJ59" i="12"/>
  <c r="BJ58" i="12"/>
  <c r="BJ57" i="12"/>
  <c r="BJ56" i="12"/>
  <c r="BJ55" i="12"/>
  <c r="BF54" i="12"/>
  <c r="BD54" i="12"/>
  <c r="BC54" i="12"/>
  <c r="BB54" i="12"/>
  <c r="BA54" i="12"/>
  <c r="AY54" i="12"/>
  <c r="AW54" i="12"/>
  <c r="AT54" i="12"/>
  <c r="AR54" i="12"/>
  <c r="AN54" i="12"/>
  <c r="AL54" i="12"/>
  <c r="AJ54" i="12"/>
  <c r="X54" i="12"/>
  <c r="U54" i="12"/>
  <c r="T54" i="12"/>
  <c r="S54" i="12"/>
  <c r="H54" i="12"/>
  <c r="F54" i="12"/>
  <c r="E54" i="12"/>
  <c r="D54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W52" i="12"/>
  <c r="AW36" i="12"/>
  <c r="AR52" i="12"/>
  <c r="C52" i="12"/>
  <c r="C51" i="12"/>
  <c r="BJ51" i="12"/>
  <c r="BJ50" i="12"/>
  <c r="BJ49" i="12"/>
  <c r="C48" i="12"/>
  <c r="BJ48" i="12"/>
  <c r="BJ47" i="12"/>
  <c r="BJ46" i="12"/>
  <c r="C45" i="12"/>
  <c r="BJ45" i="12"/>
  <c r="BJ44" i="12"/>
  <c r="BJ43" i="12"/>
  <c r="BJ42" i="12"/>
  <c r="C41" i="12"/>
  <c r="BJ41" i="12"/>
  <c r="BJ40" i="12"/>
  <c r="C39" i="12"/>
  <c r="BJ39" i="12"/>
  <c r="BJ38" i="12"/>
  <c r="BF37" i="12"/>
  <c r="BD37" i="12"/>
  <c r="BC37" i="12"/>
  <c r="BB37" i="12"/>
  <c r="BA37" i="12"/>
  <c r="AY37" i="12"/>
  <c r="AX37" i="12"/>
  <c r="AW37" i="12"/>
  <c r="AV37" i="12"/>
  <c r="AS37" i="12"/>
  <c r="AN37" i="12"/>
  <c r="AM37" i="12"/>
  <c r="AL37" i="12"/>
  <c r="AC37" i="12"/>
  <c r="AA37" i="12"/>
  <c r="X37" i="12"/>
  <c r="W37" i="12"/>
  <c r="U37" i="12"/>
  <c r="S37" i="12"/>
  <c r="R37" i="12"/>
  <c r="O37" i="12"/>
  <c r="M37" i="12"/>
  <c r="K37" i="12"/>
  <c r="J37" i="12"/>
  <c r="I37" i="12"/>
  <c r="B37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V36" i="12"/>
  <c r="AU36" i="12"/>
  <c r="AT36" i="12"/>
  <c r="AS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U32" i="12"/>
  <c r="U11" i="12"/>
  <c r="U79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B36" i="12"/>
  <c r="AG35" i="12"/>
  <c r="AG32" i="12"/>
  <c r="C35" i="12"/>
  <c r="C32" i="12"/>
  <c r="AI34" i="12"/>
  <c r="BJ34" i="12"/>
  <c r="BG33" i="12"/>
  <c r="AN33" i="12"/>
  <c r="AM33" i="12"/>
  <c r="AL33" i="12"/>
  <c r="AE33" i="12"/>
  <c r="AA33" i="12"/>
  <c r="X33" i="12"/>
  <c r="U33" i="12"/>
  <c r="E33" i="12"/>
  <c r="D33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F32" i="12"/>
  <c r="AE32" i="12"/>
  <c r="AD32" i="12"/>
  <c r="AC32" i="12"/>
  <c r="AB32" i="12"/>
  <c r="AA32" i="12"/>
  <c r="Z32" i="12"/>
  <c r="Y32" i="12"/>
  <c r="X32" i="12"/>
  <c r="W32" i="12"/>
  <c r="V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B32" i="12"/>
  <c r="AI31" i="12"/>
  <c r="BJ31" i="12"/>
  <c r="C30" i="12"/>
  <c r="BJ30" i="12"/>
  <c r="BJ29" i="12"/>
  <c r="K28" i="12"/>
  <c r="K12" i="12"/>
  <c r="C27" i="12"/>
  <c r="BJ27" i="12"/>
  <c r="BJ26" i="12"/>
  <c r="C25" i="12"/>
  <c r="BJ25" i="12"/>
  <c r="BJ24" i="12"/>
  <c r="BJ23" i="12"/>
  <c r="BJ22" i="12"/>
  <c r="BJ21" i="12"/>
  <c r="BJ20" i="12"/>
  <c r="BJ19" i="12"/>
  <c r="BJ18" i="12"/>
  <c r="BJ17" i="12"/>
  <c r="BJ16" i="12"/>
  <c r="BJ15" i="12"/>
  <c r="BJ14" i="12"/>
  <c r="BJ13" i="12"/>
  <c r="BG12" i="12"/>
  <c r="BF12" i="12"/>
  <c r="BD12" i="12"/>
  <c r="BC12" i="12"/>
  <c r="BB12" i="12"/>
  <c r="BA12" i="12"/>
  <c r="AX12" i="12"/>
  <c r="AW12" i="12"/>
  <c r="AV12" i="12"/>
  <c r="AT12" i="12"/>
  <c r="AR12" i="12"/>
  <c r="AN12" i="12"/>
  <c r="AM12" i="12"/>
  <c r="AL12" i="12"/>
  <c r="AJ12" i="12"/>
  <c r="AH12" i="12"/>
  <c r="AF12" i="12"/>
  <c r="AB12" i="12"/>
  <c r="Y12" i="12"/>
  <c r="W12" i="12"/>
  <c r="U12" i="12"/>
  <c r="Q12" i="12"/>
  <c r="J12" i="12"/>
  <c r="F12" i="12"/>
  <c r="E12" i="12"/>
  <c r="D12" i="12"/>
  <c r="B12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I9" i="12"/>
  <c r="AI8" i="12"/>
  <c r="AI10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B11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CA71" i="11"/>
  <c r="BW71" i="11"/>
  <c r="BV71" i="11"/>
  <c r="BU71" i="11"/>
  <c r="BR71" i="11"/>
  <c r="BP71" i="11"/>
  <c r="BL71" i="11"/>
  <c r="BK71" i="11"/>
  <c r="BJ71" i="11"/>
  <c r="BI71" i="11"/>
  <c r="BH3" i="11"/>
  <c r="BH71" i="11"/>
  <c r="BG71" i="11"/>
  <c r="BF71" i="11"/>
  <c r="AZ71" i="11"/>
  <c r="AY71" i="11"/>
  <c r="AX71" i="11"/>
  <c r="AW3" i="11"/>
  <c r="AW51" i="11"/>
  <c r="AW71" i="11"/>
  <c r="AV3" i="11"/>
  <c r="AV71" i="11"/>
  <c r="AU71" i="11"/>
  <c r="AT71" i="11"/>
  <c r="AS71" i="11"/>
  <c r="AR71" i="11"/>
  <c r="AP71" i="11"/>
  <c r="AN71" i="11"/>
  <c r="AK3" i="11"/>
  <c r="AK71" i="11"/>
  <c r="AJ71" i="11"/>
  <c r="AF3" i="11"/>
  <c r="AF71" i="11"/>
  <c r="AE71" i="11"/>
  <c r="AD3" i="11"/>
  <c r="AD71" i="11"/>
  <c r="AC3" i="11"/>
  <c r="AC71" i="11"/>
  <c r="X71" i="11"/>
  <c r="W71" i="11"/>
  <c r="V71" i="11"/>
  <c r="U71" i="11"/>
  <c r="T71" i="11"/>
  <c r="S71" i="11"/>
  <c r="R71" i="11"/>
  <c r="Q71" i="11"/>
  <c r="N71" i="11"/>
  <c r="H71" i="11"/>
  <c r="G71" i="11"/>
  <c r="F71" i="11"/>
  <c r="E71" i="11"/>
  <c r="D71" i="11"/>
  <c r="C71" i="11"/>
  <c r="BX70" i="11"/>
  <c r="BM70" i="11"/>
  <c r="BC70" i="11"/>
  <c r="AL70" i="11"/>
  <c r="AI70" i="11"/>
  <c r="CB70" i="11"/>
  <c r="AH70" i="11"/>
  <c r="P70" i="11"/>
  <c r="O70" i="11"/>
  <c r="L70" i="11"/>
  <c r="I70" i="11"/>
  <c r="BX69" i="11"/>
  <c r="BN69" i="11"/>
  <c r="BM69" i="11"/>
  <c r="BD69" i="11"/>
  <c r="BC69" i="11"/>
  <c r="AM69" i="11"/>
  <c r="AL69" i="11"/>
  <c r="AI69" i="11"/>
  <c r="AH69" i="11"/>
  <c r="P69" i="11"/>
  <c r="O69" i="11"/>
  <c r="L69" i="11"/>
  <c r="J69" i="11"/>
  <c r="I69" i="11"/>
  <c r="BX68" i="11"/>
  <c r="BM68" i="11"/>
  <c r="BD68" i="11"/>
  <c r="BC68" i="11"/>
  <c r="AM68" i="11"/>
  <c r="AL68" i="11"/>
  <c r="AI68" i="11"/>
  <c r="AH68" i="11"/>
  <c r="P68" i="11"/>
  <c r="O68" i="11"/>
  <c r="M68" i="11"/>
  <c r="L68" i="11"/>
  <c r="I68" i="11"/>
  <c r="L67" i="11"/>
  <c r="AH67" i="11"/>
  <c r="AL67" i="11"/>
  <c r="BC67" i="11"/>
  <c r="BM67" i="11"/>
  <c r="CC67" i="11"/>
  <c r="BN67" i="11"/>
  <c r="AM67" i="11"/>
  <c r="CB67" i="11"/>
  <c r="BX67" i="11"/>
  <c r="BY67" i="11"/>
  <c r="BZ67" i="11"/>
  <c r="J67" i="11"/>
  <c r="I67" i="11"/>
  <c r="K67" i="11"/>
  <c r="O66" i="11"/>
  <c r="L66" i="11"/>
  <c r="AH66" i="11"/>
  <c r="AL66" i="11"/>
  <c r="BY66" i="11"/>
  <c r="BX66" i="11"/>
  <c r="BZ66" i="11"/>
  <c r="BM66" i="11"/>
  <c r="BD66" i="11"/>
  <c r="BC66" i="11"/>
  <c r="P66" i="11"/>
  <c r="M66" i="11"/>
  <c r="CC66" i="11"/>
  <c r="J66" i="11"/>
  <c r="I66" i="11"/>
  <c r="K66" i="11"/>
  <c r="BX65" i="11"/>
  <c r="BN65" i="11"/>
  <c r="BM65" i="11"/>
  <c r="BD65" i="11"/>
  <c r="BC65" i="11"/>
  <c r="AM65" i="11"/>
  <c r="AL65" i="11"/>
  <c r="AI65" i="11"/>
  <c r="AH65" i="11"/>
  <c r="O65" i="11"/>
  <c r="L65" i="11"/>
  <c r="I65" i="11"/>
  <c r="BX64" i="11"/>
  <c r="BN64" i="11"/>
  <c r="BM64" i="11"/>
  <c r="BD64" i="11"/>
  <c r="BC64" i="11"/>
  <c r="AM64" i="11"/>
  <c r="AL64" i="11"/>
  <c r="AI64" i="11"/>
  <c r="AH64" i="11"/>
  <c r="P64" i="11"/>
  <c r="O64" i="11"/>
  <c r="L64" i="11"/>
  <c r="J64" i="11"/>
  <c r="I64" i="11"/>
  <c r="BX63" i="11"/>
  <c r="BN63" i="11"/>
  <c r="BM63" i="11"/>
  <c r="BD63" i="11"/>
  <c r="BC63" i="11"/>
  <c r="AM63" i="11"/>
  <c r="AL63" i="11"/>
  <c r="AI63" i="11"/>
  <c r="AH63" i="11"/>
  <c r="P63" i="11"/>
  <c r="O63" i="11"/>
  <c r="L63" i="11"/>
  <c r="I63" i="11"/>
  <c r="BX62" i="11"/>
  <c r="BN62" i="11"/>
  <c r="BM62" i="11"/>
  <c r="BD62" i="11"/>
  <c r="BC62" i="11"/>
  <c r="AM62" i="11"/>
  <c r="AL62" i="11"/>
  <c r="AI62" i="11"/>
  <c r="AH62" i="11"/>
  <c r="O62" i="11"/>
  <c r="L62" i="11"/>
  <c r="J62" i="11"/>
  <c r="P62" i="11"/>
  <c r="M62" i="11"/>
  <c r="I62" i="11"/>
  <c r="BX61" i="11"/>
  <c r="BN61" i="11"/>
  <c r="BM61" i="11"/>
  <c r="BD61" i="11"/>
  <c r="BC61" i="11"/>
  <c r="AM61" i="11"/>
  <c r="AL61" i="11"/>
  <c r="O61" i="11"/>
  <c r="L61" i="11"/>
  <c r="AH61" i="11"/>
  <c r="J61" i="11"/>
  <c r="AI61" i="11"/>
  <c r="M61" i="11"/>
  <c r="I61" i="11"/>
  <c r="O60" i="11"/>
  <c r="L60" i="11"/>
  <c r="AH60" i="11"/>
  <c r="AL60" i="11"/>
  <c r="BY60" i="11"/>
  <c r="BX60" i="11"/>
  <c r="BN60" i="11"/>
  <c r="BM60" i="11"/>
  <c r="BD60" i="11"/>
  <c r="BC60" i="11"/>
  <c r="AM60" i="11"/>
  <c r="AI60" i="11"/>
  <c r="P60" i="11"/>
  <c r="J60" i="11"/>
  <c r="M60" i="11"/>
  <c r="I60" i="11"/>
  <c r="BX59" i="11"/>
  <c r="BN59" i="11"/>
  <c r="BM59" i="11"/>
  <c r="BD59" i="11"/>
  <c r="BC59" i="11"/>
  <c r="AM59" i="11"/>
  <c r="AL59" i="11"/>
  <c r="AI59" i="11"/>
  <c r="AH59" i="11"/>
  <c r="P59" i="11"/>
  <c r="M59" i="11"/>
  <c r="O59" i="11"/>
  <c r="L59" i="11"/>
  <c r="I59" i="11"/>
  <c r="O58" i="11"/>
  <c r="L58" i="11"/>
  <c r="AH58" i="11"/>
  <c r="AL58" i="11"/>
  <c r="BY58" i="11"/>
  <c r="BX58" i="11"/>
  <c r="BZ58" i="11"/>
  <c r="BN58" i="11"/>
  <c r="AM58" i="11"/>
  <c r="M58" i="11"/>
  <c r="AI58" i="11"/>
  <c r="CB58" i="11"/>
  <c r="BM58" i="11"/>
  <c r="BC58" i="11"/>
  <c r="J58" i="11"/>
  <c r="I58" i="11"/>
  <c r="K58" i="11"/>
  <c r="AM57" i="11"/>
  <c r="CB57" i="11"/>
  <c r="BX57" i="11"/>
  <c r="BM57" i="11"/>
  <c r="BC57" i="11"/>
  <c r="AL57" i="11"/>
  <c r="AH57" i="11"/>
  <c r="O57" i="11"/>
  <c r="L57" i="11"/>
  <c r="BY57" i="11"/>
  <c r="J57" i="11"/>
  <c r="I57" i="11"/>
  <c r="BX56" i="11"/>
  <c r="BN56" i="11"/>
  <c r="BM56" i="11"/>
  <c r="BD56" i="11"/>
  <c r="BC56" i="11"/>
  <c r="AM56" i="11"/>
  <c r="AL56" i="11"/>
  <c r="AI56" i="11"/>
  <c r="AH56" i="11"/>
  <c r="P56" i="11"/>
  <c r="O56" i="11"/>
  <c r="M56" i="11"/>
  <c r="L56" i="11"/>
  <c r="J56" i="11"/>
  <c r="I56" i="11"/>
  <c r="K56" i="11"/>
  <c r="BX55" i="11"/>
  <c r="BM55" i="11"/>
  <c r="BD55" i="11"/>
  <c r="AM55" i="11"/>
  <c r="M55" i="11"/>
  <c r="AI55" i="11"/>
  <c r="CB55" i="11"/>
  <c r="BC55" i="11"/>
  <c r="AL55" i="11"/>
  <c r="AH55" i="11"/>
  <c r="L55" i="11"/>
  <c r="I55" i="11"/>
  <c r="BX54" i="11"/>
  <c r="BN54" i="11"/>
  <c r="BM54" i="11"/>
  <c r="BD54" i="11"/>
  <c r="BC54" i="11"/>
  <c r="AM54" i="11"/>
  <c r="AL54" i="11"/>
  <c r="AI54" i="11"/>
  <c r="AH54" i="11"/>
  <c r="P54" i="11"/>
  <c r="O54" i="11"/>
  <c r="L54" i="11"/>
  <c r="I54" i="11"/>
  <c r="BX53" i="11"/>
  <c r="BM53" i="11"/>
  <c r="BC53" i="11"/>
  <c r="AL53" i="11"/>
  <c r="AI53" i="11"/>
  <c r="AH53" i="11"/>
  <c r="P53" i="11"/>
  <c r="O53" i="11"/>
  <c r="L53" i="11"/>
  <c r="M53" i="11"/>
  <c r="CB53" i="11"/>
  <c r="I53" i="11"/>
  <c r="O52" i="11"/>
  <c r="L52" i="11"/>
  <c r="AH52" i="11"/>
  <c r="AL52" i="11"/>
  <c r="BY52" i="11"/>
  <c r="BX52" i="11"/>
  <c r="BN52" i="11"/>
  <c r="BM52" i="11"/>
  <c r="BD52" i="11"/>
  <c r="BC52" i="11"/>
  <c r="AI52" i="11"/>
  <c r="P52" i="11"/>
  <c r="J52" i="11"/>
  <c r="I52" i="11"/>
  <c r="BX51" i="11"/>
  <c r="BM51" i="11"/>
  <c r="BD51" i="11"/>
  <c r="CB51" i="11"/>
  <c r="BC51" i="11"/>
  <c r="AL51" i="11"/>
  <c r="AH51" i="11"/>
  <c r="O51" i="11"/>
  <c r="L51" i="11"/>
  <c r="I51" i="11"/>
  <c r="O50" i="11"/>
  <c r="L50" i="11"/>
  <c r="AH50" i="11"/>
  <c r="AL50" i="11"/>
  <c r="BC50" i="11"/>
  <c r="BM50" i="11"/>
  <c r="CC50" i="11"/>
  <c r="CB50" i="11"/>
  <c r="BX50" i="11"/>
  <c r="BY50" i="11"/>
  <c r="J50" i="11"/>
  <c r="I50" i="11"/>
  <c r="K50" i="11"/>
  <c r="CC49" i="11"/>
  <c r="CB49" i="11"/>
  <c r="BY49" i="11"/>
  <c r="BX49" i="11"/>
  <c r="P49" i="11"/>
  <c r="O49" i="11"/>
  <c r="J49" i="11"/>
  <c r="I49" i="11"/>
  <c r="K49" i="11"/>
  <c r="BX48" i="11"/>
  <c r="BN48" i="11"/>
  <c r="BM48" i="11"/>
  <c r="BD48" i="11"/>
  <c r="BC48" i="11"/>
  <c r="AL48" i="11"/>
  <c r="AI48" i="11"/>
  <c r="AH48" i="11"/>
  <c r="L48" i="11"/>
  <c r="I48" i="11"/>
  <c r="BX47" i="11"/>
  <c r="BN47" i="11"/>
  <c r="BM47" i="11"/>
  <c r="BD47" i="11"/>
  <c r="BC47" i="11"/>
  <c r="AM47" i="11"/>
  <c r="AL47" i="11"/>
  <c r="AI47" i="11"/>
  <c r="AH47" i="11"/>
  <c r="O47" i="11"/>
  <c r="L47" i="11"/>
  <c r="J47" i="11"/>
  <c r="P47" i="11"/>
  <c r="M47" i="11"/>
  <c r="I47" i="11"/>
  <c r="BX46" i="11"/>
  <c r="BN46" i="11"/>
  <c r="BM46" i="11"/>
  <c r="BD46" i="11"/>
  <c r="BC46" i="11"/>
  <c r="AM46" i="11"/>
  <c r="AL46" i="11"/>
  <c r="AI46" i="11"/>
  <c r="AH46" i="11"/>
  <c r="P46" i="11"/>
  <c r="M46" i="11"/>
  <c r="O46" i="11"/>
  <c r="L46" i="11"/>
  <c r="CC46" i="11"/>
  <c r="I46" i="11"/>
  <c r="CB45" i="11"/>
  <c r="BX45" i="11"/>
  <c r="BM45" i="11"/>
  <c r="BC45" i="11"/>
  <c r="AL45" i="11"/>
  <c r="AH45" i="11"/>
  <c r="L45" i="11"/>
  <c r="I45" i="11"/>
  <c r="BX44" i="11"/>
  <c r="BN44" i="11"/>
  <c r="BM44" i="11"/>
  <c r="BD44" i="11"/>
  <c r="BC44" i="11"/>
  <c r="AM44" i="11"/>
  <c r="AL44" i="11"/>
  <c r="O44" i="11"/>
  <c r="L44" i="11"/>
  <c r="AH44" i="11"/>
  <c r="J44" i="11"/>
  <c r="AI44" i="11"/>
  <c r="P44" i="11"/>
  <c r="M44" i="11"/>
  <c r="I44" i="11"/>
  <c r="K44" i="11"/>
  <c r="CC43" i="11"/>
  <c r="CB43" i="11"/>
  <c r="CD43" i="11"/>
  <c r="BY43" i="11"/>
  <c r="BX43" i="11"/>
  <c r="BZ43" i="11"/>
  <c r="P43" i="11"/>
  <c r="O43" i="11"/>
  <c r="J43" i="11"/>
  <c r="I43" i="11"/>
  <c r="K43" i="11"/>
  <c r="BX42" i="11"/>
  <c r="BN42" i="11"/>
  <c r="BM42" i="11"/>
  <c r="BD42" i="11"/>
  <c r="BC42" i="11"/>
  <c r="AM42" i="11"/>
  <c r="AL42" i="11"/>
  <c r="O42" i="11"/>
  <c r="L42" i="11"/>
  <c r="AH42" i="11"/>
  <c r="J42" i="11"/>
  <c r="I42" i="11"/>
  <c r="K42" i="11"/>
  <c r="AI42" i="11"/>
  <c r="P42" i="11"/>
  <c r="M42" i="11"/>
  <c r="BX41" i="11"/>
  <c r="BN41" i="11"/>
  <c r="BM41" i="11"/>
  <c r="BC41" i="11"/>
  <c r="AM41" i="11"/>
  <c r="AL41" i="11"/>
  <c r="AI41" i="11"/>
  <c r="AH41" i="11"/>
  <c r="P41" i="11"/>
  <c r="O41" i="11"/>
  <c r="L41" i="11"/>
  <c r="M41" i="11"/>
  <c r="I41" i="11"/>
  <c r="BX40" i="11"/>
  <c r="BN40" i="11"/>
  <c r="BM40" i="11"/>
  <c r="BD40" i="11"/>
  <c r="BC40" i="11"/>
  <c r="AM40" i="11"/>
  <c r="AL40" i="11"/>
  <c r="AI40" i="11"/>
  <c r="AH40" i="11"/>
  <c r="O40" i="11"/>
  <c r="L40" i="11"/>
  <c r="I40" i="11"/>
  <c r="BX39" i="11"/>
  <c r="BN39" i="11"/>
  <c r="BM39" i="11"/>
  <c r="BD39" i="11"/>
  <c r="BC39" i="11"/>
  <c r="AM39" i="11"/>
  <c r="AL39" i="11"/>
  <c r="O39" i="11"/>
  <c r="L39" i="11"/>
  <c r="AH39" i="11"/>
  <c r="J39" i="11"/>
  <c r="AI39" i="11"/>
  <c r="P39" i="11"/>
  <c r="M39" i="11"/>
  <c r="I39" i="11"/>
  <c r="O38" i="11"/>
  <c r="L38" i="11"/>
  <c r="AH38" i="11"/>
  <c r="AL38" i="11"/>
  <c r="BC38" i="11"/>
  <c r="BM38" i="11"/>
  <c r="CC38" i="11"/>
  <c r="BN38" i="11"/>
  <c r="BD38" i="11"/>
  <c r="AI38" i="11"/>
  <c r="CB38" i="11"/>
  <c r="BX38" i="11"/>
  <c r="I38" i="11"/>
  <c r="BX37" i="11"/>
  <c r="BN37" i="11"/>
  <c r="BM37" i="11"/>
  <c r="BD37" i="11"/>
  <c r="BC37" i="11"/>
  <c r="AL37" i="11"/>
  <c r="P37" i="11"/>
  <c r="M37" i="11"/>
  <c r="O37" i="11"/>
  <c r="L37" i="11"/>
  <c r="I37" i="11"/>
  <c r="BX36" i="11"/>
  <c r="BN36" i="11"/>
  <c r="BM36" i="11"/>
  <c r="BD36" i="11"/>
  <c r="BC36" i="11"/>
  <c r="AM36" i="11"/>
  <c r="AL36" i="11"/>
  <c r="O36" i="11"/>
  <c r="L36" i="11"/>
  <c r="AH36" i="11"/>
  <c r="J36" i="11"/>
  <c r="AI36" i="11"/>
  <c r="P36" i="11"/>
  <c r="I36" i="11"/>
  <c r="K36" i="11"/>
  <c r="BX35" i="11"/>
  <c r="BN35" i="11"/>
  <c r="BM35" i="11"/>
  <c r="BD35" i="11"/>
  <c r="BC35" i="11"/>
  <c r="AM35" i="11"/>
  <c r="AL35" i="11"/>
  <c r="AI35" i="11"/>
  <c r="AH35" i="11"/>
  <c r="O35" i="11"/>
  <c r="L35" i="11"/>
  <c r="I35" i="11"/>
  <c r="BX34" i="11"/>
  <c r="BN34" i="11"/>
  <c r="BM34" i="11"/>
  <c r="BD34" i="11"/>
  <c r="BC34" i="11"/>
  <c r="AM34" i="11"/>
  <c r="AL34" i="11"/>
  <c r="AI34" i="11"/>
  <c r="AH34" i="11"/>
  <c r="P34" i="11"/>
  <c r="M34" i="11"/>
  <c r="O34" i="11"/>
  <c r="L34" i="11"/>
  <c r="I34" i="11"/>
  <c r="BX33" i="11"/>
  <c r="BN33" i="11"/>
  <c r="BD33" i="11"/>
  <c r="AM33" i="11"/>
  <c r="AI33" i="11"/>
  <c r="CB33" i="11"/>
  <c r="BM33" i="11"/>
  <c r="BC33" i="11"/>
  <c r="AL33" i="11"/>
  <c r="AH33" i="11"/>
  <c r="P33" i="11"/>
  <c r="O33" i="11"/>
  <c r="L33" i="11"/>
  <c r="J33" i="11"/>
  <c r="I33" i="11"/>
  <c r="K33" i="11"/>
  <c r="CB32" i="11"/>
  <c r="BX32" i="11"/>
  <c r="BM32" i="11"/>
  <c r="BC32" i="11"/>
  <c r="AL32" i="11"/>
  <c r="AH32" i="11"/>
  <c r="AG32" i="11"/>
  <c r="AG71" i="11"/>
  <c r="P32" i="11"/>
  <c r="O32" i="11"/>
  <c r="I32" i="11"/>
  <c r="CB31" i="11"/>
  <c r="O31" i="11"/>
  <c r="L31" i="11"/>
  <c r="AH31" i="11"/>
  <c r="AL31" i="11"/>
  <c r="BY31" i="11"/>
  <c r="BX31" i="11"/>
  <c r="BZ31" i="11"/>
  <c r="BM31" i="11"/>
  <c r="BC31" i="11"/>
  <c r="J31" i="11"/>
  <c r="I31" i="11"/>
  <c r="K31" i="11"/>
  <c r="BX30" i="11"/>
  <c r="L30" i="11"/>
  <c r="AH30" i="11"/>
  <c r="AL30" i="11"/>
  <c r="BY30" i="11"/>
  <c r="BZ30" i="11"/>
  <c r="BN30" i="11"/>
  <c r="BD30" i="11"/>
  <c r="AM30" i="11"/>
  <c r="P30" i="11"/>
  <c r="M30" i="11"/>
  <c r="AI30" i="11"/>
  <c r="CB30" i="11"/>
  <c r="BM30" i="11"/>
  <c r="BC30" i="11"/>
  <c r="J30" i="11"/>
  <c r="I30" i="11"/>
  <c r="BN29" i="11"/>
  <c r="BD29" i="11"/>
  <c r="AM29" i="11"/>
  <c r="M29" i="11"/>
  <c r="AI29" i="11"/>
  <c r="CB29" i="11"/>
  <c r="BX29" i="11"/>
  <c r="BM29" i="11"/>
  <c r="BC29" i="11"/>
  <c r="AL29" i="11"/>
  <c r="AH29" i="11"/>
  <c r="O29" i="11"/>
  <c r="L29" i="11"/>
  <c r="I29" i="11"/>
  <c r="CB28" i="11"/>
  <c r="BX28" i="11"/>
  <c r="BM28" i="11"/>
  <c r="BC28" i="11"/>
  <c r="AL28" i="11"/>
  <c r="AH28" i="11"/>
  <c r="O28" i="11"/>
  <c r="L28" i="11"/>
  <c r="I28" i="11"/>
  <c r="CB27" i="11"/>
  <c r="O27" i="11"/>
  <c r="L27" i="11"/>
  <c r="BY27" i="11"/>
  <c r="BX27" i="11"/>
  <c r="BM27" i="11"/>
  <c r="BC27" i="11"/>
  <c r="I27" i="11"/>
  <c r="BX26" i="11"/>
  <c r="BN26" i="11"/>
  <c r="BM26" i="11"/>
  <c r="BD26" i="11"/>
  <c r="BC26" i="11"/>
  <c r="AL26" i="11"/>
  <c r="AH26" i="11"/>
  <c r="P26" i="11"/>
  <c r="O26" i="11"/>
  <c r="L26" i="11"/>
  <c r="I26" i="11"/>
  <c r="BX25" i="11"/>
  <c r="BN25" i="11"/>
  <c r="BM25" i="11"/>
  <c r="BD25" i="11"/>
  <c r="BC25" i="11"/>
  <c r="AM25" i="11"/>
  <c r="AL25" i="11"/>
  <c r="AI25" i="11"/>
  <c r="AH25" i="11"/>
  <c r="P25" i="11"/>
  <c r="M25" i="11"/>
  <c r="O25" i="11"/>
  <c r="L25" i="11"/>
  <c r="I25" i="11"/>
  <c r="BX24" i="11"/>
  <c r="BN24" i="11"/>
  <c r="BM24" i="11"/>
  <c r="BD24" i="11"/>
  <c r="BC24" i="11"/>
  <c r="AL24" i="11"/>
  <c r="AH24" i="11"/>
  <c r="O24" i="11"/>
  <c r="L24" i="11"/>
  <c r="I24" i="11"/>
  <c r="BX23" i="11"/>
  <c r="BN23" i="11"/>
  <c r="BM23" i="11"/>
  <c r="BC23" i="11"/>
  <c r="AL23" i="11"/>
  <c r="AI23" i="11"/>
  <c r="AH23" i="11"/>
  <c r="O23" i="11"/>
  <c r="L23" i="11"/>
  <c r="J23" i="11"/>
  <c r="P23" i="11"/>
  <c r="M23" i="11"/>
  <c r="I23" i="11"/>
  <c r="BX22" i="11"/>
  <c r="BM22" i="11"/>
  <c r="BC22" i="11"/>
  <c r="AM22" i="11"/>
  <c r="AL22" i="11"/>
  <c r="AI22" i="11"/>
  <c r="AH22" i="11"/>
  <c r="L22" i="11"/>
  <c r="I22" i="11"/>
  <c r="BX21" i="11"/>
  <c r="BN21" i="11"/>
  <c r="BM21" i="11"/>
  <c r="BD21" i="11"/>
  <c r="BC21" i="11"/>
  <c r="AL21" i="11"/>
  <c r="AH21" i="11"/>
  <c r="O21" i="11"/>
  <c r="L21" i="11"/>
  <c r="M21" i="11"/>
  <c r="I21" i="11"/>
  <c r="BX20" i="11"/>
  <c r="BN20" i="11"/>
  <c r="BM20" i="11"/>
  <c r="BD20" i="11"/>
  <c r="BC20" i="11"/>
  <c r="AM20" i="11"/>
  <c r="AL20" i="11"/>
  <c r="AI20" i="11"/>
  <c r="AH20" i="11"/>
  <c r="O20" i="11"/>
  <c r="L20" i="11"/>
  <c r="J20" i="11"/>
  <c r="I20" i="11"/>
  <c r="K20" i="11"/>
  <c r="P20" i="11"/>
  <c r="M20" i="11"/>
  <c r="BX19" i="11"/>
  <c r="BN19" i="11"/>
  <c r="BM19" i="11"/>
  <c r="BD19" i="11"/>
  <c r="BC19" i="11"/>
  <c r="AM19" i="11"/>
  <c r="AL19" i="11"/>
  <c r="O19" i="11"/>
  <c r="L19" i="11"/>
  <c r="AH19" i="11"/>
  <c r="J19" i="11"/>
  <c r="AI19" i="11"/>
  <c r="P19" i="11"/>
  <c r="M19" i="11"/>
  <c r="I19" i="11"/>
  <c r="K19" i="11"/>
  <c r="CB18" i="11"/>
  <c r="BX18" i="11"/>
  <c r="BM18" i="11"/>
  <c r="BC18" i="11"/>
  <c r="AL18" i="11"/>
  <c r="O18" i="11"/>
  <c r="L18" i="11"/>
  <c r="AH18" i="11"/>
  <c r="J18" i="11"/>
  <c r="I18" i="11"/>
  <c r="BX17" i="11"/>
  <c r="BM17" i="11"/>
  <c r="BD17" i="11"/>
  <c r="BC17" i="11"/>
  <c r="AM17" i="11"/>
  <c r="AL17" i="11"/>
  <c r="AI17" i="11"/>
  <c r="AH17" i="11"/>
  <c r="O17" i="11"/>
  <c r="M17" i="11"/>
  <c r="L17" i="11"/>
  <c r="I17" i="11"/>
  <c r="BX16" i="11"/>
  <c r="BN16" i="11"/>
  <c r="BM16" i="11"/>
  <c r="BD16" i="11"/>
  <c r="BC16" i="11"/>
  <c r="AM16" i="11"/>
  <c r="AL16" i="11"/>
  <c r="AI16" i="11"/>
  <c r="AH16" i="11"/>
  <c r="P16" i="11"/>
  <c r="M16" i="11"/>
  <c r="O16" i="11"/>
  <c r="L16" i="11"/>
  <c r="I16" i="11"/>
  <c r="L15" i="11"/>
  <c r="AH15" i="11"/>
  <c r="AL15" i="11"/>
  <c r="BY15" i="11"/>
  <c r="BX15" i="11"/>
  <c r="BZ15" i="11"/>
  <c r="BN15" i="11"/>
  <c r="BM15" i="11"/>
  <c r="BD15" i="11"/>
  <c r="BC15" i="11"/>
  <c r="AM15" i="11"/>
  <c r="AI15" i="11"/>
  <c r="M15" i="11"/>
  <c r="J15" i="11"/>
  <c r="I15" i="11"/>
  <c r="BX14" i="11"/>
  <c r="BN14" i="11"/>
  <c r="BM14" i="11"/>
  <c r="AM14" i="11"/>
  <c r="AL14" i="11"/>
  <c r="AI14" i="11"/>
  <c r="AH14" i="11"/>
  <c r="P14" i="11"/>
  <c r="O14" i="11"/>
  <c r="M14" i="11"/>
  <c r="L14" i="11"/>
  <c r="I14" i="11"/>
  <c r="BX13" i="11"/>
  <c r="BM12" i="11"/>
  <c r="BT13" i="11"/>
  <c r="BM13" i="11"/>
  <c r="BN13" i="11"/>
  <c r="BD13" i="11"/>
  <c r="AM13" i="11"/>
  <c r="M13" i="11"/>
  <c r="AI13" i="11"/>
  <c r="CB13" i="11"/>
  <c r="BC13" i="11"/>
  <c r="AL13" i="11"/>
  <c r="AH13" i="11"/>
  <c r="O13" i="11"/>
  <c r="L13" i="11"/>
  <c r="BY13" i="11"/>
  <c r="J13" i="11"/>
  <c r="I13" i="11"/>
  <c r="BX12" i="11"/>
  <c r="BD12" i="11"/>
  <c r="BC12" i="11"/>
  <c r="AM12" i="11"/>
  <c r="AL12" i="11"/>
  <c r="AI12" i="11"/>
  <c r="AH12" i="11"/>
  <c r="P12" i="11"/>
  <c r="M12" i="11"/>
  <c r="L12" i="11"/>
  <c r="I12" i="11"/>
  <c r="BN11" i="11"/>
  <c r="BD11" i="11"/>
  <c r="AM11" i="11"/>
  <c r="P11" i="11"/>
  <c r="M11" i="11"/>
  <c r="AI11" i="11"/>
  <c r="CB11" i="11"/>
  <c r="BX11" i="11"/>
  <c r="BM11" i="11"/>
  <c r="BC11" i="11"/>
  <c r="AL11" i="11"/>
  <c r="AH11" i="11"/>
  <c r="O11" i="11"/>
  <c r="L11" i="11"/>
  <c r="BY11" i="11"/>
  <c r="BZ11" i="11"/>
  <c r="I11" i="11"/>
  <c r="BX10" i="11"/>
  <c r="BN10" i="11"/>
  <c r="BM10" i="11"/>
  <c r="BD10" i="11"/>
  <c r="BC10" i="11"/>
  <c r="AM10" i="11"/>
  <c r="AL10" i="11"/>
  <c r="AI10" i="11"/>
  <c r="AH10" i="11"/>
  <c r="P10" i="11"/>
  <c r="M10" i="11"/>
  <c r="O10" i="11"/>
  <c r="L10" i="11"/>
  <c r="J10" i="11"/>
  <c r="I10" i="11"/>
  <c r="BX9" i="11"/>
  <c r="BN9" i="11"/>
  <c r="BM9" i="11"/>
  <c r="BD9" i="11"/>
  <c r="BC9" i="11"/>
  <c r="AM9" i="11"/>
  <c r="P9" i="11"/>
  <c r="M9" i="11"/>
  <c r="AI9" i="11"/>
  <c r="CB9" i="11"/>
  <c r="AL9" i="11"/>
  <c r="O9" i="11"/>
  <c r="L9" i="11"/>
  <c r="AH9" i="11"/>
  <c r="CC9" i="11"/>
  <c r="I9" i="11"/>
  <c r="BX8" i="11"/>
  <c r="BN8" i="11"/>
  <c r="BM8" i="11"/>
  <c r="BD8" i="11"/>
  <c r="BC8" i="11"/>
  <c r="AM8" i="11"/>
  <c r="AL8" i="11"/>
  <c r="AI8" i="11"/>
  <c r="AH8" i="11"/>
  <c r="P8" i="11"/>
  <c r="O8" i="11"/>
  <c r="M8" i="11"/>
  <c r="L8" i="11"/>
  <c r="I8" i="11"/>
  <c r="BX7" i="11"/>
  <c r="BN7" i="11"/>
  <c r="BM7" i="11"/>
  <c r="BD7" i="11"/>
  <c r="BC7" i="11"/>
  <c r="AM7" i="11"/>
  <c r="AL7" i="11"/>
  <c r="AI7" i="11"/>
  <c r="AH7" i="11"/>
  <c r="P7" i="11"/>
  <c r="O7" i="11"/>
  <c r="M7" i="11"/>
  <c r="L7" i="11"/>
  <c r="J7" i="11"/>
  <c r="I7" i="11"/>
  <c r="K7" i="11"/>
  <c r="O6" i="11"/>
  <c r="L6" i="11"/>
  <c r="AH6" i="11"/>
  <c r="AL6" i="11"/>
  <c r="BY6" i="11"/>
  <c r="BX6" i="11"/>
  <c r="BZ6" i="11"/>
  <c r="BM6" i="11"/>
  <c r="BC6" i="11"/>
  <c r="AM6" i="11"/>
  <c r="AI6" i="11"/>
  <c r="P6" i="11"/>
  <c r="J6" i="11"/>
  <c r="I6" i="11"/>
  <c r="K6" i="11"/>
  <c r="BX5" i="11"/>
  <c r="BN5" i="11"/>
  <c r="BM5" i="11"/>
  <c r="BD5" i="11"/>
  <c r="BC5" i="11"/>
  <c r="AM5" i="11"/>
  <c r="AL5" i="11"/>
  <c r="AI5" i="11"/>
  <c r="AH5" i="11"/>
  <c r="P5" i="11"/>
  <c r="O5" i="11"/>
  <c r="M5" i="11"/>
  <c r="L5" i="11"/>
  <c r="I5" i="11"/>
  <c r="BX4" i="11"/>
  <c r="BN4" i="11"/>
  <c r="BM4" i="11"/>
  <c r="BD4" i="11"/>
  <c r="BC4" i="11"/>
  <c r="AM4" i="11"/>
  <c r="AL4" i="11"/>
  <c r="AI4" i="11"/>
  <c r="AH4" i="11"/>
  <c r="P4" i="11"/>
  <c r="O4" i="11"/>
  <c r="L4" i="11"/>
  <c r="M4" i="11"/>
  <c r="I4" i="11"/>
  <c r="BX3" i="11"/>
  <c r="BT3" i="11"/>
  <c r="BS3" i="11"/>
  <c r="BS71" i="11"/>
  <c r="BQ3" i="11"/>
  <c r="BQ71" i="11"/>
  <c r="BO3" i="11"/>
  <c r="BO71" i="11"/>
  <c r="BE3" i="11"/>
  <c r="BE71" i="11"/>
  <c r="BC3" i="11"/>
  <c r="BB3" i="11"/>
  <c r="BB71" i="11"/>
  <c r="BA3" i="11"/>
  <c r="BA71" i="11"/>
  <c r="AQ3" i="11"/>
  <c r="AQ71" i="11"/>
  <c r="AO3" i="11"/>
  <c r="AO71" i="11"/>
  <c r="AL3" i="11"/>
  <c r="AH3" i="11"/>
  <c r="AI3" i="11"/>
  <c r="CB3" i="11"/>
  <c r="AB3" i="11"/>
  <c r="AB71" i="11"/>
  <c r="AA3" i="11"/>
  <c r="AA71" i="11"/>
  <c r="Z3" i="11"/>
  <c r="Z71" i="11"/>
  <c r="Y3" i="11"/>
  <c r="Y71" i="11"/>
  <c r="O3" i="11"/>
  <c r="L3" i="11"/>
  <c r="I3" i="11"/>
  <c r="BX2" i="11"/>
  <c r="BN2" i="11"/>
  <c r="BM2" i="11"/>
  <c r="BD2" i="11"/>
  <c r="BC2" i="11"/>
  <c r="AM2" i="11"/>
  <c r="AL2" i="11"/>
  <c r="O2" i="11"/>
  <c r="L2" i="11"/>
  <c r="AH2" i="11"/>
  <c r="J2" i="11"/>
  <c r="AI2" i="11"/>
  <c r="P2" i="11"/>
  <c r="I2" i="11"/>
  <c r="AG11" i="9"/>
  <c r="U7" i="9"/>
  <c r="U5" i="9"/>
  <c r="U3" i="9"/>
  <c r="M7" i="9"/>
  <c r="M5" i="9"/>
  <c r="M4" i="9"/>
  <c r="M3" i="9"/>
  <c r="Z3" i="8"/>
  <c r="J5" i="8"/>
  <c r="G3" i="8"/>
  <c r="O204" i="6"/>
  <c r="Q204" i="6"/>
  <c r="O203" i="6"/>
  <c r="Q203" i="6"/>
  <c r="O202" i="6"/>
  <c r="J201" i="6"/>
  <c r="O201" i="6"/>
  <c r="D201" i="6"/>
  <c r="N201" i="6"/>
  <c r="O200" i="6"/>
  <c r="O199" i="6"/>
  <c r="O198" i="6"/>
  <c r="N198" i="6"/>
  <c r="O197" i="6"/>
  <c r="N197" i="6"/>
  <c r="O196" i="6"/>
  <c r="D196" i="6"/>
  <c r="N196" i="6"/>
  <c r="O195" i="6"/>
  <c r="N195" i="6"/>
  <c r="O194" i="6"/>
  <c r="N194" i="6"/>
  <c r="O193" i="6"/>
  <c r="N193" i="6"/>
  <c r="O192" i="6"/>
  <c r="N192" i="6"/>
  <c r="O191" i="6"/>
  <c r="N191" i="6"/>
  <c r="O190" i="6"/>
  <c r="N190" i="6"/>
  <c r="O189" i="6"/>
  <c r="N189" i="6"/>
  <c r="O188" i="6"/>
  <c r="N188" i="6"/>
  <c r="M187" i="6"/>
  <c r="L187" i="6"/>
  <c r="H187" i="6"/>
  <c r="G187" i="6"/>
  <c r="O186" i="6"/>
  <c r="N186" i="6"/>
  <c r="O185" i="6"/>
  <c r="N185" i="6"/>
  <c r="O184" i="6"/>
  <c r="N184" i="6"/>
  <c r="N183" i="6"/>
  <c r="J183" i="6"/>
  <c r="O183" i="6"/>
  <c r="O182" i="6"/>
  <c r="N182" i="6"/>
  <c r="O181" i="6"/>
  <c r="N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N174" i="6"/>
  <c r="O173" i="6"/>
  <c r="N173" i="6"/>
  <c r="O172" i="6"/>
  <c r="D172" i="6"/>
  <c r="N172" i="6"/>
  <c r="O171" i="6"/>
  <c r="H171" i="6"/>
  <c r="G171" i="6"/>
  <c r="O170" i="6"/>
  <c r="N170" i="6"/>
  <c r="O169" i="6"/>
  <c r="N169" i="6"/>
  <c r="I168" i="6"/>
  <c r="O168" i="6"/>
  <c r="D168" i="6"/>
  <c r="N168" i="6"/>
  <c r="O167" i="6"/>
  <c r="N167" i="6"/>
  <c r="O166" i="6"/>
  <c r="N166" i="6"/>
  <c r="O165" i="6"/>
  <c r="N165" i="6"/>
  <c r="I164" i="6"/>
  <c r="O164" i="6"/>
  <c r="D164" i="6"/>
  <c r="N164" i="6"/>
  <c r="O163" i="6"/>
  <c r="N163" i="6"/>
  <c r="O162" i="6"/>
  <c r="N162" i="6"/>
  <c r="O161" i="6"/>
  <c r="N161" i="6"/>
  <c r="O160" i="6"/>
  <c r="N160" i="6"/>
  <c r="O159" i="6"/>
  <c r="N159" i="6"/>
  <c r="O157" i="6"/>
  <c r="I158" i="6"/>
  <c r="H157" i="6"/>
  <c r="G157" i="6"/>
  <c r="O156" i="6"/>
  <c r="N156" i="6"/>
  <c r="O155" i="6"/>
  <c r="K155" i="6"/>
  <c r="H155" i="6"/>
  <c r="G155" i="6"/>
  <c r="F155" i="6"/>
  <c r="O154" i="6"/>
  <c r="N154" i="6"/>
  <c r="O153" i="6"/>
  <c r="N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N146" i="6"/>
  <c r="O145" i="6"/>
  <c r="N145" i="6"/>
  <c r="O144" i="6"/>
  <c r="N144" i="6"/>
  <c r="O143" i="6"/>
  <c r="N143" i="6"/>
  <c r="O142" i="6"/>
  <c r="D142" i="6"/>
  <c r="N142" i="6"/>
  <c r="O141" i="6"/>
  <c r="N141" i="6"/>
  <c r="O140" i="6"/>
  <c r="D140" i="6"/>
  <c r="N140" i="6"/>
  <c r="O139" i="6"/>
  <c r="N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O131" i="6"/>
  <c r="D131" i="6"/>
  <c r="N131" i="6"/>
  <c r="O130" i="6"/>
  <c r="N130" i="6"/>
  <c r="N129" i="6"/>
  <c r="O128" i="6"/>
  <c r="N128" i="6"/>
  <c r="O127" i="6"/>
  <c r="N127" i="6"/>
  <c r="O126" i="6"/>
  <c r="N126" i="6"/>
  <c r="O125" i="6"/>
  <c r="N125" i="6"/>
  <c r="O124" i="6"/>
  <c r="N124" i="6"/>
  <c r="O123" i="6"/>
  <c r="N123" i="6"/>
  <c r="O121" i="6"/>
  <c r="N121" i="6"/>
  <c r="O120" i="6"/>
  <c r="N120" i="6"/>
  <c r="O119" i="6"/>
  <c r="N119" i="6"/>
  <c r="O118" i="6"/>
  <c r="N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O110" i="6"/>
  <c r="N110" i="6"/>
  <c r="O109" i="6"/>
  <c r="N109" i="6"/>
  <c r="O108" i="6"/>
  <c r="N108" i="6"/>
  <c r="O107" i="6"/>
  <c r="D107" i="6"/>
  <c r="N107" i="6"/>
  <c r="O106" i="6"/>
  <c r="N106" i="6"/>
  <c r="O105" i="6"/>
  <c r="N105" i="6"/>
  <c r="O104" i="6"/>
  <c r="N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N60" i="6"/>
  <c r="O96" i="6"/>
  <c r="N96" i="6"/>
  <c r="O95" i="6"/>
  <c r="N95" i="6"/>
  <c r="O94" i="6"/>
  <c r="N94" i="6"/>
  <c r="O93" i="6"/>
  <c r="D93" i="6"/>
  <c r="N93" i="6"/>
  <c r="J92" i="6"/>
  <c r="O92" i="6"/>
  <c r="E92" i="6"/>
  <c r="N92" i="6"/>
  <c r="O91" i="6"/>
  <c r="N91" i="6"/>
  <c r="O90" i="6"/>
  <c r="N90" i="6"/>
  <c r="O89" i="6"/>
  <c r="N89" i="6"/>
  <c r="M88" i="6"/>
  <c r="L88" i="6"/>
  <c r="J88" i="6"/>
  <c r="H88" i="6"/>
  <c r="G88" i="6"/>
  <c r="E88" i="6"/>
  <c r="N88" i="6"/>
  <c r="J87" i="6"/>
  <c r="O87" i="6"/>
  <c r="H87" i="6"/>
  <c r="G87" i="6"/>
  <c r="E87" i="6"/>
  <c r="O86" i="6"/>
  <c r="N86" i="6"/>
  <c r="O85" i="6"/>
  <c r="N85" i="6"/>
  <c r="O84" i="6"/>
  <c r="E84" i="6"/>
  <c r="N84" i="6"/>
  <c r="O83" i="6"/>
  <c r="N83" i="6"/>
  <c r="N82" i="6"/>
  <c r="I82" i="6"/>
  <c r="O82" i="6"/>
  <c r="O81" i="6"/>
  <c r="N81" i="6"/>
  <c r="N80" i="6"/>
  <c r="O79" i="6"/>
  <c r="N79" i="6"/>
  <c r="O78" i="6"/>
  <c r="N78" i="6"/>
  <c r="O77" i="6"/>
  <c r="N77" i="6"/>
  <c r="O76" i="6"/>
  <c r="N76" i="6"/>
  <c r="O75" i="6"/>
  <c r="N75" i="6"/>
  <c r="N74" i="6"/>
  <c r="M74" i="6"/>
  <c r="O74" i="6"/>
  <c r="O73" i="6"/>
  <c r="N73" i="6"/>
  <c r="O72" i="6"/>
  <c r="N72" i="6"/>
  <c r="J71" i="6"/>
  <c r="O71" i="6"/>
  <c r="H71" i="6"/>
  <c r="E71" i="6"/>
  <c r="N71" i="6"/>
  <c r="J70" i="6"/>
  <c r="O70" i="6"/>
  <c r="H70" i="6"/>
  <c r="G70" i="6"/>
  <c r="E70" i="6"/>
  <c r="O69" i="6"/>
  <c r="N69" i="6"/>
  <c r="O68" i="6"/>
  <c r="N68" i="6"/>
  <c r="O67" i="6"/>
  <c r="N67" i="6"/>
  <c r="O66" i="6"/>
  <c r="N66" i="6"/>
  <c r="O65" i="6"/>
  <c r="N65" i="6"/>
  <c r="O64" i="6"/>
  <c r="N64" i="6"/>
  <c r="M63" i="6"/>
  <c r="I63" i="6"/>
  <c r="H63" i="6"/>
  <c r="D63" i="6"/>
  <c r="N62" i="6"/>
  <c r="O61" i="6"/>
  <c r="N61" i="6"/>
  <c r="O59" i="6"/>
  <c r="N59" i="6"/>
  <c r="O58" i="6"/>
  <c r="N58" i="6"/>
  <c r="E50" i="5"/>
  <c r="E49" i="5"/>
  <c r="C49" i="5"/>
  <c r="E29" i="5"/>
  <c r="E51" i="5"/>
  <c r="D29" i="5"/>
  <c r="D51" i="5"/>
  <c r="I131" i="3"/>
  <c r="I107" i="3"/>
  <c r="I106" i="3"/>
  <c r="BY17" i="11"/>
  <c r="J17" i="11"/>
  <c r="CD67" i="11"/>
  <c r="K13" i="11"/>
  <c r="CB16" i="11"/>
  <c r="K30" i="11"/>
  <c r="CB40" i="11"/>
  <c r="CB17" i="11"/>
  <c r="J24" i="11"/>
  <c r="K24" i="11"/>
  <c r="BY24" i="11"/>
  <c r="CC30" i="11"/>
  <c r="CD30" i="11"/>
  <c r="CC33" i="11"/>
  <c r="CD33" i="11"/>
  <c r="CB69" i="11"/>
  <c r="CC15" i="11"/>
  <c r="CC69" i="11"/>
  <c r="CD50" i="11"/>
  <c r="CB24" i="11"/>
  <c r="BD71" i="11"/>
  <c r="CC7" i="11"/>
  <c r="CB7" i="11"/>
  <c r="CD7" i="11"/>
  <c r="CB22" i="11"/>
  <c r="BZ24" i="11"/>
  <c r="CD49" i="11"/>
  <c r="CC54" i="11"/>
  <c r="CB54" i="11"/>
  <c r="CD54" i="11"/>
  <c r="K57" i="11"/>
  <c r="CB23" i="11"/>
  <c r="BZ60" i="11"/>
  <c r="CB63" i="11"/>
  <c r="BY26" i="11"/>
  <c r="BZ26" i="11"/>
  <c r="J26" i="11"/>
  <c r="CB46" i="11"/>
  <c r="BZ27" i="11"/>
  <c r="CD38" i="11"/>
  <c r="J68" i="11"/>
  <c r="K68" i="11"/>
  <c r="CC14" i="11"/>
  <c r="CB14" i="11"/>
  <c r="CD14" i="11"/>
  <c r="K15" i="11"/>
  <c r="K69" i="11"/>
  <c r="BC71" i="11"/>
  <c r="J22" i="11"/>
  <c r="CC22" i="11"/>
  <c r="CB25" i="11"/>
  <c r="CC31" i="11"/>
  <c r="CD31" i="11"/>
  <c r="CB41" i="11"/>
  <c r="CB48" i="11"/>
  <c r="BX71" i="11"/>
  <c r="AI71" i="11"/>
  <c r="CC6" i="11"/>
  <c r="J8" i="11"/>
  <c r="K8" i="11"/>
  <c r="K17" i="11"/>
  <c r="BZ17" i="11"/>
  <c r="CC26" i="11"/>
  <c r="K47" i="11"/>
  <c r="CB59" i="11"/>
  <c r="K60" i="11"/>
  <c r="K61" i="11"/>
  <c r="AL71" i="11"/>
  <c r="CB8" i="11"/>
  <c r="BY12" i="11"/>
  <c r="BZ12" i="11"/>
  <c r="CB26" i="11"/>
  <c r="CB34" i="11"/>
  <c r="CC44" i="11"/>
  <c r="K62" i="11"/>
  <c r="CB65" i="11"/>
  <c r="BT71" i="11"/>
  <c r="K10" i="11"/>
  <c r="CB12" i="11"/>
  <c r="CB20" i="11"/>
  <c r="K22" i="11"/>
  <c r="K23" i="11"/>
  <c r="BY40" i="11"/>
  <c r="BZ40" i="11"/>
  <c r="J46" i="11"/>
  <c r="K46" i="11"/>
  <c r="CC53" i="11"/>
  <c r="CD53" i="11"/>
  <c r="CC16" i="11"/>
  <c r="CD16" i="11"/>
  <c r="CB19" i="11"/>
  <c r="CC20" i="11"/>
  <c r="CD20" i="11"/>
  <c r="CC24" i="11"/>
  <c r="CD24" i="11"/>
  <c r="K26" i="11"/>
  <c r="J28" i="11"/>
  <c r="K28" i="11"/>
  <c r="CC62" i="11"/>
  <c r="J9" i="11"/>
  <c r="K9" i="11"/>
  <c r="BY14" i="11"/>
  <c r="BZ14" i="11"/>
  <c r="BY22" i="11"/>
  <c r="BZ22" i="11"/>
  <c r="CC48" i="11"/>
  <c r="BZ50" i="11"/>
  <c r="CB52" i="11"/>
  <c r="CB66" i="11"/>
  <c r="CD66" i="11"/>
  <c r="BY45" i="11"/>
  <c r="BZ45" i="11"/>
  <c r="J48" i="11"/>
  <c r="K48" i="11"/>
  <c r="BZ49" i="11"/>
  <c r="K52" i="11"/>
  <c r="BZ52" i="11"/>
  <c r="CB60" i="11"/>
  <c r="K64" i="11"/>
  <c r="BE79" i="12"/>
  <c r="BF79" i="12"/>
  <c r="AV79" i="12"/>
  <c r="U9" i="12"/>
  <c r="AS9" i="12"/>
  <c r="AJ9" i="12"/>
  <c r="AJ10" i="12"/>
  <c r="V9" i="12"/>
  <c r="V10" i="12"/>
  <c r="AT9" i="12"/>
  <c r="AT10" i="12"/>
  <c r="AG9" i="12"/>
  <c r="AG10" i="12"/>
  <c r="K9" i="12"/>
  <c r="K10" i="12"/>
  <c r="AU79" i="12"/>
  <c r="V79" i="12"/>
  <c r="W79" i="12"/>
  <c r="L9" i="12"/>
  <c r="L10" i="12"/>
  <c r="Q168" i="6"/>
  <c r="Q198" i="6"/>
  <c r="Q184" i="6"/>
  <c r="Q150" i="6"/>
  <c r="Q167" i="6"/>
  <c r="Q152" i="6"/>
  <c r="N70" i="6"/>
  <c r="N155" i="6"/>
  <c r="Q155" i="6"/>
  <c r="I1038" i="15"/>
  <c r="I1188" i="15"/>
  <c r="I1187" i="15"/>
  <c r="I1002" i="15"/>
  <c r="I1037" i="15"/>
  <c r="I835" i="15"/>
  <c r="I836" i="15"/>
  <c r="I1271" i="15"/>
  <c r="I1272" i="15"/>
  <c r="I1152" i="15"/>
  <c r="I1186" i="15"/>
  <c r="I423" i="15"/>
  <c r="I424" i="15"/>
  <c r="J60" i="13"/>
  <c r="BV60" i="13"/>
  <c r="BU60" i="13"/>
  <c r="BX60" i="13"/>
  <c r="BV21" i="13"/>
  <c r="BW21" i="13"/>
  <c r="BW23" i="13"/>
  <c r="BV49" i="13"/>
  <c r="BW49" i="13"/>
  <c r="BV41" i="13"/>
  <c r="BU41" i="13"/>
  <c r="BW41" i="13"/>
  <c r="BV45" i="13"/>
  <c r="BU45" i="13"/>
  <c r="BW45" i="13"/>
  <c r="BV69" i="13"/>
  <c r="BW69" i="13"/>
  <c r="BV6" i="13"/>
  <c r="BU6" i="13"/>
  <c r="BW6" i="13"/>
  <c r="I10" i="13"/>
  <c r="AI10" i="13"/>
  <c r="BX10" i="13"/>
  <c r="BV31" i="13"/>
  <c r="BV24" i="13"/>
  <c r="BV48" i="13"/>
  <c r="BV61" i="13"/>
  <c r="BW61" i="13"/>
  <c r="BX9" i="13"/>
  <c r="BV30" i="13"/>
  <c r="BV35" i="13"/>
  <c r="BU35" i="13"/>
  <c r="BV4" i="13"/>
  <c r="BV59" i="13"/>
  <c r="BW59" i="13"/>
  <c r="BV65" i="13"/>
  <c r="BW65" i="13"/>
  <c r="BX13" i="13"/>
  <c r="BV17" i="13"/>
  <c r="BU17" i="13"/>
  <c r="BW17" i="13"/>
  <c r="BX47" i="13"/>
  <c r="BV58" i="13"/>
  <c r="BW58" i="13"/>
  <c r="BV28" i="13"/>
  <c r="BX12" i="13"/>
  <c r="BX27" i="13"/>
  <c r="BX51" i="13"/>
  <c r="BV38" i="13"/>
  <c r="BX48" i="13"/>
  <c r="BV64" i="13"/>
  <c r="BW64" i="13"/>
  <c r="BX68" i="13"/>
  <c r="BV8" i="13"/>
  <c r="BW8" i="13"/>
  <c r="BX28" i="13"/>
  <c r="BX37" i="13"/>
  <c r="BV29" i="13"/>
  <c r="BW29" i="13"/>
  <c r="BX33" i="13"/>
  <c r="BV50" i="13"/>
  <c r="BV57" i="13"/>
  <c r="BW57" i="13"/>
  <c r="BU48" i="13"/>
  <c r="BW48" i="13"/>
  <c r="BU30" i="13"/>
  <c r="BW30" i="13"/>
  <c r="BU4" i="13"/>
  <c r="BW4" i="13"/>
  <c r="BV3" i="13"/>
  <c r="BW3" i="13"/>
  <c r="BX3" i="13"/>
  <c r="BU7" i="13"/>
  <c r="BW7" i="13"/>
  <c r="BU28" i="13"/>
  <c r="BW28" i="13"/>
  <c r="BU24" i="13"/>
  <c r="BW24" i="13"/>
  <c r="BX14" i="13"/>
  <c r="BV14" i="13"/>
  <c r="BW14" i="13"/>
  <c r="BU50" i="13"/>
  <c r="BW50" i="13"/>
  <c r="BX2" i="13"/>
  <c r="BV2" i="13"/>
  <c r="BW22" i="13"/>
  <c r="BX25" i="13"/>
  <c r="J25" i="13"/>
  <c r="BW32" i="13"/>
  <c r="BW43" i="13"/>
  <c r="BW44" i="13"/>
  <c r="BV19" i="13"/>
  <c r="BX19" i="13"/>
  <c r="J40" i="13"/>
  <c r="BX40" i="13"/>
  <c r="BV40" i="13"/>
  <c r="BX46" i="13"/>
  <c r="BV46" i="13"/>
  <c r="BW46" i="13"/>
  <c r="J54" i="13"/>
  <c r="BX54" i="13"/>
  <c r="BV54" i="13"/>
  <c r="BV62" i="13"/>
  <c r="BW62" i="13"/>
  <c r="BX62" i="13"/>
  <c r="BX67" i="13"/>
  <c r="BV67" i="13"/>
  <c r="BW67" i="13"/>
  <c r="BV68" i="13"/>
  <c r="BW68" i="13"/>
  <c r="BX70" i="13"/>
  <c r="BV70" i="13"/>
  <c r="BW70" i="13"/>
  <c r="BX26" i="13"/>
  <c r="BV26" i="13"/>
  <c r="BW26" i="13"/>
  <c r="BV27" i="13"/>
  <c r="BW27" i="13"/>
  <c r="AI52" i="13"/>
  <c r="BV47" i="13"/>
  <c r="BW60" i="13"/>
  <c r="BJ5" i="13"/>
  <c r="BV5" i="13"/>
  <c r="BV12" i="13"/>
  <c r="BV15" i="13"/>
  <c r="BX15" i="13"/>
  <c r="BV16" i="13"/>
  <c r="BW16" i="13"/>
  <c r="BW35" i="13"/>
  <c r="BU38" i="13"/>
  <c r="BW38" i="13"/>
  <c r="BX65" i="13"/>
  <c r="BV11" i="13"/>
  <c r="BW11" i="13"/>
  <c r="BX35" i="13"/>
  <c r="J39" i="13"/>
  <c r="BV39" i="13"/>
  <c r="BW39" i="13"/>
  <c r="BX39" i="13"/>
  <c r="BV51" i="13"/>
  <c r="BW51" i="13"/>
  <c r="BX66" i="13"/>
  <c r="BV66" i="13"/>
  <c r="BW66" i="13"/>
  <c r="BV9" i="13"/>
  <c r="BW9" i="13"/>
  <c r="BV34" i="13"/>
  <c r="BX36" i="13"/>
  <c r="BV36" i="13"/>
  <c r="BV37" i="13"/>
  <c r="BW37" i="13"/>
  <c r="J53" i="13"/>
  <c r="I53" i="13"/>
  <c r="BX8" i="13"/>
  <c r="BX17" i="13"/>
  <c r="BX38" i="13"/>
  <c r="BX41" i="13"/>
  <c r="BX55" i="13"/>
  <c r="BV55" i="13"/>
  <c r="BW55" i="13"/>
  <c r="BV56" i="13"/>
  <c r="BW56" i="13"/>
  <c r="BX6" i="13"/>
  <c r="J6" i="13"/>
  <c r="P20" i="13"/>
  <c r="BV25" i="13"/>
  <c r="BV52" i="13"/>
  <c r="J52" i="13"/>
  <c r="BX52" i="13"/>
  <c r="BV18" i="13"/>
  <c r="AI33" i="12"/>
  <c r="I9" i="12"/>
  <c r="BE9" i="12"/>
  <c r="BE10" i="12"/>
  <c r="BJ52" i="12"/>
  <c r="AI79" i="12"/>
  <c r="M79" i="12"/>
  <c r="Y79" i="12"/>
  <c r="AW79" i="12"/>
  <c r="W9" i="12"/>
  <c r="W10" i="12"/>
  <c r="AU9" i="12"/>
  <c r="AU10" i="12"/>
  <c r="BG79" i="12"/>
  <c r="BF9" i="12"/>
  <c r="BF10" i="12"/>
  <c r="L79" i="12"/>
  <c r="X79" i="12"/>
  <c r="BJ72" i="12"/>
  <c r="BJ75" i="12"/>
  <c r="X9" i="12"/>
  <c r="X10" i="12"/>
  <c r="AV9" i="12"/>
  <c r="AV10" i="12"/>
  <c r="BH79" i="12"/>
  <c r="J9" i="12"/>
  <c r="J10" i="12"/>
  <c r="AH9" i="12"/>
  <c r="AH10" i="12"/>
  <c r="AK63" i="12"/>
  <c r="AK79" i="12"/>
  <c r="BJ71" i="12"/>
  <c r="BG9" i="12"/>
  <c r="BG10" i="12"/>
  <c r="Y9" i="12"/>
  <c r="Y10" i="12"/>
  <c r="AW9" i="12"/>
  <c r="AW10" i="12"/>
  <c r="BJ54" i="12"/>
  <c r="C64" i="12"/>
  <c r="BH9" i="12"/>
  <c r="BH10" i="12"/>
  <c r="Z9" i="12"/>
  <c r="Z10" i="12"/>
  <c r="AX9" i="12"/>
  <c r="AX10" i="12"/>
  <c r="AJ70" i="12"/>
  <c r="AJ63" i="12"/>
  <c r="AJ79" i="12"/>
  <c r="K79" i="12"/>
  <c r="BJ35" i="12"/>
  <c r="AK9" i="12"/>
  <c r="AK10" i="12"/>
  <c r="F9" i="12"/>
  <c r="R9" i="12"/>
  <c r="R10" i="12"/>
  <c r="AD9" i="12"/>
  <c r="AP9" i="12"/>
  <c r="AP10" i="12"/>
  <c r="BB9" i="12"/>
  <c r="N9" i="12"/>
  <c r="N10" i="12"/>
  <c r="AL9" i="12"/>
  <c r="AL10" i="12"/>
  <c r="G9" i="12"/>
  <c r="G10" i="12"/>
  <c r="S9" i="12"/>
  <c r="S10" i="12"/>
  <c r="AE9" i="12"/>
  <c r="AE10" i="12"/>
  <c r="AQ9" i="12"/>
  <c r="AQ10" i="12"/>
  <c r="BC9" i="12"/>
  <c r="BC10" i="12"/>
  <c r="C36" i="12"/>
  <c r="I79" i="12"/>
  <c r="AS79" i="12"/>
  <c r="J79" i="12"/>
  <c r="AH79" i="12"/>
  <c r="AT79" i="12"/>
  <c r="H9" i="12"/>
  <c r="H10" i="12"/>
  <c r="T9" i="12"/>
  <c r="T10" i="12"/>
  <c r="AF9" i="12"/>
  <c r="AF10" i="12"/>
  <c r="BD9" i="12"/>
  <c r="BD10" i="12"/>
  <c r="M9" i="12"/>
  <c r="M10" i="12"/>
  <c r="AG79" i="12"/>
  <c r="C11" i="12"/>
  <c r="B9" i="12"/>
  <c r="B10" i="12"/>
  <c r="D9" i="12"/>
  <c r="D10" i="12"/>
  <c r="P9" i="12"/>
  <c r="P10" i="12"/>
  <c r="AB9" i="12"/>
  <c r="AB10" i="12"/>
  <c r="AN9" i="12"/>
  <c r="AN10" i="12"/>
  <c r="AZ9" i="12"/>
  <c r="AZ10" i="12"/>
  <c r="C12" i="12"/>
  <c r="BJ12" i="12"/>
  <c r="H79" i="12"/>
  <c r="T79" i="12"/>
  <c r="AF79" i="12"/>
  <c r="BD79" i="12"/>
  <c r="AR36" i="12"/>
  <c r="AR9" i="12"/>
  <c r="AR10" i="12"/>
  <c r="AR37" i="12"/>
  <c r="BJ37" i="12"/>
  <c r="F10" i="12"/>
  <c r="AD10" i="12"/>
  <c r="BB10" i="12"/>
  <c r="N79" i="12"/>
  <c r="Z79" i="12"/>
  <c r="AL79" i="12"/>
  <c r="BJ73" i="12"/>
  <c r="O79" i="12"/>
  <c r="AA79" i="12"/>
  <c r="AM79" i="12"/>
  <c r="I10" i="12"/>
  <c r="P79" i="12"/>
  <c r="AN79" i="12"/>
  <c r="E79" i="12"/>
  <c r="AC79" i="12"/>
  <c r="R79" i="12"/>
  <c r="AP79" i="12"/>
  <c r="AA9" i="12"/>
  <c r="AA10" i="12"/>
  <c r="AY9" i="12"/>
  <c r="AY10" i="12"/>
  <c r="G79" i="12"/>
  <c r="AE79" i="12"/>
  <c r="BC79" i="12"/>
  <c r="E9" i="12"/>
  <c r="E10" i="12"/>
  <c r="Q9" i="12"/>
  <c r="Q10" i="12"/>
  <c r="AC9" i="12"/>
  <c r="AC10" i="12"/>
  <c r="AO9" i="12"/>
  <c r="AO10" i="12"/>
  <c r="BA9" i="12"/>
  <c r="BA10" i="12"/>
  <c r="BJ32" i="12"/>
  <c r="BJ33" i="12"/>
  <c r="BJ53" i="12"/>
  <c r="B79" i="12"/>
  <c r="AX79" i="12"/>
  <c r="AY79" i="12"/>
  <c r="U10" i="12"/>
  <c r="AS10" i="12"/>
  <c r="BJ28" i="12"/>
  <c r="D79" i="12"/>
  <c r="AB79" i="12"/>
  <c r="AZ79" i="12"/>
  <c r="Q79" i="12"/>
  <c r="AO79" i="12"/>
  <c r="BA79" i="12"/>
  <c r="F79" i="12"/>
  <c r="AD79" i="12"/>
  <c r="BB79" i="12"/>
  <c r="O9" i="12"/>
  <c r="O10" i="12"/>
  <c r="AM9" i="12"/>
  <c r="AM10" i="12"/>
  <c r="BJ65" i="12"/>
  <c r="S79" i="12"/>
  <c r="AQ79" i="12"/>
  <c r="J29" i="11"/>
  <c r="K29" i="11"/>
  <c r="CC29" i="11"/>
  <c r="CD29" i="11"/>
  <c r="BY29" i="11"/>
  <c r="BY69" i="11"/>
  <c r="BZ69" i="11"/>
  <c r="CD69" i="11"/>
  <c r="J4" i="11"/>
  <c r="K4" i="11"/>
  <c r="CB44" i="11"/>
  <c r="CD44" i="11"/>
  <c r="CD46" i="11"/>
  <c r="CD9" i="11"/>
  <c r="J34" i="11"/>
  <c r="K34" i="11"/>
  <c r="BY34" i="11"/>
  <c r="BZ34" i="11"/>
  <c r="CC34" i="11"/>
  <c r="CD34" i="11"/>
  <c r="BY59" i="11"/>
  <c r="BZ59" i="11"/>
  <c r="J59" i="11"/>
  <c r="K59" i="11"/>
  <c r="CC59" i="11"/>
  <c r="CD59" i="11"/>
  <c r="CC4" i="11"/>
  <c r="CB4" i="11"/>
  <c r="CD4" i="11"/>
  <c r="L32" i="11"/>
  <c r="L71" i="11"/>
  <c r="BY4" i="11"/>
  <c r="BZ4" i="11"/>
  <c r="BZ29" i="11"/>
  <c r="BY36" i="11"/>
  <c r="BZ36" i="11"/>
  <c r="CD26" i="11"/>
  <c r="K39" i="11"/>
  <c r="M71" i="11"/>
  <c r="BY25" i="11"/>
  <c r="BZ25" i="11"/>
  <c r="J25" i="11"/>
  <c r="K25" i="11"/>
  <c r="BY63" i="11"/>
  <c r="BZ63" i="11"/>
  <c r="J63" i="11"/>
  <c r="K63" i="11"/>
  <c r="CC25" i="11"/>
  <c r="CC63" i="11"/>
  <c r="AM71" i="11"/>
  <c r="CB10" i="11"/>
  <c r="CC11" i="11"/>
  <c r="CD11" i="11"/>
  <c r="BZ13" i="11"/>
  <c r="CC21" i="11"/>
  <c r="J21" i="11"/>
  <c r="K21" i="11"/>
  <c r="BY21" i="11"/>
  <c r="BZ21" i="11"/>
  <c r="BY38" i="11"/>
  <c r="J38" i="11"/>
  <c r="K38" i="11"/>
  <c r="CC40" i="11"/>
  <c r="I71" i="11"/>
  <c r="BY8" i="11"/>
  <c r="BZ8" i="11"/>
  <c r="CC13" i="11"/>
  <c r="CD13" i="11"/>
  <c r="BY28" i="11"/>
  <c r="BZ28" i="11"/>
  <c r="BY33" i="11"/>
  <c r="BZ33" i="11"/>
  <c r="CB35" i="11"/>
  <c r="CC37" i="11"/>
  <c r="BY37" i="11"/>
  <c r="J37" i="11"/>
  <c r="K37" i="11"/>
  <c r="CC51" i="11"/>
  <c r="CD51" i="11"/>
  <c r="J51" i="11"/>
  <c r="K51" i="11"/>
  <c r="BY51" i="11"/>
  <c r="BZ51" i="11"/>
  <c r="BN71" i="11"/>
  <c r="BY3" i="11"/>
  <c r="BZ3" i="11"/>
  <c r="CC17" i="11"/>
  <c r="CD17" i="11"/>
  <c r="CC52" i="11"/>
  <c r="CD52" i="11"/>
  <c r="CC55" i="11"/>
  <c r="CD55" i="11"/>
  <c r="BY55" i="11"/>
  <c r="BZ55" i="11"/>
  <c r="J55" i="11"/>
  <c r="K55" i="11"/>
  <c r="CB64" i="11"/>
  <c r="K2" i="11"/>
  <c r="CC10" i="11"/>
  <c r="CC28" i="11"/>
  <c r="CD28" i="11"/>
  <c r="J35" i="11"/>
  <c r="K35" i="11"/>
  <c r="BY44" i="11"/>
  <c r="BZ44" i="11"/>
  <c r="CC58" i="11"/>
  <c r="CD58" i="11"/>
  <c r="CB62" i="11"/>
  <c r="CD62" i="11"/>
  <c r="BY64" i="11"/>
  <c r="BZ64" i="11"/>
  <c r="CC2" i="11"/>
  <c r="BY2" i="11"/>
  <c r="CC8" i="11"/>
  <c r="BY10" i="11"/>
  <c r="BZ10" i="11"/>
  <c r="BY20" i="11"/>
  <c r="BZ20" i="11"/>
  <c r="CB39" i="11"/>
  <c r="CC64" i="11"/>
  <c r="CB68" i="11"/>
  <c r="O71" i="11"/>
  <c r="BZ2" i="11"/>
  <c r="J5" i="11"/>
  <c r="K5" i="11"/>
  <c r="J12" i="11"/>
  <c r="K12" i="11"/>
  <c r="J14" i="11"/>
  <c r="K14" i="11"/>
  <c r="BY39" i="11"/>
  <c r="BZ39" i="11"/>
  <c r="J41" i="11"/>
  <c r="K41" i="11"/>
  <c r="BY41" i="11"/>
  <c r="BZ41" i="11"/>
  <c r="CC41" i="11"/>
  <c r="CB56" i="11"/>
  <c r="BY62" i="11"/>
  <c r="BZ62" i="11"/>
  <c r="P71" i="11"/>
  <c r="CB2" i="11"/>
  <c r="BY5" i="11"/>
  <c r="BZ5" i="11"/>
  <c r="BY7" i="11"/>
  <c r="BZ7" i="11"/>
  <c r="CB21" i="11"/>
  <c r="CB36" i="11"/>
  <c r="BY48" i="11"/>
  <c r="BZ48" i="11"/>
  <c r="CC56" i="11"/>
  <c r="J65" i="11"/>
  <c r="K65" i="11"/>
  <c r="BY68" i="11"/>
  <c r="BZ68" i="11"/>
  <c r="CB6" i="11"/>
  <c r="CD6" i="11"/>
  <c r="CC12" i="11"/>
  <c r="CD12" i="11"/>
  <c r="J16" i="11"/>
  <c r="K16" i="11"/>
  <c r="CC18" i="11"/>
  <c r="CD18" i="11"/>
  <c r="BY18" i="11"/>
  <c r="BZ18" i="11"/>
  <c r="CC19" i="11"/>
  <c r="J27" i="11"/>
  <c r="K27" i="11"/>
  <c r="CC27" i="11"/>
  <c r="CD27" i="11"/>
  <c r="CB37" i="11"/>
  <c r="BY53" i="11"/>
  <c r="BZ53" i="11"/>
  <c r="J53" i="11"/>
  <c r="K53" i="11"/>
  <c r="J54" i="11"/>
  <c r="K54" i="11"/>
  <c r="BY54" i="11"/>
  <c r="BZ54" i="11"/>
  <c r="BY56" i="11"/>
  <c r="BZ56" i="11"/>
  <c r="CC60" i="11"/>
  <c r="CD60" i="11"/>
  <c r="BY65" i="11"/>
  <c r="BZ65" i="11"/>
  <c r="CC68" i="11"/>
  <c r="BY70" i="11"/>
  <c r="BZ70" i="11"/>
  <c r="CC70" i="11"/>
  <c r="CD70" i="11"/>
  <c r="J70" i="11"/>
  <c r="K70" i="11"/>
  <c r="BM3" i="11"/>
  <c r="BM71" i="11"/>
  <c r="CB5" i="11"/>
  <c r="J11" i="11"/>
  <c r="K11" i="11"/>
  <c r="BY16" i="11"/>
  <c r="BZ16" i="11"/>
  <c r="BY19" i="11"/>
  <c r="BZ19" i="11"/>
  <c r="CC36" i="11"/>
  <c r="BZ37" i="11"/>
  <c r="J40" i="11"/>
  <c r="K40" i="11"/>
  <c r="CB42" i="11"/>
  <c r="BY46" i="11"/>
  <c r="BZ46" i="11"/>
  <c r="CC65" i="11"/>
  <c r="CD65" i="11"/>
  <c r="J3" i="11"/>
  <c r="K3" i="11"/>
  <c r="CC5" i="11"/>
  <c r="CD5" i="11"/>
  <c r="BY9" i="11"/>
  <c r="BZ9" i="11"/>
  <c r="BZ38" i="11"/>
  <c r="J45" i="11"/>
  <c r="K45" i="11"/>
  <c r="CC45" i="11"/>
  <c r="CD45" i="11"/>
  <c r="CC57" i="11"/>
  <c r="CD57" i="11"/>
  <c r="CB61" i="11"/>
  <c r="BY35" i="11"/>
  <c r="BZ35" i="11"/>
  <c r="CC39" i="11"/>
  <c r="BY42" i="11"/>
  <c r="BZ42" i="11"/>
  <c r="CB47" i="11"/>
  <c r="AH71" i="11"/>
  <c r="BY23" i="11"/>
  <c r="BZ23" i="11"/>
  <c r="CC35" i="11"/>
  <c r="CC42" i="11"/>
  <c r="CC47" i="11"/>
  <c r="BY61" i="11"/>
  <c r="BZ61" i="11"/>
  <c r="CC61" i="11"/>
  <c r="CD61" i="11"/>
  <c r="CC23" i="11"/>
  <c r="CD23" i="11"/>
  <c r="BY47" i="11"/>
  <c r="BZ47" i="11"/>
  <c r="CB15" i="11"/>
  <c r="CD15" i="11"/>
  <c r="K18" i="11"/>
  <c r="BZ57" i="11"/>
  <c r="O187" i="6"/>
  <c r="N171" i="6"/>
  <c r="N157" i="6"/>
  <c r="N63" i="6"/>
  <c r="O88" i="6"/>
  <c r="N187" i="6"/>
  <c r="D158" i="6"/>
  <c r="O158" i="6"/>
  <c r="O63" i="6"/>
  <c r="N87" i="6"/>
  <c r="CD41" i="11"/>
  <c r="CD10" i="11"/>
  <c r="CD48" i="11"/>
  <c r="CD22" i="11"/>
  <c r="CD56" i="11"/>
  <c r="CD40" i="11"/>
  <c r="CD63" i="11"/>
  <c r="CD68" i="11"/>
  <c r="CD8" i="11"/>
  <c r="CD25" i="11"/>
  <c r="CD42" i="11"/>
  <c r="CC3" i="11"/>
  <c r="CD3" i="11"/>
  <c r="CD36" i="11"/>
  <c r="CD19" i="11"/>
  <c r="O205" i="6"/>
  <c r="N158" i="6"/>
  <c r="N205" i="6"/>
  <c r="BV10" i="13"/>
  <c r="BW10" i="13"/>
  <c r="BU31" i="13"/>
  <c r="BW31" i="13"/>
  <c r="BX53" i="13"/>
  <c r="BV53" i="13"/>
  <c r="L20" i="13"/>
  <c r="BU15" i="13"/>
  <c r="BW15" i="13"/>
  <c r="BU36" i="13"/>
  <c r="BW36" i="13"/>
  <c r="BU5" i="13"/>
  <c r="BU34" i="13"/>
  <c r="BW34" i="13"/>
  <c r="BW2" i="13"/>
  <c r="BU47" i="13"/>
  <c r="BW47" i="13"/>
  <c r="BU19" i="13"/>
  <c r="BW19" i="13"/>
  <c r="BU18" i="13"/>
  <c r="BW18" i="13"/>
  <c r="BU54" i="13"/>
  <c r="BW54" i="13"/>
  <c r="BU25" i="13"/>
  <c r="BW25" i="13"/>
  <c r="BU12" i="13"/>
  <c r="BW12" i="13"/>
  <c r="BU40" i="13"/>
  <c r="BW40" i="13"/>
  <c r="BU52" i="13"/>
  <c r="BW52" i="13"/>
  <c r="AJ64" i="12"/>
  <c r="BJ64" i="12"/>
  <c r="BJ63" i="12"/>
  <c r="BJ70" i="12"/>
  <c r="C9" i="12"/>
  <c r="C10" i="12"/>
  <c r="BJ36" i="12"/>
  <c r="AR79" i="12"/>
  <c r="BJ11" i="12"/>
  <c r="C79" i="12"/>
  <c r="CD39" i="11"/>
  <c r="CD47" i="11"/>
  <c r="J32" i="11"/>
  <c r="J71" i="11"/>
  <c r="CD21" i="11"/>
  <c r="CB71" i="11"/>
  <c r="CD35" i="11"/>
  <c r="CD2" i="11"/>
  <c r="CC32" i="11"/>
  <c r="CD32" i="11"/>
  <c r="K32" i="11"/>
  <c r="K71" i="11"/>
  <c r="BY32" i="11"/>
  <c r="BZ32" i="11"/>
  <c r="BZ71" i="11"/>
  <c r="CD64" i="11"/>
  <c r="CD37" i="11"/>
  <c r="BY71" i="11"/>
  <c r="Q158" i="6"/>
  <c r="BW5" i="13"/>
  <c r="BU53" i="13"/>
  <c r="I20" i="13"/>
  <c r="BJ79" i="12"/>
  <c r="CC71" i="11"/>
  <c r="CD71" i="11"/>
  <c r="BW53" i="13"/>
  <c r="BX20" i="13"/>
  <c r="BV20" i="13"/>
  <c r="BW2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Fallou DIONE</author>
  </authors>
  <commentList>
    <comment ref="C36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decret modifiant le premier et supression de la ligne D2006  360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Fallou DIONE</author>
    <author>tc={C4D300E4-4081-4149-9ACE-90E78B5675E8}</author>
    <author>tc={B054F449-508E-4502-9954-3F59133D80E9}</author>
    <author>tc={B054F449-508E-4503-9954-3F59133D80E9}</author>
    <author>Fatou Laye MBAYE</author>
  </authors>
  <commentList>
    <comment ref="C22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171</t>
        </r>
      </text>
    </comment>
    <comment ref="C22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200</t>
        </r>
      </text>
    </comment>
    <comment ref="C226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247</t>
        </r>
      </text>
    </comment>
    <comment ref="C227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3</t>
        </r>
      </text>
    </comment>
    <comment ref="C228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58</t>
        </r>
      </text>
    </comment>
    <comment ref="C229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117</t>
        </r>
      </text>
    </comment>
    <comment ref="W366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decret modifiant le premier et supression de la ligne D2006  360</t>
        </r>
      </text>
    </comment>
    <comment ref="A840" authorId="2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effectifs extérieurs ont été ajoutés</t>
        </r>
      </text>
    </comment>
    <comment ref="G870" authorId="3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Chercher la répartition de la masse salariale par catégorie socioprofessionnelle</t>
        </r>
      </text>
    </comment>
    <comment ref="I870" authorId="4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Chercher la répartition de la masse salariale par catégorie socioprofessionnelle</t>
        </r>
      </text>
    </comment>
    <comment ref="A1012" authorId="5" shapeId="0" xr:uid="{00000000-0006-0000-0700-00000B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Formulaire envoyé</t>
        </r>
      </text>
    </comment>
    <comment ref="A1024" authorId="5" shapeId="0" xr:uid="{00000000-0006-0000-0700-00000C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verifier les salaires par catégories</t>
        </r>
      </text>
    </comment>
    <comment ref="A1030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DCSOM</t>
        </r>
      </text>
    </comment>
    <comment ref="E1032" authorId="5" shapeId="0" xr:uid="{00000000-0006-0000-0700-00000E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Verifier les cadres superieurs effectif et salaire (c'est OK) </t>
        </r>
      </text>
    </comment>
    <comment ref="A1036" authorId="5" shapeId="0" xr:uid="{00000000-0006-0000-0700-00000F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avoir les données sur les salaires</t>
        </r>
      </text>
    </comment>
    <comment ref="A1042" authorId="5" shapeId="0" xr:uid="{00000000-0006-0000-0700-000010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confirmer
Pas d'activité en 2022 donc auncune main d'oeuvre</t>
        </r>
      </text>
    </comment>
    <comment ref="A1066" authorId="5" shapeId="0" xr:uid="{00000000-0006-0000-0700-000011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Verifier effectif et salaire
(Corriger des DSF)</t>
        </r>
      </text>
    </comment>
    <comment ref="A1072" authorId="5" shapeId="0" xr:uid="{00000000-0006-0000-0700-000012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C'est le personnel de SEN HMC qui s'active là bas
</t>
        </r>
      </text>
    </comment>
    <comment ref="A1090" authorId="5" shapeId="0" xr:uid="{00000000-0006-0000-0700-000013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confirmer</t>
        </r>
      </text>
    </comment>
    <comment ref="A1174" authorId="5" shapeId="0" xr:uid="{00000000-0006-0000-0700-000014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Formulaire non retrouvé</t>
        </r>
      </text>
    </comment>
    <comment ref="A1180" authorId="5" shapeId="0" xr:uid="{00000000-0006-0000-0700-000015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PAS DE MO, c'est le personnel de SEPHOS qui s'active là bas
</t>
        </r>
      </text>
    </comment>
    <comment ref="A1210" authorId="5" shapeId="0" xr:uid="{00000000-0006-0000-0700-000016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Formulaire non retrouvé</t>
        </r>
      </text>
    </comment>
    <comment ref="A1222" authorId="5" shapeId="0" xr:uid="{00000000-0006-0000-0700-000017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Demander les salaires par catégories (Amina)</t>
        </r>
      </text>
    </comment>
    <comment ref="A1252" authorId="5" shapeId="0" xr:uid="{00000000-0006-0000-0700-000018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Confirmer la masse salariale</t>
        </r>
      </text>
    </comment>
    <comment ref="A1264" authorId="5" shapeId="0" xr:uid="{00000000-0006-0000-0700-000019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Contacter le point focal pour demander d'information sur les salariés et la masse salariale</t>
        </r>
      </text>
    </comment>
    <comment ref="A1300" authorId="5" shapeId="0" xr:uid="{00000000-0006-0000-0700-00001A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Les travailleurs de SMC interviennent au niveau de SGO dans le perimètre de Massawa</t>
        </r>
      </text>
    </comment>
    <comment ref="E1302" authorId="5" shapeId="0" xr:uid="{00000000-0006-0000-0700-00001B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Verifier cette valeur</t>
        </r>
      </text>
    </comment>
    <comment ref="A1330" authorId="5" shapeId="0" xr:uid="{00000000-0006-0000-0700-00001C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avoir les salaires désagrégées par catégories</t>
        </r>
      </text>
    </comment>
    <comment ref="A1378" authorId="5" shapeId="0" xr:uid="{00000000-0006-0000-0700-00001D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renseigner les salaires
</t>
        </r>
      </text>
    </comment>
    <comment ref="A1384" authorId="5" shapeId="0" xr:uid="{00000000-0006-0000-0700-00001E000000}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donner les valeurs</t>
        </r>
      </text>
    </comment>
    <comment ref="A1390" authorId="5" shapeId="0" xr:uid="{00000000-0006-0000-0700-00001F000000}">
      <text>
        <r>
          <rPr>
            <b/>
            <sz val="9"/>
            <color indexed="81"/>
            <rFont val="Tahoma"/>
            <family val="2"/>
          </rPr>
          <t>Fatou Laye MBAYE
Géré par le personnel de I am Gold (Joint venture)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Corriger avec GECAMINES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Fallou DIONE</author>
  </authors>
  <commentList>
    <comment ref="BF3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Difference des paiements de redevances mais meme montant que la declaration</t>
        </r>
      </text>
    </comment>
    <comment ref="BL8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à confirmer avec le point focal</t>
        </r>
      </text>
    </comment>
    <comment ref="BK2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Le personnel de SEPHOS travaille sur le perimetre de GPHOS</t>
        </r>
      </text>
    </comment>
    <comment ref="BD30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S'assurer que Holding a payé droit d'entrée en 2022</t>
        </r>
      </text>
    </comment>
    <comment ref="A37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Appeler pour complement d'information sur les charges</t>
        </r>
      </text>
    </comment>
    <comment ref="BL45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tc={CA6DC9E6-AB17-4392-81DB-E926FDCF42EC}</author>
    <author>tc={3A5B2F78-F557-4A3C-B498-9A60AD5B1AAC}</author>
    <author>tc={7EB4F2A9-3629-4843-961F-312FA8D79F8F}</author>
    <author>Fallou DIONE</author>
  </authors>
  <commentList>
    <comment ref="B36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Bonne valeur</t>
        </r>
      </text>
    </comment>
    <comment ref="C36" authorId="1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Imputation à faire</t>
        </r>
      </text>
    </comment>
    <comment ref="C38" authorId="2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Ajouter la valeur vendue à la SENELEC</t>
        </r>
      </text>
    </comment>
    <comment ref="B47" authorId="3" shapeId="0" xr:uid="{00000000-0006-0000-1200-000004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Demander la production d'electricité GCO en qte et en valeur</t>
        </r>
      </text>
    </comment>
    <comment ref="C48" authorId="3" shapeId="0" xr:uid="{00000000-0006-0000-1200-000005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Demander le cout de production de l'electricité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93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à vérifier</t>
        </r>
      </text>
    </comment>
  </commentList>
</comments>
</file>

<file path=xl/sharedStrings.xml><?xml version="1.0" encoding="utf-8"?>
<sst xmlns="http://schemas.openxmlformats.org/spreadsheetml/2006/main" count="20182" uniqueCount="1622">
  <si>
    <t>A0_1 Nom de l'entreprise ou Denomination sociale</t>
  </si>
  <si>
    <t>AFRICAN INVESTMENT GROUP</t>
  </si>
  <si>
    <t>KEBEMER</t>
  </si>
  <si>
    <t>010684MEMDMG</t>
  </si>
  <si>
    <t xml:space="preserve">Permis de recherche     </t>
  </si>
  <si>
    <t xml:space="preserve">LOUGA  </t>
  </si>
  <si>
    <t>PHOSPHATE</t>
  </si>
  <si>
    <t>THIOLOM FALL</t>
  </si>
  <si>
    <t>SUD SAINT LOUIS</t>
  </si>
  <si>
    <t>007543MMIPMEDMG</t>
  </si>
  <si>
    <t>SAINT-LOUIS</t>
  </si>
  <si>
    <t>NDIEBENE GANDIOLE</t>
  </si>
  <si>
    <t>SAINT LOUIS</t>
  </si>
  <si>
    <t>année de référence</t>
  </si>
  <si>
    <t>AGEM SENEGAL EXPLORATION SUARL</t>
  </si>
  <si>
    <t>NOUMOUFOUKHA</t>
  </si>
  <si>
    <t>012395MMGDMG</t>
  </si>
  <si>
    <t>KÉDOUGOU</t>
  </si>
  <si>
    <t>OR</t>
  </si>
  <si>
    <t>MÉDINA BAFÉ</t>
  </si>
  <si>
    <t>SARAYA</t>
  </si>
  <si>
    <t>DAORALA BOTO</t>
  </si>
  <si>
    <t>13984/MIM/DMG</t>
  </si>
  <si>
    <t>MÉDINA BAFFÉ</t>
  </si>
  <si>
    <t>AMAFRIQUE</t>
  </si>
  <si>
    <t>THILOGNE</t>
  </si>
  <si>
    <t>018603MMGDMG</t>
  </si>
  <si>
    <t xml:space="preserve">MATAM  </t>
  </si>
  <si>
    <t>AGNAM CIVOL</t>
  </si>
  <si>
    <t>MATAM</t>
  </si>
  <si>
    <t>BARRICK GOLD</t>
  </si>
  <si>
    <t>BAMBADJI</t>
  </si>
  <si>
    <t>012394/MMG/DMG</t>
  </si>
  <si>
    <t>BEMBOU/MEDINA BAFFE</t>
  </si>
  <si>
    <t>KANOUMBA</t>
  </si>
  <si>
    <t>11204/MIM/DMG</t>
  </si>
  <si>
    <t>BEMBOU/TOMBORONKOTO/KHOSANTO/SABODALA</t>
  </si>
  <si>
    <t>KEDOUGOU ET SARAYA</t>
  </si>
  <si>
    <t>BMCC</t>
  </si>
  <si>
    <t xml:space="preserve">CHERIF LO NGAKHAM </t>
  </si>
  <si>
    <t>2018-1840</t>
  </si>
  <si>
    <t>Concession minière</t>
  </si>
  <si>
    <t>DIOURBEL</t>
  </si>
  <si>
    <t>COGECA</t>
  </si>
  <si>
    <t>BANDIA</t>
  </si>
  <si>
    <t>796MIMDMG</t>
  </si>
  <si>
    <t>Carrière</t>
  </si>
  <si>
    <t>THIÈS</t>
  </si>
  <si>
    <t>CALCAIRE</t>
  </si>
  <si>
    <t>NGOUDIANE</t>
  </si>
  <si>
    <t>7541 MMITPMEDMG</t>
  </si>
  <si>
    <t xml:space="preserve">DANGOTE CEMENT SENEGAL </t>
  </si>
  <si>
    <t>POUT</t>
  </si>
  <si>
    <t>2008-1431</t>
  </si>
  <si>
    <t>GH MINING SARL</t>
  </si>
  <si>
    <t xml:space="preserve">SUD KENIEBA ET MADINA FOULBE </t>
  </si>
  <si>
    <t>006243/MMG/DMG du 20 Mars 2018</t>
  </si>
  <si>
    <t>Petite mine</t>
  </si>
  <si>
    <t xml:space="preserve">TAMBACOUNDA    </t>
  </si>
  <si>
    <t>MANGANESE</t>
  </si>
  <si>
    <t>MADINA FOULBÉ</t>
  </si>
  <si>
    <t>BAKEL</t>
  </si>
  <si>
    <t>GECAMINES</t>
  </si>
  <si>
    <t>N°001331</t>
  </si>
  <si>
    <t>BASALTE</t>
  </si>
  <si>
    <t>NGOUNDIANE</t>
  </si>
  <si>
    <t>THIES</t>
  </si>
  <si>
    <t>GRANDE COTE OPERATIONS SA</t>
  </si>
  <si>
    <t xml:space="preserve">GRANDE CÔTE </t>
  </si>
  <si>
    <t>2007-1326 du 2 novembre 2007</t>
  </si>
  <si>
    <t>ZIRCON</t>
  </si>
  <si>
    <t>DAROU KHOUDOSS, MBORO, KAYAR, KAB GAYE</t>
  </si>
  <si>
    <t xml:space="preserve">KÉBÉMER </t>
  </si>
  <si>
    <t>GROUPEMENT D'ENTREPRISE SINTRAM HOUAR</t>
  </si>
  <si>
    <t>CARRIERE DE BASALTE</t>
  </si>
  <si>
    <t>INDUSTRIE CHIMIQUES DU SENEGAL / INDORAMA</t>
  </si>
  <si>
    <t>TOBENE NORD</t>
  </si>
  <si>
    <t>DAROU KHOUDOSS</t>
  </si>
  <si>
    <t>TIVAOUANE</t>
  </si>
  <si>
    <t>LES CIMENTS DU SAHEL SA</t>
  </si>
  <si>
    <t>KIRENE</t>
  </si>
  <si>
    <t>2000-105 du 22 février 2000</t>
  </si>
  <si>
    <t>DIASS</t>
  </si>
  <si>
    <t>MBOUR</t>
  </si>
  <si>
    <t>MAKABINGUI GOLD OPERATION SA</t>
  </si>
  <si>
    <t>SAMBARABOUGOU</t>
  </si>
  <si>
    <t>2018-1904</t>
  </si>
  <si>
    <t>Permis d’exploitation</t>
  </si>
  <si>
    <t>MISSIRA</t>
  </si>
  <si>
    <t>PETOWAL MINING COMPAGNY SA</t>
  </si>
  <si>
    <t>MAKO</t>
  </si>
  <si>
    <t>2016-995</t>
  </si>
  <si>
    <t>TOMBORONKOTO</t>
  </si>
  <si>
    <t>SABODALA GOLD OPERATIONS SA</t>
  </si>
  <si>
    <t>SABODALA</t>
  </si>
  <si>
    <t>2015-1136</t>
  </si>
  <si>
    <t>SABODALA MINING COMPANY SARL</t>
  </si>
  <si>
    <t>BRANSAN</t>
  </si>
  <si>
    <t>Arrêté n°20 AVR.2018* 008707</t>
  </si>
  <si>
    <t>SOUNKOUNKOU</t>
  </si>
  <si>
    <t>Arrêté n°20 AVR 2018 * 008708</t>
  </si>
  <si>
    <t>SENEGAL MINES SA</t>
  </si>
  <si>
    <t>MBODIENE</t>
  </si>
  <si>
    <t>15M</t>
  </si>
  <si>
    <t>ATTAPULGITE</t>
  </si>
  <si>
    <t>NGUENIENNE</t>
  </si>
  <si>
    <t>SEPHOS SENEGAL SA</t>
  </si>
  <si>
    <t>LAM LAM</t>
  </si>
  <si>
    <t>10357MMITPMEDMG</t>
  </si>
  <si>
    <t>PAMBAL CHERIF LÔ</t>
  </si>
  <si>
    <t>SOCIETE SENEGALAISE DES PHOSPHATES DE THIES</t>
  </si>
  <si>
    <t>ALLOU KAGNE</t>
  </si>
  <si>
    <t>SOCOBE</t>
  </si>
  <si>
    <t>PERIMETRE DES ICS</t>
  </si>
  <si>
    <t>SILEX</t>
  </si>
  <si>
    <t>MBORO</t>
  </si>
  <si>
    <t>SODEVIT</t>
  </si>
  <si>
    <t>SINDIA</t>
  </si>
  <si>
    <t>SOMIVA</t>
  </si>
  <si>
    <t>NDENDORY</t>
  </si>
  <si>
    <t xml:space="preserve"> KANEL</t>
  </si>
  <si>
    <t>SONKO ET FILS</t>
  </si>
  <si>
    <t>MAMANKANTI</t>
  </si>
  <si>
    <t>004166MMG/DMG DU 23 FÉVRIER 2018</t>
  </si>
  <si>
    <t>SORED MINES SA</t>
  </si>
  <si>
    <t>NIAMIA</t>
  </si>
  <si>
    <t>2007-1327</t>
  </si>
  <si>
    <t>KHOSSONTO</t>
  </si>
  <si>
    <t>SOCOCIM INDUSTRIES</t>
  </si>
  <si>
    <t>BARGNY</t>
  </si>
  <si>
    <t>D2006-359</t>
  </si>
  <si>
    <t>DAKAR</t>
  </si>
  <si>
    <t>010684MEM/DMGad</t>
  </si>
  <si>
    <t>AFRIGOLD SA</t>
  </si>
  <si>
    <t>AFRIGOLD SL</t>
  </si>
  <si>
    <t>UTM WGS 84 ZONE 28</t>
  </si>
  <si>
    <t>KEDOUGOU</t>
  </si>
  <si>
    <t>012395/MMG/DMG</t>
  </si>
  <si>
    <t>MEDINABAFE</t>
  </si>
  <si>
    <t>MADINA BAFFÉ</t>
  </si>
  <si>
    <t>ARDIMINES</t>
  </si>
  <si>
    <t>TOMBO</t>
  </si>
  <si>
    <t>BAMBUK MINERALS SENEGAL SARL</t>
  </si>
  <si>
    <t>SANGOLA</t>
  </si>
  <si>
    <t>014934MMGDMG</t>
  </si>
  <si>
    <t>BANDAFASSI</t>
  </si>
  <si>
    <t/>
  </si>
  <si>
    <t>KOULOUNTOU EST</t>
  </si>
  <si>
    <t>BEMBOU ET TOMBORONKOTO</t>
  </si>
  <si>
    <t>BEMBOU/ MEDINA BAFFE</t>
  </si>
  <si>
    <t>KÉDOUGOU ET SARAYA</t>
  </si>
  <si>
    <t>BOSFOR SARL</t>
  </si>
  <si>
    <t>FORET CLASSEE DE BANDIA</t>
  </si>
  <si>
    <t>N5085 DU  24/03/2014</t>
  </si>
  <si>
    <t>BOYA</t>
  </si>
  <si>
    <t>DIAMBA SUD</t>
  </si>
  <si>
    <t>SN-DKR-2014-B-19674</t>
  </si>
  <si>
    <t>6283MIMDMG</t>
  </si>
  <si>
    <t>7541MMITPMEDMG</t>
  </si>
  <si>
    <t>006243/MMG/DMG du 20 mars 2018</t>
  </si>
  <si>
    <t xml:space="preserve">MADINA FOULBÉ </t>
  </si>
  <si>
    <t xml:space="preserve">NGOUNDIANE </t>
  </si>
  <si>
    <t>CHERIF LO</t>
  </si>
  <si>
    <t>TAIBA NDIAYE</t>
  </si>
  <si>
    <t>N°026694</t>
  </si>
  <si>
    <t>KANEL</t>
  </si>
  <si>
    <t>KHOSSANTO</t>
  </si>
  <si>
    <t>nom_perimetre</t>
  </si>
  <si>
    <t>num_titre_minier</t>
  </si>
  <si>
    <t>nm_nature</t>
  </si>
  <si>
    <t>nm_region</t>
  </si>
  <si>
    <t>superficie_octroye</t>
  </si>
  <si>
    <t>superficie_exploite</t>
  </si>
  <si>
    <t>superficie_rendue</t>
  </si>
  <si>
    <t>superficie_rehabilite</t>
  </si>
  <si>
    <t>depense_prevue</t>
  </si>
  <si>
    <t>Substances</t>
  </si>
  <si>
    <t>Commune</t>
  </si>
  <si>
    <t>Département</t>
  </si>
  <si>
    <t>date_signature</t>
  </si>
  <si>
    <t>date_octroi</t>
  </si>
  <si>
    <t>22/2/2013</t>
  </si>
  <si>
    <t>23/1/2012</t>
  </si>
  <si>
    <t>11/5/2018</t>
  </si>
  <si>
    <t>16/8/2004</t>
  </si>
  <si>
    <t>2/6/2015</t>
  </si>
  <si>
    <t>14/4/2010</t>
  </si>
  <si>
    <t>12/12/2008</t>
  </si>
  <si>
    <t>6/1/2012</t>
  </si>
  <si>
    <t>9/9/2004</t>
  </si>
  <si>
    <t>4/6/2007</t>
  </si>
  <si>
    <t>23/10/1999</t>
  </si>
  <si>
    <t>18/02/2000</t>
  </si>
  <si>
    <t>28/11/2016</t>
  </si>
  <si>
    <t>20/9/2006</t>
  </si>
  <si>
    <t>7/4/2015</t>
  </si>
  <si>
    <t>2/3/2018</t>
  </si>
  <si>
    <t>26/5/1998</t>
  </si>
  <si>
    <t>9/11/2009</t>
  </si>
  <si>
    <t>28/5/1998</t>
  </si>
  <si>
    <t>22/6/2017</t>
  </si>
  <si>
    <t>1/7/2011</t>
  </si>
  <si>
    <t>17/6/2010</t>
  </si>
  <si>
    <t>3/2/2006</t>
  </si>
  <si>
    <t>10/7/2013</t>
  </si>
  <si>
    <t>27/1/2012</t>
  </si>
  <si>
    <t>5/6/2018</t>
  </si>
  <si>
    <t>4/3/2005</t>
  </si>
  <si>
    <t>15/7/2015</t>
  </si>
  <si>
    <t>21/5/2010</t>
  </si>
  <si>
    <t>15/11/1996</t>
  </si>
  <si>
    <t>7/8/2009</t>
  </si>
  <si>
    <t>24/1/2019</t>
  </si>
  <si>
    <t>19/9/2004</t>
  </si>
  <si>
    <t>19/10/1999</t>
  </si>
  <si>
    <t>9/10/2018</t>
  </si>
  <si>
    <t>14/7/2016</t>
  </si>
  <si>
    <t>29/7/2015</t>
  </si>
  <si>
    <t>20/4/2018</t>
  </si>
  <si>
    <t>18/2/2000</t>
  </si>
  <si>
    <t>28/9/2009</t>
  </si>
  <si>
    <t>12/1/1998</t>
  </si>
  <si>
    <t>14/12/2018</t>
  </si>
  <si>
    <t>8/6/2011</t>
  </si>
  <si>
    <t>14/7/2011</t>
  </si>
  <si>
    <t>2/11/2007</t>
  </si>
  <si>
    <t>19/4/2006</t>
  </si>
  <si>
    <t>2/2/2015</t>
  </si>
  <si>
    <t>14/2/2019</t>
  </si>
  <si>
    <t>7/6/2019</t>
  </si>
  <si>
    <t>6/11/2018</t>
  </si>
  <si>
    <t>24/3/2014</t>
  </si>
  <si>
    <t>10/6/2015</t>
  </si>
  <si>
    <t>13/12/1993</t>
  </si>
  <si>
    <t>10/1/2012</t>
  </si>
  <si>
    <t>22/2/2000</t>
  </si>
  <si>
    <t>6/4/2018</t>
  </si>
  <si>
    <t>23/2/2018</t>
  </si>
  <si>
    <t>8/10/2015</t>
  </si>
  <si>
    <t>7/2/2019</t>
  </si>
  <si>
    <t>15/4/2019</t>
  </si>
  <si>
    <t>8/11/2016</t>
  </si>
  <si>
    <t>7/5/2018</t>
  </si>
  <si>
    <t>8/4/2015</t>
  </si>
  <si>
    <t>23/4/2008</t>
  </si>
  <si>
    <t>27/6/2017</t>
  </si>
  <si>
    <t>/10/2008</t>
  </si>
  <si>
    <t>date_fin</t>
  </si>
  <si>
    <t>2SBCI</t>
  </si>
  <si>
    <t>09142/MIM/DMG</t>
  </si>
  <si>
    <t>AFRICAN INVESTMENT GROUP SA</t>
  </si>
  <si>
    <t>000363/MMG/DMG</t>
  </si>
  <si>
    <t>SUD SAINT-LOUIS</t>
  </si>
  <si>
    <t>Louga-Saint Louis</t>
  </si>
  <si>
    <t>001669</t>
  </si>
  <si>
    <t>Permis de recherche</t>
  </si>
  <si>
    <t>LOUGA</t>
  </si>
  <si>
    <t>10332/MMIAPME/DMG</t>
  </si>
  <si>
    <t>Bouroubourou</t>
  </si>
  <si>
    <t>AFRIGOLD</t>
  </si>
  <si>
    <t>004776/MAEM/DMG</t>
  </si>
  <si>
    <t>KARAKAENA</t>
  </si>
  <si>
    <t>Permis d'exploitation</t>
  </si>
  <si>
    <t>DAORALA-BOTO</t>
  </si>
  <si>
    <t>AGROMINE</t>
  </si>
  <si>
    <t>001928</t>
  </si>
  <si>
    <t>Lambaye</t>
  </si>
  <si>
    <t>025823</t>
  </si>
  <si>
    <t>Seune Sèrère</t>
  </si>
  <si>
    <t>ALBINA</t>
  </si>
  <si>
    <t>017130/MMG/DMG</t>
  </si>
  <si>
    <t>018603/MMG/DMG</t>
  </si>
  <si>
    <t>Thilogne</t>
  </si>
  <si>
    <t>ARDIMINES SARL</t>
  </si>
  <si>
    <t>002734</t>
  </si>
  <si>
    <t>Tombo</t>
  </si>
  <si>
    <t>BAMBADJI SA</t>
  </si>
  <si>
    <t>012394/ MMG/DMG</t>
  </si>
  <si>
    <t>BAMBUK MINERALS SARL</t>
  </si>
  <si>
    <t>023735</t>
  </si>
  <si>
    <t>014934</t>
  </si>
  <si>
    <t>Sangola</t>
  </si>
  <si>
    <t>BB FIRST COMMODITY HOLDING LIMITED</t>
  </si>
  <si>
    <t>00487/MMG/DMG</t>
  </si>
  <si>
    <t>MADINA FOULBE</t>
  </si>
  <si>
    <t>BMCC SA</t>
  </si>
  <si>
    <t>001840/MMG/DMG</t>
  </si>
  <si>
    <t>GADD BISSIK</t>
  </si>
  <si>
    <t>Diourbel</t>
  </si>
  <si>
    <t>BOSFOR</t>
  </si>
  <si>
    <t>0062254/MEM/DMG/bd</t>
  </si>
  <si>
    <t>Bandia</t>
  </si>
  <si>
    <t>BOYA SA</t>
  </si>
  <si>
    <t>011843 MIM/DMG</t>
  </si>
  <si>
    <t>CHALLENGE NORD-SUD INTERNATIONAL</t>
  </si>
  <si>
    <t>07102/MIM/DMG</t>
  </si>
  <si>
    <t>Coki</t>
  </si>
  <si>
    <t>Louga</t>
  </si>
  <si>
    <t>CIMENT DE L'AFRIQUE SENEGAL SA</t>
  </si>
  <si>
    <t>06334/MIM/DMG</t>
  </si>
  <si>
    <t>CIMENTS DU SAHEL</t>
  </si>
  <si>
    <t>3-2015-639 du  15 mai 2015</t>
  </si>
  <si>
    <t>KIRENE/BANDIA</t>
  </si>
  <si>
    <t>2000-106 du 22 fevrier 2000</t>
  </si>
  <si>
    <t>THICKY</t>
  </si>
  <si>
    <t>796/MIM/DMG</t>
  </si>
  <si>
    <t>6283/MIM/DMG</t>
  </si>
  <si>
    <t>7541/MMTT/PME/DMG</t>
  </si>
  <si>
    <t>16567/MIM/DMG</t>
  </si>
  <si>
    <t>16568/MIM/DMG</t>
  </si>
  <si>
    <t>18546/MIM/DMG</t>
  </si>
  <si>
    <t>COMPTOIR AURIFERE DE L'AFRIQUE</t>
  </si>
  <si>
    <t>024858/MMG/DMG</t>
  </si>
  <si>
    <t>MAKANA</t>
  </si>
  <si>
    <t>DAMASH MINERALS LTD</t>
  </si>
  <si>
    <t>19005</t>
  </si>
  <si>
    <t>KOLDA</t>
  </si>
  <si>
    <t>DANGOTE CEMENT SENEGAL</t>
  </si>
  <si>
    <t>2015-638</t>
  </si>
  <si>
    <t>ENTREPRISE MAPATHE NDIOUK SA</t>
  </si>
  <si>
    <t>04422/ MMITPME/ DMG</t>
  </si>
  <si>
    <t>ICS TAIBA</t>
  </si>
  <si>
    <t>Petite Mine</t>
  </si>
  <si>
    <t>G.H MINING</t>
  </si>
  <si>
    <t>006243/MMG/DMG</t>
  </si>
  <si>
    <t>Sud Kéniéba &amp; Madina Foulbé</t>
  </si>
  <si>
    <t>TAMBACOUNDA</t>
  </si>
  <si>
    <t>000094 MMIAPME/CTI</t>
  </si>
  <si>
    <t>Tomoromadji</t>
  </si>
  <si>
    <t>GCO</t>
  </si>
  <si>
    <t>Grande Côte</t>
  </si>
  <si>
    <t>001240/MMG/DMG</t>
  </si>
  <si>
    <t>Gécamine</t>
  </si>
  <si>
    <t xml:space="preserve">GLOBAL IMMO SENEGAL SA </t>
  </si>
  <si>
    <t>013588/MMG/DMG</t>
  </si>
  <si>
    <t>ICS</t>
  </si>
  <si>
    <t>G-PHOS SA</t>
  </si>
  <si>
    <t>12950/</t>
  </si>
  <si>
    <t>NIAKHENE</t>
  </si>
  <si>
    <t>004068MMI/DMG</t>
  </si>
  <si>
    <t>Carrière de basalte de Diack</t>
  </si>
  <si>
    <t>IAMGOLD BOTO S.A</t>
  </si>
  <si>
    <t>2020-981</t>
  </si>
  <si>
    <t>BOTO</t>
  </si>
  <si>
    <t>INCA SARL</t>
  </si>
  <si>
    <t>10660/</t>
  </si>
  <si>
    <t>INDUSTRIES CHIMIQUES DU SENEGAL</t>
  </si>
  <si>
    <t>99   1020</t>
  </si>
  <si>
    <t>INTERNATIONAL MINING COMPANY (IMC)</t>
  </si>
  <si>
    <t>020031/MIM/DMG</t>
  </si>
  <si>
    <t>DOUTA</t>
  </si>
  <si>
    <t>KANEL RESSOURCES</t>
  </si>
  <si>
    <t>15098/</t>
  </si>
  <si>
    <t>Sud Kanel</t>
  </si>
  <si>
    <t>KUTLU GABANE HOLDING S.A</t>
  </si>
  <si>
    <t>024218</t>
  </si>
  <si>
    <t>Ngoudiane-EGCCBN</t>
  </si>
  <si>
    <t>LES CARRIERES CTG SUARL</t>
  </si>
  <si>
    <t>020720/MMG/DMG</t>
  </si>
  <si>
    <t>KEUR LAT DIOP FALL</t>
  </si>
  <si>
    <t>Makabingui Gold Operations S.A</t>
  </si>
  <si>
    <t>20181904</t>
  </si>
  <si>
    <t>Sambarabougou</t>
  </si>
  <si>
    <t>MASSAWA JERSEY LIMITED</t>
  </si>
  <si>
    <t>007086</t>
  </si>
  <si>
    <t>New Energy Investment (NEI) SARL</t>
  </si>
  <si>
    <t>002204/MMG/DMG</t>
  </si>
  <si>
    <t>Kéniékoto</t>
  </si>
  <si>
    <t>009739/MMG/DMG</t>
  </si>
  <si>
    <t>Ylimalo</t>
  </si>
  <si>
    <t>NIAMAYA GOLD</t>
  </si>
  <si>
    <t>022/MIM/DMG</t>
  </si>
  <si>
    <t>NIAMAYA</t>
  </si>
  <si>
    <t>PETOWAL MINING COMPANY (PMC) SA</t>
  </si>
  <si>
    <t>PROCHIMAT SA</t>
  </si>
  <si>
    <t>NIANING</t>
  </si>
  <si>
    <t>SABODALA GOLD OPERATIONS</t>
  </si>
  <si>
    <t>SABODALA MINING COMPANY</t>
  </si>
  <si>
    <t>08707/</t>
  </si>
  <si>
    <t>Bransan</t>
  </si>
  <si>
    <t>08708/</t>
  </si>
  <si>
    <t>Sounkounkou</t>
  </si>
  <si>
    <t>SENEGAL MINES</t>
  </si>
  <si>
    <t>Mbodiene</t>
  </si>
  <si>
    <t>SENEGINDIA SA</t>
  </si>
  <si>
    <t>14179/</t>
  </si>
  <si>
    <t>10357/MMITPME/DMG</t>
  </si>
  <si>
    <t>Lam-Lam</t>
  </si>
  <si>
    <t>SOCABEG MINING</t>
  </si>
  <si>
    <t>013957</t>
  </si>
  <si>
    <t>Ndindy</t>
  </si>
  <si>
    <t>SOCIETE SENEGALAISE DE NEGOCE INTERNATIONALE (SNEPAC) SARL</t>
  </si>
  <si>
    <t>15099/MIM/DMG</t>
  </si>
  <si>
    <t>Bantaco</t>
  </si>
  <si>
    <t>10862</t>
  </si>
  <si>
    <t>D2006-361</t>
  </si>
  <si>
    <t>D2006-360</t>
  </si>
  <si>
    <t>026694</t>
  </si>
  <si>
    <t>2011770</t>
  </si>
  <si>
    <t>Ndendory</t>
  </si>
  <si>
    <t>SONKO ET FILS SARL</t>
  </si>
  <si>
    <t>004166</t>
  </si>
  <si>
    <t>SSPT</t>
  </si>
  <si>
    <t>D1985-411</t>
  </si>
  <si>
    <t>003129/MMIPME/CTE</t>
  </si>
  <si>
    <t>LAM-LAM</t>
  </si>
  <si>
    <t>2011</t>
  </si>
  <si>
    <t>D1985-409</t>
  </si>
  <si>
    <t>SEBIKHOTANE</t>
  </si>
  <si>
    <t>D1985-399</t>
  </si>
  <si>
    <t>WARRANG</t>
  </si>
  <si>
    <t>TANOR INDUSTRIELLES SA</t>
  </si>
  <si>
    <t>08205/MMG/DMG</t>
  </si>
  <si>
    <t>16/032018</t>
  </si>
  <si>
    <t>TETACAR</t>
  </si>
  <si>
    <t>09104/MMITPME/DMG</t>
  </si>
  <si>
    <t>DIACK</t>
  </si>
  <si>
    <t>Triyangs International Mining Group SA</t>
  </si>
  <si>
    <t>006246/MMG/DMG</t>
  </si>
  <si>
    <t>Djindji Bassari</t>
  </si>
  <si>
    <t>002203/MMG/DMG</t>
  </si>
  <si>
    <t>Souroumdou</t>
  </si>
  <si>
    <t>CSE GRANULATS</t>
  </si>
  <si>
    <t>008633/MMG/DMG</t>
  </si>
  <si>
    <t>Calcaire</t>
  </si>
  <si>
    <t>Minéraux lourds</t>
  </si>
  <si>
    <t>Phosphates</t>
  </si>
  <si>
    <t>THIOLOME FALL</t>
  </si>
  <si>
    <t>AFRIGEM SL</t>
  </si>
  <si>
    <t>A010333/MMIAPME/DMG</t>
  </si>
  <si>
    <t>LINGEKHOTO</t>
  </si>
  <si>
    <t>Or</t>
  </si>
  <si>
    <t>010978/MMG/DMG/25/06/2020</t>
  </si>
  <si>
    <t>BOUROUBOUROU</t>
  </si>
  <si>
    <t>AFRIGOLD SARL</t>
  </si>
  <si>
    <t>UTMWGS 84 ZONE 28</t>
  </si>
  <si>
    <t>KARAKHAENA</t>
  </si>
  <si>
    <t>DAORALA</t>
  </si>
  <si>
    <t>MEDINA BAFFE</t>
  </si>
  <si>
    <t>001928MMG</t>
  </si>
  <si>
    <t>LAMBAYE</t>
  </si>
  <si>
    <t>Phosphate de chaux</t>
  </si>
  <si>
    <t>Basalte</t>
  </si>
  <si>
    <t>KEUR MOUSSA</t>
  </si>
  <si>
    <t>ALBINA SENEGAL SARL</t>
  </si>
  <si>
    <t>AMAFRIQUE SENEGAL</t>
  </si>
  <si>
    <t>A018603/MMG/DMG</t>
  </si>
  <si>
    <t>AGNAM-CIVOL</t>
  </si>
  <si>
    <t>ATIC SARL</t>
  </si>
  <si>
    <t>09MAI2018009738</t>
  </si>
  <si>
    <t>ATIC SILEX</t>
  </si>
  <si>
    <t>Silex</t>
  </si>
  <si>
    <t>M’BORO</t>
  </si>
  <si>
    <t>MADINA BAFFE</t>
  </si>
  <si>
    <t>CHERIF LO NGAKHAM</t>
  </si>
  <si>
    <t>0062254 MEMDMGBD</t>
  </si>
  <si>
    <t>bandia/thiés</t>
  </si>
  <si>
    <t>011842/MIM/DMG</t>
  </si>
  <si>
    <t>DIAMBA NORD</t>
  </si>
  <si>
    <t>CHALLENGER NORD-SUD INTERNATIONAL INC</t>
  </si>
  <si>
    <t>025475</t>
  </si>
  <si>
    <t>A07102/MIM/DMG</t>
  </si>
  <si>
    <t>COKI</t>
  </si>
  <si>
    <t>CIMENTS DE L' AFRIQUE SA</t>
  </si>
  <si>
    <t>005494</t>
  </si>
  <si>
    <t>2-N°2000-106 du 22 février 2000</t>
  </si>
  <si>
    <t>Argile et latérite Tchiky</t>
  </si>
  <si>
    <t>Argile</t>
  </si>
  <si>
    <t>3-2015-639 du 15 mai 2015</t>
  </si>
  <si>
    <t>Bandia-Kirène</t>
  </si>
  <si>
    <t>COMPAGNIE GENERALE D'EXPLOITATION DE CARRIERE</t>
  </si>
  <si>
    <t>007541/MMITPME</t>
  </si>
  <si>
    <t>008569/MEMIMEFP</t>
  </si>
  <si>
    <t>010284</t>
  </si>
  <si>
    <t>N'GOUDIANE</t>
  </si>
  <si>
    <t>07540/MIMTPME/DMG</t>
  </si>
  <si>
    <t>04252/MIMTPME/DMG</t>
  </si>
  <si>
    <t>001557/MMG/CAB/CT1</t>
  </si>
  <si>
    <t>0010283</t>
  </si>
  <si>
    <t>CONSULTING BUSINESS AGENGY SARL</t>
  </si>
  <si>
    <t>A025607/MMG/DMG</t>
  </si>
  <si>
    <t>MADINA TOUBAKOTA</t>
  </si>
  <si>
    <t>BEMBOU</t>
  </si>
  <si>
    <t>008633MMG/DMG</t>
  </si>
  <si>
    <t>N’GOUNDIANE</t>
  </si>
  <si>
    <t>033738</t>
  </si>
  <si>
    <t>Mansadala</t>
  </si>
  <si>
    <t>DIALACOTO</t>
  </si>
  <si>
    <t>MEDINA  EL HADJI</t>
  </si>
  <si>
    <t>2015-368</t>
  </si>
  <si>
    <t>TCHIKY</t>
  </si>
  <si>
    <t>latérite, argile</t>
  </si>
  <si>
    <t>DIYAN EXPLOITATION MINIERE SUARL</t>
  </si>
  <si>
    <t>026689/MMG/DMG</t>
  </si>
  <si>
    <t>ICS Darou Khoudoss Mboro</t>
  </si>
  <si>
    <t>ENTREPRISE MAPATHE NDIOUCK SA</t>
  </si>
  <si>
    <t>100MMITPME/DMG</t>
  </si>
  <si>
    <t>GABOU</t>
  </si>
  <si>
    <t>Grès</t>
  </si>
  <si>
    <t>20736</t>
  </si>
  <si>
    <t>TAIBA</t>
  </si>
  <si>
    <t>ENTREPRISE OUSMANE SOW</t>
  </si>
  <si>
    <t>009208/MMG/CAR/CT1</t>
  </si>
  <si>
    <t>Carrière d'entreprise Ousmane SOW</t>
  </si>
  <si>
    <t>Manganése</t>
  </si>
  <si>
    <t>GAZAL CARRIERES SUARL</t>
  </si>
  <si>
    <t>6101/MIMTPME/DMG</t>
  </si>
  <si>
    <t>001331/MMG/DMG</t>
  </si>
  <si>
    <t>001332</t>
  </si>
  <si>
    <t>08847/MIM/DMG</t>
  </si>
  <si>
    <t>026694/MMG/DMG</t>
  </si>
  <si>
    <t>03044/MEM/DMG</t>
  </si>
  <si>
    <t>018/11/2023</t>
  </si>
  <si>
    <t>0032820</t>
  </si>
  <si>
    <t>GECAMINES BANDIA</t>
  </si>
  <si>
    <t>A09098</t>
  </si>
  <si>
    <t>GECAMINE DIACK</t>
  </si>
  <si>
    <t>GLOBAL IMMO SENEGAL SARL</t>
  </si>
  <si>
    <t>013588</t>
  </si>
  <si>
    <t>G-PHOS S.A.U</t>
  </si>
  <si>
    <t>12950</t>
  </si>
  <si>
    <t>Niakhène</t>
  </si>
  <si>
    <t>GRANDE COTE OPERATIONS</t>
  </si>
  <si>
    <t>1326</t>
  </si>
  <si>
    <t>Ilménite, zircon, rutile, leucoxène</t>
  </si>
  <si>
    <t>HOLDING ATLANTQUE MINING PETROLUM-SA</t>
  </si>
  <si>
    <t>025476</t>
  </si>
  <si>
    <t>AINOUMANE</t>
  </si>
  <si>
    <t>DINGUIRAYE</t>
  </si>
  <si>
    <t>BAMBEY</t>
  </si>
  <si>
    <t>Boto</t>
  </si>
  <si>
    <t>10660</t>
  </si>
  <si>
    <t>bandia</t>
  </si>
  <si>
    <t>D1999-1021</t>
  </si>
  <si>
    <t>TOBENE SUD</t>
  </si>
  <si>
    <t>PIRE GOUREY</t>
  </si>
  <si>
    <t>D1999-1020</t>
  </si>
  <si>
    <t>KANEL RESOURCES</t>
  </si>
  <si>
    <t>015098</t>
  </si>
  <si>
    <t>OGO</t>
  </si>
  <si>
    <t>LES CARRIERES CTG SARL</t>
  </si>
  <si>
    <t>019235</t>
  </si>
  <si>
    <t>CARRIERE DE CALCAIRE DE KEUR LAT DIOP FALL</t>
  </si>
  <si>
    <t>MONT- ROLLAND</t>
  </si>
  <si>
    <t>MISSIRAH SIRIMANA</t>
  </si>
  <si>
    <t>0070/MMG</t>
  </si>
  <si>
    <t>Kanoumba</t>
  </si>
  <si>
    <t>NEW ENERGY INVESTMENT SARL</t>
  </si>
  <si>
    <t>05FEV2019002204</t>
  </si>
  <si>
    <t>09MAI2018009739</t>
  </si>
  <si>
    <t>Lithium</t>
  </si>
  <si>
    <t>NIAMAYA GOLD SARL</t>
  </si>
  <si>
    <t>011650</t>
  </si>
  <si>
    <t>966720</t>
  </si>
  <si>
    <t>Attapulgite</t>
  </si>
  <si>
    <t>96536</t>
  </si>
  <si>
    <t>MALICOUNDA</t>
  </si>
  <si>
    <t>007930</t>
  </si>
  <si>
    <t>ROYAL SENEGAL MINES ET EQUIPEMENT</t>
  </si>
  <si>
    <t>00365/MMG/DMG</t>
  </si>
  <si>
    <t>008707/MMG/DMG</t>
  </si>
  <si>
    <t>N’GUENIENE</t>
  </si>
  <si>
    <t>14179 DU 22/09/2016</t>
  </si>
  <si>
    <t>PERIMETRE DES INDUSTRIES CHIMIQUES DU SENEGAL DANS LA REGION DE THIES</t>
  </si>
  <si>
    <t>10357MMITPME/DMG</t>
  </si>
  <si>
    <t>PAMBAL</t>
  </si>
  <si>
    <t>N’DINDY</t>
  </si>
  <si>
    <t>SOCIETE DE CONCASSAGE ET DU BETON (SOCOBE)</t>
  </si>
  <si>
    <t>INDUSTRIES CHIMIQUES DU SENEGAL (ICS)</t>
  </si>
  <si>
    <t>SOCIETE MINIERE DE LA VALLEE DU FLEUVE SENEGAL –SOMIVA</t>
  </si>
  <si>
    <t>15099MIM/DMG</t>
  </si>
  <si>
    <t>BANTACCO</t>
  </si>
  <si>
    <t>SOCIETE SENEGALAISE DES PHOSPHATES DE THIES (SSPT)</t>
  </si>
  <si>
    <t>D1985-413</t>
  </si>
  <si>
    <t>Marno calcaires</t>
  </si>
  <si>
    <t>RUFISQUE</t>
  </si>
  <si>
    <t>017372/MMG/CAB/CTI</t>
  </si>
  <si>
    <t>latérite</t>
  </si>
  <si>
    <t>2009-1470</t>
  </si>
  <si>
    <t>2019-1239</t>
  </si>
  <si>
    <t>NGUEKHOKH</t>
  </si>
  <si>
    <t>017372</t>
  </si>
  <si>
    <t>Latérite</t>
  </si>
  <si>
    <t>030225</t>
  </si>
  <si>
    <t>030226</t>
  </si>
  <si>
    <t>026843</t>
  </si>
  <si>
    <t>031213</t>
  </si>
  <si>
    <t>DIOBASS</t>
  </si>
  <si>
    <t>013308</t>
  </si>
  <si>
    <t>013309</t>
  </si>
  <si>
    <t>SODEMINES</t>
  </si>
  <si>
    <t>023589/DMG/MMG</t>
  </si>
  <si>
    <t>Wassadou Nord</t>
  </si>
  <si>
    <t>23599/DMG/MMG</t>
  </si>
  <si>
    <t>Wassadou Sud</t>
  </si>
  <si>
    <t>SODEVCO</t>
  </si>
  <si>
    <t xml:space="preserve">09047/MEF/MMAI </t>
  </si>
  <si>
    <t>SOMAPIS SARL</t>
  </si>
  <si>
    <t>007526/DMG/MMG</t>
  </si>
  <si>
    <t>ICS Darou Khoudoss</t>
  </si>
  <si>
    <t>STRATEX-EMC.SA</t>
  </si>
  <si>
    <t>006745</t>
  </si>
  <si>
    <t>SENALA</t>
  </si>
  <si>
    <t>TALIX-MINES</t>
  </si>
  <si>
    <t>09104MMITPMEDGM</t>
  </si>
  <si>
    <t>TALIX-MINES SITE DE DIACK</t>
  </si>
  <si>
    <t>THIES EST</t>
  </si>
  <si>
    <t>CAYOR PHOSPHATE MINING</t>
  </si>
  <si>
    <t>036584</t>
  </si>
  <si>
    <t>UTM WGS 84 ZONE 28N</t>
  </si>
  <si>
    <t>Phosphate</t>
  </si>
  <si>
    <t>NDANDE/ THILOM FALL/ NGOURANE</t>
  </si>
  <si>
    <t>TANOR SAS</t>
  </si>
  <si>
    <t>008205</t>
  </si>
  <si>
    <t>TRIYANGS INTERNATIONAL MINING GROUP SA</t>
  </si>
  <si>
    <t>VAPROM AFRICA SA</t>
  </si>
  <si>
    <t>09040/MMD/MMG</t>
  </si>
  <si>
    <t>entreprise_id</t>
  </si>
  <si>
    <t>substance_desc</t>
  </si>
  <si>
    <t>nm_commune</t>
  </si>
  <si>
    <t>nm_departement</t>
  </si>
  <si>
    <t>BHAIRAVA AGRICOLE SARL</t>
  </si>
  <si>
    <t>KAOUROU</t>
  </si>
  <si>
    <t>Bakel</t>
  </si>
  <si>
    <t>CHERIF Lo</t>
  </si>
  <si>
    <t>CHESSER</t>
  </si>
  <si>
    <t>006873873</t>
  </si>
  <si>
    <t>Bondola</t>
  </si>
  <si>
    <t>Bembou</t>
  </si>
  <si>
    <t>Kedougou</t>
  </si>
  <si>
    <t>Morichou</t>
  </si>
  <si>
    <t>Sadatou</t>
  </si>
  <si>
    <t>CONSULTING BUSINESS AGENCY</t>
  </si>
  <si>
    <t>MANSADALA</t>
  </si>
  <si>
    <t>DALEMA</t>
  </si>
  <si>
    <t>012394</t>
  </si>
  <si>
    <t>dalema</t>
  </si>
  <si>
    <t>Mboro</t>
  </si>
  <si>
    <t>SEN-HMC SUARL</t>
  </si>
  <si>
    <t>000363MMG/DMG</t>
  </si>
  <si>
    <t>Sud Saint louis</t>
  </si>
  <si>
    <t>Minéraux Lourds</t>
  </si>
  <si>
    <t>LEONA</t>
  </si>
  <si>
    <t>SERIGNE SALIOU MBACKE SUARL</t>
  </si>
  <si>
    <t>00489/MMG/DMG</t>
  </si>
  <si>
    <t>SANSAMBA</t>
  </si>
  <si>
    <t>SOCIETE DE MANUFACTURE DE PRODUCTION INDUSTRIELLE DU SENEGAL (SOMAPIS)</t>
  </si>
  <si>
    <t>D2006-360/2019-1239</t>
  </si>
  <si>
    <t>SWAMI MINES SA</t>
  </si>
  <si>
    <t>CARRIERES ET SABLES</t>
  </si>
  <si>
    <t>27008142F3</t>
  </si>
  <si>
    <t>CARRIERE S ET SABLES</t>
  </si>
  <si>
    <t>Nom de l'entreprise ou Denomination sociale</t>
  </si>
  <si>
    <t>Étiquettes de lignes</t>
  </si>
  <si>
    <t>Total général</t>
  </si>
  <si>
    <t>Nombre de Nom de l'entreprise ou Denomination sociale</t>
  </si>
  <si>
    <t>B1.1.1_2</t>
  </si>
  <si>
    <t>B1.1.1_3</t>
  </si>
  <si>
    <t>B1.1.1_4</t>
  </si>
  <si>
    <t>B1.1.1_5</t>
  </si>
  <si>
    <t>B1.1.3_2</t>
  </si>
  <si>
    <t>B1.1.3_3</t>
  </si>
  <si>
    <t>B1.1.3_4</t>
  </si>
  <si>
    <t>B1.1.3_5</t>
  </si>
  <si>
    <t>TARRIÈRE</t>
  </si>
  <si>
    <t>RAB</t>
  </si>
  <si>
    <t>CAROTTÉ</t>
  </si>
  <si>
    <t xml:space="preserve"> RC</t>
  </si>
  <si>
    <t>PUITS MINIERS</t>
  </si>
  <si>
    <t>AIRCORE</t>
  </si>
  <si>
    <t>GR</t>
  </si>
  <si>
    <t>TVG</t>
  </si>
  <si>
    <t>RC/CAROTTÉ</t>
  </si>
  <si>
    <t>RC</t>
  </si>
  <si>
    <t>RAINURES</t>
  </si>
  <si>
    <t>sondage_desc</t>
  </si>
  <si>
    <t>metrage</t>
  </si>
  <si>
    <t>Tarrière</t>
  </si>
  <si>
    <t>Carotté</t>
  </si>
  <si>
    <t>Aircore</t>
  </si>
  <si>
    <t>puits (PIT)</t>
  </si>
  <si>
    <t>10357/MMI/PME/DMG</t>
  </si>
  <si>
    <t>230220180044166</t>
  </si>
  <si>
    <t>008633/MMG/DGM</t>
  </si>
  <si>
    <t>Destructif</t>
  </si>
  <si>
    <t>SORED-MINES SA</t>
  </si>
  <si>
    <t>N°2000-105</t>
  </si>
  <si>
    <t>ARGILE</t>
  </si>
  <si>
    <t>LATERITE</t>
  </si>
  <si>
    <t>MARNO CALCAIRE</t>
  </si>
  <si>
    <t>Dakar</t>
  </si>
  <si>
    <t>qte_brute</t>
  </si>
  <si>
    <t>cout_production</t>
  </si>
  <si>
    <t>qte_transforme</t>
  </si>
  <si>
    <t>annee_reference</t>
  </si>
  <si>
    <t>Région</t>
  </si>
  <si>
    <t>annederfrence</t>
  </si>
  <si>
    <t>PHOSPHATES</t>
  </si>
  <si>
    <t>CIMENT</t>
  </si>
  <si>
    <t>ILMENITE</t>
  </si>
  <si>
    <t>RUTILE</t>
  </si>
  <si>
    <t>LEUCOXENE</t>
  </si>
  <si>
    <t>ENGRAIS</t>
  </si>
  <si>
    <t>ACIDE PHOSPHORIQUE</t>
  </si>
  <si>
    <t>ARGENT</t>
  </si>
  <si>
    <t>HORMITE</t>
  </si>
  <si>
    <t>Zircon</t>
  </si>
  <si>
    <t>Rutile</t>
  </si>
  <si>
    <t>Engrais</t>
  </si>
  <si>
    <t>Argent</t>
  </si>
  <si>
    <t>Hormite</t>
  </si>
  <si>
    <t>produit_desc</t>
  </si>
  <si>
    <t>qte_prd_vendu_pays</t>
  </si>
  <si>
    <t>qte_prd_vendu_etrger</t>
  </si>
  <si>
    <t>qte_stock_ouverture</t>
  </si>
  <si>
    <t>qte_stock_immobilisé</t>
  </si>
  <si>
    <t>qte_prd_stock_cloture</t>
  </si>
  <si>
    <t>val_prd_vendu_pays</t>
  </si>
  <si>
    <t>val_prd_vendu_etrger</t>
  </si>
  <si>
    <t>val_prd_stock_ouverture</t>
  </si>
  <si>
    <t>val_prd_stock_cloture</t>
  </si>
  <si>
    <t>val_prd_stock_immobilisé</t>
  </si>
  <si>
    <t>Année</t>
  </si>
  <si>
    <t>PRODUCTION EN QUANTITE</t>
  </si>
  <si>
    <t>PRODUCTION EN VALEUR</t>
  </si>
  <si>
    <t>ANNEE</t>
  </si>
  <si>
    <t>GAZAL CARRIERES</t>
  </si>
  <si>
    <t>ROYAL SENEGAL MINES ET EQUIPEMENTS</t>
  </si>
  <si>
    <t>DUBAI</t>
  </si>
  <si>
    <t>INDE</t>
  </si>
  <si>
    <t>GUINEE BISSAU</t>
  </si>
  <si>
    <t>MALI</t>
  </si>
  <si>
    <t>GAMBIE</t>
  </si>
  <si>
    <t>CHINE</t>
  </si>
  <si>
    <t>TITANE</t>
  </si>
  <si>
    <t>AFRIQUE DU SUD</t>
  </si>
  <si>
    <t>ARABIE SAOUDITE</t>
  </si>
  <si>
    <t>BELGIQUE</t>
  </si>
  <si>
    <t>COLOMBIE</t>
  </si>
  <si>
    <t>RÉPUBLIQUE DE CORÉE</t>
  </si>
  <si>
    <t>COSTA RICA</t>
  </si>
  <si>
    <t>ÉMIRATS ARABES UNIS</t>
  </si>
  <si>
    <t>ESPAGNE</t>
  </si>
  <si>
    <t>ÉTATS-UNIS</t>
  </si>
  <si>
    <t>FRANCE</t>
  </si>
  <si>
    <t>ÎLES VIERGES DES ÉTATS-UNIS</t>
  </si>
  <si>
    <t>JAPON</t>
  </si>
  <si>
    <t>MALAISIE</t>
  </si>
  <si>
    <t>MAROC</t>
  </si>
  <si>
    <t>MEXIQUE</t>
  </si>
  <si>
    <t>MONTÉNÉGRO</t>
  </si>
  <si>
    <t>NAURU</t>
  </si>
  <si>
    <t>NIGER</t>
  </si>
  <si>
    <t>NORVÈGE</t>
  </si>
  <si>
    <t>PAYS-BAS</t>
  </si>
  <si>
    <t>POLOGNE</t>
  </si>
  <si>
    <t>SÉNÉGAL</t>
  </si>
  <si>
    <t>SUÈDE</t>
  </si>
  <si>
    <t>SUISSE</t>
  </si>
  <si>
    <t>UKRAINE</t>
  </si>
  <si>
    <t>NORVEGE</t>
  </si>
  <si>
    <t>ALLEMAGNE</t>
  </si>
  <si>
    <t>AUSTRALIE</t>
  </si>
  <si>
    <t>BRÉSIL</t>
  </si>
  <si>
    <t>INDONÉSIE</t>
  </si>
  <si>
    <t>ITALIE</t>
  </si>
  <si>
    <t>ROYAUME-UNI</t>
  </si>
  <si>
    <t xml:space="preserve">EMIRATS ARABES UNIS </t>
  </si>
  <si>
    <t>BURKINA FASO</t>
  </si>
  <si>
    <t>MAURITANIE</t>
  </si>
  <si>
    <t>SINGAPOUR</t>
  </si>
  <si>
    <t xml:space="preserve">GUINEE </t>
  </si>
  <si>
    <t>PORTO RICO</t>
  </si>
  <si>
    <t>ILES VIERGES BRITANNIQUES</t>
  </si>
  <si>
    <t>ANGLETERRE</t>
  </si>
  <si>
    <t>CANADA</t>
  </si>
  <si>
    <t>MONDE</t>
  </si>
  <si>
    <t>HOLLANDE</t>
  </si>
  <si>
    <t>BULGARIE</t>
  </si>
  <si>
    <t>LIBAN</t>
  </si>
  <si>
    <t>ROUMANIE</t>
  </si>
  <si>
    <t>GUINEE</t>
  </si>
  <si>
    <t>LA CORÉE</t>
  </si>
  <si>
    <t>EMIRATS ARABES
UNIS</t>
  </si>
  <si>
    <t>ETATS-UNIS</t>
  </si>
  <si>
    <t>FINLANDE</t>
  </si>
  <si>
    <t>RUSSIE</t>
  </si>
  <si>
    <t>VIETNAM</t>
  </si>
  <si>
    <t>HONG KONG</t>
  </si>
  <si>
    <t>TURQUIE</t>
  </si>
  <si>
    <t>SIERRA LEONE</t>
  </si>
  <si>
    <t>GHANA</t>
  </si>
  <si>
    <t>PORTUGAL</t>
  </si>
  <si>
    <t>COTE D'IVOIRE</t>
  </si>
  <si>
    <t>nom_pays</t>
  </si>
  <si>
    <t>qte_vendu_pays</t>
  </si>
  <si>
    <t>val_produit</t>
  </si>
  <si>
    <t>Gambie</t>
  </si>
  <si>
    <t>Guinée</t>
  </si>
  <si>
    <t>Guinée-Bissau</t>
  </si>
  <si>
    <t>Mali</t>
  </si>
  <si>
    <t>Mauritanie</t>
  </si>
  <si>
    <t>Inde</t>
  </si>
  <si>
    <t>Suisse</t>
  </si>
  <si>
    <t>Australie</t>
  </si>
  <si>
    <t>France</t>
  </si>
  <si>
    <t>Côte d'Ivoire</t>
  </si>
  <si>
    <t>Porto Rico</t>
  </si>
  <si>
    <t>Royaume-Uni</t>
  </si>
  <si>
    <t>Canada</t>
  </si>
  <si>
    <t>Angleterre</t>
  </si>
  <si>
    <t>Belgique</t>
  </si>
  <si>
    <t>Espagne</t>
  </si>
  <si>
    <t>Thaïlande</t>
  </si>
  <si>
    <t>Sierra Leone</t>
  </si>
  <si>
    <t>Malaisie</t>
  </si>
  <si>
    <t>Hollande</t>
  </si>
  <si>
    <t>Congo</t>
  </si>
  <si>
    <t>Dubai</t>
  </si>
  <si>
    <t>Pologne</t>
  </si>
  <si>
    <t>Turquie</t>
  </si>
  <si>
    <t>Etats Unis</t>
  </si>
  <si>
    <t>Mexique</t>
  </si>
  <si>
    <t>Brésil</t>
  </si>
  <si>
    <t>Chine</t>
  </si>
  <si>
    <t>Allemagne</t>
  </si>
  <si>
    <t>Italie</t>
  </si>
  <si>
    <t>Japon</t>
  </si>
  <si>
    <t>Corée du Nord</t>
  </si>
  <si>
    <t>Norvége</t>
  </si>
  <si>
    <t>Corée du Sud</t>
  </si>
  <si>
    <t>Afrique du Sud</t>
  </si>
  <si>
    <t>Émirats arabes unis</t>
  </si>
  <si>
    <t>El Salvador</t>
  </si>
  <si>
    <t>Pays-Bas</t>
  </si>
  <si>
    <t>Brazil</t>
  </si>
  <si>
    <t>Norvege</t>
  </si>
  <si>
    <t>USA</t>
  </si>
  <si>
    <t>Korée du Sud</t>
  </si>
  <si>
    <t>Taiwan</t>
  </si>
  <si>
    <t>Roumanie</t>
  </si>
  <si>
    <t>SOCOCIM</t>
  </si>
  <si>
    <t>Burkina Faso</t>
  </si>
  <si>
    <t>Emirat Arabe Unis</t>
  </si>
  <si>
    <t>États-Unis</t>
  </si>
  <si>
    <t>Norvège</t>
  </si>
  <si>
    <t>Cote d'ivore</t>
  </si>
  <si>
    <t>Maurice</t>
  </si>
  <si>
    <t>Panamá</t>
  </si>
  <si>
    <t>Salvador</t>
  </si>
  <si>
    <t>Lituanie</t>
  </si>
  <si>
    <t>F1 ACHATS</t>
  </si>
  <si>
    <t>F2 TRANSPORT DE BIEN ET TRANSPORT COLLECTIF DE PERSONNEL</t>
  </si>
  <si>
    <t>F3 SERVICES EXTERIEURS</t>
  </si>
  <si>
    <t>F4 IMPOTS TAXES ET VERSEMENTS ASSIMILES</t>
  </si>
  <si>
    <t>F5 CHARGES DE PERSONNEL</t>
  </si>
  <si>
    <t>F6 FRAIS FINANCIERS</t>
  </si>
  <si>
    <t>F7 AUTRES CHARGES</t>
  </si>
  <si>
    <t>F8 IMPOTS SUR LE RESULTAT</t>
  </si>
  <si>
    <t>F9 TOTAL DES CHARGES</t>
  </si>
  <si>
    <t>Type de titre</t>
  </si>
  <si>
    <t>CHALLENGER NORD SUD INTERNATIONAL</t>
  </si>
  <si>
    <t>Tanor industrielles SA</t>
  </si>
  <si>
    <t>Tetacar</t>
  </si>
  <si>
    <t>triyangs inter. Mining Group SA</t>
  </si>
  <si>
    <t>G-PHOS S.A</t>
  </si>
  <si>
    <t>NEW ENERGY INVESTMENT S.A</t>
  </si>
  <si>
    <t>CIMENT DE L'AFRIQUE</t>
  </si>
  <si>
    <t>COMPTOIR AURIFERE AFRIQUE</t>
  </si>
  <si>
    <t>ENTREPRISE MAPATHE NDIOUCK</t>
  </si>
  <si>
    <t>TOTAL</t>
  </si>
  <si>
    <t>nbr_fourn_loc</t>
  </si>
  <si>
    <t>ttl_paye_fourn_loc</t>
  </si>
  <si>
    <t>pct_paye_fourn_loc</t>
  </si>
  <si>
    <t>nbr_fourn_etrg</t>
  </si>
  <si>
    <t>ttl_pay_fourn_etrg</t>
  </si>
  <si>
    <t>pct_pay_fourn_etrg</t>
  </si>
  <si>
    <t>TOTAL PAYE FOURNISSEURS</t>
  </si>
  <si>
    <t>Montant  a payer aux fournisseurs</t>
  </si>
  <si>
    <t>Différences</t>
  </si>
  <si>
    <t>F1 ACHAT recalcul</t>
  </si>
  <si>
    <t>F1achat</t>
  </si>
  <si>
    <t>matier_consmbl</t>
  </si>
  <si>
    <t>matier_combustbl</t>
  </si>
  <si>
    <t>gaz_industriel</t>
  </si>
  <si>
    <t>gaz_naturel</t>
  </si>
  <si>
    <t>essence</t>
  </si>
  <si>
    <t>gas_oil</t>
  </si>
  <si>
    <t>fuel_oil</t>
  </si>
  <si>
    <t>huile_lubrif</t>
  </si>
  <si>
    <t>charbon</t>
  </si>
  <si>
    <t>autre_combustbl</t>
  </si>
  <si>
    <t>fourn_bureau_infmtq</t>
  </si>
  <si>
    <t>eau</t>
  </si>
  <si>
    <t>electricite</t>
  </si>
  <si>
    <t>autre_energ</t>
  </si>
  <si>
    <t>fourn_bureau_nonstockbl</t>
  </si>
  <si>
    <t>achat_materl_outilg</t>
  </si>
  <si>
    <t>achat_etud_servc</t>
  </si>
  <si>
    <t>achat_materl_equip</t>
  </si>
  <si>
    <t>autre_achat</t>
  </si>
  <si>
    <t>F2  TRANSPORT recalcul</t>
  </si>
  <si>
    <t>F2transprt_bien_persnl</t>
  </si>
  <si>
    <t>transprt_marchnds</t>
  </si>
  <si>
    <t>transprt_persnl</t>
  </si>
  <si>
    <t>F3  SERV EXT recalcul</t>
  </si>
  <si>
    <t>F3servc_exterieur</t>
  </si>
  <si>
    <t>soustraitc_generl</t>
  </si>
  <si>
    <t>loctn_charg_lctv</t>
  </si>
  <si>
    <t>redvanc_creditbail</t>
  </si>
  <si>
    <t>entretn_repar_maint</t>
  </si>
  <si>
    <t>prime_assur</t>
  </si>
  <si>
    <t>etud_rech_doc</t>
  </si>
  <si>
    <t>pub_publictn</t>
  </si>
  <si>
    <t>frais_telecom</t>
  </si>
  <si>
    <t>frais_bancaires</t>
  </si>
  <si>
    <t>autre_service</t>
  </si>
  <si>
    <t>remuneratn_conseil</t>
  </si>
  <si>
    <t>frais_formtn_persnl</t>
  </si>
  <si>
    <t>redvanc_brevt_licn</t>
  </si>
  <si>
    <t>remuneratn_pers_ext</t>
  </si>
  <si>
    <t>autre_charg_ext</t>
  </si>
  <si>
    <t>F4 IMPOT TAX recalcul</t>
  </si>
  <si>
    <t>F4impot_tax_versmt</t>
  </si>
  <si>
    <t>impot_tax_entreprs</t>
  </si>
  <si>
    <t>impot_tax_indirect</t>
  </si>
  <si>
    <t>droit_entre</t>
  </si>
  <si>
    <t>tax_superficiaire</t>
  </si>
  <si>
    <t>redvanc_miniere</t>
  </si>
  <si>
    <t>-</t>
  </si>
  <si>
    <t>droit_enregistrmt</t>
  </si>
  <si>
    <t>penalit_amend_fiscl</t>
  </si>
  <si>
    <t>autre_droit_imp</t>
  </si>
  <si>
    <t>F5 CHARG PERS recalcul</t>
  </si>
  <si>
    <t>F5charge_personnel</t>
  </si>
  <si>
    <t>salair_direct_nat</t>
  </si>
  <si>
    <t>salair_direct_nonnat</t>
  </si>
  <si>
    <t>Indemnt_forfait_pers</t>
  </si>
  <si>
    <t>avantage_nature</t>
  </si>
  <si>
    <t>charg_social</t>
  </si>
  <si>
    <t>autre_charg_social</t>
  </si>
  <si>
    <t>F6 FRAIS FINANCE recalcul</t>
  </si>
  <si>
    <t>F6frais_financier</t>
  </si>
  <si>
    <t>F7 AUTRES CHARGrecalcul</t>
  </si>
  <si>
    <t>F7autre_charge</t>
  </si>
  <si>
    <t>F8 IMPOT RESULT recalcul</t>
  </si>
  <si>
    <t>F8impot_resultat</t>
  </si>
  <si>
    <t>TOTAL CHARGES</t>
  </si>
  <si>
    <t>DIFFERENCES</t>
  </si>
  <si>
    <t>TOTAL recalcul</t>
  </si>
  <si>
    <t>F1 ACHATS_recal</t>
  </si>
  <si>
    <t>matier_combustbl_calcul</t>
  </si>
  <si>
    <t>F2 TRANSPORTS _recalcul</t>
  </si>
  <si>
    <t>F2 TRANSPORTS</t>
  </si>
  <si>
    <t>F3 SERVICES EXTERIEURS_recalcul</t>
  </si>
  <si>
    <t>frais bancaire</t>
  </si>
  <si>
    <t>F4 IMPOTS ET TAXES_recalcul</t>
  </si>
  <si>
    <t>F4 IMPOTS ET TAXES</t>
  </si>
  <si>
    <t>F5 CHARGES DE PERSONNEL_recalcul</t>
  </si>
  <si>
    <t>MONTANT A PAYER AUX FOURNISSEURS</t>
  </si>
  <si>
    <t>DIFFFERENCE</t>
  </si>
  <si>
    <t>TOTAL RECALCULE</t>
  </si>
  <si>
    <t>Total</t>
  </si>
  <si>
    <t>nn_nature</t>
  </si>
  <si>
    <t>F1 ACHATS RECALCULES</t>
  </si>
  <si>
    <t>matier_combustbl RECALCULEE</t>
  </si>
  <si>
    <t>F2 TRANSPORTS RECALCULES</t>
  </si>
  <si>
    <t>F3 SERVICES EXTERIEURS RECALCULES</t>
  </si>
  <si>
    <t>F4 IMPOTS ET TAXES RECALCULES</t>
  </si>
  <si>
    <t>F5 CHARGES DE PERSONNEL RECALCULEES</t>
  </si>
  <si>
    <t>TOTAL CHARGES RECALCULE</t>
  </si>
  <si>
    <t>ECART TOTAL</t>
  </si>
  <si>
    <t>PROXI FOURNISSEUR</t>
  </si>
  <si>
    <t>CAYOR PHOSPHATE MINING SAU</t>
  </si>
  <si>
    <t>PROCHIMAT</t>
  </si>
  <si>
    <t>SOCIETE DE CONCASSAGE ET DU BETON</t>
  </si>
  <si>
    <t>STRATEX-EMC SA</t>
  </si>
  <si>
    <t>qte_electrc_autoconsom</t>
  </si>
  <si>
    <t>estimatn_autoconsommtn</t>
  </si>
  <si>
    <t>Cimenterie</t>
  </si>
  <si>
    <t>Mineraux Lourds</t>
  </si>
  <si>
    <t>Engrais acide phosphorique</t>
  </si>
  <si>
    <t>Activité</t>
  </si>
  <si>
    <t>Carrières</t>
  </si>
  <si>
    <t>Nationalite</t>
  </si>
  <si>
    <t>Modalites</t>
  </si>
  <si>
    <t>Cadres supérieurs</t>
  </si>
  <si>
    <t>Techniciens supérieurs et cadres moyens</t>
  </si>
  <si>
    <t>Techniciens, agents de maîtrise et ouvriers qualifiés</t>
  </si>
  <si>
    <t>Employés, manœuvres, ouvriers et apprentis</t>
  </si>
  <si>
    <t>Employés permanents</t>
  </si>
  <si>
    <t>Employés temporaires</t>
  </si>
  <si>
    <t>Substance</t>
  </si>
  <si>
    <t>Employés expatriés</t>
  </si>
  <si>
    <t>Homme</t>
  </si>
  <si>
    <t>Salaire</t>
  </si>
  <si>
    <t>Employés sénégalais</t>
  </si>
  <si>
    <t>Femme</t>
  </si>
  <si>
    <t>CALCAIRE/CIMENT</t>
  </si>
  <si>
    <t>ZIRCON, ILMENITE, RUTILE, LEUCOXENE</t>
  </si>
  <si>
    <t>PHOSPHATE/ENGRAIS/ACIDE PHOSPHORIQUE</t>
  </si>
  <si>
    <t>CALCAIRE/ARGILE/CIMENT</t>
  </si>
  <si>
    <t>entreprise</t>
  </si>
  <si>
    <t>GRANDE COTE OPERATIONS S.A</t>
  </si>
  <si>
    <t>femme</t>
  </si>
  <si>
    <t>homme</t>
  </si>
  <si>
    <t>salaire</t>
  </si>
  <si>
    <t>AGRICULTURE</t>
  </si>
  <si>
    <t>Conseil technique du jardin maraîcher</t>
  </si>
  <si>
    <t>ASSOCIATIONS</t>
  </si>
  <si>
    <t>GUÉMÉDJI</t>
  </si>
  <si>
    <t xml:space="preserve">Remise à niveau du jardin </t>
  </si>
  <si>
    <t>POPULATION GENERALE</t>
  </si>
  <si>
    <t>Consultation état des lieux jardin maraîcher</t>
  </si>
  <si>
    <t>SANTE ET ACTION SOCIALE</t>
  </si>
  <si>
    <t>Financement du district sanitaire de Saraya pour campagne de dépistage au VIH</t>
  </si>
  <si>
    <t>DISTRICT SANITAIRE</t>
  </si>
  <si>
    <t xml:space="preserve">Financement du conseil départemental des jeunes pour une sensibilisation aux grossesses précoces </t>
  </si>
  <si>
    <t>JEUNESSE</t>
  </si>
  <si>
    <t>Dons de médicaments au poste de santé de Saroudia, Médina Baffé, Missira Dentilla, et à la case de santé de Boféto</t>
  </si>
  <si>
    <t>SAROUDIA, MADINA BAFÉ</t>
  </si>
  <si>
    <t>INFRASTRUCTURE ROUTIERE</t>
  </si>
  <si>
    <t>Réhabilitation des pistes de production Nafadji-Boféto-Guémédji</t>
  </si>
  <si>
    <t>BOFÉTO, GUÉMÉDJI, NOUMOUFAKHA</t>
  </si>
  <si>
    <t>EAUX ET ASSAINISSEMENT</t>
  </si>
  <si>
    <t>Réhabilitation des forages d'eau de Noumoufakha et Guémédji</t>
  </si>
  <si>
    <t>NOUMOUFAKHA</t>
  </si>
  <si>
    <t>Dons de Médicaments</t>
  </si>
  <si>
    <t>EDUCATION</t>
  </si>
  <si>
    <t>Frais de Transport pour examens CFCE</t>
  </si>
  <si>
    <t>Réparation du Forage Guémédji</t>
  </si>
  <si>
    <t>Suivi Création d'un jardin maraicher pour le village de Guemedji</t>
  </si>
  <si>
    <t>FEMMES</t>
  </si>
  <si>
    <t>Projet Aviculture au Village de Madina Baffé</t>
  </si>
  <si>
    <t>Solarisation des écoles</t>
  </si>
  <si>
    <t>ECOLE</t>
  </si>
  <si>
    <t>Projet Guémédji Wash avec Word Vision</t>
  </si>
  <si>
    <t>Matériels et équipement pour les postes de santé de Kharakhéna, Bambadji, Saraya et le service pédiatrique de de l'hôpital de Kédougou</t>
  </si>
  <si>
    <t>KHARAKHÉNA, BAMBADJI, SARAYA, KÉDOUGOU</t>
  </si>
  <si>
    <t>SARAYA/KEDOUGOU</t>
  </si>
  <si>
    <t>Réparation groupe électrogène , Réinstallation circuit électrique de l'hôpital de Kédougou</t>
  </si>
  <si>
    <t>Appui pour acquisition de matériels de célioscopie pour le centre hospitalier national pour enfants Albert Royer</t>
  </si>
  <si>
    <t>Assistance technique à l'université Cheikh Anta Diop de Dakar</t>
  </si>
  <si>
    <t>AUTONOMISATION DES FEMMES</t>
  </si>
  <si>
    <t>Moulins et générateurs</t>
  </si>
  <si>
    <t>GAMBA-GAMBA, MADINA, KOLYA,LINGUÉYA</t>
  </si>
  <si>
    <t>Matériels et équipement pour poste de santé Tinkoto</t>
  </si>
  <si>
    <t>TINKOTO</t>
  </si>
  <si>
    <t>APPUI INSTITUTIONNEL</t>
  </si>
  <si>
    <t>Contribution à la célébration du 04 avril</t>
  </si>
  <si>
    <t>Appui en matériels de bureau pour le tribunal de Saraya</t>
  </si>
  <si>
    <t>Réalisation forage de Kanouméring</t>
  </si>
  <si>
    <t>KANOUMÉRING</t>
  </si>
  <si>
    <t>ACTIVITES SOCIO CULTURELLES ET RELIGIEUSES</t>
  </si>
  <si>
    <t>Construction mosqué Mandankholing</t>
  </si>
  <si>
    <t>MANDANKHOLING</t>
  </si>
  <si>
    <t>Dotation de split ( Climatiseur) pour le srvice régional des mines de Kédougou</t>
  </si>
  <si>
    <t>Dotation de 5 pneus au secteur des eaux et forêts de Saraya</t>
  </si>
  <si>
    <t>Dotation de 5 pneus à la sous préfecture de Sabodala</t>
  </si>
  <si>
    <t>Appui financier à l'association des personnes vivant avec un handicap à Dakar-Plateau et à l'association( villages d'enfants SOS de Dakar)</t>
  </si>
  <si>
    <t>DAKAR-PLATEAU, DAKAR</t>
  </si>
  <si>
    <t>Dotation de matériels de jardinage aux femmes de Mandinkholé</t>
  </si>
  <si>
    <t>MANDINKHOLÉ</t>
  </si>
  <si>
    <t>Appui pour acquisition de matériels( table chauffante nouveau-né, lampe photothérapie, Pèse bébé, moustiquaires, médicament et matériels de bloc opératoire etc.), pour le centre hospitalier national pour enfants Albert Royer</t>
  </si>
  <si>
    <t xml:space="preserve">DAKAR </t>
  </si>
  <si>
    <t>Matériel médical( Fauteuil dentaire, tensiomètre et fauteuil de prise de sang pour centre de santé de Saraya, Respirateur d'anestésie, lampe scialitique led mobile mindray pour district sanitaire de Kédougou; appui en médicaments pour la case de santé de Kanouméring; équipement en panneau solaire et lampe pour la case de santé de Mandinkholé</t>
  </si>
  <si>
    <t>SARAYA, KÉDOUGOU, KANOUMÉRING, MANDINKHOLÉ</t>
  </si>
  <si>
    <t>Appui pour l'organisation de la campagne de reboisement et dotation de 5 pneus pour Eaux et Forets de Saraya</t>
  </si>
  <si>
    <t>Equipement en panneau solaire et lampes pour l'école élémentaire de Mandinkholé</t>
  </si>
  <si>
    <t>Equipement en panneau solaire, lampes et haut parleurs pour la mosqué de Mandinkholé</t>
  </si>
  <si>
    <t>Equipement en panneau solaire, pour le poste de Gendarmerie de Mandinkholé</t>
  </si>
  <si>
    <t>RSE</t>
  </si>
  <si>
    <t xml:space="preserve">Maternité en cours de contruction </t>
  </si>
  <si>
    <t>Poste de santé en cours</t>
  </si>
  <si>
    <t>FOULOUME</t>
  </si>
  <si>
    <t>Salle de classe en cours</t>
  </si>
  <si>
    <t>collage en cours</t>
  </si>
  <si>
    <t>NIAKHIP</t>
  </si>
  <si>
    <t>Support ASC</t>
  </si>
  <si>
    <t xml:space="preserve">POUT </t>
  </si>
  <si>
    <t>Don ciments Eglise et Mosquées</t>
  </si>
  <si>
    <t>Ticket à la mecque</t>
  </si>
  <si>
    <t>POUT/TCHIKY</t>
  </si>
  <si>
    <t>THIES/MBOUR</t>
  </si>
  <si>
    <t>Mouton , sucre, riz</t>
  </si>
  <si>
    <t>maternité (en cours construction )</t>
  </si>
  <si>
    <t xml:space="preserve">poste de santé </t>
  </si>
  <si>
    <t>MONT-ROLANT</t>
  </si>
  <si>
    <t xml:space="preserve">salles de classes (en cours) </t>
  </si>
  <si>
    <t>TCHICKY (DIASS)</t>
  </si>
  <si>
    <t>college (en cours)</t>
  </si>
  <si>
    <t xml:space="preserve">KEUR MOUSSA  DIOP </t>
  </si>
  <si>
    <t>support ASC</t>
  </si>
  <si>
    <t xml:space="preserve">dons cements Mosquée et Eglises </t>
  </si>
  <si>
    <t>tickets à la mecque</t>
  </si>
  <si>
    <t xml:space="preserve">Moutons -sucre -riz </t>
  </si>
  <si>
    <t>Achat Médicaments</t>
  </si>
  <si>
    <t>KÉNIABA</t>
  </si>
  <si>
    <t xml:space="preserve">Carburant pour l'ambulance </t>
  </si>
  <si>
    <t>Construction  Mur de l'école</t>
  </si>
  <si>
    <t xml:space="preserve">Appuis aux ASC et Jeunes </t>
  </si>
  <si>
    <t>Appuis aux groupement féminin</t>
  </si>
  <si>
    <t xml:space="preserve">Construction forage </t>
  </si>
  <si>
    <t>Construction de mûr de clôture et réhabilitation salle de classe de l'école de walo keur Massamba NIANG et keur anné baba</t>
  </si>
  <si>
    <t xml:space="preserve">COMMUNE DE GAWANE </t>
  </si>
  <si>
    <t xml:space="preserve">Appui au club EVF du CEM de baba garage </t>
  </si>
  <si>
    <t>CEM DE BABA GARAGE</t>
  </si>
  <si>
    <t xml:space="preserve">Appui pour la formation du conseil département de la jeunesse </t>
  </si>
  <si>
    <t xml:space="preserve">CONSEIL DÉPARTEMENTAL DE LA JEUNESSE </t>
  </si>
  <si>
    <t>Atelier de renforcement des capacités du comité régional de suivi  environnemental et social (CRSE)</t>
  </si>
  <si>
    <t>CRSE</t>
  </si>
  <si>
    <t>appui au budget de la commune pour autres dépenses</t>
  </si>
  <si>
    <t>COMMUNE DE LAMBAYE</t>
  </si>
  <si>
    <t>Achat de moulins à mil combinés</t>
  </si>
  <si>
    <t xml:space="preserve">COMMUNE DE  LAMBAYE </t>
  </si>
  <si>
    <t xml:space="preserve">Achat imprimante multifonction </t>
  </si>
  <si>
    <t xml:space="preserve">Achat de materiel médical </t>
  </si>
  <si>
    <t>COMMUNE DE BABA GARAGE</t>
  </si>
  <si>
    <t xml:space="preserve">Achats de moulins à mil combinés et mangasins </t>
  </si>
  <si>
    <t xml:space="preserve">Achat materiel de sonorisation pour les mosquées de darou khoudoss et walo </t>
  </si>
  <si>
    <t xml:space="preserve">VILLAGE DE DAROU KHOUDOSS ET WALO </t>
  </si>
  <si>
    <t xml:space="preserve">Montant versé dans le budget de la commune </t>
  </si>
  <si>
    <t xml:space="preserve">COMMUNE DE LAMBAYE </t>
  </si>
  <si>
    <t xml:space="preserve">COMMUNE DE BABA GARAGE </t>
  </si>
  <si>
    <t>Projet AOP de communales de la mairie de Ngoudiane</t>
  </si>
  <si>
    <t>Appuis technique et en matériaux à la commune de Ngoudiane dans le cadre de l'entretien annuel de ses pistes communales durant la période des pluies</t>
  </si>
  <si>
    <t>Construction d'un batiment polyvalent destiné aux activités sociales communales de la mairie de Ngoundiane</t>
  </si>
  <si>
    <t>Appui technique et en matériaux à la commune de Ngoundiane dans le cadre de l'entretien annuel de ses pistes communales durant la période des pluies</t>
  </si>
  <si>
    <t>Achat de médicaments pour la population</t>
  </si>
  <si>
    <t xml:space="preserve">Rehabilitation de la Case des tout-petits de Diogo </t>
  </si>
  <si>
    <t xml:space="preserve">COMMUNE DE DAROU KHOUDOS </t>
  </si>
  <si>
    <t xml:space="preserve">Réhabilitation des toillettes du Lycée </t>
  </si>
  <si>
    <t>COMMUNE DE MBORO</t>
  </si>
  <si>
    <t xml:space="preserve">Achévement deux salles classes à l'école de 10 de Tivaoune </t>
  </si>
  <si>
    <t xml:space="preserve">COMMUNE DETIVAOUNE </t>
  </si>
  <si>
    <t xml:space="preserve">Construction de 2 salles de classe au CEM de Serigne Mansour </t>
  </si>
  <si>
    <t>COMMUNE DE TIVAOUNE</t>
  </si>
  <si>
    <t xml:space="preserve">Construction de deux salles classes, un bureau directeur, construction de clôture de 440ml à darou Ndoye </t>
  </si>
  <si>
    <t>construction d'un mûr de clôture de 400ml à Ngouye beye</t>
  </si>
  <si>
    <t>construction de deux salles de classes plus Bureau à Diourmel</t>
  </si>
  <si>
    <t xml:space="preserve">construction d'un mur de clôture du CEM et Confection de 35 fenêtres et 5 portes pour l'école élementaire à Lompoul </t>
  </si>
  <si>
    <t>COMMUNE DE KABE GAYE</t>
  </si>
  <si>
    <t xml:space="preserve">Subvention aux Etudiants </t>
  </si>
  <si>
    <t>Mise en service du forage de Darou Beye ;  Achat d'une pompe pour le forage de Diogo</t>
  </si>
  <si>
    <t xml:space="preserve">financements intrants agricoles </t>
  </si>
  <si>
    <t>COMMUNE DE DAROU KHOUDOS /COMMUNE DE KABE GAYE</t>
  </si>
  <si>
    <t>Subvention aux ASC</t>
  </si>
  <si>
    <t>COMMUNE DE DAROU KHOUDOS  ET MBORO</t>
  </si>
  <si>
    <t>Consultation générale</t>
  </si>
  <si>
    <t>Sage Femme</t>
  </si>
  <si>
    <t>DAROU</t>
  </si>
  <si>
    <t>SPORT</t>
  </si>
  <si>
    <t>SPORTS</t>
  </si>
  <si>
    <t xml:space="preserve">Médicaments </t>
  </si>
  <si>
    <t>POPENGUINE</t>
  </si>
  <si>
    <t>Appui Financier</t>
  </si>
  <si>
    <t>Pèlerinage et Cadeaux</t>
  </si>
  <si>
    <t>COMMUNE DIASS</t>
  </si>
  <si>
    <t>Bouteilles Eau</t>
  </si>
  <si>
    <t>TOUBA-TIVAOUANE-POPENGUINE</t>
  </si>
  <si>
    <t>TOUBA/TIVAOUNE/POPENGUINE</t>
  </si>
  <si>
    <t>Matériel Médical</t>
  </si>
  <si>
    <t>UCAD</t>
  </si>
  <si>
    <t>Projet Maternité</t>
  </si>
  <si>
    <t>JOAL</t>
  </si>
  <si>
    <t>Salle de Classe</t>
  </si>
  <si>
    <t>Fourniture Scolaire</t>
  </si>
  <si>
    <t>Mobilier</t>
  </si>
  <si>
    <t>Matériel et Equipement Sportif</t>
  </si>
  <si>
    <t>Médicament</t>
  </si>
  <si>
    <t>COMMUNE DE DIASS</t>
  </si>
  <si>
    <t>Fourniture de Scolaire</t>
  </si>
  <si>
    <t>Uniforme Scolaire</t>
  </si>
  <si>
    <t>Ballon Foot</t>
  </si>
  <si>
    <t>Pélérinage &amp; Cadeau</t>
  </si>
  <si>
    <t>Bouteille Eau</t>
  </si>
  <si>
    <t>TOUBATIVAOUNEPOPENGUINE</t>
  </si>
  <si>
    <t>1-Consultations
2-Achat médicaments
3-Evacuation malades
4-Saupoudrage du village</t>
  </si>
  <si>
    <t>DOUTA
SAMBRANBOUGOU</t>
  </si>
  <si>
    <t>1-Soutien activités scolaires
2-Transport candidats</t>
  </si>
  <si>
    <t>1-fourniture d’eau à la population</t>
  </si>
  <si>
    <t>1-Réhabilitation pont Missirah Sirimana
2-Réhabilitation route Mandankholy-Douta
3-Réhabilitation route entrée village Sambranbougou</t>
  </si>
  <si>
    <t>1-Réhabilitation terrain de football de Sambranbougou
2-Jeux d’équipement sportif pour Douta</t>
  </si>
  <si>
    <t>1-Appui en carburant du personnel de l’administration                                                                                                            
2-Prise en charge gendarmes                                                                   
3-Appui DMG</t>
  </si>
  <si>
    <t>MISSIRAH
-SARAYA
-SABODALA
-KÉDOUGOU
-DAKAR</t>
  </si>
  <si>
    <t>SARAYA/KEDOUGOU/DAKAR</t>
  </si>
  <si>
    <t>Appui médicaments</t>
  </si>
  <si>
    <t>Aménagement et clotûre lycée Mako, fournitures équipements scolaires, location de logements pour étudiants Kédougou, rénovation du bus du Lycée, Electrification du collège</t>
  </si>
  <si>
    <t>Aménagement périmètre maraîcher, forages pastoraux, constructions ranch, intensification agriculture pluviale</t>
  </si>
  <si>
    <t>Forage du village de Ngary et du poste de santé de Tomboronkoto</t>
  </si>
  <si>
    <t>Appui aux ASC, construction foyer jeunes, aménagement aire de jeu à Bantata</t>
  </si>
  <si>
    <t>Réalisation de lotissements entre Mako et Niéméniké, aménagement aire de stationnement gros-porteurs, réhabilitation du kit solaire de l'hôte communautaire de Tomboronkoto, aménagement d'un espace apicole à Tenkoto</t>
  </si>
  <si>
    <t>FONDS SOCIAL</t>
  </si>
  <si>
    <t>ENVIRONNEMENT</t>
  </si>
  <si>
    <t>BIODIVERSITE</t>
  </si>
  <si>
    <t>Fonds Social Minier</t>
  </si>
  <si>
    <t>Fond Social Minier</t>
  </si>
  <si>
    <t>Fond GORA, Fond Social Minier</t>
  </si>
  <si>
    <t>fonds social minier</t>
  </si>
  <si>
    <t xml:space="preserve">SABODALA </t>
  </si>
  <si>
    <t>Contribution sociale</t>
  </si>
  <si>
    <t>Dons espèces</t>
  </si>
  <si>
    <t>MBODIÈNE</t>
  </si>
  <si>
    <t>Cahiers</t>
  </si>
  <si>
    <t>NGUÉNIÉNE</t>
  </si>
  <si>
    <t>Engrais/semences</t>
  </si>
  <si>
    <t>Décés</t>
  </si>
  <si>
    <t>Fêtes religieuses</t>
  </si>
  <si>
    <t>Foires et expositions</t>
  </si>
  <si>
    <t>KAOLACK</t>
  </si>
  <si>
    <t>DONS ESPECES</t>
  </si>
  <si>
    <t>CAHIERS</t>
  </si>
  <si>
    <t>NGUENIENE</t>
  </si>
  <si>
    <t>ENGRAIS / SEMENCES</t>
  </si>
  <si>
    <t>DECES</t>
  </si>
  <si>
    <t>FETES RELIGIEUSES</t>
  </si>
  <si>
    <t>FOIRES ET EXPOSITIONS</t>
  </si>
  <si>
    <t>Journée mondiale de l'environnement</t>
  </si>
  <si>
    <t>Dahira baliga</t>
  </si>
  <si>
    <t>BALIGA</t>
  </si>
  <si>
    <t>Noel</t>
  </si>
  <si>
    <t>Condoléances travailleur</t>
  </si>
  <si>
    <t>LAMLAM</t>
  </si>
  <si>
    <t>Groupement femmes</t>
  </si>
  <si>
    <t>Cérémonie préfet</t>
  </si>
  <si>
    <t>Coopérative</t>
  </si>
  <si>
    <t>Départ Gouverneur Thiès</t>
  </si>
  <si>
    <t>Appui institutionnel</t>
  </si>
  <si>
    <t>THIÈS (DMG)</t>
  </si>
  <si>
    <t xml:space="preserve">Cérémonie eaux et forets </t>
  </si>
  <si>
    <t>Tabaski</t>
  </si>
  <si>
    <t>DAKAR (DMG)</t>
  </si>
  <si>
    <t>subventions lycée Lam-lam</t>
  </si>
  <si>
    <t>condoléances père travailleurs</t>
  </si>
  <si>
    <t>subvention GPE</t>
  </si>
  <si>
    <t>Départ retraite sous-préfet Pambal</t>
  </si>
  <si>
    <t>Subvention DREEC</t>
  </si>
  <si>
    <t>Fête 1er Mai</t>
  </si>
  <si>
    <t>ENTREPRISE</t>
  </si>
  <si>
    <t>Divers projets d'appuis scolaire, infrastructures, activités socio-culturelles, assainissement</t>
  </si>
  <si>
    <t>Appui financier</t>
  </si>
  <si>
    <t>Aides aux etudiants et élèves</t>
  </si>
  <si>
    <t>OUNARÉ</t>
  </si>
  <si>
    <t>Appui aux différentes collectivités locales</t>
  </si>
  <si>
    <t>Aider Etudiants et Elèves</t>
  </si>
  <si>
    <t>OUNARE, NDENDORY, MATAM</t>
  </si>
  <si>
    <t>Appuis aux diff. collectivités locales</t>
  </si>
  <si>
    <t>Appui au poste de santé de Khossanto</t>
  </si>
  <si>
    <t>Dons pour appui lors des cérémonies funéraires</t>
  </si>
  <si>
    <t>Appui et Assistance au Lycee de Khossanto</t>
  </si>
  <si>
    <t>Recrutement local</t>
  </si>
  <si>
    <t>Réalisation d'un mur de cloture de la mairie de Khossanto</t>
  </si>
  <si>
    <t>Appui à la comission de recrutement de Khossanto</t>
  </si>
  <si>
    <t>Années</t>
  </si>
  <si>
    <t>realistn_soc_typ_desc</t>
  </si>
  <si>
    <t>realistn_desc</t>
  </si>
  <si>
    <t>benefic_typ_desc</t>
  </si>
  <si>
    <t>montant_realisatn</t>
  </si>
  <si>
    <t>Sécurité</t>
  </si>
  <si>
    <t>Ecole</t>
  </si>
  <si>
    <t>Infrastructure routière</t>
  </si>
  <si>
    <t>Maintenance de la route Karakaena- Kolya</t>
  </si>
  <si>
    <t>Population générale</t>
  </si>
  <si>
    <t>Environnement</t>
  </si>
  <si>
    <t>Réhabilitation des bureau du service regionnal de l'environnement</t>
  </si>
  <si>
    <t>Agriculture</t>
  </si>
  <si>
    <t>Dotation d'engrais pour le champ collectif des jeunes de Dalafing</t>
  </si>
  <si>
    <t>Jeunesse</t>
  </si>
  <si>
    <t xml:space="preserve">Eaux et assainissement </t>
  </si>
  <si>
    <t>Maintenance des forages de Dalafing</t>
  </si>
  <si>
    <t>Santé</t>
  </si>
  <si>
    <t>COVID</t>
  </si>
  <si>
    <t>Appui a la realisation d'une case de santé a Dalafing</t>
  </si>
  <si>
    <t>Dons</t>
  </si>
  <si>
    <t>Campagne de sensibilisation sur le mariage et la grossesse précoces</t>
  </si>
  <si>
    <t>Femmes</t>
  </si>
  <si>
    <t>Suivi création d'un jardin maraicher</t>
  </si>
  <si>
    <t>Projet Guémédji Wash avec World Vision</t>
  </si>
  <si>
    <t>Activités socio-culturelles</t>
  </si>
  <si>
    <t>Foyer des jeunes</t>
  </si>
  <si>
    <t>Dons à cause d'un incendie d'un village</t>
  </si>
  <si>
    <t>Dons de médicaments</t>
  </si>
  <si>
    <t>District sanitaire</t>
  </si>
  <si>
    <t>Appui à la lutte la covid-19: Materiels (thermofash, kits de test Covid) kits d'hygiéne (seaux de lavage+support, savons, geslantiseptiques, eau de javel mouchoir etc.. Equipements de protection (masques, gants) Vivres (riz, huile, sucre)</t>
  </si>
  <si>
    <t>Appui pour l'achat de semence à la pépinère de Saraya</t>
  </si>
  <si>
    <t>contribution au fond nationale de crise "force covid-19"</t>
  </si>
  <si>
    <t>Frais de colas pour les visites de courtoisie</t>
  </si>
  <si>
    <t>Tomboromadji et Madina Foulbé</t>
  </si>
  <si>
    <t>Don d'un balon de foutball et aide finanière pour la faite de l'indépendance</t>
  </si>
  <si>
    <t>Réparation de la pompe à main du village de Madina Foulbé et Tomoromadji</t>
  </si>
  <si>
    <t>Aide pour la lutte contre la Covid 19</t>
  </si>
  <si>
    <t>Madina Foulbé</t>
  </si>
  <si>
    <t>Aide financière pour la lutte contre la Covid 19</t>
  </si>
  <si>
    <t>POPOGUINE</t>
  </si>
  <si>
    <t>M’BOUR</t>
  </si>
  <si>
    <t>Appui financier et matériel médical</t>
  </si>
  <si>
    <t>Éducation</t>
  </si>
  <si>
    <t>Salle de classe, fourniture scolaire et uniforme scolaire, matériel et mobilier</t>
  </si>
  <si>
    <t>Distribution de bouteilles d'eau</t>
  </si>
  <si>
    <t>TOUBA TOUL</t>
  </si>
  <si>
    <t>Caserne Sapeur Pompier</t>
  </si>
  <si>
    <t>Ecole Primaire</t>
  </si>
  <si>
    <t>Centre de santé</t>
  </si>
  <si>
    <t>Salle de classe</t>
  </si>
  <si>
    <t>sucre-riz-moutons</t>
  </si>
  <si>
    <t>FANDENE</t>
  </si>
  <si>
    <t>Produits sanitaires Covid</t>
  </si>
  <si>
    <t>Kits scolaires et autres</t>
  </si>
  <si>
    <t>don de médicaments, dotation en équipement solaire au poste de santé de Kéniéba, mosqué</t>
  </si>
  <si>
    <t>cloture ecole léona</t>
  </si>
  <si>
    <t>Méouane</t>
  </si>
  <si>
    <t>réhabilation de case santé</t>
  </si>
  <si>
    <t>Autres</t>
  </si>
  <si>
    <t xml:space="preserve">Achats fontaine , support communication </t>
  </si>
  <si>
    <t xml:space="preserve">Mboro, Diogo,Thiès </t>
  </si>
  <si>
    <t>appui socio -culturel</t>
  </si>
  <si>
    <t xml:space="preserve">contruction toilettes, achats livres scolaires, contruction salle de classe </t>
  </si>
  <si>
    <t>Darou khoudoss</t>
  </si>
  <si>
    <t xml:space="preserve">Terrassement marché </t>
  </si>
  <si>
    <t>Force COVID</t>
  </si>
  <si>
    <t>Sénégal</t>
  </si>
  <si>
    <t>SENEGAL</t>
  </si>
  <si>
    <t xml:space="preserve">Financement mutuel de service communaitre </t>
  </si>
  <si>
    <t>projet AOP de coommunales de la marie de ngoundiane</t>
  </si>
  <si>
    <t>Appui technique et en materiaux à la commune de ngoudiane dans le cadre de l'entretien annuel de ses pistes communales durant la période des pluies</t>
  </si>
  <si>
    <t>aide alimentaire et fourniture de materiels de lutte contre le Covid 19</t>
  </si>
  <si>
    <t>force  covid</t>
  </si>
  <si>
    <t>EAU</t>
  </si>
  <si>
    <t>CONTRIBUTION POUR LA LUTTE CONTRE LA COVID 19</t>
  </si>
  <si>
    <t>PANIER DE RAMADAN ET TABLEAU CLIPPART</t>
  </si>
  <si>
    <t>FOURNITURE SCOLAIRE</t>
  </si>
  <si>
    <t>JARDIN GUMEDJI</t>
  </si>
  <si>
    <t>ELECTRIFIFCATION DES ECOLES</t>
  </si>
  <si>
    <t>MEDICAMENT ET EQUIPEMENT</t>
  </si>
  <si>
    <t>aide pour le lycée de Mboro</t>
  </si>
  <si>
    <t>Appui pour l'approvisionnement en eau du village</t>
  </si>
  <si>
    <t>Réalisation d'un forage d'eau</t>
  </si>
  <si>
    <t>KUTLU GABANE HOLDING SA</t>
  </si>
  <si>
    <t>Construction de trois salles de classe</t>
  </si>
  <si>
    <t>Diack niolniol et Thiackry</t>
  </si>
  <si>
    <t>Appui pendant les faites de l'indépendance et de fin d'année et durant le Covid 19</t>
  </si>
  <si>
    <t>Produits sanitaires contre le covid</t>
  </si>
  <si>
    <t xml:space="preserve">Associations </t>
  </si>
  <si>
    <t xml:space="preserve">kédougou </t>
  </si>
  <si>
    <t>Achat de moustiquaires</t>
  </si>
  <si>
    <t>Aide lutte covid 19</t>
  </si>
  <si>
    <t>Prise ne charge location</t>
  </si>
  <si>
    <t>Construction de salles de classe, dotation en matériels scolaires</t>
  </si>
  <si>
    <t>Dotation en médicament, réparation ambulance, participation à la lutte contre la covid-19</t>
  </si>
  <si>
    <t>Case des tout petit</t>
  </si>
  <si>
    <t>Achat de tracteur pour les jeunes, construction de magasin de stockage des produits</t>
  </si>
  <si>
    <t>Réabilitation du site dégradé par l'orpeillage semi-mécanisé</t>
  </si>
  <si>
    <t>Equipement du foyer des jeunes, Soutien aux activités sportivités des jeunes</t>
  </si>
  <si>
    <t>Sport</t>
  </si>
  <si>
    <t>Aménagement terrain de football</t>
  </si>
  <si>
    <t>Contruction de la piste de Gourel</t>
  </si>
  <si>
    <t>Nianing</t>
  </si>
  <si>
    <t>Appui en riz et huile</t>
  </si>
  <si>
    <t>Eaux et forêts</t>
  </si>
  <si>
    <t>Mbodiène</t>
  </si>
  <si>
    <t>Force Covid</t>
  </si>
  <si>
    <t>fond  social minier</t>
  </si>
  <si>
    <t>Populations locales vivant autour du site minier</t>
  </si>
  <si>
    <t>Fonds Gora</t>
  </si>
  <si>
    <t>fonds Social Minier</t>
  </si>
  <si>
    <t>AGR</t>
  </si>
  <si>
    <t>fons social Minier</t>
  </si>
  <si>
    <t>Programme social minier</t>
  </si>
  <si>
    <t>Don COVID</t>
  </si>
  <si>
    <t>Don destiné aux femmes</t>
  </si>
  <si>
    <t>Don</t>
  </si>
  <si>
    <t>Contribution Force Covid -19</t>
  </si>
  <si>
    <t>Force covid-20</t>
  </si>
  <si>
    <t>Force covid-19 et assistance médicale</t>
  </si>
  <si>
    <t>Aide pour construction individuelle, subvention pour la faite de Tabaski et appui aux institutions</t>
  </si>
  <si>
    <t>Appui aux associations</t>
  </si>
  <si>
    <t>Associations</t>
  </si>
  <si>
    <t>Appui aux études</t>
  </si>
  <si>
    <t>Aide pour les evenements culturels et religieux</t>
  </si>
  <si>
    <t>Aide aux étudiants-élèves et associations</t>
  </si>
  <si>
    <t>HAMADY OUNARE</t>
  </si>
  <si>
    <t>Appui à la commission de recrutement</t>
  </si>
  <si>
    <t>Appui au centre de santé de khossanto, aide au déplacement du poste de santé lors d'une campagne de formation à saraya</t>
  </si>
  <si>
    <t>Controbution à la lutte contre le Covid-19</t>
  </si>
  <si>
    <t>Appui durant la journée nationale de nettoyage, Appui lors de cérémonies funéraires</t>
  </si>
  <si>
    <t>Appui au service des eaux et forêts de Saraya</t>
  </si>
  <si>
    <t>Sponsoring du club de football ASC Gazelles</t>
  </si>
  <si>
    <t>Thiès</t>
  </si>
  <si>
    <t>Force Covid-19</t>
  </si>
  <si>
    <t>Force covid-19</t>
  </si>
  <si>
    <t>PETOWAL MINING COMPANY PMC SA</t>
  </si>
  <si>
    <t xml:space="preserve">ATIC </t>
  </si>
  <si>
    <t>GRANDE CÔTE OPERATIONS</t>
  </si>
  <si>
    <t>Eaux et assainissement des eaux</t>
  </si>
  <si>
    <t>Electrification</t>
  </si>
  <si>
    <t>École</t>
  </si>
  <si>
    <t>Education</t>
  </si>
  <si>
    <t>Fourniture scolaire</t>
  </si>
  <si>
    <t>Uniforme scolaire</t>
  </si>
  <si>
    <t>appui financier</t>
  </si>
  <si>
    <t>fonds gora</t>
  </si>
  <si>
    <t>dépenses générales et activités génératrice de revenue</t>
  </si>
  <si>
    <t>Appui social</t>
  </si>
  <si>
    <t>Fourniture et logement</t>
  </si>
  <si>
    <t>Médicaments</t>
  </si>
  <si>
    <t>BANTACO</t>
  </si>
  <si>
    <t>Montant forfaitaire remis aux collectivités locales</t>
  </si>
  <si>
    <t>BABA GARAGE</t>
  </si>
  <si>
    <t>Saraya</t>
  </si>
  <si>
    <t>Infrastructures Communautaire</t>
  </si>
  <si>
    <t>Eaux assainissement des eaux</t>
  </si>
  <si>
    <t>Infrastructure</t>
  </si>
  <si>
    <t>Gouvernance, paix, sécurité et institution</t>
  </si>
  <si>
    <t>Ségou</t>
  </si>
  <si>
    <t>Thiabédji</t>
  </si>
  <si>
    <t>Tomboronkoto</t>
  </si>
  <si>
    <t>Mako</t>
  </si>
  <si>
    <t>Tambanoumouya</t>
  </si>
  <si>
    <t>Badon</t>
  </si>
  <si>
    <t>Activités sociaux culturelles</t>
  </si>
  <si>
    <t>Kédougou</t>
  </si>
  <si>
    <t>eaux assainissement des eaux</t>
  </si>
  <si>
    <t>Dimboli</t>
  </si>
  <si>
    <t xml:space="preserve">Bantaco </t>
  </si>
  <si>
    <t>marougougouding</t>
  </si>
  <si>
    <t>Badian</t>
  </si>
  <si>
    <t>transport</t>
  </si>
  <si>
    <t>électrification</t>
  </si>
  <si>
    <t>Ngoudiane</t>
  </si>
  <si>
    <t>Chantier Effage</t>
  </si>
  <si>
    <t>Chantier Mbourwaille</t>
  </si>
  <si>
    <t>Darou Khoudoss</t>
  </si>
  <si>
    <t>Meouane et Ndande</t>
  </si>
  <si>
    <t>Diogo</t>
  </si>
  <si>
    <t>Diogo, Darou Fall, Darou Khoudoss, Meouane, Fass Boye, Mboro, Tivaouane, Taiba Ndiaye, Ngaye Mékhé, Koul</t>
  </si>
  <si>
    <t>Tivaouane</t>
  </si>
  <si>
    <t>Gamba Gamba</t>
  </si>
  <si>
    <t>Prise en charge médicale</t>
  </si>
  <si>
    <t>Mbour</t>
  </si>
  <si>
    <t>Bargny</t>
  </si>
  <si>
    <t>Rufisque</t>
  </si>
  <si>
    <t>Association</t>
  </si>
  <si>
    <t>agriculture</t>
  </si>
  <si>
    <t>Appuis pour la réalisation du centre de santé de darou khoudouss</t>
  </si>
  <si>
    <t>Réabilitation annuelle de la route pour les camions et les produits maraichers</t>
  </si>
  <si>
    <t>Réparation des véhicules de la gendarmerie et des eaux et forêt</t>
  </si>
  <si>
    <t>Aide au village de Tieo</t>
  </si>
  <si>
    <t>Approvisonnement d'eau au village de bandia</t>
  </si>
  <si>
    <t>don au village de Sange</t>
  </si>
  <si>
    <t>Construction d'un ouvrage de franchissement sur la rivière Gamba-Gamba qui est sur la piste d'entrée principale du village</t>
  </si>
  <si>
    <t>Achat de médicaments de démarrage pour la case de santé de Gamba-Gamba</t>
  </si>
  <si>
    <t>Achat de moulin multifonctionnel (patte d'arachide et son)</t>
  </si>
  <si>
    <t>Construction d'un batiment de 16m² qui contient le moulin</t>
  </si>
  <si>
    <t>Aménagement et cloture d'un périmètre de culture maraicher</t>
  </si>
  <si>
    <t>denréee</t>
  </si>
  <si>
    <t>Caserne Sapeurs Pompiers</t>
  </si>
  <si>
    <t>Medicaments</t>
  </si>
  <si>
    <t>Poste de santé</t>
  </si>
  <si>
    <t>Matériel &amp; mobilier</t>
  </si>
  <si>
    <t xml:space="preserve">Bouteille d'eau pour organisations religieuses </t>
  </si>
  <si>
    <t>TOUBA</t>
  </si>
  <si>
    <t>MBACKE</t>
  </si>
  <si>
    <t>bouteille d'eau</t>
  </si>
  <si>
    <t>Achat equipements</t>
  </si>
  <si>
    <t>THIENABA</t>
  </si>
  <si>
    <t>TASSETTE</t>
  </si>
  <si>
    <t>Carburant</t>
  </si>
  <si>
    <t>SANTE</t>
  </si>
  <si>
    <t>CONSTRUCTION CENTRE DE SANTE</t>
  </si>
  <si>
    <t>aid el kebir - bebe de l'année</t>
  </si>
  <si>
    <t>construction wip de puits de forage</t>
  </si>
  <si>
    <t>construction de poulailler</t>
  </si>
  <si>
    <t>construction de salle de classe</t>
  </si>
  <si>
    <t>bourse d'étude</t>
  </si>
  <si>
    <t>Pour la communauté religieuse</t>
  </si>
  <si>
    <t>Pour les mairies</t>
  </si>
  <si>
    <t>Pour les hopitaux</t>
  </si>
  <si>
    <t>Pour le forage</t>
  </si>
  <si>
    <t>Dotation pour les jeunes et ASC</t>
  </si>
  <si>
    <t>APPUI FINANCIER AU GROUPEMENT FEMININ</t>
  </si>
  <si>
    <t>Dotation pour la scolarité</t>
  </si>
  <si>
    <t>ouverture mosquée diack, cérémonie keur ayib, jubilé paroisse khombole</t>
  </si>
  <si>
    <t>dons granulat au poste de santé de diack, foyer sainte anne, mairie de ngoudiane, université ngoudiane, village pilote</t>
  </si>
  <si>
    <t>achat de matériels scolaires et aide diverses pour les écoles de ngoudiane</t>
  </si>
  <si>
    <t>soutien et achat de ballons asc diack</t>
  </si>
  <si>
    <t>achat de livres pour la bibliotheque de ngoudiane</t>
  </si>
  <si>
    <t>subvention</t>
  </si>
  <si>
    <t>Gare routiére de la zone de DIOGO</t>
  </si>
  <si>
    <t>EXTENSION RESEAU D4EAU DE LA COMMUNE DE MEKHE</t>
  </si>
  <si>
    <t>MEKHE</t>
  </si>
  <si>
    <t>APPUI FINANCIER</t>
  </si>
  <si>
    <t>UNION MARAICHERS ET FORESTIERS</t>
  </si>
  <si>
    <t>confection de tables bancs</t>
  </si>
  <si>
    <t>appui institutionnel (labo pcd)</t>
  </si>
  <si>
    <t>FORAGE ET CHATEAU D’EAU</t>
  </si>
  <si>
    <t>DIVERS</t>
  </si>
  <si>
    <t>MEDICAMENT ET SENSIBILISATION</t>
  </si>
  <si>
    <t>JARDIN</t>
  </si>
  <si>
    <t>FOURNITURES ET CONSTRUCTION</t>
  </si>
  <si>
    <t>Eaux et assanissement des eaux</t>
  </si>
  <si>
    <t>Agricultureurs</t>
  </si>
  <si>
    <t>Sport ETICS et autres</t>
  </si>
  <si>
    <t>Lycée de mboro et autres écoles</t>
  </si>
  <si>
    <t>2 Tonnes ciment</t>
  </si>
  <si>
    <t>KHOMBOLE</t>
  </si>
  <si>
    <t>6 Tonnes basalte 8/16</t>
  </si>
  <si>
    <t>30 Tonnes basalte et transport</t>
  </si>
  <si>
    <t>Sapeurs pompiers (Fête de fin d'année)</t>
  </si>
  <si>
    <t>Construction maison</t>
  </si>
  <si>
    <t>dons</t>
  </si>
  <si>
    <t>dons non distribués jusqu'à date</t>
  </si>
  <si>
    <t>Gestion des ordures menageres dans la commune de Tomboronkoto</t>
  </si>
  <si>
    <t>Fonds d'apui aux demandes sociales</t>
  </si>
  <si>
    <t>Complement au fond d'appui à la formation aux jeunes</t>
  </si>
  <si>
    <t>Promotion aux activités de jeunesses, sports et culture</t>
  </si>
  <si>
    <t>Fonds d'apui au fonctionnement de l'ambulance</t>
  </si>
  <si>
    <t>Dotation de medicaments aux trois postes de santé</t>
  </si>
  <si>
    <t>Dotationen fournutures, matariél et équipements scolaires aux écoles de la commune Tomborocoto</t>
  </si>
  <si>
    <t>Construire un bloc de deux salles de classe</t>
  </si>
  <si>
    <t>Construction mur de cloture des écoles primaires</t>
  </si>
  <si>
    <t>Réalisation d'un forage à pompe solaire</t>
  </si>
  <si>
    <t>40 000</t>
  </si>
  <si>
    <t>Fonds complémentaire pour la réalisation de la 1ère phase de l'aire de stationnement entre Mako-Niemenike</t>
  </si>
  <si>
    <t>Complément du montant réservé pour l'achat d'une parcelle pour construction d'un immeuble pour les élèves et étudiants ressortissants de Kédougou à Dakar</t>
  </si>
  <si>
    <t>Réhabilitation du collège Annexe Bakary
Dansokho à Kédougou</t>
  </si>
  <si>
    <t>Réhabilitation du Bloc Scientifique et technologique</t>
  </si>
  <si>
    <t>Achat d'un Mini-bus à l'effigie de PMC et du Conseil Départemental pour la mobilité pendant les activités de jeunesse, de sports et de culture</t>
  </si>
  <si>
    <t>Fonds d'appuis social</t>
  </si>
  <si>
    <t>Communication et suivi des projets</t>
  </si>
  <si>
    <t>Appui institutionnel pour l'acquisition d'un véhicule pour le Conseil départemental pour faciliter la mobilité de l'équipe pour le suivi des projets</t>
  </si>
  <si>
    <t>Appui aux projets et activités d'auto-emploi des femmes et des jeunes</t>
  </si>
  <si>
    <t>Projet de construction de piste (desenclavement de la zone de Tikankali)</t>
  </si>
  <si>
    <t>Location d'un immeuble pour les élèves et étudiants ressortissants de Kédougou à Dakar</t>
  </si>
  <si>
    <t xml:space="preserve"> Frais de gestion de l'immeuble pour les élèves et étudiants ressortissants de Kédougou à Dakar</t>
  </si>
  <si>
    <t>Fonds de communication et de suivi des projets du fise</t>
  </si>
  <si>
    <t>fonds social massawa</t>
  </si>
  <si>
    <t>FONDS SOCIAL MINIER</t>
  </si>
  <si>
    <t>fonds social  massawa</t>
  </si>
  <si>
    <t>Appui</t>
  </si>
  <si>
    <t>JOAL- FADIOUTH</t>
  </si>
  <si>
    <t>Logiciel etat civil</t>
  </si>
  <si>
    <t>N’DIEYENE SIRAKH</t>
  </si>
  <si>
    <t>Appui fete religieux</t>
  </si>
  <si>
    <t>Mur cimetière Gandiole</t>
  </si>
  <si>
    <t>Divers</t>
  </si>
  <si>
    <t>PISTE ACCES LAM LAM</t>
  </si>
  <si>
    <t>DONS</t>
  </si>
  <si>
    <t>SUBVENTION</t>
  </si>
  <si>
    <t>Achats nattes de priere</t>
  </si>
  <si>
    <t>Dons de moutons aux Imams et Notaires de la localité</t>
  </si>
  <si>
    <t>Dotation en ballons</t>
  </si>
  <si>
    <t>Refection salle de classe</t>
  </si>
  <si>
    <t>Dons et Aides Sociales</t>
  </si>
  <si>
    <t>Soutien divers</t>
  </si>
  <si>
    <t>Mise à disposition d'un bus de 34 places pour le déplaement des conseils municipaux à SARAYA dans le cadre de l'élection du haut conseil des collectivités territoriales</t>
  </si>
  <si>
    <t>Appui financier aux Eaux et Forêt dans le cadre de la journée nationale de reboisement</t>
  </si>
  <si>
    <t>Soutien au Lycée dans le cadre des 72 heures</t>
  </si>
  <si>
    <t>Réalisation de forages</t>
  </si>
  <si>
    <t>Engrais (jardins maraicgers)</t>
  </si>
  <si>
    <t>Boutiques scolaires</t>
  </si>
  <si>
    <t>don de beton ala population 1000tonnes</t>
  </si>
  <si>
    <t>Appui aus associations entreaide SENEGAL ET FOODE</t>
  </si>
  <si>
    <t>Fournitures scolaires</t>
  </si>
  <si>
    <t>CIMENTS DE L'AFRIQUE</t>
  </si>
  <si>
    <t>BAMBADJI S.A</t>
  </si>
  <si>
    <t xml:space="preserve">Forage </t>
  </si>
  <si>
    <t>MOUSSALA</t>
  </si>
  <si>
    <t>Electrification solaire école</t>
  </si>
  <si>
    <t>SATADOUGOU</t>
  </si>
  <si>
    <t>Pouponnière de Kédougou</t>
  </si>
  <si>
    <t>Suivi et entretien moulins</t>
  </si>
  <si>
    <t>LINGUEYA MADINA GAMBA GAMBA KOLIA</t>
  </si>
  <si>
    <t>Construction puit à Kolia</t>
  </si>
  <si>
    <t>KOLIA</t>
  </si>
  <si>
    <t>Construction salle de classe</t>
  </si>
  <si>
    <t>DIALAKOTO</t>
  </si>
  <si>
    <t>Visite médicale</t>
  </si>
  <si>
    <t>Dons externes</t>
  </si>
  <si>
    <t>Population Générale</t>
  </si>
  <si>
    <t>Réfection salle de classes/Bourses scolaires/Dons fournitures</t>
  </si>
  <si>
    <t>Dons daaras/associations/aides individuelles/aides ramadan</t>
  </si>
  <si>
    <t>Subventions fondations/Sponsoring</t>
  </si>
  <si>
    <t>Aides construction</t>
  </si>
  <si>
    <t>Dons alimentaires</t>
  </si>
  <si>
    <t xml:space="preserve">Ndindy </t>
  </si>
  <si>
    <t>COMPAGNIE GENERALE D'EXPLOITATION DE CARRIERE (COGECA)</t>
  </si>
  <si>
    <t>CLINKER</t>
  </si>
  <si>
    <t>Somme de PRODUCTION EN QUANTITE</t>
  </si>
  <si>
    <t>Somme de PRODUCTION EN VALEUR</t>
  </si>
  <si>
    <t>Étiquettes de colonnes</t>
  </si>
  <si>
    <t>Somme de cout_production</t>
  </si>
  <si>
    <t>Somme de qte_electrc_autoconsom</t>
  </si>
  <si>
    <t>Somme de estimatn_autoconsommtn</t>
  </si>
  <si>
    <t>GECAMINES S.A</t>
  </si>
  <si>
    <t>MINERAUX LOURDS</t>
  </si>
  <si>
    <t>GRES</t>
  </si>
  <si>
    <t>Somme de qte_brute</t>
  </si>
  <si>
    <t>Total Somme de qte_brute</t>
  </si>
  <si>
    <t>Total Somme de cout_production</t>
  </si>
  <si>
    <t>ACIDE PHOPHORIQUE</t>
  </si>
  <si>
    <t>Total Somme de val_prd_vendu_pays</t>
  </si>
  <si>
    <t>Somme de val_prd_vendu_pays</t>
  </si>
  <si>
    <t>Total Somme de val_prd_vendu_etrger</t>
  </si>
  <si>
    <t>Somme de val_prd_vendu_etrger</t>
  </si>
  <si>
    <t>Somme de qte_vendu_pays</t>
  </si>
  <si>
    <t>Somme de val_produit</t>
  </si>
  <si>
    <t>Total ACIDE PHOPHORIQUE</t>
  </si>
  <si>
    <t>Total ARGENT</t>
  </si>
  <si>
    <t>Total ATTAPULGITE</t>
  </si>
  <si>
    <t>Total CIMENT</t>
  </si>
  <si>
    <t>Total MANGANESE</t>
  </si>
  <si>
    <t>Total OR</t>
  </si>
  <si>
    <t>Total PHOSPHATE</t>
  </si>
  <si>
    <t>Total ZIRCON</t>
  </si>
  <si>
    <t>Total Engrais</t>
  </si>
  <si>
    <t>Total ILMENITE</t>
  </si>
  <si>
    <t>Total LEUCOXENE</t>
  </si>
  <si>
    <t>Total RUTILE</t>
  </si>
  <si>
    <t>Total BASALTE</t>
  </si>
  <si>
    <t>Total CLINKER</t>
  </si>
  <si>
    <t>Total MINERAUX LOURDS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</si>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</sst>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\ _C_F_A_-;\-* #,##0\ _C_F_A_-;_-* &quot;-&quot;\ _C_F_A_-;_-@_-"/>
    <numFmt numFmtId="165" formatCode="_-* #,##0.00\ _C_F_A_-;\-* #,##0.00\ _C_F_A_-;_-* &quot;-&quot;??\ _C_F_A_-;_-@_-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0.0"/>
    <numFmt numFmtId="169" formatCode="_-* #,##0\ _€_-;\-* #,##0\ _€_-;_-* &quot;-&quot;??\ _€_-;_-@_-"/>
    <numFmt numFmtId="170" formatCode="_-* #,##0.0\ _C_F_A_-;\-* #,##0.0\ _C_F_A_-;_-* &quot;-&quot;\ _C_F_A_-;_-@_-"/>
    <numFmt numFmtId="171" formatCode="#,##0.00_ ;\-#,##0.00\ "/>
    <numFmt numFmtId="172" formatCode="_-* #,##0.00\ _C_F_A_-;\-* #,##0.00\ _C_F_A_-;_-* &quot;-&quot;\ _C_F_A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rgb="FF000000"/>
      <name val="Tahoma"/>
      <family val="2"/>
    </font>
    <font>
      <sz val="10"/>
      <color indexed="0"/>
      <name val="Tahoma"/>
      <family val="2"/>
    </font>
    <font>
      <sz val="11"/>
      <color indexed="8"/>
      <name val="Tahoma"/>
      <family val="2"/>
    </font>
    <font>
      <sz val="11"/>
      <color rgb="FFFF0000"/>
      <name val="Tahoma"/>
      <family val="2"/>
    </font>
    <font>
      <b/>
      <sz val="11"/>
      <color theme="1"/>
      <name val="Tahoma"/>
      <family val="2"/>
    </font>
    <font>
      <sz val="12"/>
      <color rgb="FF000000"/>
      <name val="Tahoma"/>
      <family val="2"/>
    </font>
    <font>
      <b/>
      <sz val="1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C0C0C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25">
    <xf numFmtId="0" fontId="0" fillId="0" borderId="0" xfId="0"/>
    <xf numFmtId="0" fontId="0" fillId="0" borderId="0" xfId="0" applyAlignment="1">
      <alignment vertical="center"/>
    </xf>
    <xf numFmtId="0" fontId="2" fillId="0" borderId="0" xfId="3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1" xfId="5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69" fontId="3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/>
    <xf numFmtId="0" fontId="7" fillId="0" borderId="0" xfId="0" applyFont="1" applyFill="1" applyAlignment="1">
      <alignment vertical="center"/>
    </xf>
    <xf numFmtId="164" fontId="7" fillId="0" borderId="0" xfId="2" applyFont="1" applyFill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 applyProtection="1">
      <alignment vertical="center" wrapText="1"/>
    </xf>
    <xf numFmtId="164" fontId="9" fillId="0" borderId="1" xfId="2" applyFont="1" applyFill="1" applyBorder="1" applyAlignment="1" applyProtection="1">
      <alignment horizontal="right" vertical="center" wrapText="1"/>
    </xf>
    <xf numFmtId="0" fontId="9" fillId="0" borderId="1" xfId="0" applyFont="1" applyFill="1" applyBorder="1" applyAlignment="1" applyProtection="1">
      <alignment vertical="center"/>
    </xf>
    <xf numFmtId="164" fontId="9" fillId="0" borderId="1" xfId="2" applyFont="1" applyFill="1" applyBorder="1" applyAlignment="1" applyProtection="1">
      <alignment vertical="center" wrapText="1"/>
    </xf>
    <xf numFmtId="0" fontId="9" fillId="0" borderId="1" xfId="0" applyFont="1" applyFill="1" applyBorder="1" applyAlignment="1">
      <alignment vertical="center" wrapText="1"/>
    </xf>
    <xf numFmtId="164" fontId="9" fillId="0" borderId="1" xfId="2" applyFont="1" applyFill="1" applyBorder="1" applyAlignment="1" applyProtection="1">
      <alignment vertical="center"/>
    </xf>
    <xf numFmtId="0" fontId="7" fillId="0" borderId="0" xfId="0" applyNumberFormat="1" applyFont="1" applyFill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7" borderId="1" xfId="5" applyFont="1" applyFill="1" applyBorder="1" applyAlignment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/>
    </xf>
    <xf numFmtId="164" fontId="7" fillId="0" borderId="1" xfId="2" applyFont="1" applyFill="1" applyBorder="1"/>
    <xf numFmtId="164" fontId="8" fillId="0" borderId="1" xfId="2" applyFont="1" applyFill="1" applyBorder="1"/>
    <xf numFmtId="164" fontId="9" fillId="0" borderId="1" xfId="2" applyFont="1" applyFill="1" applyBorder="1" applyAlignment="1">
      <alignment vertical="center"/>
    </xf>
    <xf numFmtId="0" fontId="7" fillId="0" borderId="1" xfId="5" applyFont="1" applyFill="1" applyBorder="1"/>
    <xf numFmtId="164" fontId="9" fillId="0" borderId="1" xfId="2" applyFont="1" applyFill="1" applyBorder="1" applyAlignment="1" applyProtection="1">
      <alignment horizontal="left" vertical="center" wrapText="1"/>
    </xf>
    <xf numFmtId="164" fontId="7" fillId="0" borderId="1" xfId="2" applyFont="1" applyFill="1" applyBorder="1" applyAlignment="1" applyProtection="1">
      <alignment vertical="center" wrapText="1"/>
    </xf>
    <xf numFmtId="164" fontId="7" fillId="0" borderId="1" xfId="2" applyFont="1" applyFill="1" applyBorder="1" applyAlignment="1">
      <alignment horizontal="center"/>
    </xf>
    <xf numFmtId="164" fontId="9" fillId="0" borderId="1" xfId="2" applyFont="1" applyFill="1" applyBorder="1" applyAlignment="1">
      <alignment horizontal="right" vertical="center"/>
    </xf>
    <xf numFmtId="1" fontId="7" fillId="0" borderId="1" xfId="2" applyNumberFormat="1" applyFont="1" applyFill="1" applyBorder="1" applyAlignment="1">
      <alignment horizontal="center" vertical="center"/>
    </xf>
    <xf numFmtId="0" fontId="9" fillId="0" borderId="1" xfId="5" applyFont="1" applyFill="1" applyBorder="1" applyAlignment="1">
      <alignment vertical="center"/>
    </xf>
    <xf numFmtId="164" fontId="3" fillId="3" borderId="1" xfId="2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9" fillId="0" borderId="1" xfId="2" applyNumberFormat="1" applyFont="1" applyFill="1" applyBorder="1" applyAlignment="1">
      <alignment vertical="center"/>
    </xf>
    <xf numFmtId="1" fontId="3" fillId="3" borderId="1" xfId="1" applyNumberFormat="1" applyFont="1" applyFill="1" applyBorder="1" applyAlignment="1">
      <alignment vertical="center"/>
    </xf>
    <xf numFmtId="1" fontId="0" fillId="0" borderId="0" xfId="0" applyNumberFormat="1" applyAlignment="1"/>
    <xf numFmtId="169" fontId="6" fillId="3" borderId="2" xfId="1" applyNumberFormat="1" applyFont="1" applyFill="1" applyBorder="1" applyAlignment="1">
      <alignment horizontal="center" vertical="center"/>
    </xf>
    <xf numFmtId="0" fontId="8" fillId="0" borderId="1" xfId="3" applyFont="1" applyFill="1" applyBorder="1"/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8" fillId="0" borderId="1" xfId="0" applyFont="1" applyFill="1" applyBorder="1" applyAlignment="1">
      <alignment vertical="center"/>
    </xf>
    <xf numFmtId="164" fontId="7" fillId="0" borderId="1" xfId="2" applyFont="1" applyFill="1" applyBorder="1" applyAlignment="1">
      <alignment vertical="center"/>
    </xf>
    <xf numFmtId="170" fontId="9" fillId="0" borderId="1" xfId="2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164" fontId="6" fillId="3" borderId="3" xfId="2" applyFont="1" applyFill="1" applyBorder="1" applyAlignment="1">
      <alignment horizontal="center" vertical="center"/>
    </xf>
    <xf numFmtId="164" fontId="6" fillId="3" borderId="3" xfId="2" applyFont="1" applyFill="1" applyBorder="1" applyAlignment="1">
      <alignment horizontal="right" vertical="center"/>
    </xf>
    <xf numFmtId="164" fontId="6" fillId="3" borderId="2" xfId="2" applyFont="1" applyFill="1" applyBorder="1" applyAlignment="1">
      <alignment horizontal="center" vertical="center"/>
    </xf>
    <xf numFmtId="164" fontId="7" fillId="0" borderId="1" xfId="2" applyFont="1" applyFill="1" applyBorder="1" applyAlignment="1">
      <alignment horizontal="left" vertical="center"/>
    </xf>
    <xf numFmtId="164" fontId="9" fillId="0" borderId="1" xfId="2" applyFont="1" applyFill="1" applyBorder="1" applyAlignment="1">
      <alignment horizontal="center" vertical="center"/>
    </xf>
    <xf numFmtId="164" fontId="7" fillId="0" borderId="1" xfId="2" applyFont="1" applyFill="1" applyBorder="1" applyAlignment="1">
      <alignment horizontal="right"/>
    </xf>
    <xf numFmtId="164" fontId="12" fillId="0" borderId="1" xfId="2" applyFont="1" applyFill="1" applyBorder="1" applyAlignment="1">
      <alignment horizontal="right" vertical="center"/>
    </xf>
    <xf numFmtId="164" fontId="9" fillId="0" borderId="1" xfId="2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9" fontId="6" fillId="3" borderId="1" xfId="6" applyNumberFormat="1" applyFont="1" applyFill="1" applyBorder="1" applyAlignment="1">
      <alignment horizontal="center" vertical="center"/>
    </xf>
    <xf numFmtId="169" fontId="6" fillId="3" borderId="1" xfId="6" applyNumberFormat="1" applyFont="1" applyFill="1" applyBorder="1" applyAlignment="1">
      <alignment vertical="center"/>
    </xf>
    <xf numFmtId="169" fontId="9" fillId="0" borderId="1" xfId="6" applyNumberFormat="1" applyFont="1" applyFill="1" applyBorder="1" applyAlignment="1">
      <alignment vertical="center"/>
    </xf>
    <xf numFmtId="0" fontId="9" fillId="0" borderId="1" xfId="0" applyFont="1" applyFill="1" applyBorder="1" applyAlignment="1" applyProtection="1">
      <alignment horizontal="left" vertical="center" wrapText="1"/>
    </xf>
    <xf numFmtId="0" fontId="13" fillId="0" borderId="0" xfId="0" applyFont="1" applyAlignment="1">
      <alignment horizontal="center" vertical="center"/>
    </xf>
    <xf numFmtId="164" fontId="6" fillId="3" borderId="1" xfId="2" applyFont="1" applyFill="1" applyBorder="1" applyAlignment="1">
      <alignment vertical="center"/>
    </xf>
    <xf numFmtId="0" fontId="8" fillId="0" borderId="1" xfId="5" applyFont="1" applyFill="1" applyBorder="1" applyAlignment="1">
      <alignment vertical="center"/>
    </xf>
    <xf numFmtId="169" fontId="7" fillId="0" borderId="1" xfId="4" applyNumberFormat="1" applyFont="1" applyFill="1" applyBorder="1" applyAlignment="1">
      <alignment vertical="center"/>
    </xf>
    <xf numFmtId="169" fontId="8" fillId="0" borderId="1" xfId="4" applyNumberFormat="1" applyFont="1" applyFill="1" applyBorder="1" applyAlignment="1">
      <alignment vertical="center"/>
    </xf>
    <xf numFmtId="0" fontId="7" fillId="0" borderId="1" xfId="5" applyFont="1" applyFill="1" applyBorder="1" applyAlignment="1">
      <alignment vertical="center"/>
    </xf>
    <xf numFmtId="164" fontId="0" fillId="0" borderId="0" xfId="2" applyFont="1" applyAlignment="1">
      <alignment vertical="center"/>
    </xf>
    <xf numFmtId="0" fontId="8" fillId="0" borderId="1" xfId="3" applyFont="1" applyFill="1" applyBorder="1" applyAlignment="1">
      <alignment vertical="center"/>
    </xf>
    <xf numFmtId="0" fontId="8" fillId="11" borderId="1" xfId="5" applyFont="1" applyFill="1" applyBorder="1" applyAlignment="1">
      <alignment vertical="center"/>
    </xf>
    <xf numFmtId="0" fontId="8" fillId="11" borderId="1" xfId="3" applyFont="1" applyFill="1" applyBorder="1" applyAlignment="1">
      <alignment vertical="center"/>
    </xf>
    <xf numFmtId="1" fontId="7" fillId="0" borderId="1" xfId="2" applyNumberFormat="1" applyFont="1" applyFill="1" applyBorder="1" applyAlignment="1">
      <alignment vertical="center"/>
    </xf>
    <xf numFmtId="1" fontId="0" fillId="0" borderId="0" xfId="2" applyNumberFormat="1" applyFont="1" applyAlignment="1">
      <alignment horizontal="center" vertical="center"/>
    </xf>
    <xf numFmtId="164" fontId="7" fillId="0" borderId="0" xfId="2" applyFont="1" applyAlignment="1">
      <alignment vertical="center"/>
    </xf>
    <xf numFmtId="1" fontId="7" fillId="0" borderId="0" xfId="2" applyNumberFormat="1" applyFont="1" applyAlignment="1">
      <alignment vertical="center"/>
    </xf>
    <xf numFmtId="164" fontId="8" fillId="11" borderId="1" xfId="2" applyFont="1" applyFill="1" applyBorder="1" applyAlignment="1">
      <alignment vertical="center"/>
    </xf>
    <xf numFmtId="169" fontId="13" fillId="4" borderId="1" xfId="6" applyNumberFormat="1" applyFont="1" applyFill="1" applyBorder="1" applyAlignment="1">
      <alignment vertical="center"/>
    </xf>
    <xf numFmtId="169" fontId="13" fillId="2" borderId="1" xfId="6" applyNumberFormat="1" applyFont="1" applyFill="1" applyBorder="1" applyAlignment="1">
      <alignment vertical="center"/>
    </xf>
    <xf numFmtId="169" fontId="7" fillId="0" borderId="1" xfId="6" applyNumberFormat="1" applyFont="1" applyFill="1" applyBorder="1" applyAlignment="1">
      <alignment vertical="center"/>
    </xf>
    <xf numFmtId="169" fontId="13" fillId="0" borderId="1" xfId="6" applyNumberFormat="1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horizontal="center" vertical="center"/>
    </xf>
    <xf numFmtId="0" fontId="6" fillId="5" borderId="1" xfId="5" applyFont="1" applyFill="1" applyBorder="1" applyAlignment="1">
      <alignment horizontal="left" vertical="center"/>
    </xf>
    <xf numFmtId="0" fontId="7" fillId="0" borderId="0" xfId="0" applyFont="1"/>
    <xf numFmtId="166" fontId="9" fillId="0" borderId="1" xfId="6" applyFont="1" applyFill="1" applyBorder="1" applyAlignment="1">
      <alignment horizontal="right" vertical="center"/>
    </xf>
    <xf numFmtId="166" fontId="14" fillId="0" borderId="1" xfId="6" applyFont="1" applyFill="1" applyBorder="1" applyAlignment="1">
      <alignment horizontal="right" vertical="center"/>
    </xf>
    <xf numFmtId="171" fontId="9" fillId="0" borderId="1" xfId="2" applyNumberFormat="1" applyFont="1" applyFill="1" applyBorder="1" applyAlignment="1">
      <alignment horizontal="right" vertical="center"/>
    </xf>
    <xf numFmtId="166" fontId="7" fillId="0" borderId="1" xfId="5" applyNumberFormat="1" applyFont="1" applyFill="1" applyBorder="1"/>
    <xf numFmtId="166" fontId="7" fillId="0" borderId="1" xfId="6" applyFont="1" applyFill="1" applyBorder="1"/>
    <xf numFmtId="169" fontId="9" fillId="0" borderId="1" xfId="6" applyNumberFormat="1" applyFont="1" applyFill="1" applyBorder="1" applyAlignment="1">
      <alignment horizontal="right" vertical="center"/>
    </xf>
    <xf numFmtId="9" fontId="9" fillId="0" borderId="1" xfId="6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 applyProtection="1">
      <alignment horizontal="center" vertical="center" wrapText="1"/>
    </xf>
    <xf numFmtId="164" fontId="13" fillId="6" borderId="1" xfId="2" applyFont="1" applyFill="1" applyBorder="1"/>
    <xf numFmtId="164" fontId="7" fillId="6" borderId="1" xfId="2" applyFont="1" applyFill="1" applyBorder="1"/>
    <xf numFmtId="164" fontId="6" fillId="0" borderId="1" xfId="2" applyFont="1" applyFill="1" applyBorder="1" applyAlignment="1" applyProtection="1">
      <alignment horizontal="right" vertical="center" wrapText="1"/>
    </xf>
    <xf numFmtId="164" fontId="7" fillId="0" borderId="1" xfId="2" applyFont="1" applyFill="1" applyBorder="1" applyAlignment="1">
      <alignment vertical="center" wrapText="1"/>
    </xf>
    <xf numFmtId="164" fontId="9" fillId="0" borderId="1" xfId="2" applyFont="1" applyFill="1" applyBorder="1" applyAlignment="1">
      <alignment horizontal="left" vertical="center"/>
    </xf>
    <xf numFmtId="164" fontId="9" fillId="0" borderId="1" xfId="2" applyFont="1" applyFill="1" applyBorder="1" applyAlignment="1">
      <alignment vertical="center" wrapText="1"/>
    </xf>
    <xf numFmtId="164" fontId="6" fillId="3" borderId="1" xfId="2" applyFont="1" applyFill="1" applyBorder="1" applyAlignment="1" applyProtection="1">
      <alignment horizontal="center" vertical="center" wrapText="1"/>
    </xf>
    <xf numFmtId="164" fontId="8" fillId="0" borderId="1" xfId="2" applyFont="1" applyFill="1" applyBorder="1" applyAlignment="1">
      <alignment vertical="center"/>
    </xf>
    <xf numFmtId="166" fontId="1" fillId="0" borderId="0" xfId="6" applyFill="1" applyAlignment="1">
      <alignment vertical="center"/>
    </xf>
    <xf numFmtId="0" fontId="1" fillId="0" borderId="0" xfId="5" applyAlignment="1">
      <alignment vertical="center"/>
    </xf>
    <xf numFmtId="169" fontId="1" fillId="0" borderId="0" xfId="6" applyNumberFormat="1" applyFill="1" applyAlignment="1">
      <alignment vertical="center"/>
    </xf>
    <xf numFmtId="164" fontId="6" fillId="9" borderId="1" xfId="2" applyFont="1" applyFill="1" applyBorder="1" applyAlignment="1">
      <alignment horizontal="center" vertical="center"/>
    </xf>
    <xf numFmtId="1" fontId="6" fillId="9" borderId="1" xfId="2" applyNumberFormat="1" applyFont="1" applyFill="1" applyBorder="1" applyAlignment="1">
      <alignment horizontal="center" vertical="center"/>
    </xf>
    <xf numFmtId="164" fontId="11" fillId="0" borderId="1" xfId="2" applyFont="1" applyFill="1" applyBorder="1" applyAlignment="1">
      <alignment vertical="center"/>
    </xf>
    <xf numFmtId="164" fontId="12" fillId="0" borderId="1" xfId="2" applyFont="1" applyFill="1" applyBorder="1" applyAlignment="1">
      <alignment vertical="center"/>
    </xf>
    <xf numFmtId="164" fontId="0" fillId="0" borderId="0" xfId="2" applyFont="1" applyFill="1" applyAlignment="1">
      <alignment vertical="center"/>
    </xf>
    <xf numFmtId="164" fontId="3" fillId="7" borderId="1" xfId="2" applyFont="1" applyFill="1" applyBorder="1" applyAlignment="1">
      <alignment vertical="center" wrapText="1"/>
    </xf>
    <xf numFmtId="164" fontId="3" fillId="8" borderId="1" xfId="2" applyFont="1" applyFill="1" applyBorder="1" applyAlignment="1" applyProtection="1">
      <alignment vertical="center" wrapText="1"/>
    </xf>
    <xf numFmtId="164" fontId="10" fillId="0" borderId="1" xfId="2" applyFont="1" applyFill="1" applyBorder="1" applyAlignment="1">
      <alignment vertical="center"/>
    </xf>
    <xf numFmtId="0" fontId="7" fillId="0" borderId="1" xfId="4" applyNumberFormat="1" applyFont="1" applyFill="1" applyBorder="1" applyAlignment="1">
      <alignment vertical="center" wrapText="1"/>
    </xf>
    <xf numFmtId="0" fontId="8" fillId="0" borderId="1" xfId="4" applyNumberFormat="1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8" applyFont="1" applyFill="1" applyBorder="1" applyAlignment="1">
      <alignment vertical="center"/>
    </xf>
    <xf numFmtId="0" fontId="8" fillId="0" borderId="1" xfId="9" applyFont="1" applyFill="1" applyBorder="1" applyAlignment="1">
      <alignment vertical="center"/>
    </xf>
    <xf numFmtId="164" fontId="6" fillId="7" borderId="1" xfId="2" applyFont="1" applyFill="1" applyBorder="1" applyAlignment="1">
      <alignment horizontal="center" vertical="center"/>
    </xf>
    <xf numFmtId="14" fontId="8" fillId="0" borderId="1" xfId="3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2" fontId="8" fillId="0" borderId="1" xfId="3" applyNumberFormat="1" applyFont="1" applyFill="1" applyBorder="1" applyAlignment="1">
      <alignment horizontal="center" vertical="center"/>
    </xf>
    <xf numFmtId="14" fontId="7" fillId="0" borderId="1" xfId="4" applyNumberFormat="1" applyFont="1" applyFill="1" applyBorder="1" applyAlignment="1">
      <alignment horizontal="center" vertical="center"/>
    </xf>
    <xf numFmtId="168" fontId="8" fillId="0" borderId="1" xfId="3" applyNumberFormat="1" applyFont="1" applyFill="1" applyBorder="1" applyAlignment="1">
      <alignment horizontal="center" vertical="center"/>
    </xf>
    <xf numFmtId="167" fontId="8" fillId="0" borderId="1" xfId="4" applyNumberFormat="1" applyFont="1" applyFill="1" applyBorder="1" applyAlignment="1">
      <alignment vertical="center"/>
    </xf>
    <xf numFmtId="14" fontId="8" fillId="0" borderId="1" xfId="4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vertical="center"/>
    </xf>
    <xf numFmtId="169" fontId="8" fillId="0" borderId="1" xfId="1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right" vertical="center"/>
    </xf>
    <xf numFmtId="15" fontId="8" fillId="0" borderId="1" xfId="0" applyNumberFormat="1" applyFont="1" applyFill="1" applyBorder="1" applyAlignment="1">
      <alignment horizontal="right" vertical="center"/>
    </xf>
    <xf numFmtId="14" fontId="8" fillId="0" borderId="1" xfId="0" applyNumberFormat="1" applyFont="1" applyFill="1" applyBorder="1" applyAlignment="1">
      <alignment horizontal="right" vertical="center"/>
    </xf>
    <xf numFmtId="169" fontId="8" fillId="0" borderId="1" xfId="1" applyNumberFormat="1" applyFont="1" applyFill="1" applyBorder="1" applyAlignment="1">
      <alignment horizontal="right" vertical="center"/>
    </xf>
    <xf numFmtId="15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14" fontId="8" fillId="0" borderId="1" xfId="3" applyNumberFormat="1" applyFont="1" applyFill="1" applyBorder="1" applyAlignment="1">
      <alignment vertical="center"/>
    </xf>
    <xf numFmtId="14" fontId="9" fillId="0" borderId="1" xfId="5" applyNumberFormat="1" applyFont="1" applyFill="1" applyBorder="1" applyAlignment="1">
      <alignment horizontal="right" vertical="center"/>
    </xf>
    <xf numFmtId="15" fontId="9" fillId="0" borderId="1" xfId="5" applyNumberFormat="1" applyFont="1" applyFill="1" applyBorder="1" applyAlignment="1">
      <alignment horizontal="right" vertical="center"/>
    </xf>
    <xf numFmtId="14" fontId="7" fillId="0" borderId="1" xfId="5" applyNumberFormat="1" applyFont="1" applyFill="1" applyBorder="1" applyAlignment="1">
      <alignment vertical="center"/>
    </xf>
    <xf numFmtId="0" fontId="9" fillId="0" borderId="1" xfId="5" quotePrefix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 applyProtection="1">
      <alignment horizontal="right" vertical="center" wrapText="1"/>
    </xf>
    <xf numFmtId="15" fontId="9" fillId="0" borderId="1" xfId="0" applyNumberFormat="1" applyFont="1" applyFill="1" applyBorder="1" applyAlignment="1" applyProtection="1">
      <alignment horizontal="right" vertical="center" wrapText="1"/>
    </xf>
    <xf numFmtId="0" fontId="15" fillId="10" borderId="1" xfId="0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9" fillId="0" borderId="1" xfId="5" applyFont="1" applyFill="1" applyBorder="1" applyAlignment="1">
      <alignment horizontal="left" vertical="center"/>
    </xf>
    <xf numFmtId="167" fontId="7" fillId="0" borderId="1" xfId="4" applyNumberFormat="1" applyFont="1" applyFill="1" applyBorder="1" applyAlignment="1">
      <alignment horizontal="left" vertical="center"/>
    </xf>
    <xf numFmtId="167" fontId="8" fillId="0" borderId="1" xfId="4" applyNumberFormat="1" applyFont="1" applyFill="1" applyBorder="1" applyAlignment="1">
      <alignment horizontal="left" vertical="center"/>
    </xf>
    <xf numFmtId="0" fontId="7" fillId="0" borderId="1" xfId="5" applyFont="1" applyFill="1" applyBorder="1" applyAlignment="1">
      <alignment horizontal="left" vertical="center"/>
    </xf>
    <xf numFmtId="0" fontId="7" fillId="0" borderId="1" xfId="5" quotePrefix="1" applyFont="1" applyFill="1" applyBorder="1" applyAlignment="1">
      <alignment horizontal="left" vertical="center"/>
    </xf>
    <xf numFmtId="0" fontId="9" fillId="0" borderId="1" xfId="5" quotePrefix="1" applyFont="1" applyFill="1" applyBorder="1" applyAlignment="1">
      <alignment horizontal="left" vertical="center"/>
    </xf>
    <xf numFmtId="49" fontId="7" fillId="0" borderId="1" xfId="5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9" fillId="0" borderId="1" xfId="5" applyFont="1" applyFill="1" applyBorder="1" applyAlignment="1">
      <alignment horizontal="center" vertical="center"/>
    </xf>
    <xf numFmtId="0" fontId="7" fillId="0" borderId="1" xfId="5" applyFont="1" applyFill="1" applyBorder="1" applyAlignment="1">
      <alignment horizontal="center" vertical="center"/>
    </xf>
    <xf numFmtId="0" fontId="12" fillId="0" borderId="1" xfId="5" applyFont="1" applyFill="1" applyBorder="1" applyAlignment="1">
      <alignment horizontal="center" vertical="center"/>
    </xf>
    <xf numFmtId="170" fontId="7" fillId="0" borderId="1" xfId="2" applyNumberFormat="1" applyFont="1" applyFill="1" applyBorder="1" applyAlignment="1">
      <alignment horizontal="center" vertical="center"/>
    </xf>
    <xf numFmtId="1" fontId="8" fillId="0" borderId="1" xfId="3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164" fontId="0" fillId="0" borderId="0" xfId="2" applyFont="1" applyFill="1" applyBorder="1" applyAlignment="1">
      <alignment vertical="center"/>
    </xf>
    <xf numFmtId="169" fontId="8" fillId="0" borderId="1" xfId="6" applyNumberFormat="1" applyFont="1" applyFill="1" applyBorder="1" applyAlignment="1">
      <alignment vertical="center"/>
    </xf>
    <xf numFmtId="172" fontId="0" fillId="0" borderId="0" xfId="2" applyNumberFormat="1" applyFont="1"/>
    <xf numFmtId="164" fontId="9" fillId="0" borderId="1" xfId="2" applyNumberFormat="1" applyFont="1" applyFill="1" applyBorder="1" applyAlignment="1">
      <alignment horizontal="right" vertical="center"/>
    </xf>
    <xf numFmtId="164" fontId="6" fillId="3" borderId="3" xfId="2" applyFont="1" applyFill="1" applyBorder="1" applyAlignment="1">
      <alignment horizontal="center" vertical="center" wrapText="1"/>
    </xf>
    <xf numFmtId="172" fontId="9" fillId="0" borderId="1" xfId="2" applyNumberFormat="1" applyFont="1" applyFill="1" applyBorder="1" applyAlignment="1">
      <alignment vertical="center"/>
    </xf>
    <xf numFmtId="172" fontId="7" fillId="0" borderId="1" xfId="2" applyNumberFormat="1" applyFont="1" applyFill="1" applyBorder="1"/>
    <xf numFmtId="0" fontId="13" fillId="0" borderId="0" xfId="0" applyFont="1" applyAlignment="1">
      <alignment vertical="center"/>
    </xf>
    <xf numFmtId="164" fontId="13" fillId="0" borderId="0" xfId="2" applyFont="1" applyAlignment="1">
      <alignment vertical="center"/>
    </xf>
    <xf numFmtId="172" fontId="13" fillId="0" borderId="0" xfId="2" applyNumberFormat="1" applyFont="1" applyAlignment="1">
      <alignment vertical="center"/>
    </xf>
    <xf numFmtId="172" fontId="7" fillId="0" borderId="1" xfId="2" applyNumberFormat="1" applyFont="1" applyFill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vertical="center"/>
    </xf>
    <xf numFmtId="172" fontId="0" fillId="0" borderId="0" xfId="0" applyNumberFormat="1"/>
    <xf numFmtId="1" fontId="0" fillId="0" borderId="0" xfId="0" applyNumberFormat="1"/>
    <xf numFmtId="164" fontId="6" fillId="5" borderId="1" xfId="2" applyFont="1" applyFill="1" applyBorder="1" applyAlignment="1">
      <alignment horizontal="left" vertical="center"/>
    </xf>
    <xf numFmtId="0" fontId="8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left" vertical="center"/>
    </xf>
    <xf numFmtId="0" fontId="8" fillId="0" borderId="4" xfId="3" applyFont="1" applyFill="1" applyBorder="1" applyAlignment="1">
      <alignment horizontal="left" vertical="center"/>
    </xf>
    <xf numFmtId="0" fontId="9" fillId="0" borderId="4" xfId="5" applyFont="1" applyFill="1" applyBorder="1" applyAlignment="1">
      <alignment horizontal="left" vertical="center"/>
    </xf>
    <xf numFmtId="0" fontId="7" fillId="0" borderId="4" xfId="5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 applyProtection="1">
      <alignment horizontal="left" vertical="center" wrapText="1"/>
    </xf>
    <xf numFmtId="0" fontId="8" fillId="0" borderId="5" xfId="3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169" fontId="15" fillId="10" borderId="7" xfId="1" applyNumberFormat="1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0" fontId="9" fillId="0" borderId="9" xfId="5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9" fillId="0" borderId="3" xfId="5" applyFont="1" applyFill="1" applyBorder="1" applyAlignment="1">
      <alignment horizontal="left" vertical="center"/>
    </xf>
    <xf numFmtId="0" fontId="7" fillId="0" borderId="3" xfId="5" applyFont="1" applyFill="1" applyBorder="1" applyAlignment="1">
      <alignment vertical="center"/>
    </xf>
    <xf numFmtId="14" fontId="9" fillId="0" borderId="3" xfId="5" applyNumberFormat="1" applyFont="1" applyFill="1" applyBorder="1" applyAlignment="1">
      <alignment horizontal="right" vertical="center"/>
    </xf>
    <xf numFmtId="0" fontId="9" fillId="0" borderId="3" xfId="5" applyFont="1" applyFill="1" applyBorder="1" applyAlignment="1">
      <alignment horizontal="center" vertical="center"/>
    </xf>
    <xf numFmtId="15" fontId="9" fillId="0" borderId="3" xfId="5" applyNumberFormat="1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center" vertical="center"/>
    </xf>
    <xf numFmtId="164" fontId="8" fillId="0" borderId="4" xfId="2" applyFont="1" applyFill="1" applyBorder="1" applyAlignment="1">
      <alignment vertical="center"/>
    </xf>
    <xf numFmtId="164" fontId="15" fillId="0" borderId="6" xfId="2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64" fontId="6" fillId="0" borderId="7" xfId="2" applyFont="1" applyFill="1" applyBorder="1" applyAlignment="1">
      <alignment horizontal="center" vertical="center"/>
    </xf>
    <xf numFmtId="0" fontId="8" fillId="0" borderId="7" xfId="3" applyFont="1" applyFill="1" applyBorder="1" applyAlignment="1">
      <alignment vertical="center"/>
    </xf>
    <xf numFmtId="164" fontId="6" fillId="0" borderId="7" xfId="2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164" fontId="8" fillId="0" borderId="9" xfId="2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64" fontId="9" fillId="0" borderId="3" xfId="2" applyFont="1" applyFill="1" applyBorder="1" applyAlignment="1" applyProtection="1">
      <alignment vertical="center" wrapText="1"/>
    </xf>
    <xf numFmtId="0" fontId="6" fillId="3" borderId="9" xfId="0" applyFont="1" applyFill="1" applyBorder="1" applyAlignment="1">
      <alignment horizontal="center" vertical="center"/>
    </xf>
    <xf numFmtId="0" fontId="9" fillId="0" borderId="4" xfId="0" applyFont="1" applyFill="1" applyBorder="1" applyAlignment="1" applyProtection="1">
      <alignment vertical="center"/>
    </xf>
    <xf numFmtId="0" fontId="9" fillId="0" borderId="4" xfId="5" applyFont="1" applyFill="1" applyBorder="1" applyAlignment="1">
      <alignment vertical="center"/>
    </xf>
    <xf numFmtId="0" fontId="8" fillId="0" borderId="4" xfId="3" applyFont="1" applyFill="1" applyBorder="1"/>
    <xf numFmtId="169" fontId="7" fillId="0" borderId="4" xfId="4" applyNumberFormat="1" applyFont="1" applyFill="1" applyBorder="1"/>
    <xf numFmtId="0" fontId="9" fillId="0" borderId="4" xfId="0" applyFont="1" applyFill="1" applyBorder="1" applyAlignment="1">
      <alignment vertical="center"/>
    </xf>
    <xf numFmtId="0" fontId="8" fillId="0" borderId="4" xfId="5" applyFont="1" applyFill="1" applyBorder="1" applyAlignment="1"/>
    <xf numFmtId="0" fontId="7" fillId="0" borderId="4" xfId="0" applyFont="1" applyFill="1" applyBorder="1"/>
    <xf numFmtId="0" fontId="8" fillId="0" borderId="4" xfId="5" applyFont="1" applyFill="1" applyBorder="1" applyAlignment="1">
      <alignment vertical="center"/>
    </xf>
    <xf numFmtId="0" fontId="8" fillId="0" borderId="4" xfId="0" applyFont="1" applyFill="1" applyBorder="1"/>
    <xf numFmtId="0" fontId="7" fillId="0" borderId="4" xfId="5" applyFont="1" applyFill="1" applyBorder="1"/>
    <xf numFmtId="0" fontId="9" fillId="0" borderId="4" xfId="0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0" fontId="7" fillId="0" borderId="4" xfId="0" applyFont="1" applyFill="1" applyBorder="1" applyAlignment="1">
      <alignment vertical="center"/>
    </xf>
    <xf numFmtId="170" fontId="9" fillId="0" borderId="4" xfId="2" applyNumberFormat="1" applyFont="1" applyFill="1" applyBorder="1" applyAlignment="1" applyProtection="1">
      <alignment vertical="center" wrapText="1"/>
    </xf>
  </cellXfs>
  <cellStyles count="10">
    <cellStyle name="Milliers" xfId="1" builtinId="3"/>
    <cellStyle name="Milliers [0]" xfId="2" builtinId="6"/>
    <cellStyle name="Milliers 2" xfId="4" xr:uid="{00000000-0005-0000-0000-000002000000}"/>
    <cellStyle name="Milliers 2 3" xfId="7" xr:uid="{00000000-0005-0000-0000-000003000000}"/>
    <cellStyle name="Milliers 3" xfId="6" xr:uid="{00000000-0005-0000-0000-000004000000}"/>
    <cellStyle name="Normal" xfId="0" builtinId="0"/>
    <cellStyle name="Normal 11" xfId="9" xr:uid="{00000000-0005-0000-0000-000006000000}"/>
    <cellStyle name="Normal 2" xfId="5" xr:uid="{00000000-0005-0000-0000-000007000000}"/>
    <cellStyle name="Normal 3" xfId="3" xr:uid="{00000000-0005-0000-0000-000008000000}"/>
    <cellStyle name="Normal 9" xfId="8" xr:uid="{00000000-0005-0000-0000-000009000000}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72" formatCode="_-* #,##0.00\ _C_F_A_-;\-* #,##0.00\ _C_F_A_-;_-* &quot;-&quot;\ _C_F_A_-;_-@_-"/>
    </dxf>
    <dxf>
      <numFmt numFmtId="172" formatCode="_-* #,##0.00\ _C_F_A_-;\-* #,##0.00\ _C_F_A_-;_-* &quot;-&quot;\ _C_F_A_-;_-@_-"/>
    </dxf>
    <dxf>
      <numFmt numFmtId="172" formatCode="_-* #,##0.00\ _C_F_A_-;\-* #,##0.00\ _C_F_A_-;_-* &quot;-&quot;\ _C_F_A_-;_-@_-"/>
    </dxf>
    <dxf>
      <numFmt numFmtId="170" formatCode="_-* #,##0.0\ _C_F_A_-;\-* #,##0.0\ _C_F_A_-;_-* &quot;-&quot;\ _C_F_A_-;_-@_-"/>
    </dxf>
    <dxf>
      <numFmt numFmtId="170" formatCode="_-* #,##0.0\ _C_F_A_-;\-* #,##0.0\ _C_F_A_-;_-* &quot;-&quot;\ _C_F_A_-;_-@_-"/>
    </dxf>
    <dxf>
      <numFmt numFmtId="170" formatCode="_-* #,##0.0\ _C_F_A_-;\-* #,##0.0\ _C_F_A_-;_-* &quot;-&quot;\ _C_F_A_-;_-@_-"/>
    </dxf>
    <dxf>
      <numFmt numFmtId="172" formatCode="_-* #,##0.00\ _C_F_A_-;\-* #,##0.00\ _C_F_A_-;_-* &quot;-&quot;\ _C_F_A_-;_-@_-"/>
    </dxf>
    <dxf>
      <numFmt numFmtId="172" formatCode="_-* #,##0.00\ _C_F_A_-;\-* #,##0.00\ _C_F_A_-;_-* &quot;-&quot;\ _C_F_A_-;_-@_-"/>
    </dxf>
    <dxf>
      <numFmt numFmtId="173" formatCode="_-* #,##0.000\ _C_F_A_-;\-* #,##0.000\ _C_F_A_-;_-* &quot;-&quot;\ _C_F_A_-;_-@_-"/>
    </dxf>
    <dxf>
      <numFmt numFmtId="172" formatCode="_-* #,##0.00\ _C_F_A_-;\-* #,##0.00\ _C_F_A_-;_-* &quot;-&quot;\ _C_F_A_-;_-@_-"/>
    </dxf>
    <dxf>
      <numFmt numFmtId="170" formatCode="_-* #,##0.0\ _C_F_A_-;\-* #,##0.0\ _C_F_A_-;_-* &quot;-&quot;\ _C_F_A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_DCSOM_DATABASE_17_05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INFOTITRE"/>
      <sheetName val="Feuil6"/>
      <sheetName val="Requete_INFOTITREMINIER OK"/>
      <sheetName val="SONDAGE"/>
      <sheetName val="Requete_SONDAGE"/>
      <sheetName val="Feuil3"/>
      <sheetName val="Requete_PRODUCTION CIMICS OK"/>
      <sheetName val="PRO"/>
      <sheetName val="PRODUC CIMICS"/>
      <sheetName val="Feuil4"/>
      <sheetName val="PRODUCTION"/>
      <sheetName val="Production vendue OK"/>
      <sheetName val="Requete_PRODUCTIONELECTRICI_OK"/>
      <sheetName val="Requete_EXPORTATION_OK"/>
      <sheetName val="EXPORTATION"/>
      <sheetName val="CHARGE"/>
      <sheetName val="Charges rectifiées"/>
      <sheetName val="Charges rectifiées T"/>
      <sheetName val="DEPENSES TRAV MIN"/>
      <sheetName val="MAINDOEUVRE"/>
      <sheetName val="Maindoeuvre_OK"/>
      <sheetName val="Fournisseurs"/>
      <sheetName val="FOURNISR"/>
      <sheetName val="Fournisseurs_OK"/>
      <sheetName val="Feuil1"/>
      <sheetName val="Compar"/>
      <sheetName val="Charges_compar"/>
      <sheetName val="Feuil2"/>
      <sheetName val="Charges"/>
      <sheetName val="Requete_REALISATIONSOCIALE"/>
      <sheetName val="RSE"/>
      <sheetName val="Requete_REALISATIONSOCIALE (2)"/>
      <sheetName val="Feuil8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B4" t="str">
            <v>Activités sociaux culturelles</v>
          </cell>
          <cell r="C4" t="str">
            <v>Activités socio-culturelles</v>
          </cell>
        </row>
        <row r="5">
          <cell r="B5" t="str">
            <v>Activités socio-culturelles</v>
          </cell>
          <cell r="C5" t="str">
            <v>Activités socio-culturelles</v>
          </cell>
        </row>
        <row r="6">
          <cell r="B6" t="str">
            <v>Agriculture</v>
          </cell>
          <cell r="C6" t="str">
            <v>Agriculture</v>
          </cell>
        </row>
        <row r="7">
          <cell r="B7" t="str">
            <v>Appui institutionnel</v>
          </cell>
          <cell r="C7" t="str">
            <v>Appui institutionnel</v>
          </cell>
        </row>
        <row r="8">
          <cell r="B8" t="str">
            <v>Chantier Effage</v>
          </cell>
          <cell r="C8" t="str">
            <v>Infrastructure routière</v>
          </cell>
        </row>
        <row r="9">
          <cell r="B9" t="str">
            <v>Chantier Mbourwaille</v>
          </cell>
          <cell r="C9" t="str">
            <v>Infrastructure routière</v>
          </cell>
        </row>
        <row r="10">
          <cell r="B10" t="str">
            <v>dépenses générales et activités génératrice de revenue</v>
          </cell>
          <cell r="C10" t="str">
            <v>Dons</v>
          </cell>
        </row>
        <row r="11">
          <cell r="B11" t="str">
            <v>Dons</v>
          </cell>
          <cell r="C11" t="str">
            <v>Dons</v>
          </cell>
        </row>
        <row r="12">
          <cell r="B12" t="str">
            <v>Eaux assainissement des eaux</v>
          </cell>
          <cell r="C12" t="str">
            <v>Eaux et assainissement des eaux</v>
          </cell>
        </row>
        <row r="13">
          <cell r="B13" t="str">
            <v>Eaux et assainissement des eaux</v>
          </cell>
          <cell r="C13" t="str">
            <v>Eaux et assainissement des eaux</v>
          </cell>
        </row>
        <row r="14">
          <cell r="B14" t="str">
            <v>Education</v>
          </cell>
          <cell r="C14" t="str">
            <v>Education</v>
          </cell>
        </row>
        <row r="15">
          <cell r="B15" t="str">
            <v>Éducation</v>
          </cell>
          <cell r="C15" t="str">
            <v>Education</v>
          </cell>
        </row>
        <row r="16">
          <cell r="B16" t="str">
            <v>Electrification</v>
          </cell>
          <cell r="C16" t="str">
            <v>Electrification</v>
          </cell>
        </row>
        <row r="17">
          <cell r="B17" t="str">
            <v>électrification</v>
          </cell>
          <cell r="C17" t="str">
            <v>Electrification</v>
          </cell>
        </row>
        <row r="18">
          <cell r="B18" t="str">
            <v>Environnement</v>
          </cell>
          <cell r="C18" t="str">
            <v>Environnement</v>
          </cell>
        </row>
        <row r="19">
          <cell r="B19" t="str">
            <v>Infrastructure</v>
          </cell>
          <cell r="C19" t="str">
            <v>Infrastructure routière</v>
          </cell>
        </row>
        <row r="20">
          <cell r="B20" t="str">
            <v>Infrastructure routière</v>
          </cell>
          <cell r="C20" t="str">
            <v>Infrastructure routière</v>
          </cell>
        </row>
        <row r="21">
          <cell r="B21" t="str">
            <v>Infrastructures Communautaire</v>
          </cell>
          <cell r="C21" t="str">
            <v>Infrastructure routière</v>
          </cell>
        </row>
        <row r="22">
          <cell r="B22" t="str">
            <v>Santé</v>
          </cell>
          <cell r="C22" t="str">
            <v>Santé</v>
          </cell>
        </row>
        <row r="23">
          <cell r="B23" t="str">
            <v>transport</v>
          </cell>
          <cell r="C23" t="str">
            <v>Infrastructure routière</v>
          </cell>
        </row>
        <row r="24">
          <cell r="B24" t="str">
            <v>Sport</v>
          </cell>
          <cell r="C24" t="str">
            <v>Sport</v>
          </cell>
        </row>
        <row r="25">
          <cell r="B25" t="str">
            <v>Total général</v>
          </cell>
        </row>
      </sheetData>
      <sheetData sheetId="32"/>
      <sheetData sheetId="33"/>
      <sheetData sheetId="3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llou DIONE" refreshedDate="45523.654492476853" createdVersion="6" refreshedVersion="6" minRefreshableVersion="3" recordCount="385" xr:uid="{00000000-000A-0000-FFFF-FFFF23000000}">
  <cacheSource type="worksheet">
    <worksheetSource ref="A1:R386" sheet="INFO_TITRE_MINIER"/>
  </cacheSource>
  <cacheFields count="18">
    <cacheField name="Nom de l'entreprise ou Denomination sociale" numFmtId="0">
      <sharedItems count="116">
        <s v="AFRICAN INVESTMENT GROUP SA"/>
        <s v="AGEM SENEGAL EXPLORATION SUARL"/>
        <s v="AMAFRIQUE SENEGAL"/>
        <s v="BARRICK GOLD"/>
        <s v="BMCC"/>
        <s v="COGECA"/>
        <s v="DANGOTE CEMENT SENEGAL "/>
        <s v="GH MINING SARL"/>
        <s v="GECAMINES"/>
        <s v="GRANDE COTE OPERATIONS SA"/>
        <s v="GROUPEMENT D'ENTREPRISE SINTRAM HOUAR"/>
        <s v="INDUSTRIE CHIMIQUES DU SENEGAL / INDORAMA"/>
        <s v="LES CIMENTS DU SAHEL SA"/>
        <s v="MAKABINGUI GOLD OPERATION SA"/>
        <s v="PETOWAL MINING COMPAGNY SA"/>
        <s v="SABODALA GOLD OPERATIONS SA"/>
        <s v="SABODALA MINING COMPANY SARL"/>
        <s v="SENEGAL MINES SA"/>
        <s v="SEPHOS SENEGAL SA"/>
        <s v="SOCIETE SENEGALAISE DES PHOSPHATES DE THIES"/>
        <s v="SOCOBE"/>
        <s v="SODEVIT"/>
        <s v="SOMIVA"/>
        <s v="SONKO ET FILS"/>
        <s v="SORED MINES SA"/>
        <s v="SOCOCIM INDUSTRIES"/>
        <s v="AFRIGOLD SA"/>
        <s v="ARDIMINES SARL"/>
        <s v="BAMBUK MINERALS SENEGAL SARL"/>
        <s v="BOSFOR SARL"/>
        <s v="BOYA"/>
        <s v="2SBCI"/>
        <s v="AFRIGEM SL"/>
        <s v="AGROMINE"/>
        <s v="ALBINA SENEGAL SARL"/>
        <s v="BAMBADJI SA"/>
        <s v="BAMBUK MINERALS SARL"/>
        <s v="BB FIRST COMMODITY HOLDING LIMITED"/>
        <s v="BMCC SA"/>
        <s v="BOSFOR"/>
        <s v="BOYA SA"/>
        <s v="CHALLENGE NORD-SUD INTERNATIONAL"/>
        <s v="CIMENT DE L'AFRIQUE SENEGAL SA"/>
        <s v="CIMENTS DU SAHEL"/>
        <s v="COMPTOIR AURIFERE DE L'AFRIQUE"/>
        <s v="DAMASH MINERALS LTD"/>
        <s v="DANGOTE CEMENT SENEGAL"/>
        <s v="ENTREPRISE MAPATHE NDIOUK SA"/>
        <s v="G.H MINING"/>
        <s v="GCO"/>
        <s v="GLOBAL IMMO SENEGAL SA "/>
        <s v="G-PHOS SA"/>
        <s v="IAMGOLD BOTO S.A"/>
        <s v="INCA SARL"/>
        <s v="INDUSTRIES CHIMIQUES DU SENEGAL"/>
        <s v="INTERNATIONAL MINING COMPANY (IMC)"/>
        <s v="KANEL RESSOURCES"/>
        <s v="KUTLU GABANE HOLDING S.A"/>
        <s v="LES CARRIERES CTG SUARL"/>
        <s v="Makabingui Gold Operations S.A"/>
        <s v="MASSAWA JERSEY LIMITED"/>
        <s v="New Energy Investment (NEI) SARL"/>
        <s v="NIAMAYA GOLD"/>
        <s v="PETOWAL MINING COMPANY (PMC) SA"/>
        <s v="PROCHIMAT SA"/>
        <s v="SABODALA GOLD OPERATIONS"/>
        <s v="SABODALA MINING COMPANY"/>
        <s v="SENEGAL MINES"/>
        <s v="SENEGINDIA SA"/>
        <s v="SOCABEG MINING"/>
        <s v="SOCIETE SENEGALAISE DE NEGOCE INTERNATIONALE (SNEPAC) SARL"/>
        <s v="SONKO ET FILS SARL"/>
        <s v="SOCIETE SENEGALAISE DES PHOSPHATES DE THIES (SSPT)"/>
        <s v="TANOR INDUSTRIELLES SA"/>
        <s v="TETACAR"/>
        <s v="Triyangs International Mining Group SA"/>
        <s v="CSE GRANULATS"/>
        <s v="AFRIGOLD SARL"/>
        <s v="ATIC SARL"/>
        <s v="CHALLENGER NORD-SUD INTERNATIONAL INC"/>
        <s v="CIMENTS DE L' AFRIQUE SA"/>
        <s v="COMPAGNIE GENERALE D'EXPLOITATION DE CARRIERE"/>
        <s v="CONSULTING BUSINESS AGENGY SARL"/>
        <s v="DIYAN EXPLOITATION MINIERE SUARL"/>
        <s v="ENTREPRISE MAPATHE NDIOUCK SA"/>
        <s v="ENTREPRISE OUSMANE SOW"/>
        <s v="GAZAL CARRIERES SUARL"/>
        <s v="GLOBAL IMMO SENEGAL SARL"/>
        <s v="G-PHOS S.A.U"/>
        <s v="GRANDE COTE OPERATIONS"/>
        <s v="HOLDING ATLANTQUE MINING PETROLUM-SA"/>
        <s v="KANEL RESOURCES"/>
        <s v="LES CARRIERES CTG SARL"/>
        <s v="NEW ENERGY INVESTMENT SARL"/>
        <s v="NIAMAYA GOLD SARL"/>
        <s v="ROYAL SENEGAL MINES ET EQUIPEMENT"/>
        <s v="SOCIETE DE CONCASSAGE ET DU BETON (SOCOBE)"/>
        <s v="SOCIETE MINIERE DE LA VALLEE DU FLEUVE SENEGAL –SOMIVA"/>
        <s v="SODEMINES"/>
        <s v="SODEVCO"/>
        <s v="SOMAPIS SARL"/>
        <s v="STRATEX-EMC.SA"/>
        <s v="TALIX-MINES"/>
        <s v="CAYOR PHOSPHATE MINING"/>
        <s v="TANOR SAS"/>
        <s v="VAPROM AFRICA SA"/>
        <s v="BHAIRAVA AGRICOLE SARL"/>
        <s v="CHESSER"/>
        <s v="CONSULTING BUSINESS AGENCY"/>
        <s v="DALEMA"/>
        <s v="SEN-HMC SUARL"/>
        <s v="SERIGNE SALIOU MBACKE SUARL"/>
        <s v="SOCIETE DE MANUFACTURE DE PRODUCTION INDUSTRIELLE DU SENEGAL (SOMAPIS)"/>
        <s v="SWAMI MINES SA"/>
        <s v="CARRIERES ET SABLES"/>
        <s v="SSPT" u="1"/>
      </sharedItems>
    </cacheField>
    <cacheField name="entreprise_id" numFmtId="0">
      <sharedItems/>
    </cacheField>
    <cacheField name="num_titre_minier" numFmtId="0">
      <sharedItems containsBlank="1" containsMixedTypes="1" containsNumber="1" containsInteger="1" minValue="1326" maxValue="2011770"/>
    </cacheField>
    <cacheField name="nom_perimetre" numFmtId="0">
      <sharedItems/>
    </cacheField>
    <cacheField name="nm_nature" numFmtId="0">
      <sharedItems/>
    </cacheField>
    <cacheField name="nm_region" numFmtId="0">
      <sharedItems/>
    </cacheField>
    <cacheField name="Substances" numFmtId="0">
      <sharedItems containsBlank="1"/>
    </cacheField>
    <cacheField name="Commune" numFmtId="0">
      <sharedItems containsBlank="1"/>
    </cacheField>
    <cacheField name="Département" numFmtId="0">
      <sharedItems containsBlank="1"/>
    </cacheField>
    <cacheField name="date_signature" numFmtId="0">
      <sharedItems containsDate="1" containsBlank="1" containsMixedTypes="1" minDate="1996-11-15T00:00:00" maxDate="2022-05-28T00:00:00"/>
    </cacheField>
    <cacheField name="date_octroi" numFmtId="0">
      <sharedItems containsDate="1" containsBlank="1" containsMixedTypes="1" minDate="1979-01-09T00:00:00" maxDate="2022-11-18T00:00:00"/>
    </cacheField>
    <cacheField name="depense_prevue" numFmtId="0">
      <sharedItems containsString="0" containsBlank="1" containsNumber="1" containsInteger="1" minValue="0" maxValue="522919221"/>
    </cacheField>
    <cacheField name="superficie_octroye" numFmtId="0">
      <sharedItems containsString="0" containsBlank="1" containsNumber="1" minValue="0" maxValue="4396"/>
    </cacheField>
    <cacheField name="superficie_exploite" numFmtId="0">
      <sharedItems containsString="0" containsBlank="1" containsNumber="1" minValue="0" maxValue="291.8"/>
    </cacheField>
    <cacheField name="superficie_rendue" numFmtId="0">
      <sharedItems containsString="0" containsBlank="1" containsNumber="1" minValue="0" maxValue="2520"/>
    </cacheField>
    <cacheField name="superficie_rehabilite" numFmtId="0">
      <sharedItems containsString="0" containsBlank="1" containsNumber="1" minValue="0" maxValue="1327"/>
    </cacheField>
    <cacheField name="date_fin" numFmtId="0">
      <sharedItems containsDate="1" containsBlank="1" containsMixedTypes="1" minDate="1899-12-31T00:00:00" maxDate="3000-01-01T00:00:00"/>
    </cacheField>
    <cacheField name="année de référence" numFmtId="0">
      <sharedItems containsSemiMixedTypes="0" containsString="0" containsNumber="1" containsInteger="1" minValue="2018" maxValue="2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llou DIONE" refreshedDate="45637.542812500003" createdVersion="6" refreshedVersion="6" minRefreshableVersion="3" recordCount="51" xr:uid="{00000000-000A-0000-FFFF-FFFF26000000}">
  <cacheSource type="worksheet">
    <worksheetSource ref="A1:E52" sheet="PRODUCTION ELECTRICITE"/>
  </cacheSource>
  <cacheFields count="5">
    <cacheField name="entreprise_id" numFmtId="164">
      <sharedItems/>
    </cacheField>
    <cacheField name="qte_electrc_autoconsom" numFmtId="164">
      <sharedItems containsSemiMixedTypes="0" containsString="0" containsNumber="1" minValue="1100" maxValue="327336985"/>
    </cacheField>
    <cacheField name="estimatn_autoconsommtn" numFmtId="164">
      <sharedItems containsString="0" containsBlank="1" containsNumber="1" minValue="26644" maxValue="27100412"/>
    </cacheField>
    <cacheField name="Année" numFmtId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Activité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llou DIONE" refreshedDate="45811.664031365741" createdVersion="6" refreshedVersion="6" minRefreshableVersion="3" recordCount="203" xr:uid="{00000000-000A-0000-FFFF-FFFF3E000000}">
  <cacheSource type="worksheet">
    <worksheetSource ref="A1:P204" sheet="PRODUCTION_TRANSFORMEE"/>
  </cacheSource>
  <cacheFields count="16">
    <cacheField name="entreprise_id" numFmtId="0">
      <sharedItems/>
    </cacheField>
    <cacheField name="Région" numFmtId="164">
      <sharedItems containsBlank="1"/>
    </cacheField>
    <cacheField name="produit_desc" numFmtId="164">
      <sharedItems count="23">
        <s v="PHOSPHATES"/>
        <s v="BASALTE"/>
        <s v="CIMENT"/>
        <s v="MANGANESE"/>
        <s v="ZIRCON"/>
        <s v="ILMENITE"/>
        <s v="RUTILE"/>
        <s v="LEUCOXENE"/>
        <s v="ENGRAIS"/>
        <s v="ACIDE PHOSPHORIQUE"/>
        <s v="OR"/>
        <s v="ARGENT"/>
        <s v="ATTAPULGITE"/>
        <s v="HORMITE"/>
        <s v="SILEX"/>
        <s v="CALCAIRE"/>
        <s v="MINERAUX LOURDS"/>
        <s v="GRES"/>
        <s v="LATERITE"/>
        <s v="CLINKER"/>
        <s v="Grès" u="1"/>
        <s v="MEDIUM ZIRCON" u="1"/>
        <s v="Minéraux Lourds" u="1"/>
      </sharedItems>
    </cacheField>
    <cacheField name="qte_prd_vendu_pays" numFmtId="164">
      <sharedItems containsString="0" containsBlank="1" containsNumber="1" minValue="0" maxValue="3192851.27"/>
    </cacheField>
    <cacheField name="qte_prd_vendu_etrger" numFmtId="164">
      <sharedItems containsString="0" containsBlank="1" containsNumber="1" minValue="0" maxValue="1150722"/>
    </cacheField>
    <cacheField name="qte_stock_immobilisé" numFmtId="164">
      <sharedItems containsString="0" containsBlank="1" containsNumber="1" minValue="0" maxValue="1412149"/>
    </cacheField>
    <cacheField name="qte_stock_ouverture" numFmtId="164">
      <sharedItems containsString="0" containsBlank="1" containsNumber="1" minValue="0" maxValue="1244000"/>
    </cacheField>
    <cacheField name="qte_prd_stock_cloture" numFmtId="164">
      <sharedItems containsString="0" containsBlank="1" containsNumber="1" minValue="0" maxValue="1244000"/>
    </cacheField>
    <cacheField name="val_prd_vendu_pays" numFmtId="164">
      <sharedItems containsString="0" containsBlank="1" containsNumber="1" minValue="0" maxValue="151849279" count="141">
        <n v="607373"/>
        <n v="19126283"/>
        <n v="38438175"/>
        <n v="19508275"/>
        <m/>
        <n v="117770301"/>
        <n v="16877"/>
        <n v="62849574"/>
        <n v="711877"/>
        <n v="5786"/>
        <n v="610399"/>
        <n v="218074"/>
        <n v="41892"/>
        <n v="2374122"/>
        <n v="4036281"/>
        <n v="91829270"/>
        <n v="145259.35722819594"/>
        <n v="890540"/>
        <n v="12696249"/>
        <n v="47670012"/>
        <n v="16414043"/>
        <n v="63149"/>
        <n v="16037099"/>
        <n v="51178"/>
        <n v="70284602"/>
        <n v="16645002"/>
        <n v="4375"/>
        <n v="1657156"/>
        <n v="246385"/>
        <n v="858182"/>
        <n v="5692920"/>
        <n v="2605779"/>
        <n v="93916196.184531569"/>
        <n v="225989"/>
        <n v="247042"/>
        <n v="89376"/>
        <n v="252890"/>
        <n v="245714"/>
        <n v="0"/>
        <n v="1256074"/>
        <n v="75088294"/>
        <n v="12361013"/>
        <n v="156903"/>
        <n v="52869758"/>
        <n v="11705"/>
        <n v="417480"/>
        <n v="10819544"/>
        <n v="583960.72499999998"/>
        <n v="239143"/>
        <n v="907000"/>
        <n v="20288247"/>
        <n v="4917"/>
        <n v="1559846"/>
        <n v="5.9599999999999986E-2"/>
        <n v="102370"/>
        <n v="8692666"/>
        <n v="4911"/>
        <n v="481032"/>
        <n v="844048"/>
        <n v="544320"/>
        <n v="109698640"/>
        <n v="1274261"/>
        <n v="3447020"/>
        <n v="227868"/>
        <n v="2947702.56"/>
        <n v="306018"/>
        <n v="2174497"/>
        <n v="264324"/>
        <n v="117000"/>
        <n v="1175088"/>
        <n v="85250643"/>
        <n v="4532022.8619999997"/>
        <n v="3487344.6329999999"/>
        <n v="54235498"/>
        <n v="96921"/>
        <n v="526000"/>
        <n v="6022"/>
        <n v="1576265.5989999999"/>
        <n v="14234797.033"/>
        <n v="123665"/>
        <n v="405223"/>
        <n v="362770"/>
        <n v="18232908"/>
        <n v="4993"/>
        <n v="846434.70957999991"/>
        <n v="87859"/>
        <n v="9045233"/>
        <n v="806018.06200000003"/>
        <n v="129673"/>
        <n v="586384"/>
        <n v="5972478"/>
        <n v="211192"/>
        <n v="32576"/>
        <n v="2313778"/>
        <n v="778966"/>
        <n v="499879"/>
        <n v="204879"/>
        <n v="15023250"/>
        <n v="357436.51"/>
        <n v="136927.5"/>
        <n v="169000"/>
        <n v="223616.46899999998"/>
        <n v="477353.10800000001"/>
        <n v="132023992"/>
        <n v="306017.57"/>
        <n v="1614476"/>
        <n v="205720.2"/>
        <n v="334686"/>
        <n v="149252"/>
        <n v="1954151"/>
        <n v="112613674"/>
        <n v="16061313"/>
        <n v="222188.41899999976"/>
        <n v="8611048.727"/>
        <n v="39627967"/>
        <n v="403499.91899999999"/>
        <n v="99050.709999999992"/>
        <n v="534400"/>
        <n v="2396041"/>
        <n v="17227606"/>
        <n v="2137633.4270000001"/>
        <n v="182334"/>
        <n v="6289"/>
        <n v="27574026"/>
        <n v="963311.8"/>
        <n v="129907"/>
        <n v="260400"/>
        <n v="9028238"/>
        <n v="6345"/>
        <n v="171436"/>
        <n v="460000"/>
        <n v="941421"/>
        <n v="15367231.939999999"/>
        <n v="220537"/>
        <n v="151849279"/>
        <n v="277000"/>
        <n v="1321444.68"/>
        <n v="2313840"/>
        <n v="716405"/>
        <n v="371976"/>
        <n v="609343"/>
      </sharedItems>
    </cacheField>
    <cacheField name="val_prd_vendu_etrger" numFmtId="164">
      <sharedItems containsString="0" containsBlank="1" containsNumber="1" minValue="0" maxValue="533842674"/>
    </cacheField>
    <cacheField name="val_prd_stock_immobilisé" numFmtId="164">
      <sharedItems containsString="0" containsBlank="1" containsNumber="1" minValue="0" maxValue="55066154"/>
    </cacheField>
    <cacheField name="val_prd_stock_ouverture" numFmtId="164">
      <sharedItems containsString="0" containsBlank="1" containsNumber="1" minValue="0" maxValue="48672810.243158169"/>
    </cacheField>
    <cacheField name="val_prd_stock_cloture" numFmtId="164">
      <sharedItems containsString="0" containsBlank="1" containsNumber="1" minValue="0" maxValue="44891431.75240282"/>
    </cacheField>
    <cacheField name="PRODUCTION EN QUANTITE" numFmtId="0">
      <sharedItems containsString="0" containsBlank="1" containsNumber="1" minValue="-22" maxValue="3549308"/>
    </cacheField>
    <cacheField name="PRODUCTION EN VALEUR" numFmtId="164">
      <sharedItems containsString="0" containsBlank="1" containsNumber="1" minValue="0" maxValue="535846513"/>
    </cacheField>
    <cacheField name="ANNEE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llou DIONE" refreshedDate="45811.668769328702" createdVersion="6" refreshedVersion="6" minRefreshableVersion="3" recordCount="49" xr:uid="{00000000-000A-0000-FFFF-FFFF3A000000}">
  <cacheSource type="worksheet">
    <worksheetSource ref="A1:G50" sheet="PRODUCTION CIMICS"/>
  </cacheSource>
  <cacheFields count="7">
    <cacheField name="entreprise_id" numFmtId="164">
      <sharedItems/>
    </cacheField>
    <cacheField name="substance_desc" numFmtId="164">
      <sharedItems count="6">
        <s v="CALCAIRE"/>
        <s v="ARGILE"/>
        <s v="LATERITE"/>
        <s v="PHOSPHATE"/>
        <s v="MARNO CALCAIRE"/>
        <s v="MARNE" u="1"/>
      </sharedItems>
    </cacheField>
    <cacheField name="qte_brute" numFmtId="164">
      <sharedItems containsSemiMixedTypes="0" containsString="0" containsNumber="1" containsInteger="1" minValue="31521" maxValue="2902226"/>
    </cacheField>
    <cacheField name="cout_production" numFmtId="164">
      <sharedItems containsSemiMixedTypes="0" containsString="0" containsNumber="1" minValue="54626" maxValue="56393616"/>
    </cacheField>
    <cacheField name="qte_transforme" numFmtId="164">
      <sharedItems containsSemiMixedTypes="0" containsString="0" containsNumber="1" containsInteger="1" minValue="31521" maxValue="2902226"/>
    </cacheField>
    <cacheField name="annee_reference" numFmtId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Région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llou DIONE" refreshedDate="45811.692010069448" createdVersion="6" refreshedVersion="6" minRefreshableVersion="3" recordCount="453" xr:uid="{00000000-000A-0000-FFFF-FFFF41000000}">
  <cacheSource type="worksheet">
    <worksheetSource ref="A1:F454" sheet="EXPORTATION"/>
  </cacheSource>
  <cacheFields count="6">
    <cacheField name="entreprise_id" numFmtId="0">
      <sharedItems count="29">
        <s v="AFRIGOLD SA"/>
        <s v="BMCC"/>
        <s v="DANGOTE CEMENT SENEGAL"/>
        <s v="GH MINING SARL"/>
        <s v="GRANDE COTE OPERATIONS SA"/>
        <s v="INDUSTRIE CHIMIQUES DU SENEGAL / INDORAMA"/>
        <s v="LES CIMENTS DU SAHEL SA"/>
        <s v="PETOWAL MINING COMPAGNY SA"/>
        <s v="SABODALA GOLD OPERATIONS SA"/>
        <s v="SENEGAL MINES SA"/>
        <s v="SEPHOS SENEGAL SA"/>
        <s v="SOCIETE SENEGALAISE DES PHOSPHATES DE THIES"/>
        <s v="SOCIETE MINIERE DE LA VALLEE DU FLEUVE SENEGAL –SOMIVA"/>
        <s v="SOCOCIM INDUSTRIES"/>
        <s v="CIMENTS DU SAHEL"/>
        <s v="INDUSTRIES CHIMIQUES DU SENEGAL"/>
        <s v="PETOWAL MINING COMPANY (PMC) SA"/>
        <s v="PROCHIMAT SA"/>
        <s v="SABODALA GOLD OPERATIONS"/>
        <s v="SENEGAL MINES"/>
        <s v="GCO"/>
        <s v="CSE GRANULATS"/>
        <s v="G.H MINING"/>
        <s v="BMCC SA"/>
        <s v="SOCIETE SENEGALAISE DES PHOSPHATES DE THIES (SSPT)"/>
        <s v="TALIX-MINES"/>
        <s v="GRANDE COTE OPERATIONS"/>
        <s v="SOCOCIM"/>
        <s v="SEN-HMC SUARL"/>
      </sharedItems>
    </cacheField>
    <cacheField name="produit_desc" numFmtId="169">
      <sharedItems count="18">
        <s v="OR"/>
        <s v="PHOSPHATE"/>
        <s v="CIMENT"/>
        <s v="MANGANESE"/>
        <s v="TITANE"/>
        <s v="ZIRCON"/>
        <s v="ACIDE PHOPHORIQUE"/>
        <s v="ENGRAIS "/>
        <s v="ARGENT"/>
        <s v="ATTAPULGITE"/>
        <s v="HORMITE"/>
        <s v="Engrais"/>
        <s v="RUTILE"/>
        <s v="ILMENITE"/>
        <s v="LEUCOXENE"/>
        <s v="BASALTE"/>
        <s v="CLINKER"/>
        <s v="MINERAUX LOURDS"/>
      </sharedItems>
    </cacheField>
    <cacheField name="nom_pays" numFmtId="0">
      <sharedItems count="85">
        <s v="DUBAI"/>
        <s v="INDE"/>
        <s v="GUINEE BISSAU"/>
        <s v="MALI"/>
        <s v="GAMBIE"/>
        <s v="CHINE"/>
        <s v="AFRIQUE DU SUD"/>
        <s v="ARABIE SAOUDITE"/>
        <s v="BELGIQUE"/>
        <s v="COLOMBIE"/>
        <s v="RÉPUBLIQUE DE CORÉE"/>
        <s v="COSTA RICA"/>
        <s v="ÉMIRATS ARABES UNIS"/>
        <s v="ESPAGNE"/>
        <s v="ÉTATS-UNIS"/>
        <s v="FRANCE"/>
        <s v="ÎLES VIERGES DES ÉTATS-UNIS"/>
        <s v="JAPON"/>
        <s v="MALAISIE"/>
        <s v="MAROC"/>
        <s v="MEXIQUE"/>
        <s v="MONTÉNÉGRO"/>
        <s v="NAURU"/>
        <s v="NIGER"/>
        <s v="NORVÈGE"/>
        <s v="PAYS-BAS"/>
        <s v="POLOGNE"/>
        <s v="SÉNÉGAL"/>
        <s v="SUÈDE"/>
        <s v="SUISSE"/>
        <s v="UKRAINE"/>
        <s v="NORVEGE"/>
        <s v="ALLEMAGNE"/>
        <s v="AUSTRALIE"/>
        <s v="BRÉSIL"/>
        <s v="INDONÉSIE"/>
        <s v="ITALIE"/>
        <s v="ROYAUME-UNI"/>
        <s v="EMIRATS ARABES UNIS "/>
        <s v="BURKINA FASO"/>
        <s v="MAURITANIE"/>
        <s v="SINGAPOUR"/>
        <s v="GUINEE "/>
        <s v="PORTO RICO"/>
        <s v="ILES VIERGES BRITANNIQUES"/>
        <s v="ANGLETERRE"/>
        <s v="CANADA"/>
        <s v="MONDE"/>
        <s v="HOLLANDE"/>
        <s v="BULGARIE"/>
        <s v="LIBAN"/>
        <s v="ROUMANIE"/>
        <s v="GUINEE"/>
        <s v="LA CORÉE"/>
        <s v="EMIRATS ARABES_x000a_UNIS"/>
        <s v="ETATS-UNIS"/>
        <s v="FINLANDE"/>
        <s v="RUSSIE"/>
        <s v="VIETNAM"/>
        <s v="HONG KONG"/>
        <s v="TURQUIE"/>
        <s v="SIERRA LEONE"/>
        <s v="GHANA"/>
        <s v="PORTUGAL"/>
        <s v="COTE D'IVOIRE"/>
        <s v="Guinée"/>
        <s v="Guinée-Bissau"/>
        <s v="Côte d'Ivoire"/>
        <s v="Thaïlande"/>
        <s v="Congo"/>
        <s v="Etats Unis"/>
        <s v="Corée du Nord"/>
        <s v="Norvége"/>
        <s v="Corée du Sud"/>
        <s v="El Salvador"/>
        <s v="Brazil"/>
        <s v="USA"/>
        <s v="Korée du Sud"/>
        <s v="Taiwan"/>
        <s v="Emirat Arabe Unis"/>
        <s v="Cote d'ivore"/>
        <s v="Maurice"/>
        <s v="Panamá"/>
        <s v="Salvador"/>
        <s v="Lituanie"/>
      </sharedItems>
    </cacheField>
    <cacheField name="qte_vendu_pays" numFmtId="0">
      <sharedItems containsSemiMixedTypes="0" containsString="0" containsNumber="1" minValue="0" maxValue="1005499"/>
    </cacheField>
    <cacheField name="val_produit" numFmtId="164">
      <sharedItems containsSemiMixedTypes="0" containsString="0" containsNumber="1" minValue="900" maxValue="533842674"/>
    </cacheField>
    <cacheField name="Année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5">
  <r>
    <x v="0"/>
    <s v="AFRICAN INVESTMENT GROUP SA"/>
    <s v="010684MEMDMG"/>
    <s v="KEBEMER"/>
    <s v="Permis de recherche     "/>
    <s v="LOUGA  "/>
    <s v="PHOSPHATE"/>
    <s v="THIOLOM FALL"/>
    <s v="KEBEMER"/>
    <d v="2013-02-22T00:00:00"/>
    <s v="10/7/2013"/>
    <n v="75000"/>
    <n v="473.2"/>
    <n v="0"/>
    <n v="158"/>
    <n v="0"/>
    <m/>
    <n v="2018"/>
  </r>
  <r>
    <x v="0"/>
    <s v="AFRICAN INVESTMENT GROUP SA"/>
    <s v="007543MMIPMEDMG"/>
    <s v="SUD SAINT LOUIS"/>
    <s v="Permis de recherche     "/>
    <s v="SAINT-LOUIS"/>
    <s v="PHOSPHATE"/>
    <s v="NDIEBENE GANDIOLE"/>
    <s v="SAINT LOUIS"/>
    <s v="23/1/2012"/>
    <s v="27/1/2012"/>
    <n v="100000"/>
    <n v="87.54"/>
    <n v="0"/>
    <n v="43.04"/>
    <n v="0"/>
    <m/>
    <n v="2018"/>
  </r>
  <r>
    <x v="1"/>
    <s v="AGEM SENEGAL EXPLORATION SUARL"/>
    <s v="012395MMGDMG"/>
    <s v="NOUMOUFOUKHA"/>
    <s v="Permis de recherche     "/>
    <s v="KÉDOUGOU"/>
    <s v="OR"/>
    <s v="MÉDINA BAFÉ"/>
    <s v="SARAYA"/>
    <s v="11/5/2018"/>
    <s v="5/6/2018"/>
    <n v="900000"/>
    <n v="79"/>
    <n v="0"/>
    <n v="0"/>
    <n v="0"/>
    <m/>
    <n v="2018"/>
  </r>
  <r>
    <x v="1"/>
    <s v="AGEM SENEGAL EXPLORATION SUARL"/>
    <s v="13984/MIM/DMG"/>
    <s v="DAORALA BOTO"/>
    <s v="Permis de recherche     "/>
    <s v="KÉDOUGOU"/>
    <s v="OR"/>
    <s v="MÉDINA BAFFÉ"/>
    <s v="SARAYA"/>
    <s v="16/8/2004"/>
    <s v="4/3/2005"/>
    <n v="14300000"/>
    <n v="420"/>
    <n v="0"/>
    <n v="184"/>
    <n v="0"/>
    <m/>
    <n v="2018"/>
  </r>
  <r>
    <x v="2"/>
    <s v="AMAFRIQUE SENEGAL"/>
    <s v="018603MMGDMG"/>
    <s v="THILOGNE"/>
    <s v="Permis de recherche     "/>
    <s v="MATAM  "/>
    <s v="PHOSPHATE"/>
    <s v="AGNAM CIVOL"/>
    <s v="MATAM"/>
    <d v="2015-06-02T00:00:00"/>
    <s v="15/7/2015"/>
    <n v="744425"/>
    <n v="1590"/>
    <n v="0"/>
    <n v="401"/>
    <n v="0"/>
    <m/>
    <n v="2018"/>
  </r>
  <r>
    <x v="3"/>
    <s v="BARRICK GOLD"/>
    <s v="012394/MMG/DMG"/>
    <s v="BAMBADJI"/>
    <s v="Permis de recherche     "/>
    <s v="KÉDOUGOU"/>
    <s v="OR"/>
    <s v="BEMBOU/MEDINA BAFFE"/>
    <s v="SARAYA"/>
    <s v="11/5/2018"/>
    <s v="5/6/2018"/>
    <n v="321500"/>
    <n v="235"/>
    <n v="0"/>
    <n v="0"/>
    <n v="0"/>
    <m/>
    <n v="2018"/>
  </r>
  <r>
    <x v="3"/>
    <s v="BARRICK GOLD"/>
    <s v="11204/MIM/DMG"/>
    <s v="KANOUMBA"/>
    <s v="Permis de recherche     "/>
    <s v="KÉDOUGOU"/>
    <s v="OR"/>
    <s v="BEMBOU/TOMBORONKOTO/KHOSANTO/SABODALA"/>
    <s v="KEDOUGOU ET SARAYA"/>
    <s v="14/4/2010"/>
    <s v="21/5/2010"/>
    <n v="2250000"/>
    <n v="606"/>
    <n v="0"/>
    <n v="0"/>
    <n v="0"/>
    <m/>
    <n v="2018"/>
  </r>
  <r>
    <x v="4"/>
    <s v="BMCC SA"/>
    <s v="2018-1840"/>
    <s v="CHERIF LO NGAKHAM "/>
    <s v="Concession minière"/>
    <s v="DIOURBEL"/>
    <s v="PHOSPHATE"/>
    <m/>
    <m/>
    <m/>
    <m/>
    <n v="1540000"/>
    <n v="75"/>
    <n v="5"/>
    <n v="0"/>
    <n v="0"/>
    <m/>
    <n v="2018"/>
  </r>
  <r>
    <x v="5"/>
    <s v="COMPAGNIE GENERALE D'EXPLOITATION DE CARRIERE"/>
    <s v="796MIMDMG"/>
    <s v="BANDIA"/>
    <s v="Carrière"/>
    <s v="THIÈS"/>
    <s v="CALCAIRE"/>
    <s v="BANDIA"/>
    <s v="THIÈS"/>
    <m/>
    <s v="15/11/1996"/>
    <n v="0"/>
    <n v="0.5"/>
    <n v="0.5"/>
    <n v="0"/>
    <n v="0"/>
    <m/>
    <n v="2018"/>
  </r>
  <r>
    <x v="5"/>
    <s v="COMPAGNIE GENERALE D'EXPLOITATION DE CARRIERE"/>
    <s v="7541 MMITPMEDMG"/>
    <s v="NGOUDIANE"/>
    <s v="Carrière"/>
    <s v="THIÈS"/>
    <s v="CALCAIRE"/>
    <s v="BANDIA"/>
    <s v="THIÈS"/>
    <m/>
    <s v="7/8/2009"/>
    <n v="0"/>
    <n v="0.14000000000000001"/>
    <n v="0.14000000000000001"/>
    <n v="0"/>
    <n v="0"/>
    <m/>
    <n v="2018"/>
  </r>
  <r>
    <x v="6"/>
    <s v="DANGOTE CEMENT SENEGAL "/>
    <s v="2008-1431"/>
    <s v="POUT"/>
    <s v="Concession minière"/>
    <s v="THIÈS"/>
    <s v="CALCAIRE"/>
    <s v="POUT"/>
    <s v="THIÈS"/>
    <s v="12/12/2008"/>
    <s v="12/12/2008"/>
    <n v="0"/>
    <n v="14.23"/>
    <n v="1"/>
    <n v="0"/>
    <n v="0"/>
    <m/>
    <n v="2018"/>
  </r>
  <r>
    <x v="7"/>
    <s v="GH MINING SARL"/>
    <s v="006243/MMG/DMG du 20 Mars 2018"/>
    <s v="SUD KENIEBA ET MADINA FOULBE "/>
    <s v="Petite mine"/>
    <s v="TAMBACOUNDA    "/>
    <s v="MANGANESE"/>
    <s v="MADINA FOULBÉ"/>
    <s v="BAKEL"/>
    <s v="6/1/2012"/>
    <m/>
    <n v="0"/>
    <n v="5"/>
    <n v="1.4999999999999999E-2"/>
    <n v="0"/>
    <n v="0"/>
    <m/>
    <n v="2018"/>
  </r>
  <r>
    <x v="8"/>
    <s v="GECAMINES"/>
    <s v="N°001331"/>
    <s v="GECAMINES"/>
    <s v="Carrière"/>
    <s v="THIÈS"/>
    <s v="BASALTE"/>
    <s v="NGOUNDIANE"/>
    <s v="THIES"/>
    <m/>
    <s v="24/1/2019"/>
    <n v="0"/>
    <n v="0.59756200000000004"/>
    <n v="0.59756200000000004"/>
    <n v="0"/>
    <n v="0"/>
    <m/>
    <n v="2018"/>
  </r>
  <r>
    <x v="9"/>
    <s v="GRANDE COTE OPERATIONS SA"/>
    <s v="2007-1326 du 2 novembre 2007"/>
    <s v="GRANDE CÔTE "/>
    <s v="Concession minière"/>
    <s v="THIÈS"/>
    <s v="ZIRCON"/>
    <s v="DAROU KHOUDOSS, MBORO, KAYAR, KAB GAYE"/>
    <s v="KÉBÉMER "/>
    <s v="9/9/2004"/>
    <s v="19/9/2004"/>
    <n v="0"/>
    <n v="445"/>
    <n v="2.2000000000000002"/>
    <n v="0"/>
    <n v="2"/>
    <m/>
    <n v="2018"/>
  </r>
  <r>
    <x v="10"/>
    <s v="GROUPEMENT D'ENTREPRISE SINTRAM HOUAR"/>
    <n v="4068"/>
    <s v="CARRIERE DE BASALTE"/>
    <s v="Carrière"/>
    <s v="THIÈS"/>
    <s v="BASALTE"/>
    <s v="NGOUNDIANE"/>
    <s v="THIES"/>
    <s v="4/6/2007"/>
    <s v="4/6/2007"/>
    <n v="0"/>
    <n v="0.04"/>
    <n v="0.04"/>
    <n v="0"/>
    <n v="0"/>
    <m/>
    <n v="2018"/>
  </r>
  <r>
    <x v="11"/>
    <s v="INDUSTRIE CHIMIQUES DU SENEGAL / INDORAMA"/>
    <n v="991020"/>
    <s v="TOBENE NORD"/>
    <s v="Concession minière"/>
    <s v="THIÈS"/>
    <s v="PHOSPHATE"/>
    <s v="DAROU KHOUDOSS"/>
    <s v="TIVAOUANE"/>
    <s v="23/10/1999"/>
    <s v="19/10/1999"/>
    <n v="0"/>
    <n v="173"/>
    <n v="7"/>
    <n v="0"/>
    <n v="7"/>
    <m/>
    <n v="2018"/>
  </r>
  <r>
    <x v="12"/>
    <s v="LES CIMENTS DU SAHEL SA"/>
    <s v="2000-105 du 22 février 2000"/>
    <s v="KIRENE"/>
    <s v="Concession minière"/>
    <s v="THIÈS"/>
    <s v="CALCAIRE"/>
    <s v="DIASS"/>
    <s v="MBOUR"/>
    <s v="18/02/2000"/>
    <d v="2000-02-22T00:00:00"/>
    <n v="0"/>
    <n v="3.5"/>
    <n v="0.82"/>
    <n v="0"/>
    <n v="0"/>
    <m/>
    <n v="2018"/>
  </r>
  <r>
    <x v="13"/>
    <s v="MAKABINGUI GOLD OPERATION SA"/>
    <s v="2018-1904"/>
    <s v="SAMBARABOUGOU"/>
    <s v="Permis d’exploitation"/>
    <s v="KÉDOUGOU"/>
    <s v="OR"/>
    <s v="MISSIRA"/>
    <s v="SARAYA"/>
    <s v="28/11/2016"/>
    <s v="9/10/2018"/>
    <n v="0"/>
    <n v="121.83"/>
    <n v="0"/>
    <n v="0"/>
    <n v="0"/>
    <m/>
    <n v="2018"/>
  </r>
  <r>
    <x v="14"/>
    <s v="PETOWAL MINING COMPANY (PMC) SA"/>
    <s v="2016-995"/>
    <s v="MAKO"/>
    <s v="Concession minière"/>
    <s v="KÉDOUGOU"/>
    <s v="OR"/>
    <s v="TOMBORONKOTO"/>
    <s v="KÉDOUGOU"/>
    <s v="20/9/2006"/>
    <s v="14/7/2016"/>
    <n v="0"/>
    <n v="87.5"/>
    <n v="2.79"/>
    <n v="0"/>
    <n v="0"/>
    <m/>
    <n v="2018"/>
  </r>
  <r>
    <x v="15"/>
    <s v="SABODALA GOLD OPERATIONS SA"/>
    <s v="2015-1136"/>
    <s v="SABODALA"/>
    <s v="Concession minière"/>
    <s v="KÉDOUGOU"/>
    <s v="OR"/>
    <s v="SABODALA"/>
    <s v="SARAYA"/>
    <s v="7/4/2015"/>
    <s v="29/7/2015"/>
    <n v="0"/>
    <n v="291.8"/>
    <n v="1.55"/>
    <n v="0"/>
    <n v="0.13"/>
    <m/>
    <n v="2018"/>
  </r>
  <r>
    <x v="16"/>
    <s v="SABODALA MINING COMPANY SARL"/>
    <s v="Arrêté n°20 AVR.2018* 008707"/>
    <s v="BRANSAN"/>
    <s v="Permis de recherche     "/>
    <s v="KÉDOUGOU"/>
    <s v="OR"/>
    <s v="SABODALA"/>
    <s v="SARAYA"/>
    <s v="2/3/2018"/>
    <s v="20/4/2018"/>
    <n v="2222220"/>
    <n v="337.3"/>
    <n v="0"/>
    <n v="0"/>
    <n v="0"/>
    <m/>
    <n v="2018"/>
  </r>
  <r>
    <x v="16"/>
    <s v="SABODALA MINING COMPANY SARL"/>
    <s v="Arrêté n°20 AVR 2018 * 008708"/>
    <s v="SOUNKOUNKOU"/>
    <s v="Permis de recherche     "/>
    <s v="KÉDOUGOU"/>
    <s v="OR"/>
    <s v="SABODALA"/>
    <s v="SARAYA"/>
    <s v="2/3/2018"/>
    <s v="20/4/2018"/>
    <n v="3333330"/>
    <n v="291.7"/>
    <n v="0"/>
    <n v="0"/>
    <n v="0"/>
    <m/>
    <n v="2018"/>
  </r>
  <r>
    <x v="17"/>
    <s v="SENEGAL MINES SA"/>
    <s v="15M"/>
    <s v="MBODIENE"/>
    <s v="Concession minière"/>
    <s v="THIÈS"/>
    <s v="ATTAPULGITE"/>
    <s v="NGUENIENNE"/>
    <s v="THIES"/>
    <s v="26/5/1998"/>
    <s v="18/2/2000"/>
    <n v="0"/>
    <n v="2.1579000000000002"/>
    <n v="0.19800000000000001"/>
    <n v="0"/>
    <n v="9.8000000000000004E-2"/>
    <m/>
    <n v="2018"/>
  </r>
  <r>
    <x v="18"/>
    <s v="SEPHOS SENEGAL SA"/>
    <s v="10357MMITPMEDMG"/>
    <s v="LAM LAM"/>
    <s v="Petite mine"/>
    <s v="THIÈS"/>
    <s v="PHOSPHATE"/>
    <s v="PAMBAL CHERIF LÔ"/>
    <s v="TIVAOUANE"/>
    <s v="9/11/2009"/>
    <s v="28/9/2009"/>
    <n v="0"/>
    <n v="5"/>
    <n v="0.04"/>
    <n v="0"/>
    <n v="0.02"/>
    <m/>
    <n v="2018"/>
  </r>
  <r>
    <x v="19"/>
    <s v="SOCIETE SENEGALAISE DES PHOSPHATES DE THIES (SSPT)"/>
    <n v="9828"/>
    <s v="ALLOU KAGNE"/>
    <s v="Concession minière"/>
    <s v="THIÈS"/>
    <s v="ATTAPULGITE"/>
    <s v="POUT"/>
    <s v="THIÈS"/>
    <s v="28/5/1998"/>
    <s v="12/1/1998"/>
    <n v="0"/>
    <n v="13.48"/>
    <n v="0.4"/>
    <n v="0"/>
    <n v="0.2"/>
    <m/>
    <n v="2018"/>
  </r>
  <r>
    <x v="20"/>
    <s v="SOCIETE DE CONCASSAGE ET DU BETON (SOCOBE)"/>
    <n v="10862"/>
    <s v="PERIMETRE DES ICS"/>
    <s v="Carrière"/>
    <s v="THIÈS"/>
    <s v="SILEX"/>
    <s v="DAROU KHOUDOSS"/>
    <s v="MBORO"/>
    <s v="22/6/2017"/>
    <s v="22/6/2017"/>
    <n v="0"/>
    <n v="0"/>
    <n v="0"/>
    <n v="0"/>
    <n v="0"/>
    <m/>
    <n v="2018"/>
  </r>
  <r>
    <x v="21"/>
    <s v="SODEVIT"/>
    <n v="266694"/>
    <s v="BANDIA"/>
    <s v="Carrière"/>
    <s v="THIÈS"/>
    <s v="CALCAIRE"/>
    <s v="SINDIA"/>
    <s v="THIÈS"/>
    <m/>
    <s v="14/12/2018"/>
    <n v="0"/>
    <n v="1.41"/>
    <n v="1.41"/>
    <n v="0"/>
    <n v="0"/>
    <m/>
    <n v="2018"/>
  </r>
  <r>
    <x v="22"/>
    <s v="SOCIETE MINIERE DE LA VALLEE DU FLEUVE SENEGAL –SOMIVA"/>
    <n v="2011770"/>
    <s v="NDENDORY"/>
    <s v="Concession minière"/>
    <s v="MATAM  "/>
    <s v="PHOSPHATE"/>
    <s v="NDENDORY"/>
    <s v=" KANEL"/>
    <d v="2008-10-01T00:00:00"/>
    <s v="8/6/2011"/>
    <n v="0"/>
    <n v="661"/>
    <n v="10"/>
    <n v="0"/>
    <n v="0"/>
    <m/>
    <n v="2018"/>
  </r>
  <r>
    <x v="23"/>
    <s v="SONKO ET FILS SARL"/>
    <s v="004166MMG/DMG DU 23 FÉVRIER 2018"/>
    <s v="MAMANKANTI"/>
    <s v="Permis de recherche     "/>
    <s v="KÉDOUGOU"/>
    <s v="OR"/>
    <s v="TOMBORONKOTO"/>
    <s v="KÉDOUGOU"/>
    <d v="2011-07-01T00:00:00"/>
    <s v="14/7/2011"/>
    <n v="615485"/>
    <n v="39"/>
    <n v="0"/>
    <n v="8"/>
    <n v="0"/>
    <m/>
    <n v="2018"/>
  </r>
  <r>
    <x v="24"/>
    <s v="SORED MINES SA"/>
    <s v="2007-1327"/>
    <s v="NIAMIA"/>
    <s v="Concession minière"/>
    <s v="KÉDOUGOU"/>
    <s v="OR"/>
    <s v="KHOSSONTO"/>
    <s v="SARAYA"/>
    <d v="2010-06-17T00:00:00"/>
    <s v="2/11/2007"/>
    <m/>
    <n v="120"/>
    <n v="1.1200000000000001"/>
    <n v="0"/>
    <n v="0"/>
    <m/>
    <n v="2018"/>
  </r>
  <r>
    <x v="25"/>
    <s v="SOCOCIM INDUSTRIES"/>
    <s v="D2006-359"/>
    <s v="BARGNY"/>
    <s v="Concession minière"/>
    <s v="DAKAR"/>
    <s v="CALCAIRE"/>
    <s v="BANDIA"/>
    <s v="THIES"/>
    <s v="3/2/2006"/>
    <s v="19/4/2006"/>
    <m/>
    <n v="4.6100000000000003"/>
    <m/>
    <m/>
    <m/>
    <m/>
    <n v="2018"/>
  </r>
  <r>
    <x v="0"/>
    <s v="AFRICAN INVESTMENT GROUP SA"/>
    <s v="007543MMIPMEDMG"/>
    <s v="SUD SAINT LOUIS"/>
    <s v="Permis de recherche     "/>
    <s v="SAINT-LOUIS"/>
    <s v="PHOSPHATE"/>
    <s v="NDIEBENE GANDIOLE"/>
    <s v="SAINT LOUIS"/>
    <s v="23/1/2012"/>
    <s v="27/1/2012"/>
    <n v="100000"/>
    <n v="87.54"/>
    <n v="0"/>
    <n v="43.04"/>
    <n v="0"/>
    <m/>
    <n v="2019"/>
  </r>
  <r>
    <x v="0"/>
    <s v="AFRICAN INVESTMENT GROUP SA"/>
    <s v="010684MEM/DMGad"/>
    <s v="KEBEMER"/>
    <s v="Permis de recherche     "/>
    <s v="LOUGA  "/>
    <s v="PHOSPHATE"/>
    <s v="THIOLOM FALL"/>
    <s v="KEBEMER"/>
    <s v="22/2/2013"/>
    <s v="10/7/2013"/>
    <n v="75000"/>
    <n v="473"/>
    <n v="0"/>
    <n v="158"/>
    <n v="0"/>
    <m/>
    <n v="2019"/>
  </r>
  <r>
    <x v="26"/>
    <s v="AFRIGOLD SA"/>
    <s v="UTM WGS 84 ZONE 28"/>
    <s v="AFRIGOLD SL"/>
    <s v="Permis d’exploitation"/>
    <s v="KÉDOUGOU"/>
    <s v="OR"/>
    <s v="SARAYA"/>
    <s v="KEDOUGOU"/>
    <s v="8/10/2015"/>
    <s v="2/2/2015"/>
    <n v="8939995"/>
    <n v="39"/>
    <n v="0.75"/>
    <n v="0"/>
    <n v="0"/>
    <m/>
    <n v="2019"/>
  </r>
  <r>
    <x v="1"/>
    <s v="AGEM SENEGAL EXPLORATION SUARL"/>
    <s v="012395/MMG/DMG"/>
    <s v="NOUMOUFOUKHA"/>
    <s v="Permis de recherche     "/>
    <s v="KÉDOUGOU"/>
    <s v="OR"/>
    <s v="MEDINABAFE"/>
    <s v="SARAYA"/>
    <s v="11/5/2018"/>
    <s v="5/6/2018"/>
    <n v="900000"/>
    <n v="79"/>
    <n v="0"/>
    <n v="0"/>
    <n v="0"/>
    <m/>
    <n v="2019"/>
  </r>
  <r>
    <x v="1"/>
    <s v="AGEM SENEGAL EXPLORATION SUARL"/>
    <s v="13984/MIM/DMG"/>
    <s v="DAORALA BOTO"/>
    <s v="Permis de recherche     "/>
    <s v="KÉDOUGOU"/>
    <s v="OR"/>
    <s v="MADINA BAFFÉ"/>
    <s v="SARAYA"/>
    <s v="16/8/2004"/>
    <s v="4/3/2005"/>
    <n v="14300000"/>
    <n v="420"/>
    <n v="0"/>
    <n v="184"/>
    <n v="0"/>
    <m/>
    <n v="2019"/>
  </r>
  <r>
    <x v="2"/>
    <s v="AMAFRIQUE SENEGAL"/>
    <s v="018603MMGDMG"/>
    <s v="THILOGNE"/>
    <s v="Permis de recherche     "/>
    <s v="MATAM  "/>
    <s v="PHOSPHATE"/>
    <s v="AGNAM CIVOL"/>
    <s v="MATAM"/>
    <s v="2/6/2015"/>
    <s v="15/7/2015"/>
    <n v="744425"/>
    <n v="1590"/>
    <n v="0"/>
    <n v="401"/>
    <n v="0"/>
    <m/>
    <n v="2019"/>
  </r>
  <r>
    <x v="27"/>
    <s v="ARDIMINES SARL"/>
    <s v="002734"/>
    <s v="TOMBO"/>
    <s v="Permis de recherche     "/>
    <s v="KÉDOUGOU"/>
    <s v="OR"/>
    <s v="TOMBORONKOTO"/>
    <s v="KEDOUGOU"/>
    <s v="7/2/2019"/>
    <s v="14/2/2019"/>
    <n v="700000"/>
    <n v="22"/>
    <n v="0"/>
    <n v="0"/>
    <n v="0"/>
    <m/>
    <n v="2019"/>
  </r>
  <r>
    <x v="28"/>
    <s v="BAMBUK MINERALS SENEGAL SARL"/>
    <s v="014934MMGDMG"/>
    <s v="SANGOLA"/>
    <s v="Permis de recherche     "/>
    <s v="KÉDOUGOU"/>
    <s v="OR"/>
    <s v="BANDAFASSI"/>
    <s v=""/>
    <s v="15/4/2019"/>
    <s v="7/6/2019"/>
    <n v="711804"/>
    <n v="381"/>
    <n v="0"/>
    <n v="0"/>
    <n v="0"/>
    <m/>
    <n v="2019"/>
  </r>
  <r>
    <x v="28"/>
    <s v="BAMBUK MINERALS SENEGAL SARL"/>
    <n v="23735"/>
    <s v="KOULOUNTOU EST"/>
    <s v="Permis de recherche     "/>
    <s v="KÉDOUGOU"/>
    <s v="OR"/>
    <s v="BEMBOU ET TOMBORONKOTO"/>
    <s v="KÉDOUGOU"/>
    <s v="8/11/2016"/>
    <s v="6/11/2018"/>
    <n v="573336"/>
    <n v="34.700000000000003"/>
    <n v="0"/>
    <n v="0"/>
    <n v="0"/>
    <m/>
    <n v="2019"/>
  </r>
  <r>
    <x v="3"/>
    <s v="BARRICK GOLD"/>
    <s v="012394/MMG/DMG"/>
    <s v="BAMBADJI"/>
    <s v="Permis de recherche     "/>
    <s v="KÉDOUGOU"/>
    <s v="OR"/>
    <s v="BEMBOU/ MEDINA BAFFE"/>
    <s v="SARAYA"/>
    <s v="11/5/2018"/>
    <s v="5/6/2018"/>
    <n v="321500"/>
    <n v="235"/>
    <n v="0"/>
    <n v="0"/>
    <n v="0"/>
    <m/>
    <n v="2019"/>
  </r>
  <r>
    <x v="3"/>
    <s v="BARRICK GOLD"/>
    <s v="11204/MIM/DMG"/>
    <s v="KANOUMBA"/>
    <s v="Permis de recherche     "/>
    <s v="KÉDOUGOU"/>
    <s v="OR"/>
    <s v="BEMBOU/TOMBORONKOTO/KHOSANTO/SABODALA"/>
    <s v="KÉDOUGOU ET SARAYA"/>
    <s v="14/4/2010"/>
    <s v="21/5/2010"/>
    <n v="2250000"/>
    <n v="606"/>
    <n v="0"/>
    <n v="0"/>
    <n v="0"/>
    <m/>
    <n v="2019"/>
  </r>
  <r>
    <x v="4"/>
    <s v="BMCC SA"/>
    <s v="2018-1840"/>
    <s v="CHERIF LO NGAKHAM "/>
    <s v="Concession minière"/>
    <s v="DIOURBEL"/>
    <s v="PHOSPHATE"/>
    <m/>
    <m/>
    <m/>
    <m/>
    <n v="1540000"/>
    <n v="75"/>
    <n v="5"/>
    <n v="0"/>
    <n v="0"/>
    <m/>
    <n v="2019"/>
  </r>
  <r>
    <x v="29"/>
    <s v="BOSFOR SARL"/>
    <s v="N5085 DU  24/03/2014"/>
    <s v="FORET CLASSEE DE BANDIA"/>
    <s v="Carrière"/>
    <s v="THIÈS"/>
    <s v="CALCAIRE"/>
    <s v="BANDIA"/>
    <s v="MBOUR"/>
    <s v="7/5/2018"/>
    <s v="24/3/2014"/>
    <m/>
    <n v="0.2"/>
    <n v="0.2"/>
    <n v="0"/>
    <n v="0"/>
    <m/>
    <n v="2019"/>
  </r>
  <r>
    <x v="30"/>
    <s v="BOYA SA"/>
    <s v="SN-DKR-2014-B-19674"/>
    <s v="DIAMBA SUD"/>
    <s v="Permis de recherche     "/>
    <s v="KÉDOUGOU"/>
    <s v="OR"/>
    <s v="SARAYA"/>
    <s v="SARAYA"/>
    <s v="8/4/2015"/>
    <s v="10/6/2015"/>
    <n v="1424500"/>
    <n v="71.319999999999993"/>
    <n v="0"/>
    <n v="18.02"/>
    <n v="0"/>
    <m/>
    <n v="2019"/>
  </r>
  <r>
    <x v="5"/>
    <s v="COMPAGNIE GENERALE D'EXPLOITATION DE CARRIERE"/>
    <s v="6283MIMDMG"/>
    <s v="NGOUDIANE"/>
    <s v="Carrière"/>
    <s v="THIÈS"/>
    <s v="BASALTE"/>
    <s v="NGOUDIANE"/>
    <s v="THIÈS"/>
    <m/>
    <s v="13/12/1993"/>
    <n v="0"/>
    <n v="0.14000000000000001"/>
    <n v="0.14000000000000001"/>
    <n v="0"/>
    <n v="0"/>
    <m/>
    <n v="2019"/>
  </r>
  <r>
    <x v="5"/>
    <s v="COMPAGNIE GENERALE D'EXPLOITATION DE CARRIERE"/>
    <s v="7541MMITPMEDMG"/>
    <s v="BANDIA"/>
    <s v="Carrière"/>
    <s v="THIÈS"/>
    <s v="CALCAIRE"/>
    <s v="BANDIA"/>
    <s v="THIÈS"/>
    <m/>
    <s v="7/8/2009"/>
    <n v="0"/>
    <n v="0.5"/>
    <n v="0.5"/>
    <n v="0"/>
    <n v="0"/>
    <m/>
    <n v="2019"/>
  </r>
  <r>
    <x v="7"/>
    <s v="GH MINING SARL"/>
    <s v="006243/MMG/DMG du 20 mars 2018"/>
    <s v="SUD KENIEBA ET MADINA FOULBE "/>
    <s v="Petite mine"/>
    <s v="TAMBACOUNDA    "/>
    <s v="MANGANESE"/>
    <s v="MADINA FOULBÉ "/>
    <s v="BAKEL"/>
    <s v="6/1/2012"/>
    <s v="10/1/2012"/>
    <n v="0"/>
    <n v="5"/>
    <n v="2"/>
    <n v="0"/>
    <n v="0"/>
    <m/>
    <n v="2019"/>
  </r>
  <r>
    <x v="8"/>
    <s v="GECAMINES"/>
    <s v="N°001331"/>
    <s v="GECAMINES"/>
    <s v="Carrière"/>
    <s v="THIÈS"/>
    <s v="BASALTE"/>
    <s v="NGOUDIANE"/>
    <s v="THIES"/>
    <s v="24/1/2019"/>
    <m/>
    <n v="0"/>
    <n v="0.59756200000000004"/>
    <n v="0.59756200000000004"/>
    <n v="0"/>
    <n v="0"/>
    <m/>
    <n v="2019"/>
  </r>
  <r>
    <x v="10"/>
    <s v="GROUPEMENT D'ENTREPRISE SINTRAM HOUAR"/>
    <n v="4068"/>
    <s v="CARRIERE DE BASALTE"/>
    <s v="Carrière"/>
    <s v="THIÈS"/>
    <s v="BASALTE"/>
    <s v="NGOUNDIANE "/>
    <s v="THIES"/>
    <s v="4/6/2007"/>
    <s v="4/6/2007"/>
    <n v="0"/>
    <n v="0.04"/>
    <n v="0.04"/>
    <n v="0"/>
    <n v="0"/>
    <m/>
    <n v="2019"/>
  </r>
  <r>
    <x v="11"/>
    <s v="INDUSTRIE CHIMIQUES DU SENEGAL / INDORAMA"/>
    <n v="991020"/>
    <s v="TOBENE NORD"/>
    <s v="Concession minière"/>
    <s v="THIÈS"/>
    <s v="PHOSPHATE"/>
    <s v="DAROU KHOUDOSS"/>
    <s v="TIVAOUANE"/>
    <s v="23/4/2008"/>
    <s v="19/10/1999"/>
    <n v="0"/>
    <n v="173"/>
    <n v="0.53"/>
    <n v="0"/>
    <n v="0.2"/>
    <m/>
    <n v="2019"/>
  </r>
  <r>
    <x v="12"/>
    <s v="LES CIMENTS DU SAHEL SA"/>
    <s v="2000-105 du 22 février 2000"/>
    <s v="KIRENE"/>
    <s v="Concession minière"/>
    <s v="THIÈS"/>
    <s v="CALCAIRE"/>
    <s v="DIASS"/>
    <s v="MBOUR"/>
    <s v="18/2/2000"/>
    <s v="22/2/2000"/>
    <n v="0"/>
    <n v="3.5"/>
    <n v="0.86"/>
    <n v="0"/>
    <n v="0.08"/>
    <m/>
    <n v="2019"/>
  </r>
  <r>
    <x v="13"/>
    <s v="MAKABINGUI GOLD OPERATION SA"/>
    <s v="2018-1904"/>
    <s v="SAMBARABOUGOU"/>
    <s v="Permis d’exploitation"/>
    <s v="KÉDOUGOU"/>
    <s v="OR"/>
    <s v="MISSIRA"/>
    <s v="SARAYA"/>
    <s v="28/11/2016"/>
    <s v="9/10/2018"/>
    <n v="0"/>
    <n v="121.83"/>
    <n v="0"/>
    <n v="0"/>
    <n v="0"/>
    <m/>
    <n v="2019"/>
  </r>
  <r>
    <x v="14"/>
    <s v="PETOWAL MINING COMPANY (PMC) SA"/>
    <s v="2016-995"/>
    <s v="MAKO"/>
    <s v="Concession minière"/>
    <s v="KÉDOUGOU"/>
    <s v="OR"/>
    <s v="TOMBORONKOTO"/>
    <s v="KÉDOUGOU"/>
    <s v="14/7/2016"/>
    <s v="14/7/2016"/>
    <n v="0"/>
    <n v="87.5"/>
    <n v="2.79"/>
    <n v="0"/>
    <n v="0"/>
    <m/>
    <n v="2019"/>
  </r>
  <r>
    <x v="15"/>
    <s v="SABODALA GOLD OPERATIONS SA"/>
    <s v="2015-1136"/>
    <s v="SABODALA"/>
    <s v="Concession minière"/>
    <s v="KÉDOUGOU"/>
    <s v="OR"/>
    <s v="SABODALA"/>
    <s v="SARAYA"/>
    <s v="7/4/2015"/>
    <s v="29/7/2015"/>
    <n v="0"/>
    <n v="291.8"/>
    <n v="1.55"/>
    <n v="0"/>
    <n v="0.13"/>
    <m/>
    <n v="2019"/>
  </r>
  <r>
    <x v="16"/>
    <s v="SABODALA MINING COMPANY SARL"/>
    <s v="Arrêté n°20 AVR 2018 * 008708"/>
    <s v="SOUNKOUNKOU"/>
    <s v="Permis de recherche     "/>
    <s v="KÉDOUGOU"/>
    <s v="OR"/>
    <s v="SABODALA"/>
    <s v="SARAYA"/>
    <s v="2/3/2018"/>
    <s v="20/4/2018"/>
    <n v="3333330"/>
    <n v="291.7"/>
    <n v="0"/>
    <n v="0"/>
    <n v="0"/>
    <m/>
    <n v="2019"/>
  </r>
  <r>
    <x v="16"/>
    <s v="SABODALA MINING COMPANY SARL"/>
    <s v="Arrêté n°20 AVR.2018* 008707"/>
    <s v="BRANSAN"/>
    <s v="Permis de recherche     "/>
    <s v="KÉDOUGOU"/>
    <s v="OR"/>
    <s v="SABODALA"/>
    <s v="SARAYA"/>
    <s v="2/3/2018"/>
    <s v="20/4/2018"/>
    <n v="2222220"/>
    <n v="337.3"/>
    <n v="0"/>
    <n v="0"/>
    <n v="0"/>
    <m/>
    <n v="2019"/>
  </r>
  <r>
    <x v="17"/>
    <s v="SENEGAL MINES SA"/>
    <s v="15M"/>
    <s v="MBODIENE"/>
    <s v="Concession minière"/>
    <s v="THIÈS"/>
    <s v="ATTAPULGITE"/>
    <s v="NGUENIENNE"/>
    <s v="THIES"/>
    <s v="26/5/1998"/>
    <s v="18/2/2000"/>
    <n v="0"/>
    <n v="2.1579000000000002"/>
    <n v="0.19800000000000001"/>
    <n v="0"/>
    <n v="9.8000000000000004E-2"/>
    <m/>
    <n v="2019"/>
  </r>
  <r>
    <x v="18"/>
    <s v="SEPHOS SENEGAL SA"/>
    <s v="10357MMITPMEDMG"/>
    <s v="LAM LAM"/>
    <s v="Petite mine"/>
    <s v="THIÈS"/>
    <s v="PHOSPHATE"/>
    <s v="CHERIF LO"/>
    <s v="TIVAOUANE"/>
    <s v="9/11/2009"/>
    <s v="9/11/2009"/>
    <n v="0"/>
    <n v="5"/>
    <n v="0.08"/>
    <n v="0"/>
    <n v="0.1"/>
    <m/>
    <n v="2019"/>
  </r>
  <r>
    <x v="19"/>
    <s v="SOCIETE SENEGALAISE DES PHOSPHATES DE THIES (SSPT)"/>
    <n v="9828"/>
    <s v="ALLOU KAGNE"/>
    <s v="Concession minière"/>
    <s v="THIÈS"/>
    <s v="ATTAPULGITE"/>
    <s v="POUT"/>
    <s v="THIÈS"/>
    <s v="28/5/1998"/>
    <s v="12/1/1998"/>
    <n v="0"/>
    <n v="13.48"/>
    <n v="0.4"/>
    <n v="0"/>
    <n v="0.2"/>
    <m/>
    <n v="2019"/>
  </r>
  <r>
    <x v="20"/>
    <s v="SOCIETE DE CONCASSAGE ET DU BETON (SOCOBE)"/>
    <n v="10862"/>
    <s v="PERIMETRE DES ICS"/>
    <s v="Carrière"/>
    <s v="THIÈS"/>
    <s v="SILEX"/>
    <s v="MBORO"/>
    <s v="TAIBA NDIAYE"/>
    <s v="27/6/2017"/>
    <s v="6/4/2018"/>
    <n v="0"/>
    <n v="0"/>
    <n v="0"/>
    <n v="0"/>
    <n v="0"/>
    <m/>
    <n v="2019"/>
  </r>
  <r>
    <x v="21"/>
    <s v="SODEVIT"/>
    <s v="N°026694"/>
    <s v="BANDIA"/>
    <s v="Carrière"/>
    <s v="THIÈS"/>
    <s v="CALCAIRE"/>
    <s v="SINDIA"/>
    <s v="THIÈS"/>
    <m/>
    <s v="14/12/2018"/>
    <n v="0"/>
    <n v="1.41"/>
    <n v="1.41"/>
    <n v="0"/>
    <n v="0"/>
    <m/>
    <n v="2019"/>
  </r>
  <r>
    <x v="22"/>
    <s v="SOCIETE MINIERE DE LA VALLEE DU FLEUVE SENEGAL –SOMIVA"/>
    <n v="2011770"/>
    <s v="NDENDORY"/>
    <s v="Concession minière"/>
    <s v="MATAM  "/>
    <s v="PHOSPHATE"/>
    <s v="NDENDORY"/>
    <s v="KANEL"/>
    <s v="/10/2008"/>
    <s v="8/6/2011"/>
    <n v="0"/>
    <n v="661"/>
    <n v="10"/>
    <n v="0"/>
    <n v="0"/>
    <m/>
    <n v="2019"/>
  </r>
  <r>
    <x v="23"/>
    <s v="SONKO ET FILS SARL"/>
    <s v="004166MMG/DMG DU 23 FÉVRIER 2018"/>
    <s v="MAMANKANTI"/>
    <s v="Permis de recherche     "/>
    <s v="KÉDOUGOU"/>
    <s v="OR"/>
    <s v="TOMBORONKOTO"/>
    <s v="KÉDOUGOU"/>
    <s v="1/7/2011"/>
    <s v="23/2/2018"/>
    <n v="615485"/>
    <n v="39"/>
    <n v="0"/>
    <n v="0"/>
    <n v="0"/>
    <m/>
    <n v="2019"/>
  </r>
  <r>
    <x v="24"/>
    <s v="SORED MINES SA"/>
    <s v="2007-1327"/>
    <s v="NIAMIA"/>
    <s v="Concession minière"/>
    <s v="KÉDOUGOU"/>
    <s v="OR"/>
    <s v="KHOSSANTO"/>
    <s v="SARAYA"/>
    <s v="17/6/2010"/>
    <s v="2/11/2007"/>
    <m/>
    <n v="120"/>
    <n v="1.1200000000000001"/>
    <n v="0"/>
    <n v="0"/>
    <m/>
    <n v="2019"/>
  </r>
  <r>
    <x v="6"/>
    <s v="DANGOTE CEMENT SENEGAL "/>
    <s v="2008-1431"/>
    <s v="POUT"/>
    <s v="Concession minière"/>
    <s v="THIÈS"/>
    <s v="CALCAIRE"/>
    <s v="POUT"/>
    <s v="THIÈS"/>
    <s v="12/12/2008"/>
    <s v="12/12/2008"/>
    <n v="0"/>
    <n v="14.23"/>
    <n v="1"/>
    <n v="0"/>
    <n v="0"/>
    <m/>
    <n v="2019"/>
  </r>
  <r>
    <x v="9"/>
    <s v="GRANDE COTE OPERATIONS SA"/>
    <s v="2007-1326 du 2 novembre 2007"/>
    <s v="GRANDE CÔTE "/>
    <s v="Concession minière"/>
    <s v="THIÈS"/>
    <s v="ZIRCON"/>
    <s v="DAROU KHOUDOSS, MBORO, KAYAR, KAB GAYE"/>
    <s v="KÉBÉMER "/>
    <s v="9/9/2004"/>
    <s v="19/9/2004"/>
    <n v="0"/>
    <n v="445"/>
    <n v="2.2000000000000002"/>
    <n v="0"/>
    <n v="2"/>
    <m/>
    <n v="2019"/>
  </r>
  <r>
    <x v="25"/>
    <s v="SOCOCIM INDUSTRIES"/>
    <s v="D2006-359"/>
    <s v="BARGNY"/>
    <s v="Concession minière"/>
    <s v="DAKAR"/>
    <s v="CALCAIRE"/>
    <s v="BANDIA"/>
    <s v="THIES"/>
    <s v="3/2/2006"/>
    <s v="19/4/2006"/>
    <m/>
    <n v="4.6100000000000003"/>
    <m/>
    <m/>
    <m/>
    <m/>
    <n v="2019"/>
  </r>
  <r>
    <x v="31"/>
    <s v="2SBCI"/>
    <s v="09142/MIM/DMG"/>
    <s v="BANDIA"/>
    <s v="Carrière"/>
    <s v="THIES"/>
    <s v="CALCAIRE"/>
    <s v="BANDIA"/>
    <s v="MBOUR"/>
    <d v="2017-05-31T00:00:00"/>
    <d v="2017-05-31T00:00:00"/>
    <m/>
    <n v="0.3"/>
    <m/>
    <m/>
    <m/>
    <d v="2022-05-30T00:00:00"/>
    <n v="2020"/>
  </r>
  <r>
    <x v="0"/>
    <s v="AFRICAN INVESTMENT GROUP SA"/>
    <s v="000363/MMG/DMG"/>
    <s v="SUD SAINT-LOUIS"/>
    <s v="Petite mine"/>
    <s v="Louga-Saint Louis"/>
    <m/>
    <m/>
    <m/>
    <d v="2012-01-23T00:00:00"/>
    <d v="2019-01-09T00:00:00"/>
    <m/>
    <n v="4.5"/>
    <m/>
    <m/>
    <m/>
    <m/>
    <n v="2020"/>
  </r>
  <r>
    <x v="0"/>
    <s v="AFRICAN INVESTMENT GROUP SA"/>
    <s v="001669"/>
    <s v="KEBEMER"/>
    <s v="Permis de recherche"/>
    <s v="LOUGA"/>
    <m/>
    <m/>
    <m/>
    <d v="2013-02-22T00:00:00"/>
    <d v="2013-07-10T00:00:00"/>
    <n v="75000"/>
    <n v="898.5"/>
    <n v="0"/>
    <n v="545.1"/>
    <n v="0"/>
    <d v="2022-06-29T00:00:00"/>
    <n v="2020"/>
  </r>
  <r>
    <x v="32"/>
    <s v="AFRIGEM SL"/>
    <s v="10332/MMIAPME/DMG"/>
    <s v="Bouroubourou"/>
    <s v="Permis de recherche"/>
    <s v="KEDOUGOU"/>
    <m/>
    <m/>
    <m/>
    <d v="2010-12-01T00:00:00"/>
    <d v="2010-12-10T00:00:00"/>
    <n v="166250000"/>
    <n v="187"/>
    <m/>
    <n v="110"/>
    <n v="110"/>
    <d v="2022-03-05T00:00:00"/>
    <n v="2020"/>
  </r>
  <r>
    <x v="26"/>
    <s v="AFRIGOLD SA"/>
    <s v="004776/MAEM/DMG"/>
    <s v="KARAKAENA"/>
    <s v="Permis d'exploitation"/>
    <s v="KEDOUGOU"/>
    <m/>
    <m/>
    <m/>
    <d v="2015-10-08T00:00:00"/>
    <d v="2016-02-02T00:00:00"/>
    <m/>
    <n v="39"/>
    <n v="0"/>
    <n v="0"/>
    <n v="0"/>
    <d v="2021-02-01T00:00:00"/>
    <n v="2020"/>
  </r>
  <r>
    <x v="1"/>
    <s v="AGEM SENEGAL EXPLORATION SUARL"/>
    <s v="012395/MMG/DMG"/>
    <s v="NOUMOUFOUKHA"/>
    <s v="Permis de recherche"/>
    <s v="KEDOUGOU"/>
    <m/>
    <m/>
    <m/>
    <d v="2018-05-11T00:00:00"/>
    <d v="2018-06-05T00:00:00"/>
    <n v="900000"/>
    <n v="79"/>
    <n v="0"/>
    <n v="0"/>
    <n v="0"/>
    <d v="2022-06-04T00:00:00"/>
    <n v="2020"/>
  </r>
  <r>
    <x v="1"/>
    <s v="AGEM SENEGAL EXPLORATION SUARL"/>
    <s v="13984/MIM/DMG"/>
    <s v="DAORALA-BOTO"/>
    <s v="Permis de recherche"/>
    <s v="KEDOUGOU"/>
    <m/>
    <m/>
    <m/>
    <d v="2004-08-16T00:00:00"/>
    <d v="2005-03-04T00:00:00"/>
    <n v="1546187"/>
    <n v="420"/>
    <m/>
    <n v="184"/>
    <n v="0"/>
    <n v="0"/>
    <n v="2020"/>
  </r>
  <r>
    <x v="33"/>
    <s v="AGROMINE"/>
    <s v="001928"/>
    <s v="Lambaye"/>
    <s v="Permis de recherche"/>
    <s v="DIOURBEL"/>
    <m/>
    <m/>
    <m/>
    <d v="2019-01-21T00:00:00"/>
    <d v="2019-01-31T00:00:00"/>
    <n v="580125"/>
    <n v="567"/>
    <n v="0"/>
    <n v="0"/>
    <n v="0"/>
    <d v="2023-01-30T00:00:00"/>
    <n v="2020"/>
  </r>
  <r>
    <x v="33"/>
    <s v="AGROMINE"/>
    <s v="025823"/>
    <s v="Seune Sèrère"/>
    <s v="Carrière"/>
    <s v="THIES"/>
    <m/>
    <m/>
    <m/>
    <m/>
    <d v="2018-09-18T00:00:00"/>
    <n v="0"/>
    <n v="0.38"/>
    <n v="0"/>
    <n v="0"/>
    <n v="0"/>
    <d v="2023-12-18T00:00:00"/>
    <n v="2020"/>
  </r>
  <r>
    <x v="34"/>
    <s v="ALBINA SENEGAL SARL"/>
    <s v="017130/MMG/DMG"/>
    <s v="BANDIA"/>
    <s v="Carrière"/>
    <s v="THIES"/>
    <m/>
    <m/>
    <m/>
    <d v="2018-07-23T00:00:00"/>
    <d v="2018-07-23T00:00:00"/>
    <m/>
    <n v="0.15"/>
    <m/>
    <m/>
    <m/>
    <d v="2023-07-22T00:00:00"/>
    <n v="2020"/>
  </r>
  <r>
    <x v="2"/>
    <s v="AMAFRIQUE SENEGAL"/>
    <s v="018603/MMG/DMG"/>
    <s v="Thilogne"/>
    <s v="Permis de recherche"/>
    <s v="MATAM"/>
    <m/>
    <m/>
    <m/>
    <d v="2015-06-02T00:00:00"/>
    <d v="2015-07-15T00:00:00"/>
    <n v="208333"/>
    <n v="1590"/>
    <m/>
    <n v="401"/>
    <m/>
    <m/>
    <n v="2020"/>
  </r>
  <r>
    <x v="27"/>
    <s v="ARDIMINES SARL"/>
    <s v="002734"/>
    <s v="Tombo"/>
    <s v="Permis de recherche"/>
    <s v="KEDOUGOU"/>
    <m/>
    <m/>
    <m/>
    <d v="2019-02-07T00:00:00"/>
    <d v="2019-02-14T00:00:00"/>
    <n v="7000000"/>
    <n v="22"/>
    <n v="0"/>
    <n v="0"/>
    <n v="0"/>
    <d v="2999-12-31T00:00:00"/>
    <n v="2020"/>
  </r>
  <r>
    <x v="35"/>
    <s v="BAMBADJI SA"/>
    <s v="012394/ MMG/DMG"/>
    <s v="BAMBADJI"/>
    <s v="Permis de recherche"/>
    <s v="KEDOUGOU"/>
    <m/>
    <m/>
    <m/>
    <d v="2018-05-11T00:00:00"/>
    <d v="2018-06-05T00:00:00"/>
    <n v="1000000"/>
    <n v="314.5"/>
    <n v="0"/>
    <n v="0"/>
    <n v="0"/>
    <d v="2999-12-31T00:00:00"/>
    <n v="2020"/>
  </r>
  <r>
    <x v="36"/>
    <s v="BAMBUK MINERALS SENEGAL SARL"/>
    <s v="023735"/>
    <s v="KOULOUNTOU EST"/>
    <s v="Permis de recherche"/>
    <s v="KEDOUGOU"/>
    <m/>
    <m/>
    <m/>
    <d v="2016-11-08T00:00:00"/>
    <d v="2018-11-06T00:00:00"/>
    <m/>
    <n v="34.700000000000003"/>
    <n v="0"/>
    <n v="0"/>
    <n v="0"/>
    <d v="2022-11-05T00:00:00"/>
    <n v="2020"/>
  </r>
  <r>
    <x v="36"/>
    <s v="BAMBUK MINERALS SENEGAL SARL"/>
    <s v="014934"/>
    <s v="Sangola"/>
    <s v="Permis de recherche"/>
    <s v="KEDOUGOU"/>
    <m/>
    <m/>
    <m/>
    <d v="2016-06-08T00:00:00"/>
    <d v="2019-06-07T00:00:00"/>
    <n v="0"/>
    <n v="381"/>
    <n v="0"/>
    <n v="0"/>
    <n v="0"/>
    <d v="2023-06-06T00:00:00"/>
    <n v="2020"/>
  </r>
  <r>
    <x v="37"/>
    <s v="BB FIRST COMMODITY HOLDING LIMITED"/>
    <s v="00487/MMG/DMG"/>
    <s v="MADINA FOULBE"/>
    <s v="Permis de recherche"/>
    <s v="KEDOUGOU"/>
    <m/>
    <m/>
    <m/>
    <d v="2017-12-15T00:00:00"/>
    <d v="2018-01-15T00:00:00"/>
    <n v="145000"/>
    <n v="260"/>
    <n v="0"/>
    <n v="0"/>
    <n v="0"/>
    <d v="2022-01-14T00:00:00"/>
    <n v="2020"/>
  </r>
  <r>
    <x v="38"/>
    <s v="BMCC SA"/>
    <s v="001840/MMG/DMG"/>
    <s v="GADD BISSIK"/>
    <s v="Permis d'exploitation"/>
    <s v="DIOURBEL"/>
    <m/>
    <m/>
    <m/>
    <m/>
    <m/>
    <m/>
    <n v="75"/>
    <m/>
    <m/>
    <m/>
    <m/>
    <n v="2020"/>
  </r>
  <r>
    <x v="39"/>
    <s v="BOSFOR SARL"/>
    <s v="0062254/MEM/DMG/bd"/>
    <s v="Bandia"/>
    <s v="Carrière"/>
    <s v="THIES"/>
    <m/>
    <m/>
    <m/>
    <m/>
    <d v="2012-08-22T00:00:00"/>
    <n v="2855474"/>
    <n v="0.2"/>
    <m/>
    <m/>
    <m/>
    <m/>
    <n v="2020"/>
  </r>
  <r>
    <x v="40"/>
    <s v="BOYA SA"/>
    <s v="011843 MIM/DMG"/>
    <s v="DIAMBA SUD"/>
    <s v="Permis de recherche"/>
    <s v="KEDOUGOU"/>
    <m/>
    <m/>
    <m/>
    <d v="2015-04-08T00:00:00"/>
    <d v="2015-06-10T00:00:00"/>
    <n v="1295000"/>
    <n v="71.319999999999993"/>
    <n v="0"/>
    <n v="18.02"/>
    <n v="0"/>
    <d v="2021-07-14T00:00:00"/>
    <n v="2020"/>
  </r>
  <r>
    <x v="41"/>
    <s v="CHALLENGER NORD-SUD INTERNATIONAL INC"/>
    <s v="07102/MIM/DMG"/>
    <s v="Coki"/>
    <s v="Permis de recherche"/>
    <s v="LOUGA"/>
    <m/>
    <m/>
    <m/>
    <d v="2016-04-14T00:00:00"/>
    <d v="2016-05-16T00:00:00"/>
    <n v="186667"/>
    <n v="4396"/>
    <m/>
    <n v="1101"/>
    <m/>
    <m/>
    <n v="2020"/>
  </r>
  <r>
    <x v="42"/>
    <s v="CIMENTS DE L' AFRIQUE SA"/>
    <s v="06334/MIM/DMG"/>
    <s v="POUT"/>
    <s v="Permis de recherche"/>
    <s v="THIES"/>
    <m/>
    <m/>
    <m/>
    <d v="2016-04-19T00:00:00"/>
    <d v="2016-04-20T00:00:00"/>
    <n v="18777"/>
    <n v="6.92"/>
    <n v="0"/>
    <n v="1.72"/>
    <m/>
    <d v="2022-04-19T00:00:00"/>
    <n v="2020"/>
  </r>
  <r>
    <x v="43"/>
    <s v="LES CIMENTS DU SAHEL SA"/>
    <s v="3-2015-639 du  15 mai 2015"/>
    <s v="KIRENE/BANDIA"/>
    <s v="Concession minière"/>
    <s v="THIES"/>
    <s v="CALCAIRE"/>
    <s v="DIASS"/>
    <s v="MBOUR"/>
    <d v="2000-02-18T00:00:00"/>
    <d v="2015-05-15T00:00:00"/>
    <n v="0"/>
    <n v="5.86"/>
    <n v="0"/>
    <m/>
    <n v="0"/>
    <d v="2040-05-15T00:00:00"/>
    <n v="2020"/>
  </r>
  <r>
    <x v="43"/>
    <s v="LES CIMENTS DU SAHEL SA"/>
    <s v="2000-106 du 22 fevrier 2000"/>
    <s v="THICKY"/>
    <s v="Concession minière"/>
    <s v="THIES"/>
    <s v="Argile"/>
    <s v="DIASS"/>
    <s v="MBOUR"/>
    <d v="2000-02-18T00:00:00"/>
    <d v="2000-02-22T00:00:00"/>
    <n v="0"/>
    <n v="2"/>
    <n v="0"/>
    <m/>
    <n v="0"/>
    <d v="2040-05-15T00:00:00"/>
    <n v="2020"/>
  </r>
  <r>
    <x v="5"/>
    <s v="COMPAGNIE GENERALE D'EXPLOITATION DE CARRIERE"/>
    <s v="796/MIM/DMG"/>
    <s v="BANDIA"/>
    <s v="Carrière"/>
    <s v="THIES"/>
    <m/>
    <m/>
    <m/>
    <d v="1996-11-15T00:00:00"/>
    <d v="1996-11-15T00:00:00"/>
    <m/>
    <n v="0.75"/>
    <m/>
    <m/>
    <m/>
    <m/>
    <n v="2020"/>
  </r>
  <r>
    <x v="5"/>
    <s v="COMPAGNIE GENERALE D'EXPLOITATION DE CARRIERE"/>
    <s v="6283/MIM/DMG"/>
    <s v="NGOUDIANE"/>
    <s v="Carrière"/>
    <s v="THIES"/>
    <m/>
    <m/>
    <m/>
    <m/>
    <d v="1993-12-13T00:00:00"/>
    <m/>
    <n v="0.41"/>
    <m/>
    <m/>
    <m/>
    <m/>
    <n v="2020"/>
  </r>
  <r>
    <x v="5"/>
    <s v="COMPAGNIE GENERALE D'EXPLOITATION DE CARRIERE"/>
    <s v="7541/MMTT/PME/DMG"/>
    <s v="BANDIA"/>
    <s v="Carrière"/>
    <s v="THIES"/>
    <m/>
    <m/>
    <m/>
    <m/>
    <d v="2009-08-07T00:00:00"/>
    <m/>
    <n v="0.05"/>
    <m/>
    <m/>
    <m/>
    <m/>
    <n v="2020"/>
  </r>
  <r>
    <x v="5"/>
    <s v="COMPAGNIE GENERALE D'EXPLOITATION DE CARRIERE"/>
    <s v="16567/MIM/DMG"/>
    <s v="NGOUDIANE"/>
    <s v="Carrière"/>
    <s v="THIES"/>
    <m/>
    <m/>
    <m/>
    <m/>
    <d v="1997-09-15T00:00:00"/>
    <m/>
    <n v="0.32500000000000001"/>
    <m/>
    <m/>
    <m/>
    <m/>
    <n v="2020"/>
  </r>
  <r>
    <x v="5"/>
    <s v="COMPAGNIE GENERALE D'EXPLOITATION DE CARRIERE"/>
    <s v="16568/MIM/DMG"/>
    <s v="NGOUDIANE"/>
    <s v="Carrière"/>
    <s v="THIES"/>
    <m/>
    <m/>
    <m/>
    <m/>
    <d v="2009-08-07T00:00:00"/>
    <m/>
    <n v="1.5"/>
    <m/>
    <m/>
    <m/>
    <m/>
    <n v="2020"/>
  </r>
  <r>
    <x v="5"/>
    <s v="COMPAGNIE GENERALE D'EXPLOITATION DE CARRIERE"/>
    <s v="18546/MIM/DMG"/>
    <s v="BANDIA"/>
    <s v="Carrière"/>
    <s v="THIES"/>
    <m/>
    <m/>
    <m/>
    <m/>
    <d v="2008-06-30T00:00:00"/>
    <m/>
    <n v="0.32500000000000001"/>
    <m/>
    <m/>
    <m/>
    <m/>
    <n v="2020"/>
  </r>
  <r>
    <x v="44"/>
    <s v="COMPTOIR AURIFERE DE L'AFRIQUE"/>
    <s v="024858/MMG/DMG"/>
    <s v="MAKANA"/>
    <s v="Permis de recherche"/>
    <s v="KEDOUGOU"/>
    <m/>
    <m/>
    <m/>
    <d v="2019-09-11T00:00:00"/>
    <d v="2019-09-11T00:00:00"/>
    <n v="184275"/>
    <n v="122.89"/>
    <n v="0"/>
    <n v="0"/>
    <n v="0"/>
    <d v="2023-10-17T00:00:00"/>
    <n v="2020"/>
  </r>
  <r>
    <x v="45"/>
    <s v="DAMASH MINERALS LTD"/>
    <s v="19005"/>
    <s v="KOLDA"/>
    <s v="Permis de recherche"/>
    <s v="KOLDA"/>
    <m/>
    <m/>
    <m/>
    <d v="2011-07-13T00:00:00"/>
    <d v="2013-12-05T00:00:00"/>
    <n v="200000"/>
    <n v="2645"/>
    <n v="0"/>
    <n v="1318"/>
    <n v="1327"/>
    <d v="2023-08-07T00:00:00"/>
    <n v="2020"/>
  </r>
  <r>
    <x v="46"/>
    <s v="DANGOTE CEMENT SENEGAL "/>
    <s v="2015-638"/>
    <s v="POUT"/>
    <s v="Concession minière"/>
    <s v="THIES"/>
    <m/>
    <m/>
    <m/>
    <d v="2008-12-12T00:00:00"/>
    <d v="2008-12-12T00:00:00"/>
    <n v="0"/>
    <n v="10.07"/>
    <n v="1"/>
    <n v="0"/>
    <n v="0"/>
    <d v="2033-12-11T00:00:00"/>
    <n v="2020"/>
  </r>
  <r>
    <x v="47"/>
    <s v="ENTREPRISE MAPATHE NDIOUCK SA"/>
    <s v="04422/ MMITPME/ DMG"/>
    <s v="ICS TAIBA"/>
    <s v="Petite mine"/>
    <s v="THIES"/>
    <s v="SILEX"/>
    <s v="Mboro"/>
    <m/>
    <d v="2003-12-24T00:00:00"/>
    <d v="2018-07-02T00:00:00"/>
    <n v="3000"/>
    <n v="0.7"/>
    <m/>
    <m/>
    <m/>
    <d v="2023-07-01T00:00:00"/>
    <n v="2020"/>
  </r>
  <r>
    <x v="48"/>
    <s v="G.H MINING"/>
    <s v="006243/MMG/DMG"/>
    <s v="Sud Kéniéba &amp; Madina Foulbé"/>
    <s v="Petite mine"/>
    <s v="TAMBACOUNDA"/>
    <m/>
    <m/>
    <m/>
    <d v="2012-01-06T00:00:00"/>
    <d v="2012-02-01T00:00:00"/>
    <n v="500000"/>
    <n v="5"/>
    <n v="0.02"/>
    <n v="0"/>
    <n v="1.87"/>
    <d v="2022-02-01T00:00:00"/>
    <n v="2020"/>
  </r>
  <r>
    <x v="48"/>
    <s v="G.H MINING"/>
    <s v="000094 MMIAPME/CTI"/>
    <s v="Tomoromadji"/>
    <s v="Permis de recherche"/>
    <s v="TAMBACOUNDA"/>
    <m/>
    <m/>
    <m/>
    <d v="2012-01-06T00:00:00"/>
    <d v="2012-01-10T00:00:00"/>
    <n v="500000"/>
    <n v="418"/>
    <n v="0"/>
    <n v="187"/>
    <n v="0"/>
    <d v="2021-01-27T00:00:00"/>
    <n v="2020"/>
  </r>
  <r>
    <x v="49"/>
    <s v="GCO"/>
    <n v="1326"/>
    <s v="Grande Côte"/>
    <s v="Concession minière"/>
    <s v="THIES"/>
    <m/>
    <m/>
    <m/>
    <d v="2004-09-09T00:00:00"/>
    <d v="2004-09-19T00:00:00"/>
    <n v="544243"/>
    <n v="445.7"/>
    <m/>
    <m/>
    <m/>
    <m/>
    <n v="2020"/>
  </r>
  <r>
    <x v="8"/>
    <s v="GECAMINES"/>
    <s v="001240/MMG/DMG"/>
    <s v="GECAMINES"/>
    <s v="Carrière"/>
    <s v="THIES"/>
    <s v="BASALTE"/>
    <s v="N'GOUDIANE"/>
    <s v="THIES"/>
    <m/>
    <d v="2019-01-23T00:00:00"/>
    <m/>
    <n v="0.59"/>
    <m/>
    <m/>
    <m/>
    <m/>
    <n v="2020"/>
  </r>
  <r>
    <x v="50"/>
    <s v="GLOBAL IMMO SENEGAL SARL"/>
    <s v="013588/MMG/DMG"/>
    <s v="ICS"/>
    <s v="Carrière"/>
    <s v="THIES"/>
    <m/>
    <m/>
    <m/>
    <m/>
    <d v="2018-06-22T00:00:00"/>
    <n v="1488333"/>
    <m/>
    <m/>
    <m/>
    <m/>
    <d v="2020-06-21T00:00:00"/>
    <n v="2020"/>
  </r>
  <r>
    <x v="51"/>
    <s v="G-PHOS SA"/>
    <s v="12950/"/>
    <s v="NIAKHENE"/>
    <s v="Permis de recherche"/>
    <s v="THIES"/>
    <m/>
    <m/>
    <m/>
    <d v="2015-05-21T00:00:00"/>
    <d v="2015-06-24T00:00:00"/>
    <n v="319553"/>
    <n v="636"/>
    <m/>
    <m/>
    <m/>
    <m/>
    <n v="2020"/>
  </r>
  <r>
    <x v="10"/>
    <s v="GROUPEMENT D'ENTREPRISE SINTRAM HOUAR"/>
    <s v="004068MMI/DMG"/>
    <s v="Carrière de basalte de Diack"/>
    <s v="Carrière"/>
    <s v="THIES"/>
    <m/>
    <m/>
    <m/>
    <d v="2007-07-04T00:00:00"/>
    <d v="2007-11-05T00:00:00"/>
    <n v="0"/>
    <n v="0.04"/>
    <n v="0"/>
    <n v="5.0000000000000001E-3"/>
    <n v="0"/>
    <d v="2022-06-02T00:00:00"/>
    <n v="2020"/>
  </r>
  <r>
    <x v="52"/>
    <s v="IAMGOLD BOTO S.A"/>
    <s v="2020-981"/>
    <s v="BOTO"/>
    <s v="Permis d'exploitation"/>
    <s v="KEDOUGOU"/>
    <m/>
    <m/>
    <m/>
    <d v="2004-08-16T00:00:00"/>
    <d v="2019-12-16T00:00:00"/>
    <n v="0"/>
    <n v="148"/>
    <n v="0"/>
    <n v="0"/>
    <n v="0"/>
    <d v="2039-12-16T00:00:00"/>
    <n v="2020"/>
  </r>
  <r>
    <x v="53"/>
    <s v="INCA SARL"/>
    <s v="10660/"/>
    <s v="Bandia"/>
    <s v="Carrière"/>
    <s v="THIES"/>
    <m/>
    <m/>
    <m/>
    <d v="2015-02-19T00:00:00"/>
    <d v="2017-10-11T00:00:00"/>
    <m/>
    <n v="0.2"/>
    <m/>
    <m/>
    <m/>
    <m/>
    <n v="2020"/>
  </r>
  <r>
    <x v="54"/>
    <s v="INDUSTRIE CHIMIQUES DU SENEGAL / INDORAMA"/>
    <s v="99   1020"/>
    <s v="TOBENE NORD"/>
    <s v="Concession minière"/>
    <s v="THIES"/>
    <s v="PHOSPHATE"/>
    <s v="DAROU KHOUDOSS"/>
    <s v="TIVAOUANE"/>
    <d v="2008-04-23T00:00:00"/>
    <d v="1999-10-19T00:00:00"/>
    <m/>
    <n v="173"/>
    <n v="7"/>
    <n v="0"/>
    <m/>
    <d v="2999-12-31T00:00:00"/>
    <n v="2020"/>
  </r>
  <r>
    <x v="55"/>
    <s v="INTERNATIONAL MINING COMPANY (IMC)"/>
    <s v="020031/MIM/DMG"/>
    <s v="DOUTA"/>
    <s v="Permis de recherche"/>
    <s v="KEDOUGOU"/>
    <m/>
    <m/>
    <m/>
    <d v="2009-11-11T00:00:00"/>
    <d v="2009-11-11T00:00:00"/>
    <n v="2260000"/>
    <n v="103"/>
    <n v="0"/>
    <n v="45"/>
    <n v="0"/>
    <d v="2020-11-09T00:00:00"/>
    <n v="2020"/>
  </r>
  <r>
    <x v="56"/>
    <s v="KANEL RESSOURCES"/>
    <s v="15098/"/>
    <s v="Sud Kanel"/>
    <s v="Permis de recherche"/>
    <s v="THIES"/>
    <m/>
    <m/>
    <m/>
    <d v="2018-06-13T00:00:00"/>
    <d v="2018-07-02T00:00:00"/>
    <n v="275000"/>
    <n v="3029.76"/>
    <m/>
    <n v="757.76000000000022"/>
    <m/>
    <m/>
    <n v="2020"/>
  </r>
  <r>
    <x v="57"/>
    <s v="KUTLU GABANE HOLDING S.A"/>
    <s v="024218"/>
    <s v="Ngoudiane-EGCCBN"/>
    <s v="Carrière"/>
    <s v="THIES"/>
    <m/>
    <m/>
    <m/>
    <d v="2019-10-04T00:00:00"/>
    <d v="2019-11-28T00:00:00"/>
    <n v="0"/>
    <n v="0.06"/>
    <n v="6.3399999999999998E-2"/>
    <n v="0"/>
    <n v="0"/>
    <d v="2999-12-31T00:00:00"/>
    <n v="2020"/>
  </r>
  <r>
    <x v="58"/>
    <s v="LES CARRIERES CTG SUARL"/>
    <s v="020720/MMG/DMG"/>
    <s v="KEUR LAT DIOP FALL"/>
    <s v="Carrière"/>
    <s v="THIES"/>
    <m/>
    <m/>
    <m/>
    <d v="2018-09-05T00:00:00"/>
    <d v="2018-09-05T00:00:00"/>
    <m/>
    <n v="1.74"/>
    <m/>
    <m/>
    <m/>
    <d v="2023-09-04T00:00:00"/>
    <n v="2020"/>
  </r>
  <r>
    <x v="59"/>
    <s v="MAKABINGUI GOLD OPERATION SA"/>
    <s v="20181904"/>
    <s v="Sambarabougou"/>
    <s v="Permis d'exploitation"/>
    <s v="KEDOUGOU"/>
    <m/>
    <m/>
    <m/>
    <d v="2016-11-28T00:00:00"/>
    <d v="2018-10-09T00:00:00"/>
    <m/>
    <n v="375"/>
    <n v="0"/>
    <n v="102"/>
    <n v="0"/>
    <d v="2999-12-31T00:00:00"/>
    <n v="2020"/>
  </r>
  <r>
    <x v="60"/>
    <s v="MASSAWA JERSEY LIMITED"/>
    <s v="007086"/>
    <s v="KANOUMBA"/>
    <s v="Permis de recherche"/>
    <s v="KEDOUGOU"/>
    <m/>
    <m/>
    <m/>
    <d v="2020-02-21T00:00:00"/>
    <d v="2020-02-25T00:00:00"/>
    <n v="1900000"/>
    <n v="286"/>
    <n v="0"/>
    <n v="0"/>
    <n v="0"/>
    <d v="2024-02-24T00:00:00"/>
    <n v="2020"/>
  </r>
  <r>
    <x v="61"/>
    <s v="NEW ENERGY INVESTMENT SARL"/>
    <s v="002204/MMG/DMG"/>
    <s v="Kéniékoto"/>
    <s v="Permis de recherche"/>
    <s v="KEDOUGOU"/>
    <m/>
    <m/>
    <m/>
    <d v="2018-11-09T00:00:00"/>
    <d v="2018-02-05T00:00:00"/>
    <n v="76875"/>
    <n v="110"/>
    <m/>
    <m/>
    <m/>
    <d v="2023-02-05T00:00:00"/>
    <n v="2020"/>
  </r>
  <r>
    <x v="61"/>
    <s v="NEW ENERGY INVESTMENT SARL"/>
    <s v="009739/MMG/DMG"/>
    <s v="Ylimalo"/>
    <s v="Permis de recherche"/>
    <s v="KEDOUGOU"/>
    <m/>
    <m/>
    <m/>
    <d v="2018-04-06T00:00:00"/>
    <d v="2018-05-09T00:00:00"/>
    <n v="175000"/>
    <n v="368"/>
    <m/>
    <m/>
    <m/>
    <d v="2022-05-08T00:00:00"/>
    <n v="2020"/>
  </r>
  <r>
    <x v="62"/>
    <s v="NIAMAYA GOLD SARL"/>
    <s v="022/MIM/DMG"/>
    <s v="NIAMAYA"/>
    <s v="Permis de recherche"/>
    <s v="KEDOUGOU"/>
    <m/>
    <m/>
    <m/>
    <d v="2014-02-05T00:00:00"/>
    <d v="2014-02-05T00:00:00"/>
    <n v="572000"/>
    <n v="57"/>
    <n v="0"/>
    <n v="14"/>
    <n v="0"/>
    <d v="2024-06-29T00:00:00"/>
    <n v="2020"/>
  </r>
  <r>
    <x v="63"/>
    <s v="PETOWAL MINING COMPANY (PMC) SA"/>
    <s v="2016-995"/>
    <s v="MAKO"/>
    <s v="Concession minière"/>
    <s v="KEDOUGOU"/>
    <m/>
    <m/>
    <m/>
    <d v="2006-09-20T00:00:00"/>
    <d v="2016-07-14T00:00:00"/>
    <m/>
    <n v="87.5"/>
    <n v="87.5"/>
    <m/>
    <m/>
    <d v="2031-07-14T00:00:00"/>
    <n v="2020"/>
  </r>
  <r>
    <x v="64"/>
    <s v="PROCHIMAT SA"/>
    <n v="7930"/>
    <s v="NIANING"/>
    <s v="Concession minière"/>
    <s v="THIES"/>
    <m/>
    <m/>
    <m/>
    <m/>
    <d v="1979-01-09T00:00:00"/>
    <m/>
    <n v="1.45"/>
    <m/>
    <m/>
    <m/>
    <m/>
    <n v="2020"/>
  </r>
  <r>
    <x v="65"/>
    <s v="SABODALA GOLD OPERATIONS SA"/>
    <s v="2015-1136"/>
    <s v="SABODALA"/>
    <s v="Concession minière"/>
    <s v="KEDOUGOU"/>
    <m/>
    <m/>
    <m/>
    <d v="2015-04-07T00:00:00"/>
    <d v="2015-07-29T00:00:00"/>
    <n v="522919221"/>
    <n v="291.8"/>
    <n v="0.69"/>
    <m/>
    <n v="0.69"/>
    <d v="2040-07-28T00:00:00"/>
    <n v="2020"/>
  </r>
  <r>
    <x v="66"/>
    <s v="SABODALA MINING COMPANY SARL"/>
    <s v="08707/"/>
    <s v="Bransan"/>
    <s v="Permis de recherche"/>
    <s v="KEDOUGOU"/>
    <m/>
    <m/>
    <m/>
    <d v="2018-03-02T00:00:00"/>
    <d v="2018-04-23T00:00:00"/>
    <n v="750000"/>
    <n v="337.3"/>
    <m/>
    <m/>
    <m/>
    <m/>
    <n v="2020"/>
  </r>
  <r>
    <x v="66"/>
    <s v="SABODALA MINING COMPANY SARL"/>
    <s v="08708/"/>
    <s v="Sounkounkou"/>
    <s v="Permis de recherche"/>
    <s v="KEDOUGOU"/>
    <m/>
    <m/>
    <m/>
    <d v="2018-03-02T00:00:00"/>
    <d v="2018-04-23T00:00:00"/>
    <n v="500000"/>
    <n v="291.7"/>
    <m/>
    <m/>
    <m/>
    <m/>
    <n v="2020"/>
  </r>
  <r>
    <x v="67"/>
    <s v="SENEGAL MINES SA"/>
    <s v="15M"/>
    <s v="Mbodiene"/>
    <s v="Concession minière"/>
    <s v="THIES"/>
    <m/>
    <m/>
    <m/>
    <d v="1998-05-26T00:00:00"/>
    <d v="2000-02-18T00:00:00"/>
    <n v="0"/>
    <n v="2.1579000000000002"/>
    <n v="9.8000000000000004E-2"/>
    <m/>
    <n v="0"/>
    <d v="2999-12-31T00:00:00"/>
    <n v="2020"/>
  </r>
  <r>
    <x v="68"/>
    <s v="SENEGINDIA SA"/>
    <s v="14179/"/>
    <s v="ICS"/>
    <s v="Carrière"/>
    <s v="THIES"/>
    <m/>
    <m/>
    <m/>
    <m/>
    <d v="2016-09-22T00:00:00"/>
    <n v="4000"/>
    <m/>
    <m/>
    <m/>
    <m/>
    <m/>
    <n v="2020"/>
  </r>
  <r>
    <x v="18"/>
    <s v="SEPHOS SENEGAL SA"/>
    <s v="10357/MMITPME/DMG"/>
    <s v="Lam-Lam"/>
    <s v="Petite mine"/>
    <s v="THIES"/>
    <m/>
    <m/>
    <m/>
    <d v="2009-11-09T00:00:00"/>
    <d v="2009-11-09T00:00:00"/>
    <n v="0"/>
    <n v="7.57"/>
    <n v="0"/>
    <n v="2.57"/>
    <m/>
    <d v="2999-12-31T00:00:00"/>
    <n v="2020"/>
  </r>
  <r>
    <x v="69"/>
    <s v="SOCABEG MINING"/>
    <s v="013957"/>
    <s v="Ndindy"/>
    <s v="Permis de recherche"/>
    <s v="DIOURBEL"/>
    <m/>
    <m/>
    <m/>
    <d v="2015-12-30T00:00:00"/>
    <d v="2016-02-29T00:00:00"/>
    <n v="200000"/>
    <n v="872"/>
    <n v="0"/>
    <n v="218"/>
    <n v="0"/>
    <d v="2022-02-27T00:00:00"/>
    <n v="2020"/>
  </r>
  <r>
    <x v="70"/>
    <s v="SOCIETE SENEGALAISE DE NEGOCE INTERNATIONALE (SNEPAC) SARL"/>
    <s v="15099/MIM/DMG"/>
    <s v="Bantaco"/>
    <s v="Permis de recherche"/>
    <s v="KEDOUGOU"/>
    <m/>
    <m/>
    <m/>
    <d v="2017-08-08T00:00:00"/>
    <d v="2017-08-22T00:00:00"/>
    <n v="75000"/>
    <n v="113.2"/>
    <n v="0"/>
    <m/>
    <n v="0"/>
    <d v="2999-12-31T00:00:00"/>
    <n v="2020"/>
  </r>
  <r>
    <x v="20"/>
    <s v="SOCIETE DE CONCASSAGE ET DU BETON (SOCOBE)"/>
    <s v="10862"/>
    <s v="ICS"/>
    <s v="Carrière"/>
    <s v="THIES"/>
    <m/>
    <m/>
    <m/>
    <m/>
    <d v="2018-04-06T00:00:00"/>
    <m/>
    <n v="0"/>
    <n v="0"/>
    <n v="0"/>
    <n v="0"/>
    <d v="2999-12-31T00:00:00"/>
    <n v="2020"/>
  </r>
  <r>
    <x v="25"/>
    <s v="SOCOCIM INDUSTRIES"/>
    <s v="D2006-359"/>
    <s v="BARGNY"/>
    <s v="Concession minière"/>
    <s v="DAKAR"/>
    <m/>
    <m/>
    <m/>
    <d v="2006-02-03T00:00:00"/>
    <d v="2006-04-19T00:00:00"/>
    <m/>
    <n v="4.6100000000000003"/>
    <m/>
    <m/>
    <m/>
    <d v="2031-04-19T00:00:00"/>
    <n v="2020"/>
  </r>
  <r>
    <x v="25"/>
    <s v="SOCOCIM INDUSTRIES"/>
    <s v="D2006-361"/>
    <s v="POUT"/>
    <s v="Concession minière"/>
    <s v="THIES"/>
    <m/>
    <m/>
    <m/>
    <d v="2006-02-03T00:00:00"/>
    <d v="2006-04-19T00:00:00"/>
    <m/>
    <n v="4.0999999999999996"/>
    <m/>
    <m/>
    <m/>
    <d v="2031-04-19T00:00:00"/>
    <n v="2020"/>
  </r>
  <r>
    <x v="25"/>
    <s v="SOCOCIM INDUSTRIES"/>
    <s v="D2006-360"/>
    <s v="BANDIA"/>
    <s v="Concession minière"/>
    <s v="THIES"/>
    <m/>
    <m/>
    <m/>
    <d v="2006-02-03T00:00:00"/>
    <d v="2006-04-19T00:00:00"/>
    <m/>
    <n v="1.21"/>
    <m/>
    <m/>
    <m/>
    <d v="2031-04-19T00:00:00"/>
    <n v="2020"/>
  </r>
  <r>
    <x v="21"/>
    <s v="SODEVIT"/>
    <s v="026694"/>
    <s v="SODEVIT"/>
    <s v="Carrière"/>
    <s v="THIES"/>
    <m/>
    <m/>
    <m/>
    <m/>
    <d v="2018-12-14T00:00:00"/>
    <n v="0"/>
    <n v="1.41"/>
    <n v="0"/>
    <n v="0"/>
    <n v="0.08"/>
    <d v="2023-12-13T00:00:00"/>
    <n v="2020"/>
  </r>
  <r>
    <x v="22"/>
    <s v="SOCIETE MINIERE DE LA VALLEE DU FLEUVE SENEGAL –SOMIVA"/>
    <s v="2011770"/>
    <s v="Ndendory"/>
    <s v="Concession minière"/>
    <s v="MATAM"/>
    <m/>
    <m/>
    <m/>
    <d v="2008-10-01T00:00:00"/>
    <d v="2011-06-08T00:00:00"/>
    <n v="100000"/>
    <n v="661"/>
    <n v="0"/>
    <n v="0"/>
    <n v="0"/>
    <m/>
    <n v="2020"/>
  </r>
  <r>
    <x v="71"/>
    <s v="SONKO ET FILS SARL"/>
    <s v="004166"/>
    <s v="MAMANKANTI"/>
    <s v="Permis de recherche"/>
    <s v="KEDOUGOU"/>
    <m/>
    <m/>
    <m/>
    <d v="2016-11-08T00:00:00"/>
    <d v="2020-07-13T00:00:00"/>
    <n v="184167"/>
    <n v="52.76"/>
    <n v="0"/>
    <n v="13.76"/>
    <n v="0"/>
    <d v="2023-07-12T00:00:00"/>
    <n v="2020"/>
  </r>
  <r>
    <x v="24"/>
    <s v="SORED MINES SA"/>
    <s v="2007-1327"/>
    <s v="NIAMIA"/>
    <s v="Concession minière"/>
    <s v="KEDOUGOU"/>
    <m/>
    <m/>
    <m/>
    <d v="2010-06-17T00:00:00"/>
    <d v="2007-11-02T00:00:00"/>
    <n v="0"/>
    <n v="120"/>
    <n v="0"/>
    <n v="0"/>
    <n v="0"/>
    <d v="2027-11-02T00:00:00"/>
    <n v="2020"/>
  </r>
  <r>
    <x v="72"/>
    <s v="SOCIETE SENEGALAISE DES PHOSPHATES DE THIES (SSPT)"/>
    <s v="D1985-411"/>
    <s v="ALLOU KAGNE"/>
    <s v="Concession minière"/>
    <s v="THIES"/>
    <m/>
    <m/>
    <m/>
    <d v="1998-05-28T00:00:00"/>
    <d v="1998-01-12T00:00:00"/>
    <n v="0"/>
    <n v="13.48"/>
    <n v="0.4"/>
    <n v="0"/>
    <n v="0.2"/>
    <d v="2023-01-11T00:00:00"/>
    <n v="2020"/>
  </r>
  <r>
    <x v="72"/>
    <s v="SOCIETE SENEGALAISE DES PHOSPHATES DE THIES (SSPT)"/>
    <s v="003129/MMIPME/CTE"/>
    <s v="LAM-LAM"/>
    <s v="Permis de recherche"/>
    <s v="THIES"/>
    <m/>
    <m/>
    <m/>
    <s v="2011"/>
    <d v="2012-03-23T00:00:00"/>
    <n v="95796653"/>
    <n v="16.399999999999999"/>
    <n v="0.4"/>
    <n v="8.6"/>
    <m/>
    <d v="2023-01-11T00:00:00"/>
    <n v="2020"/>
  </r>
  <r>
    <x v="72"/>
    <s v="SOCIETE SENEGALAISE DES PHOSPHATES DE THIES (SSPT)"/>
    <s v="D1985-409"/>
    <s v="MBODIENE"/>
    <s v="Concession minière"/>
    <s v="THIES"/>
    <m/>
    <m/>
    <m/>
    <m/>
    <d v="1985-04-19T00:00:00"/>
    <n v="0"/>
    <n v="1.18"/>
    <n v="0.4"/>
    <n v="0"/>
    <m/>
    <d v="2023-01-11T00:00:00"/>
    <n v="2020"/>
  </r>
  <r>
    <x v="72"/>
    <s v="SOCIETE SENEGALAISE DES PHOSPHATES DE THIES (SSPT)"/>
    <s v="D1985-409"/>
    <s v="SEBIKHOTANE"/>
    <s v="Concession minière"/>
    <s v="THIES"/>
    <m/>
    <m/>
    <m/>
    <m/>
    <d v="1985-04-19T00:00:00"/>
    <n v="0"/>
    <n v="3.29"/>
    <n v="0.4"/>
    <n v="0"/>
    <m/>
    <d v="2023-01-11T00:00:00"/>
    <n v="2020"/>
  </r>
  <r>
    <x v="72"/>
    <s v="SOCIETE SENEGALAISE DES PHOSPHATES DE THIES (SSPT)"/>
    <s v="D1985-399"/>
    <s v="WARRANG"/>
    <s v="Concession minière"/>
    <s v="THIES"/>
    <m/>
    <m/>
    <m/>
    <m/>
    <d v="1985-04-19T00:00:00"/>
    <n v="0"/>
    <n v="1.3"/>
    <n v="0.4"/>
    <n v="0"/>
    <m/>
    <d v="2023-01-11T00:00:00"/>
    <n v="2020"/>
  </r>
  <r>
    <x v="73"/>
    <s v="TANOR INDUSTRIELLES SA"/>
    <s v="08205/MMG/DMG"/>
    <s v="ICS"/>
    <s v="Carrière"/>
    <s v="THIES"/>
    <m/>
    <m/>
    <m/>
    <s v="16/032018"/>
    <d v="2018-04-17T00:00:00"/>
    <n v="0"/>
    <m/>
    <m/>
    <m/>
    <m/>
    <m/>
    <n v="2020"/>
  </r>
  <r>
    <x v="74"/>
    <s v="TETACAR"/>
    <s v="09104/MMITPME/DMG"/>
    <s v="DIACK"/>
    <s v="Carrière"/>
    <s v="THIES"/>
    <m/>
    <m/>
    <m/>
    <d v="2009-09-10T00:00:00"/>
    <d v="2009-09-10T00:00:00"/>
    <m/>
    <n v="0.21"/>
    <m/>
    <m/>
    <m/>
    <d v="2021-02-28T00:00:00"/>
    <n v="2020"/>
  </r>
  <r>
    <x v="75"/>
    <s v="Triyangs International Mining Group SA"/>
    <s v="006246/MMG/DMG"/>
    <s v="Djindji Bassari"/>
    <s v="Permis de recherche"/>
    <s v="KEDOUGOU"/>
    <m/>
    <m/>
    <m/>
    <d v="2018-01-30T00:00:00"/>
    <d v="2018-03-20T00:00:00"/>
    <n v="55000"/>
    <n v="25"/>
    <n v="0"/>
    <n v="0"/>
    <n v="0.2"/>
    <d v="2022-03-10T00:00:00"/>
    <n v="2020"/>
  </r>
  <r>
    <x v="75"/>
    <s v="Triyangs International Mining Group SA"/>
    <s v="002203/MMG/DMG"/>
    <s v="Souroumdou"/>
    <s v="Permis de recherche"/>
    <s v="TAMBACOUNDA"/>
    <m/>
    <m/>
    <m/>
    <d v="2018-10-22T00:00:00"/>
    <d v="2019-02-05T00:00:00"/>
    <n v="87125"/>
    <n v="61"/>
    <m/>
    <m/>
    <m/>
    <d v="2023-02-05T00:00:00"/>
    <n v="2020"/>
  </r>
  <r>
    <x v="76"/>
    <s v="CSE GRANULATS"/>
    <s v="008633/MMG/DMG"/>
    <s v="DIACK"/>
    <s v="Permis d'exploitation"/>
    <s v="THIES"/>
    <m/>
    <m/>
    <m/>
    <m/>
    <d v="2018-04-20T00:00:00"/>
    <m/>
    <n v="9.1999999999999998E-2"/>
    <n v="9.1999999999999998E-2"/>
    <n v="0"/>
    <n v="0"/>
    <m/>
    <n v="2020"/>
  </r>
  <r>
    <x v="31"/>
    <s v="2SBCI"/>
    <s v="09142/MIM/DMG"/>
    <s v="BANDIA"/>
    <s v="Carrière"/>
    <s v="THIES"/>
    <s v="CALCAIRE"/>
    <s v="BANDIA"/>
    <s v="MBOUR"/>
    <d v="2017-05-31T00:00:00"/>
    <d v="2017-05-31T00:00:00"/>
    <m/>
    <n v="0.3"/>
    <m/>
    <m/>
    <m/>
    <d v="2022-05-30T00:00:00"/>
    <n v="2021"/>
  </r>
  <r>
    <x v="0"/>
    <s v="AFRICAN INVESTMENT GROUP SA"/>
    <s v="000363/MMG/DMG"/>
    <s v="SUD SAINT-LOUIS"/>
    <s v="Petite mine"/>
    <s v="SAINT-LOUIS"/>
    <s v="Minéraux lourds"/>
    <s v="NDIEBENE GANDIOLE"/>
    <s v="SAINT-LOUIS"/>
    <d v="2012-01-23T00:00:00"/>
    <d v="2019-01-09T00:00:00"/>
    <m/>
    <n v="4.5"/>
    <m/>
    <n v="2.57"/>
    <m/>
    <m/>
    <n v="2021"/>
  </r>
  <r>
    <x v="0"/>
    <s v="AFRICAN INVESTMENT GROUP SA"/>
    <s v="001669"/>
    <s v="KEBEMER"/>
    <s v="Permis de recherche"/>
    <s v="LOUGA"/>
    <s v="Phosphates"/>
    <s v="THIOLOME FALL"/>
    <s v="LOUGA"/>
    <d v="2013-02-22T00:00:00"/>
    <d v="2013-07-10T00:00:00"/>
    <m/>
    <n v="898.5"/>
    <n v="0"/>
    <n v="545.1"/>
    <n v="0"/>
    <d v="2022-06-29T00:00:00"/>
    <n v="2021"/>
  </r>
  <r>
    <x v="32"/>
    <s v="AFRIGEM SL"/>
    <s v="A010333/MMIAPME/DMG"/>
    <s v="LINGEKHOTO"/>
    <s v="Permis de recherche"/>
    <s v="KEDOUGOU"/>
    <s v="OR"/>
    <s v="KEDOUGOU"/>
    <s v="KEDOUGOU"/>
    <d v="2010-12-01T00:00:00"/>
    <d v="2010-12-01T00:00:00"/>
    <m/>
    <n v="157"/>
    <n v="0"/>
    <n v="120.5"/>
    <n v="0"/>
    <d v="2017-11-30T00:00:00"/>
    <n v="2021"/>
  </r>
  <r>
    <x v="32"/>
    <s v="AFRIGEM SL"/>
    <s v="010978/MMG/DMG/25/06/2020"/>
    <s v="BOUROUBOUROU"/>
    <s v="Permis de recherche"/>
    <s v="KEDOUGOU"/>
    <s v="OR"/>
    <s v="KEDOUGOU"/>
    <s v="KEDOUGOU"/>
    <d v="2010-12-01T00:00:00"/>
    <d v="2010-12-01T00:00:00"/>
    <m/>
    <n v="187"/>
    <n v="0"/>
    <n v="110"/>
    <n v="0"/>
    <d v="2022-03-05T00:00:00"/>
    <n v="2021"/>
  </r>
  <r>
    <x v="77"/>
    <s v="AFRIGOLD SARL"/>
    <s v="UTMWGS 84 ZONE 28"/>
    <s v="KARAKHAENA"/>
    <s v="Permis d’exploitation"/>
    <s v="KEDOUGOU"/>
    <s v="OR"/>
    <s v="SARAYA"/>
    <s v="SARAYA"/>
    <d v="2015-10-08T00:00:00"/>
    <d v="2016-02-02T00:00:00"/>
    <m/>
    <n v="39"/>
    <n v="39"/>
    <n v="0"/>
    <n v="0"/>
    <d v="2021-02-01T00:00:00"/>
    <n v="2021"/>
  </r>
  <r>
    <x v="1"/>
    <s v="AGEM SENEGAL EXPLORATION SUARL"/>
    <s v="13984/MIM/DMG"/>
    <s v="DAORALA"/>
    <s v="Permis de recherche"/>
    <s v="KEDOUGOU"/>
    <s v="OR"/>
    <s v="MEDINA BAFFE"/>
    <s v="SARAYA"/>
    <d v="2004-08-16T00:00:00"/>
    <d v="2005-03-04T00:00:00"/>
    <m/>
    <n v="420"/>
    <n v="0"/>
    <n v="184"/>
    <n v="0"/>
    <m/>
    <n v="2021"/>
  </r>
  <r>
    <x v="1"/>
    <s v="AGEM SENEGAL EXPLORATION SUARL"/>
    <s v="012395/MMG/DMG"/>
    <s v="NOUMOUFOUKHA"/>
    <s v="Permis de recherche"/>
    <s v="KEDOUGOU"/>
    <s v="OR"/>
    <s v="MEDINA BAFFE"/>
    <s v="SARAYA"/>
    <d v="2018-05-11T00:00:00"/>
    <d v="2018-06-05T00:00:00"/>
    <m/>
    <n v="79"/>
    <n v="0"/>
    <n v="0"/>
    <n v="0"/>
    <d v="2023-06-04T00:00:00"/>
    <n v="2021"/>
  </r>
  <r>
    <x v="33"/>
    <s v="AGROMINE"/>
    <s v="001928MMG"/>
    <s v="LAMBAYE"/>
    <s v="Permis de recherche"/>
    <s v="DIOURBEL"/>
    <s v="Phosphate de chaux"/>
    <s v="DIOURBEL"/>
    <s v="DIOURBEL"/>
    <d v="2019-01-21T00:00:00"/>
    <d v="2019-01-31T00:00:00"/>
    <m/>
    <n v="567"/>
    <n v="0"/>
    <n v="0"/>
    <n v="0"/>
    <d v="2999-12-31T00:00:00"/>
    <n v="2021"/>
  </r>
  <r>
    <x v="33"/>
    <s v="AGROMINE"/>
    <s v="025823"/>
    <s v="Seune Sèrère"/>
    <s v="Carrière"/>
    <s v="THIES"/>
    <s v="BASALTE"/>
    <s v="KEUR MOUSSA"/>
    <s v="THIES"/>
    <m/>
    <d v="2018-09-18T00:00:00"/>
    <m/>
    <n v="0.38"/>
    <n v="0"/>
    <n v="0"/>
    <n v="0"/>
    <d v="2023-12-18T00:00:00"/>
    <n v="2021"/>
  </r>
  <r>
    <x v="34"/>
    <s v="ALBINA SENEGAL SARL"/>
    <s v="017130/MMG/DMG"/>
    <s v="BANDIA"/>
    <s v="Carrière"/>
    <s v="THIES"/>
    <s v="CALCAIRE"/>
    <s v="BANDIA"/>
    <s v="THIES"/>
    <m/>
    <d v="2018-07-23T00:00:00"/>
    <m/>
    <n v="0.15"/>
    <n v="0.15"/>
    <m/>
    <m/>
    <d v="2023-07-22T00:00:00"/>
    <n v="2021"/>
  </r>
  <r>
    <x v="2"/>
    <s v="AMAFRIQUE SENEGAL"/>
    <s v="A018603/MMG/DMG"/>
    <s v="Thilogne"/>
    <s v="Permis de recherche"/>
    <s v="MATAM"/>
    <s v="Phosphate de chaux"/>
    <s v="AGNAM-CIVOL"/>
    <s v="MATAM"/>
    <d v="2015-06-02T00:00:00"/>
    <d v="2015-07-15T00:00:00"/>
    <m/>
    <n v="1590"/>
    <n v="0"/>
    <n v="401"/>
    <n v="0"/>
    <d v="2021-08-12T00:00:00"/>
    <n v="2021"/>
  </r>
  <r>
    <x v="27"/>
    <s v="ARDIMINES SARL"/>
    <s v="002734"/>
    <s v="Tombo"/>
    <s v="Permis de recherche"/>
    <s v="KEDOUGOU"/>
    <s v="OR"/>
    <s v="TOMBORONKOTO"/>
    <s v="KEDOUGOU"/>
    <d v="2016-11-08T00:00:00"/>
    <d v="2019-02-14T00:00:00"/>
    <m/>
    <n v="22"/>
    <n v="0"/>
    <n v="0"/>
    <n v="0"/>
    <d v="2023-02-14T00:00:00"/>
    <n v="2021"/>
  </r>
  <r>
    <x v="78"/>
    <s v="ATIC SARL"/>
    <s v="09MAI2018009738"/>
    <s v="ATIC SILEX"/>
    <s v="Carrière"/>
    <s v="THIES"/>
    <s v="SILEX"/>
    <s v="M’BORO"/>
    <s v="TIVAOUANE"/>
    <d v="2018-03-27T00:00:00"/>
    <d v="2018-05-09T00:00:00"/>
    <m/>
    <n v="1.2"/>
    <n v="1.2"/>
    <n v="0"/>
    <n v="0"/>
    <d v="2999-12-31T00:00:00"/>
    <n v="2021"/>
  </r>
  <r>
    <x v="35"/>
    <s v="BAMBADJI SA"/>
    <s v="012394/ MMG/DMG"/>
    <s v="BAMBADJI"/>
    <s v="Permis de recherche"/>
    <s v="KEDOUGOU"/>
    <s v="OR"/>
    <s v="MADINA BAFFE"/>
    <s v="SARAYA"/>
    <d v="2018-05-11T00:00:00"/>
    <d v="2018-06-05T00:00:00"/>
    <m/>
    <n v="314.5"/>
    <n v="0"/>
    <n v="0"/>
    <n v="0"/>
    <d v="2999-12-31T00:00:00"/>
    <n v="2021"/>
  </r>
  <r>
    <x v="36"/>
    <s v="BAMBUK MINERALS SENEGAL SARL"/>
    <s v="014934"/>
    <s v="SANGOLA"/>
    <s v="Permis de recherche"/>
    <s v="KEDOUGOU"/>
    <s v="OR"/>
    <s v="BANDAFASSI"/>
    <s v="KEDOUGOU"/>
    <d v="2016-06-08T00:00:00"/>
    <d v="2019-06-07T00:00:00"/>
    <m/>
    <n v="381"/>
    <n v="0"/>
    <n v="0"/>
    <n v="0"/>
    <d v="2023-06-07T00:00:00"/>
    <n v="2021"/>
  </r>
  <r>
    <x v="36"/>
    <s v="BAMBUK MINERALS SENEGAL SARL"/>
    <s v="023735"/>
    <s v="KOULOUNTOU EST"/>
    <s v="Permis de recherche"/>
    <s v="KEDOUGOU"/>
    <s v="OR"/>
    <s v="TOMBORONKOTO"/>
    <s v="KEDOUGOU"/>
    <d v="2016-11-08T00:00:00"/>
    <d v="2018-11-06T00:00:00"/>
    <m/>
    <n v="34.700000000000003"/>
    <n v="0"/>
    <n v="0"/>
    <n v="0"/>
    <d v="2999-12-31T00:00:00"/>
    <n v="2021"/>
  </r>
  <r>
    <x v="37"/>
    <s v="BB FIRST COMMODITY HOLDING LIMITED"/>
    <s v="00487/MMG/DMG"/>
    <s v="MADINA FOULBE"/>
    <s v="Permis de recherche"/>
    <s v="TAMBACOUNDA"/>
    <s v="OR"/>
    <s v="MADINA FOULBE"/>
    <s v="BAKEL"/>
    <d v="2010-05-07T00:00:00"/>
    <d v="2018-01-15T00:00:00"/>
    <m/>
    <n v="260"/>
    <n v="0"/>
    <n v="65"/>
    <n v="0"/>
    <n v="44575"/>
    <n v="2021"/>
  </r>
  <r>
    <x v="38"/>
    <s v="BMCC SA"/>
    <s v="001840/MMG/DMG"/>
    <s v="CHERIF LO NGAKHAM"/>
    <s v="Permis d’exploitation"/>
    <s v="DIOURBEL"/>
    <s v="Phosphates"/>
    <m/>
    <m/>
    <m/>
    <m/>
    <m/>
    <n v="75"/>
    <m/>
    <m/>
    <m/>
    <m/>
    <n v="2021"/>
  </r>
  <r>
    <x v="29"/>
    <s v="BOSFOR SARL"/>
    <s v="0062254 MEMDMGBD"/>
    <s v="bandia/thiés"/>
    <s v="Carrière"/>
    <s v="THIES"/>
    <s v="CALCAIRE"/>
    <s v="DIASS"/>
    <s v="MBOUR"/>
    <m/>
    <d v="2012-08-22T00:00:00"/>
    <m/>
    <n v="0.2"/>
    <n v="0"/>
    <m/>
    <n v="0"/>
    <d v="2017-08-22T00:00:00"/>
    <n v="2021"/>
  </r>
  <r>
    <x v="40"/>
    <s v="BOYA SA"/>
    <s v="011843 MIM/DMG"/>
    <s v="DIAMBA SUD"/>
    <s v="Permis de recherche"/>
    <s v="KEDOUGOU"/>
    <s v="OR"/>
    <s v="SARAYA"/>
    <s v="SARAYA"/>
    <d v="2015-04-08T00:00:00"/>
    <d v="2015-06-10T00:00:00"/>
    <m/>
    <n v="71.319999999999993"/>
    <n v="0"/>
    <n v="18.02"/>
    <n v="0"/>
    <n v="44391"/>
    <n v="2021"/>
  </r>
  <r>
    <x v="40"/>
    <s v="BOYA SA"/>
    <s v="011842/MIM/DMG"/>
    <s v="DIAMBA NORD"/>
    <s v="Permis de recherche"/>
    <s v="KEDOUGOU"/>
    <s v="OR"/>
    <s v="SARAYA"/>
    <s v="SARAYA"/>
    <d v="2015-04-08T00:00:00"/>
    <d v="2015-06-10T00:00:00"/>
    <m/>
    <n v="241.8"/>
    <n v="0"/>
    <n v="80.7"/>
    <n v="0"/>
    <n v="43625"/>
    <n v="2021"/>
  </r>
  <r>
    <x v="79"/>
    <s v="CHALLENGER NORD-SUD INTERNATIONAL INC"/>
    <s v="025475"/>
    <s v="NIAKHENE"/>
    <s v="Permis de recherche"/>
    <s v="DIOURBEL"/>
    <s v="Phosphate de chaux"/>
    <s v="DIOURBEL"/>
    <s v="DIOURBEL"/>
    <d v="2020-09-25T00:00:00"/>
    <d v="2020-10-28T00:00:00"/>
    <m/>
    <n v="498"/>
    <n v="0"/>
    <n v="0"/>
    <n v="0"/>
    <d v="2024-10-27T00:00:00"/>
    <n v="2021"/>
  </r>
  <r>
    <x v="79"/>
    <s v="CHALLENGER NORD-SUD INTERNATIONAL INC"/>
    <s v="A07102/MIM/DMG"/>
    <s v="Coki"/>
    <s v="Permis de recherche"/>
    <s v="LOUGA"/>
    <s v="Phosphate de chaux"/>
    <s v="COKI"/>
    <s v="LOUGA"/>
    <d v="2016-04-14T00:00:00"/>
    <d v="2016-05-16T00:00:00"/>
    <m/>
    <n v="4396"/>
    <n v="0"/>
    <n v="1101"/>
    <n v="0"/>
    <d v="2022-05-11T00:00:00"/>
    <n v="2021"/>
  </r>
  <r>
    <x v="80"/>
    <s v="CIMENTS DE L' AFRIQUE SA"/>
    <s v="005494"/>
    <s v="POUT"/>
    <s v="Permis d’exploitation"/>
    <s v="THIES"/>
    <s v="CALCAIRE"/>
    <s v="KEUR MOUSSA"/>
    <s v="THIES"/>
    <d v="2016-04-19T00:00:00"/>
    <d v="2021-03-24T00:00:00"/>
    <m/>
    <n v="2.77"/>
    <n v="2.77"/>
    <n v="0"/>
    <n v="0"/>
    <d v="2026-03-23T00:00:00"/>
    <n v="2021"/>
  </r>
  <r>
    <x v="43"/>
    <s v="LES CIMENTS DU SAHEL SA"/>
    <s v="2-N°2000-106 du 22 février 2000"/>
    <s v="Argile et latérite Tchiky"/>
    <s v="Concession minière"/>
    <s v="THIES"/>
    <s v="Argile"/>
    <s v="DIASS"/>
    <s v="MBOUR"/>
    <d v="2000-02-18T00:00:00"/>
    <d v="2000-02-22T00:00:00"/>
    <m/>
    <n v="2"/>
    <n v="0.3"/>
    <n v="0"/>
    <n v="0.05"/>
    <d v="2025-02-22T00:00:00"/>
    <n v="2021"/>
  </r>
  <r>
    <x v="43"/>
    <s v="LES CIMENTS DU SAHEL SA"/>
    <s v="3-2015-639 du 15 mai 2015"/>
    <s v="Bandia-Kirène"/>
    <s v="Concession minière"/>
    <s v="THIES"/>
    <s v="CALCAIRE"/>
    <s v="BANDIA"/>
    <s v="THIES"/>
    <d v="2000-02-18T00:00:00"/>
    <d v="2015-05-15T00:00:00"/>
    <m/>
    <n v="5.86"/>
    <n v="0"/>
    <n v="0"/>
    <n v="0"/>
    <d v="2040-05-15T00:00:00"/>
    <n v="2021"/>
  </r>
  <r>
    <x v="81"/>
    <s v="COMPAGNIE GENERALE D'EXPLOITATION DE CARRIERE"/>
    <s v="007541/MMITPME"/>
    <s v="BANDIA"/>
    <s v="Carrière"/>
    <s v="THIES"/>
    <s v="CALCAIRE"/>
    <s v="BANDIA"/>
    <s v="THIES"/>
    <m/>
    <d v="2009-08-07T00:00:00"/>
    <m/>
    <n v="0.05"/>
    <n v="0.05"/>
    <m/>
    <m/>
    <d v="2027-02-13T00:00:00"/>
    <n v="2021"/>
  </r>
  <r>
    <x v="81"/>
    <s v="COMPAGNIE GENERALE D'EXPLOITATION DE CARRIERE"/>
    <s v="008569/MEMIMEFP"/>
    <s v="BANDIA"/>
    <s v="Carrière"/>
    <s v="THIES"/>
    <s v="CALCAIRE"/>
    <s v="BANDIA"/>
    <s v="THIES"/>
    <m/>
    <d v="1996-11-15T00:00:00"/>
    <m/>
    <n v="7.4999999999999997E-2"/>
    <n v="6.5000000000000002E-2"/>
    <n v="0.01"/>
    <m/>
    <d v="2027-02-13T00:00:00"/>
    <n v="2021"/>
  </r>
  <r>
    <x v="81"/>
    <s v="COMPAGNIE GENERALE D'EXPLOITATION DE CARRIERE"/>
    <s v="010284"/>
    <s v="DIACK"/>
    <s v="Carrière"/>
    <s v="THIES"/>
    <s v="BASALTE"/>
    <s v="N'GOUDIANE"/>
    <s v="THIES"/>
    <m/>
    <d v="2020-06-04T00:00:00"/>
    <m/>
    <n v="2.75E-2"/>
    <m/>
    <m/>
    <m/>
    <d v="2025-06-03T00:00:00"/>
    <n v="2021"/>
  </r>
  <r>
    <x v="81"/>
    <s v="COMPAGNIE GENERALE D'EXPLOITATION DE CARRIERE"/>
    <s v="6283/MIM/DMG"/>
    <s v="DIACK"/>
    <s v="Carrière"/>
    <s v="THIES"/>
    <s v="BASALTE"/>
    <s v="N'GOUDIANE"/>
    <s v="THIES"/>
    <m/>
    <d v="2016-04-18T00:00:00"/>
    <m/>
    <n v="0.41"/>
    <m/>
    <m/>
    <m/>
    <d v="2027-02-14T00:00:00"/>
    <n v="2021"/>
  </r>
  <r>
    <x v="81"/>
    <s v="COMPAGNIE GENERALE D'EXPLOITATION DE CARRIERE"/>
    <s v="07540/MIMTPME/DMG"/>
    <s v="DIACK"/>
    <s v="Carrière"/>
    <s v="THIES"/>
    <s v="BASALTE"/>
    <s v="N'GOUDIANE"/>
    <s v="THIES"/>
    <m/>
    <d v="2009-08-07T00:00:00"/>
    <m/>
    <n v="0.15"/>
    <m/>
    <m/>
    <m/>
    <d v="2027-03-14T00:00:00"/>
    <n v="2021"/>
  </r>
  <r>
    <x v="81"/>
    <s v="COMPAGNIE GENERALE D'EXPLOITATION DE CARRIERE"/>
    <s v="04252/MIMTPME/DMG"/>
    <s v="DIACK"/>
    <s v="Carrière"/>
    <s v="THIES"/>
    <s v="BASALTE"/>
    <s v="N'GOUDIANE"/>
    <s v="THIES"/>
    <m/>
    <d v="2009-03-30T00:00:00"/>
    <m/>
    <n v="0.05"/>
    <m/>
    <m/>
    <m/>
    <d v="2027-03-14T00:00:00"/>
    <n v="2021"/>
  </r>
  <r>
    <x v="81"/>
    <s v="COMPAGNIE GENERALE D'EXPLOITATION DE CARRIERE"/>
    <s v="001557/MMG/CAB/CT1"/>
    <s v="DIACK"/>
    <s v="Carrière"/>
    <s v="THIES"/>
    <s v="BASALTE"/>
    <s v="N'GOUDIANE"/>
    <s v="THIES"/>
    <m/>
    <d v="2019-01-28T00:00:00"/>
    <m/>
    <n v="0.15"/>
    <m/>
    <m/>
    <m/>
    <d v="2024-01-27T00:00:00"/>
    <n v="2021"/>
  </r>
  <r>
    <x v="81"/>
    <s v="COMPAGNIE GENERALE D'EXPLOITATION DE CARRIERE"/>
    <s v="0010283"/>
    <s v="DIACK"/>
    <s v="Carrière"/>
    <s v="THIES"/>
    <s v="BASALTE"/>
    <s v="N'GOUDIANE"/>
    <s v="THIES"/>
    <m/>
    <d v="2020-06-04T00:00:00"/>
    <m/>
    <n v="1.4999999999999999E-2"/>
    <m/>
    <m/>
    <m/>
    <d v="2025-06-03T00:00:00"/>
    <n v="2021"/>
  </r>
  <r>
    <x v="82"/>
    <s v="CONSULTING BUSINESS AGENGY SARL"/>
    <s v="A025607/MMG/DMG"/>
    <s v="MADINA TOUBAKOTA"/>
    <s v="Permis de recherche"/>
    <s v="KEDOUGOU"/>
    <s v="OR"/>
    <s v="BEMBOU"/>
    <s v="SARAYA"/>
    <d v="2019-09-29T00:00:00"/>
    <d v="2019-11-11T00:00:00"/>
    <m/>
    <n v="252"/>
    <n v="0"/>
    <n v="0"/>
    <n v="0"/>
    <d v="2023-11-10T00:00:00"/>
    <n v="2021"/>
  </r>
  <r>
    <x v="76"/>
    <s v="CSE GRANULATS"/>
    <s v="008633MMG/DMG"/>
    <s v="DIACK"/>
    <s v="Carrière"/>
    <s v="THIES"/>
    <s v="BASALTE"/>
    <s v="N’GOUNDIANE"/>
    <s v="THIES"/>
    <m/>
    <d v="2018-04-29T00:00:00"/>
    <m/>
    <n v="9.1999999999999998E-2"/>
    <n v="9.1999999999999998E-2"/>
    <n v="0"/>
    <n v="0"/>
    <d v="2999-12-31T00:00:00"/>
    <n v="2021"/>
  </r>
  <r>
    <x v="76"/>
    <s v="CSE GRANULATS"/>
    <s v="033738"/>
    <s v="Mansadala"/>
    <s v="Carrière"/>
    <s v="TAMBACOUNDA"/>
    <s v="BASALTE"/>
    <s v="DIALACOTO"/>
    <s v="TAMBACOUNDA"/>
    <m/>
    <m/>
    <m/>
    <n v="0.5"/>
    <n v="0.5"/>
    <n v="0"/>
    <n v="0"/>
    <d v="2021-10-20T00:00:00"/>
    <n v="2021"/>
  </r>
  <r>
    <x v="45"/>
    <s v="DAMASH MINERALS LTD"/>
    <s v="19005"/>
    <s v="KOLDA"/>
    <s v="Permis de recherche"/>
    <s v="KOLDA"/>
    <s v="Phosphate de chaux"/>
    <s v="MEDINA  EL HADJI"/>
    <s v="KOLDA"/>
    <d v="2011-07-13T00:00:00"/>
    <d v="2013-12-05T00:00:00"/>
    <m/>
    <n v="2645"/>
    <n v="0"/>
    <n v="2520"/>
    <n v="0"/>
    <d v="2023-08-07T00:00:00"/>
    <n v="2021"/>
  </r>
  <r>
    <x v="46"/>
    <s v="DANGOTE CEMENT SENEGAL "/>
    <s v="2008-1431"/>
    <s v="POUT"/>
    <s v="Concession minière"/>
    <s v="THIES"/>
    <s v="CALCAIRE"/>
    <s v="POUT"/>
    <s v="THIES"/>
    <d v="2008-12-12T00:00:00"/>
    <d v="2008-12-12T00:00:00"/>
    <m/>
    <n v="10.07"/>
    <m/>
    <n v="0"/>
    <n v="0"/>
    <d v="2033-12-11T00:00:00"/>
    <n v="2021"/>
  </r>
  <r>
    <x v="46"/>
    <s v="DANGOTE CEMENT SENEGAL "/>
    <s v="2015-368"/>
    <s v="TCHIKY"/>
    <s v="Concession minière"/>
    <s v="THIES"/>
    <s v="latérite, argile"/>
    <s v="TCHIKY"/>
    <s v="THIES"/>
    <m/>
    <m/>
    <m/>
    <n v="3.59"/>
    <m/>
    <m/>
    <m/>
    <m/>
    <n v="2021"/>
  </r>
  <r>
    <x v="83"/>
    <s v="DIYAN EXPLOITATION MINIERE SUARL"/>
    <s v="026689/MMG/DMG"/>
    <s v="ICS Darou Khoudoss Mboro"/>
    <s v="Carrière"/>
    <s v="THIES"/>
    <s v="SILEX"/>
    <s v="DAROU KHOUDOSS"/>
    <s v="TIVAOUANE"/>
    <m/>
    <d v="2018-12-14T00:00:00"/>
    <m/>
    <n v="0"/>
    <m/>
    <m/>
    <m/>
    <d v="2023-12-14T00:00:00"/>
    <n v="2021"/>
  </r>
  <r>
    <x v="84"/>
    <s v="ENTREPRISE MAPATHE NDIOUCK SA"/>
    <s v="100MMITPME/DMG"/>
    <s v="GABOU"/>
    <s v="Petite mine"/>
    <s v="TAMBACOUNDA"/>
    <s v="Grès"/>
    <s v="GABOU"/>
    <s v="BAKEL"/>
    <m/>
    <d v="2009-10-26T00:00:00"/>
    <m/>
    <n v="5.1100000000000003"/>
    <n v="5.1100000000000003"/>
    <n v="0"/>
    <m/>
    <d v="2023-09-26T00:00:00"/>
    <n v="2021"/>
  </r>
  <r>
    <x v="84"/>
    <s v="ENTREPRISE MAPATHE NDIOUCK SA"/>
    <s v="20736"/>
    <s v="ICS"/>
    <s v="Petite mine"/>
    <s v="THIES"/>
    <s v="SILEX"/>
    <s v="Mboro"/>
    <s v="TAIBA"/>
    <m/>
    <d v="2018-09-06T00:00:00"/>
    <m/>
    <n v="0.73"/>
    <m/>
    <m/>
    <m/>
    <d v="2022-09-05T00:00:00"/>
    <n v="2021"/>
  </r>
  <r>
    <x v="85"/>
    <s v="ENTREPRISE OUSMANE SOW"/>
    <s v="009208/MMG/CAR/CT1"/>
    <s v="Carrière d'entreprise Ousmane SOW"/>
    <s v="Carrière"/>
    <s v="THIES"/>
    <s v="Grès"/>
    <s v="DIASS"/>
    <s v="MBOUR"/>
    <m/>
    <m/>
    <m/>
    <n v="0.04"/>
    <n v="0"/>
    <n v="0"/>
    <n v="0"/>
    <d v="2999-12-31T00:00:00"/>
    <n v="2021"/>
  </r>
  <r>
    <x v="48"/>
    <s v="G.H MINING"/>
    <s v="006243/MMG/DMG"/>
    <s v="Sud Kéniéba &amp; Madina Foulbé"/>
    <s v="Petite mine"/>
    <s v="TAMBACOUNDA"/>
    <s v="Manganése"/>
    <s v="MADINA FOULBE"/>
    <s v="BAKEL"/>
    <d v="2012-01-06T00:00:00"/>
    <d v="2012-02-01T00:00:00"/>
    <m/>
    <n v="5"/>
    <n v="0.02"/>
    <n v="0"/>
    <n v="1.87"/>
    <d v="2022-02-01T00:00:00"/>
    <n v="2021"/>
  </r>
  <r>
    <x v="86"/>
    <s v="GAZAL CARRIERES SUARL"/>
    <s v="6101/MIMTPME/DMG"/>
    <s v="BANDIA"/>
    <s v="Carrière"/>
    <s v="THIES"/>
    <s v="CALCAIRE"/>
    <s v="BANDIA"/>
    <s v="THIES"/>
    <m/>
    <d v="2022-11-17T00:00:00"/>
    <m/>
    <n v="0.51"/>
    <n v="0.34"/>
    <m/>
    <m/>
    <m/>
    <n v="2021"/>
  </r>
  <r>
    <x v="8"/>
    <s v="GECAMINES"/>
    <s v="001331/MMG/DMG"/>
    <s v="DIACK"/>
    <s v="Carrière"/>
    <s v="THIES"/>
    <s v="BASALTE"/>
    <s v="N'GOUDIANE"/>
    <s v="THIES"/>
    <m/>
    <d v="2019-04-18T00:00:00"/>
    <m/>
    <n v="0.11"/>
    <m/>
    <m/>
    <m/>
    <d v="2024-01-23T00:00:00"/>
    <n v="2021"/>
  </r>
  <r>
    <x v="8"/>
    <s v="GECAMINES"/>
    <s v="001332"/>
    <s v="DIACK"/>
    <s v="Carrière"/>
    <s v="THIES"/>
    <s v="BASALTE"/>
    <s v="N'GOUDIANE"/>
    <s v="THIES"/>
    <m/>
    <d v="2021-01-29T00:00:00"/>
    <m/>
    <n v="0.105"/>
    <m/>
    <m/>
    <m/>
    <d v="2026-01-28T00:00:00"/>
    <n v="2021"/>
  </r>
  <r>
    <x v="8"/>
    <s v="GECAMINES"/>
    <s v="08847/MIM/DMG"/>
    <s v="DIACK"/>
    <s v="Carrière"/>
    <s v="THIES"/>
    <s v="BASALTE"/>
    <s v="N'GOUDIANE"/>
    <s v="THIES"/>
    <m/>
    <d v="2017-05-26T00:00:00"/>
    <m/>
    <n v="0.14000000000000001"/>
    <m/>
    <m/>
    <m/>
    <d v="2027-08-30T00:00:00"/>
    <n v="2021"/>
  </r>
  <r>
    <x v="8"/>
    <s v="GECAMINES"/>
    <s v="026694/MMG/DMG"/>
    <s v="BANDIA"/>
    <s v="Carrière"/>
    <s v="THIES"/>
    <s v="CALCAIRE"/>
    <s v="BANDIA"/>
    <s v="THIES"/>
    <m/>
    <d v="2018-12-14T00:00:00"/>
    <m/>
    <n v="0.11"/>
    <m/>
    <m/>
    <m/>
    <d v="2023-12-13T00:00:00"/>
    <n v="2021"/>
  </r>
  <r>
    <x v="8"/>
    <s v="GECAMINES"/>
    <s v="03044/MEM/DMG"/>
    <s v="BANDIA"/>
    <s v="Carrière"/>
    <s v="THIES"/>
    <s v="CALCAIRE"/>
    <s v="BANDIA"/>
    <s v="THIES"/>
    <m/>
    <d v="2005-06-22T00:00:00"/>
    <m/>
    <n v="1.29"/>
    <m/>
    <m/>
    <m/>
    <s v="018/11/2023"/>
    <n v="2021"/>
  </r>
  <r>
    <x v="8"/>
    <s v="GECAMINES"/>
    <s v="0032820"/>
    <s v="GECAMINES BANDIA"/>
    <s v="Carrière"/>
    <s v="THIES"/>
    <s v="CALCAIRE"/>
    <s v="BANDIA"/>
    <s v="THIES"/>
    <m/>
    <d v="2021-10-07T00:00:00"/>
    <m/>
    <n v="1.722"/>
    <n v="0.35"/>
    <n v="0"/>
    <n v="0"/>
    <d v="2026-10-07T00:00:00"/>
    <n v="2021"/>
  </r>
  <r>
    <x v="8"/>
    <s v="GECAMINES"/>
    <s v="A09098"/>
    <s v="GECAMINE DIACK"/>
    <s v="Carrière"/>
    <s v="THIES"/>
    <s v="BASALTE"/>
    <s v="N’GOUNDIANE"/>
    <s v="THIES"/>
    <m/>
    <d v="2009-09-01T00:00:00"/>
    <m/>
    <n v="0.59"/>
    <n v="1.29E-2"/>
    <n v="0"/>
    <n v="0"/>
    <d v="2014-09-01T00:00:00"/>
    <n v="2021"/>
  </r>
  <r>
    <x v="87"/>
    <s v="GLOBAL IMMO SENEGAL SARL"/>
    <s v="013588"/>
    <s v="ICS"/>
    <s v="Carrière"/>
    <s v="THIES"/>
    <s v="SILEX"/>
    <s v="DAROU KHOUDOSS"/>
    <s v="TIVAOUANE"/>
    <d v="2018-06-22T00:00:00"/>
    <d v="2018-06-22T00:00:00"/>
    <m/>
    <n v="0"/>
    <n v="0"/>
    <n v="0"/>
    <n v="0"/>
    <d v="2023-06-30T00:00:00"/>
    <n v="2021"/>
  </r>
  <r>
    <x v="88"/>
    <s v="G-PHOS SA"/>
    <s v="12950"/>
    <s v="Niakhène"/>
    <s v="Permis de recherche"/>
    <s v="THIES"/>
    <s v="Phosphate de chaux"/>
    <s v="TIVAOUANE"/>
    <s v="TIVAOUANE"/>
    <d v="2015-05-21T00:00:00"/>
    <d v="2015-06-24T00:00:00"/>
    <m/>
    <n v="636"/>
    <n v="0"/>
    <n v="0"/>
    <n v="0"/>
    <d v="2999-12-31T00:00:00"/>
    <n v="2021"/>
  </r>
  <r>
    <x v="89"/>
    <s v="GRANDE COTE OPERATIONS SA"/>
    <s v="1326"/>
    <s v="Grande Côte"/>
    <s v="Concession minière"/>
    <s v="THIES"/>
    <s v="Ilménite, zircon, rutile, leucoxène"/>
    <s v="DAROU KHOUDOSS"/>
    <s v="TIVAOUANE"/>
    <d v="2004-09-09T00:00:00"/>
    <d v="2004-09-19T00:00:00"/>
    <m/>
    <n v="445"/>
    <n v="2.2000000000000002"/>
    <n v="0"/>
    <n v="2"/>
    <d v="2999-12-31T00:00:00"/>
    <n v="2021"/>
  </r>
  <r>
    <x v="10"/>
    <s v="GROUPEMENT D'ENTREPRISE SINTRAM HOUAR"/>
    <s v="004068MMI/DMG"/>
    <s v="Carrière de basalte de Diack"/>
    <s v="Carrière"/>
    <s v="THIES"/>
    <s v="BASALTE"/>
    <s v="N’GOUNDIANE"/>
    <s v="THIES"/>
    <d v="2007-07-04T00:00:00"/>
    <d v="2007-11-05T00:00:00"/>
    <m/>
    <n v="0.04"/>
    <n v="0"/>
    <n v="5.0000000000000001E-3"/>
    <n v="0"/>
    <d v="2022-06-02T00:00:00"/>
    <n v="2021"/>
  </r>
  <r>
    <x v="90"/>
    <s v="HOLDING ATLANTQUE MINING PETROLUM-SA"/>
    <s v="025476"/>
    <s v="AINOUMANE"/>
    <s v="Permis de recherche"/>
    <s v="DIOURBEL"/>
    <s v="Phosphate de chaux"/>
    <s v="DINGUIRAYE"/>
    <s v="BAMBEY"/>
    <d v="2020-09-25T00:00:00"/>
    <d v="2020-10-28T00:00:00"/>
    <m/>
    <n v="588"/>
    <n v="0"/>
    <n v="0"/>
    <n v="0"/>
    <d v="2024-10-27T00:00:00"/>
    <n v="2021"/>
  </r>
  <r>
    <x v="52"/>
    <s v="IAMGOLD BOTO S.A"/>
    <s v="2020-981"/>
    <s v="Boto"/>
    <s v="Permis d’exploitation"/>
    <s v="KEDOUGOU"/>
    <s v="OR"/>
    <s v="MEDINA BAFFE"/>
    <s v="SARAYA"/>
    <d v="2004-08-16T00:00:00"/>
    <d v="2019-12-16T00:00:00"/>
    <m/>
    <n v="148"/>
    <n v="0"/>
    <n v="0"/>
    <n v="0"/>
    <d v="2039-12-16T00:00:00"/>
    <n v="2021"/>
  </r>
  <r>
    <x v="53"/>
    <s v="INCA SARL"/>
    <s v="10660"/>
    <s v="bandia"/>
    <s v="Carrière"/>
    <s v="THIES"/>
    <s v="CALCAIRE"/>
    <s v="BANDIA"/>
    <s v="MBOUR"/>
    <d v="2017-10-11T00:00:00"/>
    <d v="2015-02-19T00:00:00"/>
    <m/>
    <n v="0.2"/>
    <n v="0"/>
    <n v="0"/>
    <n v="0"/>
    <d v="2020-02-19T00:00:00"/>
    <n v="2021"/>
  </r>
  <r>
    <x v="54"/>
    <s v="INDUSTRIE CHIMIQUES DU SENEGAL / INDORAMA"/>
    <s v="D1999-1021"/>
    <s v="TOBENE SUD"/>
    <s v="Concession minière"/>
    <s v="THIES"/>
    <s v="Phosphate de chaux"/>
    <s v="PIRE GOUREY"/>
    <s v="TIVAOUANE"/>
    <d v="2008-04-23T00:00:00"/>
    <d v="1999-10-19T00:00:00"/>
    <m/>
    <n v="18.440999999999999"/>
    <n v="0"/>
    <n v="0"/>
    <m/>
    <d v="2999-12-31T00:00:00"/>
    <n v="2021"/>
  </r>
  <r>
    <x v="54"/>
    <s v="INDUSTRIE CHIMIQUES DU SENEGAL / INDORAMA"/>
    <s v="D1999-1020"/>
    <s v="TOBENE NORD"/>
    <s v="Concession minière"/>
    <s v="THIES"/>
    <s v="Phosphate de chaux"/>
    <s v="DAROU KHOUDOSS"/>
    <s v="TIVAOUANE"/>
    <d v="2008-04-23T00:00:00"/>
    <d v="1999-10-19T00:00:00"/>
    <m/>
    <n v="173"/>
    <n v="7"/>
    <n v="0"/>
    <m/>
    <d v="2999-12-31T00:00:00"/>
    <n v="2021"/>
  </r>
  <r>
    <x v="55"/>
    <s v="INTERNATIONAL MINING COMPANY (IMC)"/>
    <s v="020031/MIM/DMG"/>
    <s v="DOUTA"/>
    <s v="Permis de recherche"/>
    <s v="KEDOUGOU"/>
    <s v="OR"/>
    <s v="KHOSSANTO"/>
    <s v="SARAYA"/>
    <d v="2009-11-11T00:00:00"/>
    <d v="2009-11-11T00:00:00"/>
    <m/>
    <n v="103"/>
    <n v="0"/>
    <n v="45"/>
    <n v="0"/>
    <d v="2020-11-09T00:00:00"/>
    <n v="2021"/>
  </r>
  <r>
    <x v="91"/>
    <s v="KANEL RESSOURCES"/>
    <s v="015098"/>
    <s v="Sud Kanel"/>
    <s v="Permis de recherche"/>
    <s v="MATAM"/>
    <s v="Phosphate de chaux"/>
    <s v="OGO"/>
    <s v="MATAM"/>
    <d v="2015-05-23T00:00:00"/>
    <d v="2015-08-17T00:00:00"/>
    <m/>
    <n v="3029.76"/>
    <n v="0"/>
    <n v="757"/>
    <n v="0"/>
    <d v="2021-08-16T00:00:00"/>
    <n v="2021"/>
  </r>
  <r>
    <x v="57"/>
    <s v="KUTLU GABANE HOLDING S.A"/>
    <s v="024218"/>
    <s v="Ngoudiane-EGCCBN"/>
    <s v="Carrière"/>
    <s v="THIES"/>
    <s v="BASALTE"/>
    <s v="N’GOUNDIANE"/>
    <s v="THIES"/>
    <d v="2019-10-04T00:00:00"/>
    <d v="2019-11-28T00:00:00"/>
    <m/>
    <n v="0.06"/>
    <n v="6.3399999999999998E-2"/>
    <n v="0"/>
    <n v="0"/>
    <d v="2999-12-31T00:00:00"/>
    <n v="2021"/>
  </r>
  <r>
    <x v="92"/>
    <s v="LES CARRIERES CTG SUARL"/>
    <s v="019235"/>
    <s v="CARRIERE DE CALCAIRE DE KEUR LAT DIOP FALL"/>
    <s v="Carrière"/>
    <s v="THIES"/>
    <s v="CALCAIRE"/>
    <s v="MONT- ROLLAND"/>
    <s v="TIVAOUANE"/>
    <m/>
    <d v="2021-06-01T00:00:00"/>
    <m/>
    <n v="1.74"/>
    <n v="0"/>
    <n v="0"/>
    <n v="0"/>
    <d v="2025-05-31T00:00:00"/>
    <n v="2021"/>
  </r>
  <r>
    <x v="59"/>
    <s v="MAKABINGUI GOLD OPERATION SA"/>
    <s v="20181904"/>
    <s v="Sambarabougou"/>
    <s v="Permis d’exploitation"/>
    <s v="KEDOUGOU"/>
    <s v="OR"/>
    <s v="MISSIRAH SIRIMANA"/>
    <s v="SARAYA"/>
    <d v="2016-11-28T00:00:00"/>
    <d v="2018-10-09T00:00:00"/>
    <m/>
    <n v="121.83"/>
    <n v="0"/>
    <n v="102"/>
    <n v="0"/>
    <d v="2999-12-31T00:00:00"/>
    <n v="2021"/>
  </r>
  <r>
    <x v="60"/>
    <s v="MASSAWA JERSEY LIMITED"/>
    <s v="0070/MMG"/>
    <s v="Kanoumba"/>
    <s v="Permis de recherche"/>
    <s v="KEDOUGOU"/>
    <s v="OR"/>
    <s v="SABODALA"/>
    <s v="SARAYA"/>
    <m/>
    <d v="2020-02-25T00:00:00"/>
    <m/>
    <n v="286"/>
    <n v="0"/>
    <n v="0"/>
    <n v="0"/>
    <d v="2999-12-31T00:00:00"/>
    <n v="2021"/>
  </r>
  <r>
    <x v="93"/>
    <s v="NEW ENERGY INVESTMENT SARL"/>
    <s v="05FEV2019002204"/>
    <s v="Kéniékoto"/>
    <s v="Permis de recherche"/>
    <s v="KEDOUGOU"/>
    <s v="OR"/>
    <s v="SARAYA"/>
    <s v="SARAYA"/>
    <d v="2018-11-09T00:00:00"/>
    <d v="2019-02-05T00:00:00"/>
    <m/>
    <n v="110"/>
    <n v="0"/>
    <n v="0"/>
    <n v="0"/>
    <d v="2023-02-05T00:00:00"/>
    <n v="2021"/>
  </r>
  <r>
    <x v="93"/>
    <s v="NEW ENERGY INVESTMENT SARL"/>
    <s v="09MAI2018009739"/>
    <s v="Ylimalo"/>
    <s v="Permis de recherche"/>
    <s v="KEDOUGOU"/>
    <s v="Lithium"/>
    <s v="SARAYA"/>
    <s v="SARAYA"/>
    <d v="2018-04-06T00:00:00"/>
    <d v="2018-05-09T00:00:00"/>
    <m/>
    <n v="368"/>
    <n v="0"/>
    <n v="0"/>
    <n v="0"/>
    <d v="2022-05-09T00:00:00"/>
    <n v="2021"/>
  </r>
  <r>
    <x v="94"/>
    <s v="NIAMAYA GOLD SARL"/>
    <s v="011650"/>
    <s v="NIAMAYA"/>
    <s v="Permis de recherche"/>
    <s v="KEDOUGOU"/>
    <s v="OR"/>
    <s v="KHOSSANTO"/>
    <s v="SARAYA"/>
    <d v="2013-07-15T00:00:00"/>
    <d v="2020-06-30T00:00:00"/>
    <m/>
    <n v="57"/>
    <n v="0"/>
    <n v="14"/>
    <n v="0"/>
    <d v="2024-06-29T00:00:00"/>
    <n v="2021"/>
  </r>
  <r>
    <x v="63"/>
    <s v="PETOWAL MINING COMPANY (PMC) SA"/>
    <s v="2016-995"/>
    <s v="MAKO"/>
    <s v="Concession minière"/>
    <s v="KEDOUGOU"/>
    <s v="OR"/>
    <s v="TOMBORONKOTO"/>
    <s v="KEDOUGOU"/>
    <d v="2006-09-20T00:00:00"/>
    <d v="2016-07-14T00:00:00"/>
    <m/>
    <n v="87.5"/>
    <n v="87.5"/>
    <m/>
    <m/>
    <d v="2031-07-14T00:00:00"/>
    <n v="2021"/>
  </r>
  <r>
    <x v="64"/>
    <s v="PROCHIMAT SA"/>
    <s v="966720"/>
    <s v="POUT"/>
    <s v="Concession minière"/>
    <s v="THIES"/>
    <s v="ATTAPULGITE"/>
    <s v="POUT"/>
    <s v="THIES"/>
    <m/>
    <d v="1996-08-19T00:00:00"/>
    <m/>
    <n v="0.36"/>
    <n v="0"/>
    <n v="0"/>
    <n v="0"/>
    <d v="2999-12-31T00:00:00"/>
    <n v="2021"/>
  </r>
  <r>
    <x v="64"/>
    <s v="PROCHIMAT SA"/>
    <s v="96536"/>
    <s v="MBODIENE"/>
    <s v="Concession minière"/>
    <s v="THIES"/>
    <s v="ATTAPULGITE"/>
    <s v="MALICOUNDA"/>
    <s v="MBOUR"/>
    <m/>
    <d v="1996-06-26T00:00:00"/>
    <m/>
    <n v="0.45"/>
    <n v="0"/>
    <n v="0"/>
    <n v="0"/>
    <d v="2999-12-31T00:00:00"/>
    <n v="2021"/>
  </r>
  <r>
    <x v="64"/>
    <s v="PROCHIMAT SA"/>
    <s v="007930"/>
    <s v="NIANING"/>
    <s v="Concession minière"/>
    <s v="THIES"/>
    <s v="ATTAPULGITE"/>
    <s v="MALICOUNDA"/>
    <s v="MBOUR"/>
    <m/>
    <d v="1979-01-09T00:00:00"/>
    <m/>
    <n v="1.45"/>
    <n v="0.01"/>
    <n v="0"/>
    <n v="0.1"/>
    <d v="2054-01-08T00:00:00"/>
    <n v="2021"/>
  </r>
  <r>
    <x v="95"/>
    <s v="ROYAL SENEGAL MINES ET EQUIPEMENT"/>
    <s v="00365/MMG/DMG"/>
    <s v="BANDIA"/>
    <s v="Carrière"/>
    <s v="THIES"/>
    <s v="CALCAIRE"/>
    <s v="BANDIA"/>
    <s v="THIES"/>
    <m/>
    <d v="2019-01-09T00:00:00"/>
    <m/>
    <n v="0.42"/>
    <n v="0.42"/>
    <m/>
    <m/>
    <d v="2024-01-08T00:00:00"/>
    <n v="2021"/>
  </r>
  <r>
    <x v="65"/>
    <s v="SABODALA GOLD OPERATIONS SA"/>
    <s v="2015-1136"/>
    <s v="SABODALA"/>
    <s v="Concession minière"/>
    <s v="KEDOUGOU"/>
    <s v="OR"/>
    <s v="SABODALA"/>
    <s v="SARAYA"/>
    <d v="2015-04-07T00:00:00"/>
    <d v="2015-07-29T00:00:00"/>
    <m/>
    <n v="291.8"/>
    <n v="291.8"/>
    <m/>
    <n v="0.69"/>
    <d v="2040-07-28T00:00:00"/>
    <n v="2021"/>
  </r>
  <r>
    <x v="66"/>
    <s v="SABODALA MINING COMPANY SARL"/>
    <s v="008707/MMG/DMG"/>
    <s v="BRANSAN"/>
    <s v="Permis de recherche"/>
    <s v="KEDOUGOU"/>
    <s v="OR"/>
    <s v="SABODALA"/>
    <s v="SARAYA"/>
    <d v="2018-03-02T00:00:00"/>
    <d v="2018-04-20T00:00:00"/>
    <m/>
    <n v="337.3"/>
    <n v="0"/>
    <n v="0"/>
    <n v="0"/>
    <d v="2022-04-19T00:00:00"/>
    <n v="2021"/>
  </r>
  <r>
    <x v="67"/>
    <s v="SENEGAL MINES SA"/>
    <s v="15M"/>
    <s v="MBODIENE"/>
    <s v="Concession minière"/>
    <s v="THIES"/>
    <s v="ATTAPULGITE"/>
    <s v="N’GUENIENE"/>
    <s v="MBOUR"/>
    <d v="1998-05-26T00:00:00"/>
    <d v="2000-02-18T00:00:00"/>
    <m/>
    <n v="2.1800000000000002"/>
    <n v="0.19800000000000001"/>
    <n v="2.16"/>
    <n v="9.8000000000000004E-2"/>
    <d v="2999-12-31T00:00:00"/>
    <n v="2021"/>
  </r>
  <r>
    <x v="68"/>
    <s v="SENEGINDIA SA"/>
    <s v="14179 DU 22/09/2016"/>
    <s v="PERIMETRE DES INDUSTRIES CHIMIQUES DU SENEGAL DANS LA REGION DE THIES"/>
    <s v="Carrière"/>
    <s v="THIES"/>
    <s v="SILEX"/>
    <s v="M’BORO"/>
    <s v="TIVAOUANE"/>
    <m/>
    <d v="2016-09-22T00:00:00"/>
    <m/>
    <n v="0"/>
    <n v="0"/>
    <n v="0"/>
    <n v="0"/>
    <d v="2023-09-22T00:00:00"/>
    <n v="2021"/>
  </r>
  <r>
    <x v="18"/>
    <s v="SEPHOS SENEGAL SA"/>
    <s v="10357MMITPME/DMG"/>
    <s v="LAM LAM"/>
    <s v="Petite mine"/>
    <s v="THIES"/>
    <s v="Phosphate de chaux"/>
    <s v="PAMBAL"/>
    <s v="TIVAOUANE"/>
    <d v="2009-11-09T00:00:00"/>
    <d v="2009-11-09T00:00:00"/>
    <m/>
    <n v="5"/>
    <n v="0"/>
    <n v="0"/>
    <n v="0"/>
    <d v="2999-12-31T00:00:00"/>
    <n v="2021"/>
  </r>
  <r>
    <x v="69"/>
    <s v="SOCABEG MINING"/>
    <s v="013957"/>
    <s v="Ndindy"/>
    <s v="Permis de recherche"/>
    <s v="DIOURBEL"/>
    <s v="Phosphate de chaux"/>
    <s v="N’DINDY"/>
    <s v="DIOURBEL"/>
    <d v="2015-12-30T00:00:00"/>
    <d v="2016-02-29T00:00:00"/>
    <m/>
    <n v="872"/>
    <n v="0"/>
    <n v="381"/>
    <n v="0"/>
    <d v="2022-02-27T00:00:00"/>
    <n v="2021"/>
  </r>
  <r>
    <x v="96"/>
    <s v="SOCIETE DE CONCASSAGE ET DU BETON (SOCOBE)"/>
    <s v="10862"/>
    <s v="INDUSTRIES CHIMIQUES DU SENEGAL (ICS)"/>
    <s v="Carrière"/>
    <s v="THIES"/>
    <s v="SILEX"/>
    <s v="M’BORO"/>
    <s v="TIVAOUANE"/>
    <m/>
    <d v="2018-04-06T00:00:00"/>
    <m/>
    <n v="0"/>
    <n v="0"/>
    <n v="0"/>
    <n v="0"/>
    <d v="2999-12-31T00:00:00"/>
    <n v="2021"/>
  </r>
  <r>
    <x v="97"/>
    <s v="SOCIETE MINIERE DE LA VALLEE DU FLEUVE SENEGAL –SOMIVA"/>
    <s v="2011770"/>
    <s v="Ndendory"/>
    <s v="Concession minière"/>
    <s v="MATAM"/>
    <s v="Phosphate de chaux"/>
    <s v="NDENDORY"/>
    <s v="KANEL"/>
    <d v="2008-10-01T00:00:00"/>
    <d v="2011-06-08T00:00:00"/>
    <m/>
    <n v="661"/>
    <n v="10"/>
    <n v="0"/>
    <n v="0"/>
    <m/>
    <n v="2021"/>
  </r>
  <r>
    <x v="70"/>
    <s v="SOCIETE SENEGALAISE DE NEGOCE INTERNATIONALE (SNEPAC) SARL"/>
    <s v="15099MIM/DMG"/>
    <s v="BANTACCO"/>
    <s v="Permis de recherche"/>
    <s v="KEDOUGOU"/>
    <s v="OR"/>
    <s v="BEMBOU"/>
    <s v="SARAYA"/>
    <d v="2017-08-08T00:00:00"/>
    <d v="2017-08-22T00:00:00"/>
    <m/>
    <n v="113.2"/>
    <n v="0"/>
    <n v="28.3"/>
    <n v="0"/>
    <d v="2021-08-22T00:00:00"/>
    <n v="2021"/>
  </r>
  <r>
    <x v="72"/>
    <s v="SOCIETE SENEGALAISE DES PHOSPHATES DE THIES (SSPT)"/>
    <s v="D1985-411"/>
    <s v="ALLOU KAGNE"/>
    <s v="Concession minière"/>
    <s v="THIES"/>
    <s v="ATTAPULGITE"/>
    <s v="POUT"/>
    <s v="THIES"/>
    <d v="1998-05-28T00:00:00"/>
    <d v="1998-01-12T00:00:00"/>
    <m/>
    <n v="13.48"/>
    <n v="0.4"/>
    <n v="0"/>
    <n v="0.2"/>
    <d v="2023-01-11T00:00:00"/>
    <n v="2021"/>
  </r>
  <r>
    <x v="72"/>
    <s v="SOCIETE SENEGALAISE DES PHOSPHATES DE THIES (SSPT)"/>
    <s v="D1985-409"/>
    <s v="MBODIENE"/>
    <s v="Concession minière"/>
    <s v="THIES"/>
    <s v="ATTAPULGITE"/>
    <s v="POUT"/>
    <s v="THIES"/>
    <d v="1998-05-28T00:00:00"/>
    <d v="1985-04-19T00:00:00"/>
    <m/>
    <n v="1.18"/>
    <n v="0.4"/>
    <n v="0"/>
    <m/>
    <d v="2023-01-11T00:00:00"/>
    <n v="2021"/>
  </r>
  <r>
    <x v="72"/>
    <s v="SOCIETE SENEGALAISE DES PHOSPHATES DE THIES (SSPT)"/>
    <s v="D1985-413"/>
    <s v="SEBIKHOTANE"/>
    <s v="Concession minière"/>
    <s v="THIES"/>
    <s v="ATTAPULGITE"/>
    <s v="POUT"/>
    <s v="THIES"/>
    <d v="1998-05-28T00:00:00"/>
    <d v="1985-04-19T00:00:00"/>
    <m/>
    <n v="3.29"/>
    <n v="0.4"/>
    <n v="0"/>
    <m/>
    <d v="2023-01-11T00:00:00"/>
    <n v="2021"/>
  </r>
  <r>
    <x v="72"/>
    <s v="SOCIETE SENEGALAISE DES PHOSPHATES DE THIES (SSPT)"/>
    <s v="D1985-399"/>
    <s v="WARRANG"/>
    <s v="Concession minière"/>
    <s v="THIES"/>
    <s v="ATTAPULGITE"/>
    <s v="POUT"/>
    <s v="THIES"/>
    <d v="1998-05-28T00:00:00"/>
    <d v="1985-04-19T00:00:00"/>
    <m/>
    <n v="1.3"/>
    <n v="0.4"/>
    <n v="0"/>
    <m/>
    <d v="2023-01-11T00:00:00"/>
    <n v="2021"/>
  </r>
  <r>
    <x v="25"/>
    <s v="SOCOCIM INDUSTRIES"/>
    <s v="D2006-359"/>
    <s v="BARGNY"/>
    <s v="Concession minière"/>
    <s v="DAKAR"/>
    <s v="Marno calcaires"/>
    <s v="RUFISQUE"/>
    <s v="RUFISQUE"/>
    <d v="2006-02-03T00:00:00"/>
    <d v="2006-04-19T00:00:00"/>
    <m/>
    <n v="4.6100000000000003"/>
    <n v="1.99"/>
    <m/>
    <m/>
    <d v="2031-04-19T00:00:00"/>
    <n v="2021"/>
  </r>
  <r>
    <x v="25"/>
    <s v="SOCOCIM INDUSTRIES"/>
    <s v="D2006-361"/>
    <s v="POUT"/>
    <s v="Concession minière"/>
    <s v="THIES"/>
    <s v="CALCAIRE"/>
    <s v="THIES"/>
    <s v="THIES"/>
    <d v="2006-02-03T00:00:00"/>
    <d v="2006-04-19T00:00:00"/>
    <m/>
    <n v="4.0999999999999996"/>
    <m/>
    <m/>
    <m/>
    <d v="2031-04-19T00:00:00"/>
    <n v="2021"/>
  </r>
  <r>
    <x v="25"/>
    <s v="SOCOCIM INDUSTRIES"/>
    <s v="D2006-360"/>
    <s v="BANDIA"/>
    <s v="Concession minière"/>
    <s v="THIES"/>
    <s v="CALCAIRE"/>
    <s v="THIES"/>
    <s v="THIES"/>
    <d v="2006-02-03T00:00:00"/>
    <d v="2006-04-19T00:00:00"/>
    <m/>
    <n v="1.21"/>
    <m/>
    <m/>
    <m/>
    <d v="2031-04-19T00:00:00"/>
    <n v="2021"/>
  </r>
  <r>
    <x v="25"/>
    <s v="SOCOCIM INDUSTRIES"/>
    <s v="017372/MMG/CAB/CTI"/>
    <s v="DIACK"/>
    <s v="Carrière"/>
    <s v="THIES"/>
    <s v="latérite"/>
    <s v="NGOUNDIANE"/>
    <s v="THIES"/>
    <m/>
    <m/>
    <m/>
    <n v="0.3"/>
    <m/>
    <m/>
    <m/>
    <m/>
    <n v="2021"/>
  </r>
  <r>
    <x v="25"/>
    <s v="SOCOCIM INDUSTRIES"/>
    <s v="2009-1470"/>
    <s v="POUT"/>
    <s v="Concession minière"/>
    <s v="THIES"/>
    <s v="CALCAIRE"/>
    <s v="KEUR MOUSSA"/>
    <s v="THIES"/>
    <d v="2009-12-30T00:00:00"/>
    <d v="2009-12-30T00:00:00"/>
    <m/>
    <n v="4.0999999999999996"/>
    <n v="0.32"/>
    <m/>
    <m/>
    <m/>
    <n v="2021"/>
  </r>
  <r>
    <x v="25"/>
    <s v="SOCOCIM INDUSTRIES"/>
    <s v="2019-1239"/>
    <s v="BANDIA"/>
    <s v="Concession minière"/>
    <s v="THIES"/>
    <s v="CALCAIRE"/>
    <s v="NGUEKHOKH"/>
    <s v="MBOUR"/>
    <d v="2019-07-31T00:00:00"/>
    <d v="2019-07-31T00:00:00"/>
    <m/>
    <n v="3.7189999999999999"/>
    <n v="0.27"/>
    <m/>
    <m/>
    <m/>
    <n v="2021"/>
  </r>
  <r>
    <x v="25"/>
    <s v="SOCOCIM INDUSTRIES"/>
    <s v="017372"/>
    <s v="DIACK"/>
    <s v="Carrière"/>
    <s v="THIES"/>
    <s v="latérite"/>
    <s v="NGOUNDIANE"/>
    <s v="THIES"/>
    <d v="2019-07-11T00:00:00"/>
    <d v="2019-07-11T00:00:00"/>
    <m/>
    <n v="0.3"/>
    <n v="0.08"/>
    <m/>
    <m/>
    <m/>
    <n v="2021"/>
  </r>
  <r>
    <x v="25"/>
    <s v="SOCOCIM INDUSTRIES"/>
    <s v="030225"/>
    <s v="BANDIA"/>
    <s v="Carrière"/>
    <s v="THIES"/>
    <s v="CALCAIRE"/>
    <s v="BANDIA"/>
    <s v="MBOUR"/>
    <d v="2021-09-13T00:00:00"/>
    <d v="2021-09-13T00:00:00"/>
    <m/>
    <n v="0.156"/>
    <n v="0"/>
    <m/>
    <m/>
    <m/>
    <n v="2021"/>
  </r>
  <r>
    <x v="25"/>
    <s v="SOCOCIM INDUSTRIES"/>
    <s v="030226"/>
    <s v="BANDIA"/>
    <s v="Carrière"/>
    <s v="THIES"/>
    <s v="CALCAIRE"/>
    <s v="BANDIA"/>
    <s v="MBOUR"/>
    <d v="2021-09-13T00:00:00"/>
    <d v="2021-09-13T00:00:00"/>
    <m/>
    <n v="0.14099999999999999"/>
    <n v="0"/>
    <m/>
    <m/>
    <m/>
    <n v="2021"/>
  </r>
  <r>
    <x v="25"/>
    <s v="SOCOCIM INDUSTRIES"/>
    <s v="026843"/>
    <s v="BANDIA"/>
    <s v="Carrière"/>
    <s v="THIES"/>
    <s v="CALCAIRE"/>
    <s v="BANDIA"/>
    <s v="MBOUR"/>
    <d v="2021-07-27T00:00:00"/>
    <d v="2021-07-27T00:00:00"/>
    <m/>
    <n v="0.108"/>
    <n v="0"/>
    <m/>
    <m/>
    <m/>
    <n v="2021"/>
  </r>
  <r>
    <x v="25"/>
    <s v="SOCOCIM INDUSTRIES"/>
    <s v="031213"/>
    <s v="DIOBASS"/>
    <s v="Carrière"/>
    <s v="THIES"/>
    <s v="CALCAIRE"/>
    <s v="POUT"/>
    <s v="MBOUR"/>
    <d v="2021-09-23T00:00:00"/>
    <d v="2021-09-23T00:00:00"/>
    <m/>
    <n v="0.95"/>
    <n v="0"/>
    <m/>
    <m/>
    <m/>
    <n v="2021"/>
  </r>
  <r>
    <x v="25"/>
    <s v="SOCOCIM INDUSTRIES"/>
    <s v="013308"/>
    <s v="DIALACOTO"/>
    <s v="Carrière"/>
    <s v="TAMBACOUNDA"/>
    <s v="Argile"/>
    <s v="DIALACOTO"/>
    <s v="TAMBACOUNDA"/>
    <d v="2022-05-27T00:00:00"/>
    <d v="2022-05-27T00:00:00"/>
    <m/>
    <n v="0.75"/>
    <n v="0"/>
    <m/>
    <m/>
    <m/>
    <n v="2021"/>
  </r>
  <r>
    <x v="25"/>
    <s v="SOCOCIM INDUSTRIES"/>
    <s v="013309"/>
    <s v="DIALACOTO"/>
    <s v="Carrière"/>
    <s v="TAMBACOUNDA"/>
    <s v="Argile"/>
    <s v="DIALACOTO"/>
    <s v="TAMBACOUNDA"/>
    <d v="2022-05-27T00:00:00"/>
    <d v="2022-05-27T00:00:00"/>
    <m/>
    <n v="1.5"/>
    <n v="0"/>
    <m/>
    <m/>
    <m/>
    <n v="2021"/>
  </r>
  <r>
    <x v="98"/>
    <s v="SODEMINES"/>
    <s v="023589/DMG/MMG"/>
    <s v="Wassadou Nord"/>
    <s v="Permis de recherche"/>
    <s v="KEDOUGOU"/>
    <s v="OR"/>
    <s v="TOMBORONKOTO"/>
    <s v="KEDOUGOU"/>
    <d v="2011-10-02T00:00:00"/>
    <d v="2012-02-01T00:00:00"/>
    <m/>
    <n v="40"/>
    <n v="0"/>
    <n v="30"/>
    <n v="0"/>
    <d v="2999-12-31T00:00:00"/>
    <n v="2021"/>
  </r>
  <r>
    <x v="98"/>
    <s v="SODEMINES"/>
    <s v="23599/DMG/MMG"/>
    <s v="Wassadou Sud"/>
    <s v="Permis de recherche"/>
    <s v="KEDOUGOU"/>
    <s v="OR"/>
    <s v="TOMBORONKOTO"/>
    <s v="KEDOUGOU"/>
    <d v="2011-01-25T00:00:00"/>
    <d v="2011-11-18T00:00:00"/>
    <m/>
    <n v="54"/>
    <n v="0"/>
    <n v="37.5"/>
    <n v="0"/>
    <d v="2999-12-31T00:00:00"/>
    <n v="2021"/>
  </r>
  <r>
    <x v="99"/>
    <s v="SODEVCO"/>
    <s v="09047/MEF/MMAI "/>
    <s v="BANDIA"/>
    <s v="Carrière"/>
    <s v="THIES"/>
    <s v="CALCAIRE"/>
    <s v="BANDIA"/>
    <s v="THIES"/>
    <m/>
    <d v="2000-02-26T00:00:00"/>
    <m/>
    <n v="0.2"/>
    <n v="0.15"/>
    <m/>
    <m/>
    <d v="2024-03-18T00:00:00"/>
    <n v="2021"/>
  </r>
  <r>
    <x v="100"/>
    <s v="SOCIETE DE MANUFACTURE DE PRODUCTION INDUSTRIELLE DU SENEGAL (SOMAPIS)"/>
    <s v="007526/DMG/MMG"/>
    <s v="ICS Darou Khoudoss"/>
    <s v="Carrière"/>
    <s v="THIES"/>
    <s v="SILEX"/>
    <s v="DAROU KHOUDOSS"/>
    <s v="TIVAOUANE"/>
    <m/>
    <d v="2018-04-05T00:00:00"/>
    <m/>
    <n v="0"/>
    <n v="0"/>
    <n v="0"/>
    <n v="0"/>
    <d v="2999-12-31T00:00:00"/>
    <n v="2021"/>
  </r>
  <r>
    <x v="71"/>
    <s v="SONKO ET FILS SARL"/>
    <s v="004166"/>
    <s v="MAMANKANTI"/>
    <s v="Permis de recherche"/>
    <s v="KEDOUGOU"/>
    <s v="OR"/>
    <s v="TOMBORONKOTO"/>
    <s v="KEDOUGOU"/>
    <d v="2016-11-08T00:00:00"/>
    <d v="2020-07-13T00:00:00"/>
    <m/>
    <n v="52.76"/>
    <n v="0"/>
    <n v="13.76"/>
    <n v="0"/>
    <d v="2023-07-12T00:00:00"/>
    <n v="2021"/>
  </r>
  <r>
    <x v="24"/>
    <s v="SORED MINES SA"/>
    <s v="2007-1327"/>
    <s v="NIAMIA"/>
    <s v="Concession minière"/>
    <s v="KEDOUGOU"/>
    <s v="OR"/>
    <s v="KHOSSANTO"/>
    <s v="KEDOUGOU"/>
    <d v="2010-06-17T00:00:00"/>
    <d v="2007-11-02T00:00:00"/>
    <m/>
    <n v="120"/>
    <n v="0"/>
    <n v="0"/>
    <n v="0"/>
    <d v="2027-11-02T00:00:00"/>
    <n v="2021"/>
  </r>
  <r>
    <x v="101"/>
    <s v="STRATEX-EMC.SA"/>
    <s v="006745"/>
    <s v="SENALA"/>
    <s v="Permis de recherche"/>
    <s v="KEDOUGOU"/>
    <s v="OR"/>
    <s v="MEDINA BAFFE"/>
    <s v="SARAYA"/>
    <d v="2010-06-17T00:00:00"/>
    <d v="2007-11-02T00:00:00"/>
    <m/>
    <n v="472.5"/>
    <n v="0"/>
    <n v="0"/>
    <n v="0"/>
    <d v="2027-11-02T00:00:00"/>
    <n v="2021"/>
  </r>
  <r>
    <x v="102"/>
    <s v="SWAMI MINES SA"/>
    <s v="09104MMITPMEDGM"/>
    <s v="TALIX-MINES SITE DE DIACK"/>
    <s v="Carrière"/>
    <s v="THIES"/>
    <s v="BASALTE"/>
    <s v="THIES EST"/>
    <s v="THIES"/>
    <d v="2008-09-18T00:00:00"/>
    <d v="2009-09-10T00:00:00"/>
    <m/>
    <n v="0.21"/>
    <n v="0"/>
    <n v="0"/>
    <n v="0"/>
    <d v="2999-12-31T00:00:00"/>
    <n v="2021"/>
  </r>
  <r>
    <x v="103"/>
    <s v="CAYOR PHOSPHATE MINING"/>
    <s v="036584"/>
    <s v="UTM WGS 84 ZONE 28N"/>
    <s v="Permis de recherche"/>
    <s v="LOUGA"/>
    <s v="PHOSPHATE"/>
    <s v="NDANDE/ THILOM FALL/ NGOURANE"/>
    <s v="LOUGA"/>
    <d v="2013-05-31T00:00:00"/>
    <d v="2022-06-29T00:00:00"/>
    <m/>
    <n v="637.48"/>
    <m/>
    <m/>
    <m/>
    <m/>
    <n v="2021"/>
  </r>
  <r>
    <x v="104"/>
    <s v="TANOR INDUSTRIELLES SA"/>
    <s v="008205"/>
    <s v="ICS Darou Khoudoss Mboro"/>
    <s v="Carrière"/>
    <s v="THIES"/>
    <s v="SILEX"/>
    <s v="M’BORO"/>
    <s v="TIVAOUANE"/>
    <d v="2018-03-16T00:00:00"/>
    <d v="2018-04-17T00:00:00"/>
    <m/>
    <n v="0"/>
    <n v="0"/>
    <n v="0"/>
    <n v="0"/>
    <d v="2999-12-31T00:00:00"/>
    <n v="2021"/>
  </r>
  <r>
    <x v="75"/>
    <s v="Triyangs International Mining Group SA"/>
    <s v="002203/MMG/DMG"/>
    <s v="Souroumdou"/>
    <s v="Permis de recherche"/>
    <s v="TAMBACOUNDA"/>
    <s v="OR"/>
    <s v="TAMBACOUNDA"/>
    <s v="TAMBACOUNDA"/>
    <d v="2018-10-22T00:00:00"/>
    <d v="2019-02-05T00:00:00"/>
    <m/>
    <n v="61"/>
    <n v="0"/>
    <n v="0"/>
    <n v="0"/>
    <d v="2023-02-05T00:00:00"/>
    <n v="2021"/>
  </r>
  <r>
    <x v="75"/>
    <s v="Triyangs International Mining Group SA"/>
    <s v="006246/MMG/DMG"/>
    <s v="Djindji Bassari"/>
    <s v="Permis de recherche"/>
    <s v="KEDOUGOU"/>
    <s v="OR"/>
    <s v="KEDOUGOU"/>
    <s v="KEDOUGOU"/>
    <d v="2018-01-30T00:00:00"/>
    <d v="2018-03-20T00:00:00"/>
    <m/>
    <n v="25"/>
    <n v="0"/>
    <n v="0"/>
    <n v="0"/>
    <d v="2022-03-10T00:00:00"/>
    <n v="2021"/>
  </r>
  <r>
    <x v="105"/>
    <s v="VAPROM AFRICA SA"/>
    <s v="09040/MMD/MMG"/>
    <s v="Bandia"/>
    <s v="Carrière"/>
    <s v="THIES"/>
    <s v="CALCAIRE"/>
    <s v="BANDIA"/>
    <s v="THIES"/>
    <m/>
    <d v="2017-05-30T00:00:00"/>
    <m/>
    <n v="0.14313899999999999"/>
    <n v="0"/>
    <n v="0"/>
    <n v="0"/>
    <d v="2999-12-31T00:00:00"/>
    <n v="2021"/>
  </r>
  <r>
    <x v="31"/>
    <s v="2SBCI"/>
    <s v="09142/MIM/DMG"/>
    <s v="BANDIA"/>
    <s v="Carrière"/>
    <s v="THIES"/>
    <s v="CALCAIRE"/>
    <s v="BANDIA"/>
    <s v="MBOUR"/>
    <d v="2017-05-31T00:00:00"/>
    <d v="2017-05-31T00:00:00"/>
    <m/>
    <n v="0.3"/>
    <m/>
    <m/>
    <m/>
    <d v="2022-05-30T00:00:00"/>
    <n v="2022"/>
  </r>
  <r>
    <x v="32"/>
    <s v="AFRIGEM SL"/>
    <s v="A010333/MMIAPME/DMG"/>
    <s v="LINGEKHOTO"/>
    <s v="Permis de recherche"/>
    <s v="KEDOUGOU"/>
    <s v="OR"/>
    <s v="KEDOUGOU"/>
    <s v="KEDOUGOU"/>
    <d v="2010-12-01T00:00:00"/>
    <d v="2010-12-01T00:00:00"/>
    <m/>
    <n v="157"/>
    <n v="0"/>
    <n v="120.5"/>
    <n v="0"/>
    <d v="2017-11-30T00:00:00"/>
    <n v="2022"/>
  </r>
  <r>
    <x v="32"/>
    <s v="AFRIGEM SL"/>
    <s v="010978/MMG/DMG/25/06/2020"/>
    <s v="BOUROUBOUROU"/>
    <s v="Permis de recherche"/>
    <s v="KEDOUGOU"/>
    <s v="OR"/>
    <s v="KEDOUGOU"/>
    <s v="KEDOUGOU"/>
    <d v="2010-12-01T00:00:00"/>
    <d v="2010-12-01T00:00:00"/>
    <m/>
    <n v="187"/>
    <n v="0"/>
    <n v="110"/>
    <n v="0"/>
    <d v="2022-03-05T00:00:00"/>
    <n v="2022"/>
  </r>
  <r>
    <x v="77"/>
    <s v="AFRIGOLD SARL"/>
    <s v="UTMWGS 84 ZONE 28"/>
    <s v="KARAKHAENA"/>
    <s v="Permis d’exploitation"/>
    <s v="KEDOUGOU"/>
    <s v="OR"/>
    <s v="SARAYA"/>
    <s v="SARAYA"/>
    <d v="2015-10-08T00:00:00"/>
    <d v="2016-02-02T00:00:00"/>
    <m/>
    <n v="39"/>
    <n v="39"/>
    <n v="0"/>
    <n v="0"/>
    <d v="2021-02-01T00:00:00"/>
    <n v="2022"/>
  </r>
  <r>
    <x v="1"/>
    <s v="AGEM SENEGAL EXPLORATION SUARL"/>
    <s v="13984/MIM/DMG"/>
    <s v="DAORALA"/>
    <s v="Permis de recherche"/>
    <s v="KEDOUGOU"/>
    <s v="OR"/>
    <s v="MEDINA BAFFE"/>
    <s v="SARAYA"/>
    <d v="2004-08-16T00:00:00"/>
    <d v="2005-03-04T00:00:00"/>
    <m/>
    <n v="420"/>
    <n v="0"/>
    <n v="184"/>
    <n v="0"/>
    <m/>
    <n v="2022"/>
  </r>
  <r>
    <x v="1"/>
    <s v="AGEM SENEGAL EXPLORATION SUARL"/>
    <s v="012395/MMG/DMG"/>
    <s v="NOUMOUFOUKHA"/>
    <s v="Permis de recherche"/>
    <s v="KEDOUGOU"/>
    <s v="OR"/>
    <s v="MEDINA BAFFE"/>
    <s v="SARAYA"/>
    <d v="2018-05-11T00:00:00"/>
    <d v="2018-06-05T00:00:00"/>
    <m/>
    <n v="79"/>
    <n v="0"/>
    <n v="0"/>
    <n v="0"/>
    <d v="2023-06-04T00:00:00"/>
    <n v="2022"/>
  </r>
  <r>
    <x v="33"/>
    <s v="AGROMINE"/>
    <s v="001928MMG"/>
    <s v="LAMBAYE"/>
    <s v="Permis de recherche"/>
    <s v="DIOURBEL"/>
    <s v="Phosphate de chaux"/>
    <s v="DIOURBEL"/>
    <s v="DIOURBEL"/>
    <d v="2019-01-21T00:00:00"/>
    <d v="2019-01-31T00:00:00"/>
    <m/>
    <n v="567"/>
    <n v="0"/>
    <n v="0"/>
    <n v="0"/>
    <d v="2999-12-31T00:00:00"/>
    <n v="2022"/>
  </r>
  <r>
    <x v="33"/>
    <s v="AGROMINE"/>
    <s v="025823"/>
    <s v="Seune Sèrère"/>
    <s v="Carrière"/>
    <s v="THIES"/>
    <s v="BASALTE"/>
    <s v="KEUR MOUSSA"/>
    <s v="THIES"/>
    <m/>
    <d v="2018-09-18T00:00:00"/>
    <m/>
    <n v="0.38"/>
    <n v="0"/>
    <n v="0"/>
    <n v="0"/>
    <d v="2023-12-18T00:00:00"/>
    <n v="2022"/>
  </r>
  <r>
    <x v="34"/>
    <s v="ALBINA SENEGAL SARL"/>
    <s v="017130/MMG/DMG"/>
    <s v="BANDIA"/>
    <s v="Carrière"/>
    <s v="THIES"/>
    <s v="CALCAIRE"/>
    <s v="BANDIA"/>
    <s v="THIES"/>
    <m/>
    <d v="2018-07-23T00:00:00"/>
    <m/>
    <n v="0.15"/>
    <n v="0.15"/>
    <m/>
    <m/>
    <d v="2023-07-22T00:00:00"/>
    <n v="2022"/>
  </r>
  <r>
    <x v="2"/>
    <s v="AMAFRIQUE SENEGAL"/>
    <s v="A018603/MMG/DMG"/>
    <s v="Thilogne"/>
    <s v="Permis de recherche"/>
    <s v="MATAM"/>
    <s v="Phosphate de chaux"/>
    <s v="AGNAM-CIVOL"/>
    <s v="MATAM"/>
    <d v="2015-06-02T00:00:00"/>
    <d v="2015-07-15T00:00:00"/>
    <m/>
    <n v="1590"/>
    <n v="0"/>
    <n v="401"/>
    <n v="0"/>
    <d v="2021-08-12T00:00:00"/>
    <n v="2022"/>
  </r>
  <r>
    <x v="27"/>
    <s v="ARDIMINES SARL"/>
    <s v="002734"/>
    <s v="Tombo"/>
    <s v="Permis de recherche"/>
    <s v="KEDOUGOU"/>
    <s v="OR"/>
    <s v="TOMBORONKOTO"/>
    <s v="KEDOUGOU"/>
    <d v="2016-11-08T00:00:00"/>
    <d v="2019-02-14T00:00:00"/>
    <m/>
    <n v="22"/>
    <n v="0"/>
    <n v="0"/>
    <n v="0"/>
    <d v="2023-02-14T00:00:00"/>
    <n v="2022"/>
  </r>
  <r>
    <x v="78"/>
    <s v="ATIC SARL"/>
    <s v="09MAI2018009738"/>
    <s v="ATIC SILEX"/>
    <s v="Carrière"/>
    <s v="THIES"/>
    <s v="SILEX"/>
    <s v="M’BORO"/>
    <s v="TIVAOUANE"/>
    <d v="2018-03-27T00:00:00"/>
    <d v="2018-05-09T00:00:00"/>
    <m/>
    <n v="1.2"/>
    <n v="1.2"/>
    <n v="0"/>
    <n v="0"/>
    <d v="2999-12-31T00:00:00"/>
    <n v="2022"/>
  </r>
  <r>
    <x v="35"/>
    <s v="BAMBADJI SA"/>
    <s v="012394/ MMG/DMG"/>
    <s v="BAMBADJI"/>
    <s v="Permis de recherche"/>
    <s v="KEDOUGOU"/>
    <s v="OR"/>
    <s v="MADINA BAFFE"/>
    <s v="SARAYA"/>
    <d v="2018-05-11T00:00:00"/>
    <d v="2018-06-05T00:00:00"/>
    <m/>
    <n v="314.5"/>
    <n v="0"/>
    <n v="0"/>
    <n v="0"/>
    <d v="2999-12-31T00:00:00"/>
    <n v="2022"/>
  </r>
  <r>
    <x v="36"/>
    <s v="BAMBUK MINERALS SENEGAL SARL"/>
    <s v="014934"/>
    <s v="SANGOLA"/>
    <s v="Permis de recherche"/>
    <s v="KEDOUGOU"/>
    <s v="OR"/>
    <s v="BANDAFASSI"/>
    <s v="KEDOUGOU"/>
    <d v="2016-06-08T00:00:00"/>
    <d v="2019-06-07T00:00:00"/>
    <m/>
    <n v="381"/>
    <n v="0"/>
    <n v="0"/>
    <n v="0"/>
    <d v="2023-06-07T00:00:00"/>
    <n v="2022"/>
  </r>
  <r>
    <x v="36"/>
    <s v="BAMBUK MINERALS SENEGAL SARL"/>
    <s v="023735"/>
    <s v="KOULOUNTOU EST"/>
    <s v="Permis de recherche"/>
    <s v="KEDOUGOU"/>
    <s v="OR"/>
    <s v="TOMBORONKOTO"/>
    <s v="KEDOUGOU"/>
    <d v="2016-11-08T00:00:00"/>
    <d v="2018-11-06T00:00:00"/>
    <m/>
    <n v="381"/>
    <n v="0"/>
    <n v="0"/>
    <n v="0"/>
    <d v="2999-12-31T00:00:00"/>
    <n v="2022"/>
  </r>
  <r>
    <x v="37"/>
    <s v="BB FIRST COMMODITY HOLDING LIMITED"/>
    <s v="00487/MMG/DMG"/>
    <s v="MADINA FOULBE"/>
    <s v="Permis de recherche"/>
    <s v="TAMBACOUNDA"/>
    <s v="OR"/>
    <s v="MADINA FOULBE"/>
    <s v="BAKEL"/>
    <d v="2010-05-07T00:00:00"/>
    <d v="2018-01-15T00:00:00"/>
    <m/>
    <n v="260"/>
    <n v="0"/>
    <n v="65"/>
    <n v="0"/>
    <d v="2999-12-31T00:00:00"/>
    <n v="2022"/>
  </r>
  <r>
    <x v="106"/>
    <s v="BHAIRAVA AGRICOLE SARL"/>
    <n v="10566"/>
    <s v="KAOUROU"/>
    <s v="Permis de recherche"/>
    <s v="KEDOUGOU"/>
    <s v="OR"/>
    <s v="Bakel"/>
    <s v="BAKEL"/>
    <m/>
    <m/>
    <m/>
    <n v="144"/>
    <m/>
    <m/>
    <m/>
    <m/>
    <n v="2022"/>
  </r>
  <r>
    <x v="38"/>
    <s v="BMCC SA"/>
    <s v="001840/MMG/DMG"/>
    <s v="CHERIF LO NGAKHAM"/>
    <s v="Permis d’exploitation"/>
    <s v="DIOURBEL"/>
    <s v="Phosphates"/>
    <s v="CHERIF Lo"/>
    <s v="DIOURBEL"/>
    <d v="2018-09-24T00:00:00"/>
    <m/>
    <m/>
    <n v="75"/>
    <n v="5"/>
    <n v="0"/>
    <n v="0"/>
    <m/>
    <n v="2022"/>
  </r>
  <r>
    <x v="29"/>
    <s v="BOSFOR SARL"/>
    <s v="0062254 MEMDMGBD"/>
    <s v="bandia/thiés"/>
    <s v="Carrière"/>
    <s v="THIES"/>
    <s v="CALCAIRE"/>
    <s v="DIASS"/>
    <s v="MBOUR"/>
    <m/>
    <d v="2012-08-22T00:00:00"/>
    <m/>
    <n v="0.2"/>
    <n v="0"/>
    <m/>
    <n v="0"/>
    <d v="2017-08-22T00:00:00"/>
    <n v="2022"/>
  </r>
  <r>
    <x v="40"/>
    <s v="BOYA SA"/>
    <s v="011843 MIM/DMG"/>
    <s v="DIAMBA SUD"/>
    <s v="Permis de recherche"/>
    <s v="KEDOUGOU"/>
    <s v="OR"/>
    <s v="SARAYA"/>
    <s v="SARAYA"/>
    <d v="2015-04-08T00:00:00"/>
    <d v="2015-06-10T00:00:00"/>
    <m/>
    <n v="71.319999999999993"/>
    <n v="0"/>
    <n v="18.02"/>
    <n v="0"/>
    <d v="2021-07-14T00:00:00"/>
    <n v="2022"/>
  </r>
  <r>
    <x v="40"/>
    <s v="BOYA SA"/>
    <s v="011842/MIM/DMG"/>
    <s v="DIAMBA NORD"/>
    <s v="Permis de recherche"/>
    <s v="KEDOUGOU"/>
    <s v="OR"/>
    <s v="SARAYA"/>
    <s v="SARAYA"/>
    <d v="2015-04-08T00:00:00"/>
    <d v="2015-06-10T00:00:00"/>
    <m/>
    <n v="241.8"/>
    <n v="0"/>
    <n v="80.7"/>
    <n v="0"/>
    <d v="2019-06-09T00:00:00"/>
    <n v="2022"/>
  </r>
  <r>
    <x v="103"/>
    <s v="CAYOR PHOSPHATE MINING"/>
    <s v="036584"/>
    <s v="UTM WGS 84 ZONE 28N"/>
    <s v="Permis de recherche"/>
    <s v="LOUGA"/>
    <s v="PHOSPHATE"/>
    <s v="NDANDE/ THILOM FALL/ NGOURANE"/>
    <s v="LOUGA"/>
    <d v="2013-05-31T00:00:00"/>
    <d v="2022-06-29T00:00:00"/>
    <m/>
    <n v="637.48"/>
    <m/>
    <m/>
    <m/>
    <m/>
    <n v="2022"/>
  </r>
  <r>
    <x v="79"/>
    <s v="CHALLENGER NORD-SUD INTERNATIONAL INC"/>
    <s v="025475"/>
    <s v="NIAKHENE"/>
    <s v="Permis de recherche"/>
    <s v="DIOURBEL"/>
    <s v="Phosphate de chaux"/>
    <s v="DIOURBEL"/>
    <s v="DIOURBEL"/>
    <d v="2020-09-25T00:00:00"/>
    <d v="2020-10-28T00:00:00"/>
    <m/>
    <n v="498"/>
    <n v="0"/>
    <n v="0"/>
    <n v="0"/>
    <d v="2024-10-27T00:00:00"/>
    <n v="2022"/>
  </r>
  <r>
    <x v="79"/>
    <s v="CHALLENGER NORD-SUD INTERNATIONAL INC"/>
    <s v="A07102/MIM/DMG"/>
    <s v="Coki"/>
    <s v="Permis de recherche"/>
    <s v="LOUGA"/>
    <s v="Phosphate de chaux"/>
    <s v="COKI"/>
    <s v="LOUGA"/>
    <d v="2016-04-14T00:00:00"/>
    <d v="2016-05-16T00:00:00"/>
    <m/>
    <n v="4396"/>
    <n v="0"/>
    <n v="1101"/>
    <n v="0"/>
    <d v="2022-05-11T00:00:00"/>
    <n v="2022"/>
  </r>
  <r>
    <x v="107"/>
    <s v="CHESSER"/>
    <s v="006873873"/>
    <s v="Bondola"/>
    <s v="Permis de recherche"/>
    <s v="KEDOUGOU"/>
    <s v="OR"/>
    <s v="Bembou"/>
    <s v="KEDOUGOU"/>
    <d v="2022-02-14T00:00:00"/>
    <d v="2022-03-03T00:00:00"/>
    <m/>
    <n v="207.17"/>
    <n v="0"/>
    <n v="0"/>
    <n v="0"/>
    <m/>
    <n v="2022"/>
  </r>
  <r>
    <x v="107"/>
    <s v="CHESSER"/>
    <s v="006873873"/>
    <s v="Morichou"/>
    <s v="Permis de recherche"/>
    <s v="KEDOUGOU"/>
    <s v="OR"/>
    <s v="Sadatou"/>
    <s v="KEDOUGOU"/>
    <d v="2022-02-14T00:00:00"/>
    <d v="2022-03-03T00:00:00"/>
    <m/>
    <n v="207.17"/>
    <n v="0"/>
    <n v="0"/>
    <n v="0"/>
    <m/>
    <n v="2022"/>
  </r>
  <r>
    <x v="80"/>
    <s v="CIMENTS DE L' AFRIQUE SA"/>
    <s v="005494"/>
    <s v="POUT"/>
    <s v="Permis d’exploitation"/>
    <s v="THIES"/>
    <s v="CALCAIRE"/>
    <s v="KEUR MOUSSA"/>
    <s v="THIES"/>
    <d v="2016-04-19T00:00:00"/>
    <d v="2021-03-24T00:00:00"/>
    <m/>
    <n v="2.77"/>
    <n v="2.77"/>
    <n v="0"/>
    <n v="0"/>
    <d v="2026-03-23T00:00:00"/>
    <n v="2022"/>
  </r>
  <r>
    <x v="43"/>
    <s v="LES CIMENTS DU SAHEL SA"/>
    <s v="2-N°2000-106 du 22 février 2000"/>
    <s v="Argile et latérite Tchiky"/>
    <s v="Concession minière"/>
    <s v="THIES"/>
    <s v="Argile"/>
    <s v="DIASS"/>
    <s v="MBOUR"/>
    <d v="2000-02-18T00:00:00"/>
    <d v="2000-02-22T00:00:00"/>
    <m/>
    <n v="2"/>
    <n v="0.3"/>
    <n v="0"/>
    <n v="0.05"/>
    <d v="2025-02-22T00:00:00"/>
    <n v="2022"/>
  </r>
  <r>
    <x v="43"/>
    <s v="LES CIMENTS DU SAHEL SA"/>
    <s v="3-2015-639 du 15 mai 2015"/>
    <s v="Bandia-Kirène"/>
    <s v="Concession minière"/>
    <s v="THIES"/>
    <s v="CALCAIRE"/>
    <s v="BANDIA"/>
    <s v="THIES"/>
    <d v="2000-02-18T00:00:00"/>
    <d v="2015-05-15T00:00:00"/>
    <m/>
    <n v="5.86"/>
    <n v="0"/>
    <n v="0"/>
    <n v="0"/>
    <d v="2040-05-15T00:00:00"/>
    <n v="2022"/>
  </r>
  <r>
    <x v="81"/>
    <s v="COMPAGNIE GENERALE D'EXPLOITATION DE CARRIERE"/>
    <s v="007541/MMITPME"/>
    <s v="BANDIA"/>
    <s v="Carrière"/>
    <s v="THIES"/>
    <s v="CALCAIRE"/>
    <s v="BANDIA"/>
    <s v="THIES"/>
    <m/>
    <d v="2009-08-07T00:00:00"/>
    <m/>
    <n v="0.05"/>
    <n v="0.05"/>
    <m/>
    <m/>
    <d v="2027-02-13T00:00:00"/>
    <n v="2022"/>
  </r>
  <r>
    <x v="81"/>
    <s v="COMPAGNIE GENERALE D'EXPLOITATION DE CARRIERE"/>
    <s v="008569/MEMIMEFP"/>
    <s v="BANDIA"/>
    <s v="Carrière"/>
    <s v="THIES"/>
    <s v="CALCAIRE"/>
    <s v="BANDIA"/>
    <s v="THIES"/>
    <m/>
    <d v="1996-11-15T00:00:00"/>
    <m/>
    <n v="7.4999999999999997E-2"/>
    <n v="6.5000000000000002E-2"/>
    <n v="0.01"/>
    <m/>
    <d v="2027-02-13T00:00:00"/>
    <n v="2022"/>
  </r>
  <r>
    <x v="81"/>
    <s v="COMPAGNIE GENERALE D'EXPLOITATION DE CARRIERE"/>
    <s v="010284"/>
    <s v="DIACK"/>
    <s v="Carrière"/>
    <s v="THIES"/>
    <s v="BASALTE"/>
    <s v="N'GOUDIANE"/>
    <s v="THIES"/>
    <m/>
    <d v="2020-06-04T00:00:00"/>
    <m/>
    <n v="2.75E-2"/>
    <m/>
    <m/>
    <m/>
    <d v="2025-06-03T00:00:00"/>
    <n v="2022"/>
  </r>
  <r>
    <x v="81"/>
    <s v="COMPAGNIE GENERALE D'EXPLOITATION DE CARRIERE"/>
    <s v="6283/MIM/DMG"/>
    <s v="DIACK"/>
    <s v="Carrière"/>
    <s v="THIES"/>
    <s v="BASALTE"/>
    <s v="N'GOUDIANE"/>
    <s v="THIES"/>
    <m/>
    <d v="2016-04-18T00:00:00"/>
    <m/>
    <n v="0.41"/>
    <m/>
    <m/>
    <m/>
    <d v="2027-02-14T00:00:00"/>
    <n v="2022"/>
  </r>
  <r>
    <x v="81"/>
    <s v="COMPAGNIE GENERALE D'EXPLOITATION DE CARRIERE"/>
    <s v="07540/MIMTPME/DMG"/>
    <s v="DIACK"/>
    <s v="Carrière"/>
    <s v="THIES"/>
    <s v="BASALTE"/>
    <s v="N'GOUDIANE"/>
    <s v="THIES"/>
    <m/>
    <d v="2009-08-07T00:00:00"/>
    <m/>
    <n v="0.15"/>
    <m/>
    <m/>
    <m/>
    <d v="2027-03-14T00:00:00"/>
    <n v="2022"/>
  </r>
  <r>
    <x v="81"/>
    <s v="COMPAGNIE GENERALE D'EXPLOITATION DE CARRIERE"/>
    <s v="04252/MIMTPME/DMG"/>
    <s v="DIACK"/>
    <s v="Carrière"/>
    <s v="THIES"/>
    <s v="BASALTE"/>
    <s v="N'GOUDIANE"/>
    <s v="THIES"/>
    <m/>
    <d v="2009-03-30T00:00:00"/>
    <m/>
    <n v="0.05"/>
    <m/>
    <m/>
    <m/>
    <d v="2027-03-14T00:00:00"/>
    <n v="2022"/>
  </r>
  <r>
    <x v="81"/>
    <s v="COMPAGNIE GENERALE D'EXPLOITATION DE CARRIERE"/>
    <s v="001557/MMG/CAB/CT1"/>
    <s v="DIACK"/>
    <s v="Carrière"/>
    <s v="THIES"/>
    <s v="BASALTE"/>
    <s v="N'GOUDIANE"/>
    <s v="THIES"/>
    <m/>
    <d v="2019-01-28T00:00:00"/>
    <m/>
    <n v="0.15"/>
    <m/>
    <m/>
    <m/>
    <d v="2024-01-27T00:00:00"/>
    <n v="2022"/>
  </r>
  <r>
    <x v="81"/>
    <s v="COMPAGNIE GENERALE D'EXPLOITATION DE CARRIERE"/>
    <s v="0010283"/>
    <s v="DIACK"/>
    <s v="Carrière"/>
    <s v="THIES"/>
    <s v="BASALTE"/>
    <s v="N'GOUDIANE"/>
    <s v="THIES"/>
    <m/>
    <d v="2020-06-04T00:00:00"/>
    <m/>
    <n v="1.4999999999999999E-2"/>
    <m/>
    <m/>
    <m/>
    <d v="2025-06-03T00:00:00"/>
    <n v="2022"/>
  </r>
  <r>
    <x v="108"/>
    <s v="CONSULTING BUSINESS AGENGY SARL"/>
    <s v="A025607/MMG/DMG"/>
    <s v="MADINA TOUBAKOTA"/>
    <s v="Permis de recherche"/>
    <s v="KEDOUGOU"/>
    <s v="OR"/>
    <s v="BEMBOU"/>
    <s v="SARAYA"/>
    <d v="2019-09-29T00:00:00"/>
    <d v="2019-11-11T00:00:00"/>
    <m/>
    <n v="252"/>
    <n v="0"/>
    <n v="0"/>
    <n v="0"/>
    <d v="2023-11-10T00:00:00"/>
    <n v="2022"/>
  </r>
  <r>
    <x v="76"/>
    <s v="CSE GRANULATS"/>
    <s v="008633MMG/DMG"/>
    <s v="DIACK"/>
    <s v="Carrière"/>
    <s v="THIES"/>
    <s v="BASALTE"/>
    <s v="N’GOUNDIANE"/>
    <s v="THIES"/>
    <m/>
    <d v="2018-04-29T00:00:00"/>
    <m/>
    <n v="9.1999999999999998E-2"/>
    <n v="9.1999999999999998E-2"/>
    <n v="0"/>
    <n v="0"/>
    <d v="2999-12-31T00:00:00"/>
    <n v="2022"/>
  </r>
  <r>
    <x v="76"/>
    <s v="CSE GRANULATS"/>
    <s v="033738"/>
    <s v="MANSADALA"/>
    <s v="Carrière"/>
    <s v="TAMBACOUNDA"/>
    <s v="BASALTE"/>
    <s v="DIALACOTO"/>
    <s v="TAMBACOUNDA"/>
    <m/>
    <m/>
    <m/>
    <n v="0.5"/>
    <n v="0.5"/>
    <n v="0"/>
    <n v="0"/>
    <d v="2021-10-20T00:00:00"/>
    <n v="2022"/>
  </r>
  <r>
    <x v="109"/>
    <s v="DALEMA"/>
    <s v="012394"/>
    <s v="dalema"/>
    <s v="Permis de recherche"/>
    <s v="KEDOUGOU"/>
    <s v="OR"/>
    <s v="SARAYA"/>
    <s v="SARAYA"/>
    <m/>
    <m/>
    <m/>
    <n v="298"/>
    <m/>
    <m/>
    <m/>
    <m/>
    <n v="2022"/>
  </r>
  <r>
    <x v="45"/>
    <s v="DAMASH MINERALS LTD"/>
    <s v="19005"/>
    <s v="KOLDA"/>
    <s v="Permis de recherche"/>
    <s v="KOLDA"/>
    <s v="Phosphate de chaux"/>
    <s v="MEDINA  EL HADJI"/>
    <s v="KOLDA"/>
    <d v="2011-07-13T00:00:00"/>
    <d v="2013-12-05T00:00:00"/>
    <m/>
    <n v="2645"/>
    <n v="0"/>
    <n v="2520"/>
    <n v="0"/>
    <d v="2023-08-07T00:00:00"/>
    <n v="2022"/>
  </r>
  <r>
    <x v="46"/>
    <s v="DANGOTE CEMENT SENEGAL "/>
    <s v="2008-1431"/>
    <s v="POUT"/>
    <s v="Concession minière"/>
    <s v="THIES"/>
    <s v="CALCAIRE"/>
    <s v="POUT"/>
    <s v="THIES"/>
    <d v="2008-12-12T00:00:00"/>
    <d v="2008-12-12T00:00:00"/>
    <m/>
    <n v="10.07"/>
    <m/>
    <n v="0"/>
    <n v="0"/>
    <d v="2033-12-11T00:00:00"/>
    <n v="2022"/>
  </r>
  <r>
    <x v="46"/>
    <s v="DANGOTE CEMENT SENEGAL "/>
    <s v="2015-368"/>
    <s v="TCHIKY"/>
    <s v="Concession minière"/>
    <s v="THIES"/>
    <s v="latérite, argile"/>
    <s v="TCHIKY"/>
    <s v="THIES"/>
    <m/>
    <m/>
    <m/>
    <n v="3.59"/>
    <m/>
    <m/>
    <m/>
    <m/>
    <n v="2022"/>
  </r>
  <r>
    <x v="83"/>
    <s v="DIYAN EXPLOITATION MINIERE SUARL"/>
    <s v="026689/MMG/DMG"/>
    <s v="ICS Darou Khoudoss Mboro"/>
    <s v="Carrière"/>
    <s v="THIES"/>
    <s v="SILEX"/>
    <s v="DAROU KHOUDOSS"/>
    <s v="TIVAOUANE"/>
    <m/>
    <d v="2018-12-14T00:00:00"/>
    <m/>
    <n v="0"/>
    <m/>
    <m/>
    <m/>
    <d v="2023-12-14T00:00:00"/>
    <n v="2022"/>
  </r>
  <r>
    <x v="84"/>
    <s v="ENTREPRISE MAPATHE NDIOUCK SA"/>
    <s v="100MMITPME/DMG"/>
    <s v="GABOU"/>
    <s v="Petite mine"/>
    <s v="TAMBACOUNDA"/>
    <s v="Grès"/>
    <s v="GABOU"/>
    <s v="BAKEL"/>
    <m/>
    <d v="2009-10-26T00:00:00"/>
    <m/>
    <n v="5.1100000000000003"/>
    <n v="5.1100000000000003"/>
    <n v="0"/>
    <m/>
    <d v="2023-09-26T00:00:00"/>
    <n v="2022"/>
  </r>
  <r>
    <x v="84"/>
    <s v="ENTREPRISE MAPATHE NDIOUCK SA"/>
    <s v="20736"/>
    <s v="ICS"/>
    <s v="Petite mine"/>
    <s v="THIES"/>
    <s v="SILEX"/>
    <s v="Mboro"/>
    <s v="TIVAOUANE"/>
    <m/>
    <d v="2018-09-06T00:00:00"/>
    <m/>
    <n v="0.73"/>
    <m/>
    <m/>
    <m/>
    <d v="2022-09-05T00:00:00"/>
    <n v="2022"/>
  </r>
  <r>
    <x v="85"/>
    <s v="ENTREPRISE OUSMANE SOW"/>
    <m/>
    <s v="Carrière d'entreprise Ousmane SOW"/>
    <s v="Carrière"/>
    <s v="THIES"/>
    <s v="Grès"/>
    <s v="DIASS"/>
    <s v="MBOUR"/>
    <m/>
    <m/>
    <m/>
    <n v="0.04"/>
    <n v="0"/>
    <n v="0"/>
    <n v="0"/>
    <d v="2999-12-31T00:00:00"/>
    <n v="2022"/>
  </r>
  <r>
    <x v="48"/>
    <s v="G.H MINING"/>
    <s v="006243/MMG/DMG"/>
    <s v="Sud Kéniéba &amp; Madina Foulbé"/>
    <s v="Petite mine"/>
    <s v="TAMBACOUNDA"/>
    <s v="Manganése"/>
    <s v="MADINA FOULBE"/>
    <s v="BAKEL"/>
    <d v="2012-01-06T00:00:00"/>
    <d v="2012-02-01T00:00:00"/>
    <m/>
    <n v="5"/>
    <n v="0.02"/>
    <n v="0"/>
    <n v="1.87"/>
    <d v="2022-02-01T00:00:00"/>
    <n v="2022"/>
  </r>
  <r>
    <x v="86"/>
    <s v="GAZAL CARRIERES SUARL"/>
    <s v="6101/MIMTPME/DMG"/>
    <s v="BANDIA"/>
    <s v="Carrière"/>
    <s v="THIES"/>
    <s v="CALCAIRE"/>
    <s v="BANDIA"/>
    <s v="THIES"/>
    <m/>
    <d v="2022-11-17T00:00:00"/>
    <m/>
    <n v="0.51"/>
    <n v="0.34"/>
    <m/>
    <m/>
    <m/>
    <n v="2022"/>
  </r>
  <r>
    <x v="8"/>
    <s v="GECAMINES"/>
    <s v="001331/MMG/DMG"/>
    <s v="DIACK"/>
    <s v="Carrière"/>
    <s v="THIES"/>
    <s v="BASALTE"/>
    <s v="N'GOUDIANE"/>
    <s v="THIES"/>
    <m/>
    <d v="2019-04-18T00:00:00"/>
    <m/>
    <n v="0.11"/>
    <m/>
    <m/>
    <m/>
    <d v="2024-01-23T00:00:00"/>
    <n v="2022"/>
  </r>
  <r>
    <x v="8"/>
    <s v="GECAMINES"/>
    <s v="001332"/>
    <s v="DIACK"/>
    <s v="Carrière"/>
    <s v="THIES"/>
    <s v="BASALTE"/>
    <s v="N'GOUDIANE"/>
    <s v="THIES"/>
    <m/>
    <d v="2021-01-29T00:00:00"/>
    <m/>
    <n v="0.105"/>
    <m/>
    <m/>
    <m/>
    <d v="2026-01-28T00:00:00"/>
    <n v="2022"/>
  </r>
  <r>
    <x v="8"/>
    <s v="GECAMINES"/>
    <s v="08847/MIM/DMG"/>
    <s v="DIACK"/>
    <s v="Carrière"/>
    <s v="THIES"/>
    <s v="BASALTE"/>
    <s v="N'GOUDIANE"/>
    <s v="THIES"/>
    <m/>
    <d v="2017-05-26T00:00:00"/>
    <m/>
    <n v="0.14000000000000001"/>
    <m/>
    <m/>
    <m/>
    <d v="2027-08-30T00:00:00"/>
    <n v="2022"/>
  </r>
  <r>
    <x v="8"/>
    <s v="GECAMINES"/>
    <s v="026694/MMG/DMG"/>
    <s v="BANDIA"/>
    <s v="Carrière"/>
    <s v="THIES"/>
    <s v="CALCAIRE"/>
    <s v="BANDIA"/>
    <s v="THIES"/>
    <m/>
    <d v="2018-12-14T00:00:00"/>
    <m/>
    <n v="0.11"/>
    <m/>
    <m/>
    <m/>
    <d v="2023-12-13T00:00:00"/>
    <n v="2022"/>
  </r>
  <r>
    <x v="8"/>
    <s v="GECAMINES"/>
    <s v="03044/MEM/DMG"/>
    <s v="BANDIA"/>
    <s v="Carrière"/>
    <s v="THIES"/>
    <s v="CALCAIRE"/>
    <s v="BANDIA"/>
    <s v="THIES"/>
    <m/>
    <d v="2005-06-22T00:00:00"/>
    <m/>
    <n v="1.29"/>
    <m/>
    <m/>
    <m/>
    <d v="2023-11-18T00:00:00"/>
    <n v="2022"/>
  </r>
  <r>
    <x v="8"/>
    <s v="GECAMINES"/>
    <s v="0032820"/>
    <s v="GECAMINES BANDIA"/>
    <s v="Carrière"/>
    <s v="THIES"/>
    <s v="CALCAIRE"/>
    <s v="BANDIA"/>
    <s v="THIES"/>
    <m/>
    <d v="2021-10-07T00:00:00"/>
    <m/>
    <n v="1.722"/>
    <n v="0.35"/>
    <n v="0"/>
    <n v="0"/>
    <d v="2026-10-07T00:00:00"/>
    <n v="2022"/>
  </r>
  <r>
    <x v="8"/>
    <s v="GECAMINES"/>
    <s v="A09098"/>
    <s v="GECAMINE DIACK"/>
    <s v="Carrière"/>
    <s v="THIES"/>
    <s v="BASALTE"/>
    <s v="N’GOUNDIANE"/>
    <s v="THIES"/>
    <m/>
    <d v="2009-09-01T00:00:00"/>
    <m/>
    <n v="0.59"/>
    <n v="1.29E-2"/>
    <n v="0"/>
    <n v="0"/>
    <d v="2014-09-01T00:00:00"/>
    <n v="2022"/>
  </r>
  <r>
    <x v="87"/>
    <s v="GLOBAL IMMO SENEGAL SARL"/>
    <s v="013588"/>
    <s v="ICS"/>
    <s v="Carrière"/>
    <s v="THIES"/>
    <s v="SILEX"/>
    <s v="DAROU KHOUDOSS"/>
    <s v="TIVAOUANE"/>
    <d v="2018-06-22T00:00:00"/>
    <d v="2018-06-22T00:00:00"/>
    <m/>
    <n v="1"/>
    <n v="0"/>
    <n v="0"/>
    <n v="0"/>
    <d v="2023-06-30T00:00:00"/>
    <n v="2022"/>
  </r>
  <r>
    <x v="88"/>
    <s v="G-PHOS SA"/>
    <s v="12950"/>
    <s v="Niakhène"/>
    <s v="Permis de recherche"/>
    <s v="THIES"/>
    <s v="Phosphate de chaux"/>
    <s v="TIVAOUANE"/>
    <s v="TIVAOUANE"/>
    <d v="2015-05-21T00:00:00"/>
    <d v="2015-06-24T00:00:00"/>
    <m/>
    <n v="636"/>
    <n v="0"/>
    <n v="0"/>
    <n v="0"/>
    <d v="2999-12-31T00:00:00"/>
    <n v="2022"/>
  </r>
  <r>
    <x v="89"/>
    <s v="GRANDE COTE OPERATIONS SA"/>
    <s v="1326"/>
    <s v="Grande Côte"/>
    <s v="Concession minière"/>
    <s v="THIES"/>
    <s v="Ilménite, zircon, rutile, leucoxène"/>
    <s v="DAROU KHOUDOSS"/>
    <s v="TIVAOUANE"/>
    <d v="2004-09-09T00:00:00"/>
    <d v="2004-09-19T00:00:00"/>
    <m/>
    <n v="445"/>
    <n v="2.2000000000000002"/>
    <n v="0"/>
    <n v="2"/>
    <d v="2999-12-31T00:00:00"/>
    <n v="2022"/>
  </r>
  <r>
    <x v="10"/>
    <s v="GROUPEMENT D'ENTREPRISE SINTRAM HOUAR"/>
    <s v="004068MMI/DMG"/>
    <s v="Carrière de basalte de Diack"/>
    <s v="Carrière"/>
    <s v="THIES"/>
    <s v="BASALTE"/>
    <s v="N’GOUNDIANE"/>
    <s v="THIES"/>
    <d v="2007-07-04T00:00:00"/>
    <d v="2007-11-05T00:00:00"/>
    <m/>
    <n v="0.04"/>
    <n v="0"/>
    <n v="5.0000000000000001E-3"/>
    <n v="0"/>
    <d v="2022-06-02T00:00:00"/>
    <n v="2022"/>
  </r>
  <r>
    <x v="90"/>
    <s v="HOLDING ATLANTQUE MINING PETROLUM-SA"/>
    <s v="025476"/>
    <s v="AINOUMANE"/>
    <s v="Permis de recherche"/>
    <s v="DIOURBEL"/>
    <s v="Phosphate de chaux"/>
    <s v="DINGUIRAYE"/>
    <s v="BAMBEY"/>
    <d v="2020-09-25T00:00:00"/>
    <d v="2020-10-28T00:00:00"/>
    <m/>
    <n v="588"/>
    <n v="0"/>
    <n v="0"/>
    <n v="0"/>
    <d v="2024-10-27T00:00:00"/>
    <n v="2022"/>
  </r>
  <r>
    <x v="52"/>
    <s v="IAMGOLD BOTO S.A"/>
    <s v="2020-981"/>
    <s v="Boto"/>
    <s v="Permis d’exploitation"/>
    <s v="KEDOUGOU"/>
    <s v="OR"/>
    <s v="MEDINA BAFFE"/>
    <s v="SARAYA"/>
    <d v="2004-08-16T00:00:00"/>
    <d v="2019-12-16T00:00:00"/>
    <m/>
    <n v="148"/>
    <n v="0"/>
    <n v="0"/>
    <n v="0"/>
    <d v="2039-12-16T00:00:00"/>
    <n v="2022"/>
  </r>
  <r>
    <x v="53"/>
    <s v="INCA SARL"/>
    <s v="10660"/>
    <s v="bandia"/>
    <s v="Carrière"/>
    <s v="THIES"/>
    <s v="CALCAIRE"/>
    <s v="BANDIA"/>
    <s v="MBOUR"/>
    <d v="2017-10-11T00:00:00"/>
    <d v="2015-02-19T00:00:00"/>
    <m/>
    <n v="0.2"/>
    <n v="0"/>
    <n v="0"/>
    <n v="0"/>
    <d v="2020-02-19T00:00:00"/>
    <n v="2022"/>
  </r>
  <r>
    <x v="54"/>
    <s v="INDUSTRIE CHIMIQUES DU SENEGAL / INDORAMA"/>
    <s v="D1999-1021"/>
    <s v="TOBENE SUD"/>
    <s v="Concession minière"/>
    <s v="THIES"/>
    <s v="Phosphate de chaux"/>
    <s v="PIRE GOUREY"/>
    <s v="TIVAOUANE"/>
    <d v="2008-04-23T00:00:00"/>
    <d v="1999-10-19T00:00:00"/>
    <m/>
    <n v="18.440999999999999"/>
    <n v="0"/>
    <n v="0"/>
    <m/>
    <d v="2999-12-31T00:00:00"/>
    <n v="2022"/>
  </r>
  <r>
    <x v="54"/>
    <s v="INDUSTRIE CHIMIQUES DU SENEGAL / INDORAMA"/>
    <s v="D1999-1020"/>
    <s v="TOBENE NORD"/>
    <s v="Concession minière"/>
    <s v="THIES"/>
    <s v="Phosphate de chaux"/>
    <s v="DAROU KHOUDOSS"/>
    <s v="TIVAOUANE"/>
    <d v="2008-04-23T00:00:00"/>
    <d v="1999-10-19T00:00:00"/>
    <m/>
    <n v="173"/>
    <n v="7"/>
    <n v="0"/>
    <m/>
    <d v="2999-12-31T00:00:00"/>
    <n v="2022"/>
  </r>
  <r>
    <x v="55"/>
    <s v="INTERNATIONAL MINING COMPANY (IMC)"/>
    <s v="020031/MIM/DMG"/>
    <s v="DOUTA"/>
    <s v="Permis de recherche"/>
    <s v="KEDOUGOU"/>
    <s v="OR"/>
    <s v="KHOSSANTO"/>
    <s v="SARAYA"/>
    <d v="2009-11-11T00:00:00"/>
    <d v="2009-11-11T00:00:00"/>
    <m/>
    <n v="103"/>
    <n v="0"/>
    <n v="45"/>
    <n v="0"/>
    <d v="2020-11-09T00:00:00"/>
    <n v="2022"/>
  </r>
  <r>
    <x v="91"/>
    <s v="KANEL RESSOURCES"/>
    <s v="015098"/>
    <s v="Sud Kanel"/>
    <s v="Permis de recherche"/>
    <s v="MATAM"/>
    <s v="Phosphate de chaux"/>
    <s v="OGO"/>
    <s v="MATAM"/>
    <d v="2015-05-23T00:00:00"/>
    <d v="2015-08-17T00:00:00"/>
    <m/>
    <n v="3029.76"/>
    <n v="0"/>
    <n v="757"/>
    <n v="0"/>
    <d v="2021-08-16T00:00:00"/>
    <n v="2022"/>
  </r>
  <r>
    <x v="57"/>
    <s v="KUTLU GABANE HOLDING S.A"/>
    <s v="024218"/>
    <s v="Ngoudiane-EGCCBN"/>
    <s v="Carrière"/>
    <s v="THIES"/>
    <s v="BASALTE"/>
    <s v="N’GOUNDIANE"/>
    <s v="THIES"/>
    <d v="2019-10-04T00:00:00"/>
    <d v="2019-11-28T00:00:00"/>
    <m/>
    <n v="0.06"/>
    <n v="6.3399999999999998E-2"/>
    <n v="0"/>
    <n v="0"/>
    <d v="2999-12-31T00:00:00"/>
    <n v="2022"/>
  </r>
  <r>
    <x v="92"/>
    <s v="LES CARRIERES CTG SUARL"/>
    <s v="019235"/>
    <s v="CARRIERE DE CALCAIRE DE KEUR LAT DIOP FALL"/>
    <s v="Carrière"/>
    <s v="THIES"/>
    <s v="CALCAIRE"/>
    <s v="MONT- ROLLAND"/>
    <s v="TIVAOUANE"/>
    <m/>
    <d v="2021-06-01T00:00:00"/>
    <m/>
    <n v="1.74"/>
    <n v="0"/>
    <n v="0"/>
    <n v="0"/>
    <d v="2025-05-31T00:00:00"/>
    <n v="2022"/>
  </r>
  <r>
    <x v="59"/>
    <s v="MAKABINGUI GOLD OPERATION SA"/>
    <s v="20181904"/>
    <s v="Sambarabougou"/>
    <s v="Permis d’exploitation"/>
    <s v="KEDOUGOU"/>
    <s v="OR"/>
    <s v="MISSIRAH SIRIMANA"/>
    <s v="SARAYA"/>
    <d v="2016-11-28T00:00:00"/>
    <d v="2018-10-09T00:00:00"/>
    <m/>
    <n v="121.83"/>
    <n v="0"/>
    <n v="102"/>
    <n v="0"/>
    <d v="2999-12-31T00:00:00"/>
    <n v="2022"/>
  </r>
  <r>
    <x v="60"/>
    <s v="MASSAWA JERSEY LIMITED"/>
    <s v="0070/MMG"/>
    <s v="Kanoumba"/>
    <s v="Permis de recherche"/>
    <s v="KEDOUGOU"/>
    <s v="OR"/>
    <s v="SABODALA"/>
    <s v="SARAYA"/>
    <m/>
    <d v="2020-02-25T00:00:00"/>
    <m/>
    <n v="286"/>
    <n v="0"/>
    <n v="0"/>
    <n v="0"/>
    <d v="2999-12-31T00:00:00"/>
    <n v="2022"/>
  </r>
  <r>
    <x v="93"/>
    <s v="NEW ENERGY INVESTMENT SARL"/>
    <s v="05FEV2019002204"/>
    <s v="Kéniékoto"/>
    <s v="Permis de recherche"/>
    <s v="KEDOUGOU"/>
    <s v="OR"/>
    <s v="SARAYA"/>
    <s v="SARAYA"/>
    <d v="2018-11-09T00:00:00"/>
    <d v="2019-02-05T00:00:00"/>
    <m/>
    <n v="110"/>
    <n v="0"/>
    <n v="0"/>
    <n v="0"/>
    <d v="2023-02-05T00:00:00"/>
    <n v="2022"/>
  </r>
  <r>
    <x v="93"/>
    <s v="NEW ENERGY INVESTMENT SARL"/>
    <s v="09MAI2018009739"/>
    <s v="Ylimalo"/>
    <s v="Permis de recherche"/>
    <s v="KEDOUGOU"/>
    <s v="Lithium"/>
    <s v="SARAYA"/>
    <s v="SARAYA"/>
    <d v="2018-04-06T00:00:00"/>
    <d v="2018-05-09T00:00:00"/>
    <m/>
    <n v="368"/>
    <n v="0"/>
    <n v="0"/>
    <n v="0"/>
    <d v="2022-05-09T00:00:00"/>
    <n v="2022"/>
  </r>
  <r>
    <x v="94"/>
    <s v="NIAMAYA GOLD SARL"/>
    <s v="011650"/>
    <s v="NIAMAYA"/>
    <s v="Permis de recherche"/>
    <s v="KEDOUGOU"/>
    <s v="OR"/>
    <s v="KHOSSANTO"/>
    <s v="SARAYA"/>
    <d v="2013-07-15T00:00:00"/>
    <d v="2020-06-30T00:00:00"/>
    <m/>
    <n v="57"/>
    <n v="0"/>
    <n v="14"/>
    <n v="0"/>
    <d v="2024-06-29T00:00:00"/>
    <n v="2022"/>
  </r>
  <r>
    <x v="63"/>
    <s v="PETOWAL MINING COMPANY (PMC) SA"/>
    <s v="2016-995"/>
    <s v="MAKO"/>
    <s v="Concession minière"/>
    <s v="KEDOUGOU"/>
    <s v="OR"/>
    <s v="TOMBORONKOTO"/>
    <s v="KEDOUGOU"/>
    <d v="2006-09-20T00:00:00"/>
    <d v="2016-07-14T00:00:00"/>
    <m/>
    <n v="87.5"/>
    <n v="87.5"/>
    <m/>
    <m/>
    <d v="2031-07-14T00:00:00"/>
    <n v="2022"/>
  </r>
  <r>
    <x v="64"/>
    <s v="PROCHIMAT SA"/>
    <s v="966720"/>
    <s v="POUT"/>
    <s v="Concession minière"/>
    <s v="THIES"/>
    <s v="ATTAPULGITE"/>
    <s v="POUT"/>
    <s v="THIES"/>
    <m/>
    <d v="1996-08-19T00:00:00"/>
    <m/>
    <n v="0.36"/>
    <n v="0"/>
    <n v="0"/>
    <n v="0"/>
    <d v="2999-12-31T00:00:00"/>
    <n v="2022"/>
  </r>
  <r>
    <x v="64"/>
    <s v="PROCHIMAT SA"/>
    <s v="96536"/>
    <s v="MBODIENE"/>
    <s v="Concession minière"/>
    <s v="THIES"/>
    <s v="ATTAPULGITE"/>
    <s v="MALICOUNDA"/>
    <s v="MBOUR"/>
    <m/>
    <d v="1996-06-26T00:00:00"/>
    <m/>
    <n v="0.45"/>
    <n v="0"/>
    <n v="0"/>
    <n v="0"/>
    <d v="2999-12-31T00:00:00"/>
    <n v="2022"/>
  </r>
  <r>
    <x v="64"/>
    <s v="PROCHIMAT SA"/>
    <s v="007930"/>
    <s v="NIANING"/>
    <s v="Concession minière"/>
    <s v="THIES"/>
    <s v="ATTAPULGITE"/>
    <s v="MALICOUNDA"/>
    <s v="MBOUR"/>
    <m/>
    <d v="1979-01-09T00:00:00"/>
    <m/>
    <n v="1.45"/>
    <n v="0.01"/>
    <n v="0"/>
    <n v="0.1"/>
    <d v="2054-01-08T00:00:00"/>
    <n v="2022"/>
  </r>
  <r>
    <x v="95"/>
    <s v="ROYAL SENEGAL MINES ET EQUIPEMENT"/>
    <s v="00365/MMG/DMG"/>
    <s v="BANDIA"/>
    <s v="Carrière"/>
    <s v="THIES"/>
    <s v="CALCAIRE"/>
    <s v="BANDIA"/>
    <s v="THIES"/>
    <m/>
    <d v="2019-01-09T00:00:00"/>
    <m/>
    <n v="0.42"/>
    <n v="0.42"/>
    <m/>
    <m/>
    <d v="2024-01-08T00:00:00"/>
    <n v="2022"/>
  </r>
  <r>
    <x v="65"/>
    <s v="SABODALA GOLD OPERATIONS SA"/>
    <s v="2015-1136"/>
    <s v="SABODALA"/>
    <s v="Concession minière"/>
    <s v="KEDOUGOU"/>
    <s v="OR"/>
    <s v="SABODALA"/>
    <s v="SARAYA"/>
    <d v="2015-04-07T00:00:00"/>
    <d v="2015-07-29T00:00:00"/>
    <m/>
    <n v="291.8"/>
    <n v="291.8"/>
    <m/>
    <n v="0.69"/>
    <d v="2040-07-28T00:00:00"/>
    <n v="2022"/>
  </r>
  <r>
    <x v="66"/>
    <s v="SABODALA MINING COMPANY SARL"/>
    <s v="008707/MMG/DMG"/>
    <s v="BRANSAN"/>
    <s v="Permis de recherche"/>
    <s v="KEDOUGOU"/>
    <s v="OR"/>
    <s v="SABODALA"/>
    <s v="SARAYA"/>
    <d v="2018-03-02T00:00:00"/>
    <d v="2018-04-20T00:00:00"/>
    <m/>
    <n v="337.3"/>
    <n v="0"/>
    <n v="0"/>
    <n v="0"/>
    <d v="2022-04-19T00:00:00"/>
    <n v="2022"/>
  </r>
  <r>
    <x v="67"/>
    <s v="SENEGAL MINES SA"/>
    <s v="15M"/>
    <s v="MBODIENE"/>
    <s v="Concession minière"/>
    <s v="THIES"/>
    <s v="ATTAPULGITE"/>
    <s v="N’GUENIENE"/>
    <s v="MBOUR"/>
    <d v="1998-05-26T00:00:00"/>
    <d v="2000-02-18T00:00:00"/>
    <m/>
    <n v="2.1800000000000002"/>
    <n v="0.19800000000000001"/>
    <n v="2.16"/>
    <n v="9.8000000000000004E-2"/>
    <d v="2999-12-31T00:00:00"/>
    <n v="2022"/>
  </r>
  <r>
    <x v="110"/>
    <s v="SEN-HMC SUARL"/>
    <s v="000363MMG/DMG"/>
    <s v="Sud Saint louis"/>
    <s v="Petite mine"/>
    <s v="SAINT-LOUIS"/>
    <s v="Minéraux lourds"/>
    <s v="LEONA"/>
    <s v="LOUGA"/>
    <d v="2012-01-23T00:00:00"/>
    <d v="2012-01-27T00:00:00"/>
    <m/>
    <n v="4.55"/>
    <n v="0.156"/>
    <n v="2.57"/>
    <n v="0"/>
    <d v="2999-12-31T00:00:00"/>
    <n v="2022"/>
  </r>
  <r>
    <x v="110"/>
    <s v="SEN-HMC SUARL"/>
    <s v="000363MMG/DMG"/>
    <s v="KEBEMER"/>
    <s v="Permis de recherche"/>
    <s v="LOUGA"/>
    <s v="Phosphates"/>
    <s v="THIOLOME FALL"/>
    <s v="LOUGA"/>
    <d v="2013-02-22T00:00:00"/>
    <d v="2013-07-10T00:00:00"/>
    <m/>
    <n v="898.5"/>
    <n v="0"/>
    <n v="545.1"/>
    <n v="0"/>
    <d v="2022-06-29T00:00:00"/>
    <n v="2022"/>
  </r>
  <r>
    <x v="18"/>
    <s v="SEPHOS SENEGAL SA"/>
    <s v="10357MMITPME/DMG"/>
    <s v="LAM LAM"/>
    <s v="Petite mine"/>
    <s v="THIES"/>
    <s v="Phosphate de chaux"/>
    <s v="PAMBAL"/>
    <s v="TIVAOUANE"/>
    <d v="2009-11-09T00:00:00"/>
    <d v="2009-11-09T00:00:00"/>
    <m/>
    <n v="5"/>
    <n v="0"/>
    <n v="0"/>
    <n v="0"/>
    <d v="2999-12-31T00:00:00"/>
    <n v="2022"/>
  </r>
  <r>
    <x v="111"/>
    <s v="SERIGNE SALIOU MBACKE SUARL"/>
    <s v="00489/MMG/DMG"/>
    <s v="SANSAMBA"/>
    <s v="Petite mine"/>
    <s v="KEDOUGOU"/>
    <s v="OR"/>
    <s v="SARAYA"/>
    <s v="SARAYA"/>
    <d v="2018-01-15T00:00:00"/>
    <d v="2012-01-27T00:00:00"/>
    <m/>
    <n v="5"/>
    <n v="5"/>
    <n v="0"/>
    <n v="0"/>
    <d v="2999-12-31T00:00:00"/>
    <n v="2022"/>
  </r>
  <r>
    <x v="69"/>
    <s v="SOCABEG MINING"/>
    <s v="013957"/>
    <s v="Ndindy"/>
    <s v="Permis de recherche"/>
    <s v="DIOURBEL"/>
    <s v="Phosphate de chaux"/>
    <s v="N’DINDY"/>
    <s v="DIOURBEL"/>
    <d v="2015-12-30T00:00:00"/>
    <d v="2016-02-29T00:00:00"/>
    <m/>
    <n v="872"/>
    <n v="0"/>
    <n v="381"/>
    <n v="0"/>
    <d v="2022-02-27T00:00:00"/>
    <n v="2022"/>
  </r>
  <r>
    <x v="96"/>
    <s v="SOCIETE DE CONCASSAGE ET DU BETON (SOCOBE)"/>
    <s v="10862"/>
    <s v="INDUSTRIES CHIMIQUES DU SENEGAL (ICS)"/>
    <s v="Carrière"/>
    <s v="THIES"/>
    <s v="SILEX"/>
    <s v="M’BORO"/>
    <s v="TIVAOUANE"/>
    <m/>
    <d v="2018-04-06T00:00:00"/>
    <m/>
    <n v="0"/>
    <n v="0"/>
    <n v="0"/>
    <n v="0"/>
    <d v="2999-12-31T00:00:00"/>
    <n v="2022"/>
  </r>
  <r>
    <x v="112"/>
    <s v="SOCIETE DE MANUFACTURE DE PRODUCTION INDUSTRIELLE DU SENEGAL (SOMAPIS)"/>
    <s v="007526/DMG/MMG"/>
    <s v="ICS Darou Khoudoss"/>
    <s v="Carrière"/>
    <s v="THIES"/>
    <s v="SILEX"/>
    <s v="DAROU KHOUDOSS"/>
    <s v="TIVAOUANE"/>
    <m/>
    <d v="2018-04-05T00:00:00"/>
    <m/>
    <n v="0"/>
    <n v="0"/>
    <n v="0"/>
    <n v="0"/>
    <d v="2999-12-31T00:00:00"/>
    <n v="2022"/>
  </r>
  <r>
    <x v="97"/>
    <s v="SOCIETE MINIERE DE LA VALLEE DU FLEUVE SENEGAL –SOMIVA"/>
    <s v="2011770"/>
    <s v="Ndendory"/>
    <s v="Concession minière"/>
    <s v="MATAM"/>
    <s v="Phosphate de chaux"/>
    <s v="NDENDORY"/>
    <s v="KANEL"/>
    <d v="2008-10-01T00:00:00"/>
    <d v="2011-06-08T00:00:00"/>
    <m/>
    <n v="661"/>
    <n v="10"/>
    <n v="0"/>
    <n v="0"/>
    <m/>
    <n v="2022"/>
  </r>
  <r>
    <x v="70"/>
    <s v="SOCIETE SENEGALAISE DE NEGOCE INTERNATIONALE (SNEPAC) SARL"/>
    <s v="15099MIM/DMG"/>
    <s v="BANTACCO"/>
    <s v="Permis de recherche"/>
    <s v="KEDOUGOU"/>
    <s v="OR"/>
    <s v="BEMBOU"/>
    <s v="SARAYA"/>
    <d v="2017-08-08T00:00:00"/>
    <d v="2017-08-22T00:00:00"/>
    <m/>
    <n v="113.2"/>
    <n v="0"/>
    <n v="28.3"/>
    <n v="0"/>
    <d v="2021-08-22T00:00:00"/>
    <n v="2022"/>
  </r>
  <r>
    <x v="72"/>
    <s v="SOCIETE SENEGALAISE DES PHOSPHATES DE THIES (SSPT)"/>
    <s v="D1985-411"/>
    <s v="ALLOU KAGNE"/>
    <s v="Concession minière"/>
    <s v="THIES"/>
    <s v="ATTAPULGITE"/>
    <s v="POUT"/>
    <s v="THIES"/>
    <d v="1998-05-28T00:00:00"/>
    <d v="1998-01-12T00:00:00"/>
    <m/>
    <n v="13.48"/>
    <n v="0.4"/>
    <n v="0"/>
    <n v="0.2"/>
    <d v="2023-01-11T00:00:00"/>
    <n v="2022"/>
  </r>
  <r>
    <x v="72"/>
    <s v="SOCIETE SENEGALAISE DES PHOSPHATES DE THIES (SSPT)"/>
    <s v="D1985-409"/>
    <s v="MBODIENE"/>
    <s v="Concession minière"/>
    <s v="THIES"/>
    <s v="ATTAPULGITE"/>
    <m/>
    <s v="THIES"/>
    <m/>
    <d v="1985-04-19T00:00:00"/>
    <m/>
    <n v="1.18"/>
    <n v="0.4"/>
    <n v="0"/>
    <m/>
    <d v="2023-01-11T00:00:00"/>
    <n v="2022"/>
  </r>
  <r>
    <x v="72"/>
    <s v="SOCIETE SENEGALAISE DES PHOSPHATES DE THIES (SSPT)"/>
    <s v="D1985-413"/>
    <s v="SEBIKHOTANE"/>
    <s v="Concession minière"/>
    <s v="THIES"/>
    <s v="ATTAPULGITE"/>
    <m/>
    <s v="THIES"/>
    <m/>
    <d v="1985-04-19T00:00:00"/>
    <m/>
    <n v="3.29"/>
    <n v="0.4"/>
    <n v="0"/>
    <m/>
    <d v="2023-01-11T00:00:00"/>
    <n v="2022"/>
  </r>
  <r>
    <x v="72"/>
    <s v="SOCIETE SENEGALAISE DES PHOSPHATES DE THIES (SSPT)"/>
    <s v="D1985-399"/>
    <s v="WARRANG"/>
    <s v="Concession minière"/>
    <s v="THIES"/>
    <s v="ATTAPULGITE"/>
    <m/>
    <s v="THIES"/>
    <m/>
    <d v="1985-04-19T00:00:00"/>
    <m/>
    <n v="1.3"/>
    <n v="0.4"/>
    <n v="0"/>
    <m/>
    <d v="2023-01-11T00:00:00"/>
    <n v="2022"/>
  </r>
  <r>
    <x v="25"/>
    <s v="SOCOCIM INDUSTRIES"/>
    <s v="D2006-359"/>
    <s v="BARGNY"/>
    <s v="Concession minière"/>
    <s v="DAKAR"/>
    <s v="Marno calcaires"/>
    <s v="RUFISQUE"/>
    <s v="RUFISQUE"/>
    <d v="2006-02-03T00:00:00"/>
    <d v="2006-04-19T00:00:00"/>
    <m/>
    <n v="4.6100000000000003"/>
    <n v="1.99"/>
    <m/>
    <m/>
    <d v="2031-04-19T00:00:00"/>
    <n v="2022"/>
  </r>
  <r>
    <x v="25"/>
    <s v="SOCOCIM INDUSTRIES"/>
    <s v="D2006-361"/>
    <s v="POUT"/>
    <s v="Concession minière"/>
    <s v="THIES"/>
    <s v="CALCAIRE"/>
    <s v="THIES"/>
    <s v="THIES"/>
    <d v="2006-02-03T00:00:00"/>
    <d v="2006-04-19T00:00:00"/>
    <m/>
    <n v="4.0999999999999996"/>
    <m/>
    <m/>
    <m/>
    <d v="2031-04-19T00:00:00"/>
    <n v="2022"/>
  </r>
  <r>
    <x v="25"/>
    <s v="SOCOCIM INDUSTRIES"/>
    <s v="017372/MMG/CAB/CTI"/>
    <s v="DIACK"/>
    <s v="Carrière"/>
    <s v="THIES"/>
    <s v="latérite"/>
    <s v="NGOUNDIANE"/>
    <s v="THIES"/>
    <m/>
    <m/>
    <m/>
    <n v="0.3"/>
    <m/>
    <m/>
    <m/>
    <m/>
    <n v="2022"/>
  </r>
  <r>
    <x v="25"/>
    <s v="SOCOCIM INDUSTRIES"/>
    <s v="2009-1470"/>
    <s v="POUT"/>
    <s v="Concession minière"/>
    <s v="THIES"/>
    <s v="CALCAIRE"/>
    <s v="KEUR MOUSSA"/>
    <s v="THIES"/>
    <d v="2009-12-30T00:00:00"/>
    <d v="2009-12-30T00:00:00"/>
    <m/>
    <n v="4.0999999999999996"/>
    <n v="0.32"/>
    <m/>
    <m/>
    <m/>
    <n v="2022"/>
  </r>
  <r>
    <x v="25"/>
    <s v="SOCOCIM INDUSTRIES"/>
    <s v="D2006-360/2019-1239"/>
    <s v="BANDIA"/>
    <s v="Concession minière"/>
    <s v="THIES"/>
    <s v="CALCAIRE"/>
    <s v="NGUEKHOKH"/>
    <s v="MBOUR"/>
    <d v="2019-07-31T00:00:00"/>
    <d v="2019-07-31T00:00:00"/>
    <m/>
    <n v="3.7189999999999999"/>
    <n v="0.27"/>
    <m/>
    <m/>
    <m/>
    <n v="2022"/>
  </r>
  <r>
    <x v="25"/>
    <s v="SOCOCIM INDUSTRIES"/>
    <s v="017372"/>
    <s v="DIACK"/>
    <s v="Carrière"/>
    <s v="THIES"/>
    <s v="latérite"/>
    <s v="NGOUNDIANE"/>
    <s v="THIES"/>
    <d v="2019-07-11T00:00:00"/>
    <d v="2019-07-11T00:00:00"/>
    <m/>
    <n v="0.3"/>
    <n v="0.08"/>
    <m/>
    <m/>
    <m/>
    <n v="2022"/>
  </r>
  <r>
    <x v="25"/>
    <s v="SOCOCIM INDUSTRIES"/>
    <s v="030225"/>
    <s v="BANDIA"/>
    <s v="Carrière"/>
    <s v="THIES"/>
    <s v="CALCAIRE"/>
    <s v="BANDIA"/>
    <s v="MBOUR"/>
    <d v="2021-09-13T00:00:00"/>
    <d v="2021-09-13T00:00:00"/>
    <m/>
    <n v="0.156"/>
    <n v="0"/>
    <m/>
    <m/>
    <m/>
    <n v="2022"/>
  </r>
  <r>
    <x v="25"/>
    <s v="SOCOCIM INDUSTRIES"/>
    <s v="030226"/>
    <s v="BANDIA"/>
    <s v="Carrière"/>
    <s v="THIES"/>
    <s v="CALCAIRE"/>
    <s v="BANDIA"/>
    <s v="MBOUR"/>
    <d v="2021-09-13T00:00:00"/>
    <d v="2021-09-13T00:00:00"/>
    <m/>
    <n v="0.14099999999999999"/>
    <n v="0"/>
    <m/>
    <m/>
    <m/>
    <n v="2022"/>
  </r>
  <r>
    <x v="25"/>
    <s v="SOCOCIM INDUSTRIES"/>
    <s v="026843"/>
    <s v="BANDIA"/>
    <s v="Carrière"/>
    <s v="THIES"/>
    <s v="CALCAIRE"/>
    <s v="BANDIA"/>
    <s v="MBOUR"/>
    <d v="2021-07-27T00:00:00"/>
    <d v="2021-07-27T00:00:00"/>
    <m/>
    <n v="0.108"/>
    <n v="0"/>
    <m/>
    <m/>
    <m/>
    <n v="2022"/>
  </r>
  <r>
    <x v="25"/>
    <s v="SOCOCIM INDUSTRIES"/>
    <s v="031213"/>
    <s v="DIOBASS"/>
    <s v="Carrière"/>
    <s v="THIES"/>
    <s v="CALCAIRE"/>
    <s v="POUT"/>
    <s v="MBOUR"/>
    <d v="2021-09-23T00:00:00"/>
    <d v="2021-09-23T00:00:00"/>
    <m/>
    <n v="0.95"/>
    <n v="0"/>
    <m/>
    <m/>
    <m/>
    <n v="2022"/>
  </r>
  <r>
    <x v="25"/>
    <s v="SOCOCIM INDUSTRIES"/>
    <s v="013308"/>
    <s v="DIALACOTO"/>
    <s v="Carrière"/>
    <s v="TAMBACOUNDA"/>
    <s v="Argile"/>
    <s v="DIALACOTO"/>
    <s v="TAMBACOUNDA"/>
    <d v="2022-05-27T00:00:00"/>
    <d v="2022-05-27T00:00:00"/>
    <m/>
    <n v="0.75"/>
    <n v="0"/>
    <m/>
    <m/>
    <m/>
    <n v="2022"/>
  </r>
  <r>
    <x v="25"/>
    <s v="SOCOCIM INDUSTRIES"/>
    <s v="013309"/>
    <s v="DIALACOTO"/>
    <s v="Carrière"/>
    <s v="TAMBACOUNDA"/>
    <s v="Argile"/>
    <s v="DIALACOTO"/>
    <s v="TAMBACOUNDA"/>
    <d v="2022-05-27T00:00:00"/>
    <d v="2022-05-27T00:00:00"/>
    <m/>
    <n v="1.5"/>
    <n v="0"/>
    <m/>
    <m/>
    <m/>
    <n v="2022"/>
  </r>
  <r>
    <x v="98"/>
    <s v="SODEMINES"/>
    <s v="023589/DMG/MMG"/>
    <s v="Wassadou Nord"/>
    <s v="Permis de recherche"/>
    <s v="KEDOUGOU"/>
    <s v="OR"/>
    <s v="TOMBORONKOTO"/>
    <s v="KEDOUGOU"/>
    <d v="2011-10-02T00:00:00"/>
    <d v="2012-02-01T00:00:00"/>
    <m/>
    <n v="40"/>
    <n v="0"/>
    <n v="30"/>
    <n v="0"/>
    <d v="2999-12-31T00:00:00"/>
    <n v="2022"/>
  </r>
  <r>
    <x v="98"/>
    <s v="SODEMINES"/>
    <s v="23599/DMG/MMG"/>
    <s v="Wassadou Sud"/>
    <s v="Permis de recherche"/>
    <s v="KEDOUGOU"/>
    <s v="OR"/>
    <s v="TOMBORONKOTO"/>
    <s v="KEDOUGOU"/>
    <d v="2011-01-25T00:00:00"/>
    <d v="2011-11-18T00:00:00"/>
    <m/>
    <n v="54"/>
    <n v="0"/>
    <n v="37.5"/>
    <n v="0"/>
    <d v="2999-12-31T00:00:00"/>
    <n v="2022"/>
  </r>
  <r>
    <x v="99"/>
    <s v="SODEVCO"/>
    <s v="09047/MEF/MMAI "/>
    <s v="BANDIA"/>
    <s v="Carrière"/>
    <s v="THIES"/>
    <s v="CALCAIRE"/>
    <s v="BANDIA"/>
    <s v="THIES"/>
    <m/>
    <d v="2000-02-26T00:00:00"/>
    <m/>
    <n v="0.2"/>
    <n v="0.15"/>
    <m/>
    <m/>
    <d v="2024-03-18T00:00:00"/>
    <n v="2022"/>
  </r>
  <r>
    <x v="71"/>
    <s v="SONKO ET FILS SARL"/>
    <s v="004166"/>
    <s v="MAMANKANTI"/>
    <s v="Permis de recherche"/>
    <s v="KEDOUGOU"/>
    <s v="OR"/>
    <s v="TOMBORONKOTO"/>
    <s v="KEDOUGOU"/>
    <d v="2016-11-08T00:00:00"/>
    <d v="2020-07-13T00:00:00"/>
    <m/>
    <n v="52.76"/>
    <n v="0"/>
    <n v="13.76"/>
    <n v="0"/>
    <d v="2023-07-12T00:00:00"/>
    <n v="2022"/>
  </r>
  <r>
    <x v="24"/>
    <s v="SORED MINES SA"/>
    <s v="2007-1327"/>
    <s v="NIAMIA"/>
    <s v="Concession minière"/>
    <s v="KEDOUGOU"/>
    <s v="OR"/>
    <s v="KHOSSANTO"/>
    <s v="KEDOUGOU"/>
    <d v="2010-06-17T00:00:00"/>
    <d v="2007-11-02T00:00:00"/>
    <m/>
    <n v="120"/>
    <n v="0"/>
    <n v="0"/>
    <n v="0"/>
    <d v="2027-11-02T00:00:00"/>
    <n v="2022"/>
  </r>
  <r>
    <x v="101"/>
    <s v="STRATEX-EMC.SA"/>
    <s v="006745"/>
    <s v="SENALA"/>
    <s v="Permis de recherche"/>
    <s v="KEDOUGOU"/>
    <s v="OR"/>
    <s v="MEDINA BAFFE"/>
    <s v="SARAYA"/>
    <d v="2010-06-17T00:00:00"/>
    <d v="2007-11-02T00:00:00"/>
    <m/>
    <n v="472.5"/>
    <n v="0"/>
    <n v="0"/>
    <n v="0"/>
    <d v="2027-11-02T00:00:00"/>
    <n v="2022"/>
  </r>
  <r>
    <x v="113"/>
    <s v="SWAMI MINES SA"/>
    <s v="14179 DU 22/09/2016"/>
    <s v="PERIMETRE DES INDUSTRIES CHIMIQUES DU SENEGAL DANS LA REGION DE THIES"/>
    <s v="Carrière"/>
    <s v="THIES"/>
    <s v="SILEX"/>
    <s v="M’BORO"/>
    <s v="TIVAOUANE"/>
    <m/>
    <d v="2016-09-22T00:00:00"/>
    <m/>
    <n v="0"/>
    <n v="0"/>
    <n v="0"/>
    <n v="0"/>
    <d v="2023-09-22T00:00:00"/>
    <n v="2022"/>
  </r>
  <r>
    <x v="102"/>
    <s v="SWAMI MINES SA"/>
    <s v="09104MMITPMEDGM"/>
    <s v="TALIX-MINES SITE DE DIACK"/>
    <s v="Carrière"/>
    <s v="THIES"/>
    <s v="BASALTE"/>
    <s v="THIES EST"/>
    <s v="THIES"/>
    <d v="2008-09-18T00:00:00"/>
    <d v="2009-09-10T00:00:00"/>
    <m/>
    <n v="0.21"/>
    <n v="0"/>
    <n v="0"/>
    <n v="0"/>
    <d v="2999-12-31T00:00:00"/>
    <n v="2022"/>
  </r>
  <r>
    <x v="114"/>
    <s v="CARRIERES ET SABLES"/>
    <s v="27008142F3"/>
    <s v="CARRIERE S ET SABLES"/>
    <s v="Carrière"/>
    <s v="THIES"/>
    <s v="CALCAIRE"/>
    <s v="POUT"/>
    <s v="THIES"/>
    <d v="1997-10-24T00:00:00"/>
    <d v="1997-10-24T00:00:00"/>
    <m/>
    <n v="6.1856000000000001E-2"/>
    <m/>
    <m/>
    <m/>
    <m/>
    <n v="2022"/>
  </r>
  <r>
    <x v="104"/>
    <s v="TANOR INDUSTRIELLES SA"/>
    <s v="008205"/>
    <s v="ICS Darou Khoudoss Mboro"/>
    <s v="Carrière"/>
    <s v="THIES"/>
    <s v="SILEX"/>
    <s v="M’BORO"/>
    <s v="TIVAOUANE"/>
    <d v="2018-03-16T00:00:00"/>
    <d v="2018-04-17T00:00:00"/>
    <m/>
    <n v="0"/>
    <n v="0"/>
    <n v="0"/>
    <n v="0"/>
    <d v="2999-12-31T00:00:00"/>
    <n v="2022"/>
  </r>
  <r>
    <x v="75"/>
    <s v="Triyangs International Mining Group SA"/>
    <s v="002203/MMG/DMG"/>
    <s v="Souroumdou"/>
    <s v="Permis de recherche"/>
    <s v="TAMBACOUNDA"/>
    <s v="OR"/>
    <s v="TAMBACOUNDA"/>
    <s v="TAMBACOUNDA"/>
    <d v="2018-10-22T00:00:00"/>
    <d v="2019-02-05T00:00:00"/>
    <m/>
    <n v="61"/>
    <n v="0"/>
    <n v="0"/>
    <n v="0"/>
    <d v="2023-02-05T00:00:00"/>
    <n v="2022"/>
  </r>
  <r>
    <x v="75"/>
    <s v="Triyangs International Mining Group SA"/>
    <s v="006246/MMG/DMG"/>
    <s v="Djindji Bassari"/>
    <s v="Permis de recherche"/>
    <s v="KEDOUGOU"/>
    <s v="OR"/>
    <s v="KEDOUGOU"/>
    <s v="KEDOUGOU"/>
    <d v="2018-01-30T00:00:00"/>
    <d v="2018-03-20T00:00:00"/>
    <m/>
    <n v="25"/>
    <n v="0"/>
    <n v="0"/>
    <n v="0"/>
    <d v="2022-03-10T00:00:00"/>
    <n v="2022"/>
  </r>
  <r>
    <x v="105"/>
    <s v="VAPROM AFRICA SA"/>
    <s v="09040/MMD/MMG"/>
    <s v="Bandia"/>
    <s v="Carrière"/>
    <s v="THIES"/>
    <s v="CALCAIRE"/>
    <s v="BANDIA"/>
    <s v="THIES"/>
    <m/>
    <d v="2017-05-30T00:00:00"/>
    <m/>
    <n v="0.14313899999999999"/>
    <n v="0"/>
    <n v="0"/>
    <n v="0"/>
    <d v="2999-12-31T00:00:00"/>
    <n v="20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GEM SENEGAL EXPLORATION SUARL"/>
    <n v="214443.79963090841"/>
    <n v="26644"/>
    <x v="0"/>
    <m/>
  </r>
  <r>
    <s v="BARRICK GOLD"/>
    <n v="2284800"/>
    <n v="140005.20000000001"/>
    <x v="0"/>
    <m/>
  </r>
  <r>
    <s v="DANGOTE CEMENT SENEGAL "/>
    <n v="101416659"/>
    <n v="6085153"/>
    <x v="0"/>
    <m/>
  </r>
  <r>
    <s v="GECAMINES"/>
    <n v="13650986.381086541"/>
    <n v="1162727.2239999999"/>
    <x v="0"/>
    <m/>
  </r>
  <r>
    <s v="GRANDE COTE OPERATIONS SA"/>
    <n v="134585550"/>
    <n v="9956419"/>
    <x v="0"/>
    <m/>
  </r>
  <r>
    <s v="INDUSTRIE CHIMIQUES DU SENEGAL / INDORAMA"/>
    <n v="126549642"/>
    <n v="6100616"/>
    <x v="0"/>
    <m/>
  </r>
  <r>
    <s v="LES CIMENTS DU SAHEL SA"/>
    <n v="211664011"/>
    <n v="16614011"/>
    <x v="0"/>
    <m/>
  </r>
  <r>
    <s v="PETOWAL MINING COMPAGNY SA"/>
    <n v="53761566"/>
    <n v="7956596"/>
    <x v="0"/>
    <m/>
  </r>
  <r>
    <s v="SABODALA GOLD OPERATIONS SA"/>
    <n v="141012255"/>
    <n v="10787907"/>
    <x v="0"/>
    <m/>
  </r>
  <r>
    <s v="SOCOBE"/>
    <n v="1100"/>
    <m/>
    <x v="0"/>
    <m/>
  </r>
  <r>
    <s v="SODEVIT"/>
    <n v="1114.345"/>
    <n v="41345.599999999999"/>
    <x v="0"/>
    <m/>
  </r>
  <r>
    <s v="BARRICK GOLD"/>
    <n v="2400000"/>
    <n v="105774"/>
    <x v="1"/>
    <m/>
  </r>
  <r>
    <s v="DANGOTE CEMENT SENEGAL "/>
    <n v="120141576"/>
    <n v="10772886"/>
    <x v="1"/>
    <m/>
  </r>
  <r>
    <s v="GECAMINES"/>
    <n v="12834881.497898489"/>
    <n v="1247622.9099999999"/>
    <x v="1"/>
    <m/>
  </r>
  <r>
    <s v="INDUSTRIE CHIMIQUES DU SENEGAL / INDORAMA"/>
    <n v="257279841"/>
    <n v="8067202"/>
    <x v="1"/>
    <m/>
  </r>
  <r>
    <s v="LES CIMENTS DU SAHEL SA"/>
    <n v="219430681"/>
    <n v="15379725"/>
    <x v="1"/>
    <m/>
  </r>
  <r>
    <s v="MAKABINGUI GOLD OPERATION SA"/>
    <n v="1351143.2446061384"/>
    <n v="212413.48"/>
    <x v="1"/>
    <m/>
  </r>
  <r>
    <s v="PETOWAL MINING COMPAGNY SA"/>
    <n v="73838678"/>
    <n v="8829520"/>
    <x v="1"/>
    <m/>
  </r>
  <r>
    <s v="SABODALA GOLD OPERATIONS SA"/>
    <n v="145200000"/>
    <n v="10000000"/>
    <x v="1"/>
    <m/>
  </r>
  <r>
    <s v="SODEVIT"/>
    <n v="1222"/>
    <n v="45346"/>
    <x v="1"/>
    <m/>
  </r>
  <r>
    <s v="SORED MINES SA"/>
    <n v="351781"/>
    <n v="28986.754400000002"/>
    <x v="1"/>
    <m/>
  </r>
  <r>
    <s v="BAMBADJI SA"/>
    <n v="864000"/>
    <n v="36644"/>
    <x v="2"/>
    <s v="Or"/>
  </r>
  <r>
    <s v="CIMENTS DU SAHEL"/>
    <n v="217118178"/>
    <n v="14062413"/>
    <x v="2"/>
    <s v="Cimenterie"/>
  </r>
  <r>
    <s v="DANGOTE CEMENT SENEGAL"/>
    <n v="136670172"/>
    <n v="12278735"/>
    <x v="2"/>
    <s v="Cimenterie"/>
  </r>
  <r>
    <s v="INDUSTRIES CHIMIQUES DU SENEGAL"/>
    <n v="100891686"/>
    <n v="4076828"/>
    <x v="2"/>
    <s v="Engrais acide phosphorique"/>
  </r>
  <r>
    <s v="INDUSTRIES CHIMIQUES DU SENEGAL"/>
    <n v="38006000"/>
    <n v="1535745.2245173105"/>
    <x v="2"/>
    <s v="Engrais acide phosphorique"/>
  </r>
  <r>
    <s v="PETOWAL MINING COMPANY (PMC) SA"/>
    <n v="75768590"/>
    <n v="10716264"/>
    <x v="2"/>
    <s v="Or"/>
  </r>
  <r>
    <s v="SABODALA GOLD OPERATIONS"/>
    <n v="141558748"/>
    <n v="8000000"/>
    <x v="2"/>
    <s v="Or"/>
  </r>
  <r>
    <s v="SORED MINES SA"/>
    <n v="3064747"/>
    <n v="180172.930686935"/>
    <x v="2"/>
    <s v="Or"/>
  </r>
  <r>
    <s v="GECAMINES"/>
    <n v="12834881"/>
    <n v="1247623"/>
    <x v="2"/>
    <s v="Basalte"/>
  </r>
  <r>
    <s v="GCO"/>
    <n v="190409000"/>
    <n v="14086457.82"/>
    <x v="2"/>
    <s v="Mineraux Lourds"/>
  </r>
  <r>
    <s v="BOSFOR SARL"/>
    <n v="1423884"/>
    <n v="243416"/>
    <x v="3"/>
    <m/>
  </r>
  <r>
    <s v="CIMENTS DU SAHEL"/>
    <n v="223504324"/>
    <n v="16291000"/>
    <x v="3"/>
    <s v="Cimenterie"/>
  </r>
  <r>
    <s v="DANGOTE CEMENT SENEGAL"/>
    <n v="133057329"/>
    <n v="9102827"/>
    <x v="3"/>
    <s v="Cimenterie"/>
  </r>
  <r>
    <s v="GECAMINES"/>
    <n v="4435522"/>
    <n v="431177.40837950807"/>
    <x v="3"/>
    <s v="Basalte"/>
  </r>
  <r>
    <s v="GRANDE COTE OPERATIONS"/>
    <n v="135835358"/>
    <n v="10000000"/>
    <x v="3"/>
    <s v="Mineraux Lourds"/>
  </r>
  <r>
    <s v="INDUSTRIES CHIMIQUES DU SENEGAL"/>
    <n v="327336985"/>
    <n v="7422429.8100000005"/>
    <x v="3"/>
    <s v="Engrais acide phosphorique"/>
  </r>
  <r>
    <s v="PETOWAL MINING COMPANY (PMC) SA"/>
    <n v="69161602"/>
    <n v="14573460"/>
    <x v="3"/>
    <s v="Or"/>
  </r>
  <r>
    <s v="SABODALA GOLD OPERATIONS"/>
    <n v="140247071"/>
    <n v="8000000"/>
    <x v="3"/>
    <s v="Or"/>
  </r>
  <r>
    <s v="SORED MINES SA"/>
    <n v="1388945"/>
    <n v="81654.469753283032"/>
    <x v="3"/>
    <s v="Or"/>
  </r>
  <r>
    <s v="BAMBADJI SA"/>
    <n v="1088912"/>
    <n v="50057"/>
    <x v="3"/>
    <s v="Or"/>
  </r>
  <r>
    <s v="SOCOCIM INDUSTRIES"/>
    <n v="299377000"/>
    <n v="23950160"/>
    <x v="3"/>
    <s v="Cimenterie"/>
  </r>
  <r>
    <s v="BOSFOR SARL"/>
    <n v="2329600"/>
    <n v="262000"/>
    <x v="4"/>
    <s v="Carrières"/>
  </r>
  <r>
    <s v="INDUSTRIES CHIMIQUES DU SENEGAL"/>
    <n v="265237763"/>
    <n v="7172899"/>
    <x v="4"/>
    <s v="Engrais acide phosphorique"/>
  </r>
  <r>
    <s v="CIMENTS DU SAHEL"/>
    <n v="226156533"/>
    <n v="27100412"/>
    <x v="4"/>
    <s v="Cimenterie"/>
  </r>
  <r>
    <s v="GRANDE COTE OPERATIONS"/>
    <n v="134248000"/>
    <n v="15033200"/>
    <x v="4"/>
    <s v="Mineraux Lourds"/>
  </r>
  <r>
    <s v="SORED-MINES SA"/>
    <n v="8885368"/>
    <n v="977390.48"/>
    <x v="4"/>
    <s v="Or"/>
  </r>
  <r>
    <s v="SABODALA GOLD OPERATIONS"/>
    <n v="143556211"/>
    <n v="14341000"/>
    <x v="4"/>
    <s v="Or"/>
  </r>
  <r>
    <s v="DANGOTE CEMENT SENEGAL"/>
    <n v="100528139"/>
    <n v="11359680"/>
    <x v="4"/>
    <s v="Cimenterie"/>
  </r>
  <r>
    <s v="PETOWAL MINING COMPANY (PMC) SA"/>
    <n v="83628875"/>
    <n v="9455753"/>
    <x v="4"/>
    <s v="Or"/>
  </r>
  <r>
    <s v="GECAMINES"/>
    <n v="4375380"/>
    <n v="809445"/>
    <x v="4"/>
    <s v="Carrièr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3">
  <r>
    <s v="BMCC SA"/>
    <s v="DIOURBEL"/>
    <x v="0"/>
    <n v="20088.400000000001"/>
    <n v="24401"/>
    <n v="2057"/>
    <n v="2693"/>
    <n v="2057"/>
    <x v="0"/>
    <n v="679077"/>
    <m/>
    <m/>
    <m/>
    <n v="43853.4"/>
    <n v="1286450"/>
    <x v="0"/>
  </r>
  <r>
    <s v="COMPAGNIE GENERALE D'EXPLOITATION DE CARRIERE (COGECA)"/>
    <m/>
    <x v="1"/>
    <n v="1570000"/>
    <m/>
    <m/>
    <m/>
    <m/>
    <x v="1"/>
    <m/>
    <m/>
    <m/>
    <m/>
    <n v="1570000"/>
    <n v="12513668.9900917"/>
    <x v="0"/>
  </r>
  <r>
    <s v="DANGOTE CEMENT SENEGAL"/>
    <s v="THIES"/>
    <x v="2"/>
    <n v="940284"/>
    <n v="427619"/>
    <m/>
    <n v="4538"/>
    <n v="0"/>
    <x v="2"/>
    <n v="16247084"/>
    <m/>
    <n v="172032"/>
    <n v="0"/>
    <n v="1363365"/>
    <n v="54513227"/>
    <x v="0"/>
  </r>
  <r>
    <s v="GECAMINES"/>
    <s v="THIES"/>
    <x v="1"/>
    <n v="2595323"/>
    <m/>
    <m/>
    <m/>
    <m/>
    <x v="3"/>
    <m/>
    <m/>
    <m/>
    <m/>
    <n v="2595323"/>
    <n v="19508275"/>
    <x v="0"/>
  </r>
  <r>
    <s v="GH MINING SARL"/>
    <s v="TAMBACOUNDA"/>
    <x v="3"/>
    <m/>
    <n v="11284"/>
    <m/>
    <m/>
    <m/>
    <x v="4"/>
    <n v="1300152"/>
    <m/>
    <m/>
    <m/>
    <n v="11284"/>
    <n v="1300152"/>
    <x v="0"/>
  </r>
  <r>
    <s v="GRANDE COTE OPERATIONS SA"/>
    <s v="THIES"/>
    <x v="4"/>
    <m/>
    <n v="65007"/>
    <m/>
    <n v="5560"/>
    <n v="4831"/>
    <x v="4"/>
    <n v="53373386"/>
    <m/>
    <n v="1812011"/>
    <n v="2464254"/>
    <n v="64278"/>
    <n v="54025629"/>
    <x v="0"/>
  </r>
  <r>
    <s v="GRANDE COTE OPERATIONS SA"/>
    <s v="THIES"/>
    <x v="5"/>
    <m/>
    <n v="530692"/>
    <m/>
    <n v="69574"/>
    <n v="45819"/>
    <x v="4"/>
    <n v="47574723"/>
    <m/>
    <n v="3519272"/>
    <n v="2426089"/>
    <n v="506937"/>
    <n v="46481540"/>
    <x v="0"/>
  </r>
  <r>
    <s v="GRANDE COTE OPERATIONS SA"/>
    <s v="THIES"/>
    <x v="6"/>
    <m/>
    <n v="3943"/>
    <m/>
    <n v="136"/>
    <n v="154"/>
    <x v="4"/>
    <n v="1934974"/>
    <m/>
    <n v="44129"/>
    <n v="44816"/>
    <n v="3961"/>
    <n v="1935661"/>
    <x v="0"/>
  </r>
  <r>
    <s v="GRANDE COTE OPERATIONS SA"/>
    <s v="THIES"/>
    <x v="7"/>
    <m/>
    <n v="6760"/>
    <m/>
    <n v="1362"/>
    <n v="247"/>
    <x v="4"/>
    <n v="2064692"/>
    <m/>
    <n v="202920"/>
    <n v="44676"/>
    <n v="5645"/>
    <n v="1906448"/>
    <x v="0"/>
  </r>
  <r>
    <s v="GRANDE COTE OPERATIONS SA"/>
    <s v="THIES"/>
    <x v="4"/>
    <m/>
    <n v="28418"/>
    <m/>
    <n v="9777"/>
    <n v="10650"/>
    <x v="4"/>
    <n v="8565752"/>
    <m/>
    <n v="934024"/>
    <n v="1781046"/>
    <n v="29291"/>
    <n v="9412774"/>
    <x v="0"/>
  </r>
  <r>
    <s v="INDUSTRIE CHIMIQUES DU SENEGAL / INDORAMA"/>
    <s v="THIES"/>
    <x v="8"/>
    <n v="58943"/>
    <n v="95216"/>
    <m/>
    <n v="57525"/>
    <n v="38362"/>
    <x v="5"/>
    <n v="20184454"/>
    <m/>
    <n v="11163680"/>
    <n v="8079399"/>
    <n v="134996"/>
    <n v="134870474"/>
    <x v="0"/>
  </r>
  <r>
    <s v="INDUSTRIE CHIMIQUES DU SENEGAL / INDORAMA"/>
    <s v="THIES"/>
    <x v="9"/>
    <n v="33"/>
    <n v="475792"/>
    <m/>
    <n v="17653"/>
    <n v="88866"/>
    <x v="6"/>
    <n v="182461271"/>
    <m/>
    <n v="4435700"/>
    <n v="23278085"/>
    <n v="547038"/>
    <n v="201320533"/>
    <x v="0"/>
  </r>
  <r>
    <s v="LES CIMENTS DU SAHEL SA"/>
    <s v="THIES"/>
    <x v="2"/>
    <n v="1596214"/>
    <n v="1150722"/>
    <n v="3943"/>
    <n v="9720"/>
    <n v="13139"/>
    <x v="7"/>
    <n v="44119596"/>
    <n v="152383"/>
    <n v="266840"/>
    <n v="390372"/>
    <n v="2750355"/>
    <n v="107092702"/>
    <x v="0"/>
  </r>
  <r>
    <s v="PETOWAL MINING COMPANY (PMC) SA"/>
    <s v="KEDOUGOU"/>
    <x v="10"/>
    <m/>
    <n v="4.452"/>
    <m/>
    <m/>
    <n v="0.42230000000000001"/>
    <x v="4"/>
    <n v="100183726"/>
    <m/>
    <m/>
    <n v="4745936"/>
    <n v="4.8742999999999999"/>
    <n v="104929662"/>
    <x v="0"/>
  </r>
  <r>
    <s v="PETOWAL MINING COMPANY (PMC) SA"/>
    <s v="KEDOUGOU"/>
    <x v="11"/>
    <m/>
    <n v="0.189"/>
    <m/>
    <m/>
    <m/>
    <x v="4"/>
    <n v="48742"/>
    <m/>
    <m/>
    <m/>
    <n v="0.189"/>
    <n v="48742"/>
    <x v="0"/>
  </r>
  <r>
    <s v="SABODALA GOLD OPERATIONS SA"/>
    <s v="KEDOUGOU"/>
    <x v="10"/>
    <n v="2.8000000000000001E-2"/>
    <n v="6.94"/>
    <m/>
    <n v="0.13"/>
    <n v="0.11"/>
    <x v="8"/>
    <n v="173006105"/>
    <m/>
    <n v="1239448"/>
    <n v="1551857"/>
    <n v="6.9480000000000004"/>
    <n v="174030391"/>
    <x v="0"/>
  </r>
  <r>
    <s v="SABODALA GOLD OPERATIONS SA"/>
    <s v="KEDOUGOU"/>
    <x v="11"/>
    <m/>
    <n v="0.6"/>
    <m/>
    <m/>
    <m/>
    <x v="4"/>
    <n v="185348"/>
    <m/>
    <m/>
    <m/>
    <n v="0.6"/>
    <n v="185348"/>
    <x v="0"/>
  </r>
  <r>
    <s v="SENEGAL MINES SA"/>
    <s v="THIES"/>
    <x v="12"/>
    <n v="0"/>
    <n v="60953"/>
    <m/>
    <m/>
    <m/>
    <x v="4"/>
    <n v="1679079"/>
    <m/>
    <m/>
    <m/>
    <n v="77832"/>
    <n v="1679079"/>
    <x v="0"/>
  </r>
  <r>
    <s v="SENEGAL MINES SA"/>
    <s v="THIES"/>
    <x v="13"/>
    <n v="57"/>
    <n v="7745"/>
    <m/>
    <m/>
    <m/>
    <x v="9"/>
    <n v="500776"/>
    <m/>
    <m/>
    <m/>
    <n v="11498"/>
    <n v="506562"/>
    <x v="0"/>
  </r>
  <r>
    <s v="SEPHOS SENEGAL SA"/>
    <s v="THIES"/>
    <x v="0"/>
    <n v="19578"/>
    <n v="73434"/>
    <n v="14881"/>
    <n v="14881"/>
    <n v="18240"/>
    <x v="10"/>
    <n v="1994982"/>
    <n v="710779"/>
    <m/>
    <n v="522041.1898694298"/>
    <n v="96371"/>
    <n v="3127422.1898694299"/>
    <x v="0"/>
  </r>
  <r>
    <s v="SOCIETE SENEGALAISE DES PHOSPHATES DE THIES (SSPT)"/>
    <s v="THIES"/>
    <x v="12"/>
    <n v="3886"/>
    <n v="171797"/>
    <n v="171972"/>
    <n v="8140"/>
    <n v="4429"/>
    <x v="11"/>
    <n v="6902248"/>
    <m/>
    <m/>
    <m/>
    <n v="171972"/>
    <n v="7120322"/>
    <x v="0"/>
  </r>
  <r>
    <s v="SOCOBE"/>
    <s v="THIES"/>
    <x v="14"/>
    <n v="4801.1816374615173"/>
    <m/>
    <m/>
    <m/>
    <m/>
    <x v="12"/>
    <m/>
    <m/>
    <m/>
    <m/>
    <n v="4801.1816374615173"/>
    <n v="41892"/>
    <x v="0"/>
  </r>
  <r>
    <s v="SOCIETE MINIERE DE LA VALLEE DU FLEUVE SENEGAL –SOMIVA"/>
    <s v="MATAM"/>
    <x v="0"/>
    <n v="47655"/>
    <n v="439168"/>
    <m/>
    <n v="1159826"/>
    <n v="1244000"/>
    <x v="13"/>
    <n v="15193548"/>
    <n v="0"/>
    <n v="41853898.491689995"/>
    <n v="44891431.75240282"/>
    <n v="570997"/>
    <n v="20605203.260712825"/>
    <x v="0"/>
  </r>
  <r>
    <s v="SODEVIT"/>
    <m/>
    <x v="15"/>
    <n v="662120.84896608652"/>
    <m/>
    <m/>
    <m/>
    <m/>
    <x v="14"/>
    <m/>
    <m/>
    <m/>
    <m/>
    <n v="662120.84896608652"/>
    <n v="4036281"/>
    <x v="0"/>
  </r>
  <r>
    <s v="AFRIGOLD SARL"/>
    <s v="KEDOUGOU"/>
    <x v="10"/>
    <m/>
    <n v="6.3E-2"/>
    <m/>
    <n v="0"/>
    <n v="0"/>
    <x v="4"/>
    <n v="1240248"/>
    <m/>
    <n v="0"/>
    <n v="0"/>
    <n v="6.3E-2"/>
    <n v="1240248"/>
    <x v="0"/>
  </r>
  <r>
    <s v="SOCOCIM INDUSTRIES"/>
    <s v="THIES"/>
    <x v="2"/>
    <n v="2195180"/>
    <n v="454988"/>
    <m/>
    <n v="12787"/>
    <n v="17392"/>
    <x v="15"/>
    <n v="17512938"/>
    <m/>
    <n v="422056"/>
    <n v="644719"/>
    <n v="2654773"/>
    <n v="109564871"/>
    <x v="0"/>
  </r>
  <r>
    <s v="COMPAGNIE GENERALE D'EXPLOITATION DE CARRIERE (COGECA)"/>
    <m/>
    <x v="15"/>
    <n v="24210"/>
    <m/>
    <m/>
    <m/>
    <m/>
    <x v="16"/>
    <m/>
    <m/>
    <m/>
    <m/>
    <n v="24210"/>
    <n v="145259.35722819594"/>
    <x v="0"/>
  </r>
  <r>
    <s v="AFRIGOLD SARL"/>
    <s v="KEDOUGOU"/>
    <x v="10"/>
    <m/>
    <n v="3.0000000000000001E-3"/>
    <m/>
    <n v="0"/>
    <n v="0"/>
    <x v="4"/>
    <n v="80075"/>
    <m/>
    <n v="0"/>
    <n v="0"/>
    <n v="3.0000000000000001E-3"/>
    <n v="80075"/>
    <x v="1"/>
  </r>
  <r>
    <s v="BMCC SA"/>
    <s v="DIOURBEL"/>
    <x v="0"/>
    <m/>
    <m/>
    <n v="2057"/>
    <n v="127935"/>
    <n v="127913"/>
    <x v="4"/>
    <m/>
    <m/>
    <m/>
    <m/>
    <n v="-22"/>
    <n v="1484"/>
    <x v="1"/>
  </r>
  <r>
    <s v="BOSFOR SARL"/>
    <m/>
    <x v="15"/>
    <n v="380247"/>
    <m/>
    <m/>
    <m/>
    <m/>
    <x v="17"/>
    <m/>
    <m/>
    <m/>
    <m/>
    <n v="380247"/>
    <n v="890540"/>
    <x v="1"/>
  </r>
  <r>
    <s v="COMPAGNIE GENERALE D'EXPLOITATION DE CARRIERE (COGECA)"/>
    <s v="THIES"/>
    <x v="1"/>
    <n v="1592907"/>
    <m/>
    <m/>
    <m/>
    <m/>
    <x v="18"/>
    <m/>
    <m/>
    <m/>
    <m/>
    <n v="1592907"/>
    <n v="12696249"/>
    <x v="1"/>
  </r>
  <r>
    <s v="DANGOTE CEMENT SENEGAL"/>
    <s v="THIES"/>
    <x v="2"/>
    <n v="1116847"/>
    <n v="364038"/>
    <m/>
    <m/>
    <n v="0"/>
    <x v="19"/>
    <n v="14057133"/>
    <m/>
    <m/>
    <n v="0"/>
    <n v="1480885"/>
    <n v="61727145"/>
    <x v="1"/>
  </r>
  <r>
    <s v="GECAMINES"/>
    <m/>
    <x v="1"/>
    <n v="1992891"/>
    <n v="0"/>
    <n v="0"/>
    <n v="0"/>
    <n v="0"/>
    <x v="20"/>
    <n v="0"/>
    <n v="0"/>
    <n v="0"/>
    <n v="0"/>
    <n v="1992891"/>
    <n v="16414043"/>
    <x v="1"/>
  </r>
  <r>
    <s v="GH MINING SARL"/>
    <s v="TAMBACOUNDA"/>
    <x v="3"/>
    <m/>
    <n v="4368"/>
    <m/>
    <n v="0"/>
    <n v="0"/>
    <x v="4"/>
    <n v="503285"/>
    <m/>
    <m/>
    <m/>
    <n v="4368"/>
    <n v="503285"/>
    <x v="1"/>
  </r>
  <r>
    <s v="GROUPEMENT D'ENTREPRISE SINTRAM HOUAR"/>
    <m/>
    <x v="1"/>
    <n v="27875"/>
    <m/>
    <m/>
    <m/>
    <m/>
    <x v="21"/>
    <m/>
    <m/>
    <m/>
    <m/>
    <n v="27875"/>
    <n v="63149"/>
    <x v="1"/>
  </r>
  <r>
    <s v="INDUSTRIE CHIMIQUES DU SENEGAL / INDORAMA"/>
    <s v="THIES"/>
    <x v="8"/>
    <n v="75427"/>
    <n v="97201"/>
    <m/>
    <n v="38362"/>
    <n v="24364"/>
    <x v="22"/>
    <n v="22031441"/>
    <m/>
    <n v="8079399"/>
    <n v="5510398"/>
    <n v="158630"/>
    <n v="35499539"/>
    <x v="1"/>
  </r>
  <r>
    <s v="INDUSTRIE CHIMIQUES DU SENEGAL / INDORAMA"/>
    <s v="THIES"/>
    <x v="9"/>
    <n v="97"/>
    <n v="537424"/>
    <m/>
    <n v="88866"/>
    <n v="58924"/>
    <x v="23"/>
    <n v="219159910"/>
    <m/>
    <n v="23276085"/>
    <n v="14746805"/>
    <n v="507579"/>
    <n v="210681808"/>
    <x v="1"/>
  </r>
  <r>
    <s v="INDUSTRIE CHIMIQUES DU SENEGAL / INDORAMA"/>
    <s v="THIES"/>
    <x v="0"/>
    <m/>
    <m/>
    <m/>
    <n v="70440"/>
    <n v="71572"/>
    <x v="4"/>
    <m/>
    <m/>
    <n v="2127894"/>
    <n v="2219687"/>
    <n v="1132"/>
    <n v="91793"/>
    <x v="1"/>
  </r>
  <r>
    <s v="LES CIMENTS DU SAHEL SA"/>
    <s v="THIES"/>
    <x v="2"/>
    <n v="1707485"/>
    <n v="1047215"/>
    <n v="4100"/>
    <n v="13139"/>
    <n v="13150"/>
    <x v="24"/>
    <n v="41787921"/>
    <n v="153735"/>
    <n v="390372"/>
    <n v="365998"/>
    <n v="2754711"/>
    <n v="112048149"/>
    <x v="1"/>
  </r>
  <r>
    <s v="PETOWAL MINING COMPANY (PMC) SA"/>
    <s v="KEDOUGOU"/>
    <x v="10"/>
    <m/>
    <n v="5.7830000000000004"/>
    <m/>
    <n v="0.42199999999999999"/>
    <n v="0.245"/>
    <x v="4"/>
    <n v="141239790"/>
    <m/>
    <n v="4745935"/>
    <n v="3185962"/>
    <n v="5.6060000000000008"/>
    <n v="139679817"/>
    <x v="1"/>
  </r>
  <r>
    <s v="SABODALA GOLD OPERATIONS SA"/>
    <s v="KEDOUGOU"/>
    <x v="10"/>
    <n v="0.57999999999999996"/>
    <n v="6.03"/>
    <m/>
    <n v="0.11"/>
    <n v="0.2"/>
    <x v="25"/>
    <n v="170508238"/>
    <m/>
    <n v="1551857"/>
    <n v="3160292"/>
    <n v="6.7"/>
    <n v="188761675"/>
    <x v="1"/>
  </r>
  <r>
    <s v="SABODALA GOLD OPERATIONS SA"/>
    <s v="KEDOUGOU"/>
    <x v="11"/>
    <m/>
    <n v="0.48"/>
    <m/>
    <m/>
    <m/>
    <x v="4"/>
    <n v="160845"/>
    <m/>
    <m/>
    <m/>
    <n v="0.48"/>
    <n v="160845"/>
    <x v="1"/>
  </r>
  <r>
    <s v="SENEGAL MINES SA"/>
    <s v="THIES"/>
    <x v="12"/>
    <m/>
    <n v="52633"/>
    <m/>
    <n v="11831"/>
    <n v="11962"/>
    <x v="4"/>
    <n v="1529972"/>
    <m/>
    <m/>
    <m/>
    <n v="52764"/>
    <n v="1529972"/>
    <x v="1"/>
  </r>
  <r>
    <s v="SENEGAL MINES SA"/>
    <s v="THIES"/>
    <x v="13"/>
    <n v="58"/>
    <n v="10637"/>
    <m/>
    <n v="2677"/>
    <n v="3195"/>
    <x v="26"/>
    <n v="712151"/>
    <m/>
    <m/>
    <m/>
    <n v="11213"/>
    <n v="716526"/>
    <x v="1"/>
  </r>
  <r>
    <s v="SEPHOS SENEGAL SA"/>
    <s v="THIES"/>
    <x v="0"/>
    <n v="57986.37"/>
    <n v="49337.3"/>
    <m/>
    <n v="14881"/>
    <n v="24834.455999999998"/>
    <x v="27"/>
    <n v="1414520"/>
    <m/>
    <n v="425904"/>
    <n v="710779"/>
    <n v="117277.12600000002"/>
    <n v="3356551"/>
    <x v="1"/>
  </r>
  <r>
    <s v="SOCIETE SENEGALAISE DES PHOSPHATES DE THIES (SSPT)"/>
    <m/>
    <x v="12"/>
    <n v="5312"/>
    <n v="142757"/>
    <n v="144909"/>
    <n v="4429"/>
    <n v="1269"/>
    <x v="28"/>
    <n v="6354810"/>
    <m/>
    <m/>
    <m/>
    <n v="144909"/>
    <n v="6601195"/>
    <x v="1"/>
  </r>
  <r>
    <s v="SOCOBE"/>
    <m/>
    <x v="14"/>
    <n v="98355"/>
    <m/>
    <m/>
    <m/>
    <m/>
    <x v="29"/>
    <m/>
    <m/>
    <m/>
    <m/>
    <n v="98355"/>
    <n v="858182"/>
    <x v="1"/>
  </r>
  <r>
    <s v="SOCIETE MINIERE DE LA VALLEE DU FLEUVE SENEGAL –SOMIVA"/>
    <s v="MATAM"/>
    <x v="0"/>
    <n v="145502"/>
    <n v="476309"/>
    <m/>
    <n v="1244000"/>
    <n v="1098340"/>
    <x v="30"/>
    <n v="18759638"/>
    <n v="0"/>
    <n v="48672810.243158169"/>
    <n v="43258600.616238624"/>
    <n v="476151"/>
    <n v="19038348.373080455"/>
    <x v="1"/>
  </r>
  <r>
    <s v="GRANDE COTE OPERATIONS SA"/>
    <s v="THIES"/>
    <x v="4"/>
    <m/>
    <n v="58396"/>
    <m/>
    <n v="4973"/>
    <n v="4985"/>
    <x v="4"/>
    <n v="52667857"/>
    <m/>
    <n v="2464000"/>
    <n v="2661000"/>
    <n v="58408"/>
    <n v="52864857"/>
    <x v="1"/>
  </r>
  <r>
    <s v="GRANDE COTE OPERATIONS SA"/>
    <s v="THIES"/>
    <x v="5"/>
    <m/>
    <n v="502202"/>
    <m/>
    <n v="45278"/>
    <n v="35358"/>
    <x v="4"/>
    <n v="50005135"/>
    <m/>
    <n v="2426000"/>
    <n v="2004000"/>
    <n v="492282"/>
    <n v="49583135"/>
    <x v="1"/>
  </r>
  <r>
    <s v="GRANDE COTE OPERATIONS SA"/>
    <s v="THIES"/>
    <x v="6"/>
    <m/>
    <n v="3769"/>
    <m/>
    <n v="156"/>
    <n v="1"/>
    <x v="4"/>
    <n v="2414292"/>
    <m/>
    <n v="44816"/>
    <n v="563"/>
    <n v="3614"/>
    <n v="2370039"/>
    <x v="1"/>
  </r>
  <r>
    <s v="GRANDE COTE OPERATIONS SA"/>
    <s v="THIES"/>
    <x v="7"/>
    <m/>
    <n v="6532"/>
    <m/>
    <n v="206"/>
    <n v="189"/>
    <x v="4"/>
    <n v="2591469"/>
    <m/>
    <n v="44675"/>
    <n v="45033"/>
    <n v="6515"/>
    <n v="2591827"/>
    <x v="1"/>
  </r>
  <r>
    <s v="GRANDE COTE OPERATIONS SA"/>
    <s v="THIES"/>
    <x v="4"/>
    <m/>
    <n v="31025"/>
    <m/>
    <n v="10650"/>
    <n v="1938"/>
    <x v="4"/>
    <n v="7005808"/>
    <m/>
    <n v="1781046"/>
    <n v="358766"/>
    <n v="22313"/>
    <n v="5583528"/>
    <x v="1"/>
  </r>
  <r>
    <s v="SODEVIT"/>
    <m/>
    <x v="15"/>
    <n v="427458"/>
    <m/>
    <m/>
    <m/>
    <m/>
    <x v="31"/>
    <m/>
    <m/>
    <m/>
    <m/>
    <n v="427458"/>
    <n v="2605779"/>
    <x v="1"/>
  </r>
  <r>
    <s v="SOCOCIM INDUSTRIES"/>
    <s v="THIES"/>
    <x v="2"/>
    <n v="2245068"/>
    <n v="345050"/>
    <m/>
    <m/>
    <m/>
    <x v="32"/>
    <n v="14881660"/>
    <m/>
    <m/>
    <m/>
    <n v="2590118"/>
    <n v="108797856.18453157"/>
    <x v="1"/>
  </r>
  <r>
    <s v="COMPAGNIE GENERALE D'EXPLOITATION DE CARRIERE (COGECA)"/>
    <m/>
    <x v="15"/>
    <n v="37665"/>
    <m/>
    <m/>
    <m/>
    <m/>
    <x v="33"/>
    <m/>
    <m/>
    <m/>
    <m/>
    <n v="37665"/>
    <n v="225989"/>
    <x v="1"/>
  </r>
  <r>
    <s v="2SBCI"/>
    <m/>
    <x v="15"/>
    <n v="150307.5"/>
    <n v="0"/>
    <m/>
    <n v="0"/>
    <n v="0"/>
    <x v="34"/>
    <n v="0"/>
    <m/>
    <n v="0"/>
    <n v="0"/>
    <n v="150307.5"/>
    <n v="247042"/>
    <x v="2"/>
  </r>
  <r>
    <s v="AFRICAN INVESTMENT GROUP SA"/>
    <m/>
    <x v="16"/>
    <n v="682"/>
    <m/>
    <m/>
    <m/>
    <m/>
    <x v="35"/>
    <m/>
    <m/>
    <m/>
    <m/>
    <n v="682"/>
    <n v="89376"/>
    <x v="2"/>
  </r>
  <r>
    <s v="AFRIGOLD SARL"/>
    <s v="KEDOUGOU"/>
    <x v="10"/>
    <n v="8.9999999999999993E-3"/>
    <n v="0.04"/>
    <m/>
    <n v="0"/>
    <n v="0"/>
    <x v="36"/>
    <n v="493759"/>
    <m/>
    <n v="0"/>
    <n v="0"/>
    <n v="4.9000000000000002E-2"/>
    <n v="1503982"/>
    <x v="2"/>
  </r>
  <r>
    <s v="ALBINA SENEGAL SARL"/>
    <m/>
    <x v="15"/>
    <n v="47353"/>
    <m/>
    <m/>
    <m/>
    <m/>
    <x v="37"/>
    <m/>
    <m/>
    <m/>
    <m/>
    <n v="47353"/>
    <n v="245714"/>
    <x v="2"/>
  </r>
  <r>
    <s v="BMCC SA"/>
    <s v="DIOURBEL"/>
    <x v="0"/>
    <m/>
    <n v="0"/>
    <m/>
    <n v="2057"/>
    <n v="2057"/>
    <x v="38"/>
    <n v="0"/>
    <m/>
    <n v="0"/>
    <n v="0"/>
    <n v="0"/>
    <m/>
    <x v="2"/>
  </r>
  <r>
    <s v="BOSFOR SARL"/>
    <m/>
    <x v="15"/>
    <n v="527440"/>
    <m/>
    <m/>
    <n v="46108"/>
    <n v="4348"/>
    <x v="39"/>
    <m/>
    <m/>
    <n v="182296"/>
    <n v="19978"/>
    <n v="485680"/>
    <n v="1093756"/>
    <x v="2"/>
  </r>
  <r>
    <s v="LES CIMENTS DU SAHEL SA"/>
    <s v="THIES"/>
    <x v="2"/>
    <n v="1769240"/>
    <n v="912826"/>
    <m/>
    <n v="13150"/>
    <n v="37603"/>
    <x v="40"/>
    <n v="36347814"/>
    <m/>
    <n v="365998"/>
    <n v="1057559"/>
    <n v="2706519"/>
    <n v="112127669"/>
    <x v="2"/>
  </r>
  <r>
    <s v="COMPAGNIE GENERALE D'EXPLOITATION DE CARRIERE (COGECA)"/>
    <m/>
    <x v="1"/>
    <n v="1526138"/>
    <n v="106626"/>
    <m/>
    <m/>
    <m/>
    <x v="41"/>
    <m/>
    <m/>
    <m/>
    <m/>
    <n v="1632764"/>
    <n v="12361013"/>
    <x v="2"/>
  </r>
  <r>
    <s v="COMPAGNIE GENERALE D'EXPLOITATION DE CARRIERE (COGECA)"/>
    <m/>
    <x v="15"/>
    <n v="23164"/>
    <m/>
    <m/>
    <m/>
    <m/>
    <x v="42"/>
    <m/>
    <m/>
    <m/>
    <m/>
    <n v="23164"/>
    <n v="156903"/>
    <x v="2"/>
  </r>
  <r>
    <s v="DANGOTE CEMENT SENEGAL"/>
    <s v="THIES"/>
    <x v="2"/>
    <n v="1191988"/>
    <n v="400714"/>
    <m/>
    <n v="0"/>
    <n v="18771"/>
    <x v="43"/>
    <n v="15409945"/>
    <m/>
    <n v="0"/>
    <n v="402639"/>
    <n v="1611473"/>
    <n v="68682342"/>
    <x v="2"/>
  </r>
  <r>
    <s v="ENTREPRISE MAPATHE NDIOUCK SA"/>
    <m/>
    <x v="14"/>
    <n v="1400"/>
    <m/>
    <m/>
    <m/>
    <m/>
    <x v="44"/>
    <m/>
    <m/>
    <m/>
    <m/>
    <n v="1400"/>
    <n v="11705"/>
    <x v="2"/>
  </r>
  <r>
    <s v="GH MINING SARL"/>
    <s v="TAMBACOUNDA"/>
    <x v="3"/>
    <n v="13916"/>
    <m/>
    <m/>
    <n v="0"/>
    <n v="1460"/>
    <x v="45"/>
    <n v="0"/>
    <m/>
    <n v="0"/>
    <n v="0"/>
    <n v="15376"/>
    <n v="417480"/>
    <x v="2"/>
  </r>
  <r>
    <s v="GRANDE COTE OPERATIONS SA"/>
    <s v="THIES"/>
    <x v="4"/>
    <m/>
    <n v="83257"/>
    <m/>
    <n v="6923"/>
    <n v="8042"/>
    <x v="4"/>
    <n v="51932320"/>
    <m/>
    <n v="3020161"/>
    <n v="1255685"/>
    <n v="84376"/>
    <n v="50167844"/>
    <x v="2"/>
  </r>
  <r>
    <s v="GRANDE COTE OPERATIONS SA"/>
    <s v="THIES"/>
    <x v="5"/>
    <m/>
    <n v="511999"/>
    <m/>
    <n v="35388"/>
    <n v="44829"/>
    <x v="4"/>
    <n v="58080882"/>
    <m/>
    <n v="2004205"/>
    <n v="2751818"/>
    <n v="521440"/>
    <n v="58828495"/>
    <x v="2"/>
  </r>
  <r>
    <s v="GRANDE COTE OPERATIONS SA"/>
    <s v="THIES"/>
    <x v="6"/>
    <m/>
    <n v="3980"/>
    <m/>
    <n v="1"/>
    <n v="65"/>
    <x v="4"/>
    <n v="2786713"/>
    <m/>
    <n v="563"/>
    <n v="23396"/>
    <n v="4044"/>
    <n v="2809546"/>
    <x v="2"/>
  </r>
  <r>
    <s v="GRANDE COTE OPERATIONS SA"/>
    <s v="THIES"/>
    <x v="7"/>
    <m/>
    <n v="5640"/>
    <m/>
    <n v="189"/>
    <n v="50"/>
    <x v="4"/>
    <n v="2379423"/>
    <m/>
    <n v="45033"/>
    <n v="12605"/>
    <n v="5501"/>
    <n v="2346995"/>
    <x v="2"/>
  </r>
  <r>
    <s v="GECAMINES"/>
    <s v="THIES"/>
    <x v="1"/>
    <n v="1441983"/>
    <m/>
    <m/>
    <m/>
    <n v="57767"/>
    <x v="46"/>
    <n v="0"/>
    <m/>
    <n v="0"/>
    <n v="433439.64405128214"/>
    <n v="1499750"/>
    <n v="11252983.644051282"/>
    <x v="2"/>
  </r>
  <r>
    <s v="GLOBAL IMMO SENEGAL SARL"/>
    <m/>
    <x v="14"/>
    <n v="81334"/>
    <n v="0"/>
    <m/>
    <n v="0"/>
    <n v="0"/>
    <x v="47"/>
    <n v="0"/>
    <m/>
    <n v="0"/>
    <n v="0"/>
    <n v="81334"/>
    <n v="583960.72499999998"/>
    <x v="2"/>
  </r>
  <r>
    <s v="GROUPEMENT D'ENTREPRISE SINTRAM HOUAR"/>
    <m/>
    <x v="1"/>
    <n v="71163"/>
    <n v="0"/>
    <m/>
    <n v="0"/>
    <n v="0"/>
    <x v="48"/>
    <n v="0"/>
    <m/>
    <n v="0"/>
    <n v="0"/>
    <n v="71163"/>
    <n v="239143"/>
    <x v="2"/>
  </r>
  <r>
    <s v="INCA SARL"/>
    <m/>
    <x v="15"/>
    <n v="170000"/>
    <n v="0"/>
    <m/>
    <n v="0"/>
    <n v="0"/>
    <x v="49"/>
    <n v="0"/>
    <m/>
    <n v="0"/>
    <n v="0"/>
    <n v="170000"/>
    <n v="907000"/>
    <x v="2"/>
  </r>
  <r>
    <s v="INDUSTRIE CHIMIQUES DU SENEGAL / INDORAMA"/>
    <s v="THIES"/>
    <x v="8"/>
    <n v="103869"/>
    <n v="56005"/>
    <m/>
    <n v="24364"/>
    <n v="62669"/>
    <x v="50"/>
    <n v="12074836"/>
    <m/>
    <n v="3217540"/>
    <n v="10928441"/>
    <n v="198179"/>
    <n v="40073984"/>
    <x v="2"/>
  </r>
  <r>
    <s v="INDUSTRIE CHIMIQUES DU SENEGAL / INDORAMA"/>
    <s v="THIES"/>
    <x v="9"/>
    <n v="9"/>
    <n v="457943"/>
    <m/>
    <n v="58924"/>
    <n v="48183"/>
    <x v="51"/>
    <n v="166008591"/>
    <m/>
    <n v="14746813"/>
    <n v="10659636"/>
    <n v="447211"/>
    <n v="161926331"/>
    <x v="2"/>
  </r>
  <r>
    <s v="INDUSTRIE CHIMIQUES DU SENEGAL / INDORAMA"/>
    <s v="THIES"/>
    <x v="0"/>
    <n v="0"/>
    <n v="0"/>
    <m/>
    <n v="71572"/>
    <n v="180608"/>
    <x v="38"/>
    <n v="0"/>
    <m/>
    <n v="2219688"/>
    <n v="4946108"/>
    <n v="109036"/>
    <n v="2726420"/>
    <x v="2"/>
  </r>
  <r>
    <s v="KUTLU GABANE HOLDING S.A"/>
    <m/>
    <x v="1"/>
    <n v="205405"/>
    <n v="0"/>
    <m/>
    <n v="0"/>
    <n v="0"/>
    <x v="52"/>
    <n v="0"/>
    <m/>
    <n v="0"/>
    <n v="0"/>
    <n v="205405"/>
    <n v="1559846"/>
    <x v="2"/>
  </r>
  <r>
    <s v="PETOWAL MINING COMPANY (PMC) SA"/>
    <s v="KEDOUGOU"/>
    <x v="10"/>
    <n v="0"/>
    <n v="5.3128000000000002"/>
    <m/>
    <n v="0.24529999999999999"/>
    <n v="0.1857"/>
    <x v="53"/>
    <n v="156789785"/>
    <m/>
    <n v="3214112"/>
    <n v="3100100"/>
    <n v="5.2531999999999996"/>
    <n v="156675773.0596"/>
    <x v="2"/>
  </r>
  <r>
    <s v="PETOWAL MINING COMPANY (PMC) SA"/>
    <s v="KEDOUGOU"/>
    <x v="11"/>
    <n v="0"/>
    <n v="0.59904999999999997"/>
    <m/>
    <n v="0"/>
    <n v="0"/>
    <x v="38"/>
    <n v="219912"/>
    <m/>
    <n v="0"/>
    <n v="0"/>
    <n v="0.59904999999999997"/>
    <n v="219912"/>
    <x v="2"/>
  </r>
  <r>
    <s v="PROCHIMAT SA"/>
    <m/>
    <x v="12"/>
    <n v="786"/>
    <n v="4515"/>
    <m/>
    <n v="0"/>
    <n v="0"/>
    <x v="54"/>
    <n v="361452"/>
    <m/>
    <n v="0"/>
    <n v="0"/>
    <n v="5301"/>
    <n v="463822"/>
    <x v="2"/>
  </r>
  <r>
    <s v="SABODALA GOLD OPERATIONS SA"/>
    <s v="KEDOUGOU"/>
    <x v="10"/>
    <n v="0.26"/>
    <n v="6.78"/>
    <m/>
    <n v="0.2"/>
    <n v="0.3"/>
    <x v="55"/>
    <n v="220079269"/>
    <m/>
    <n v="3160292"/>
    <n v="3897644"/>
    <n v="7.14"/>
    <n v="229509287"/>
    <x v="2"/>
  </r>
  <r>
    <s v="SABODALA GOLD OPERATIONS SA"/>
    <s v="KEDOUGOU"/>
    <x v="11"/>
    <n v="0"/>
    <n v="0.45"/>
    <m/>
    <n v="0"/>
    <n v="0"/>
    <x v="38"/>
    <n v="193308"/>
    <m/>
    <n v="0"/>
    <n v="0"/>
    <n v="0.45"/>
    <n v="193308"/>
    <x v="2"/>
  </r>
  <r>
    <s v="SENEGAL MINES SA"/>
    <s v="THIES"/>
    <x v="12"/>
    <n v="114"/>
    <n v="17052"/>
    <m/>
    <n v="12004"/>
    <n v="7022"/>
    <x v="56"/>
    <n v="711117"/>
    <m/>
    <n v="245801"/>
    <n v="190088"/>
    <n v="12184"/>
    <n v="660315"/>
    <x v="2"/>
  </r>
  <r>
    <s v="SENEGAL MINES SA"/>
    <s v="THIES"/>
    <x v="13"/>
    <n v="0"/>
    <n v="15365"/>
    <m/>
    <n v="8752"/>
    <n v="22990"/>
    <x v="38"/>
    <n v="1077362"/>
    <m/>
    <n v="78319"/>
    <n v="51169"/>
    <n v="29603"/>
    <n v="1050212"/>
    <x v="2"/>
  </r>
  <r>
    <s v="SENEGINDIA SA"/>
    <m/>
    <x v="14"/>
    <n v="74005"/>
    <n v="0"/>
    <m/>
    <n v="0"/>
    <n v="0"/>
    <x v="57"/>
    <n v="0"/>
    <m/>
    <n v="0"/>
    <n v="0"/>
    <n v="74005"/>
    <n v="481032"/>
    <x v="2"/>
  </r>
  <r>
    <s v="SEPHOS SENEGAL SA"/>
    <s v="THIES"/>
    <x v="0"/>
    <n v="28174"/>
    <n v="30136"/>
    <m/>
    <n v="25327"/>
    <n v="11073"/>
    <x v="58"/>
    <n v="794205"/>
    <m/>
    <n v="711157"/>
    <n v="310919"/>
    <n v="44056"/>
    <n v="1238015"/>
    <x v="2"/>
  </r>
  <r>
    <s v="SOCOBE"/>
    <m/>
    <x v="14"/>
    <n v="84161"/>
    <n v="0"/>
    <m/>
    <n v="60000"/>
    <n v="82399"/>
    <x v="59"/>
    <m/>
    <m/>
    <n v="388020"/>
    <n v="533615"/>
    <n v="106560"/>
    <n v="689915"/>
    <x v="2"/>
  </r>
  <r>
    <s v="SOCOCIM INDUSTRIES"/>
    <s v="THIES"/>
    <x v="2"/>
    <n v="2505727"/>
    <n v="255942"/>
    <m/>
    <n v="6334"/>
    <n v="17302"/>
    <x v="60"/>
    <n v="17585609"/>
    <m/>
    <n v="204972"/>
    <n v="561602"/>
    <n v="2772637"/>
    <n v="127640879"/>
    <x v="2"/>
  </r>
  <r>
    <s v="SODEVIT"/>
    <m/>
    <x v="15"/>
    <n v="312823"/>
    <n v="0"/>
    <m/>
    <n v="0"/>
    <n v="0"/>
    <x v="61"/>
    <n v="0"/>
    <m/>
    <n v="0"/>
    <n v="0"/>
    <n v="312823"/>
    <n v="1274261"/>
    <x v="2"/>
  </r>
  <r>
    <s v="SOCIETE MINIERE DE LA VALLEE DU FLEUVE SENEGAL –SOMIVA"/>
    <s v="MATAM"/>
    <x v="0"/>
    <n v="123348"/>
    <n v="307777"/>
    <m/>
    <n v="1098340"/>
    <n v="1095627"/>
    <x v="62"/>
    <n v="11233530"/>
    <n v="0"/>
    <n v="42973709"/>
    <n v="43151748"/>
    <n v="428412"/>
    <n v="14858589"/>
    <x v="2"/>
  </r>
  <r>
    <s v="SOCIETE SENEGALAISE DES PHOSPHATES DE THIES (SSPT)"/>
    <m/>
    <x v="12"/>
    <n v="4414"/>
    <n v="182331"/>
    <m/>
    <n v="10998"/>
    <n v="8687"/>
    <x v="63"/>
    <n v="8100575"/>
    <m/>
    <n v="146942"/>
    <n v="112946"/>
    <n v="184434"/>
    <n v="8294447"/>
    <x v="2"/>
  </r>
  <r>
    <s v="TANOR SAS"/>
    <m/>
    <x v="14"/>
    <n v="22972"/>
    <m/>
    <m/>
    <m/>
    <n v="11340"/>
    <x v="4"/>
    <n v="136269"/>
    <m/>
    <m/>
    <n v="67268"/>
    <n v="34312"/>
    <n v="203537"/>
    <x v="2"/>
  </r>
  <r>
    <s v="CSE GRANULATS"/>
    <m/>
    <x v="1"/>
    <n v="310057.26"/>
    <m/>
    <m/>
    <n v="33224.959999999999"/>
    <n v="14494.45"/>
    <x v="64"/>
    <m/>
    <m/>
    <n v="212074.91899999999"/>
    <n v="83818.258000000002"/>
    <n v="291326.75"/>
    <n v="2819445.8990000002"/>
    <x v="2"/>
  </r>
  <r>
    <s v="2SBCI"/>
    <s v="THIES"/>
    <x v="15"/>
    <n v="127545"/>
    <n v="0"/>
    <n v="0"/>
    <n v="0"/>
    <n v="0"/>
    <x v="65"/>
    <n v="0"/>
    <n v="0"/>
    <n v="0"/>
    <n v="0"/>
    <n v="127545"/>
    <n v="306018"/>
    <x v="3"/>
  </r>
  <r>
    <s v="AFRIGOLD SARL"/>
    <s v="KEDOUGOU"/>
    <x v="10"/>
    <n v="6.8229999999999999E-2"/>
    <n v="0"/>
    <n v="0"/>
    <n v="0"/>
    <n v="0"/>
    <x v="66"/>
    <n v="0"/>
    <n v="0"/>
    <n v="0"/>
    <n v="0"/>
    <n v="6.8229999999999999E-2"/>
    <n v="2174497"/>
    <x v="3"/>
  </r>
  <r>
    <s v="ALBINA SENEGAL SARL"/>
    <s v="THIES"/>
    <x v="15"/>
    <n v="103044"/>
    <n v="0"/>
    <n v="0"/>
    <n v="0"/>
    <n v="0"/>
    <x v="67"/>
    <n v="0"/>
    <n v="0"/>
    <n v="0"/>
    <n v="0"/>
    <n v="103044"/>
    <n v="264324"/>
    <x v="3"/>
  </r>
  <r>
    <s v="ATIC SARL"/>
    <s v="THIES"/>
    <x v="14"/>
    <n v="156000"/>
    <n v="0"/>
    <n v="0"/>
    <n v="0"/>
    <n v="0"/>
    <x v="68"/>
    <n v="0"/>
    <n v="0"/>
    <n v="0"/>
    <n v="0"/>
    <n v="156000"/>
    <n v="117000"/>
    <x v="3"/>
  </r>
  <r>
    <s v="BOSFOR SARL"/>
    <s v="THIES"/>
    <x v="15"/>
    <n v="525200"/>
    <m/>
    <m/>
    <m/>
    <m/>
    <x v="69"/>
    <m/>
    <m/>
    <m/>
    <m/>
    <n v="525200"/>
    <n v="1175088"/>
    <x v="3"/>
  </r>
  <r>
    <s v="LES CIMENTS DU SAHEL SA"/>
    <s v="THIES"/>
    <x v="2"/>
    <n v="2020374"/>
    <n v="1052137"/>
    <n v="4438"/>
    <n v="37603"/>
    <n v="982"/>
    <x v="70"/>
    <n v="42360124"/>
    <n v="167395"/>
    <n v="1034305"/>
    <n v="32467"/>
    <n v="3035890"/>
    <n v="126608929"/>
    <x v="3"/>
  </r>
  <r>
    <s v="CSE GRANULATS"/>
    <s v="THIES"/>
    <x v="1"/>
    <n v="685143.74"/>
    <n v="4217"/>
    <n v="1123375"/>
    <n v="18230"/>
    <n v="18230"/>
    <x v="71"/>
    <n v="34570.65"/>
    <n v="5944955.0939999996"/>
    <n v="90719.357999999993"/>
    <n v="368778.87699999998"/>
    <n v="689360.74"/>
    <n v="4844653.0310000004"/>
    <x v="3"/>
  </r>
  <r>
    <s v="CSE GRANULATS"/>
    <s v="TAMBACOUNDA"/>
    <x v="1"/>
    <n v="443804.64999999997"/>
    <n v="24294"/>
    <n v="149946.79999999999"/>
    <n v="9040"/>
    <n v="35849.5"/>
    <x v="72"/>
    <n v="221876.22099999999"/>
    <n v="52217.815000000002"/>
    <n v="52277.754999999997"/>
    <n v="208957.785"/>
    <n v="494908.14999999997"/>
    <n v="3865900.8839999996"/>
    <x v="3"/>
  </r>
  <r>
    <s v="DANGOTE CEMENT SENEGAL"/>
    <s v="THIES"/>
    <x v="2"/>
    <n v="1255321"/>
    <n v="356070"/>
    <n v="0"/>
    <n v="17457"/>
    <n v="6072"/>
    <x v="73"/>
    <n v="13736586"/>
    <n v="0"/>
    <n v="1047760"/>
    <n v="277062"/>
    <n v="1600006"/>
    <n v="67201386"/>
    <x v="3"/>
  </r>
  <r>
    <s v="ENTREPRISE OUSMANE SOW"/>
    <s v="THIES"/>
    <x v="17"/>
    <n v="24230.25"/>
    <n v="0"/>
    <n v="0"/>
    <n v="0"/>
    <n v="0"/>
    <x v="74"/>
    <n v="0"/>
    <n v="0"/>
    <n v="0"/>
    <n v="0"/>
    <n v="24230.25"/>
    <n v="96921"/>
    <x v="3"/>
  </r>
  <r>
    <s v="ENTREPRISE OUSMANE SOW"/>
    <s v="THIES"/>
    <x v="18"/>
    <n v="1052"/>
    <n v="0"/>
    <n v="0"/>
    <n v="0"/>
    <n v="0"/>
    <x v="75"/>
    <n v="0"/>
    <n v="0"/>
    <n v="0"/>
    <n v="0"/>
    <n v="1052"/>
    <n v="526000"/>
    <x v="3"/>
  </r>
  <r>
    <s v="GH MINING SARL"/>
    <s v="TAMBACOUNDA"/>
    <x v="3"/>
    <n v="0"/>
    <n v="9396"/>
    <n v="0"/>
    <n v="1460"/>
    <n v="1300"/>
    <x v="38"/>
    <n v="518248"/>
    <n v="0"/>
    <n v="43800"/>
    <n v="37434"/>
    <n v="9236"/>
    <n v="511882"/>
    <x v="3"/>
  </r>
  <r>
    <s v="BMCC SA"/>
    <s v="DIOURBEL"/>
    <x v="0"/>
    <n v="204"/>
    <n v="52576"/>
    <n v="549"/>
    <n v="2057"/>
    <n v="549"/>
    <x v="76"/>
    <n v="1597344.925"/>
    <n v="0"/>
    <n v="60721.833333333336"/>
    <n v="16679.518484194312"/>
    <n v="51272"/>
    <n v="1559324.6101508611"/>
    <x v="3"/>
  </r>
  <r>
    <s v="GECAMINES"/>
    <s v="THIES"/>
    <x v="15"/>
    <n v="515077"/>
    <n v="0"/>
    <n v="0"/>
    <n v="0"/>
    <n v="0"/>
    <x v="77"/>
    <n v="0"/>
    <n v="0"/>
    <n v="0"/>
    <n v="0"/>
    <n v="515077"/>
    <n v="1576265.5989999999"/>
    <x v="3"/>
  </r>
  <r>
    <s v="GECAMINES"/>
    <s v="THIES"/>
    <x v="1"/>
    <n v="1913900"/>
    <n v="0"/>
    <n v="0"/>
    <n v="0"/>
    <n v="0"/>
    <x v="78"/>
    <n v="0"/>
    <n v="0"/>
    <n v="0"/>
    <n v="0"/>
    <n v="1913900"/>
    <n v="14234797.033"/>
    <x v="3"/>
  </r>
  <r>
    <s v="GLOBAL IMMO SENEGAL SARL"/>
    <s v="THIES"/>
    <x v="14"/>
    <n v="180166"/>
    <n v="0"/>
    <n v="0"/>
    <n v="0"/>
    <n v="0"/>
    <x v="79"/>
    <n v="0"/>
    <n v="0"/>
    <n v="0"/>
    <n v="0"/>
    <n v="180166"/>
    <n v="123665"/>
    <x v="3"/>
  </r>
  <r>
    <s v="GRANDE COTE OPERATIONS SA"/>
    <s v="THIES"/>
    <x v="5"/>
    <n v="0"/>
    <n v="556405.92000000004"/>
    <n v="0"/>
    <n v="44829"/>
    <n v="31485"/>
    <x v="38"/>
    <n v="78636154.920000002"/>
    <n v="0"/>
    <n v="3409691"/>
    <n v="2176655"/>
    <n v="543061.92000000004"/>
    <n v="77403118.920000002"/>
    <x v="3"/>
  </r>
  <r>
    <s v="GRANDE COTE OPERATIONS SA"/>
    <s v="THIES"/>
    <x v="4"/>
    <n v="0"/>
    <n v="90198.73"/>
    <n v="0"/>
    <n v="8042"/>
    <n v="8549"/>
    <x v="38"/>
    <n v="61742607.299999997"/>
    <n v="0"/>
    <n v="1255684"/>
    <n v="1516900"/>
    <n v="90705.73"/>
    <n v="62003823.299999997"/>
    <x v="3"/>
  </r>
  <r>
    <s v="GRANDE COTE OPERATIONS SA"/>
    <s v="THIES"/>
    <x v="6"/>
    <n v="0"/>
    <n v="4462"/>
    <n v="0"/>
    <n v="65"/>
    <n v="34"/>
    <x v="38"/>
    <n v="3629678"/>
    <n v="0"/>
    <n v="23395"/>
    <n v="12483"/>
    <n v="4431"/>
    <n v="3618766"/>
    <x v="3"/>
  </r>
  <r>
    <s v="GRANDE COTE OPERATIONS SA"/>
    <s v="THIES"/>
    <x v="7"/>
    <n v="0"/>
    <n v="6960"/>
    <n v="0"/>
    <n v="50"/>
    <n v="75"/>
    <x v="38"/>
    <n v="3595901"/>
    <n v="0"/>
    <n v="12605"/>
    <n v="19731"/>
    <n v="6985"/>
    <n v="3603027"/>
    <x v="3"/>
  </r>
  <r>
    <s v="GROUPEMENT D'ENTREPRISE SINTRAM HOUAR"/>
    <s v="THIES"/>
    <x v="1"/>
    <n v="115833"/>
    <n v="0"/>
    <n v="0"/>
    <n v="0"/>
    <n v="0"/>
    <x v="80"/>
    <n v="0"/>
    <n v="0"/>
    <n v="0"/>
    <n v="0"/>
    <n v="115833"/>
    <n v="405223"/>
    <x v="3"/>
  </r>
  <r>
    <s v="INCA SARL"/>
    <s v="THIES"/>
    <x v="15"/>
    <n v="76581"/>
    <n v="0"/>
    <n v="0"/>
    <n v="0"/>
    <n v="0"/>
    <x v="81"/>
    <n v="0"/>
    <n v="0"/>
    <n v="0"/>
    <n v="0"/>
    <n v="76581"/>
    <n v="362770"/>
    <x v="3"/>
  </r>
  <r>
    <s v="INDUSTRIE CHIMIQUES DU SENEGAL / INDORAMA"/>
    <s v="THIES"/>
    <x v="8"/>
    <n v="75161"/>
    <n v="115148"/>
    <n v="0"/>
    <n v="62669"/>
    <n v="31084"/>
    <x v="82"/>
    <n v="30336436"/>
    <n v="0"/>
    <n v="10928441"/>
    <n v="7024386"/>
    <n v="158724"/>
    <n v="44665289"/>
    <x v="3"/>
  </r>
  <r>
    <s v="INDUSTRIE CHIMIQUES DU SENEGAL / INDORAMA"/>
    <s v="THIES"/>
    <x v="9"/>
    <n v="7.48"/>
    <n v="497897.07"/>
    <n v="0"/>
    <n v="48183"/>
    <n v="56345"/>
    <x v="83"/>
    <n v="292017387"/>
    <n v="0"/>
    <n v="10659636"/>
    <n v="16652848"/>
    <n v="506066.55000000005"/>
    <n v="298015592"/>
    <x v="3"/>
  </r>
  <r>
    <s v="INDUSTRIE CHIMIQUES DU SENEGAL / INDORAMA"/>
    <s v="THIES"/>
    <x v="0"/>
    <n v="0"/>
    <n v="0"/>
    <n v="0"/>
    <m/>
    <m/>
    <x v="4"/>
    <m/>
    <m/>
    <m/>
    <m/>
    <m/>
    <m/>
    <x v="3"/>
  </r>
  <r>
    <s v="KUTLU GABANE HOLDING S.A"/>
    <s v="THIES"/>
    <x v="1"/>
    <n v="108754.77"/>
    <n v="0"/>
    <n v="0"/>
    <n v="0"/>
    <n v="0"/>
    <x v="84"/>
    <n v="0"/>
    <n v="0"/>
    <n v="0"/>
    <n v="0"/>
    <n v="108754.77"/>
    <n v="846434.70957999991"/>
    <x v="3"/>
  </r>
  <r>
    <s v="PETOWAL MINING COMPANY (PMC) SA"/>
    <s v="KEDOUGOU"/>
    <x v="10"/>
    <n v="0"/>
    <n v="3.9935"/>
    <n v="0"/>
    <n v="0.1857"/>
    <n v="0.1396"/>
    <x v="38"/>
    <n v="123373492"/>
    <n v="0"/>
    <n v="3100100"/>
    <n v="2874527"/>
    <n v="3.9473999999999996"/>
    <n v="123147919"/>
    <x v="3"/>
  </r>
  <r>
    <s v="PETOWAL MINING COMPANY (PMC) SA"/>
    <s v="KEDOUGOU"/>
    <x v="11"/>
    <n v="0"/>
    <n v="0.28789999999999999"/>
    <n v="0"/>
    <n v="0"/>
    <n v="0"/>
    <x v="38"/>
    <n v="129693"/>
    <n v="0"/>
    <n v="0"/>
    <n v="0"/>
    <n v="0.28789999999999999"/>
    <n v="129693"/>
    <x v="3"/>
  </r>
  <r>
    <s v="PROCHIMAT SA"/>
    <s v="THIES"/>
    <x v="12"/>
    <n v="1212"/>
    <n v="6220"/>
    <n v="0"/>
    <n v="1387"/>
    <n v="3794"/>
    <x v="85"/>
    <n v="422505"/>
    <n v="0"/>
    <n v="0"/>
    <n v="0"/>
    <n v="9839"/>
    <n v="510364"/>
    <x v="3"/>
  </r>
  <r>
    <s v="SABODALA GOLD OPERATIONS SA"/>
    <s v="KEDOUGOU"/>
    <x v="10"/>
    <n v="0.28000000000000003"/>
    <n v="11.88"/>
    <n v="0"/>
    <n v="0"/>
    <n v="0.03"/>
    <x v="86"/>
    <n v="381693870"/>
    <n v="0"/>
    <n v="3897644"/>
    <n v="270891"/>
    <n v="12.19"/>
    <n v="387112350"/>
    <x v="3"/>
  </r>
  <r>
    <s v="SABODALA GOLD OPERATIONS SA"/>
    <s v="KEDOUGOU"/>
    <x v="11"/>
    <n v="0"/>
    <n v="1.03"/>
    <n v="0"/>
    <n v="0"/>
    <n v="0"/>
    <x v="38"/>
    <n v="453061"/>
    <n v="0"/>
    <n v="0"/>
    <n v="0"/>
    <n v="1.03"/>
    <n v="453061"/>
    <x v="3"/>
  </r>
  <r>
    <s v="SENEGAL MINES SA"/>
    <s v="THIES"/>
    <x v="12"/>
    <n v="0"/>
    <n v="9730.6"/>
    <n v="0"/>
    <n v="4066"/>
    <n v="2394.65"/>
    <x v="38"/>
    <n v="320273.32299999997"/>
    <n v="0"/>
    <n v="113061.57962"/>
    <n v="67586.732999999993"/>
    <n v="8059.25"/>
    <n v="274798.47637999995"/>
    <x v="3"/>
  </r>
  <r>
    <s v="SENEGAL MINES SA"/>
    <s v="THIES"/>
    <x v="13"/>
    <n v="0"/>
    <n v="15363.21"/>
    <n v="0"/>
    <n v="1360.0800000000002"/>
    <n v="4985.04"/>
    <x v="38"/>
    <n v="134354.48000000001"/>
    <n v="0"/>
    <n v="59275.030999999995"/>
    <n v="262857.89300000004"/>
    <n v="18988.169999999998"/>
    <n v="337937.34200000006"/>
    <x v="3"/>
  </r>
  <r>
    <s v="SENEGINDIA SA"/>
    <s v="THIES"/>
    <x v="14"/>
    <n v="260025.30000000002"/>
    <n v="0"/>
    <n v="0"/>
    <n v="0"/>
    <n v="0"/>
    <x v="87"/>
    <n v="0"/>
    <n v="0"/>
    <n v="0"/>
    <n v="0"/>
    <n v="260025.30000000002"/>
    <n v="806018.06200000003"/>
    <x v="3"/>
  </r>
  <r>
    <s v="SEPHOS SENEGAL SA"/>
    <s v="THIES"/>
    <x v="0"/>
    <n v="2662"/>
    <n v="98287"/>
    <n v="0"/>
    <n v="11073"/>
    <n v="11363"/>
    <x v="88"/>
    <n v="4171423"/>
    <n v="0"/>
    <n v="310919"/>
    <n v="484143"/>
    <n v="101239"/>
    <n v="4474320"/>
    <x v="3"/>
  </r>
  <r>
    <s v="SOCIETE DE CONCASSAGE ET DU BETON (SOCOBE)"/>
    <s v="THIES"/>
    <x v="14"/>
    <n v="90213"/>
    <n v="0"/>
    <n v="0"/>
    <n v="82399"/>
    <n v="133333"/>
    <x v="89"/>
    <n v="0"/>
    <n v="0"/>
    <n v="0"/>
    <n v="0"/>
    <n v="141147"/>
    <n v="586384"/>
    <x v="3"/>
  </r>
  <r>
    <s v="SOCIETE MINIERE DE LA VALLEE DU FLEUVE SENEGAL –SOMIVA"/>
    <s v="MATAM"/>
    <x v="0"/>
    <n v="165000"/>
    <n v="412000"/>
    <n v="0"/>
    <n v="1095627"/>
    <n v="699456"/>
    <x v="90"/>
    <n v="17797207"/>
    <n v="0"/>
    <n v="42867560.344277054"/>
    <n v="27548380.057752427"/>
    <n v="180829"/>
    <n v="8450504.7134753726"/>
    <x v="3"/>
  </r>
  <r>
    <s v="SOCIETE SENEGALAISE DES PHOSPHATES DE THIES (SSPT)"/>
    <s v="THIES"/>
    <x v="12"/>
    <n v="4211.25"/>
    <n v="166639.63"/>
    <n v="170850.88"/>
    <n v="0"/>
    <n v="4688.6899999999996"/>
    <x v="91"/>
    <n v="7339904"/>
    <n v="7551096"/>
    <n v="0"/>
    <n v="62020"/>
    <n v="175539.57"/>
    <n v="7613116"/>
    <x v="3"/>
  </r>
  <r>
    <s v="SOCIETE SENEGALAISE DES PHOSPHATES DE THIES (SSPT)"/>
    <s v="THIES"/>
    <x v="0"/>
    <n v="519.04999999999995"/>
    <n v="0"/>
    <n v="519.04999999999995"/>
    <n v="0"/>
    <n v="313.58"/>
    <x v="92"/>
    <n v="0"/>
    <n v="32576"/>
    <n v="0"/>
    <n v="11615"/>
    <n v="832.62999999999988"/>
    <n v="44191"/>
    <x v="3"/>
  </r>
  <r>
    <s v="TALIX-MINES"/>
    <s v="THIES"/>
    <x v="1"/>
    <n v="263233"/>
    <n v="8030"/>
    <n v="0"/>
    <n v="0"/>
    <n v="0"/>
    <x v="93"/>
    <n v="73700"/>
    <n v="0"/>
    <n v="0"/>
    <n v="0"/>
    <n v="271263"/>
    <n v="2387478"/>
    <x v="3"/>
  </r>
  <r>
    <s v="TANOR SAS"/>
    <s v="THIES"/>
    <x v="14"/>
    <n v="131316"/>
    <n v="0"/>
    <n v="0"/>
    <n v="5340"/>
    <n v="0"/>
    <x v="94"/>
    <n v="0"/>
    <n v="0"/>
    <n v="31677"/>
    <n v="0"/>
    <n v="125976"/>
    <n v="747289"/>
    <x v="3"/>
  </r>
  <r>
    <s v="VAPROM AFRICA SA"/>
    <s v="THIES"/>
    <x v="15"/>
    <n v="499879"/>
    <n v="0"/>
    <n v="0"/>
    <n v="0"/>
    <n v="0"/>
    <x v="95"/>
    <n v="0"/>
    <n v="0"/>
    <n v="0"/>
    <n v="0"/>
    <n v="499879"/>
    <n v="499879"/>
    <x v="3"/>
  </r>
  <r>
    <s v="AFRICAN INVESTMENT GROUP SA"/>
    <s v="SAINT-LOUIS"/>
    <x v="16"/>
    <n v="1812.1"/>
    <n v="0"/>
    <n v="0"/>
    <n v="0"/>
    <n v="0"/>
    <x v="96"/>
    <n v="0"/>
    <n v="0"/>
    <n v="0"/>
    <n v="0"/>
    <n v="1812.1"/>
    <n v="204879"/>
    <x v="3"/>
  </r>
  <r>
    <s v="COMPAGNIE GENERALE D'EXPLOITATION DE CARRIERE (COGECA)"/>
    <s v="THIES"/>
    <x v="15"/>
    <n v="23164"/>
    <m/>
    <m/>
    <m/>
    <m/>
    <x v="42"/>
    <m/>
    <m/>
    <m/>
    <m/>
    <n v="23164"/>
    <n v="156903"/>
    <x v="3"/>
  </r>
  <r>
    <s v="COMPAGNIE GENERALE D'EXPLOITATION DE CARRIERE (COGECA)"/>
    <s v="THIES"/>
    <x v="1"/>
    <n v="1821000"/>
    <m/>
    <m/>
    <m/>
    <m/>
    <x v="97"/>
    <m/>
    <m/>
    <m/>
    <m/>
    <n v="1821000"/>
    <n v="15023250"/>
    <x v="3"/>
  </r>
  <r>
    <s v="ROYAL SENEGAL MINES ET EQUIPEMENTS"/>
    <s v="THIES"/>
    <x v="15"/>
    <n v="78637"/>
    <m/>
    <m/>
    <m/>
    <m/>
    <x v="98"/>
    <m/>
    <m/>
    <m/>
    <m/>
    <n v="78637"/>
    <n v="357436.51"/>
    <x v="3"/>
  </r>
  <r>
    <s v="SODEVCO"/>
    <s v="THIES"/>
    <x v="15"/>
    <n v="30124"/>
    <m/>
    <m/>
    <m/>
    <m/>
    <x v="99"/>
    <m/>
    <m/>
    <m/>
    <m/>
    <n v="30124"/>
    <n v="136927.5"/>
    <x v="3"/>
  </r>
  <r>
    <s v="GAZAL CARRIERES SUARL"/>
    <s v="THIES"/>
    <x v="15"/>
    <n v="37181"/>
    <m/>
    <m/>
    <m/>
    <m/>
    <x v="100"/>
    <m/>
    <m/>
    <m/>
    <m/>
    <n v="37181"/>
    <n v="169000"/>
    <x v="3"/>
  </r>
  <r>
    <s v="ENTREPRISE MAPATHE NDIOUCK SA"/>
    <s v="THIES"/>
    <x v="14"/>
    <n v="24780.86"/>
    <m/>
    <m/>
    <m/>
    <m/>
    <x v="101"/>
    <m/>
    <m/>
    <m/>
    <m/>
    <n v="24780.86"/>
    <n v="223616.46899999998"/>
    <x v="3"/>
  </r>
  <r>
    <s v="ENTREPRISE MAPATHE NDIOUCK SA"/>
    <s v="TAMBACOUNDA"/>
    <x v="17"/>
    <n v="62201"/>
    <n v="0"/>
    <m/>
    <m/>
    <m/>
    <x v="102"/>
    <m/>
    <m/>
    <m/>
    <m/>
    <n v="62201"/>
    <n v="477353.10800000001"/>
    <x v="3"/>
  </r>
  <r>
    <s v="SOCOCIM INDUSTRIES"/>
    <s v="DAKAR"/>
    <x v="2"/>
    <n v="3023537.5649999999"/>
    <n v="377872.32"/>
    <n v="0"/>
    <n v="17302"/>
    <n v="13976"/>
    <x v="103"/>
    <n v="15503281"/>
    <m/>
    <n v="751572"/>
    <n v="606173"/>
    <n v="3398083.8849999998"/>
    <n v="147381874"/>
    <x v="3"/>
  </r>
  <r>
    <s v="SOCOCIM INDUSTRIES"/>
    <s v="DAKAR"/>
    <x v="19"/>
    <n v="0"/>
    <n v="341082.58"/>
    <m/>
    <n v="36358.879999999997"/>
    <n v="2026.3"/>
    <x v="38"/>
    <n v="8910597"/>
    <m/>
    <n v="1163484"/>
    <n v="52936"/>
    <n v="306750"/>
    <n v="7800049"/>
    <x v="3"/>
  </r>
  <r>
    <s v="2SBCI"/>
    <s v="THIES"/>
    <x v="15"/>
    <n v="85030"/>
    <n v="0"/>
    <n v="0"/>
    <n v="0"/>
    <n v="0"/>
    <x v="104"/>
    <n v="0"/>
    <n v="0"/>
    <n v="0"/>
    <n v="0"/>
    <n v="85030"/>
    <n v="306017.57"/>
    <x v="4"/>
  </r>
  <r>
    <s v="AFRIGOLD SARL"/>
    <s v="KEDOUGOU"/>
    <x v="10"/>
    <n v="4.8469999999999999E-2"/>
    <n v="0"/>
    <n v="0"/>
    <n v="0"/>
    <n v="0"/>
    <x v="105"/>
    <n v="0"/>
    <n v="0"/>
    <n v="0"/>
    <n v="0"/>
    <n v="4.8469999999999999E-2"/>
    <n v="1614476"/>
    <x v="4"/>
  </r>
  <r>
    <s v="ALBINA SENEGAL SARL"/>
    <s v="THIES"/>
    <x v="15"/>
    <n v="95809.5"/>
    <n v="0"/>
    <n v="0"/>
    <n v="0"/>
    <n v="0"/>
    <x v="106"/>
    <n v="0"/>
    <n v="0"/>
    <n v="0"/>
    <n v="0"/>
    <n v="95809.5"/>
    <n v="205720.2"/>
    <x v="4"/>
  </r>
  <r>
    <s v="ATIC SARL"/>
    <s v="THIES"/>
    <x v="14"/>
    <n v="44624"/>
    <n v="0"/>
    <n v="0"/>
    <n v="0"/>
    <n v="0"/>
    <x v="107"/>
    <n v="0"/>
    <n v="0"/>
    <n v="0"/>
    <n v="0"/>
    <n v="44624"/>
    <n v="334686"/>
    <x v="4"/>
  </r>
  <r>
    <s v="BMCC SA"/>
    <s v="DIOURBEL"/>
    <x v="0"/>
    <n v="2595"/>
    <n v="49105"/>
    <n v="0"/>
    <n v="549"/>
    <n v="26601"/>
    <x v="108"/>
    <n v="2483353"/>
    <n v="0"/>
    <n v="13445"/>
    <n v="1346446"/>
    <n v="77752"/>
    <n v="3965606"/>
    <x v="4"/>
  </r>
  <r>
    <s v="BOSFOR SARL"/>
    <s v="THIES"/>
    <x v="15"/>
    <n v="724174"/>
    <n v="0"/>
    <n v="738927"/>
    <n v="28407"/>
    <n v="43160"/>
    <x v="109"/>
    <n v="0"/>
    <n v="1894859"/>
    <n v="145413"/>
    <n v="153082"/>
    <n v="738927"/>
    <n v="1961820"/>
    <x v="4"/>
  </r>
  <r>
    <s v="LES CIMENTS DU SAHEL SA"/>
    <s v="THIES"/>
    <x v="2"/>
    <n v="2401500"/>
    <n v="1112412"/>
    <n v="23334"/>
    <n v="982"/>
    <n v="36378"/>
    <x v="110"/>
    <n v="51335300"/>
    <n v="1116653"/>
    <n v="32467"/>
    <n v="1565025"/>
    <n v="3549308"/>
    <n v="165481532"/>
    <x v="4"/>
  </r>
  <r>
    <s v="COMPAGNIE GENERALE D'EXPLOITATION DE CARRIERE (COGECA)"/>
    <s v="THIES"/>
    <x v="1"/>
    <n v="2224570"/>
    <n v="14394"/>
    <n v="0"/>
    <n v="539755.41666666663"/>
    <n v="543569.3055555555"/>
    <x v="111"/>
    <n v="107161"/>
    <n v="0"/>
    <n v="3886239"/>
    <n v="3913699"/>
    <n v="2242777.888888889"/>
    <n v="16195934"/>
    <x v="4"/>
  </r>
  <r>
    <s v="COMPAGNIE GENERALE D'EXPLOITATION DE CARRIERE (COGECA)"/>
    <s v="THIES"/>
    <x v="15"/>
    <n v="49375.204222222172"/>
    <m/>
    <m/>
    <m/>
    <m/>
    <x v="112"/>
    <m/>
    <m/>
    <m/>
    <m/>
    <n v="49375.204222222172"/>
    <n v="222188.41899999976"/>
    <x v="4"/>
  </r>
  <r>
    <s v="CSE GRANULATS"/>
    <s v="THIES"/>
    <x v="1"/>
    <n v="1236580.2"/>
    <n v="47949.86"/>
    <n v="1412149"/>
    <n v="78819"/>
    <n v="61383"/>
    <x v="113"/>
    <n v="390487.02299999999"/>
    <n v="55066154"/>
    <n v="634703.07899999991"/>
    <n v="436646.15700000001"/>
    <n v="1267094.06"/>
    <n v="8803478.8279999997"/>
    <x v="4"/>
  </r>
  <r>
    <s v="DANGOTE CEMENT SENEGAL"/>
    <s v="THIES"/>
    <x v="2"/>
    <n v="842075"/>
    <n v="208646"/>
    <n v="0"/>
    <n v="6073"/>
    <n v="27266"/>
    <x v="114"/>
    <n v="8959179"/>
    <n v="0"/>
    <n v="184722"/>
    <n v="1063760"/>
    <n v="1071914"/>
    <n v="49466184"/>
    <x v="4"/>
  </r>
  <r>
    <s v="DIYAN EXPLOITATION MINIERE SUARL"/>
    <s v="THIES"/>
    <x v="14"/>
    <m/>
    <m/>
    <m/>
    <m/>
    <m/>
    <x v="4"/>
    <m/>
    <m/>
    <m/>
    <m/>
    <n v="0"/>
    <n v="0"/>
    <x v="4"/>
  </r>
  <r>
    <s v="ENTREPRISE MAPATHE NDIOUCK SA"/>
    <s v="THIES"/>
    <x v="14"/>
    <n v="45433"/>
    <m/>
    <m/>
    <n v="1935"/>
    <m/>
    <x v="115"/>
    <m/>
    <m/>
    <n v="17185.136999999999"/>
    <m/>
    <n v="43498"/>
    <n v="386314.78200000001"/>
    <x v="4"/>
  </r>
  <r>
    <s v="ENTREPRISE MAPATHE NDIOUCK SA"/>
    <s v="TAMBACOUNDA"/>
    <x v="17"/>
    <n v="62201"/>
    <m/>
    <m/>
    <m/>
    <m/>
    <x v="102"/>
    <m/>
    <m/>
    <m/>
    <m/>
    <n v="62201"/>
    <n v="477353.10800000001"/>
    <x v="4"/>
  </r>
  <r>
    <s v="ENTREPRISE OUSMANE SOW"/>
    <s v="THIES"/>
    <x v="17"/>
    <n v="17610"/>
    <m/>
    <m/>
    <m/>
    <m/>
    <x v="116"/>
    <m/>
    <m/>
    <m/>
    <m/>
    <n v="17610"/>
    <n v="99050.709999999992"/>
    <x v="4"/>
  </r>
  <r>
    <s v="ENTREPRISE OUSMANE SOW"/>
    <s v="THIES"/>
    <x v="18"/>
    <m/>
    <m/>
    <m/>
    <m/>
    <m/>
    <x v="4"/>
    <m/>
    <m/>
    <m/>
    <m/>
    <n v="0"/>
    <n v="0"/>
    <x v="4"/>
  </r>
  <r>
    <s v="GH MINING SARL"/>
    <s v="TAMBACOUNDA"/>
    <x v="3"/>
    <n v="0"/>
    <n v="31093.338"/>
    <n v="0"/>
    <n v="1300"/>
    <n v="6297.5119999999997"/>
    <x v="38"/>
    <n v="1263388"/>
    <n v="0"/>
    <n v="0"/>
    <n v="0"/>
    <n v="36090.85"/>
    <n v="1263388"/>
    <x v="4"/>
  </r>
  <r>
    <s v="GAZAL CARRIERES SUARL"/>
    <s v="THIES"/>
    <x v="15"/>
    <n v="117568"/>
    <n v="0"/>
    <n v="0"/>
    <n v="0"/>
    <n v="0"/>
    <x v="117"/>
    <n v="0"/>
    <n v="0"/>
    <n v="0"/>
    <n v="0"/>
    <n v="117568"/>
    <n v="534400"/>
    <x v="4"/>
  </r>
  <r>
    <s v="GECAMINES"/>
    <s v="THIES"/>
    <x v="15"/>
    <n v="555529"/>
    <m/>
    <n v="0"/>
    <n v="0"/>
    <n v="0"/>
    <x v="118"/>
    <m/>
    <n v="0"/>
    <m/>
    <m/>
    <n v="555529"/>
    <n v="2396041"/>
    <x v="4"/>
  </r>
  <r>
    <s v="GECAMINES"/>
    <s v="THIES"/>
    <x v="1"/>
    <n v="2306764"/>
    <n v="93421"/>
    <n v="0"/>
    <n v="0"/>
    <n v="0"/>
    <x v="119"/>
    <n v="736942"/>
    <n v="0"/>
    <n v="3677029"/>
    <n v="3043077"/>
    <n v="2400185"/>
    <n v="17330596"/>
    <x v="4"/>
  </r>
  <r>
    <s v="GLOBAL IMMO SENEGAL SARL"/>
    <s v="THIES"/>
    <x v="14"/>
    <n v="292997"/>
    <m/>
    <m/>
    <m/>
    <m/>
    <x v="120"/>
    <m/>
    <m/>
    <m/>
    <m/>
    <n v="292997"/>
    <n v="2137633.4270000001"/>
    <x v="4"/>
  </r>
  <r>
    <s v="GRANDE COTE OPERATIONS SA"/>
    <s v="THIES"/>
    <x v="5"/>
    <n v="0"/>
    <n v="526747"/>
    <n v="0"/>
    <n v="31485"/>
    <n v="2498"/>
    <x v="38"/>
    <n v="109536232"/>
    <n v="0"/>
    <n v="2176655"/>
    <n v="217218"/>
    <n v="497760"/>
    <n v="107576795"/>
    <x v="4"/>
  </r>
  <r>
    <s v="GRANDE COTE OPERATIONS SA"/>
    <s v="THIES"/>
    <x v="4"/>
    <n v="0"/>
    <n v="90745"/>
    <n v="0"/>
    <n v="8549"/>
    <n v="1869"/>
    <x v="38"/>
    <n v="88151983"/>
    <n v="0"/>
    <n v="1516900"/>
    <n v="334527"/>
    <n v="84065"/>
    <n v="86969610"/>
    <x v="4"/>
  </r>
  <r>
    <s v="GRANDE COTE OPERATIONS SA"/>
    <s v="THIES"/>
    <x v="6"/>
    <n v="0"/>
    <n v="4160"/>
    <n v="0"/>
    <n v="34"/>
    <n v="77"/>
    <x v="38"/>
    <n v="5290813"/>
    <n v="0"/>
    <n v="12483"/>
    <n v="35816"/>
    <n v="4203"/>
    <n v="5314146"/>
    <x v="4"/>
  </r>
  <r>
    <s v="GRANDE COTE OPERATIONS SA"/>
    <s v="THIES"/>
    <x v="7"/>
    <n v="0"/>
    <n v="6340"/>
    <n v="0"/>
    <n v="75"/>
    <n v="19"/>
    <x v="38"/>
    <n v="5532815"/>
    <n v="0"/>
    <n v="19731"/>
    <n v="6682"/>
    <n v="6284"/>
    <n v="5519766"/>
    <x v="4"/>
  </r>
  <r>
    <s v="GROUPEMENT D'ENTREPRISE SINTRAM HOUAR"/>
    <s v="THIES"/>
    <x v="1"/>
    <n v="53521"/>
    <n v="0"/>
    <n v="0"/>
    <n v="0"/>
    <n v="0"/>
    <x v="121"/>
    <n v="0"/>
    <n v="0"/>
    <n v="0"/>
    <n v="0"/>
    <n v="53521"/>
    <n v="182334"/>
    <x v="4"/>
  </r>
  <r>
    <s v="INCA SARL"/>
    <s v="THIES"/>
    <x v="15"/>
    <m/>
    <m/>
    <m/>
    <m/>
    <m/>
    <x v="4"/>
    <m/>
    <m/>
    <m/>
    <m/>
    <n v="0"/>
    <n v="0"/>
    <x v="4"/>
  </r>
  <r>
    <s v="INDUSTRIE CHIMIQUES DU SENEGAL / INDORAMA"/>
    <s v="THIES"/>
    <x v="0"/>
    <n v="0"/>
    <n v="0"/>
    <n v="0"/>
    <n v="180608"/>
    <n v="33590"/>
    <x v="38"/>
    <n v="0"/>
    <n v="0"/>
    <n v="4946108"/>
    <n v="1053777"/>
    <n v="147018"/>
    <n v="3892331"/>
    <x v="4"/>
  </r>
  <r>
    <s v="INDUSTRIE CHIMIQUES DU SENEGAL / INDORAMA"/>
    <s v="THIES"/>
    <x v="9"/>
    <n v="7"/>
    <n v="558410"/>
    <n v="0"/>
    <n v="56345"/>
    <n v="43178"/>
    <x v="122"/>
    <n v="533842674"/>
    <n v="0"/>
    <n v="16652848"/>
    <n v="18650398"/>
    <n v="545250"/>
    <n v="535846513"/>
    <x v="4"/>
  </r>
  <r>
    <s v="INDUSTRIE CHIMIQUES DU SENEGAL / INDORAMA"/>
    <s v="THIES"/>
    <x v="8"/>
    <n v="76545"/>
    <n v="12318"/>
    <n v="0"/>
    <n v="31084"/>
    <n v="25222"/>
    <x v="123"/>
    <n v="3328965"/>
    <n v="0"/>
    <n v="7024386"/>
    <n v="6142778"/>
    <n v="83001"/>
    <n v="30021383"/>
    <x v="4"/>
  </r>
  <r>
    <s v="KUTLU GABANE HOLDING S.A"/>
    <s v="THIES"/>
    <x v="1"/>
    <n v="117925.4"/>
    <n v="0"/>
    <n v="0"/>
    <n v="0"/>
    <n v="0"/>
    <x v="124"/>
    <n v="0"/>
    <n v="0"/>
    <n v="0"/>
    <n v="0"/>
    <n v="117925.4"/>
    <n v="963311.8"/>
    <x v="4"/>
  </r>
  <r>
    <s v="PETOWAL MINING COMPANY (PMC) SA"/>
    <s v="KEDOUGOU"/>
    <x v="11"/>
    <m/>
    <n v="0.35442419082079996"/>
    <m/>
    <m/>
    <m/>
    <x v="4"/>
    <n v="152394.41110219501"/>
    <m/>
    <m/>
    <m/>
    <n v="0.35442419082079996"/>
    <n v="152394.41110219501"/>
    <x v="4"/>
  </r>
  <r>
    <s v="PETOWAL MINING COMPANY (PMC) SA"/>
    <s v="KEDOUGOU"/>
    <x v="10"/>
    <n v="0"/>
    <n v="4.0319337419999997"/>
    <n v="0"/>
    <n v="0.1397475762"/>
    <n v="0.12304505040000001"/>
    <x v="38"/>
    <n v="147862816"/>
    <n v="0"/>
    <n v="2874527"/>
    <n v="2730952"/>
    <n v="4.0152312162000001"/>
    <n v="147719241"/>
    <x v="4"/>
  </r>
  <r>
    <s v="PROCHIMAT SA"/>
    <s v="THIES"/>
    <x v="12"/>
    <n v="1775"/>
    <n v="9235"/>
    <m/>
    <n v="309"/>
    <n v="240"/>
    <x v="125"/>
    <n v="619644.00199999998"/>
    <m/>
    <n v="2096.2280000000001"/>
    <n v="34922.894"/>
    <n v="10941"/>
    <n v="782377.66799999995"/>
    <x v="4"/>
  </r>
  <r>
    <s v="ROYAL SENEGAL MINES ET EQUIPEMENTS"/>
    <s v="THIES"/>
    <x v="15"/>
    <n v="57288"/>
    <n v="0"/>
    <n v="0"/>
    <n v="0"/>
    <n v="0"/>
    <x v="126"/>
    <n v="0"/>
    <n v="0"/>
    <n v="0"/>
    <n v="0"/>
    <n v="57288"/>
    <n v="260400"/>
    <x v="4"/>
  </r>
  <r>
    <s v="SABODALA GOLD OPERATIONS SA"/>
    <s v="KEDOUGOU"/>
    <x v="10"/>
    <n v="0.25"/>
    <n v="10.64"/>
    <n v="0"/>
    <n v="0.3"/>
    <n v="0.27"/>
    <x v="127"/>
    <n v="383558467"/>
    <n v="0"/>
    <n v="1055660"/>
    <n v="2080075"/>
    <n v="10.86"/>
    <n v="393611120"/>
    <x v="4"/>
  </r>
  <r>
    <s v="SABODALA GOLD OPERATIONS SA"/>
    <s v="KEDOUGOU"/>
    <x v="11"/>
    <n v="0"/>
    <n v="0.85"/>
    <n v="0"/>
    <n v="0"/>
    <n v="0"/>
    <x v="38"/>
    <n v="374908"/>
    <n v="0"/>
    <n v="0"/>
    <n v="0"/>
    <n v="0.85"/>
    <n v="374908"/>
    <x v="4"/>
  </r>
  <r>
    <s v="SENEGAL MINES SA"/>
    <s v="THIES"/>
    <x v="13"/>
    <n v="0"/>
    <n v="20360"/>
    <m/>
    <n v="4985"/>
    <n v="1406"/>
    <x v="38"/>
    <n v="1335507"/>
    <m/>
    <n v="231267"/>
    <n v="85999"/>
    <n v="16781"/>
    <n v="1190239"/>
    <x v="4"/>
  </r>
  <r>
    <s v="SENEGAL MINES SA"/>
    <s v="THIES"/>
    <x v="12"/>
    <n v="80.14"/>
    <n v="9150"/>
    <m/>
    <n v="335"/>
    <n v="694"/>
    <x v="128"/>
    <n v="430330"/>
    <m/>
    <n v="60416"/>
    <n v="18195"/>
    <n v="9589.14"/>
    <n v="394454"/>
    <x v="4"/>
  </r>
  <r>
    <s v="SEN-HMC SUARL"/>
    <s v="SAINT-LOUIS"/>
    <x v="16"/>
    <n v="0"/>
    <n v="9099"/>
    <n v="0"/>
    <n v="0"/>
    <n v="0"/>
    <x v="38"/>
    <n v="2225609"/>
    <n v="0"/>
    <n v="0"/>
    <n v="0"/>
    <n v="9099"/>
    <n v="2225609"/>
    <x v="4"/>
  </r>
  <r>
    <s v="SEPHOS SENEGAL SA"/>
    <s v="THIES"/>
    <x v="0"/>
    <n v="3336"/>
    <n v="48907"/>
    <n v="0"/>
    <n v="11363"/>
    <n v="28472"/>
    <x v="129"/>
    <n v="4440523"/>
    <n v="0"/>
    <n v="484143"/>
    <n v="2489351"/>
    <n v="69352"/>
    <n v="6617167"/>
    <x v="4"/>
  </r>
  <r>
    <s v="SERIGNE SALIOU MBACKE SUARL"/>
    <s v="KEDOUGOU"/>
    <x v="10"/>
    <n v="2.3E-2"/>
    <n v="0"/>
    <n v="0"/>
    <n v="0"/>
    <n v="0"/>
    <x v="130"/>
    <n v="0"/>
    <n v="0"/>
    <n v="0"/>
    <n v="0"/>
    <n v="2.3E-2"/>
    <n v="460000"/>
    <x v="4"/>
  </r>
  <r>
    <s v="SOCIETE DE CONCASSAGE ET DU BETON (SOCOBE)"/>
    <s v="THIES"/>
    <x v="14"/>
    <n v="126962"/>
    <m/>
    <m/>
    <n v="133333"/>
    <n v="222979"/>
    <x v="131"/>
    <m/>
    <m/>
    <n v="315537"/>
    <n v="614319"/>
    <n v="216608"/>
    <n v="1240203"/>
    <x v="4"/>
  </r>
  <r>
    <s v="SOCIETE DE MANUFACTURE DE PRODUCTION INDUSTRIELLE DU SENEGAL (SOMAPIS)"/>
    <s v="THIES"/>
    <x v="14"/>
    <m/>
    <m/>
    <m/>
    <m/>
    <m/>
    <x v="4"/>
    <m/>
    <m/>
    <m/>
    <m/>
    <n v="0"/>
    <n v="0"/>
    <x v="4"/>
  </r>
  <r>
    <s v="SOCIETE MINIERE DE LA VALLEE DU FLEUVE SENEGAL –SOMIVA"/>
    <s v="MATAM"/>
    <x v="0"/>
    <n v="182602"/>
    <n v="366954"/>
    <n v="0"/>
    <n v="699456"/>
    <n v="944240"/>
    <x v="132"/>
    <n v="41075747.071000002"/>
    <n v="0"/>
    <n v="21455426"/>
    <n v="21864808"/>
    <n v="794340"/>
    <n v="56852361.011000007"/>
    <x v="4"/>
  </r>
  <r>
    <s v="SOCIETE SENEGALAISE DES PHOSPHATES DE THIES (SSPT)"/>
    <s v="THIES"/>
    <x v="12"/>
    <n v="4228"/>
    <n v="140727.69"/>
    <n v="144955.69"/>
    <n v="9285.33"/>
    <n v="9359"/>
    <x v="133"/>
    <n v="3353828"/>
    <n v="3564774"/>
    <n v="120726"/>
    <n v="71466"/>
    <n v="145029.36000000002"/>
    <n v="3525105"/>
    <x v="4"/>
  </r>
  <r>
    <s v="SOCOCIM INDUSTRIES"/>
    <s v="DAKAR"/>
    <x v="2"/>
    <n v="3192851.27"/>
    <n v="181550.87"/>
    <n v="0"/>
    <n v="13976"/>
    <n v="10269"/>
    <x v="134"/>
    <n v="8241341"/>
    <n v="0"/>
    <n v="606173"/>
    <n v="487189"/>
    <n v="3370695.14"/>
    <n v="159971636"/>
    <x v="4"/>
  </r>
  <r>
    <s v="SOCOCIM INDUSTRIES"/>
    <s v="DAKAR"/>
    <x v="19"/>
    <n v="0"/>
    <n v="13645.85"/>
    <n v="0"/>
    <n v="2026.3"/>
    <n v="10399.61"/>
    <x v="38"/>
    <n v="504795"/>
    <n v="0"/>
    <n v="52936"/>
    <n v="384708"/>
    <n v="22019.16"/>
    <n v="836567"/>
    <x v="4"/>
  </r>
  <r>
    <s v="SODEVCO"/>
    <s v="THIES"/>
    <x v="15"/>
    <n v="60940"/>
    <n v="0"/>
    <n v="0"/>
    <n v="0"/>
    <n v="0"/>
    <x v="135"/>
    <n v="0"/>
    <n v="0"/>
    <n v="0"/>
    <n v="0"/>
    <n v="60940"/>
    <n v="277000"/>
    <x v="4"/>
  </r>
  <r>
    <s v="SORED MINES SA"/>
    <s v="KEDOUGOU"/>
    <x v="10"/>
    <n v="0"/>
    <n v="0"/>
    <n v="0"/>
    <n v="0"/>
    <m/>
    <x v="4"/>
    <m/>
    <m/>
    <m/>
    <m/>
    <n v="0"/>
    <n v="0"/>
    <x v="4"/>
  </r>
  <r>
    <s v="SWAMI MINES SA"/>
    <s v="THIES"/>
    <x v="14"/>
    <n v="166196.60999999999"/>
    <n v="0"/>
    <n v="0"/>
    <n v="0"/>
    <n v="0"/>
    <x v="136"/>
    <m/>
    <m/>
    <m/>
    <m/>
    <n v="166196.60999999999"/>
    <n v="1321444.68"/>
    <x v="4"/>
  </r>
  <r>
    <s v="TALIX-MINES"/>
    <s v="THIES"/>
    <x v="1"/>
    <n v="263233"/>
    <n v="8030"/>
    <m/>
    <m/>
    <m/>
    <x v="137"/>
    <n v="73700"/>
    <m/>
    <m/>
    <m/>
    <n v="271263"/>
    <n v="2387540"/>
    <x v="4"/>
  </r>
  <r>
    <s v="TANOR SAS"/>
    <s v="THIES"/>
    <x v="14"/>
    <n v="120770"/>
    <n v="0"/>
    <n v="0"/>
    <n v="0"/>
    <n v="14.7"/>
    <x v="138"/>
    <n v="0"/>
    <n v="0"/>
    <n v="0"/>
    <n v="87200"/>
    <n v="120784.7"/>
    <n v="803605"/>
    <x v="4"/>
  </r>
  <r>
    <s v="CARRIERES ET SABLES"/>
    <s v="THIES"/>
    <x v="15"/>
    <n v="46944"/>
    <n v="0"/>
    <m/>
    <n v="0"/>
    <n v="0"/>
    <x v="139"/>
    <n v="0"/>
    <m/>
    <n v="0"/>
    <n v="0"/>
    <n v="46944"/>
    <n v="371976"/>
    <x v="4"/>
  </r>
  <r>
    <s v="VAPROM AFRICA SA"/>
    <s v="THIES"/>
    <x v="15"/>
    <n v="609343"/>
    <n v="0"/>
    <n v="0"/>
    <n v="0"/>
    <n v="0"/>
    <x v="140"/>
    <n v="0"/>
    <n v="0"/>
    <n v="0"/>
    <n v="0"/>
    <n v="609343"/>
    <n v="609343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9">
  <r>
    <s v="DANGOTE CEMENT SENEGAL"/>
    <x v="0"/>
    <n v="1830122"/>
    <n v="4966191"/>
    <n v="1830122"/>
    <x v="0"/>
    <s v="THIES"/>
  </r>
  <r>
    <s v="DANGOTE CEMENT SENEGAL"/>
    <x v="1"/>
    <n v="31521"/>
    <n v="95256"/>
    <n v="31521"/>
    <x v="0"/>
    <s v="THIES"/>
  </r>
  <r>
    <s v="DANGOTE CEMENT SENEGAL"/>
    <x v="2"/>
    <n v="50726"/>
    <n v="118983"/>
    <n v="50726"/>
    <x v="0"/>
    <s v="THIES"/>
  </r>
  <r>
    <s v="INDUSTRIE CHIMIQUES DU SENEGAL / INDORAMA"/>
    <x v="3"/>
    <n v="1782000"/>
    <n v="53312912"/>
    <n v="1782000"/>
    <x v="0"/>
    <m/>
  </r>
  <r>
    <s v="LES CIMENTS DU SAHEL SA"/>
    <x v="0"/>
    <n v="2558360"/>
    <n v="5372556"/>
    <n v="2558556"/>
    <x v="0"/>
    <m/>
  </r>
  <r>
    <s v="LES CIMENTS DU SAHEL SA"/>
    <x v="1"/>
    <n v="363579"/>
    <n v="1199811"/>
    <n v="363579"/>
    <x v="0"/>
    <s v="THIES"/>
  </r>
  <r>
    <s v="LES CIMENTS DU SAHEL SA"/>
    <x v="2"/>
    <n v="97426"/>
    <n v="292278"/>
    <n v="97426"/>
    <x v="0"/>
    <m/>
  </r>
  <r>
    <s v="SOCOCIM INDUSTRIES"/>
    <x v="0"/>
    <n v="1233461"/>
    <n v="2707447"/>
    <n v="1233461"/>
    <x v="0"/>
    <m/>
  </r>
  <r>
    <s v="SOCOCIM INDUSTRIES"/>
    <x v="4"/>
    <n v="1774882"/>
    <n v="3895866"/>
    <n v="1774882"/>
    <x v="0"/>
    <m/>
  </r>
  <r>
    <s v="DANGOTE CEMENT SENEGAL"/>
    <x v="0"/>
    <n v="1706082"/>
    <n v="4620070"/>
    <n v="1706082"/>
    <x v="1"/>
    <s v="THIES"/>
  </r>
  <r>
    <s v="DANGOTE CEMENT SENEGAL"/>
    <x v="1"/>
    <n v="31521"/>
    <n v="95256"/>
    <n v="31521"/>
    <x v="1"/>
    <s v="THIES"/>
  </r>
  <r>
    <s v="DANGOTE CEMENT SENEGAL"/>
    <x v="2"/>
    <n v="46778"/>
    <n v="112080"/>
    <n v="46778"/>
    <x v="1"/>
    <s v="THIES"/>
  </r>
  <r>
    <s v="INDUSTRIE CHIMIQUES DU SENEGAL / INDORAMA"/>
    <x v="3"/>
    <n v="1701437"/>
    <n v="52823568"/>
    <n v="1708529"/>
    <x v="1"/>
    <m/>
  </r>
  <r>
    <s v="LES CIMENTS DU SAHEL SA"/>
    <x v="0"/>
    <n v="2647939"/>
    <n v="5560671"/>
    <n v="2647939"/>
    <x v="1"/>
    <m/>
  </r>
  <r>
    <s v="LES CIMENTS DU SAHEL SA"/>
    <x v="1"/>
    <n v="401962"/>
    <n v="1326476"/>
    <n v="401962"/>
    <x v="1"/>
    <s v="THIES"/>
  </r>
  <r>
    <s v="LES CIMENTS DU SAHEL SA"/>
    <x v="2"/>
    <n v="92774"/>
    <n v="278322"/>
    <n v="92774"/>
    <x v="1"/>
    <m/>
  </r>
  <r>
    <s v="SOCOCIM INDUSTRIES"/>
    <x v="0"/>
    <n v="745152"/>
    <n v="1635608"/>
    <n v="745152"/>
    <x v="1"/>
    <m/>
  </r>
  <r>
    <s v="SOCOCIM INDUSTRIES"/>
    <x v="4"/>
    <n v="1617455"/>
    <n v="3550313"/>
    <n v="1617455"/>
    <x v="1"/>
    <m/>
  </r>
  <r>
    <s v="LES CIMENTS DU SAHEL SA"/>
    <x v="0"/>
    <n v="2404017"/>
    <n v="5048436"/>
    <n v="2404017"/>
    <x v="2"/>
    <m/>
  </r>
  <r>
    <s v="LES CIMENTS DU SAHEL SA"/>
    <x v="1"/>
    <n v="367462"/>
    <n v="1212625"/>
    <n v="367462"/>
    <x v="2"/>
    <s v="THIES"/>
  </r>
  <r>
    <s v="LES CIMENTS DU SAHEL SA"/>
    <x v="2"/>
    <n v="89475"/>
    <n v="268425"/>
    <n v="89745"/>
    <x v="2"/>
    <m/>
  </r>
  <r>
    <s v="DANGOTE CEMENT SENEGAL"/>
    <x v="0"/>
    <n v="2014833"/>
    <n v="4863907"/>
    <n v="2014833"/>
    <x v="2"/>
    <s v="THIES"/>
  </r>
  <r>
    <s v="DANGOTE CEMENT SENEGAL"/>
    <x v="1"/>
    <n v="50590"/>
    <n v="106352"/>
    <n v="50590"/>
    <x v="2"/>
    <s v="THIES"/>
  </r>
  <r>
    <s v="DANGOTE CEMENT SENEGAL"/>
    <x v="2"/>
    <n v="61844"/>
    <n v="130008"/>
    <n v="61844"/>
    <x v="2"/>
    <s v="THIES"/>
  </r>
  <r>
    <s v="INDUSTRIE CHIMIQUES DU SENEGAL / INDORAMA"/>
    <x v="3"/>
    <n v="1649000"/>
    <n v="47554112"/>
    <n v="1697859"/>
    <x v="2"/>
    <m/>
  </r>
  <r>
    <s v="SOCOCIM INDUSTRIES"/>
    <x v="4"/>
    <n v="1845762"/>
    <n v="4051447.59"/>
    <n v="1845762"/>
    <x v="2"/>
    <m/>
  </r>
  <r>
    <s v="SOCOCIM INDUSTRIES"/>
    <x v="0"/>
    <n v="950428"/>
    <n v="2086189.46"/>
    <n v="950428"/>
    <x v="2"/>
    <m/>
  </r>
  <r>
    <s v="SOCOCIM INDUSTRIES"/>
    <x v="2"/>
    <n v="109252"/>
    <n v="54626"/>
    <n v="109252"/>
    <x v="2"/>
    <m/>
  </r>
  <r>
    <s v="LES CIMENTS DU SAHEL SA"/>
    <x v="0"/>
    <n v="2500228"/>
    <n v="5250478.8"/>
    <n v="2500228"/>
    <x v="3"/>
    <s v="THIES"/>
  </r>
  <r>
    <s v="LES CIMENTS DU SAHEL SA"/>
    <x v="1"/>
    <n v="376950"/>
    <n v="1243935"/>
    <n v="376950"/>
    <x v="3"/>
    <s v="THIES"/>
  </r>
  <r>
    <s v="CIMENTS DU SAHEL"/>
    <x v="2"/>
    <n v="89037"/>
    <n v="267111"/>
    <n v="89037"/>
    <x v="3"/>
    <s v="THIES"/>
  </r>
  <r>
    <s v="DANGOTE CEMENT SENEGAL"/>
    <x v="0"/>
    <n v="1977329"/>
    <n v="2597828.2599999998"/>
    <n v="1977329"/>
    <x v="3"/>
    <s v="THIES"/>
  </r>
  <r>
    <s v="DANGOTE CEMENT SENEGAL"/>
    <x v="1"/>
    <n v="63543"/>
    <n v="101037"/>
    <n v="63543"/>
    <x v="3"/>
    <s v="THIES"/>
  </r>
  <r>
    <s v="DANGOTE CEMENT SENEGAL"/>
    <x v="2"/>
    <n v="63978"/>
    <n v="109881"/>
    <n v="63978"/>
    <x v="3"/>
    <s v="THIES"/>
  </r>
  <r>
    <s v="DANGOTE CEMENT SENEGAL"/>
    <x v="1"/>
    <n v="230157"/>
    <n v="549093.57400000002"/>
    <n v="209338"/>
    <x v="3"/>
    <s v="THIES"/>
  </r>
  <r>
    <s v="INDUSTRIE CHIMIQUES DU SENEGAL / INDORAMA"/>
    <x v="3"/>
    <n v="1770000"/>
    <n v="49694156"/>
    <n v="1940602"/>
    <x v="3"/>
    <s v="THIES"/>
  </r>
  <r>
    <s v="SOCOCIM INDUSTRIES"/>
    <x v="4"/>
    <n v="1965915"/>
    <n v="4315183.42"/>
    <n v="1965915"/>
    <x v="3"/>
    <s v="DAKAR"/>
  </r>
  <r>
    <s v="SOCOCIM INDUSTRIES"/>
    <x v="2"/>
    <n v="139098"/>
    <n v="541647.61"/>
    <n v="139098"/>
    <x v="3"/>
    <s v="DAKAR"/>
  </r>
  <r>
    <s v="SOCOCIM INDUSTRIES"/>
    <x v="0"/>
    <n v="977848"/>
    <n v="2146376.36"/>
    <n v="977848"/>
    <x v="3"/>
    <s v="DAKAR"/>
  </r>
  <r>
    <s v="LES CIMENTS DU SAHEL SA"/>
    <x v="1"/>
    <n v="400578"/>
    <n v="1321908"/>
    <n v="400578"/>
    <x v="4"/>
    <s v="THIES"/>
  </r>
  <r>
    <s v="DANGOTE CEMENT SENEGAL"/>
    <x v="1"/>
    <n v="156221"/>
    <n v="388947"/>
    <n v="168001"/>
    <x v="4"/>
    <s v="THIES"/>
  </r>
  <r>
    <s v="LES CIMENTS DU SAHEL SA"/>
    <x v="0"/>
    <n v="2902226"/>
    <n v="6094674"/>
    <n v="2902226"/>
    <x v="4"/>
    <s v="THIES"/>
  </r>
  <r>
    <s v="DANGOTE CEMENT SENEGAL"/>
    <x v="0"/>
    <n v="1388347"/>
    <n v="2244819"/>
    <n v="1388347"/>
    <x v="4"/>
    <s v="THIES"/>
  </r>
  <r>
    <s v="LES CIMENTS DU SAHEL SA"/>
    <x v="2"/>
    <n v="82473"/>
    <n v="247419"/>
    <n v="82473"/>
    <x v="4"/>
    <s v="THIES"/>
  </r>
  <r>
    <s v="DANGOTE CEMENT SENEGAL"/>
    <x v="2"/>
    <n v="40864"/>
    <n v="84608"/>
    <n v="40864"/>
    <x v="4"/>
    <s v="THIES"/>
  </r>
  <r>
    <s v="INDUSTRIE CHIMIQUES DU SENEGAL / INDORAMA"/>
    <x v="3"/>
    <n v="1771000"/>
    <n v="56393616"/>
    <n v="1987798"/>
    <x v="4"/>
    <s v="THIES"/>
  </r>
  <r>
    <s v="SOCOCIM INDUSTRIES"/>
    <x v="4"/>
    <n v="1990935"/>
    <n v="4370102"/>
    <n v="1990935"/>
    <x v="4"/>
    <s v="DAKAR"/>
  </r>
  <r>
    <s v="SOCOCIM INDUSTRIES"/>
    <x v="0"/>
    <n v="903270"/>
    <n v="1982677"/>
    <n v="903270"/>
    <x v="4"/>
    <s v="DAKAR"/>
  </r>
  <r>
    <s v="SOCOCIM INDUSTRIES"/>
    <x v="2"/>
    <n v="101441"/>
    <n v="395011"/>
    <n v="101441"/>
    <x v="4"/>
    <s v="DAKA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53">
  <r>
    <x v="0"/>
    <x v="0"/>
    <x v="0"/>
    <n v="6.3E-2"/>
    <n v="1240248"/>
    <x v="0"/>
  </r>
  <r>
    <x v="1"/>
    <x v="1"/>
    <x v="1"/>
    <n v="24401"/>
    <n v="679077"/>
    <x v="0"/>
  </r>
  <r>
    <x v="2"/>
    <x v="2"/>
    <x v="2"/>
    <n v="29942"/>
    <n v="1134965"/>
    <x v="0"/>
  </r>
  <r>
    <x v="2"/>
    <x v="2"/>
    <x v="3"/>
    <n v="372094"/>
    <n v="14186771"/>
    <x v="0"/>
  </r>
  <r>
    <x v="2"/>
    <x v="2"/>
    <x v="4"/>
    <n v="25657"/>
    <n v="998526"/>
    <x v="0"/>
  </r>
  <r>
    <x v="3"/>
    <x v="3"/>
    <x v="5"/>
    <n v="11284"/>
    <n v="338520"/>
    <x v="0"/>
  </r>
  <r>
    <x v="4"/>
    <x v="4"/>
    <x v="6"/>
    <n v="60"/>
    <n v="55099.970999999998"/>
    <x v="0"/>
  </r>
  <r>
    <x v="4"/>
    <x v="4"/>
    <x v="7"/>
    <n v="260"/>
    <n v="96713.24"/>
    <x v="0"/>
  </r>
  <r>
    <x v="4"/>
    <x v="4"/>
    <x v="8"/>
    <n v="34430"/>
    <n v="2993403.0959999999"/>
    <x v="0"/>
  </r>
  <r>
    <x v="4"/>
    <x v="4"/>
    <x v="5"/>
    <n v="680"/>
    <n v="195556.33199999999"/>
    <x v="0"/>
  </r>
  <r>
    <x v="4"/>
    <x v="4"/>
    <x v="9"/>
    <n v="200"/>
    <n v="65972.042000000001"/>
    <x v="0"/>
  </r>
  <r>
    <x v="4"/>
    <x v="4"/>
    <x v="10"/>
    <n v="1200"/>
    <n v="490504.228"/>
    <x v="0"/>
  </r>
  <r>
    <x v="4"/>
    <x v="4"/>
    <x v="11"/>
    <n v="850"/>
    <n v="463134.66899999999"/>
    <x v="0"/>
  </r>
  <r>
    <x v="4"/>
    <x v="4"/>
    <x v="12"/>
    <n v="100"/>
    <n v="30660.937000000002"/>
    <x v="0"/>
  </r>
  <r>
    <x v="4"/>
    <x v="4"/>
    <x v="13"/>
    <n v="320"/>
    <n v="176401.772"/>
    <x v="0"/>
  </r>
  <r>
    <x v="4"/>
    <x v="4"/>
    <x v="14"/>
    <n v="51025"/>
    <n v="4911807.0719999997"/>
    <x v="0"/>
  </r>
  <r>
    <x v="4"/>
    <x v="4"/>
    <x v="15"/>
    <n v="100"/>
    <n v="51333.428999999996"/>
    <x v="0"/>
  </r>
  <r>
    <x v="4"/>
    <x v="4"/>
    <x v="16"/>
    <n v="20"/>
    <n v="6961.308"/>
    <x v="0"/>
  </r>
  <r>
    <x v="4"/>
    <x v="4"/>
    <x v="1"/>
    <n v="920"/>
    <n v="287139.43199999997"/>
    <x v="0"/>
  </r>
  <r>
    <x v="4"/>
    <x v="4"/>
    <x v="17"/>
    <n v="100"/>
    <n v="38519.616999999998"/>
    <x v="0"/>
  </r>
  <r>
    <x v="4"/>
    <x v="4"/>
    <x v="18"/>
    <n v="80"/>
    <n v="27235.292000000001"/>
    <x v="0"/>
  </r>
  <r>
    <x v="4"/>
    <x v="4"/>
    <x v="3"/>
    <n v="80"/>
    <n v="24542.876"/>
    <x v="0"/>
  </r>
  <r>
    <x v="4"/>
    <x v="4"/>
    <x v="19"/>
    <n v="80"/>
    <n v="27423.788"/>
    <x v="0"/>
  </r>
  <r>
    <x v="4"/>
    <x v="4"/>
    <x v="20"/>
    <n v="23450"/>
    <n v="2106198.6740000001"/>
    <x v="0"/>
  </r>
  <r>
    <x v="4"/>
    <x v="4"/>
    <x v="21"/>
    <n v="21246"/>
    <n v="3596707.6439999999"/>
    <x v="0"/>
  </r>
  <r>
    <x v="4"/>
    <x v="4"/>
    <x v="22"/>
    <n v="49591"/>
    <n v="4131716.0290000001"/>
    <x v="0"/>
  </r>
  <r>
    <x v="4"/>
    <x v="4"/>
    <x v="23"/>
    <n v="71116"/>
    <n v="6200263.0269999998"/>
    <x v="0"/>
  </r>
  <r>
    <x v="4"/>
    <x v="4"/>
    <x v="24"/>
    <n v="30025"/>
    <n v="2380790.2999999998"/>
    <x v="0"/>
  </r>
  <r>
    <x v="4"/>
    <x v="4"/>
    <x v="25"/>
    <n v="40"/>
    <n v="13321.224"/>
    <x v="0"/>
  </r>
  <r>
    <x v="4"/>
    <x v="4"/>
    <x v="26"/>
    <n v="360"/>
    <n v="119547.245"/>
    <x v="0"/>
  </r>
  <r>
    <x v="4"/>
    <x v="4"/>
    <x v="27"/>
    <n v="80"/>
    <n v="21144.799999999999"/>
    <x v="0"/>
  </r>
  <r>
    <x v="4"/>
    <x v="4"/>
    <x v="28"/>
    <n v="17185"/>
    <n v="1403119.889"/>
    <x v="0"/>
  </r>
  <r>
    <x v="4"/>
    <x v="4"/>
    <x v="29"/>
    <n v="35100"/>
    <n v="4087569.807"/>
    <x v="0"/>
  </r>
  <r>
    <x v="4"/>
    <x v="4"/>
    <x v="30"/>
    <n v="15457"/>
    <n v="1352089.5789999999"/>
    <x v="0"/>
  </r>
  <r>
    <x v="4"/>
    <x v="4"/>
    <x v="31"/>
    <n v="80524"/>
    <n v="11524090.241"/>
    <x v="0"/>
  </r>
  <r>
    <x v="4"/>
    <x v="5"/>
    <x v="6"/>
    <n v="66"/>
    <n v="56934.362999999998"/>
    <x v="0"/>
  </r>
  <r>
    <x v="4"/>
    <x v="5"/>
    <x v="32"/>
    <n v="917"/>
    <n v="680757.68900000001"/>
    <x v="0"/>
  </r>
  <r>
    <x v="4"/>
    <x v="5"/>
    <x v="7"/>
    <n v="330"/>
    <n v="294275.34600000002"/>
    <x v="0"/>
  </r>
  <r>
    <x v="4"/>
    <x v="5"/>
    <x v="33"/>
    <n v="782"/>
    <n v="696754.31900000002"/>
    <x v="0"/>
  </r>
  <r>
    <x v="4"/>
    <x v="5"/>
    <x v="8"/>
    <n v="2087"/>
    <n v="1884260.466"/>
    <x v="0"/>
  </r>
  <r>
    <x v="4"/>
    <x v="5"/>
    <x v="34"/>
    <n v="1923"/>
    <n v="1674472.577"/>
    <x v="0"/>
  </r>
  <r>
    <x v="4"/>
    <x v="5"/>
    <x v="5"/>
    <n v="5807"/>
    <n v="1403897.7720000001"/>
    <x v="0"/>
  </r>
  <r>
    <x v="4"/>
    <x v="5"/>
    <x v="13"/>
    <n v="15120"/>
    <n v="12571018.659"/>
    <x v="0"/>
  </r>
  <r>
    <x v="4"/>
    <x v="5"/>
    <x v="14"/>
    <n v="12006"/>
    <n v="10653272.761"/>
    <x v="0"/>
  </r>
  <r>
    <x v="4"/>
    <x v="5"/>
    <x v="15"/>
    <n v="2440"/>
    <n v="2044949.645"/>
    <x v="0"/>
  </r>
  <r>
    <x v="4"/>
    <x v="5"/>
    <x v="1"/>
    <n v="2282"/>
    <n v="1713117.284"/>
    <x v="0"/>
  </r>
  <r>
    <x v="4"/>
    <x v="5"/>
    <x v="35"/>
    <n v="228"/>
    <n v="158804.83799999999"/>
    <x v="0"/>
  </r>
  <r>
    <x v="4"/>
    <x v="5"/>
    <x v="36"/>
    <n v="2314"/>
    <n v="1902066.088"/>
    <x v="0"/>
  </r>
  <r>
    <x v="4"/>
    <x v="5"/>
    <x v="17"/>
    <n v="1330"/>
    <n v="1254746.8019999999"/>
    <x v="0"/>
  </r>
  <r>
    <x v="4"/>
    <x v="5"/>
    <x v="18"/>
    <n v="22"/>
    <n v="20975.567999999999"/>
    <x v="0"/>
  </r>
  <r>
    <x v="4"/>
    <x v="5"/>
    <x v="20"/>
    <n v="424"/>
    <n v="336816.94300000003"/>
    <x v="0"/>
  </r>
  <r>
    <x v="4"/>
    <x v="5"/>
    <x v="21"/>
    <n v="974"/>
    <n v="882675.076"/>
    <x v="0"/>
  </r>
  <r>
    <x v="4"/>
    <x v="5"/>
    <x v="23"/>
    <n v="1437"/>
    <n v="1084855.459"/>
    <x v="0"/>
  </r>
  <r>
    <x v="4"/>
    <x v="5"/>
    <x v="25"/>
    <n v="413"/>
    <n v="369332.27100000001"/>
    <x v="0"/>
  </r>
  <r>
    <x v="4"/>
    <x v="5"/>
    <x v="26"/>
    <n v="485"/>
    <n v="433765.45600000001"/>
    <x v="0"/>
  </r>
  <r>
    <x v="4"/>
    <x v="5"/>
    <x v="37"/>
    <n v="198"/>
    <n v="179156.89499999999"/>
    <x v="0"/>
  </r>
  <r>
    <x v="4"/>
    <x v="5"/>
    <x v="27"/>
    <n v="148"/>
    <n v="92378.46"/>
    <x v="0"/>
  </r>
  <r>
    <x v="4"/>
    <x v="5"/>
    <x v="29"/>
    <n v="16032"/>
    <n v="5935666.2029999997"/>
    <x v="0"/>
  </r>
  <r>
    <x v="4"/>
    <x v="5"/>
    <x v="30"/>
    <n v="80"/>
    <n v="23450.7"/>
    <x v="0"/>
  </r>
  <r>
    <x v="4"/>
    <x v="5"/>
    <x v="31"/>
    <n v="27503"/>
    <n v="16890111.287"/>
    <x v="0"/>
  </r>
  <r>
    <x v="5"/>
    <x v="6"/>
    <x v="38"/>
    <n v="70502"/>
    <n v="21115662"/>
    <x v="0"/>
  </r>
  <r>
    <x v="5"/>
    <x v="6"/>
    <x v="1"/>
    <n v="383027"/>
    <n v="161345610"/>
    <x v="0"/>
  </r>
  <r>
    <x v="5"/>
    <x v="7"/>
    <x v="39"/>
    <n v="5924"/>
    <n v="1048668"/>
    <x v="0"/>
  </r>
  <r>
    <x v="5"/>
    <x v="7"/>
    <x v="15"/>
    <n v="11002"/>
    <n v="2599985"/>
    <x v="0"/>
  </r>
  <r>
    <x v="5"/>
    <x v="7"/>
    <x v="2"/>
    <n v="53"/>
    <n v="12313"/>
    <x v="0"/>
  </r>
  <r>
    <x v="5"/>
    <x v="7"/>
    <x v="3"/>
    <n v="23541"/>
    <n v="5264464"/>
    <x v="0"/>
  </r>
  <r>
    <x v="5"/>
    <x v="7"/>
    <x v="40"/>
    <n v="15"/>
    <n v="3375"/>
    <x v="0"/>
  </r>
  <r>
    <x v="5"/>
    <x v="7"/>
    <x v="41"/>
    <n v="20165"/>
    <n v="4309265"/>
    <x v="0"/>
  </r>
  <r>
    <x v="5"/>
    <x v="7"/>
    <x v="29"/>
    <n v="34517"/>
    <n v="6946384"/>
    <x v="0"/>
  </r>
  <r>
    <x v="6"/>
    <x v="2"/>
    <x v="4"/>
    <n v="135007"/>
    <n v="5125158"/>
    <x v="0"/>
  </r>
  <r>
    <x v="6"/>
    <x v="2"/>
    <x v="42"/>
    <n v="1101"/>
    <n v="42402"/>
    <x v="0"/>
  </r>
  <r>
    <x v="6"/>
    <x v="2"/>
    <x v="2"/>
    <n v="5714"/>
    <n v="219839"/>
    <x v="0"/>
  </r>
  <r>
    <x v="6"/>
    <x v="2"/>
    <x v="3"/>
    <n v="1005499"/>
    <n v="38599438"/>
    <x v="0"/>
  </r>
  <r>
    <x v="6"/>
    <x v="2"/>
    <x v="40"/>
    <n v="3401"/>
    <n v="132759"/>
    <x v="0"/>
  </r>
  <r>
    <x v="7"/>
    <x v="0"/>
    <x v="29"/>
    <n v="4.452"/>
    <n v="100232469"/>
    <x v="0"/>
  </r>
  <r>
    <x v="7"/>
    <x v="8"/>
    <x v="29"/>
    <n v="0.189"/>
    <n v="48742"/>
    <x v="0"/>
  </r>
  <r>
    <x v="8"/>
    <x v="0"/>
    <x v="43"/>
    <n v="3.32"/>
    <n v="80479252"/>
    <x v="0"/>
  </r>
  <r>
    <x v="8"/>
    <x v="0"/>
    <x v="29"/>
    <n v="3.29"/>
    <n v="76651561"/>
    <x v="0"/>
  </r>
  <r>
    <x v="8"/>
    <x v="0"/>
    <x v="44"/>
    <n v="0.63"/>
    <n v="15875293"/>
    <x v="0"/>
  </r>
  <r>
    <x v="8"/>
    <x v="8"/>
    <x v="43"/>
    <n v="0.47"/>
    <n v="124722"/>
    <x v="0"/>
  </r>
  <r>
    <x v="8"/>
    <x v="8"/>
    <x v="29"/>
    <n v="0.18"/>
    <n v="61226"/>
    <x v="0"/>
  </r>
  <r>
    <x v="9"/>
    <x v="9"/>
    <x v="8"/>
    <n v="19761"/>
    <n v="639306.39300000004"/>
    <x v="0"/>
  </r>
  <r>
    <x v="9"/>
    <x v="9"/>
    <x v="45"/>
    <n v="32872"/>
    <n v="937266.73600000003"/>
    <x v="0"/>
  </r>
  <r>
    <x v="9"/>
    <x v="10"/>
    <x v="8"/>
    <n v="10001"/>
    <n v="639306.39300000004"/>
    <x v="0"/>
  </r>
  <r>
    <x v="9"/>
    <x v="10"/>
    <x v="46"/>
    <n v="922"/>
    <n v="82237.487999999998"/>
    <x v="0"/>
  </r>
  <r>
    <x v="10"/>
    <x v="1"/>
    <x v="47"/>
    <n v="73434"/>
    <n v="1994982"/>
    <x v="0"/>
  </r>
  <r>
    <x v="11"/>
    <x v="9"/>
    <x v="15"/>
    <n v="88844"/>
    <n v="3602341"/>
    <x v="0"/>
  </r>
  <r>
    <x v="11"/>
    <x v="9"/>
    <x v="48"/>
    <n v="50893"/>
    <n v="2074491"/>
    <x v="0"/>
  </r>
  <r>
    <x v="11"/>
    <x v="9"/>
    <x v="45"/>
    <n v="32060"/>
    <n v="1225416"/>
    <x v="0"/>
  </r>
  <r>
    <x v="12"/>
    <x v="1"/>
    <x v="49"/>
    <n v="27500"/>
    <n v="742102.06184414867"/>
    <x v="0"/>
  </r>
  <r>
    <x v="12"/>
    <x v="1"/>
    <x v="3"/>
    <n v="34000"/>
    <n v="582476.91247690353"/>
    <x v="0"/>
  </r>
  <r>
    <x v="12"/>
    <x v="1"/>
    <x v="26"/>
    <n v="136565"/>
    <n v="3685278.8391180425"/>
    <x v="0"/>
  </r>
  <r>
    <x v="12"/>
    <x v="1"/>
    <x v="50"/>
    <n v="233000"/>
    <n v="10032571.221239913"/>
    <x v="0"/>
  </r>
  <r>
    <x v="12"/>
    <x v="1"/>
    <x v="51"/>
    <n v="5600"/>
    <n v="151118.96532099028"/>
    <x v="0"/>
  </r>
  <r>
    <x v="13"/>
    <x v="2"/>
    <x v="4"/>
    <n v="40230"/>
    <n v="1758366"/>
    <x v="0"/>
  </r>
  <r>
    <x v="13"/>
    <x v="2"/>
    <x v="52"/>
    <n v="1400"/>
    <n v="56000"/>
    <x v="0"/>
  </r>
  <r>
    <x v="13"/>
    <x v="2"/>
    <x v="2"/>
    <n v="17275"/>
    <n v="872264"/>
    <x v="0"/>
  </r>
  <r>
    <x v="13"/>
    <x v="2"/>
    <x v="3"/>
    <n v="384898"/>
    <n v="16593971"/>
    <x v="0"/>
  </r>
  <r>
    <x v="13"/>
    <x v="2"/>
    <x v="40"/>
    <n v="8375"/>
    <n v="418540"/>
    <x v="0"/>
  </r>
  <r>
    <x v="0"/>
    <x v="0"/>
    <x v="0"/>
    <n v="3.0000000000000001E-3"/>
    <n v="80075"/>
    <x v="1"/>
  </r>
  <r>
    <x v="2"/>
    <x v="2"/>
    <x v="3"/>
    <n v="328788"/>
    <n v="12783555"/>
    <x v="1"/>
  </r>
  <r>
    <x v="2"/>
    <x v="2"/>
    <x v="4"/>
    <n v="35250"/>
    <n v="1273577"/>
    <x v="1"/>
  </r>
  <r>
    <x v="3"/>
    <x v="3"/>
    <x v="5"/>
    <n v="4368"/>
    <n v="131040"/>
    <x v="1"/>
  </r>
  <r>
    <x v="4"/>
    <x v="4"/>
    <x v="33"/>
    <n v="2.0430000000000001"/>
    <n v="4662.1450000000004"/>
    <x v="1"/>
  </r>
  <r>
    <x v="4"/>
    <x v="4"/>
    <x v="6"/>
    <n v="439.92"/>
    <n v="175825.21799999999"/>
    <x v="1"/>
  </r>
  <r>
    <x v="4"/>
    <x v="4"/>
    <x v="8"/>
    <n v="35755.440000000002"/>
    <n v="3277431.091"/>
    <x v="1"/>
  </r>
  <r>
    <x v="4"/>
    <x v="4"/>
    <x v="5"/>
    <n v="50251.474999999999"/>
    <n v="6509347.6840000004"/>
    <x v="1"/>
  </r>
  <r>
    <x v="4"/>
    <x v="4"/>
    <x v="53"/>
    <n v="1060.0340000000001"/>
    <n v="586821.696"/>
    <x v="1"/>
  </r>
  <r>
    <x v="4"/>
    <x v="4"/>
    <x v="11"/>
    <n v="640"/>
    <n v="348132.72"/>
    <x v="1"/>
  </r>
  <r>
    <x v="4"/>
    <x v="4"/>
    <x v="54"/>
    <n v="740"/>
    <n v="323447.69"/>
    <x v="1"/>
  </r>
  <r>
    <x v="4"/>
    <x v="4"/>
    <x v="13"/>
    <n v="360"/>
    <n v="204683.87700000001"/>
    <x v="1"/>
  </r>
  <r>
    <x v="4"/>
    <x v="4"/>
    <x v="55"/>
    <n v="131972.63200000001"/>
    <n v="13887462.924000001"/>
    <x v="1"/>
  </r>
  <r>
    <x v="4"/>
    <x v="4"/>
    <x v="56"/>
    <n v="33003.612000000001"/>
    <n v="2822576.82"/>
    <x v="1"/>
  </r>
  <r>
    <x v="4"/>
    <x v="4"/>
    <x v="15"/>
    <n v="120"/>
    <n v="76506.596999999994"/>
    <x v="1"/>
  </r>
  <r>
    <x v="4"/>
    <x v="4"/>
    <x v="1"/>
    <n v="1560"/>
    <n v="666909.87600000005"/>
    <x v="1"/>
  </r>
  <r>
    <x v="4"/>
    <x v="4"/>
    <x v="17"/>
    <n v="10720.864"/>
    <n v="1620371.3910000001"/>
    <x v="1"/>
  </r>
  <r>
    <x v="4"/>
    <x v="4"/>
    <x v="18"/>
    <n v="120"/>
    <n v="50574.671999999999"/>
    <x v="1"/>
  </r>
  <r>
    <x v="4"/>
    <x v="4"/>
    <x v="19"/>
    <n v="60"/>
    <n v="25579.583999999999"/>
    <x v="1"/>
  </r>
  <r>
    <x v="4"/>
    <x v="4"/>
    <x v="20"/>
    <n v="12000.173000000001"/>
    <n v="1477074.834"/>
    <x v="1"/>
  </r>
  <r>
    <x v="4"/>
    <x v="4"/>
    <x v="24"/>
    <n v="137096.70199999999"/>
    <n v="11805065.457"/>
    <x v="1"/>
  </r>
  <r>
    <x v="4"/>
    <x v="4"/>
    <x v="25"/>
    <n v="440"/>
    <n v="204756.9"/>
    <x v="1"/>
  </r>
  <r>
    <x v="4"/>
    <x v="4"/>
    <x v="26"/>
    <n v="32689.506000000001"/>
    <n v="2859546.469"/>
    <x v="1"/>
  </r>
  <r>
    <x v="4"/>
    <x v="4"/>
    <x v="37"/>
    <n v="34515.169000000002"/>
    <n v="3040784.148"/>
    <x v="1"/>
  </r>
  <r>
    <x v="4"/>
    <x v="4"/>
    <x v="57"/>
    <n v="60.015999999999998"/>
    <n v="24846.36"/>
    <x v="1"/>
  </r>
  <r>
    <x v="4"/>
    <x v="4"/>
    <x v="28"/>
    <n v="35678.434000000001"/>
    <n v="3037501.898"/>
    <x v="1"/>
  </r>
  <r>
    <x v="4"/>
    <x v="4"/>
    <x v="29"/>
    <n v="16268.802"/>
    <n v="2114063.389"/>
    <x v="1"/>
  </r>
  <r>
    <x v="4"/>
    <x v="4"/>
    <x v="30"/>
    <n v="400"/>
    <n v="169857.63"/>
    <x v="1"/>
  </r>
  <r>
    <x v="4"/>
    <x v="4"/>
    <x v="58"/>
    <n v="20"/>
    <n v="13712.6"/>
    <x v="1"/>
  </r>
  <r>
    <x v="4"/>
    <x v="5"/>
    <x v="6"/>
    <n v="60"/>
    <n v="25934.856"/>
    <x v="1"/>
  </r>
  <r>
    <x v="4"/>
    <x v="5"/>
    <x v="32"/>
    <n v="793.02"/>
    <n v="697609.772"/>
    <x v="1"/>
  </r>
  <r>
    <x v="4"/>
    <x v="5"/>
    <x v="33"/>
    <n v="1509.951"/>
    <n v="1510675.4620000001"/>
    <x v="1"/>
  </r>
  <r>
    <x v="4"/>
    <x v="5"/>
    <x v="8"/>
    <n v="3545.2190000000001"/>
    <n v="3132088.193"/>
    <x v="1"/>
  </r>
  <r>
    <x v="4"/>
    <x v="5"/>
    <x v="34"/>
    <n v="432.59"/>
    <n v="407332.69500000001"/>
    <x v="1"/>
  </r>
  <r>
    <x v="4"/>
    <x v="5"/>
    <x v="5"/>
    <n v="18211.957999999999"/>
    <n v="9588818.2980000004"/>
    <x v="1"/>
  </r>
  <r>
    <x v="4"/>
    <x v="5"/>
    <x v="53"/>
    <n v="480"/>
    <n v="287176.7"/>
    <x v="1"/>
  </r>
  <r>
    <x v="4"/>
    <x v="5"/>
    <x v="11"/>
    <n v="200"/>
    <n v="125996.45"/>
    <x v="1"/>
  </r>
  <r>
    <x v="4"/>
    <x v="5"/>
    <x v="13"/>
    <n v="18835.03"/>
    <n v="16759043.528000001"/>
    <x v="1"/>
  </r>
  <r>
    <x v="4"/>
    <x v="5"/>
    <x v="55"/>
    <n v="5856.48"/>
    <n v="5698452.3770000003"/>
    <x v="1"/>
  </r>
  <r>
    <x v="4"/>
    <x v="5"/>
    <x v="15"/>
    <n v="1883.97"/>
    <n v="1768991.2379999999"/>
    <x v="1"/>
  </r>
  <r>
    <x v="4"/>
    <x v="5"/>
    <x v="59"/>
    <n v="1005.884"/>
    <n v="235791.51500000001"/>
    <x v="1"/>
  </r>
  <r>
    <x v="4"/>
    <x v="5"/>
    <x v="1"/>
    <n v="787.56299999999999"/>
    <n v="697884.69200000004"/>
    <x v="1"/>
  </r>
  <r>
    <x v="4"/>
    <x v="5"/>
    <x v="36"/>
    <n v="3019.4090000000001"/>
    <n v="2752054.2119999998"/>
    <x v="1"/>
  </r>
  <r>
    <x v="4"/>
    <x v="5"/>
    <x v="17"/>
    <n v="3581.1860000000001"/>
    <n v="3487715.93"/>
    <x v="1"/>
  </r>
  <r>
    <x v="4"/>
    <x v="5"/>
    <x v="18"/>
    <n v="300.94600000000003"/>
    <n v="280903.277"/>
    <x v="1"/>
  </r>
  <r>
    <x v="4"/>
    <x v="5"/>
    <x v="20"/>
    <n v="692.35299999999995"/>
    <n v="1318614.7590000001"/>
    <x v="1"/>
  </r>
  <r>
    <x v="4"/>
    <x v="5"/>
    <x v="21"/>
    <n v="881.77200000000005"/>
    <n v="819992.83600000001"/>
    <x v="1"/>
  </r>
  <r>
    <x v="4"/>
    <x v="5"/>
    <x v="25"/>
    <n v="1742.8009999999999"/>
    <n v="1510053.148"/>
    <x v="1"/>
  </r>
  <r>
    <x v="4"/>
    <x v="5"/>
    <x v="26"/>
    <n v="529.81899999999996"/>
    <n v="622824.52899999998"/>
    <x v="1"/>
  </r>
  <r>
    <x v="4"/>
    <x v="5"/>
    <x v="37"/>
    <n v="59.113999999999997"/>
    <n v="54513.959000000003"/>
    <x v="1"/>
  </r>
  <r>
    <x v="4"/>
    <x v="5"/>
    <x v="29"/>
    <n v="22610.453000000001"/>
    <n v="7952913.2390000001"/>
    <x v="1"/>
  </r>
  <r>
    <x v="4"/>
    <x v="5"/>
    <x v="60"/>
    <n v="1652.912"/>
    <n v="1458268.5870000001"/>
    <x v="1"/>
  </r>
  <r>
    <x v="4"/>
    <x v="5"/>
    <x v="30"/>
    <n v="60"/>
    <n v="24394.86"/>
    <x v="1"/>
  </r>
  <r>
    <x v="4"/>
    <x v="5"/>
    <x v="58"/>
    <n v="40.012999999999998"/>
    <n v="32994.042000000001"/>
    <x v="1"/>
  </r>
  <r>
    <x v="5"/>
    <x v="7"/>
    <x v="3"/>
    <n v="97201"/>
    <n v="22031441"/>
    <x v="1"/>
  </r>
  <r>
    <x v="5"/>
    <x v="6"/>
    <x v="38"/>
    <n v="39023"/>
    <n v="15984675"/>
    <x v="1"/>
  </r>
  <r>
    <x v="5"/>
    <x v="6"/>
    <x v="1"/>
    <n v="493951"/>
    <n v="201048595"/>
    <x v="1"/>
  </r>
  <r>
    <x v="5"/>
    <x v="6"/>
    <x v="15"/>
    <n v="4451"/>
    <n v="2126639"/>
    <x v="1"/>
  </r>
  <r>
    <x v="6"/>
    <x v="2"/>
    <x v="4"/>
    <n v="166195"/>
    <n v="6717794"/>
    <x v="1"/>
  </r>
  <r>
    <x v="6"/>
    <x v="2"/>
    <x v="42"/>
    <n v="1105"/>
    <n v="42845"/>
    <x v="1"/>
  </r>
  <r>
    <x v="6"/>
    <x v="2"/>
    <x v="2"/>
    <n v="632"/>
    <n v="27720"/>
    <x v="1"/>
  </r>
  <r>
    <x v="6"/>
    <x v="2"/>
    <x v="3"/>
    <n v="871587"/>
    <n v="34697666"/>
    <x v="1"/>
  </r>
  <r>
    <x v="6"/>
    <x v="2"/>
    <x v="40"/>
    <n v="7696"/>
    <n v="307896"/>
    <x v="1"/>
  </r>
  <r>
    <x v="7"/>
    <x v="0"/>
    <x v="29"/>
    <n v="5.7830000000000004"/>
    <n v="141239790"/>
    <x v="1"/>
  </r>
  <r>
    <x v="8"/>
    <x v="0"/>
    <x v="43"/>
    <n v="4.9800000000000004"/>
    <n v="141290591"/>
    <x v="1"/>
  </r>
  <r>
    <x v="8"/>
    <x v="0"/>
    <x v="29"/>
    <n v="0.45"/>
    <n v="12048128"/>
    <x v="1"/>
  </r>
  <r>
    <x v="8"/>
    <x v="0"/>
    <x v="44"/>
    <n v="0.59"/>
    <n v="17169519"/>
    <x v="1"/>
  </r>
  <r>
    <x v="8"/>
    <x v="8"/>
    <x v="43"/>
    <n v="0.43"/>
    <n v="144938"/>
    <x v="1"/>
  </r>
  <r>
    <x v="8"/>
    <x v="8"/>
    <x v="29"/>
    <n v="0.04"/>
    <n v="15907"/>
    <x v="1"/>
  </r>
  <r>
    <x v="9"/>
    <x v="9"/>
    <x v="8"/>
    <n v="19761"/>
    <n v="639306.39300000004"/>
    <x v="1"/>
  </r>
  <r>
    <x v="9"/>
    <x v="9"/>
    <x v="45"/>
    <n v="32872"/>
    <n v="937266.73600000003"/>
    <x v="1"/>
  </r>
  <r>
    <x v="9"/>
    <x v="10"/>
    <x v="8"/>
    <n v="10001"/>
    <n v="639306.39300000004"/>
    <x v="1"/>
  </r>
  <r>
    <x v="9"/>
    <x v="10"/>
    <x v="46"/>
    <n v="922"/>
    <n v="82237.487999999998"/>
    <x v="1"/>
  </r>
  <r>
    <x v="10"/>
    <x v="1"/>
    <x v="61"/>
    <n v="25"/>
    <n v="2069"/>
    <x v="1"/>
  </r>
  <r>
    <x v="10"/>
    <x v="1"/>
    <x v="62"/>
    <n v="600"/>
    <n v="46456"/>
    <x v="1"/>
  </r>
  <r>
    <x v="10"/>
    <x v="1"/>
    <x v="13"/>
    <n v="6285"/>
    <n v="176056"/>
    <x v="1"/>
  </r>
  <r>
    <x v="10"/>
    <x v="1"/>
    <x v="13"/>
    <n v="38646.843000000001"/>
    <n v="1038659"/>
    <x v="1"/>
  </r>
  <r>
    <x v="10"/>
    <x v="1"/>
    <x v="18"/>
    <n v="3480"/>
    <n v="216898"/>
    <x v="1"/>
  </r>
  <r>
    <x v="10"/>
    <x v="1"/>
    <x v="61"/>
    <n v="300"/>
    <n v="20283"/>
    <x v="1"/>
  </r>
  <r>
    <x v="11"/>
    <x v="9"/>
    <x v="15"/>
    <n v="66636"/>
    <n v="2997931"/>
    <x v="1"/>
  </r>
  <r>
    <x v="11"/>
    <x v="9"/>
    <x v="48"/>
    <n v="32331"/>
    <n v="1444315"/>
    <x v="1"/>
  </r>
  <r>
    <x v="11"/>
    <x v="9"/>
    <x v="45"/>
    <n v="43791"/>
    <n v="1912565"/>
    <x v="1"/>
  </r>
  <r>
    <x v="12"/>
    <x v="1"/>
    <x v="26"/>
    <n v="292529"/>
    <n v="9661037.1280473601"/>
    <x v="1"/>
  </r>
  <r>
    <x v="12"/>
    <x v="1"/>
    <x v="63"/>
    <n v="1112"/>
    <n v="41609.127899045641"/>
    <x v="1"/>
  </r>
  <r>
    <x v="12"/>
    <x v="1"/>
    <x v="64"/>
    <n v="5504"/>
    <n v="184803.61092135878"/>
    <x v="1"/>
  </r>
  <r>
    <x v="12"/>
    <x v="1"/>
    <x v="50"/>
    <n v="162550"/>
    <n v="8565785.2961136959"/>
    <x v="1"/>
  </r>
  <r>
    <x v="12"/>
    <x v="1"/>
    <x v="3"/>
    <n v="14614"/>
    <n v="306402.83701853751"/>
    <x v="1"/>
  </r>
  <r>
    <x v="13"/>
    <x v="2"/>
    <x v="64"/>
    <n v="35"/>
    <n v="1400"/>
    <x v="1"/>
  </r>
  <r>
    <x v="13"/>
    <x v="2"/>
    <x v="4"/>
    <n v="25699"/>
    <n v="1122957"/>
    <x v="1"/>
  </r>
  <r>
    <x v="13"/>
    <x v="2"/>
    <x v="52"/>
    <n v="790"/>
    <n v="31600"/>
    <x v="1"/>
  </r>
  <r>
    <x v="13"/>
    <x v="2"/>
    <x v="2"/>
    <n v="5256"/>
    <n v="282330"/>
    <x v="1"/>
  </r>
  <r>
    <x v="13"/>
    <x v="2"/>
    <x v="3"/>
    <n v="309554"/>
    <n v="13294733"/>
    <x v="1"/>
  </r>
  <r>
    <x v="13"/>
    <x v="2"/>
    <x v="40"/>
    <n v="3716"/>
    <n v="148640"/>
    <x v="1"/>
  </r>
  <r>
    <x v="14"/>
    <x v="2"/>
    <x v="4"/>
    <n v="103878"/>
    <n v="4259671"/>
    <x v="2"/>
  </r>
  <r>
    <x v="14"/>
    <x v="2"/>
    <x v="65"/>
    <n v="182"/>
    <n v="7361"/>
    <x v="2"/>
  </r>
  <r>
    <x v="14"/>
    <x v="2"/>
    <x v="66"/>
    <n v="45"/>
    <n v="1823"/>
    <x v="2"/>
  </r>
  <r>
    <x v="14"/>
    <x v="2"/>
    <x v="3"/>
    <n v="806290"/>
    <n v="31979317"/>
    <x v="2"/>
  </r>
  <r>
    <x v="14"/>
    <x v="2"/>
    <x v="40"/>
    <n v="2430"/>
    <n v="99642"/>
    <x v="2"/>
  </r>
  <r>
    <x v="2"/>
    <x v="2"/>
    <x v="3"/>
    <n v="306761"/>
    <n v="11956108"/>
    <x v="2"/>
  </r>
  <r>
    <x v="2"/>
    <x v="2"/>
    <x v="4"/>
    <n v="89856"/>
    <n v="3303521"/>
    <x v="2"/>
  </r>
  <r>
    <x v="2"/>
    <x v="2"/>
    <x v="66"/>
    <n v="4097"/>
    <n v="15035"/>
    <x v="2"/>
  </r>
  <r>
    <x v="15"/>
    <x v="11"/>
    <x v="3"/>
    <n v="54727"/>
    <n v="11820442"/>
    <x v="2"/>
  </r>
  <r>
    <x v="15"/>
    <x v="6"/>
    <x v="1"/>
    <n v="457943"/>
    <n v="166008591"/>
    <x v="2"/>
  </r>
  <r>
    <x v="15"/>
    <x v="11"/>
    <x v="4"/>
    <n v="621"/>
    <n v="70854"/>
    <x v="2"/>
  </r>
  <r>
    <x v="15"/>
    <x v="11"/>
    <x v="40"/>
    <n v="657"/>
    <n v="183540"/>
    <x v="2"/>
  </r>
  <r>
    <x v="16"/>
    <x v="0"/>
    <x v="29"/>
    <n v="1.3418000000000001"/>
    <n v="40179763"/>
    <x v="2"/>
  </r>
  <r>
    <x v="16"/>
    <x v="0"/>
    <x v="33"/>
    <n v="3.9710000000000001"/>
    <n v="116610022"/>
    <x v="2"/>
  </r>
  <r>
    <x v="16"/>
    <x v="8"/>
    <x v="33"/>
    <n v="0.59050000000000002"/>
    <n v="219911"/>
    <x v="2"/>
  </r>
  <r>
    <x v="17"/>
    <x v="9"/>
    <x v="15"/>
    <n v="4419"/>
    <n v="346380"/>
    <x v="2"/>
  </r>
  <r>
    <x v="17"/>
    <x v="9"/>
    <x v="67"/>
    <n v="96"/>
    <n v="15072"/>
    <x v="2"/>
  </r>
  <r>
    <x v="18"/>
    <x v="0"/>
    <x v="43"/>
    <n v="5.87"/>
    <n v="209070903"/>
    <x v="2"/>
  </r>
  <r>
    <x v="18"/>
    <x v="0"/>
    <x v="37"/>
    <n v="0.3"/>
    <n v="10975584"/>
    <x v="2"/>
  </r>
  <r>
    <x v="18"/>
    <x v="8"/>
    <x v="43"/>
    <n v="0.45"/>
    <n v="193308"/>
    <x v="2"/>
  </r>
  <r>
    <x v="19"/>
    <x v="9"/>
    <x v="46"/>
    <n v="202"/>
    <n v="89494"/>
    <x v="2"/>
  </r>
  <r>
    <x v="19"/>
    <x v="9"/>
    <x v="45"/>
    <n v="4256"/>
    <n v="147967.08499999999"/>
    <x v="2"/>
  </r>
  <r>
    <x v="19"/>
    <x v="10"/>
    <x v="8"/>
    <n v="6967"/>
    <n v="1032507"/>
    <x v="2"/>
  </r>
  <r>
    <x v="19"/>
    <x v="9"/>
    <x v="13"/>
    <n v="2315"/>
    <n v="227758"/>
    <x v="2"/>
  </r>
  <r>
    <x v="19"/>
    <x v="9"/>
    <x v="8"/>
    <n v="10119"/>
    <n v="310901"/>
    <x v="2"/>
  </r>
  <r>
    <x v="10"/>
    <x v="1"/>
    <x v="13"/>
    <n v="28463.793000000001"/>
    <n v="704336"/>
    <x v="2"/>
  </r>
  <r>
    <x v="10"/>
    <x v="1"/>
    <x v="68"/>
    <n v="432"/>
    <n v="19404"/>
    <x v="2"/>
  </r>
  <r>
    <x v="10"/>
    <x v="1"/>
    <x v="61"/>
    <n v="25"/>
    <n v="2100"/>
    <x v="2"/>
  </r>
  <r>
    <x v="10"/>
    <x v="1"/>
    <x v="18"/>
    <n v="1215"/>
    <n v="68362"/>
    <x v="2"/>
  </r>
  <r>
    <x v="11"/>
    <x v="9"/>
    <x v="15"/>
    <n v="68552.460000000006"/>
    <n v="3076614.29"/>
    <x v="2"/>
  </r>
  <r>
    <x v="11"/>
    <x v="9"/>
    <x v="48"/>
    <n v="113779.51999999999"/>
    <n v="5023960.91"/>
    <x v="2"/>
  </r>
  <r>
    <x v="13"/>
    <x v="2"/>
    <x v="69"/>
    <n v="25.961367917693099"/>
    <n v="29427.140164498109"/>
    <x v="2"/>
  </r>
  <r>
    <x v="13"/>
    <x v="2"/>
    <x v="4"/>
    <n v="19062.319831908419"/>
    <n v="2269378.7576339003"/>
    <x v="2"/>
  </r>
  <r>
    <x v="13"/>
    <x v="2"/>
    <x v="65"/>
    <n v="585.98516157078689"/>
    <n v="32046.120659218006"/>
    <x v="2"/>
  </r>
  <r>
    <x v="13"/>
    <x v="2"/>
    <x v="66"/>
    <n v="3898.6557078684245"/>
    <n v="415843.5509345638"/>
    <x v="2"/>
  </r>
  <r>
    <x v="13"/>
    <x v="2"/>
    <x v="3"/>
    <n v="229612.72241124476"/>
    <n v="14488292.06012967"/>
    <x v="2"/>
  </r>
  <r>
    <x v="13"/>
    <x v="2"/>
    <x v="40"/>
    <n v="2756.3555194899286"/>
    <n v="350521.37047815073"/>
    <x v="2"/>
  </r>
  <r>
    <x v="0"/>
    <x v="0"/>
    <x v="0"/>
    <n v="0.04"/>
    <n v="493759"/>
    <x v="2"/>
  </r>
  <r>
    <x v="12"/>
    <x v="1"/>
    <x v="50"/>
    <n v="111355"/>
    <n v="4149920"/>
    <x v="2"/>
  </r>
  <r>
    <x v="12"/>
    <x v="1"/>
    <x v="67"/>
    <n v="4369"/>
    <n v="180328"/>
    <x v="2"/>
  </r>
  <r>
    <x v="12"/>
    <x v="1"/>
    <x v="26"/>
    <n v="172301"/>
    <n v="6114970"/>
    <x v="2"/>
  </r>
  <r>
    <x v="12"/>
    <x v="1"/>
    <x v="60"/>
    <n v="21697"/>
    <n v="788303"/>
    <x v="2"/>
  </r>
  <r>
    <x v="20"/>
    <x v="5"/>
    <x v="70"/>
    <n v="5063.43"/>
    <n v="4248200.3047599997"/>
    <x v="2"/>
  </r>
  <r>
    <x v="20"/>
    <x v="5"/>
    <x v="60"/>
    <n v="3680.11"/>
    <n v="2752602.4303799998"/>
    <x v="2"/>
  </r>
  <r>
    <x v="20"/>
    <x v="5"/>
    <x v="13"/>
    <n v="20771.29"/>
    <n v="15726638.49673"/>
    <x v="2"/>
  </r>
  <r>
    <x v="20"/>
    <x v="5"/>
    <x v="48"/>
    <n v="2181.85"/>
    <n v="1628909.7362299999"/>
    <x v="2"/>
  </r>
  <r>
    <x v="20"/>
    <x v="5"/>
    <x v="20"/>
    <n v="1556.34"/>
    <n v="1180139.47416"/>
    <x v="2"/>
  </r>
  <r>
    <x v="20"/>
    <x v="5"/>
    <x v="33"/>
    <n v="597.67999999999995"/>
    <n v="498805.38929999998"/>
    <x v="2"/>
  </r>
  <r>
    <x v="20"/>
    <x v="5"/>
    <x v="34"/>
    <n v="496.23"/>
    <n v="391062.13699999999"/>
    <x v="2"/>
  </r>
  <r>
    <x v="20"/>
    <x v="5"/>
    <x v="5"/>
    <n v="34272.43"/>
    <n v="13845620.41945"/>
    <x v="2"/>
  </r>
  <r>
    <x v="20"/>
    <x v="5"/>
    <x v="15"/>
    <n v="2508.9699999999998"/>
    <n v="2124263.9149000002"/>
    <x v="2"/>
  </r>
  <r>
    <x v="20"/>
    <x v="5"/>
    <x v="32"/>
    <n v="5248.08"/>
    <n v="4010259.3870199998"/>
    <x v="2"/>
  </r>
  <r>
    <x v="20"/>
    <x v="5"/>
    <x v="1"/>
    <n v="1978.11"/>
    <n v="1502838.1288099999"/>
    <x v="2"/>
  </r>
  <r>
    <x v="20"/>
    <x v="5"/>
    <x v="36"/>
    <n v="1387.95"/>
    <n v="995666.12349999999"/>
    <x v="2"/>
  </r>
  <r>
    <x v="20"/>
    <x v="5"/>
    <x v="17"/>
    <n v="2756.4"/>
    <n v="2393914.5085900002"/>
    <x v="2"/>
  </r>
  <r>
    <x v="20"/>
    <x v="5"/>
    <x v="18"/>
    <n v="758.2"/>
    <n v="591401.28084999998"/>
    <x v="2"/>
  </r>
  <r>
    <x v="20"/>
    <x v="12"/>
    <x v="0"/>
    <n v="360"/>
    <n v="199093.56640000001"/>
    <x v="2"/>
  </r>
  <r>
    <x v="20"/>
    <x v="12"/>
    <x v="45"/>
    <n v="320"/>
    <n v="216863.56151999999"/>
    <x v="2"/>
  </r>
  <r>
    <x v="20"/>
    <x v="12"/>
    <x v="17"/>
    <n v="500"/>
    <n v="364169.31364000001"/>
    <x v="2"/>
  </r>
  <r>
    <x v="20"/>
    <x v="12"/>
    <x v="71"/>
    <n v="2420"/>
    <n v="1717755.8224899999"/>
    <x v="2"/>
  </r>
  <r>
    <x v="20"/>
    <x v="12"/>
    <x v="13"/>
    <n v="440"/>
    <n v="288831.20821999997"/>
    <x v="2"/>
  </r>
  <r>
    <x v="20"/>
    <x v="13"/>
    <x v="5"/>
    <n v="58202.66"/>
    <n v="8111212.1277700001"/>
    <x v="2"/>
  </r>
  <r>
    <x v="20"/>
    <x v="13"/>
    <x v="20"/>
    <n v="58558.55"/>
    <n v="7308121.1622900004"/>
    <x v="2"/>
  </r>
  <r>
    <x v="20"/>
    <x v="13"/>
    <x v="72"/>
    <n v="323629.34999999998"/>
    <n v="33912201.300130002"/>
    <x v="2"/>
  </r>
  <r>
    <x v="20"/>
    <x v="13"/>
    <x v="73"/>
    <n v="40.19"/>
    <n v="12976.71925"/>
    <x v="2"/>
  </r>
  <r>
    <x v="20"/>
    <x v="13"/>
    <x v="70"/>
    <n v="71568.34"/>
    <n v="8736371.4622499999"/>
    <x v="2"/>
  </r>
  <r>
    <x v="20"/>
    <x v="14"/>
    <x v="5"/>
    <n v="1500"/>
    <n v="632107.36835"/>
    <x v="2"/>
  </r>
  <r>
    <x v="20"/>
    <x v="14"/>
    <x v="0"/>
    <n v="1900"/>
    <n v="804825.57348000002"/>
    <x v="2"/>
  </r>
  <r>
    <x v="20"/>
    <x v="14"/>
    <x v="45"/>
    <n v="860"/>
    <n v="362615.40849"/>
    <x v="2"/>
  </r>
  <r>
    <x v="20"/>
    <x v="14"/>
    <x v="17"/>
    <n v="60"/>
    <n v="26067.752629999999"/>
    <x v="2"/>
  </r>
  <r>
    <x v="20"/>
    <x v="14"/>
    <x v="48"/>
    <n v="380"/>
    <n v="159543.43376000001"/>
    <x v="2"/>
  </r>
  <r>
    <x v="20"/>
    <x v="14"/>
    <x v="6"/>
    <n v="80"/>
    <n v="34014.129979999998"/>
    <x v="2"/>
  </r>
  <r>
    <x v="20"/>
    <x v="14"/>
    <x v="73"/>
    <n v="860"/>
    <n v="360249.74660000001"/>
    <x v="2"/>
  </r>
  <r>
    <x v="19"/>
    <x v="10"/>
    <x v="46"/>
    <n v="101.9"/>
    <n v="9090.6"/>
    <x v="3"/>
  </r>
  <r>
    <x v="14"/>
    <x v="2"/>
    <x v="4"/>
    <n v="279842"/>
    <n v="11630495"/>
    <x v="3"/>
  </r>
  <r>
    <x v="14"/>
    <x v="2"/>
    <x v="66"/>
    <n v="90"/>
    <n v="3645"/>
    <x v="3"/>
  </r>
  <r>
    <x v="14"/>
    <x v="2"/>
    <x v="3"/>
    <n v="764522"/>
    <n v="30410987"/>
    <x v="3"/>
  </r>
  <r>
    <x v="14"/>
    <x v="2"/>
    <x v="40"/>
    <n v="7683"/>
    <n v="314997"/>
    <x v="3"/>
  </r>
  <r>
    <x v="21"/>
    <x v="15"/>
    <x v="4"/>
    <n v="28407"/>
    <n v="291015.65000000002"/>
    <x v="3"/>
  </r>
  <r>
    <x v="2"/>
    <x v="2"/>
    <x v="4"/>
    <n v="84807"/>
    <n v="3137477"/>
    <x v="3"/>
  </r>
  <r>
    <x v="2"/>
    <x v="2"/>
    <x v="66"/>
    <n v="6793"/>
    <n v="246779"/>
    <x v="3"/>
  </r>
  <r>
    <x v="2"/>
    <x v="2"/>
    <x v="3"/>
    <n v="272099"/>
    <n v="10352331"/>
    <x v="3"/>
  </r>
  <r>
    <x v="22"/>
    <x v="3"/>
    <x v="5"/>
    <n v="9396"/>
    <n v="518248"/>
    <x v="3"/>
  </r>
  <r>
    <x v="23"/>
    <x v="1"/>
    <x v="1"/>
    <n v="52576"/>
    <n v="1597344.93"/>
    <x v="3"/>
  </r>
  <r>
    <x v="15"/>
    <x v="11"/>
    <x v="3"/>
    <n v="208942"/>
    <n v="18354288"/>
    <x v="3"/>
  </r>
  <r>
    <x v="15"/>
    <x v="11"/>
    <x v="4"/>
    <n v="11207"/>
    <n v="2378738"/>
    <x v="3"/>
  </r>
  <r>
    <x v="15"/>
    <x v="11"/>
    <x v="65"/>
    <n v="45"/>
    <n v="9450"/>
    <x v="3"/>
  </r>
  <r>
    <x v="15"/>
    <x v="11"/>
    <x v="40"/>
    <n v="24"/>
    <n v="5808"/>
    <x v="3"/>
  </r>
  <r>
    <x v="15"/>
    <x v="11"/>
    <x v="29"/>
    <n v="34930"/>
    <n v="9588152"/>
    <x v="3"/>
  </r>
  <r>
    <x v="15"/>
    <x v="6"/>
    <x v="15"/>
    <n v="4462"/>
    <n v="2136176"/>
    <x v="3"/>
  </r>
  <r>
    <x v="15"/>
    <x v="6"/>
    <x v="1"/>
    <n v="449962"/>
    <n v="263836896"/>
    <x v="3"/>
  </r>
  <r>
    <x v="15"/>
    <x v="6"/>
    <x v="29"/>
    <n v="43473"/>
    <n v="25901182"/>
    <x v="3"/>
  </r>
  <r>
    <x v="16"/>
    <x v="0"/>
    <x v="33"/>
    <n v="3.9935"/>
    <n v="123373492"/>
    <x v="3"/>
  </r>
  <r>
    <x v="16"/>
    <x v="8"/>
    <x v="33"/>
    <n v="0.28789999999999999"/>
    <n v="129693"/>
    <x v="3"/>
  </r>
  <r>
    <x v="17"/>
    <x v="9"/>
    <x v="15"/>
    <n v="6181"/>
    <n v="416709"/>
    <x v="3"/>
  </r>
  <r>
    <x v="17"/>
    <x v="9"/>
    <x v="67"/>
    <n v="32"/>
    <n v="4896"/>
    <x v="3"/>
  </r>
  <r>
    <x v="17"/>
    <x v="9"/>
    <x v="3"/>
    <n v="7"/>
    <n v="900"/>
    <x v="3"/>
  </r>
  <r>
    <x v="18"/>
    <x v="0"/>
    <x v="12"/>
    <n v="5.42"/>
    <n v="176991434"/>
    <x v="3"/>
  </r>
  <r>
    <x v="18"/>
    <x v="0"/>
    <x v="43"/>
    <n v="4.09"/>
    <n v="133917185"/>
    <x v="3"/>
  </r>
  <r>
    <x v="18"/>
    <x v="0"/>
    <x v="29"/>
    <n v="1.88"/>
    <n v="60940508"/>
    <x v="3"/>
  </r>
  <r>
    <x v="18"/>
    <x v="0"/>
    <x v="37"/>
    <n v="0.49"/>
    <n v="9844743"/>
    <x v="3"/>
  </r>
  <r>
    <x v="18"/>
    <x v="8"/>
    <x v="12"/>
    <n v="0.5"/>
    <n v="208597"/>
    <x v="3"/>
  </r>
  <r>
    <x v="18"/>
    <x v="8"/>
    <x v="29"/>
    <n v="0.14000000000000001"/>
    <n v="62161"/>
    <x v="3"/>
  </r>
  <r>
    <x v="18"/>
    <x v="8"/>
    <x v="43"/>
    <n v="0.39"/>
    <n v="182303"/>
    <x v="3"/>
  </r>
  <r>
    <x v="19"/>
    <x v="9"/>
    <x v="8"/>
    <n v="5066.51"/>
    <n v="178986.22899999999"/>
    <x v="3"/>
  </r>
  <r>
    <x v="19"/>
    <x v="10"/>
    <x v="8"/>
    <n v="15261.31"/>
    <n v="125263.87699999999"/>
    <x v="3"/>
  </r>
  <r>
    <x v="19"/>
    <x v="9"/>
    <x v="37"/>
    <n v="4453.4799999999996"/>
    <n v="141287"/>
    <x v="3"/>
  </r>
  <r>
    <x v="10"/>
    <x v="1"/>
    <x v="13"/>
    <n v="24929"/>
    <n v="842275"/>
    <x v="3"/>
  </r>
  <r>
    <x v="10"/>
    <x v="1"/>
    <x v="1"/>
    <n v="65999"/>
    <n v="2641247"/>
    <x v="3"/>
  </r>
  <r>
    <x v="10"/>
    <x v="1"/>
    <x v="18"/>
    <n v="1809"/>
    <n v="101860"/>
    <x v="3"/>
  </r>
  <r>
    <x v="10"/>
    <x v="1"/>
    <x v="61"/>
    <n v="50"/>
    <n v="5990"/>
    <x v="3"/>
  </r>
  <r>
    <x v="10"/>
    <x v="1"/>
    <x v="74"/>
    <n v="5500"/>
    <n v="580051"/>
    <x v="3"/>
  </r>
  <r>
    <x v="12"/>
    <x v="1"/>
    <x v="50"/>
    <n v="178000"/>
    <n v="7334738"/>
    <x v="3"/>
  </r>
  <r>
    <x v="12"/>
    <x v="1"/>
    <x v="29"/>
    <n v="234000"/>
    <n v="10462469"/>
    <x v="3"/>
  </r>
  <r>
    <x v="24"/>
    <x v="9"/>
    <x v="15"/>
    <n v="62458.65"/>
    <n v="2768796"/>
    <x v="3"/>
  </r>
  <r>
    <x v="24"/>
    <x v="9"/>
    <x v="25"/>
    <n v="43439.54"/>
    <n v="1879936"/>
    <x v="3"/>
  </r>
  <r>
    <x v="24"/>
    <x v="9"/>
    <x v="37"/>
    <n v="60741.440000000002"/>
    <n v="2691172"/>
    <x v="3"/>
  </r>
  <r>
    <x v="25"/>
    <x v="15"/>
    <x v="4"/>
    <n v="8030"/>
    <n v="73700"/>
    <x v="3"/>
  </r>
  <r>
    <x v="26"/>
    <x v="5"/>
    <x v="33"/>
    <n v="2309.6159999999995"/>
    <n v="2001126.4685800003"/>
    <x v="3"/>
  </r>
  <r>
    <x v="26"/>
    <x v="5"/>
    <x v="75"/>
    <n v="619.26800000000003"/>
    <n v="558707.98763999995"/>
    <x v="3"/>
  </r>
  <r>
    <x v="26"/>
    <x v="5"/>
    <x v="5"/>
    <n v="35558.684199999996"/>
    <n v="14902128.235380001"/>
    <x v="3"/>
  </r>
  <r>
    <x v="26"/>
    <x v="5"/>
    <x v="37"/>
    <n v="300.08499999999998"/>
    <n v="351597.18469000002"/>
    <x v="3"/>
  </r>
  <r>
    <x v="26"/>
    <x v="5"/>
    <x v="15"/>
    <n v="1119.3595"/>
    <n v="1109867.79715"/>
    <x v="3"/>
  </r>
  <r>
    <x v="26"/>
    <x v="5"/>
    <x v="37"/>
    <n v="6480.8940999999968"/>
    <n v="5557799.0921600042"/>
    <x v="3"/>
  </r>
  <r>
    <x v="26"/>
    <x v="5"/>
    <x v="1"/>
    <n v="1039.0385000000001"/>
    <n v="1042153.1654000002"/>
    <x v="3"/>
  </r>
  <r>
    <x v="26"/>
    <x v="5"/>
    <x v="36"/>
    <n v="2885.9524999999999"/>
    <n v="2717676.9518199302"/>
    <x v="3"/>
  </r>
  <r>
    <x v="26"/>
    <x v="5"/>
    <x v="31"/>
    <n v="2879.1080000000002"/>
    <n v="2758103.0019700001"/>
    <x v="3"/>
  </r>
  <r>
    <x v="26"/>
    <x v="5"/>
    <x v="20"/>
    <n v="2775.441600000001"/>
    <n v="2344653.1494401768"/>
    <x v="3"/>
  </r>
  <r>
    <x v="26"/>
    <x v="5"/>
    <x v="25"/>
    <n v="2577.6365500000006"/>
    <n v="2281101.95169"/>
    <x v="3"/>
  </r>
  <r>
    <x v="26"/>
    <x v="5"/>
    <x v="31"/>
    <n v="120.10900000000001"/>
    <n v="120119.87887999999"/>
    <x v="3"/>
  </r>
  <r>
    <x v="26"/>
    <x v="5"/>
    <x v="6"/>
    <n v="60.036000000000001"/>
    <n v="80951.319439999992"/>
    <x v="3"/>
  </r>
  <r>
    <x v="26"/>
    <x v="5"/>
    <x v="13"/>
    <n v="20863.316770000005"/>
    <n v="16640765.66472717"/>
    <x v="3"/>
  </r>
  <r>
    <x v="26"/>
    <x v="5"/>
    <x v="60"/>
    <n v="2159.0410000000002"/>
    <n v="1757209.8294445737"/>
    <x v="3"/>
  </r>
  <r>
    <x v="26"/>
    <x v="5"/>
    <x v="76"/>
    <n v="8451.1457499999997"/>
    <n v="7518645.6232700003"/>
    <x v="3"/>
  </r>
  <r>
    <x v="26"/>
    <x v="12"/>
    <x v="5"/>
    <n v="340"/>
    <n v="305068.61152000003"/>
    <x v="3"/>
  </r>
  <r>
    <x v="26"/>
    <x v="12"/>
    <x v="0"/>
    <n v="180"/>
    <n v="148071.38271999999"/>
    <x v="3"/>
  </r>
  <r>
    <x v="26"/>
    <x v="12"/>
    <x v="37"/>
    <n v="400"/>
    <n v="328109.07499999995"/>
    <x v="3"/>
  </r>
  <r>
    <x v="26"/>
    <x v="12"/>
    <x v="37"/>
    <n v="22"/>
    <n v="17871.617830000003"/>
    <x v="3"/>
  </r>
  <r>
    <x v="26"/>
    <x v="12"/>
    <x v="17"/>
    <n v="760"/>
    <n v="602427.69201"/>
    <x v="3"/>
  </r>
  <r>
    <x v="26"/>
    <x v="12"/>
    <x v="25"/>
    <n v="40"/>
    <n v="36020.011119999996"/>
    <x v="3"/>
  </r>
  <r>
    <x v="26"/>
    <x v="12"/>
    <x v="77"/>
    <n v="2420"/>
    <n v="1963190.0984000005"/>
    <x v="3"/>
  </r>
  <r>
    <x v="26"/>
    <x v="12"/>
    <x v="13"/>
    <n v="220"/>
    <n v="155358.53165999998"/>
    <x v="3"/>
  </r>
  <r>
    <x v="26"/>
    <x v="12"/>
    <x v="78"/>
    <n v="80"/>
    <n v="73560.967730000004"/>
    <x v="3"/>
  </r>
  <r>
    <x v="26"/>
    <x v="13"/>
    <x v="5"/>
    <n v="81105.237000000008"/>
    <n v="17959737.220410001"/>
    <x v="3"/>
  </r>
  <r>
    <x v="26"/>
    <x v="13"/>
    <x v="17"/>
    <n v="0"/>
    <n v="1429.38822"/>
    <x v="3"/>
  </r>
  <r>
    <x v="26"/>
    <x v="13"/>
    <x v="20"/>
    <n v="17009.466"/>
    <n v="2156851.5554400003"/>
    <x v="3"/>
  </r>
  <r>
    <x v="26"/>
    <x v="13"/>
    <x v="31"/>
    <n v="324075.29599999991"/>
    <n v="39921467.48189"/>
    <x v="3"/>
  </r>
  <r>
    <x v="26"/>
    <x v="13"/>
    <x v="77"/>
    <n v="60"/>
    <n v="24055.113090000003"/>
    <x v="3"/>
  </r>
  <r>
    <x v="26"/>
    <x v="13"/>
    <x v="76"/>
    <n v="134155.91899999999"/>
    <n v="18572613.619449995"/>
    <x v="3"/>
  </r>
  <r>
    <x v="26"/>
    <x v="14"/>
    <x v="5"/>
    <n v="1680"/>
    <n v="824410.01839999983"/>
    <x v="3"/>
  </r>
  <r>
    <x v="26"/>
    <x v="14"/>
    <x v="0"/>
    <n v="1740"/>
    <n v="867223.27763999975"/>
    <x v="3"/>
  </r>
  <r>
    <x v="26"/>
    <x v="14"/>
    <x v="37"/>
    <n v="580"/>
    <n v="304557.73035999999"/>
    <x v="3"/>
  </r>
  <r>
    <x v="26"/>
    <x v="14"/>
    <x v="37"/>
    <n v="20"/>
    <n v="11875.693670000001"/>
    <x v="3"/>
  </r>
  <r>
    <x v="26"/>
    <x v="14"/>
    <x v="17"/>
    <n v="260"/>
    <n v="139195.75154"/>
    <x v="3"/>
  </r>
  <r>
    <x v="26"/>
    <x v="14"/>
    <x v="25"/>
    <n v="840"/>
    <n v="491357.26504999993"/>
    <x v="3"/>
  </r>
  <r>
    <x v="26"/>
    <x v="14"/>
    <x v="51"/>
    <n v="40"/>
    <n v="27335.64014"/>
    <x v="3"/>
  </r>
  <r>
    <x v="26"/>
    <x v="14"/>
    <x v="6"/>
    <n v="460"/>
    <n v="246666.86753999998"/>
    <x v="3"/>
  </r>
  <r>
    <x v="26"/>
    <x v="14"/>
    <x v="77"/>
    <n v="1340"/>
    <n v="683278.77962000016"/>
    <x v="3"/>
  </r>
  <r>
    <x v="27"/>
    <x v="16"/>
    <x v="3"/>
    <n v="341082.58"/>
    <n v="8910597"/>
    <x v="3"/>
  </r>
  <r>
    <x v="27"/>
    <x v="2"/>
    <x v="3"/>
    <n v="287290.23999999999"/>
    <n v="11860404"/>
    <x v="3"/>
  </r>
  <r>
    <x v="27"/>
    <x v="2"/>
    <x v="66"/>
    <n v="1395.3"/>
    <n v="74945"/>
    <x v="3"/>
  </r>
  <r>
    <x v="27"/>
    <x v="2"/>
    <x v="4"/>
    <n v="82744.429999999993"/>
    <n v="3315486"/>
    <x v="3"/>
  </r>
  <r>
    <x v="27"/>
    <x v="2"/>
    <x v="65"/>
    <n v="83"/>
    <n v="3320"/>
    <x v="3"/>
  </r>
  <r>
    <x v="27"/>
    <x v="2"/>
    <x v="40"/>
    <n v="6359.35"/>
    <n v="249126"/>
    <x v="3"/>
  </r>
  <r>
    <x v="23"/>
    <x v="1"/>
    <x v="1"/>
    <n v="23001"/>
    <n v="1023137"/>
    <x v="4"/>
  </r>
  <r>
    <x v="23"/>
    <x v="1"/>
    <x v="1"/>
    <n v="26105"/>
    <n v="1460215"/>
    <x v="4"/>
  </r>
  <r>
    <x v="14"/>
    <x v="2"/>
    <x v="39"/>
    <n v="400"/>
    <n v="18200"/>
    <x v="4"/>
  </r>
  <r>
    <x v="14"/>
    <x v="2"/>
    <x v="4"/>
    <n v="485904"/>
    <n v="21800120"/>
    <x v="4"/>
  </r>
  <r>
    <x v="14"/>
    <x v="2"/>
    <x v="65"/>
    <n v="110"/>
    <n v="4785"/>
    <x v="4"/>
  </r>
  <r>
    <x v="14"/>
    <x v="2"/>
    <x v="66"/>
    <n v="2930"/>
    <n v="134463"/>
    <x v="4"/>
  </r>
  <r>
    <x v="14"/>
    <x v="2"/>
    <x v="3"/>
    <n v="586238"/>
    <n v="27805009"/>
    <x v="4"/>
  </r>
  <r>
    <x v="14"/>
    <x v="2"/>
    <x v="40"/>
    <n v="36830"/>
    <n v="1572723"/>
    <x v="4"/>
  </r>
  <r>
    <x v="21"/>
    <x v="15"/>
    <x v="4"/>
    <n v="47949.86"/>
    <n v="390487.02299999999"/>
    <x v="4"/>
  </r>
  <r>
    <x v="2"/>
    <x v="2"/>
    <x v="39"/>
    <n v="3396"/>
    <n v="130813"/>
    <x v="4"/>
  </r>
  <r>
    <x v="2"/>
    <x v="2"/>
    <x v="4"/>
    <n v="65923"/>
    <n v="2585006"/>
    <x v="4"/>
  </r>
  <r>
    <x v="2"/>
    <x v="2"/>
    <x v="66"/>
    <n v="13462"/>
    <n v="532510"/>
    <x v="4"/>
  </r>
  <r>
    <x v="2"/>
    <x v="2"/>
    <x v="3"/>
    <n v="125865"/>
    <n v="5710850"/>
    <x v="4"/>
  </r>
  <r>
    <x v="22"/>
    <x v="3"/>
    <x v="5"/>
    <n v="31093.338"/>
    <n v="1263388"/>
    <x v="4"/>
  </r>
  <r>
    <x v="26"/>
    <x v="14"/>
    <x v="6"/>
    <n v="100"/>
    <n v="76434"/>
    <x v="4"/>
  </r>
  <r>
    <x v="26"/>
    <x v="5"/>
    <x v="32"/>
    <n v="66"/>
    <n v="82182"/>
    <x v="4"/>
  </r>
  <r>
    <x v="26"/>
    <x v="5"/>
    <x v="32"/>
    <n v="1678"/>
    <n v="2119199"/>
    <x v="4"/>
  </r>
  <r>
    <x v="26"/>
    <x v="14"/>
    <x v="32"/>
    <n v="40"/>
    <n v="29665"/>
    <x v="4"/>
  </r>
  <r>
    <x v="26"/>
    <x v="5"/>
    <x v="45"/>
    <n v="160"/>
    <n v="205256"/>
    <x v="4"/>
  </r>
  <r>
    <x v="26"/>
    <x v="12"/>
    <x v="45"/>
    <n v="100"/>
    <n v="131315"/>
    <x v="4"/>
  </r>
  <r>
    <x v="26"/>
    <x v="14"/>
    <x v="45"/>
    <n v="120"/>
    <n v="87598"/>
    <x v="4"/>
  </r>
  <r>
    <x v="26"/>
    <x v="5"/>
    <x v="33"/>
    <n v="680"/>
    <n v="879535"/>
    <x v="4"/>
  </r>
  <r>
    <x v="26"/>
    <x v="5"/>
    <x v="34"/>
    <n v="140"/>
    <n v="176061"/>
    <x v="4"/>
  </r>
  <r>
    <x v="26"/>
    <x v="5"/>
    <x v="5"/>
    <n v="1553"/>
    <n v="1972278"/>
    <x v="4"/>
  </r>
  <r>
    <x v="26"/>
    <x v="5"/>
    <x v="5"/>
    <n v="368"/>
    <n v="436921"/>
    <x v="4"/>
  </r>
  <r>
    <x v="26"/>
    <x v="12"/>
    <x v="5"/>
    <n v="80"/>
    <n v="96661"/>
    <x v="4"/>
  </r>
  <r>
    <x v="26"/>
    <x v="14"/>
    <x v="5"/>
    <n v="400"/>
    <n v="303853"/>
    <x v="4"/>
  </r>
  <r>
    <x v="26"/>
    <x v="5"/>
    <x v="5"/>
    <n v="6416"/>
    <n v="2188305"/>
    <x v="4"/>
  </r>
  <r>
    <x v="26"/>
    <x v="12"/>
    <x v="73"/>
    <n v="580"/>
    <n v="634237"/>
    <x v="4"/>
  </r>
  <r>
    <x v="26"/>
    <x v="14"/>
    <x v="73"/>
    <n v="400"/>
    <n v="298442"/>
    <x v="4"/>
  </r>
  <r>
    <x v="26"/>
    <x v="13"/>
    <x v="73"/>
    <n v="40"/>
    <n v="23022"/>
    <x v="4"/>
  </r>
  <r>
    <x v="26"/>
    <x v="12"/>
    <x v="79"/>
    <n v="60"/>
    <n v="63698"/>
    <x v="4"/>
  </r>
  <r>
    <x v="26"/>
    <x v="12"/>
    <x v="79"/>
    <n v="20"/>
    <n v="26978"/>
    <x v="4"/>
  </r>
  <r>
    <x v="26"/>
    <x v="14"/>
    <x v="79"/>
    <n v="440"/>
    <n v="341151"/>
    <x v="4"/>
  </r>
  <r>
    <x v="26"/>
    <x v="5"/>
    <x v="13"/>
    <n v="1763"/>
    <n v="2159428"/>
    <x v="4"/>
  </r>
  <r>
    <x v="26"/>
    <x v="5"/>
    <x v="13"/>
    <n v="3591"/>
    <n v="4215746"/>
    <x v="4"/>
  </r>
  <r>
    <x v="26"/>
    <x v="12"/>
    <x v="13"/>
    <n v="60"/>
    <n v="64976"/>
    <x v="4"/>
  </r>
  <r>
    <x v="26"/>
    <x v="5"/>
    <x v="14"/>
    <n v="2241"/>
    <n v="2673377"/>
    <x v="4"/>
  </r>
  <r>
    <x v="26"/>
    <x v="13"/>
    <x v="14"/>
    <n v="29005"/>
    <n v="5376147"/>
    <x v="4"/>
  </r>
  <r>
    <x v="26"/>
    <x v="5"/>
    <x v="15"/>
    <n v="26783"/>
    <n v="37837012"/>
    <x v="4"/>
  </r>
  <r>
    <x v="26"/>
    <x v="5"/>
    <x v="15"/>
    <n v="16915"/>
    <n v="22797650"/>
    <x v="4"/>
  </r>
  <r>
    <x v="26"/>
    <x v="12"/>
    <x v="15"/>
    <n v="2840"/>
    <n v="3827195"/>
    <x v="4"/>
  </r>
  <r>
    <x v="26"/>
    <x v="14"/>
    <x v="15"/>
    <n v="4540"/>
    <n v="4153250"/>
    <x v="4"/>
  </r>
  <r>
    <x v="26"/>
    <x v="5"/>
    <x v="15"/>
    <n v="25033"/>
    <n v="6221776"/>
    <x v="4"/>
  </r>
  <r>
    <x v="26"/>
    <x v="13"/>
    <x v="15"/>
    <n v="255142"/>
    <n v="55201748"/>
    <x v="4"/>
  </r>
  <r>
    <x v="26"/>
    <x v="13"/>
    <x v="15"/>
    <n v="105551"/>
    <n v="23782278"/>
    <x v="4"/>
  </r>
  <r>
    <x v="26"/>
    <x v="13"/>
    <x v="15"/>
    <n v="35216"/>
    <n v="7578110"/>
    <x v="4"/>
  </r>
  <r>
    <x v="26"/>
    <x v="5"/>
    <x v="1"/>
    <n v="64"/>
    <n v="79007"/>
    <x v="4"/>
  </r>
  <r>
    <x v="26"/>
    <x v="5"/>
    <x v="1"/>
    <n v="234"/>
    <n v="298525"/>
    <x v="4"/>
  </r>
  <r>
    <x v="26"/>
    <x v="12"/>
    <x v="1"/>
    <n v="20"/>
    <n v="15489"/>
    <x v="4"/>
  </r>
  <r>
    <x v="26"/>
    <x v="5"/>
    <x v="36"/>
    <n v="661"/>
    <n v="805311"/>
    <x v="4"/>
  </r>
  <r>
    <x v="26"/>
    <x v="5"/>
    <x v="17"/>
    <n v="899"/>
    <n v="1151481"/>
    <x v="4"/>
  </r>
  <r>
    <x v="26"/>
    <x v="5"/>
    <x v="17"/>
    <n v="120"/>
    <n v="149568"/>
    <x v="4"/>
  </r>
  <r>
    <x v="26"/>
    <x v="12"/>
    <x v="17"/>
    <n v="240"/>
    <n v="237529"/>
    <x v="4"/>
  </r>
  <r>
    <x v="26"/>
    <x v="14"/>
    <x v="17"/>
    <n v="120"/>
    <n v="99738"/>
    <x v="4"/>
  </r>
  <r>
    <x v="26"/>
    <x v="5"/>
    <x v="24"/>
    <n v="80"/>
    <n v="100225"/>
    <x v="4"/>
  </r>
  <r>
    <x v="26"/>
    <x v="13"/>
    <x v="24"/>
    <n v="101793"/>
    <n v="17574924"/>
    <x v="4"/>
  </r>
  <r>
    <x v="26"/>
    <x v="5"/>
    <x v="25"/>
    <n v="110"/>
    <n v="137807"/>
    <x v="4"/>
  </r>
  <r>
    <x v="26"/>
    <x v="5"/>
    <x v="25"/>
    <n v="463"/>
    <n v="569141"/>
    <x v="4"/>
  </r>
  <r>
    <x v="26"/>
    <x v="12"/>
    <x v="25"/>
    <n v="100"/>
    <n v="126512"/>
    <x v="4"/>
  </r>
  <r>
    <x v="26"/>
    <x v="14"/>
    <x v="25"/>
    <n v="180"/>
    <n v="142683"/>
    <x v="4"/>
  </r>
  <r>
    <x v="26"/>
    <x v="12"/>
    <x v="78"/>
    <n v="60"/>
    <n v="66222"/>
    <x v="4"/>
  </r>
  <r>
    <x v="26"/>
    <x v="5"/>
    <x v="60"/>
    <n v="595"/>
    <n v="738090"/>
    <x v="4"/>
  </r>
  <r>
    <x v="15"/>
    <x v="11"/>
    <x v="39"/>
    <n v="47"/>
    <n v="6063"/>
    <x v="4"/>
  </r>
  <r>
    <x v="15"/>
    <x v="11"/>
    <x v="4"/>
    <n v="2455"/>
    <n v="795369"/>
    <x v="4"/>
  </r>
  <r>
    <x v="15"/>
    <x v="11"/>
    <x v="65"/>
    <n v="990"/>
    <n v="379656"/>
    <x v="4"/>
  </r>
  <r>
    <x v="15"/>
    <x v="6"/>
    <x v="1"/>
    <n v="558410.07999999996"/>
    <n v="533842674"/>
    <x v="4"/>
  </r>
  <r>
    <x v="15"/>
    <x v="11"/>
    <x v="3"/>
    <n v="8826"/>
    <n v="2147877"/>
    <x v="4"/>
  </r>
  <r>
    <x v="16"/>
    <x v="0"/>
    <x v="33"/>
    <n v="4.0319337419999997"/>
    <n v="147862816"/>
    <x v="4"/>
  </r>
  <r>
    <x v="17"/>
    <x v="9"/>
    <x v="15"/>
    <n v="9235"/>
    <n v="632832"/>
    <x v="4"/>
  </r>
  <r>
    <x v="17"/>
    <x v="9"/>
    <x v="80"/>
    <n v="64"/>
    <n v="5536"/>
    <x v="4"/>
  </r>
  <r>
    <x v="18"/>
    <x v="0"/>
    <x v="79"/>
    <n v="8.18"/>
    <n v="294263827"/>
    <x v="4"/>
  </r>
  <r>
    <x v="18"/>
    <x v="8"/>
    <x v="79"/>
    <n v="0.71"/>
    <n v="311786"/>
    <x v="4"/>
  </r>
  <r>
    <x v="18"/>
    <x v="0"/>
    <x v="81"/>
    <n v="0.27"/>
    <n v="9648371"/>
    <x v="4"/>
  </r>
  <r>
    <x v="18"/>
    <x v="0"/>
    <x v="29"/>
    <n v="2.19"/>
    <n v="79623653"/>
    <x v="4"/>
  </r>
  <r>
    <x v="18"/>
    <x v="8"/>
    <x v="29"/>
    <n v="0.14000000000000001"/>
    <n v="63121"/>
    <x v="4"/>
  </r>
  <r>
    <x v="19"/>
    <x v="9"/>
    <x v="8"/>
    <n v="5019.2529999999997"/>
    <n v="190957"/>
    <x v="4"/>
  </r>
  <r>
    <x v="19"/>
    <x v="9"/>
    <x v="25"/>
    <n v="2594.2719999999999"/>
    <n v="99543"/>
    <x v="4"/>
  </r>
  <r>
    <x v="19"/>
    <x v="9"/>
    <x v="37"/>
    <n v="3875.5749999999998"/>
    <n v="139823"/>
    <x v="4"/>
  </r>
  <r>
    <x v="28"/>
    <x v="17"/>
    <x v="5"/>
    <n v="9097.5499999999993"/>
    <n v="2225608.912"/>
    <x v="4"/>
  </r>
  <r>
    <x v="10"/>
    <x v="1"/>
    <x v="13"/>
    <n v="2946"/>
    <n v="220322"/>
    <x v="4"/>
  </r>
  <r>
    <x v="10"/>
    <x v="1"/>
    <x v="82"/>
    <n v="40461"/>
    <n v="3434732"/>
    <x v="4"/>
  </r>
  <r>
    <x v="10"/>
    <x v="1"/>
    <x v="83"/>
    <n v="5500"/>
    <n v="785469"/>
    <x v="4"/>
  </r>
  <r>
    <x v="12"/>
    <x v="1"/>
    <x v="8"/>
    <n v="24299"/>
    <n v="3573993"/>
    <x v="4"/>
  </r>
  <r>
    <x v="12"/>
    <x v="1"/>
    <x v="50"/>
    <n v="182942"/>
    <n v="21366392"/>
    <x v="4"/>
  </r>
  <r>
    <x v="12"/>
    <x v="1"/>
    <x v="84"/>
    <n v="2690"/>
    <n v="317593"/>
    <x v="4"/>
  </r>
  <r>
    <x v="12"/>
    <x v="1"/>
    <x v="3"/>
    <n v="8816"/>
    <n v="594500"/>
    <x v="4"/>
  </r>
  <r>
    <x v="12"/>
    <x v="1"/>
    <x v="29"/>
    <n v="148210"/>
    <n v="15223269"/>
    <x v="4"/>
  </r>
  <r>
    <x v="11"/>
    <x v="9"/>
    <x v="15"/>
    <n v="48335.76"/>
    <n v="1274273"/>
    <x v="4"/>
  </r>
  <r>
    <x v="11"/>
    <x v="9"/>
    <x v="25"/>
    <n v="32344.69"/>
    <n v="782772"/>
    <x v="4"/>
  </r>
  <r>
    <x v="11"/>
    <x v="9"/>
    <x v="37"/>
    <n v="60047.25"/>
    <n v="1296784"/>
    <x v="4"/>
  </r>
  <r>
    <x v="13"/>
    <x v="2"/>
    <x v="4"/>
    <n v="44459.73"/>
    <n v="1994599"/>
    <x v="4"/>
  </r>
  <r>
    <x v="13"/>
    <x v="2"/>
    <x v="65"/>
    <n v="1462"/>
    <n v="69090"/>
    <x v="4"/>
  </r>
  <r>
    <x v="13"/>
    <x v="2"/>
    <x v="66"/>
    <n v="533"/>
    <n v="34820"/>
    <x v="4"/>
  </r>
  <r>
    <x v="13"/>
    <x v="16"/>
    <x v="3"/>
    <n v="13645.85"/>
    <n v="504795"/>
    <x v="4"/>
  </r>
  <r>
    <x v="13"/>
    <x v="2"/>
    <x v="3"/>
    <n v="132611.99"/>
    <n v="6031024"/>
    <x v="4"/>
  </r>
  <r>
    <x v="13"/>
    <x v="2"/>
    <x v="40"/>
    <n v="2484.15"/>
    <n v="11180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19" firstHeaderRow="1" firstDataRow="1" firstDataCol="1"/>
  <pivotFields count="18">
    <pivotField axis="axisRow" dataField="1" showAll="0">
      <items count="117">
        <item x="31"/>
        <item x="0"/>
        <item x="32"/>
        <item x="26"/>
        <item x="77"/>
        <item x="1"/>
        <item x="33"/>
        <item x="34"/>
        <item x="2"/>
        <item x="27"/>
        <item x="78"/>
        <item x="35"/>
        <item x="36"/>
        <item x="28"/>
        <item x="3"/>
        <item x="37"/>
        <item x="106"/>
        <item x="4"/>
        <item x="38"/>
        <item x="39"/>
        <item x="29"/>
        <item x="30"/>
        <item x="40"/>
        <item x="114"/>
        <item x="103"/>
        <item x="41"/>
        <item x="79"/>
        <item x="107"/>
        <item x="42"/>
        <item x="80"/>
        <item x="43"/>
        <item x="5"/>
        <item x="81"/>
        <item x="44"/>
        <item x="108"/>
        <item x="82"/>
        <item x="76"/>
        <item x="109"/>
        <item x="45"/>
        <item x="46"/>
        <item x="6"/>
        <item x="83"/>
        <item x="84"/>
        <item x="47"/>
        <item x="85"/>
        <item x="48"/>
        <item x="86"/>
        <item x="49"/>
        <item x="8"/>
        <item x="7"/>
        <item x="50"/>
        <item x="87"/>
        <item x="88"/>
        <item x="51"/>
        <item x="89"/>
        <item x="9"/>
        <item x="10"/>
        <item x="90"/>
        <item x="52"/>
        <item x="53"/>
        <item x="11"/>
        <item x="54"/>
        <item x="55"/>
        <item x="91"/>
        <item x="56"/>
        <item x="57"/>
        <item x="92"/>
        <item x="58"/>
        <item x="12"/>
        <item x="13"/>
        <item x="59"/>
        <item x="60"/>
        <item x="61"/>
        <item x="93"/>
        <item x="62"/>
        <item x="94"/>
        <item x="14"/>
        <item x="63"/>
        <item x="64"/>
        <item x="95"/>
        <item x="65"/>
        <item x="15"/>
        <item x="66"/>
        <item x="16"/>
        <item x="67"/>
        <item x="17"/>
        <item x="68"/>
        <item x="110"/>
        <item x="18"/>
        <item x="111"/>
        <item x="69"/>
        <item x="96"/>
        <item x="112"/>
        <item x="97"/>
        <item x="70"/>
        <item x="19"/>
        <item x="72"/>
        <item x="20"/>
        <item x="25"/>
        <item x="98"/>
        <item x="99"/>
        <item x="21"/>
        <item x="100"/>
        <item x="22"/>
        <item x="23"/>
        <item x="71"/>
        <item x="24"/>
        <item m="1" x="115"/>
        <item x="101"/>
        <item x="113"/>
        <item x="102"/>
        <item x="73"/>
        <item x="104"/>
        <item x="74"/>
        <item x="75"/>
        <item x="105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Items count="1">
    <i/>
  </colItems>
  <dataFields count="1">
    <dataField name="Nombre de Nom de l'entreprise ou Denomination socia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2000000}" name="Tableau croisé dynamique3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8:G50" firstHeaderRow="1" firstDataRow="2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m="1" x="20"/>
        <item x="13"/>
        <item x="5"/>
        <item x="18"/>
        <item x="7"/>
        <item x="3"/>
        <item m="1" x="21"/>
        <item m="1" x="22"/>
        <item x="10"/>
        <item x="0"/>
        <item x="6"/>
        <item x="14"/>
        <item x="4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PRODUCTION EN VALEUR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1000000}" name="Tableau croisé dynamique2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G25" firstHeaderRow="1" firstDataRow="2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m="1" x="20"/>
        <item x="13"/>
        <item x="5"/>
        <item x="18"/>
        <item x="7"/>
        <item x="3"/>
        <item m="1" x="21"/>
        <item m="1" x="22"/>
        <item x="10"/>
        <item x="0"/>
        <item x="6"/>
        <item x="14"/>
        <item x="4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PRODUCTION EN QUANTITE" fld="13" baseField="0" baseItem="0"/>
  </dataFields>
  <formats count="5">
    <format dxfId="85">
      <pivotArea collapsedLevelsAreSubtotals="1" fieldPosition="0">
        <references count="1">
          <reference field="2" count="1">
            <x v="1"/>
          </reference>
        </references>
      </pivotArea>
    </format>
    <format dxfId="84">
      <pivotArea collapsedLevelsAreSubtotals="1" fieldPosition="0">
        <references count="1">
          <reference field="2" count="1">
            <x v="1"/>
          </reference>
        </references>
      </pivotArea>
    </format>
    <format dxfId="83">
      <pivotArea collapsedLevelsAreSubtotals="1" fieldPosition="0">
        <references count="1">
          <reference field="2" count="1">
            <x v="1"/>
          </reference>
        </references>
      </pivotArea>
    </format>
    <format dxfId="82">
      <pivotArea collapsedLevelsAreSubtotals="1" fieldPosition="0">
        <references count="1">
          <reference field="2" count="1">
            <x v="1"/>
          </reference>
        </references>
      </pivotArea>
    </format>
    <format dxfId="81">
      <pivotArea collapsedLevelsAreSubtotals="1" fieldPosition="0">
        <references count="2">
          <reference field="2" count="1">
            <x v="16"/>
          </reference>
          <reference field="1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3000000}" name="Tableau croisé dynamique24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9" firstHeaderRow="0" firstDataRow="1" firstDataCol="1" rowPageCount="1" colPageCount="1"/>
  <pivotFields count="16">
    <pivotField showAll="0"/>
    <pivotField showAll="0"/>
    <pivotField axis="axisPage" multipleItemSelectionAllowed="1" showAll="0">
      <items count="24">
        <item h="1" x="9"/>
        <item h="1" x="11"/>
        <item h="1" x="12"/>
        <item h="1" x="1"/>
        <item h="1" x="15"/>
        <item h="1" x="2"/>
        <item h="1" x="19"/>
        <item h="1" x="8"/>
        <item h="1" m="1" x="20"/>
        <item h="1" x="13"/>
        <item h="1" x="5"/>
        <item h="1" x="18"/>
        <item h="1" x="7"/>
        <item h="1" x="3"/>
        <item m="1" x="21"/>
        <item h="1" m="1" x="22"/>
        <item x="10"/>
        <item h="1" x="0"/>
        <item h="1" x="6"/>
        <item h="1" x="14"/>
        <item h="1" x="4"/>
        <item h="1" x="16"/>
        <item h="1"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e de PRODUCTION EN QUANTITE" fld="13" baseField="0" baseItem="0" numFmtId="172"/>
    <dataField name="Somme de PRODUCTION EN VALEUR" fld="14" baseField="0" baseItem="0"/>
  </dataFields>
  <formats count="6">
    <format dxfId="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9">
      <pivotArea dataOnly="0" labelOnly="1" outline="0" fieldPosition="0">
        <references count="1">
          <reference field="2" count="0"/>
        </references>
      </pivotArea>
    </format>
    <format dxfId="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6">
      <pivotArea dataOnly="0" labelOnly="1" outline="0" fieldPosition="0">
        <references count="1">
          <reference field="2" count="0"/>
        </references>
      </pivotArea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5000000}" name="Tableau croisé dynamique26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G25" firstHeaderRow="1" firstDataRow="2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m="1" x="20"/>
        <item x="13"/>
        <item x="5"/>
        <item x="18"/>
        <item x="7"/>
        <item x="3"/>
        <item m="1" x="21"/>
        <item m="1" x="22"/>
        <item x="10"/>
        <item x="0"/>
        <item x="6"/>
        <item x="14"/>
        <item x="4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PRODUCTION EN VALEUR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4000000}" name="Tableau croisé dynamique27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7:G34" firstHeaderRow="1" firstDataRow="2" firstDataCol="1"/>
  <pivotFields count="7">
    <pivotField showAll="0"/>
    <pivotField axis="axisRow" showAll="0">
      <items count="7">
        <item x="1"/>
        <item x="0"/>
        <item x="2"/>
        <item m="1" x="5"/>
        <item x="4"/>
        <item x="3"/>
        <item t="default"/>
      </items>
    </pivotField>
    <pivotField numFmtId="164" showAll="0"/>
    <pivotField dataField="1" numFmtId="164" showAll="0"/>
    <pivotField numFmtId="164" showAll="0"/>
    <pivotField axis="axisCol" numFmtI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cout_produc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7000000}" name="Tableau croisé dynamique10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M26" firstHeaderRow="1" firstDataRow="3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x="17"/>
        <item m="1" x="20"/>
        <item x="13"/>
        <item x="5"/>
        <item x="18"/>
        <item x="7"/>
        <item x="3"/>
        <item m="1" x="21"/>
        <item x="16"/>
        <item m="1" x="22"/>
        <item x="10"/>
        <item x="0"/>
        <item x="6"/>
        <item x="14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 t="grand">
      <x/>
    </i>
  </rowItems>
  <colFields count="2">
    <field x="15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omme de val_prd_vendu_pays" fld="8" baseField="0" baseItem="0"/>
    <dataField name="Somme de val_prd_vendu_etrge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6000000}" name="Tableau croisé dynamique11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9:M37" firstHeaderRow="1" firstDataRow="3" firstDataCol="1"/>
  <pivotFields count="7">
    <pivotField showAll="0"/>
    <pivotField axis="axisRow" showAll="0">
      <items count="7">
        <item x="1"/>
        <item x="0"/>
        <item x="2"/>
        <item m="1" x="5"/>
        <item x="4"/>
        <item x="3"/>
        <item t="default"/>
      </items>
    </pivotField>
    <pivotField dataField="1" numFmtId="164" showAll="0"/>
    <pivotField dataField="1" numFmtId="164" showAll="0"/>
    <pivotField numFmtId="164" showAll="0"/>
    <pivotField axis="axisCol" numFmtI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4"/>
    </i>
    <i>
      <x v="5"/>
    </i>
    <i t="grand">
      <x/>
    </i>
  </rowItems>
  <colFields count="2">
    <field x="-2"/>
    <field x="5"/>
  </colFields>
  <col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colItems>
  <dataFields count="2">
    <dataField name="Somme de qte_brute" fld="2" baseField="0" baseItem="0"/>
    <dataField name="Somme de cout_produc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8000000}" name="Tableau croisé dynamique12" cacheId="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compact="0" compactData="0" multipleFieldFilters="0">
  <location ref="A3:D91" firstHeaderRow="0" firstDataRow="1" firstDataCol="2" rowPageCount="1" colPageCount="1"/>
  <pivotFields count="6">
    <pivotField compact="0" outline="0" showAll="0">
      <items count="30">
        <item x="0"/>
        <item x="1"/>
        <item x="23"/>
        <item x="14"/>
        <item x="21"/>
        <item x="2"/>
        <item x="22"/>
        <item x="20"/>
        <item x="3"/>
        <item x="26"/>
        <item x="4"/>
        <item x="5"/>
        <item x="15"/>
        <item x="6"/>
        <item x="7"/>
        <item x="16"/>
        <item x="17"/>
        <item x="18"/>
        <item x="8"/>
        <item x="19"/>
        <item x="9"/>
        <item x="28"/>
        <item x="10"/>
        <item x="12"/>
        <item x="11"/>
        <item x="24"/>
        <item x="27"/>
        <item x="13"/>
        <item x="25"/>
        <item t="default"/>
      </items>
    </pivotField>
    <pivotField axis="axisRow" compact="0" outline="0" showAll="0">
      <items count="19">
        <item x="6"/>
        <item x="8"/>
        <item x="9"/>
        <item x="15"/>
        <item x="2"/>
        <item x="16"/>
        <item x="11"/>
        <item x="7"/>
        <item x="10"/>
        <item x="13"/>
        <item x="14"/>
        <item x="3"/>
        <item x="17"/>
        <item x="0"/>
        <item x="1"/>
        <item x="12"/>
        <item x="4"/>
        <item x="5"/>
        <item t="default"/>
      </items>
    </pivotField>
    <pivotField axis="axisRow" compact="0" outline="0" showAll="0">
      <items count="86">
        <item x="6"/>
        <item x="32"/>
        <item x="45"/>
        <item x="7"/>
        <item x="33"/>
        <item x="8"/>
        <item x="75"/>
        <item x="34"/>
        <item x="49"/>
        <item x="39"/>
        <item x="46"/>
        <item x="5"/>
        <item x="9"/>
        <item x="69"/>
        <item x="71"/>
        <item x="73"/>
        <item x="11"/>
        <item x="64"/>
        <item x="67"/>
        <item x="80"/>
        <item x="0"/>
        <item x="74"/>
        <item x="79"/>
        <item x="12"/>
        <item x="38"/>
        <item x="54"/>
        <item x="13"/>
        <item x="70"/>
        <item x="55"/>
        <item x="14"/>
        <item x="56"/>
        <item x="15"/>
        <item x="4"/>
        <item x="62"/>
        <item x="52"/>
        <item x="65"/>
        <item x="42"/>
        <item x="2"/>
        <item x="66"/>
        <item x="48"/>
        <item x="59"/>
        <item x="44"/>
        <item x="16"/>
        <item x="1"/>
        <item x="35"/>
        <item x="36"/>
        <item x="17"/>
        <item x="77"/>
        <item x="53"/>
        <item x="50"/>
        <item x="84"/>
        <item x="18"/>
        <item x="3"/>
        <item x="19"/>
        <item x="81"/>
        <item x="40"/>
        <item x="20"/>
        <item x="47"/>
        <item x="21"/>
        <item x="22"/>
        <item x="23"/>
        <item x="31"/>
        <item x="72"/>
        <item x="24"/>
        <item x="82"/>
        <item x="25"/>
        <item x="26"/>
        <item x="43"/>
        <item x="63"/>
        <item x="10"/>
        <item x="51"/>
        <item x="37"/>
        <item x="57"/>
        <item x="83"/>
        <item x="27"/>
        <item x="61"/>
        <item x="41"/>
        <item x="28"/>
        <item x="29"/>
        <item x="78"/>
        <item x="68"/>
        <item x="60"/>
        <item x="30"/>
        <item x="76"/>
        <item x="58"/>
        <item t="default"/>
      </items>
    </pivotField>
    <pivotField dataField="1" compact="0" outline="0" showAll="0"/>
    <pivotField dataField="1" compact="0" numFmtId="164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</pivotFields>
  <rowFields count="2">
    <field x="1"/>
    <field x="2"/>
  </rowFields>
  <rowItems count="88">
    <i>
      <x/>
      <x v="43"/>
    </i>
    <i t="default">
      <x/>
    </i>
    <i>
      <x v="1"/>
      <x v="22"/>
    </i>
    <i r="1">
      <x v="78"/>
    </i>
    <i t="default">
      <x v="1"/>
    </i>
    <i>
      <x v="2"/>
      <x v="5"/>
    </i>
    <i r="1">
      <x v="19"/>
    </i>
    <i r="1">
      <x v="31"/>
    </i>
    <i r="1">
      <x v="65"/>
    </i>
    <i r="1">
      <x v="71"/>
    </i>
    <i t="default">
      <x v="2"/>
    </i>
    <i>
      <x v="3"/>
      <x v="32"/>
    </i>
    <i t="default">
      <x v="3"/>
    </i>
    <i>
      <x v="4"/>
      <x v="9"/>
    </i>
    <i r="1">
      <x v="32"/>
    </i>
    <i r="1">
      <x v="35"/>
    </i>
    <i r="1">
      <x v="38"/>
    </i>
    <i r="1">
      <x v="52"/>
    </i>
    <i r="1">
      <x v="55"/>
    </i>
    <i t="default">
      <x v="4"/>
    </i>
    <i>
      <x v="5"/>
      <x v="52"/>
    </i>
    <i t="default">
      <x v="5"/>
    </i>
    <i>
      <x v="6"/>
      <x v="9"/>
    </i>
    <i r="1">
      <x v="32"/>
    </i>
    <i r="1">
      <x v="35"/>
    </i>
    <i r="1">
      <x v="52"/>
    </i>
    <i t="default">
      <x v="6"/>
    </i>
    <i>
      <x v="9"/>
      <x v="15"/>
    </i>
    <i r="1">
      <x v="29"/>
    </i>
    <i r="1">
      <x v="31"/>
    </i>
    <i r="1">
      <x v="63"/>
    </i>
    <i t="default">
      <x v="9"/>
    </i>
    <i>
      <x v="10"/>
      <x/>
    </i>
    <i r="1">
      <x v="1"/>
    </i>
    <i r="1">
      <x v="2"/>
    </i>
    <i r="1">
      <x v="11"/>
    </i>
    <i r="1">
      <x v="15"/>
    </i>
    <i r="1">
      <x v="22"/>
    </i>
    <i r="1">
      <x v="31"/>
    </i>
    <i r="1">
      <x v="46"/>
    </i>
    <i r="1">
      <x v="65"/>
    </i>
    <i t="default">
      <x v="10"/>
    </i>
    <i>
      <x v="11"/>
      <x v="11"/>
    </i>
    <i t="default">
      <x v="11"/>
    </i>
    <i>
      <x v="12"/>
      <x v="11"/>
    </i>
    <i t="default">
      <x v="12"/>
    </i>
    <i>
      <x v="13"/>
      <x v="4"/>
    </i>
    <i r="1">
      <x v="22"/>
    </i>
    <i r="1">
      <x v="54"/>
    </i>
    <i r="1">
      <x v="78"/>
    </i>
    <i t="default">
      <x v="13"/>
    </i>
    <i>
      <x v="14"/>
      <x v="5"/>
    </i>
    <i r="1">
      <x v="26"/>
    </i>
    <i r="1">
      <x v="43"/>
    </i>
    <i r="1">
      <x v="49"/>
    </i>
    <i r="1">
      <x v="50"/>
    </i>
    <i r="1">
      <x v="52"/>
    </i>
    <i r="1">
      <x v="64"/>
    </i>
    <i r="1">
      <x v="73"/>
    </i>
    <i r="1">
      <x v="78"/>
    </i>
    <i t="default">
      <x v="14"/>
    </i>
    <i>
      <x v="15"/>
      <x v="2"/>
    </i>
    <i r="1">
      <x v="11"/>
    </i>
    <i r="1">
      <x v="15"/>
    </i>
    <i r="1">
      <x v="22"/>
    </i>
    <i r="1">
      <x v="26"/>
    </i>
    <i r="1">
      <x v="31"/>
    </i>
    <i r="1">
      <x v="43"/>
    </i>
    <i r="1">
      <x v="46"/>
    </i>
    <i r="1">
      <x v="65"/>
    </i>
    <i r="1">
      <x v="79"/>
    </i>
    <i t="default">
      <x v="15"/>
    </i>
    <i>
      <x v="17"/>
      <x v="1"/>
    </i>
    <i r="1">
      <x v="2"/>
    </i>
    <i r="1">
      <x v="4"/>
    </i>
    <i r="1">
      <x v="7"/>
    </i>
    <i r="1">
      <x v="11"/>
    </i>
    <i r="1">
      <x v="26"/>
    </i>
    <i r="1">
      <x v="29"/>
    </i>
    <i r="1">
      <x v="31"/>
    </i>
    <i r="1">
      <x v="43"/>
    </i>
    <i r="1">
      <x v="45"/>
    </i>
    <i r="1">
      <x v="46"/>
    </i>
    <i r="1">
      <x v="63"/>
    </i>
    <i r="1">
      <x v="65"/>
    </i>
    <i r="1">
      <x v="81"/>
    </i>
    <i t="default"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omme de qte_vendu_pays" fld="3" baseField="0" baseItem="0"/>
    <dataField name="Somme de val_produ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9000000}" name="Tableau croisé dynamique1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9" firstHeaderRow="0" firstDataRow="1" firstDataCol="1"/>
  <pivotFields count="5">
    <pivotField showAll="0"/>
    <pivotField dataField="1" numFmtId="164" showAll="0"/>
    <pivotField dataField="1" showAll="0"/>
    <pivotField axis="axisRow" numFmtI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te_electrc_autoconsom" fld="1" baseField="0" baseItem="0"/>
    <dataField name="Somme de estimatn_autoconsommt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50AA7-346F-4A5C-A65F-C2110039521C}" name="Tableau1" displayName="Tableau1" ref="A1:R386" totalsRowShown="0" headerRowDxfId="36" dataDxfId="37" headerRowBorderDxfId="57" tableBorderDxfId="58" totalsRowBorderDxfId="56" dataCellStyle="Normal 2">
  <autoFilter ref="A1:R386" xr:uid="{AC650AA7-346F-4A5C-A65F-C2110039521C}">
    <filterColumn colId="0">
      <filters>
        <filter val="SABODALA GOLD OPERATIONS"/>
        <filter val="SABODALA GOLD OPERATIONS SA"/>
      </filters>
    </filterColumn>
  </autoFilter>
  <tableColumns count="18">
    <tableColumn id="1" xr3:uid="{B157C403-9251-4701-A763-3EBDEEE1BA4A}" name="Nom de l'entreprise ou Denomination sociale" dataDxfId="55" dataCellStyle="Normal 2"/>
    <tableColumn id="2" xr3:uid="{388514CD-52FB-4661-85CA-2EC9561627A6}" name="entreprise_id" dataDxfId="54"/>
    <tableColumn id="3" xr3:uid="{23519C18-A0F9-4AC2-A978-1D158309F598}" name="num_titre_minier" dataDxfId="53" dataCellStyle="Normal 2"/>
    <tableColumn id="4" xr3:uid="{0735FA54-4926-4B3A-9F3E-8F6D498DC595}" name="nom_perimetre" dataDxfId="52" dataCellStyle="Normal 2"/>
    <tableColumn id="5" xr3:uid="{55907E9A-D1CB-4DCA-932C-A3C53D480F69}" name="nm_nature" dataDxfId="51" dataCellStyle="Normal 2"/>
    <tableColumn id="6" xr3:uid="{B90F043C-66F9-4D49-BBE9-51C193E376F2}" name="nm_region" dataDxfId="50" dataCellStyle="Normal 2"/>
    <tableColumn id="7" xr3:uid="{758BB0F3-AA42-42FE-8FD4-5584576D658B}" name="Substances" dataDxfId="49" dataCellStyle="Normal 2"/>
    <tableColumn id="8" xr3:uid="{55BB8719-D87E-4F77-B22B-B4D5CDC08871}" name="Commune" dataDxfId="48" dataCellStyle="Normal 2"/>
    <tableColumn id="9" xr3:uid="{9501A96B-BA2C-42F4-88C1-EFFF88187859}" name="Département" dataDxfId="47" dataCellStyle="Normal 2"/>
    <tableColumn id="10" xr3:uid="{38E0F6C0-EAF3-4D13-866F-FB23D0668C46}" name="date_signature" dataDxfId="46" dataCellStyle="Normal 2"/>
    <tableColumn id="11" xr3:uid="{0A568C0E-1BD3-46EE-88EF-FE673B664611}" name="date_octroi" dataDxfId="45" dataCellStyle="Normal 2"/>
    <tableColumn id="12" xr3:uid="{5B07A331-9FCF-44C2-94CE-BC29E297793C}" name="depense_prevue" dataDxfId="44" dataCellStyle="Normal 2"/>
    <tableColumn id="13" xr3:uid="{666B400A-25D5-4ECD-BBD1-872F6A54187B}" name="superficie_octroye" dataDxfId="43" dataCellStyle="Normal 2"/>
    <tableColumn id="14" xr3:uid="{EB5BB9AF-6BF7-4237-B82E-0F097E9AC913}" name="superficie_exploite" dataDxfId="42" dataCellStyle="Normal 2"/>
    <tableColumn id="15" xr3:uid="{EFB91AB2-2303-4236-A2F0-7E5A09684C4B}" name="superficie_rendue" dataDxfId="41" dataCellStyle="Normal 2"/>
    <tableColumn id="16" xr3:uid="{A7B63384-0100-498B-8535-098CF424AA63}" name="superficie_rehabilite" dataDxfId="40" dataCellStyle="Normal 2"/>
    <tableColumn id="17" xr3:uid="{7732EA03-5F01-4E4D-8ACA-1FB99986635B}" name="date_fin" dataDxfId="39" dataCellStyle="Normal 2"/>
    <tableColumn id="18" xr3:uid="{570E5DDC-69E3-4B8A-AB3E-AB1FE9F97570}" name="année de référence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608E0-96A1-480F-87AB-EF13AE428525}" name="Tableau2" displayName="Tableau2" ref="A1:N133" totalsRowShown="0" headerRowDxfId="17" dataDxfId="18" headerRowBorderDxfId="34" tableBorderDxfId="35" totalsRowBorderDxfId="33" headerRowCellStyle="Normal 3">
  <autoFilter ref="A1:N133" xr:uid="{E3B608E0-96A1-480F-87AB-EF13AE428525}">
    <filterColumn colId="0">
      <filters>
        <filter val="SABODALA GOLD OPERATIONS SA"/>
      </filters>
    </filterColumn>
  </autoFilter>
  <tableColumns count="14">
    <tableColumn id="1" xr3:uid="{99BCB82D-0D64-4A31-85E3-361F037BD041}" name="entreprise_id" dataDxfId="32" dataCellStyle="Milliers [0]"/>
    <tableColumn id="2" xr3:uid="{E7BDA45C-5E4F-41C9-A5DC-B9B841DF247C}" name="num_titre_minier" dataDxfId="31"/>
    <tableColumn id="3" xr3:uid="{44184A02-C544-4974-9E42-99EA9002FE2D}" name="nm_nature" dataDxfId="30" dataCellStyle="Milliers [0]"/>
    <tableColumn id="4" xr3:uid="{8D51289B-7653-4421-97E2-1236925102DF}" name="sondage_desc" dataDxfId="29"/>
    <tableColumn id="5" xr3:uid="{B6976634-A804-4D94-9CB1-7377E041744B}" name="B1.1.1_2" dataDxfId="28"/>
    <tableColumn id="6" xr3:uid="{2202B415-7CA6-43BF-80D3-0A2C5715B434}" name="B1.1.1_3" dataDxfId="27"/>
    <tableColumn id="7" xr3:uid="{992C7B3E-2758-443D-8DD8-B5FCC09F581F}" name="B1.1.1_4" dataDxfId="26"/>
    <tableColumn id="8" xr3:uid="{133B7415-74C3-4C94-BE26-8B85FEC992D0}" name="B1.1.1_5" dataDxfId="25"/>
    <tableColumn id="9" xr3:uid="{70AAC635-CCEE-4CCC-BD94-F712D9AD89D2}" name="metrage" dataDxfId="24" dataCellStyle="Milliers [0]"/>
    <tableColumn id="10" xr3:uid="{856B9171-DD0B-4899-A816-0E1FA977DF3B}" name="B1.1.3_2" dataDxfId="23"/>
    <tableColumn id="11" xr3:uid="{ADD850F6-9E19-474B-99C4-9F6F9BE50856}" name="B1.1.3_3" dataDxfId="22"/>
    <tableColumn id="12" xr3:uid="{1364A1E6-5AE9-49EE-900B-A2F2CA9E6D6E}" name="B1.1.3_4" dataDxfId="21"/>
    <tableColumn id="13" xr3:uid="{77199820-1B93-489B-B220-5A93CE5270CA}" name="B1.1.3_5" dataDxfId="20"/>
    <tableColumn id="14" xr3:uid="{FDD657EC-B501-478F-87D0-BCD97913E708}" name="année de référence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7E60BD-47F3-44AC-8261-9F0E03F71198}" name="Tableau3" displayName="Tableau3" ref="A1:Q204" totalsRowShown="0" tableBorderDxfId="16">
  <autoFilter ref="A1:Q204" xr:uid="{7D7E60BD-47F3-44AC-8261-9F0E03F71198}">
    <filterColumn colId="0">
      <filters>
        <filter val="SABODALA GOLD OPERATIONS SA"/>
      </filters>
    </filterColumn>
  </autoFilter>
  <tableColumns count="17">
    <tableColumn id="1" xr3:uid="{C5FECF79-622C-4A92-A726-E93F41278615}" name="entreprise_id" dataDxfId="15"/>
    <tableColumn id="2" xr3:uid="{81E45A69-E9B1-4328-B25B-4A3E27FE5595}" name="Région" dataDxfId="14" dataCellStyle="Milliers [0]"/>
    <tableColumn id="3" xr3:uid="{FF1CD722-BA63-418D-8E9B-9674DA841BF0}" name="produit_desc" dataDxfId="13" dataCellStyle="Milliers [0]"/>
    <tableColumn id="4" xr3:uid="{5AC7A39D-3645-4905-B588-7BFA7458FAEA}" name="qte_prd_vendu_pays" dataDxfId="12" dataCellStyle="Milliers [0]"/>
    <tableColumn id="5" xr3:uid="{72AC6AE2-9EAF-4D9E-A0C1-D9B895F232B2}" name="qte_prd_vendu_etrger" dataDxfId="11" dataCellStyle="Milliers [0]"/>
    <tableColumn id="6" xr3:uid="{17F1C9D9-F229-4058-819A-AEDCCC657E03}" name="qte_stock_immobilisé" dataDxfId="10" dataCellStyle="Milliers [0]"/>
    <tableColumn id="7" xr3:uid="{A2781922-36CA-440C-8D89-344BC8CD59F9}" name="qte_stock_ouverture" dataDxfId="9" dataCellStyle="Milliers [0]"/>
    <tableColumn id="8" xr3:uid="{D3C329E5-11AA-4A1F-8135-72CBF9C8B828}" name="qte_prd_stock_cloture" dataDxfId="8" dataCellStyle="Milliers [0]"/>
    <tableColumn id="9" xr3:uid="{C3972B88-C202-4287-A97F-CA9DD808CE22}" name="val_prd_vendu_pays" dataDxfId="7" dataCellStyle="Milliers [0]"/>
    <tableColumn id="10" xr3:uid="{502282F9-4F6F-404F-8F18-57996B5EC0E9}" name="val_prd_vendu_etrger" dataDxfId="6" dataCellStyle="Milliers [0]"/>
    <tableColumn id="11" xr3:uid="{3EE1CE64-0C93-47DC-920E-C678AEAEEB2E}" name="val_prd_stock_immobilisé" dataDxfId="5" dataCellStyle="Milliers [0]"/>
    <tableColumn id="12" xr3:uid="{990FC5E8-9905-43EA-B5AD-2C8454ECADBB}" name="val_prd_stock_ouverture" dataDxfId="4" dataCellStyle="Milliers [0]"/>
    <tableColumn id="13" xr3:uid="{08E47924-DFC1-415B-9C0A-5DC22F44A155}" name="val_prd_stock_cloture" dataDxfId="3" dataCellStyle="Milliers [0]"/>
    <tableColumn id="14" xr3:uid="{9578D569-B50E-441C-8734-5EE31A9E9C5C}" name="PRODUCTION EN QUANTITE" dataDxfId="2" dataCellStyle="Milliers [0]">
      <calculatedColumnFormula>+D2+E2+H2-G2</calculatedColumnFormula>
    </tableColumn>
    <tableColumn id="15" xr3:uid="{DD80552F-2EEB-4283-9F0B-2F7BF75655F4}" name="PRODUCTION EN VALEUR" dataDxfId="1" dataCellStyle="Milliers [0]">
      <calculatedColumnFormula>+I2+J2+M2-L2</calculatedColumnFormula>
    </tableColumn>
    <tableColumn id="16" xr3:uid="{B4201229-E589-47C7-83FA-DBE3FDF4611B}" name="ANNEE" dataDxfId="0"/>
    <tableColumn id="17" xr3:uid="{973AA8B6-D371-4922-9B08-6735FE9591A7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19"/>
  <sheetViews>
    <sheetView workbookViewId="0">
      <selection activeCell="C12" sqref="C12"/>
    </sheetView>
  </sheetViews>
  <sheetFormatPr baseColWidth="10" defaultRowHeight="14.5" x14ac:dyDescent="0.35"/>
  <cols>
    <col min="1" max="1" width="71.81640625" customWidth="1"/>
    <col min="2" max="2" width="49.36328125" customWidth="1"/>
    <col min="3" max="3" width="71.81640625" bestFit="1" customWidth="1"/>
  </cols>
  <sheetData>
    <row r="3" spans="1:3" x14ac:dyDescent="0.35">
      <c r="A3" s="5" t="s">
        <v>653</v>
      </c>
      <c r="B3" t="s">
        <v>655</v>
      </c>
    </row>
    <row r="4" spans="1:3" x14ac:dyDescent="0.35">
      <c r="A4" s="6" t="s">
        <v>248</v>
      </c>
      <c r="B4" s="7">
        <v>3</v>
      </c>
      <c r="C4" s="6" t="s">
        <v>248</v>
      </c>
    </row>
    <row r="5" spans="1:3" x14ac:dyDescent="0.35">
      <c r="A5" s="6" t="s">
        <v>250</v>
      </c>
      <c r="B5" s="7">
        <v>8</v>
      </c>
      <c r="C5" s="6" t="s">
        <v>250</v>
      </c>
    </row>
    <row r="6" spans="1:3" x14ac:dyDescent="0.35">
      <c r="A6" s="6" t="s">
        <v>428</v>
      </c>
      <c r="B6" s="7">
        <v>5</v>
      </c>
      <c r="C6" s="6" t="s">
        <v>428</v>
      </c>
    </row>
    <row r="7" spans="1:3" x14ac:dyDescent="0.35">
      <c r="A7" s="6" t="s">
        <v>133</v>
      </c>
      <c r="B7" s="7">
        <v>2</v>
      </c>
      <c r="C7" s="6" t="s">
        <v>133</v>
      </c>
    </row>
    <row r="8" spans="1:3" x14ac:dyDescent="0.35">
      <c r="A8" s="6" t="s">
        <v>434</v>
      </c>
      <c r="B8" s="7">
        <v>2</v>
      </c>
      <c r="C8" s="6" t="s">
        <v>434</v>
      </c>
    </row>
    <row r="9" spans="1:3" x14ac:dyDescent="0.35">
      <c r="A9" s="6" t="s">
        <v>14</v>
      </c>
      <c r="B9" s="7">
        <v>10</v>
      </c>
      <c r="C9" s="6" t="s">
        <v>14</v>
      </c>
    </row>
    <row r="10" spans="1:3" x14ac:dyDescent="0.35">
      <c r="A10" s="6" t="s">
        <v>264</v>
      </c>
      <c r="B10" s="7">
        <v>6</v>
      </c>
      <c r="C10" s="6" t="s">
        <v>264</v>
      </c>
    </row>
    <row r="11" spans="1:3" x14ac:dyDescent="0.35">
      <c r="A11" s="6" t="s">
        <v>444</v>
      </c>
      <c r="B11" s="7">
        <v>3</v>
      </c>
      <c r="C11" s="6" t="s">
        <v>444</v>
      </c>
    </row>
    <row r="12" spans="1:3" x14ac:dyDescent="0.35">
      <c r="A12" s="6" t="s">
        <v>445</v>
      </c>
      <c r="B12" s="7">
        <v>5</v>
      </c>
      <c r="C12" s="6" t="s">
        <v>445</v>
      </c>
    </row>
    <row r="13" spans="1:3" x14ac:dyDescent="0.35">
      <c r="A13" s="6" t="s">
        <v>273</v>
      </c>
      <c r="B13" s="7">
        <v>4</v>
      </c>
      <c r="C13" s="6" t="s">
        <v>273</v>
      </c>
    </row>
    <row r="14" spans="1:3" x14ac:dyDescent="0.35">
      <c r="A14" s="6" t="s">
        <v>448</v>
      </c>
      <c r="B14" s="7">
        <v>2</v>
      </c>
      <c r="C14" s="6" t="s">
        <v>448</v>
      </c>
    </row>
    <row r="15" spans="1:3" x14ac:dyDescent="0.35">
      <c r="A15" s="6" t="s">
        <v>276</v>
      </c>
      <c r="B15" s="7">
        <v>3</v>
      </c>
      <c r="C15" s="6" t="s">
        <v>276</v>
      </c>
    </row>
    <row r="16" spans="1:3" x14ac:dyDescent="0.35">
      <c r="A16" s="6" t="s">
        <v>278</v>
      </c>
      <c r="B16" s="7">
        <v>6</v>
      </c>
      <c r="C16" s="6" t="s">
        <v>142</v>
      </c>
    </row>
    <row r="17" spans="1:3" x14ac:dyDescent="0.35">
      <c r="A17" s="6" t="s">
        <v>142</v>
      </c>
      <c r="B17" s="7">
        <v>2</v>
      </c>
      <c r="C17" s="6" t="s">
        <v>142</v>
      </c>
    </row>
    <row r="18" spans="1:3" x14ac:dyDescent="0.35">
      <c r="A18" s="6" t="s">
        <v>30</v>
      </c>
      <c r="B18" s="7">
        <v>4</v>
      </c>
      <c r="C18" s="6" t="s">
        <v>30</v>
      </c>
    </row>
    <row r="19" spans="1:3" x14ac:dyDescent="0.35">
      <c r="A19" s="6" t="s">
        <v>282</v>
      </c>
      <c r="B19" s="7">
        <v>3</v>
      </c>
      <c r="C19" s="6" t="s">
        <v>282</v>
      </c>
    </row>
    <row r="20" spans="1:3" x14ac:dyDescent="0.35">
      <c r="A20" s="6" t="s">
        <v>621</v>
      </c>
      <c r="B20" s="7">
        <v>1</v>
      </c>
      <c r="C20" s="6" t="s">
        <v>621</v>
      </c>
    </row>
    <row r="21" spans="1:3" x14ac:dyDescent="0.35">
      <c r="A21" s="6" t="s">
        <v>38</v>
      </c>
      <c r="B21" s="7">
        <v>2</v>
      </c>
      <c r="C21" s="6" t="s">
        <v>285</v>
      </c>
    </row>
    <row r="22" spans="1:3" x14ac:dyDescent="0.35">
      <c r="A22" s="6" t="s">
        <v>285</v>
      </c>
      <c r="B22" s="7">
        <v>3</v>
      </c>
      <c r="C22" s="6" t="s">
        <v>285</v>
      </c>
    </row>
    <row r="23" spans="1:3" x14ac:dyDescent="0.35">
      <c r="A23" s="6" t="s">
        <v>289</v>
      </c>
      <c r="B23" s="7">
        <v>1</v>
      </c>
      <c r="C23" s="6" t="s">
        <v>151</v>
      </c>
    </row>
    <row r="24" spans="1:3" x14ac:dyDescent="0.35">
      <c r="A24" s="6" t="s">
        <v>151</v>
      </c>
      <c r="B24" s="7">
        <v>3</v>
      </c>
      <c r="C24" s="6" t="s">
        <v>151</v>
      </c>
    </row>
    <row r="25" spans="1:3" x14ac:dyDescent="0.35">
      <c r="A25" s="6" t="s">
        <v>154</v>
      </c>
      <c r="B25" s="7">
        <v>1</v>
      </c>
      <c r="C25" s="6" t="s">
        <v>292</v>
      </c>
    </row>
    <row r="26" spans="1:3" x14ac:dyDescent="0.35">
      <c r="A26" s="6" t="s">
        <v>292</v>
      </c>
      <c r="B26" s="7">
        <v>5</v>
      </c>
      <c r="C26" s="6" t="s">
        <v>292</v>
      </c>
    </row>
    <row r="27" spans="1:3" x14ac:dyDescent="0.35">
      <c r="A27" s="6" t="s">
        <v>649</v>
      </c>
      <c r="B27" s="7">
        <v>1</v>
      </c>
      <c r="C27" s="6" t="s">
        <v>649</v>
      </c>
    </row>
    <row r="28" spans="1:3" x14ac:dyDescent="0.35">
      <c r="A28" s="6" t="s">
        <v>607</v>
      </c>
      <c r="B28" s="7">
        <v>2</v>
      </c>
      <c r="C28" s="6" t="s">
        <v>607</v>
      </c>
    </row>
    <row r="29" spans="1:3" x14ac:dyDescent="0.35">
      <c r="A29" s="6" t="s">
        <v>294</v>
      </c>
      <c r="B29" s="7">
        <v>1</v>
      </c>
      <c r="C29" s="6" t="s">
        <v>459</v>
      </c>
    </row>
    <row r="30" spans="1:3" x14ac:dyDescent="0.35">
      <c r="A30" s="6" t="s">
        <v>459</v>
      </c>
      <c r="B30" s="7">
        <v>4</v>
      </c>
      <c r="C30" s="6" t="s">
        <v>459</v>
      </c>
    </row>
    <row r="31" spans="1:3" x14ac:dyDescent="0.35">
      <c r="A31" s="6" t="s">
        <v>625</v>
      </c>
      <c r="B31" s="7">
        <v>2</v>
      </c>
      <c r="C31" s="6" t="s">
        <v>625</v>
      </c>
    </row>
    <row r="32" spans="1:3" x14ac:dyDescent="0.35">
      <c r="A32" s="6" t="s">
        <v>298</v>
      </c>
      <c r="B32" s="7">
        <v>1</v>
      </c>
      <c r="C32" s="6" t="s">
        <v>463</v>
      </c>
    </row>
    <row r="33" spans="1:3" x14ac:dyDescent="0.35">
      <c r="A33" s="6" t="s">
        <v>463</v>
      </c>
      <c r="B33" s="7">
        <v>2</v>
      </c>
      <c r="C33" s="6" t="s">
        <v>463</v>
      </c>
    </row>
    <row r="34" spans="1:3" x14ac:dyDescent="0.35">
      <c r="A34" s="6" t="s">
        <v>300</v>
      </c>
      <c r="B34" s="7">
        <v>6</v>
      </c>
      <c r="C34" s="6" t="s">
        <v>79</v>
      </c>
    </row>
    <row r="35" spans="1:3" x14ac:dyDescent="0.35">
      <c r="A35" s="6" t="s">
        <v>43</v>
      </c>
      <c r="B35" s="7">
        <v>10</v>
      </c>
      <c r="C35" s="6" t="s">
        <v>470</v>
      </c>
    </row>
    <row r="36" spans="1:3" x14ac:dyDescent="0.35">
      <c r="A36" s="6" t="s">
        <v>470</v>
      </c>
      <c r="B36" s="7">
        <v>16</v>
      </c>
      <c r="C36" s="6" t="s">
        <v>470</v>
      </c>
    </row>
    <row r="37" spans="1:3" x14ac:dyDescent="0.35">
      <c r="A37" s="6" t="s">
        <v>311</v>
      </c>
      <c r="B37" s="7">
        <v>1</v>
      </c>
      <c r="C37" s="6" t="s">
        <v>311</v>
      </c>
    </row>
    <row r="38" spans="1:3" x14ac:dyDescent="0.35">
      <c r="A38" s="6" t="s">
        <v>632</v>
      </c>
      <c r="B38" s="7">
        <v>1</v>
      </c>
      <c r="C38" s="6" t="s">
        <v>479</v>
      </c>
    </row>
    <row r="39" spans="1:3" x14ac:dyDescent="0.35">
      <c r="A39" s="6" t="s">
        <v>479</v>
      </c>
      <c r="B39" s="7">
        <v>1</v>
      </c>
      <c r="C39" s="6" t="s">
        <v>479</v>
      </c>
    </row>
    <row r="40" spans="1:3" x14ac:dyDescent="0.35">
      <c r="A40" s="6" t="s">
        <v>422</v>
      </c>
      <c r="B40" s="7">
        <v>5</v>
      </c>
      <c r="C40" s="6" t="s">
        <v>422</v>
      </c>
    </row>
    <row r="41" spans="1:3" x14ac:dyDescent="0.35">
      <c r="A41" s="6" t="s">
        <v>634</v>
      </c>
      <c r="B41" s="7">
        <v>1</v>
      </c>
      <c r="C41" s="6" t="s">
        <v>634</v>
      </c>
    </row>
    <row r="42" spans="1:3" x14ac:dyDescent="0.35">
      <c r="A42" s="6" t="s">
        <v>314</v>
      </c>
      <c r="B42" s="7">
        <v>3</v>
      </c>
      <c r="C42" s="6" t="s">
        <v>314</v>
      </c>
    </row>
    <row r="43" spans="1:3" x14ac:dyDescent="0.35">
      <c r="A43" s="6" t="s">
        <v>317</v>
      </c>
      <c r="B43" s="7">
        <v>5</v>
      </c>
      <c r="C43" s="6" t="s">
        <v>51</v>
      </c>
    </row>
    <row r="44" spans="1:3" x14ac:dyDescent="0.35">
      <c r="A44" s="6" t="s">
        <v>51</v>
      </c>
      <c r="B44" s="7">
        <v>2</v>
      </c>
      <c r="C44" s="6" t="s">
        <v>51</v>
      </c>
    </row>
    <row r="45" spans="1:3" x14ac:dyDescent="0.35">
      <c r="A45" s="6" t="s">
        <v>492</v>
      </c>
      <c r="B45" s="7">
        <v>2</v>
      </c>
      <c r="C45" s="6" t="s">
        <v>492</v>
      </c>
    </row>
    <row r="46" spans="1:3" x14ac:dyDescent="0.35">
      <c r="A46" s="6" t="s">
        <v>495</v>
      </c>
      <c r="B46" s="7">
        <v>4</v>
      </c>
      <c r="C46" s="6" t="s">
        <v>495</v>
      </c>
    </row>
    <row r="47" spans="1:3" x14ac:dyDescent="0.35">
      <c r="A47" s="6" t="s">
        <v>319</v>
      </c>
      <c r="B47" s="7">
        <v>1</v>
      </c>
      <c r="C47" s="6" t="s">
        <v>495</v>
      </c>
    </row>
    <row r="48" spans="1:3" x14ac:dyDescent="0.35">
      <c r="A48" s="6" t="s">
        <v>501</v>
      </c>
      <c r="B48" s="7">
        <v>2</v>
      </c>
      <c r="C48" s="6" t="s">
        <v>501</v>
      </c>
    </row>
    <row r="49" spans="1:3" x14ac:dyDescent="0.35">
      <c r="A49" s="6" t="s">
        <v>323</v>
      </c>
      <c r="B49" s="7">
        <v>4</v>
      </c>
      <c r="C49" s="6" t="s">
        <v>323</v>
      </c>
    </row>
    <row r="50" spans="1:3" x14ac:dyDescent="0.35">
      <c r="A50" s="6" t="s">
        <v>505</v>
      </c>
      <c r="B50" s="7">
        <v>2</v>
      </c>
      <c r="C50" s="6" t="s">
        <v>505</v>
      </c>
    </row>
    <row r="51" spans="1:3" x14ac:dyDescent="0.35">
      <c r="A51" s="6" t="s">
        <v>329</v>
      </c>
      <c r="B51" s="7">
        <v>1</v>
      </c>
      <c r="C51" s="6" t="s">
        <v>329</v>
      </c>
    </row>
    <row r="52" spans="1:3" x14ac:dyDescent="0.35">
      <c r="A52" s="6" t="s">
        <v>62</v>
      </c>
      <c r="B52" s="7">
        <v>17</v>
      </c>
      <c r="C52" s="6" t="s">
        <v>62</v>
      </c>
    </row>
    <row r="53" spans="1:3" x14ac:dyDescent="0.35">
      <c r="A53" s="6" t="s">
        <v>54</v>
      </c>
      <c r="B53" s="7">
        <v>2</v>
      </c>
      <c r="C53" s="6" t="s">
        <v>54</v>
      </c>
    </row>
    <row r="54" spans="1:3" x14ac:dyDescent="0.35">
      <c r="A54" s="6" t="s">
        <v>333</v>
      </c>
      <c r="B54" s="7">
        <v>1</v>
      </c>
      <c r="C54" s="6" t="s">
        <v>517</v>
      </c>
    </row>
    <row r="55" spans="1:3" x14ac:dyDescent="0.35">
      <c r="A55" s="6" t="s">
        <v>517</v>
      </c>
      <c r="B55" s="7">
        <v>2</v>
      </c>
      <c r="C55" s="6" t="s">
        <v>517</v>
      </c>
    </row>
    <row r="56" spans="1:3" x14ac:dyDescent="0.35">
      <c r="A56" s="6" t="s">
        <v>519</v>
      </c>
      <c r="B56" s="7">
        <v>2</v>
      </c>
      <c r="C56" s="6" t="s">
        <v>336</v>
      </c>
    </row>
    <row r="57" spans="1:3" x14ac:dyDescent="0.35">
      <c r="A57" s="6" t="s">
        <v>336</v>
      </c>
      <c r="B57" s="7">
        <v>1</v>
      </c>
      <c r="C57" s="6" t="s">
        <v>336</v>
      </c>
    </row>
    <row r="58" spans="1:3" x14ac:dyDescent="0.35">
      <c r="A58" s="6" t="s">
        <v>522</v>
      </c>
      <c r="B58" s="7">
        <v>2</v>
      </c>
      <c r="C58" s="6" t="s">
        <v>67</v>
      </c>
    </row>
    <row r="59" spans="1:3" x14ac:dyDescent="0.35">
      <c r="A59" s="6" t="s">
        <v>67</v>
      </c>
      <c r="B59" s="7">
        <v>2</v>
      </c>
      <c r="C59" s="6" t="s">
        <v>67</v>
      </c>
    </row>
    <row r="60" spans="1:3" x14ac:dyDescent="0.35">
      <c r="A60" s="6" t="s">
        <v>73</v>
      </c>
      <c r="B60" s="7">
        <v>5</v>
      </c>
      <c r="C60" s="6" t="s">
        <v>73</v>
      </c>
    </row>
    <row r="61" spans="1:3" x14ac:dyDescent="0.35">
      <c r="A61" s="6" t="s">
        <v>525</v>
      </c>
      <c r="B61" s="7">
        <v>2</v>
      </c>
      <c r="C61" s="6" t="s">
        <v>525</v>
      </c>
    </row>
    <row r="62" spans="1:3" x14ac:dyDescent="0.35">
      <c r="A62" s="6" t="s">
        <v>341</v>
      </c>
      <c r="B62" s="7">
        <v>3</v>
      </c>
      <c r="C62" s="6" t="s">
        <v>341</v>
      </c>
    </row>
    <row r="63" spans="1:3" x14ac:dyDescent="0.35">
      <c r="A63" s="6" t="s">
        <v>344</v>
      </c>
      <c r="B63" s="7">
        <v>3</v>
      </c>
      <c r="C63" s="6" t="s">
        <v>344</v>
      </c>
    </row>
    <row r="64" spans="1:3" x14ac:dyDescent="0.35">
      <c r="A64" s="6" t="s">
        <v>75</v>
      </c>
      <c r="B64" s="7">
        <v>2</v>
      </c>
      <c r="C64" s="6" t="s">
        <v>75</v>
      </c>
    </row>
    <row r="65" spans="1:3" x14ac:dyDescent="0.35">
      <c r="A65" s="6" t="s">
        <v>346</v>
      </c>
      <c r="B65" s="7">
        <v>5</v>
      </c>
      <c r="C65" s="6" t="s">
        <v>75</v>
      </c>
    </row>
    <row r="66" spans="1:3" x14ac:dyDescent="0.35">
      <c r="A66" s="6" t="s">
        <v>348</v>
      </c>
      <c r="B66" s="7">
        <v>3</v>
      </c>
      <c r="C66" s="6" t="s">
        <v>348</v>
      </c>
    </row>
    <row r="67" spans="1:3" x14ac:dyDescent="0.35">
      <c r="A67" s="6" t="s">
        <v>537</v>
      </c>
      <c r="B67" s="7">
        <v>2</v>
      </c>
      <c r="C67" s="6" t="s">
        <v>351</v>
      </c>
    </row>
    <row r="68" spans="1:3" x14ac:dyDescent="0.35">
      <c r="A68" s="6" t="s">
        <v>351</v>
      </c>
      <c r="B68" s="7">
        <v>1</v>
      </c>
      <c r="C68" s="6" t="s">
        <v>351</v>
      </c>
    </row>
    <row r="69" spans="1:3" x14ac:dyDescent="0.35">
      <c r="A69" s="6" t="s">
        <v>354</v>
      </c>
      <c r="B69" s="7">
        <v>3</v>
      </c>
      <c r="C69" s="6" t="s">
        <v>354</v>
      </c>
    </row>
    <row r="70" spans="1:3" x14ac:dyDescent="0.35">
      <c r="A70" s="6" t="s">
        <v>540</v>
      </c>
      <c r="B70" s="7">
        <v>2</v>
      </c>
      <c r="C70" s="6" t="s">
        <v>357</v>
      </c>
    </row>
    <row r="71" spans="1:3" x14ac:dyDescent="0.35">
      <c r="A71" s="6" t="s">
        <v>357</v>
      </c>
      <c r="B71" s="7">
        <v>1</v>
      </c>
      <c r="C71" s="6" t="s">
        <v>357</v>
      </c>
    </row>
    <row r="72" spans="1:3" x14ac:dyDescent="0.35">
      <c r="A72" s="6" t="s">
        <v>79</v>
      </c>
      <c r="B72" s="7">
        <v>2</v>
      </c>
      <c r="C72" s="6" t="s">
        <v>79</v>
      </c>
    </row>
    <row r="73" spans="1:3" x14ac:dyDescent="0.35">
      <c r="A73" s="6" t="s">
        <v>84</v>
      </c>
      <c r="B73" s="7">
        <v>2</v>
      </c>
      <c r="C73" s="6" t="s">
        <v>84</v>
      </c>
    </row>
    <row r="74" spans="1:3" x14ac:dyDescent="0.35">
      <c r="A74" s="6" t="s">
        <v>360</v>
      </c>
      <c r="B74" s="7">
        <v>3</v>
      </c>
      <c r="C74" s="6" t="s">
        <v>84</v>
      </c>
    </row>
    <row r="75" spans="1:3" x14ac:dyDescent="0.35">
      <c r="A75" s="6" t="s">
        <v>363</v>
      </c>
      <c r="B75" s="7">
        <v>3</v>
      </c>
      <c r="C75" s="6" t="s">
        <v>363</v>
      </c>
    </row>
    <row r="76" spans="1:3" x14ac:dyDescent="0.35">
      <c r="A76" s="6" t="s">
        <v>365</v>
      </c>
      <c r="B76" s="7">
        <v>2</v>
      </c>
      <c r="C76" s="6" t="s">
        <v>547</v>
      </c>
    </row>
    <row r="77" spans="1:3" x14ac:dyDescent="0.35">
      <c r="A77" s="6" t="s">
        <v>547</v>
      </c>
      <c r="B77" s="7">
        <v>4</v>
      </c>
      <c r="C77" s="6" t="s">
        <v>547</v>
      </c>
    </row>
    <row r="78" spans="1:3" x14ac:dyDescent="0.35">
      <c r="A78" s="6" t="s">
        <v>370</v>
      </c>
      <c r="B78" s="7">
        <v>1</v>
      </c>
      <c r="C78" s="6" t="s">
        <v>551</v>
      </c>
    </row>
    <row r="79" spans="1:3" x14ac:dyDescent="0.35">
      <c r="A79" s="6" t="s">
        <v>551</v>
      </c>
      <c r="B79" s="7">
        <v>2</v>
      </c>
      <c r="C79" s="6" t="s">
        <v>551</v>
      </c>
    </row>
    <row r="80" spans="1:3" x14ac:dyDescent="0.35">
      <c r="A80" s="6" t="s">
        <v>89</v>
      </c>
      <c r="B80" s="7">
        <v>2</v>
      </c>
      <c r="C80" s="6" t="s">
        <v>373</v>
      </c>
    </row>
    <row r="81" spans="1:3" x14ac:dyDescent="0.35">
      <c r="A81" s="6" t="s">
        <v>373</v>
      </c>
      <c r="B81" s="7">
        <v>3</v>
      </c>
      <c r="C81" s="6" t="s">
        <v>373</v>
      </c>
    </row>
    <row r="82" spans="1:3" x14ac:dyDescent="0.35">
      <c r="A82" s="6" t="s">
        <v>374</v>
      </c>
      <c r="B82" s="7">
        <v>7</v>
      </c>
      <c r="C82" s="6" t="s">
        <v>374</v>
      </c>
    </row>
    <row r="83" spans="1:3" x14ac:dyDescent="0.35">
      <c r="A83" s="6" t="s">
        <v>558</v>
      </c>
      <c r="B83" s="7">
        <v>2</v>
      </c>
      <c r="C83" s="6" t="s">
        <v>558</v>
      </c>
    </row>
    <row r="84" spans="1:3" x14ac:dyDescent="0.35">
      <c r="A84" s="6" t="s">
        <v>376</v>
      </c>
      <c r="B84" s="7">
        <v>3</v>
      </c>
      <c r="C84" s="6" t="s">
        <v>93</v>
      </c>
    </row>
    <row r="85" spans="1:3" x14ac:dyDescent="0.35">
      <c r="A85" s="6" t="s">
        <v>93</v>
      </c>
      <c r="B85" s="7">
        <v>2</v>
      </c>
      <c r="C85" s="6" t="s">
        <v>93</v>
      </c>
    </row>
    <row r="86" spans="1:3" x14ac:dyDescent="0.35">
      <c r="A86" s="6" t="s">
        <v>377</v>
      </c>
      <c r="B86" s="7">
        <v>4</v>
      </c>
      <c r="C86" s="6" t="s">
        <v>96</v>
      </c>
    </row>
    <row r="87" spans="1:3" x14ac:dyDescent="0.35">
      <c r="A87" s="6" t="s">
        <v>96</v>
      </c>
      <c r="B87" s="7">
        <v>4</v>
      </c>
      <c r="C87" s="6" t="s">
        <v>96</v>
      </c>
    </row>
    <row r="88" spans="1:3" x14ac:dyDescent="0.35">
      <c r="A88" s="6" t="s">
        <v>382</v>
      </c>
      <c r="B88" s="7">
        <v>3</v>
      </c>
      <c r="C88" s="6" t="s">
        <v>101</v>
      </c>
    </row>
    <row r="89" spans="1:3" x14ac:dyDescent="0.35">
      <c r="A89" s="6" t="s">
        <v>101</v>
      </c>
      <c r="B89" s="7">
        <v>2</v>
      </c>
      <c r="C89" s="6" t="s">
        <v>101</v>
      </c>
    </row>
    <row r="90" spans="1:3" x14ac:dyDescent="0.35">
      <c r="A90" s="6" t="s">
        <v>384</v>
      </c>
      <c r="B90" s="7">
        <v>2</v>
      </c>
      <c r="C90" s="6" t="s">
        <v>384</v>
      </c>
    </row>
    <row r="91" spans="1:3" x14ac:dyDescent="0.35">
      <c r="A91" s="6" t="s">
        <v>638</v>
      </c>
      <c r="B91" s="7">
        <v>2</v>
      </c>
      <c r="C91" s="6" t="s">
        <v>638</v>
      </c>
    </row>
    <row r="92" spans="1:3" x14ac:dyDescent="0.35">
      <c r="A92" s="6" t="s">
        <v>106</v>
      </c>
      <c r="B92" s="7">
        <v>5</v>
      </c>
      <c r="C92" s="6" t="s">
        <v>106</v>
      </c>
    </row>
    <row r="93" spans="1:3" x14ac:dyDescent="0.35">
      <c r="A93" s="6" t="s">
        <v>643</v>
      </c>
      <c r="B93" s="7">
        <v>1</v>
      </c>
      <c r="C93" s="6" t="s">
        <v>643</v>
      </c>
    </row>
    <row r="94" spans="1:3" x14ac:dyDescent="0.35">
      <c r="A94" s="6" t="s">
        <v>388</v>
      </c>
      <c r="B94" s="7">
        <v>3</v>
      </c>
      <c r="C94" s="6" t="s">
        <v>388</v>
      </c>
    </row>
    <row r="95" spans="1:3" x14ac:dyDescent="0.35">
      <c r="A95" s="6" t="s">
        <v>567</v>
      </c>
      <c r="B95" s="7">
        <v>2</v>
      </c>
      <c r="C95" s="6" t="s">
        <v>567</v>
      </c>
    </row>
    <row r="96" spans="1:3" x14ac:dyDescent="0.35">
      <c r="A96" s="6" t="s">
        <v>646</v>
      </c>
      <c r="B96" s="7">
        <v>1</v>
      </c>
      <c r="C96" s="6" t="s">
        <v>646</v>
      </c>
    </row>
    <row r="97" spans="1:3" x14ac:dyDescent="0.35">
      <c r="A97" s="6" t="s">
        <v>569</v>
      </c>
      <c r="B97" s="7">
        <v>2</v>
      </c>
      <c r="C97" s="6" t="s">
        <v>569</v>
      </c>
    </row>
    <row r="98" spans="1:3" x14ac:dyDescent="0.35">
      <c r="A98" s="6" t="s">
        <v>391</v>
      </c>
      <c r="B98" s="7">
        <v>3</v>
      </c>
      <c r="C98" s="6" t="s">
        <v>391</v>
      </c>
    </row>
    <row r="99" spans="1:3" x14ac:dyDescent="0.35">
      <c r="A99" s="6" t="s">
        <v>110</v>
      </c>
      <c r="B99" s="7">
        <v>2</v>
      </c>
      <c r="C99" s="6" t="s">
        <v>572</v>
      </c>
    </row>
    <row r="100" spans="1:3" x14ac:dyDescent="0.35">
      <c r="A100" s="6" t="s">
        <v>572</v>
      </c>
      <c r="B100" s="7">
        <v>13</v>
      </c>
      <c r="C100" s="6" t="s">
        <v>572</v>
      </c>
    </row>
    <row r="101" spans="1:3" x14ac:dyDescent="0.35">
      <c r="A101" s="6" t="s">
        <v>112</v>
      </c>
      <c r="B101" s="7">
        <v>3</v>
      </c>
      <c r="C101" s="6" t="s">
        <v>567</v>
      </c>
    </row>
    <row r="102" spans="1:3" x14ac:dyDescent="0.35">
      <c r="A102" s="6" t="s">
        <v>128</v>
      </c>
      <c r="B102" s="7">
        <v>30</v>
      </c>
      <c r="C102" s="6" t="s">
        <v>128</v>
      </c>
    </row>
    <row r="103" spans="1:3" x14ac:dyDescent="0.35">
      <c r="A103" s="6" t="s">
        <v>590</v>
      </c>
      <c r="B103" s="7">
        <v>4</v>
      </c>
      <c r="C103" s="6" t="s">
        <v>590</v>
      </c>
    </row>
    <row r="104" spans="1:3" x14ac:dyDescent="0.35">
      <c r="A104" s="6" t="s">
        <v>595</v>
      </c>
      <c r="B104" s="7">
        <v>2</v>
      </c>
      <c r="C104" s="6" t="s">
        <v>595</v>
      </c>
    </row>
    <row r="105" spans="1:3" x14ac:dyDescent="0.35">
      <c r="A105" s="6" t="s">
        <v>116</v>
      </c>
      <c r="B105" s="7">
        <v>3</v>
      </c>
      <c r="C105" s="6" t="s">
        <v>116</v>
      </c>
    </row>
    <row r="106" spans="1:3" x14ac:dyDescent="0.35">
      <c r="A106" s="6" t="s">
        <v>597</v>
      </c>
      <c r="B106" s="7">
        <v>1</v>
      </c>
      <c r="C106" s="6" t="s">
        <v>646</v>
      </c>
    </row>
    <row r="107" spans="1:3" x14ac:dyDescent="0.35">
      <c r="A107" s="6" t="s">
        <v>118</v>
      </c>
      <c r="B107" s="7">
        <v>3</v>
      </c>
      <c r="C107" s="6" t="s">
        <v>569</v>
      </c>
    </row>
    <row r="108" spans="1:3" x14ac:dyDescent="0.35">
      <c r="A108" s="6" t="s">
        <v>121</v>
      </c>
      <c r="B108" s="7">
        <v>2</v>
      </c>
      <c r="C108" s="6" t="s">
        <v>400</v>
      </c>
    </row>
    <row r="109" spans="1:3" x14ac:dyDescent="0.35">
      <c r="A109" s="6" t="s">
        <v>400</v>
      </c>
      <c r="B109" s="7">
        <v>3</v>
      </c>
      <c r="C109" s="6" t="s">
        <v>400</v>
      </c>
    </row>
    <row r="110" spans="1:3" x14ac:dyDescent="0.35">
      <c r="A110" s="6" t="s">
        <v>124</v>
      </c>
      <c r="B110" s="7">
        <v>5</v>
      </c>
      <c r="C110" s="6" t="s">
        <v>124</v>
      </c>
    </row>
    <row r="111" spans="1:3" x14ac:dyDescent="0.35">
      <c r="A111" s="6" t="s">
        <v>600</v>
      </c>
      <c r="B111" s="7">
        <v>2</v>
      </c>
      <c r="C111" s="6" t="s">
        <v>572</v>
      </c>
    </row>
    <row r="112" spans="1:3" x14ac:dyDescent="0.35">
      <c r="A112" s="6" t="s">
        <v>648</v>
      </c>
      <c r="B112" s="7">
        <v>1</v>
      </c>
      <c r="C112" s="6" t="s">
        <v>600</v>
      </c>
    </row>
    <row r="113" spans="1:3" x14ac:dyDescent="0.35">
      <c r="A113" s="6" t="s">
        <v>603</v>
      </c>
      <c r="B113" s="7">
        <v>2</v>
      </c>
      <c r="C113" s="6" t="s">
        <v>648</v>
      </c>
    </row>
    <row r="114" spans="1:3" x14ac:dyDescent="0.35">
      <c r="A114" s="6" t="s">
        <v>411</v>
      </c>
      <c r="B114" s="7">
        <v>1</v>
      </c>
      <c r="C114" s="6" t="s">
        <v>648</v>
      </c>
    </row>
    <row r="115" spans="1:3" x14ac:dyDescent="0.35">
      <c r="A115" s="6" t="s">
        <v>612</v>
      </c>
      <c r="B115" s="7">
        <v>2</v>
      </c>
      <c r="C115" s="6" t="s">
        <v>411</v>
      </c>
    </row>
    <row r="116" spans="1:3" x14ac:dyDescent="0.35">
      <c r="A116" s="6" t="s">
        <v>414</v>
      </c>
      <c r="B116" s="7">
        <v>1</v>
      </c>
      <c r="C116" s="6" t="s">
        <v>411</v>
      </c>
    </row>
    <row r="117" spans="1:3" x14ac:dyDescent="0.35">
      <c r="A117" s="6" t="s">
        <v>417</v>
      </c>
      <c r="B117" s="7">
        <v>6</v>
      </c>
      <c r="C117" s="6" t="s">
        <v>414</v>
      </c>
    </row>
    <row r="118" spans="1:3" x14ac:dyDescent="0.35">
      <c r="A118" s="6" t="s">
        <v>615</v>
      </c>
      <c r="B118" s="7">
        <v>2</v>
      </c>
      <c r="C118" s="6" t="s">
        <v>417</v>
      </c>
    </row>
    <row r="119" spans="1:3" x14ac:dyDescent="0.35">
      <c r="A119" s="6" t="s">
        <v>654</v>
      </c>
      <c r="B119" s="7">
        <v>385</v>
      </c>
      <c r="C119" s="6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6"/>
  <sheetViews>
    <sheetView topLeftCell="O1" zoomScale="115" zoomScaleNormal="115" workbookViewId="0">
      <pane ySplit="1" topLeftCell="A56" activePane="bottomLeft" state="frozen"/>
      <selection pane="bottomLeft" sqref="A1:R386"/>
    </sheetView>
  </sheetViews>
  <sheetFormatPr baseColWidth="10" defaultColWidth="11.54296875" defaultRowHeight="14.5" x14ac:dyDescent="0.35"/>
  <cols>
    <col min="1" max="1" width="55.90625" style="3" customWidth="1"/>
    <col min="2" max="2" width="55.08984375" style="3" customWidth="1"/>
    <col min="3" max="3" width="37.36328125" style="3" bestFit="1" customWidth="1"/>
    <col min="4" max="4" width="50.08984375" style="3" customWidth="1"/>
    <col min="5" max="5" width="26.90625" style="3" customWidth="1"/>
    <col min="6" max="6" width="18.08984375" style="3" bestFit="1" customWidth="1"/>
    <col min="7" max="7" width="30.1796875" style="3" bestFit="1" customWidth="1"/>
    <col min="8" max="8" width="48.453125" style="3" bestFit="1" customWidth="1"/>
    <col min="9" max="9" width="22.54296875" style="3" bestFit="1" customWidth="1"/>
    <col min="10" max="10" width="20.453125" style="3" customWidth="1"/>
    <col min="11" max="11" width="16.08984375" style="3" customWidth="1"/>
    <col min="12" max="12" width="24.453125" style="3" customWidth="1"/>
    <col min="13" max="13" width="20.90625" style="4" customWidth="1"/>
    <col min="14" max="14" width="21.6328125" style="4" customWidth="1"/>
    <col min="15" max="15" width="20.6328125" style="4" customWidth="1"/>
    <col min="16" max="16" width="23.26953125" style="4" customWidth="1"/>
    <col min="17" max="17" width="15.1796875" style="4" bestFit="1" customWidth="1"/>
    <col min="18" max="18" width="27.1796875" style="4" bestFit="1" customWidth="1"/>
    <col min="19" max="16384" width="11.54296875" style="3"/>
  </cols>
  <sheetData>
    <row r="1" spans="1:19" ht="26.4" customHeight="1" x14ac:dyDescent="0.35">
      <c r="A1" s="188" t="s">
        <v>652</v>
      </c>
      <c r="B1" s="189" t="s">
        <v>617</v>
      </c>
      <c r="C1" s="189" t="s">
        <v>168</v>
      </c>
      <c r="D1" s="189" t="s">
        <v>167</v>
      </c>
      <c r="E1" s="189" t="s">
        <v>169</v>
      </c>
      <c r="F1" s="189" t="s">
        <v>170</v>
      </c>
      <c r="G1" s="190" t="s">
        <v>176</v>
      </c>
      <c r="H1" s="190" t="s">
        <v>177</v>
      </c>
      <c r="I1" s="190" t="s">
        <v>178</v>
      </c>
      <c r="J1" s="189" t="s">
        <v>179</v>
      </c>
      <c r="K1" s="189" t="s">
        <v>180</v>
      </c>
      <c r="L1" s="190" t="s">
        <v>175</v>
      </c>
      <c r="M1" s="189" t="s">
        <v>171</v>
      </c>
      <c r="N1" s="189" t="s">
        <v>172</v>
      </c>
      <c r="O1" s="189" t="s">
        <v>173</v>
      </c>
      <c r="P1" s="189" t="s">
        <v>174</v>
      </c>
      <c r="Q1" s="189" t="s">
        <v>247</v>
      </c>
      <c r="R1" s="191" t="s">
        <v>13</v>
      </c>
      <c r="S1" s="2"/>
    </row>
    <row r="2" spans="1:19" ht="28.25" hidden="1" customHeight="1" x14ac:dyDescent="0.35">
      <c r="A2" s="179" t="s">
        <v>250</v>
      </c>
      <c r="B2" s="49" t="s">
        <v>250</v>
      </c>
      <c r="C2" s="73" t="s">
        <v>3</v>
      </c>
      <c r="D2" s="73" t="s">
        <v>2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2</v>
      </c>
      <c r="J2" s="121">
        <v>41327</v>
      </c>
      <c r="K2" s="121" t="s">
        <v>204</v>
      </c>
      <c r="L2" s="69">
        <v>75000</v>
      </c>
      <c r="M2" s="122">
        <v>473.2</v>
      </c>
      <c r="N2" s="122">
        <v>0</v>
      </c>
      <c r="O2" s="122">
        <v>158</v>
      </c>
      <c r="P2" s="122">
        <v>0</v>
      </c>
      <c r="Q2" s="122"/>
      <c r="R2" s="186">
        <v>2018</v>
      </c>
      <c r="S2" s="2"/>
    </row>
    <row r="3" spans="1:19" ht="28.25" hidden="1" customHeight="1" x14ac:dyDescent="0.35">
      <c r="A3" s="180" t="s">
        <v>250</v>
      </c>
      <c r="B3" s="135" t="s">
        <v>250</v>
      </c>
      <c r="C3" s="145" t="s">
        <v>9</v>
      </c>
      <c r="D3" s="145" t="s">
        <v>8</v>
      </c>
      <c r="E3" s="145" t="s">
        <v>4</v>
      </c>
      <c r="F3" s="145" t="s">
        <v>10</v>
      </c>
      <c r="G3" s="145" t="s">
        <v>6</v>
      </c>
      <c r="H3" s="145" t="s">
        <v>11</v>
      </c>
      <c r="I3" s="145" t="s">
        <v>12</v>
      </c>
      <c r="J3" s="121" t="s">
        <v>182</v>
      </c>
      <c r="K3" s="121" t="s">
        <v>205</v>
      </c>
      <c r="L3" s="69">
        <v>100000</v>
      </c>
      <c r="M3" s="122">
        <v>87.54</v>
      </c>
      <c r="N3" s="122">
        <v>0</v>
      </c>
      <c r="O3" s="122">
        <v>43.04</v>
      </c>
      <c r="P3" s="122">
        <v>0</v>
      </c>
      <c r="Q3" s="122"/>
      <c r="R3" s="186">
        <v>2018</v>
      </c>
      <c r="S3" s="2"/>
    </row>
    <row r="4" spans="1:19" ht="28.25" hidden="1" customHeight="1" x14ac:dyDescent="0.35">
      <c r="A4" s="181" t="s">
        <v>14</v>
      </c>
      <c r="B4" s="135" t="s">
        <v>14</v>
      </c>
      <c r="C4" s="145" t="s">
        <v>16</v>
      </c>
      <c r="D4" s="145" t="s">
        <v>15</v>
      </c>
      <c r="E4" s="145" t="s">
        <v>4</v>
      </c>
      <c r="F4" s="145" t="s">
        <v>17</v>
      </c>
      <c r="G4" s="145" t="s">
        <v>18</v>
      </c>
      <c r="H4" s="145" t="s">
        <v>19</v>
      </c>
      <c r="I4" s="145" t="s">
        <v>20</v>
      </c>
      <c r="J4" s="121" t="s">
        <v>183</v>
      </c>
      <c r="K4" s="121" t="s">
        <v>206</v>
      </c>
      <c r="L4" s="69">
        <v>900000</v>
      </c>
      <c r="M4" s="122">
        <v>79</v>
      </c>
      <c r="N4" s="122">
        <v>0</v>
      </c>
      <c r="O4" s="122">
        <v>0</v>
      </c>
      <c r="P4" s="122">
        <v>0</v>
      </c>
      <c r="Q4" s="122"/>
      <c r="R4" s="186">
        <v>2018</v>
      </c>
      <c r="S4" s="2"/>
    </row>
    <row r="5" spans="1:19" ht="28.25" hidden="1" customHeight="1" x14ac:dyDescent="0.35">
      <c r="A5" s="181" t="s">
        <v>14</v>
      </c>
      <c r="B5" s="135" t="s">
        <v>14</v>
      </c>
      <c r="C5" s="145" t="s">
        <v>22</v>
      </c>
      <c r="D5" s="145" t="s">
        <v>21</v>
      </c>
      <c r="E5" s="145" t="s">
        <v>4</v>
      </c>
      <c r="F5" s="145" t="s">
        <v>17</v>
      </c>
      <c r="G5" s="145" t="s">
        <v>18</v>
      </c>
      <c r="H5" s="145" t="s">
        <v>23</v>
      </c>
      <c r="I5" s="145" t="s">
        <v>20</v>
      </c>
      <c r="J5" s="121" t="s">
        <v>184</v>
      </c>
      <c r="K5" s="121" t="s">
        <v>207</v>
      </c>
      <c r="L5" s="69">
        <v>14300000</v>
      </c>
      <c r="M5" s="122">
        <v>420</v>
      </c>
      <c r="N5" s="122">
        <v>0</v>
      </c>
      <c r="O5" s="122">
        <v>184</v>
      </c>
      <c r="P5" s="122">
        <v>0</v>
      </c>
      <c r="Q5" s="122"/>
      <c r="R5" s="186">
        <v>2018</v>
      </c>
      <c r="S5" s="2"/>
    </row>
    <row r="6" spans="1:19" ht="28.25" hidden="1" customHeight="1" x14ac:dyDescent="0.35">
      <c r="A6" s="182" t="s">
        <v>445</v>
      </c>
      <c r="B6" s="135" t="s">
        <v>445</v>
      </c>
      <c r="C6" s="145" t="s">
        <v>26</v>
      </c>
      <c r="D6" s="145" t="s">
        <v>25</v>
      </c>
      <c r="E6" s="145" t="s">
        <v>4</v>
      </c>
      <c r="F6" s="145" t="s">
        <v>27</v>
      </c>
      <c r="G6" s="145" t="s">
        <v>6</v>
      </c>
      <c r="H6" s="145" t="s">
        <v>28</v>
      </c>
      <c r="I6" s="145" t="s">
        <v>29</v>
      </c>
      <c r="J6" s="121">
        <v>42157</v>
      </c>
      <c r="K6" s="121" t="s">
        <v>208</v>
      </c>
      <c r="L6" s="69">
        <v>744425</v>
      </c>
      <c r="M6" s="122">
        <v>1590</v>
      </c>
      <c r="N6" s="122">
        <v>0</v>
      </c>
      <c r="O6" s="122">
        <v>401</v>
      </c>
      <c r="P6" s="122">
        <v>0</v>
      </c>
      <c r="Q6" s="122"/>
      <c r="R6" s="186">
        <v>2018</v>
      </c>
      <c r="S6" s="2"/>
    </row>
    <row r="7" spans="1:19" ht="28.25" hidden="1" customHeight="1" x14ac:dyDescent="0.35">
      <c r="A7" s="181" t="s">
        <v>30</v>
      </c>
      <c r="B7" s="135" t="s">
        <v>30</v>
      </c>
      <c r="C7" s="145" t="s">
        <v>32</v>
      </c>
      <c r="D7" s="145" t="s">
        <v>31</v>
      </c>
      <c r="E7" s="145" t="s">
        <v>4</v>
      </c>
      <c r="F7" s="145" t="s">
        <v>17</v>
      </c>
      <c r="G7" s="145" t="s">
        <v>18</v>
      </c>
      <c r="H7" s="145" t="s">
        <v>33</v>
      </c>
      <c r="I7" s="145" t="s">
        <v>20</v>
      </c>
      <c r="J7" s="121" t="s">
        <v>183</v>
      </c>
      <c r="K7" s="121" t="s">
        <v>206</v>
      </c>
      <c r="L7" s="69">
        <v>321500</v>
      </c>
      <c r="M7" s="122">
        <v>235</v>
      </c>
      <c r="N7" s="122">
        <v>0</v>
      </c>
      <c r="O7" s="122">
        <v>0</v>
      </c>
      <c r="P7" s="122">
        <v>0</v>
      </c>
      <c r="Q7" s="122"/>
      <c r="R7" s="186">
        <v>2018</v>
      </c>
      <c r="S7" s="2"/>
    </row>
    <row r="8" spans="1:19" ht="28.25" hidden="1" customHeight="1" x14ac:dyDescent="0.35">
      <c r="A8" s="181" t="s">
        <v>30</v>
      </c>
      <c r="B8" s="135" t="s">
        <v>30</v>
      </c>
      <c r="C8" s="145" t="s">
        <v>35</v>
      </c>
      <c r="D8" s="145" t="s">
        <v>34</v>
      </c>
      <c r="E8" s="145" t="s">
        <v>4</v>
      </c>
      <c r="F8" s="145" t="s">
        <v>17</v>
      </c>
      <c r="G8" s="145" t="s">
        <v>18</v>
      </c>
      <c r="H8" s="145" t="s">
        <v>36</v>
      </c>
      <c r="I8" s="145" t="s">
        <v>37</v>
      </c>
      <c r="J8" s="121" t="s">
        <v>186</v>
      </c>
      <c r="K8" s="121" t="s">
        <v>209</v>
      </c>
      <c r="L8" s="69">
        <v>2250000</v>
      </c>
      <c r="M8" s="122">
        <v>606</v>
      </c>
      <c r="N8" s="122">
        <v>0</v>
      </c>
      <c r="O8" s="122">
        <v>0</v>
      </c>
      <c r="P8" s="122">
        <v>0</v>
      </c>
      <c r="Q8" s="122"/>
      <c r="R8" s="186">
        <v>2018</v>
      </c>
      <c r="S8" s="2"/>
    </row>
    <row r="9" spans="1:19" ht="28.25" hidden="1" customHeight="1" x14ac:dyDescent="0.35">
      <c r="A9" s="181" t="s">
        <v>38</v>
      </c>
      <c r="B9" s="135" t="s">
        <v>285</v>
      </c>
      <c r="C9" s="145" t="s">
        <v>40</v>
      </c>
      <c r="D9" s="145" t="s">
        <v>39</v>
      </c>
      <c r="E9" s="145" t="s">
        <v>41</v>
      </c>
      <c r="F9" s="145" t="s">
        <v>42</v>
      </c>
      <c r="G9" s="145" t="s">
        <v>6</v>
      </c>
      <c r="H9" s="145"/>
      <c r="I9" s="145"/>
      <c r="J9" s="121"/>
      <c r="K9" s="121"/>
      <c r="L9" s="69">
        <v>1540000</v>
      </c>
      <c r="M9" s="123">
        <v>75</v>
      </c>
      <c r="N9" s="123">
        <v>5</v>
      </c>
      <c r="O9" s="122">
        <v>0</v>
      </c>
      <c r="P9" s="122">
        <v>0</v>
      </c>
      <c r="Q9" s="122"/>
      <c r="R9" s="186">
        <v>2018</v>
      </c>
      <c r="S9" s="2"/>
    </row>
    <row r="10" spans="1:19" ht="28.25" hidden="1" customHeight="1" x14ac:dyDescent="0.35">
      <c r="A10" s="181" t="s">
        <v>43</v>
      </c>
      <c r="B10" s="135" t="s">
        <v>470</v>
      </c>
      <c r="C10" s="145" t="s">
        <v>45</v>
      </c>
      <c r="D10" s="145" t="s">
        <v>44</v>
      </c>
      <c r="E10" s="145" t="s">
        <v>46</v>
      </c>
      <c r="F10" s="145" t="s">
        <v>47</v>
      </c>
      <c r="G10" s="145" t="s">
        <v>48</v>
      </c>
      <c r="H10" s="147" t="s">
        <v>44</v>
      </c>
      <c r="I10" s="147" t="s">
        <v>47</v>
      </c>
      <c r="J10" s="124"/>
      <c r="K10" s="121" t="s">
        <v>210</v>
      </c>
      <c r="L10" s="69">
        <v>0</v>
      </c>
      <c r="M10" s="122">
        <v>0.5</v>
      </c>
      <c r="N10" s="122">
        <v>0.5</v>
      </c>
      <c r="O10" s="122">
        <v>0</v>
      </c>
      <c r="P10" s="122">
        <v>0</v>
      </c>
      <c r="Q10" s="122"/>
      <c r="R10" s="186">
        <v>2018</v>
      </c>
      <c r="S10" s="2"/>
    </row>
    <row r="11" spans="1:19" ht="28.25" hidden="1" customHeight="1" x14ac:dyDescent="0.35">
      <c r="A11" s="181" t="s">
        <v>43</v>
      </c>
      <c r="B11" s="135" t="s">
        <v>470</v>
      </c>
      <c r="C11" s="145" t="s">
        <v>50</v>
      </c>
      <c r="D11" s="145" t="s">
        <v>49</v>
      </c>
      <c r="E11" s="145" t="s">
        <v>46</v>
      </c>
      <c r="F11" s="145" t="s">
        <v>47</v>
      </c>
      <c r="G11" s="145" t="s">
        <v>48</v>
      </c>
      <c r="H11" s="145" t="s">
        <v>44</v>
      </c>
      <c r="I11" s="145" t="s">
        <v>47</v>
      </c>
      <c r="J11" s="121"/>
      <c r="K11" s="121" t="s">
        <v>211</v>
      </c>
      <c r="L11" s="69">
        <v>0</v>
      </c>
      <c r="M11" s="122">
        <v>0.14000000000000001</v>
      </c>
      <c r="N11" s="122">
        <v>0.14000000000000001</v>
      </c>
      <c r="O11" s="122">
        <v>0</v>
      </c>
      <c r="P11" s="122">
        <v>0</v>
      </c>
      <c r="Q11" s="122"/>
      <c r="R11" s="186">
        <v>2018</v>
      </c>
      <c r="S11" s="2"/>
    </row>
    <row r="12" spans="1:19" ht="28.25" hidden="1" customHeight="1" x14ac:dyDescent="0.35">
      <c r="A12" s="181" t="s">
        <v>51</v>
      </c>
      <c r="B12" s="135" t="s">
        <v>51</v>
      </c>
      <c r="C12" s="145" t="s">
        <v>53</v>
      </c>
      <c r="D12" s="145" t="s">
        <v>52</v>
      </c>
      <c r="E12" s="145" t="s">
        <v>41</v>
      </c>
      <c r="F12" s="145" t="s">
        <v>47</v>
      </c>
      <c r="G12" s="145" t="s">
        <v>48</v>
      </c>
      <c r="H12" s="147" t="s">
        <v>52</v>
      </c>
      <c r="I12" s="147" t="s">
        <v>47</v>
      </c>
      <c r="J12" s="124" t="s">
        <v>187</v>
      </c>
      <c r="K12" s="121" t="s">
        <v>187</v>
      </c>
      <c r="L12" s="69">
        <v>0</v>
      </c>
      <c r="M12" s="123">
        <v>14.23</v>
      </c>
      <c r="N12" s="123">
        <v>1</v>
      </c>
      <c r="O12" s="122">
        <v>0</v>
      </c>
      <c r="P12" s="122">
        <v>0</v>
      </c>
      <c r="Q12" s="122"/>
      <c r="R12" s="186">
        <v>2018</v>
      </c>
      <c r="S12" s="2"/>
    </row>
    <row r="13" spans="1:19" ht="28.25" hidden="1" customHeight="1" x14ac:dyDescent="0.35">
      <c r="A13" s="181" t="s">
        <v>54</v>
      </c>
      <c r="B13" s="135" t="s">
        <v>54</v>
      </c>
      <c r="C13" s="145" t="s">
        <v>56</v>
      </c>
      <c r="D13" s="145" t="s">
        <v>55</v>
      </c>
      <c r="E13" s="145" t="s">
        <v>57</v>
      </c>
      <c r="F13" s="145" t="s">
        <v>58</v>
      </c>
      <c r="G13" s="145" t="s">
        <v>59</v>
      </c>
      <c r="H13" s="145" t="s">
        <v>60</v>
      </c>
      <c r="I13" s="145" t="s">
        <v>61</v>
      </c>
      <c r="J13" s="121" t="s">
        <v>188</v>
      </c>
      <c r="K13" s="121"/>
      <c r="L13" s="69">
        <v>0</v>
      </c>
      <c r="M13" s="122">
        <v>5</v>
      </c>
      <c r="N13" s="122">
        <v>1.4999999999999999E-2</v>
      </c>
      <c r="O13" s="122">
        <v>0</v>
      </c>
      <c r="P13" s="122">
        <v>0</v>
      </c>
      <c r="Q13" s="122"/>
      <c r="R13" s="186">
        <v>2018</v>
      </c>
      <c r="S13" s="2"/>
    </row>
    <row r="14" spans="1:19" ht="28.25" hidden="1" customHeight="1" x14ac:dyDescent="0.35">
      <c r="A14" s="181" t="s">
        <v>62</v>
      </c>
      <c r="B14" s="135" t="s">
        <v>62</v>
      </c>
      <c r="C14" s="145" t="s">
        <v>63</v>
      </c>
      <c r="D14" s="145" t="s">
        <v>62</v>
      </c>
      <c r="E14" s="145" t="s">
        <v>46</v>
      </c>
      <c r="F14" s="145" t="s">
        <v>47</v>
      </c>
      <c r="G14" s="145" t="s">
        <v>64</v>
      </c>
      <c r="H14" s="145" t="s">
        <v>65</v>
      </c>
      <c r="I14" s="145" t="s">
        <v>66</v>
      </c>
      <c r="J14" s="121"/>
      <c r="K14" s="121" t="s">
        <v>212</v>
      </c>
      <c r="L14" s="69">
        <v>0</v>
      </c>
      <c r="M14" s="125">
        <v>0.59756200000000004</v>
      </c>
      <c r="N14" s="125">
        <v>0.59756200000000004</v>
      </c>
      <c r="O14" s="122">
        <v>0</v>
      </c>
      <c r="P14" s="122">
        <v>0</v>
      </c>
      <c r="Q14" s="122"/>
      <c r="R14" s="186">
        <v>2018</v>
      </c>
      <c r="S14" s="2"/>
    </row>
    <row r="15" spans="1:19" ht="28.25" hidden="1" customHeight="1" x14ac:dyDescent="0.35">
      <c r="A15" s="181" t="s">
        <v>67</v>
      </c>
      <c r="B15" s="135" t="s">
        <v>67</v>
      </c>
      <c r="C15" s="145" t="s">
        <v>69</v>
      </c>
      <c r="D15" s="145" t="s">
        <v>68</v>
      </c>
      <c r="E15" s="145" t="s">
        <v>41</v>
      </c>
      <c r="F15" s="145" t="s">
        <v>47</v>
      </c>
      <c r="G15" s="145" t="s">
        <v>70</v>
      </c>
      <c r="H15" s="145" t="s">
        <v>71</v>
      </c>
      <c r="I15" s="145" t="s">
        <v>72</v>
      </c>
      <c r="J15" s="121" t="s">
        <v>189</v>
      </c>
      <c r="K15" s="121" t="s">
        <v>213</v>
      </c>
      <c r="L15" s="69">
        <v>0</v>
      </c>
      <c r="M15" s="123">
        <v>445</v>
      </c>
      <c r="N15" s="123">
        <v>2.2000000000000002</v>
      </c>
      <c r="O15" s="122">
        <v>0</v>
      </c>
      <c r="P15" s="122">
        <v>2</v>
      </c>
      <c r="Q15" s="122"/>
      <c r="R15" s="186">
        <v>2018</v>
      </c>
      <c r="S15" s="2"/>
    </row>
    <row r="16" spans="1:19" ht="28.25" hidden="1" customHeight="1" x14ac:dyDescent="0.35">
      <c r="A16" s="181" t="s">
        <v>73</v>
      </c>
      <c r="B16" s="135" t="s">
        <v>73</v>
      </c>
      <c r="C16" s="145">
        <v>4068</v>
      </c>
      <c r="D16" s="145" t="s">
        <v>74</v>
      </c>
      <c r="E16" s="145" t="s">
        <v>46</v>
      </c>
      <c r="F16" s="145" t="s">
        <v>47</v>
      </c>
      <c r="G16" s="145" t="s">
        <v>64</v>
      </c>
      <c r="H16" s="145" t="s">
        <v>65</v>
      </c>
      <c r="I16" s="145" t="s">
        <v>66</v>
      </c>
      <c r="J16" s="121" t="s">
        <v>190</v>
      </c>
      <c r="K16" s="121" t="s">
        <v>190</v>
      </c>
      <c r="L16" s="69">
        <v>0</v>
      </c>
      <c r="M16" s="122">
        <v>0.04</v>
      </c>
      <c r="N16" s="122">
        <v>0.04</v>
      </c>
      <c r="O16" s="122">
        <v>0</v>
      </c>
      <c r="P16" s="122">
        <v>0</v>
      </c>
      <c r="Q16" s="122"/>
      <c r="R16" s="186">
        <v>2018</v>
      </c>
      <c r="S16" s="2"/>
    </row>
    <row r="17" spans="1:19" ht="28.25" hidden="1" customHeight="1" x14ac:dyDescent="0.35">
      <c r="A17" s="181" t="s">
        <v>75</v>
      </c>
      <c r="B17" s="135" t="s">
        <v>75</v>
      </c>
      <c r="C17" s="145">
        <v>991020</v>
      </c>
      <c r="D17" s="145" t="s">
        <v>76</v>
      </c>
      <c r="E17" s="145" t="s">
        <v>41</v>
      </c>
      <c r="F17" s="145" t="s">
        <v>47</v>
      </c>
      <c r="G17" s="145" t="s">
        <v>6</v>
      </c>
      <c r="H17" s="145" t="s">
        <v>77</v>
      </c>
      <c r="I17" s="145" t="s">
        <v>78</v>
      </c>
      <c r="J17" s="121" t="s">
        <v>191</v>
      </c>
      <c r="K17" s="121" t="s">
        <v>214</v>
      </c>
      <c r="L17" s="69">
        <v>0</v>
      </c>
      <c r="M17" s="123">
        <v>173</v>
      </c>
      <c r="N17" s="123">
        <v>7</v>
      </c>
      <c r="O17" s="122">
        <v>0</v>
      </c>
      <c r="P17" s="122">
        <v>7</v>
      </c>
      <c r="Q17" s="122"/>
      <c r="R17" s="186">
        <v>2018</v>
      </c>
      <c r="S17" s="2"/>
    </row>
    <row r="18" spans="1:19" ht="28.25" hidden="1" customHeight="1" x14ac:dyDescent="0.35">
      <c r="A18" s="181" t="s">
        <v>79</v>
      </c>
      <c r="B18" s="135" t="s">
        <v>79</v>
      </c>
      <c r="C18" s="145" t="s">
        <v>81</v>
      </c>
      <c r="D18" s="145" t="s">
        <v>80</v>
      </c>
      <c r="E18" s="145" t="s">
        <v>41</v>
      </c>
      <c r="F18" s="145" t="s">
        <v>47</v>
      </c>
      <c r="G18" s="145" t="s">
        <v>48</v>
      </c>
      <c r="H18" s="145" t="s">
        <v>82</v>
      </c>
      <c r="I18" s="145" t="s">
        <v>83</v>
      </c>
      <c r="J18" s="121" t="s">
        <v>192</v>
      </c>
      <c r="K18" s="121">
        <v>36578</v>
      </c>
      <c r="L18" s="69">
        <v>0</v>
      </c>
      <c r="M18" s="123">
        <v>3.5</v>
      </c>
      <c r="N18" s="123">
        <v>0.82</v>
      </c>
      <c r="O18" s="122">
        <v>0</v>
      </c>
      <c r="P18" s="122">
        <v>0</v>
      </c>
      <c r="Q18" s="122"/>
      <c r="R18" s="186">
        <v>2018</v>
      </c>
      <c r="S18" s="2"/>
    </row>
    <row r="19" spans="1:19" ht="28.25" hidden="1" customHeight="1" x14ac:dyDescent="0.35">
      <c r="A19" s="181" t="s">
        <v>84</v>
      </c>
      <c r="B19" s="135" t="s">
        <v>84</v>
      </c>
      <c r="C19" s="145" t="s">
        <v>86</v>
      </c>
      <c r="D19" s="145" t="s">
        <v>85</v>
      </c>
      <c r="E19" s="145" t="s">
        <v>87</v>
      </c>
      <c r="F19" s="145" t="s">
        <v>17</v>
      </c>
      <c r="G19" s="145" t="s">
        <v>18</v>
      </c>
      <c r="H19" s="145" t="s">
        <v>88</v>
      </c>
      <c r="I19" s="145" t="s">
        <v>20</v>
      </c>
      <c r="J19" s="121" t="s">
        <v>193</v>
      </c>
      <c r="K19" s="121" t="s">
        <v>215</v>
      </c>
      <c r="L19" s="69">
        <v>0</v>
      </c>
      <c r="M19" s="122">
        <v>121.83</v>
      </c>
      <c r="N19" s="122">
        <v>0</v>
      </c>
      <c r="O19" s="122">
        <v>0</v>
      </c>
      <c r="P19" s="122">
        <v>0</v>
      </c>
      <c r="Q19" s="122"/>
      <c r="R19" s="186">
        <v>2018</v>
      </c>
      <c r="S19" s="2"/>
    </row>
    <row r="20" spans="1:19" ht="28.25" hidden="1" customHeight="1" x14ac:dyDescent="0.35">
      <c r="A20" s="181" t="s">
        <v>89</v>
      </c>
      <c r="B20" s="135" t="s">
        <v>373</v>
      </c>
      <c r="C20" s="145" t="s">
        <v>91</v>
      </c>
      <c r="D20" s="145" t="s">
        <v>90</v>
      </c>
      <c r="E20" s="145" t="s">
        <v>41</v>
      </c>
      <c r="F20" s="145" t="s">
        <v>17</v>
      </c>
      <c r="G20" s="145" t="s">
        <v>18</v>
      </c>
      <c r="H20" s="145" t="s">
        <v>92</v>
      </c>
      <c r="I20" s="145" t="s">
        <v>17</v>
      </c>
      <c r="J20" s="121" t="s">
        <v>194</v>
      </c>
      <c r="K20" s="121" t="s">
        <v>216</v>
      </c>
      <c r="L20" s="69">
        <v>0</v>
      </c>
      <c r="M20" s="123">
        <v>87.5</v>
      </c>
      <c r="N20" s="123">
        <v>2.79</v>
      </c>
      <c r="O20" s="122">
        <v>0</v>
      </c>
      <c r="P20" s="122">
        <v>0</v>
      </c>
      <c r="Q20" s="122"/>
      <c r="R20" s="186">
        <v>2018</v>
      </c>
      <c r="S20" s="2"/>
    </row>
    <row r="21" spans="1:19" ht="28.25" customHeight="1" x14ac:dyDescent="0.35">
      <c r="A21" s="181" t="s">
        <v>93</v>
      </c>
      <c r="B21" s="135" t="s">
        <v>93</v>
      </c>
      <c r="C21" s="145" t="s">
        <v>95</v>
      </c>
      <c r="D21" s="145" t="s">
        <v>94</v>
      </c>
      <c r="E21" s="145" t="s">
        <v>41</v>
      </c>
      <c r="F21" s="145" t="s">
        <v>17</v>
      </c>
      <c r="G21" s="145" t="s">
        <v>18</v>
      </c>
      <c r="H21" s="145" t="s">
        <v>94</v>
      </c>
      <c r="I21" s="145" t="s">
        <v>20</v>
      </c>
      <c r="J21" s="121" t="s">
        <v>195</v>
      </c>
      <c r="K21" s="121" t="s">
        <v>217</v>
      </c>
      <c r="L21" s="69">
        <v>0</v>
      </c>
      <c r="M21" s="123">
        <v>291.8</v>
      </c>
      <c r="N21" s="123">
        <v>1.55</v>
      </c>
      <c r="O21" s="122">
        <v>0</v>
      </c>
      <c r="P21" s="123">
        <v>0.13</v>
      </c>
      <c r="Q21" s="123"/>
      <c r="R21" s="186">
        <v>2018</v>
      </c>
      <c r="S21" s="2"/>
    </row>
    <row r="22" spans="1:19" ht="28.25" hidden="1" customHeight="1" x14ac:dyDescent="0.35">
      <c r="A22" s="181" t="s">
        <v>96</v>
      </c>
      <c r="B22" s="135" t="s">
        <v>96</v>
      </c>
      <c r="C22" s="145" t="s">
        <v>98</v>
      </c>
      <c r="D22" s="145" t="s">
        <v>97</v>
      </c>
      <c r="E22" s="145" t="s">
        <v>4</v>
      </c>
      <c r="F22" s="145" t="s">
        <v>17</v>
      </c>
      <c r="G22" s="145" t="s">
        <v>18</v>
      </c>
      <c r="H22" s="145" t="s">
        <v>94</v>
      </c>
      <c r="I22" s="145" t="s">
        <v>20</v>
      </c>
      <c r="J22" s="121" t="s">
        <v>196</v>
      </c>
      <c r="K22" s="121" t="s">
        <v>218</v>
      </c>
      <c r="L22" s="69">
        <v>2222220</v>
      </c>
      <c r="M22" s="122">
        <v>337.3</v>
      </c>
      <c r="N22" s="122">
        <v>0</v>
      </c>
      <c r="O22" s="122">
        <v>0</v>
      </c>
      <c r="P22" s="122">
        <v>0</v>
      </c>
      <c r="Q22" s="122"/>
      <c r="R22" s="186">
        <v>2018</v>
      </c>
      <c r="S22" s="2"/>
    </row>
    <row r="23" spans="1:19" ht="28.25" hidden="1" customHeight="1" x14ac:dyDescent="0.35">
      <c r="A23" s="181" t="s">
        <v>96</v>
      </c>
      <c r="B23" s="135" t="s">
        <v>96</v>
      </c>
      <c r="C23" s="145" t="s">
        <v>100</v>
      </c>
      <c r="D23" s="145" t="s">
        <v>99</v>
      </c>
      <c r="E23" s="145" t="s">
        <v>4</v>
      </c>
      <c r="F23" s="145" t="s">
        <v>17</v>
      </c>
      <c r="G23" s="145" t="s">
        <v>18</v>
      </c>
      <c r="H23" s="145" t="s">
        <v>94</v>
      </c>
      <c r="I23" s="145" t="s">
        <v>20</v>
      </c>
      <c r="J23" s="121" t="s">
        <v>196</v>
      </c>
      <c r="K23" s="121" t="s">
        <v>218</v>
      </c>
      <c r="L23" s="69">
        <v>3333330</v>
      </c>
      <c r="M23" s="122">
        <v>291.7</v>
      </c>
      <c r="N23" s="122">
        <v>0</v>
      </c>
      <c r="O23" s="122">
        <v>0</v>
      </c>
      <c r="P23" s="122">
        <v>0</v>
      </c>
      <c r="Q23" s="122"/>
      <c r="R23" s="186">
        <v>2018</v>
      </c>
      <c r="S23" s="2"/>
    </row>
    <row r="24" spans="1:19" ht="28.25" hidden="1" customHeight="1" x14ac:dyDescent="0.35">
      <c r="A24" s="181" t="s">
        <v>101</v>
      </c>
      <c r="B24" s="135" t="s">
        <v>101</v>
      </c>
      <c r="C24" s="145" t="s">
        <v>103</v>
      </c>
      <c r="D24" s="145" t="s">
        <v>102</v>
      </c>
      <c r="E24" s="145" t="s">
        <v>41</v>
      </c>
      <c r="F24" s="145" t="s">
        <v>47</v>
      </c>
      <c r="G24" s="145" t="s">
        <v>104</v>
      </c>
      <c r="H24" s="145" t="s">
        <v>105</v>
      </c>
      <c r="I24" s="145" t="s">
        <v>66</v>
      </c>
      <c r="J24" s="121" t="s">
        <v>197</v>
      </c>
      <c r="K24" s="121" t="s">
        <v>219</v>
      </c>
      <c r="L24" s="69">
        <v>0</v>
      </c>
      <c r="M24" s="123">
        <v>2.1579000000000002</v>
      </c>
      <c r="N24" s="123">
        <v>0.19800000000000001</v>
      </c>
      <c r="O24" s="122">
        <v>0</v>
      </c>
      <c r="P24" s="123">
        <v>9.8000000000000004E-2</v>
      </c>
      <c r="Q24" s="123"/>
      <c r="R24" s="186">
        <v>2018</v>
      </c>
      <c r="S24" s="2"/>
    </row>
    <row r="25" spans="1:19" ht="28.25" hidden="1" customHeight="1" x14ac:dyDescent="0.35">
      <c r="A25" s="181" t="s">
        <v>106</v>
      </c>
      <c r="B25" s="135" t="s">
        <v>106</v>
      </c>
      <c r="C25" s="145" t="s">
        <v>108</v>
      </c>
      <c r="D25" s="145" t="s">
        <v>107</v>
      </c>
      <c r="E25" s="145" t="s">
        <v>57</v>
      </c>
      <c r="F25" s="145" t="s">
        <v>47</v>
      </c>
      <c r="G25" s="145" t="s">
        <v>6</v>
      </c>
      <c r="H25" s="145" t="s">
        <v>109</v>
      </c>
      <c r="I25" s="145" t="s">
        <v>78</v>
      </c>
      <c r="J25" s="121" t="s">
        <v>198</v>
      </c>
      <c r="K25" s="121" t="s">
        <v>220</v>
      </c>
      <c r="L25" s="69">
        <v>0</v>
      </c>
      <c r="M25" s="122">
        <v>5</v>
      </c>
      <c r="N25" s="122">
        <v>0.04</v>
      </c>
      <c r="O25" s="122">
        <v>0</v>
      </c>
      <c r="P25" s="122">
        <v>0.02</v>
      </c>
      <c r="Q25" s="122"/>
      <c r="R25" s="186">
        <v>2018</v>
      </c>
      <c r="S25" s="2"/>
    </row>
    <row r="26" spans="1:19" ht="28.25" hidden="1" customHeight="1" x14ac:dyDescent="0.35">
      <c r="A26" s="181" t="s">
        <v>110</v>
      </c>
      <c r="B26" s="135" t="s">
        <v>572</v>
      </c>
      <c r="C26" s="145">
        <v>9828</v>
      </c>
      <c r="D26" s="145" t="s">
        <v>111</v>
      </c>
      <c r="E26" s="145" t="s">
        <v>41</v>
      </c>
      <c r="F26" s="145" t="s">
        <v>47</v>
      </c>
      <c r="G26" s="145" t="s">
        <v>104</v>
      </c>
      <c r="H26" s="145" t="s">
        <v>52</v>
      </c>
      <c r="I26" s="145" t="s">
        <v>47</v>
      </c>
      <c r="J26" s="121" t="s">
        <v>199</v>
      </c>
      <c r="K26" s="121" t="s">
        <v>221</v>
      </c>
      <c r="L26" s="69">
        <v>0</v>
      </c>
      <c r="M26" s="123">
        <v>13.48</v>
      </c>
      <c r="N26" s="123">
        <v>0.4</v>
      </c>
      <c r="O26" s="122">
        <v>0</v>
      </c>
      <c r="P26" s="122">
        <v>0.2</v>
      </c>
      <c r="Q26" s="122"/>
      <c r="R26" s="186">
        <v>2018</v>
      </c>
      <c r="S26" s="2"/>
    </row>
    <row r="27" spans="1:19" ht="28.25" hidden="1" customHeight="1" x14ac:dyDescent="0.35">
      <c r="A27" s="181" t="s">
        <v>112</v>
      </c>
      <c r="B27" s="135" t="s">
        <v>567</v>
      </c>
      <c r="C27" s="145">
        <v>10862</v>
      </c>
      <c r="D27" s="145" t="s">
        <v>113</v>
      </c>
      <c r="E27" s="145" t="s">
        <v>46</v>
      </c>
      <c r="F27" s="145" t="s">
        <v>47</v>
      </c>
      <c r="G27" s="145" t="s">
        <v>114</v>
      </c>
      <c r="H27" s="145" t="s">
        <v>77</v>
      </c>
      <c r="I27" s="145" t="s">
        <v>115</v>
      </c>
      <c r="J27" s="121" t="s">
        <v>200</v>
      </c>
      <c r="K27" s="121" t="s">
        <v>200</v>
      </c>
      <c r="L27" s="69">
        <v>0</v>
      </c>
      <c r="M27" s="122">
        <v>0</v>
      </c>
      <c r="N27" s="122">
        <v>0</v>
      </c>
      <c r="O27" s="122">
        <v>0</v>
      </c>
      <c r="P27" s="122">
        <v>0</v>
      </c>
      <c r="Q27" s="122"/>
      <c r="R27" s="186">
        <v>2018</v>
      </c>
      <c r="S27" s="2"/>
    </row>
    <row r="28" spans="1:19" ht="28.25" hidden="1" customHeight="1" x14ac:dyDescent="0.35">
      <c r="A28" s="181" t="s">
        <v>116</v>
      </c>
      <c r="B28" s="135" t="s">
        <v>116</v>
      </c>
      <c r="C28" s="145">
        <v>266694</v>
      </c>
      <c r="D28" s="145" t="s">
        <v>44</v>
      </c>
      <c r="E28" s="145" t="s">
        <v>46</v>
      </c>
      <c r="F28" s="145" t="s">
        <v>47</v>
      </c>
      <c r="G28" s="145" t="s">
        <v>48</v>
      </c>
      <c r="H28" s="145" t="s">
        <v>117</v>
      </c>
      <c r="I28" s="145" t="s">
        <v>47</v>
      </c>
      <c r="J28" s="121"/>
      <c r="K28" s="121" t="s">
        <v>222</v>
      </c>
      <c r="L28" s="69">
        <v>0</v>
      </c>
      <c r="M28" s="122">
        <v>1.41</v>
      </c>
      <c r="N28" s="122">
        <v>1.41</v>
      </c>
      <c r="O28" s="122">
        <v>0</v>
      </c>
      <c r="P28" s="122">
        <v>0</v>
      </c>
      <c r="Q28" s="122"/>
      <c r="R28" s="186">
        <v>2018</v>
      </c>
      <c r="S28" s="2"/>
    </row>
    <row r="29" spans="1:19" ht="28.25" hidden="1" customHeight="1" x14ac:dyDescent="0.35">
      <c r="A29" s="181" t="s">
        <v>118</v>
      </c>
      <c r="B29" s="135" t="s">
        <v>569</v>
      </c>
      <c r="C29" s="145">
        <v>2011770</v>
      </c>
      <c r="D29" s="145" t="s">
        <v>119</v>
      </c>
      <c r="E29" s="145" t="s">
        <v>41</v>
      </c>
      <c r="F29" s="145" t="s">
        <v>27</v>
      </c>
      <c r="G29" s="145" t="s">
        <v>6</v>
      </c>
      <c r="H29" s="145" t="s">
        <v>119</v>
      </c>
      <c r="I29" s="145" t="s">
        <v>120</v>
      </c>
      <c r="J29" s="121">
        <v>39722</v>
      </c>
      <c r="K29" s="121" t="s">
        <v>223</v>
      </c>
      <c r="L29" s="69">
        <v>0</v>
      </c>
      <c r="M29" s="123">
        <v>661</v>
      </c>
      <c r="N29" s="123">
        <v>10</v>
      </c>
      <c r="O29" s="122">
        <v>0</v>
      </c>
      <c r="P29" s="122">
        <v>0</v>
      </c>
      <c r="Q29" s="122"/>
      <c r="R29" s="186">
        <v>2018</v>
      </c>
      <c r="S29" s="2"/>
    </row>
    <row r="30" spans="1:19" ht="28.25" hidden="1" customHeight="1" x14ac:dyDescent="0.35">
      <c r="A30" s="181" t="s">
        <v>121</v>
      </c>
      <c r="B30" s="135" t="s">
        <v>400</v>
      </c>
      <c r="C30" s="145" t="s">
        <v>123</v>
      </c>
      <c r="D30" s="145" t="s">
        <v>122</v>
      </c>
      <c r="E30" s="145" t="s">
        <v>4</v>
      </c>
      <c r="F30" s="145" t="s">
        <v>17</v>
      </c>
      <c r="G30" s="145" t="s">
        <v>18</v>
      </c>
      <c r="H30" s="145" t="s">
        <v>92</v>
      </c>
      <c r="I30" s="145" t="s">
        <v>17</v>
      </c>
      <c r="J30" s="121">
        <v>40725</v>
      </c>
      <c r="K30" s="121" t="s">
        <v>224</v>
      </c>
      <c r="L30" s="69">
        <v>615485</v>
      </c>
      <c r="M30" s="122">
        <v>39</v>
      </c>
      <c r="N30" s="122">
        <v>0</v>
      </c>
      <c r="O30" s="122">
        <v>8</v>
      </c>
      <c r="P30" s="122">
        <v>0</v>
      </c>
      <c r="Q30" s="122"/>
      <c r="R30" s="186">
        <v>2018</v>
      </c>
      <c r="S30" s="2"/>
    </row>
    <row r="31" spans="1:19" ht="28.25" hidden="1" customHeight="1" x14ac:dyDescent="0.35">
      <c r="A31" s="181" t="s">
        <v>124</v>
      </c>
      <c r="B31" s="135" t="s">
        <v>124</v>
      </c>
      <c r="C31" s="145" t="s">
        <v>126</v>
      </c>
      <c r="D31" s="145" t="s">
        <v>125</v>
      </c>
      <c r="E31" s="145" t="s">
        <v>41</v>
      </c>
      <c r="F31" s="145" t="s">
        <v>17</v>
      </c>
      <c r="G31" s="145" t="s">
        <v>18</v>
      </c>
      <c r="H31" s="145" t="s">
        <v>127</v>
      </c>
      <c r="I31" s="145" t="s">
        <v>20</v>
      </c>
      <c r="J31" s="121">
        <v>40346</v>
      </c>
      <c r="K31" s="127" t="s">
        <v>225</v>
      </c>
      <c r="L31" s="69"/>
      <c r="M31" s="123">
        <v>120</v>
      </c>
      <c r="N31" s="123">
        <v>1.1200000000000001</v>
      </c>
      <c r="O31" s="122">
        <v>0</v>
      </c>
      <c r="P31" s="122">
        <v>0</v>
      </c>
      <c r="Q31" s="131">
        <v>46693</v>
      </c>
      <c r="R31" s="186">
        <v>2018</v>
      </c>
      <c r="S31" s="2"/>
    </row>
    <row r="32" spans="1:19" ht="28.25" hidden="1" customHeight="1" x14ac:dyDescent="0.35">
      <c r="A32" s="181" t="s">
        <v>128</v>
      </c>
      <c r="B32" s="135" t="s">
        <v>128</v>
      </c>
      <c r="C32" s="145" t="s">
        <v>130</v>
      </c>
      <c r="D32" s="145" t="s">
        <v>129</v>
      </c>
      <c r="E32" s="145" t="s">
        <v>41</v>
      </c>
      <c r="F32" s="145" t="s">
        <v>131</v>
      </c>
      <c r="G32" s="145" t="s">
        <v>48</v>
      </c>
      <c r="H32" s="148" t="s">
        <v>44</v>
      </c>
      <c r="I32" s="148" t="s">
        <v>66</v>
      </c>
      <c r="J32" s="127" t="s">
        <v>203</v>
      </c>
      <c r="K32" s="121" t="s">
        <v>226</v>
      </c>
      <c r="L32" s="73"/>
      <c r="M32" s="122">
        <v>4.6100000000000003</v>
      </c>
      <c r="N32" s="122"/>
      <c r="O32" s="122"/>
      <c r="P32" s="122"/>
      <c r="Q32" s="122"/>
      <c r="R32" s="186">
        <v>2018</v>
      </c>
      <c r="S32" s="2"/>
    </row>
    <row r="33" spans="1:18" ht="28.25" hidden="1" customHeight="1" x14ac:dyDescent="0.35">
      <c r="A33" s="180" t="s">
        <v>250</v>
      </c>
      <c r="B33" s="135" t="s">
        <v>250</v>
      </c>
      <c r="C33" s="145" t="s">
        <v>9</v>
      </c>
      <c r="D33" s="145" t="s">
        <v>8</v>
      </c>
      <c r="E33" s="145" t="s">
        <v>4</v>
      </c>
      <c r="F33" s="145" t="s">
        <v>10</v>
      </c>
      <c r="G33" s="145" t="s">
        <v>6</v>
      </c>
      <c r="H33" s="145" t="s">
        <v>11</v>
      </c>
      <c r="I33" s="145" t="s">
        <v>12</v>
      </c>
      <c r="J33" s="127" t="s">
        <v>182</v>
      </c>
      <c r="K33" s="127" t="s">
        <v>205</v>
      </c>
      <c r="L33" s="69">
        <v>100000</v>
      </c>
      <c r="M33" s="122">
        <v>87.54</v>
      </c>
      <c r="N33" s="122">
        <v>0</v>
      </c>
      <c r="O33" s="122">
        <v>43.04</v>
      </c>
      <c r="P33" s="122">
        <v>0</v>
      </c>
      <c r="Q33" s="122"/>
      <c r="R33" s="186">
        <v>2019</v>
      </c>
    </row>
    <row r="34" spans="1:18" ht="28.25" hidden="1" customHeight="1" x14ac:dyDescent="0.35">
      <c r="A34" s="180" t="s">
        <v>250</v>
      </c>
      <c r="B34" s="135" t="s">
        <v>250</v>
      </c>
      <c r="C34" s="145" t="s">
        <v>132</v>
      </c>
      <c r="D34" s="145" t="s">
        <v>2</v>
      </c>
      <c r="E34" s="145" t="s">
        <v>4</v>
      </c>
      <c r="F34" s="145" t="s">
        <v>5</v>
      </c>
      <c r="G34" s="145" t="s">
        <v>6</v>
      </c>
      <c r="H34" s="145" t="s">
        <v>7</v>
      </c>
      <c r="I34" s="145" t="s">
        <v>2</v>
      </c>
      <c r="J34" s="127" t="s">
        <v>181</v>
      </c>
      <c r="K34" s="127" t="s">
        <v>204</v>
      </c>
      <c r="L34" s="69">
        <v>75000</v>
      </c>
      <c r="M34" s="122">
        <v>473</v>
      </c>
      <c r="N34" s="122">
        <v>0</v>
      </c>
      <c r="O34" s="122">
        <v>158</v>
      </c>
      <c r="P34" s="122">
        <v>0</v>
      </c>
      <c r="Q34" s="122"/>
      <c r="R34" s="186">
        <v>2019</v>
      </c>
    </row>
    <row r="35" spans="1:18" ht="28.25" hidden="1" customHeight="1" x14ac:dyDescent="0.35">
      <c r="A35" s="181" t="s">
        <v>133</v>
      </c>
      <c r="B35" s="135" t="s">
        <v>133</v>
      </c>
      <c r="C35" s="145" t="s">
        <v>135</v>
      </c>
      <c r="D35" s="145" t="s">
        <v>134</v>
      </c>
      <c r="E35" s="145" t="s">
        <v>87</v>
      </c>
      <c r="F35" s="145" t="s">
        <v>17</v>
      </c>
      <c r="G35" s="145" t="s">
        <v>18</v>
      </c>
      <c r="H35" s="145" t="s">
        <v>20</v>
      </c>
      <c r="I35" s="145" t="s">
        <v>136</v>
      </c>
      <c r="J35" s="127" t="s">
        <v>238</v>
      </c>
      <c r="K35" s="127" t="s">
        <v>227</v>
      </c>
      <c r="L35" s="69">
        <v>8939995</v>
      </c>
      <c r="M35" s="122">
        <v>39</v>
      </c>
      <c r="N35" s="122">
        <v>0.75</v>
      </c>
      <c r="O35" s="122">
        <v>0</v>
      </c>
      <c r="P35" s="122">
        <v>0</v>
      </c>
      <c r="Q35" s="122"/>
      <c r="R35" s="186">
        <v>2019</v>
      </c>
    </row>
    <row r="36" spans="1:18" ht="28.25" hidden="1" customHeight="1" x14ac:dyDescent="0.35">
      <c r="A36" s="181" t="s">
        <v>14</v>
      </c>
      <c r="B36" s="135" t="s">
        <v>14</v>
      </c>
      <c r="C36" s="145" t="s">
        <v>137</v>
      </c>
      <c r="D36" s="145" t="s">
        <v>15</v>
      </c>
      <c r="E36" s="145" t="s">
        <v>4</v>
      </c>
      <c r="F36" s="145" t="s">
        <v>17</v>
      </c>
      <c r="G36" s="145" t="s">
        <v>18</v>
      </c>
      <c r="H36" s="145" t="s">
        <v>138</v>
      </c>
      <c r="I36" s="145" t="s">
        <v>20</v>
      </c>
      <c r="J36" s="127" t="s">
        <v>183</v>
      </c>
      <c r="K36" s="127" t="s">
        <v>206</v>
      </c>
      <c r="L36" s="69">
        <v>900000</v>
      </c>
      <c r="M36" s="122">
        <v>79</v>
      </c>
      <c r="N36" s="122">
        <v>0</v>
      </c>
      <c r="O36" s="122">
        <v>0</v>
      </c>
      <c r="P36" s="122">
        <v>0</v>
      </c>
      <c r="Q36" s="122"/>
      <c r="R36" s="186">
        <v>2019</v>
      </c>
    </row>
    <row r="37" spans="1:18" ht="28.25" hidden="1" customHeight="1" x14ac:dyDescent="0.35">
      <c r="A37" s="181" t="s">
        <v>14</v>
      </c>
      <c r="B37" s="135" t="s">
        <v>14</v>
      </c>
      <c r="C37" s="145" t="s">
        <v>22</v>
      </c>
      <c r="D37" s="145" t="s">
        <v>21</v>
      </c>
      <c r="E37" s="145" t="s">
        <v>4</v>
      </c>
      <c r="F37" s="145" t="s">
        <v>17</v>
      </c>
      <c r="G37" s="145" t="s">
        <v>18</v>
      </c>
      <c r="H37" s="145" t="s">
        <v>139</v>
      </c>
      <c r="I37" s="145" t="s">
        <v>20</v>
      </c>
      <c r="J37" s="127" t="s">
        <v>184</v>
      </c>
      <c r="K37" s="127" t="s">
        <v>207</v>
      </c>
      <c r="L37" s="69">
        <v>14300000</v>
      </c>
      <c r="M37" s="122">
        <v>420</v>
      </c>
      <c r="N37" s="122">
        <v>0</v>
      </c>
      <c r="O37" s="122">
        <v>184</v>
      </c>
      <c r="P37" s="122">
        <v>0</v>
      </c>
      <c r="Q37" s="122"/>
      <c r="R37" s="186">
        <v>2019</v>
      </c>
    </row>
    <row r="38" spans="1:18" ht="28.25" hidden="1" customHeight="1" x14ac:dyDescent="0.35">
      <c r="A38" s="182" t="s">
        <v>445</v>
      </c>
      <c r="B38" s="135" t="s">
        <v>445</v>
      </c>
      <c r="C38" s="145" t="s">
        <v>26</v>
      </c>
      <c r="D38" s="145" t="s">
        <v>25</v>
      </c>
      <c r="E38" s="145" t="s">
        <v>4</v>
      </c>
      <c r="F38" s="145" t="s">
        <v>27</v>
      </c>
      <c r="G38" s="145" t="s">
        <v>6</v>
      </c>
      <c r="H38" s="145" t="s">
        <v>28</v>
      </c>
      <c r="I38" s="145" t="s">
        <v>29</v>
      </c>
      <c r="J38" s="127" t="s">
        <v>185</v>
      </c>
      <c r="K38" s="127" t="s">
        <v>208</v>
      </c>
      <c r="L38" s="69">
        <v>744425</v>
      </c>
      <c r="M38" s="122">
        <v>1590</v>
      </c>
      <c r="N38" s="122">
        <v>0</v>
      </c>
      <c r="O38" s="122">
        <v>401</v>
      </c>
      <c r="P38" s="122">
        <v>0</v>
      </c>
      <c r="Q38" s="122"/>
      <c r="R38" s="186">
        <v>2019</v>
      </c>
    </row>
    <row r="39" spans="1:18" ht="28.25" hidden="1" customHeight="1" x14ac:dyDescent="0.35">
      <c r="A39" s="182" t="s">
        <v>273</v>
      </c>
      <c r="B39" s="135" t="s">
        <v>273</v>
      </c>
      <c r="C39" s="135" t="s">
        <v>274</v>
      </c>
      <c r="D39" s="145" t="s">
        <v>141</v>
      </c>
      <c r="E39" s="145" t="s">
        <v>4</v>
      </c>
      <c r="F39" s="145" t="s">
        <v>17</v>
      </c>
      <c r="G39" s="145" t="s">
        <v>18</v>
      </c>
      <c r="H39" s="145" t="s">
        <v>92</v>
      </c>
      <c r="I39" s="145" t="s">
        <v>136</v>
      </c>
      <c r="J39" s="127" t="s">
        <v>239</v>
      </c>
      <c r="K39" s="127" t="s">
        <v>228</v>
      </c>
      <c r="L39" s="69">
        <v>700000</v>
      </c>
      <c r="M39" s="122">
        <v>22</v>
      </c>
      <c r="N39" s="122">
        <v>0</v>
      </c>
      <c r="O39" s="122">
        <v>0</v>
      </c>
      <c r="P39" s="122">
        <v>0</v>
      </c>
      <c r="Q39" s="122"/>
      <c r="R39" s="186">
        <v>2019</v>
      </c>
    </row>
    <row r="40" spans="1:18" ht="28.25" hidden="1" customHeight="1" x14ac:dyDescent="0.35">
      <c r="A40" s="181" t="s">
        <v>142</v>
      </c>
      <c r="B40" s="135" t="s">
        <v>142</v>
      </c>
      <c r="C40" s="145" t="s">
        <v>144</v>
      </c>
      <c r="D40" s="145" t="s">
        <v>143</v>
      </c>
      <c r="E40" s="145" t="s">
        <v>4</v>
      </c>
      <c r="F40" s="145" t="s">
        <v>17</v>
      </c>
      <c r="G40" s="145" t="s">
        <v>18</v>
      </c>
      <c r="H40" s="145" t="s">
        <v>145</v>
      </c>
      <c r="I40" s="145" t="s">
        <v>146</v>
      </c>
      <c r="J40" s="127" t="s">
        <v>240</v>
      </c>
      <c r="K40" s="127" t="s">
        <v>229</v>
      </c>
      <c r="L40" s="69">
        <v>711804</v>
      </c>
      <c r="M40" s="122">
        <v>381</v>
      </c>
      <c r="N40" s="122">
        <v>0</v>
      </c>
      <c r="O40" s="122">
        <v>0</v>
      </c>
      <c r="P40" s="122">
        <v>0</v>
      </c>
      <c r="Q40" s="122"/>
      <c r="R40" s="186">
        <v>2019</v>
      </c>
    </row>
    <row r="41" spans="1:18" ht="28.25" hidden="1" customHeight="1" x14ac:dyDescent="0.35">
      <c r="A41" s="181" t="s">
        <v>142</v>
      </c>
      <c r="B41" s="135" t="s">
        <v>142</v>
      </c>
      <c r="C41" s="145">
        <v>23735</v>
      </c>
      <c r="D41" s="145" t="s">
        <v>147</v>
      </c>
      <c r="E41" s="145" t="s">
        <v>4</v>
      </c>
      <c r="F41" s="145" t="s">
        <v>17</v>
      </c>
      <c r="G41" s="145" t="s">
        <v>18</v>
      </c>
      <c r="H41" s="145" t="s">
        <v>148</v>
      </c>
      <c r="I41" s="145" t="s">
        <v>17</v>
      </c>
      <c r="J41" s="127" t="s">
        <v>241</v>
      </c>
      <c r="K41" s="127" t="s">
        <v>230</v>
      </c>
      <c r="L41" s="69">
        <v>573336</v>
      </c>
      <c r="M41" s="122">
        <v>34.700000000000003</v>
      </c>
      <c r="N41" s="122">
        <v>0</v>
      </c>
      <c r="O41" s="122">
        <v>0</v>
      </c>
      <c r="P41" s="122">
        <v>0</v>
      </c>
      <c r="Q41" s="122"/>
      <c r="R41" s="186">
        <v>2019</v>
      </c>
    </row>
    <row r="42" spans="1:18" ht="28.25" hidden="1" customHeight="1" x14ac:dyDescent="0.35">
      <c r="A42" s="181" t="s">
        <v>30</v>
      </c>
      <c r="B42" s="135" t="s">
        <v>30</v>
      </c>
      <c r="C42" s="145" t="s">
        <v>32</v>
      </c>
      <c r="D42" s="145" t="s">
        <v>31</v>
      </c>
      <c r="E42" s="145" t="s">
        <v>4</v>
      </c>
      <c r="F42" s="145" t="s">
        <v>17</v>
      </c>
      <c r="G42" s="145" t="s">
        <v>18</v>
      </c>
      <c r="H42" s="145" t="s">
        <v>149</v>
      </c>
      <c r="I42" s="145" t="s">
        <v>20</v>
      </c>
      <c r="J42" s="127" t="s">
        <v>183</v>
      </c>
      <c r="K42" s="127" t="s">
        <v>206</v>
      </c>
      <c r="L42" s="69">
        <v>321500</v>
      </c>
      <c r="M42" s="122">
        <v>235</v>
      </c>
      <c r="N42" s="122">
        <v>0</v>
      </c>
      <c r="O42" s="122">
        <v>0</v>
      </c>
      <c r="P42" s="122">
        <v>0</v>
      </c>
      <c r="Q42" s="122"/>
      <c r="R42" s="186">
        <v>2019</v>
      </c>
    </row>
    <row r="43" spans="1:18" ht="28.25" hidden="1" customHeight="1" x14ac:dyDescent="0.35">
      <c r="A43" s="181" t="s">
        <v>30</v>
      </c>
      <c r="B43" s="135" t="s">
        <v>30</v>
      </c>
      <c r="C43" s="145" t="s">
        <v>35</v>
      </c>
      <c r="D43" s="145" t="s">
        <v>34</v>
      </c>
      <c r="E43" s="145" t="s">
        <v>4</v>
      </c>
      <c r="F43" s="145" t="s">
        <v>17</v>
      </c>
      <c r="G43" s="145" t="s">
        <v>18</v>
      </c>
      <c r="H43" s="145" t="s">
        <v>36</v>
      </c>
      <c r="I43" s="145" t="s">
        <v>150</v>
      </c>
      <c r="J43" s="127" t="s">
        <v>186</v>
      </c>
      <c r="K43" s="127" t="s">
        <v>209</v>
      </c>
      <c r="L43" s="69">
        <v>2250000</v>
      </c>
      <c r="M43" s="122">
        <v>606</v>
      </c>
      <c r="N43" s="122">
        <v>0</v>
      </c>
      <c r="O43" s="122">
        <v>0</v>
      </c>
      <c r="P43" s="122">
        <v>0</v>
      </c>
      <c r="Q43" s="122"/>
      <c r="R43" s="186">
        <v>2019</v>
      </c>
    </row>
    <row r="44" spans="1:18" ht="28.25" hidden="1" customHeight="1" x14ac:dyDescent="0.35">
      <c r="A44" s="181" t="s">
        <v>38</v>
      </c>
      <c r="B44" s="135" t="s">
        <v>285</v>
      </c>
      <c r="C44" s="145" t="s">
        <v>40</v>
      </c>
      <c r="D44" s="145" t="s">
        <v>39</v>
      </c>
      <c r="E44" s="145" t="s">
        <v>41</v>
      </c>
      <c r="F44" s="145" t="s">
        <v>42</v>
      </c>
      <c r="G44" s="145" t="s">
        <v>6</v>
      </c>
      <c r="H44" s="145"/>
      <c r="I44" s="145"/>
      <c r="J44" s="127"/>
      <c r="K44" s="127"/>
      <c r="L44" s="69">
        <v>1540000</v>
      </c>
      <c r="M44" s="123">
        <v>75</v>
      </c>
      <c r="N44" s="123">
        <v>5</v>
      </c>
      <c r="O44" s="122">
        <v>0</v>
      </c>
      <c r="P44" s="122">
        <v>0</v>
      </c>
      <c r="Q44" s="122"/>
      <c r="R44" s="186">
        <v>2019</v>
      </c>
    </row>
    <row r="45" spans="1:18" ht="28.25" hidden="1" customHeight="1" x14ac:dyDescent="0.35">
      <c r="A45" s="181" t="s">
        <v>151</v>
      </c>
      <c r="B45" s="135" t="s">
        <v>151</v>
      </c>
      <c r="C45" s="145" t="s">
        <v>153</v>
      </c>
      <c r="D45" s="145" t="s">
        <v>152</v>
      </c>
      <c r="E45" s="145" t="s">
        <v>46</v>
      </c>
      <c r="F45" s="145" t="s">
        <v>47</v>
      </c>
      <c r="G45" s="145" t="s">
        <v>48</v>
      </c>
      <c r="H45" s="145" t="s">
        <v>44</v>
      </c>
      <c r="I45" s="145" t="s">
        <v>83</v>
      </c>
      <c r="J45" s="127" t="s">
        <v>242</v>
      </c>
      <c r="K45" s="127" t="s">
        <v>231</v>
      </c>
      <c r="L45" s="69"/>
      <c r="M45" s="122">
        <v>0.2</v>
      </c>
      <c r="N45" s="122">
        <v>0.2</v>
      </c>
      <c r="O45" s="122">
        <v>0</v>
      </c>
      <c r="P45" s="122">
        <v>0</v>
      </c>
      <c r="Q45" s="122"/>
      <c r="R45" s="186">
        <v>2019</v>
      </c>
    </row>
    <row r="46" spans="1:18" ht="28.25" hidden="1" customHeight="1" x14ac:dyDescent="0.35">
      <c r="A46" s="181" t="s">
        <v>154</v>
      </c>
      <c r="B46" s="135" t="s">
        <v>292</v>
      </c>
      <c r="C46" s="145" t="s">
        <v>156</v>
      </c>
      <c r="D46" s="145" t="s">
        <v>155</v>
      </c>
      <c r="E46" s="145" t="s">
        <v>4</v>
      </c>
      <c r="F46" s="145" t="s">
        <v>17</v>
      </c>
      <c r="G46" s="145" t="s">
        <v>18</v>
      </c>
      <c r="H46" s="145" t="s">
        <v>20</v>
      </c>
      <c r="I46" s="145" t="s">
        <v>20</v>
      </c>
      <c r="J46" s="127" t="s">
        <v>243</v>
      </c>
      <c r="K46" s="127" t="s">
        <v>232</v>
      </c>
      <c r="L46" s="69">
        <v>1424500</v>
      </c>
      <c r="M46" s="122">
        <v>71.319999999999993</v>
      </c>
      <c r="N46" s="122">
        <v>0</v>
      </c>
      <c r="O46" s="122">
        <v>18.02</v>
      </c>
      <c r="P46" s="122">
        <v>0</v>
      </c>
      <c r="Q46" s="122"/>
      <c r="R46" s="186">
        <v>2019</v>
      </c>
    </row>
    <row r="47" spans="1:18" ht="28.25" hidden="1" customHeight="1" x14ac:dyDescent="0.35">
      <c r="A47" s="181" t="s">
        <v>43</v>
      </c>
      <c r="B47" s="135" t="s">
        <v>470</v>
      </c>
      <c r="C47" s="145" t="s">
        <v>157</v>
      </c>
      <c r="D47" s="145" t="s">
        <v>49</v>
      </c>
      <c r="E47" s="145" t="s">
        <v>46</v>
      </c>
      <c r="F47" s="145" t="s">
        <v>47</v>
      </c>
      <c r="G47" s="147" t="s">
        <v>64</v>
      </c>
      <c r="H47" s="147" t="s">
        <v>49</v>
      </c>
      <c r="I47" s="147" t="s">
        <v>47</v>
      </c>
      <c r="J47" s="127"/>
      <c r="K47" s="127" t="s">
        <v>233</v>
      </c>
      <c r="L47" s="69">
        <v>0</v>
      </c>
      <c r="M47" s="122">
        <v>0.14000000000000001</v>
      </c>
      <c r="N47" s="122">
        <v>0.14000000000000001</v>
      </c>
      <c r="O47" s="122">
        <v>0</v>
      </c>
      <c r="P47" s="122">
        <v>0</v>
      </c>
      <c r="Q47" s="122"/>
      <c r="R47" s="186">
        <v>2019</v>
      </c>
    </row>
    <row r="48" spans="1:18" ht="28.25" hidden="1" customHeight="1" x14ac:dyDescent="0.35">
      <c r="A48" s="181" t="s">
        <v>43</v>
      </c>
      <c r="B48" s="135" t="s">
        <v>470</v>
      </c>
      <c r="C48" s="145" t="s">
        <v>158</v>
      </c>
      <c r="D48" s="145" t="s">
        <v>44</v>
      </c>
      <c r="E48" s="145" t="s">
        <v>46</v>
      </c>
      <c r="F48" s="145" t="s">
        <v>47</v>
      </c>
      <c r="G48" s="145" t="s">
        <v>48</v>
      </c>
      <c r="H48" s="147" t="s">
        <v>44</v>
      </c>
      <c r="I48" s="147" t="s">
        <v>47</v>
      </c>
      <c r="J48" s="127"/>
      <c r="K48" s="127" t="s">
        <v>211</v>
      </c>
      <c r="L48" s="69">
        <v>0</v>
      </c>
      <c r="M48" s="122">
        <v>0.5</v>
      </c>
      <c r="N48" s="122">
        <v>0.5</v>
      </c>
      <c r="O48" s="122">
        <v>0</v>
      </c>
      <c r="P48" s="122">
        <v>0</v>
      </c>
      <c r="Q48" s="122"/>
      <c r="R48" s="186">
        <v>2019</v>
      </c>
    </row>
    <row r="49" spans="1:18" ht="28.25" hidden="1" customHeight="1" x14ac:dyDescent="0.35">
      <c r="A49" s="181" t="s">
        <v>54</v>
      </c>
      <c r="B49" s="135" t="s">
        <v>54</v>
      </c>
      <c r="C49" s="145" t="s">
        <v>159</v>
      </c>
      <c r="D49" s="145" t="s">
        <v>55</v>
      </c>
      <c r="E49" s="145" t="s">
        <v>57</v>
      </c>
      <c r="F49" s="145" t="s">
        <v>58</v>
      </c>
      <c r="G49" s="145" t="s">
        <v>59</v>
      </c>
      <c r="H49" s="145" t="s">
        <v>160</v>
      </c>
      <c r="I49" s="145" t="s">
        <v>61</v>
      </c>
      <c r="J49" s="127" t="s">
        <v>188</v>
      </c>
      <c r="K49" s="127" t="s">
        <v>234</v>
      </c>
      <c r="L49" s="69">
        <v>0</v>
      </c>
      <c r="M49" s="122">
        <v>5</v>
      </c>
      <c r="N49" s="122">
        <v>2</v>
      </c>
      <c r="O49" s="122">
        <v>0</v>
      </c>
      <c r="P49" s="122">
        <v>0</v>
      </c>
      <c r="Q49" s="122"/>
      <c r="R49" s="186">
        <v>2019</v>
      </c>
    </row>
    <row r="50" spans="1:18" ht="28.25" hidden="1" customHeight="1" x14ac:dyDescent="0.35">
      <c r="A50" s="181" t="s">
        <v>62</v>
      </c>
      <c r="B50" s="135" t="s">
        <v>62</v>
      </c>
      <c r="C50" s="145" t="s">
        <v>63</v>
      </c>
      <c r="D50" s="145" t="s">
        <v>62</v>
      </c>
      <c r="E50" s="145" t="s">
        <v>46</v>
      </c>
      <c r="F50" s="145" t="s">
        <v>47</v>
      </c>
      <c r="G50" s="145" t="s">
        <v>64</v>
      </c>
      <c r="H50" s="145" t="s">
        <v>49</v>
      </c>
      <c r="I50" s="145" t="s">
        <v>66</v>
      </c>
      <c r="J50" s="127" t="s">
        <v>212</v>
      </c>
      <c r="K50" s="127"/>
      <c r="L50" s="69">
        <v>0</v>
      </c>
      <c r="M50" s="125">
        <v>0.59756200000000004</v>
      </c>
      <c r="N50" s="125">
        <v>0.59756200000000004</v>
      </c>
      <c r="O50" s="122">
        <v>0</v>
      </c>
      <c r="P50" s="122">
        <v>0</v>
      </c>
      <c r="Q50" s="122"/>
      <c r="R50" s="186">
        <v>2019</v>
      </c>
    </row>
    <row r="51" spans="1:18" ht="28.25" hidden="1" customHeight="1" x14ac:dyDescent="0.35">
      <c r="A51" s="181" t="s">
        <v>73</v>
      </c>
      <c r="B51" s="135" t="s">
        <v>73</v>
      </c>
      <c r="C51" s="145">
        <v>4068</v>
      </c>
      <c r="D51" s="145" t="s">
        <v>74</v>
      </c>
      <c r="E51" s="145" t="s">
        <v>46</v>
      </c>
      <c r="F51" s="145" t="s">
        <v>47</v>
      </c>
      <c r="G51" s="145" t="s">
        <v>64</v>
      </c>
      <c r="H51" s="145" t="s">
        <v>161</v>
      </c>
      <c r="I51" s="145" t="s">
        <v>66</v>
      </c>
      <c r="J51" s="127" t="s">
        <v>190</v>
      </c>
      <c r="K51" s="127" t="s">
        <v>190</v>
      </c>
      <c r="L51" s="69">
        <v>0</v>
      </c>
      <c r="M51" s="122">
        <v>0.04</v>
      </c>
      <c r="N51" s="122">
        <v>0.04</v>
      </c>
      <c r="O51" s="122">
        <v>0</v>
      </c>
      <c r="P51" s="122">
        <v>0</v>
      </c>
      <c r="Q51" s="122"/>
      <c r="R51" s="186">
        <v>2019</v>
      </c>
    </row>
    <row r="52" spans="1:18" ht="28.25" hidden="1" customHeight="1" x14ac:dyDescent="0.35">
      <c r="A52" s="181" t="s">
        <v>75</v>
      </c>
      <c r="B52" s="135" t="s">
        <v>75</v>
      </c>
      <c r="C52" s="145">
        <v>991020</v>
      </c>
      <c r="D52" s="145" t="s">
        <v>76</v>
      </c>
      <c r="E52" s="145" t="s">
        <v>41</v>
      </c>
      <c r="F52" s="145" t="s">
        <v>47</v>
      </c>
      <c r="G52" s="145" t="s">
        <v>6</v>
      </c>
      <c r="H52" s="145" t="s">
        <v>77</v>
      </c>
      <c r="I52" s="145" t="s">
        <v>78</v>
      </c>
      <c r="J52" s="127" t="s">
        <v>244</v>
      </c>
      <c r="K52" s="127" t="s">
        <v>214</v>
      </c>
      <c r="L52" s="69">
        <v>0</v>
      </c>
      <c r="M52" s="123">
        <v>173</v>
      </c>
      <c r="N52" s="123">
        <v>0.53</v>
      </c>
      <c r="O52" s="122">
        <v>0</v>
      </c>
      <c r="P52" s="122">
        <v>0.2</v>
      </c>
      <c r="Q52" s="122"/>
      <c r="R52" s="186">
        <v>2019</v>
      </c>
    </row>
    <row r="53" spans="1:18" ht="28.25" hidden="1" customHeight="1" x14ac:dyDescent="0.35">
      <c r="A53" s="181" t="s">
        <v>79</v>
      </c>
      <c r="B53" s="135" t="s">
        <v>79</v>
      </c>
      <c r="C53" s="145" t="s">
        <v>81</v>
      </c>
      <c r="D53" s="145" t="s">
        <v>80</v>
      </c>
      <c r="E53" s="145" t="s">
        <v>41</v>
      </c>
      <c r="F53" s="145" t="s">
        <v>47</v>
      </c>
      <c r="G53" s="145" t="s">
        <v>48</v>
      </c>
      <c r="H53" s="145" t="s">
        <v>82</v>
      </c>
      <c r="I53" s="145" t="s">
        <v>83</v>
      </c>
      <c r="J53" s="127" t="s">
        <v>219</v>
      </c>
      <c r="K53" s="127" t="s">
        <v>235</v>
      </c>
      <c r="L53" s="69">
        <v>0</v>
      </c>
      <c r="M53" s="123">
        <v>3.5</v>
      </c>
      <c r="N53" s="123">
        <v>0.86</v>
      </c>
      <c r="O53" s="122">
        <v>0</v>
      </c>
      <c r="P53" s="122">
        <v>0.08</v>
      </c>
      <c r="Q53" s="122"/>
      <c r="R53" s="186">
        <v>2019</v>
      </c>
    </row>
    <row r="54" spans="1:18" ht="28.25" hidden="1" customHeight="1" x14ac:dyDescent="0.35">
      <c r="A54" s="181" t="s">
        <v>84</v>
      </c>
      <c r="B54" s="135" t="s">
        <v>84</v>
      </c>
      <c r="C54" s="145" t="s">
        <v>86</v>
      </c>
      <c r="D54" s="145" t="s">
        <v>85</v>
      </c>
      <c r="E54" s="145" t="s">
        <v>87</v>
      </c>
      <c r="F54" s="145" t="s">
        <v>17</v>
      </c>
      <c r="G54" s="145" t="s">
        <v>18</v>
      </c>
      <c r="H54" s="147" t="s">
        <v>88</v>
      </c>
      <c r="I54" s="147" t="s">
        <v>20</v>
      </c>
      <c r="J54" s="127" t="s">
        <v>193</v>
      </c>
      <c r="K54" s="127" t="s">
        <v>215</v>
      </c>
      <c r="L54" s="69">
        <v>0</v>
      </c>
      <c r="M54" s="122">
        <v>121.83</v>
      </c>
      <c r="N54" s="122">
        <v>0</v>
      </c>
      <c r="O54" s="122">
        <v>0</v>
      </c>
      <c r="P54" s="122">
        <v>0</v>
      </c>
      <c r="Q54" s="122"/>
      <c r="R54" s="186">
        <v>2019</v>
      </c>
    </row>
    <row r="55" spans="1:18" ht="28.25" hidden="1" customHeight="1" x14ac:dyDescent="0.35">
      <c r="A55" s="181" t="s">
        <v>89</v>
      </c>
      <c r="B55" s="135" t="s">
        <v>373</v>
      </c>
      <c r="C55" s="145" t="s">
        <v>91</v>
      </c>
      <c r="D55" s="145" t="s">
        <v>90</v>
      </c>
      <c r="E55" s="145" t="s">
        <v>41</v>
      </c>
      <c r="F55" s="145" t="s">
        <v>17</v>
      </c>
      <c r="G55" s="145" t="s">
        <v>18</v>
      </c>
      <c r="H55" s="145" t="s">
        <v>92</v>
      </c>
      <c r="I55" s="145" t="s">
        <v>17</v>
      </c>
      <c r="J55" s="127" t="s">
        <v>216</v>
      </c>
      <c r="K55" s="127" t="s">
        <v>216</v>
      </c>
      <c r="L55" s="69">
        <v>0</v>
      </c>
      <c r="M55" s="123">
        <v>87.5</v>
      </c>
      <c r="N55" s="123">
        <v>2.79</v>
      </c>
      <c r="O55" s="122">
        <v>0</v>
      </c>
      <c r="P55" s="122">
        <v>0</v>
      </c>
      <c r="Q55" s="122"/>
      <c r="R55" s="186">
        <v>2019</v>
      </c>
    </row>
    <row r="56" spans="1:18" ht="28.25" customHeight="1" x14ac:dyDescent="0.35">
      <c r="A56" s="181" t="s">
        <v>93</v>
      </c>
      <c r="B56" s="135" t="s">
        <v>93</v>
      </c>
      <c r="C56" s="145" t="s">
        <v>95</v>
      </c>
      <c r="D56" s="145" t="s">
        <v>94</v>
      </c>
      <c r="E56" s="145" t="s">
        <v>41</v>
      </c>
      <c r="F56" s="145" t="s">
        <v>17</v>
      </c>
      <c r="G56" s="145" t="s">
        <v>18</v>
      </c>
      <c r="H56" s="145" t="s">
        <v>94</v>
      </c>
      <c r="I56" s="145" t="s">
        <v>20</v>
      </c>
      <c r="J56" s="127" t="s">
        <v>195</v>
      </c>
      <c r="K56" s="127" t="s">
        <v>217</v>
      </c>
      <c r="L56" s="69">
        <v>0</v>
      </c>
      <c r="M56" s="123">
        <v>291.8</v>
      </c>
      <c r="N56" s="123">
        <v>1.55</v>
      </c>
      <c r="O56" s="122">
        <v>0</v>
      </c>
      <c r="P56" s="123">
        <v>0.13</v>
      </c>
      <c r="Q56" s="123"/>
      <c r="R56" s="186">
        <v>2019</v>
      </c>
    </row>
    <row r="57" spans="1:18" ht="28.25" hidden="1" customHeight="1" x14ac:dyDescent="0.35">
      <c r="A57" s="181" t="s">
        <v>96</v>
      </c>
      <c r="B57" s="135" t="s">
        <v>96</v>
      </c>
      <c r="C57" s="145" t="s">
        <v>100</v>
      </c>
      <c r="D57" s="145" t="s">
        <v>99</v>
      </c>
      <c r="E57" s="145" t="s">
        <v>4</v>
      </c>
      <c r="F57" s="145" t="s">
        <v>17</v>
      </c>
      <c r="G57" s="145" t="s">
        <v>18</v>
      </c>
      <c r="H57" s="145" t="s">
        <v>94</v>
      </c>
      <c r="I57" s="145" t="s">
        <v>20</v>
      </c>
      <c r="J57" s="127" t="s">
        <v>196</v>
      </c>
      <c r="K57" s="127" t="s">
        <v>218</v>
      </c>
      <c r="L57" s="69">
        <v>3333330</v>
      </c>
      <c r="M57" s="122">
        <v>291.7</v>
      </c>
      <c r="N57" s="122">
        <v>0</v>
      </c>
      <c r="O57" s="122">
        <v>0</v>
      </c>
      <c r="P57" s="122">
        <v>0</v>
      </c>
      <c r="Q57" s="122"/>
      <c r="R57" s="186">
        <v>2019</v>
      </c>
    </row>
    <row r="58" spans="1:18" ht="28.25" hidden="1" customHeight="1" x14ac:dyDescent="0.35">
      <c r="A58" s="181" t="s">
        <v>96</v>
      </c>
      <c r="B58" s="135" t="s">
        <v>96</v>
      </c>
      <c r="C58" s="145" t="s">
        <v>98</v>
      </c>
      <c r="D58" s="145" t="s">
        <v>97</v>
      </c>
      <c r="E58" s="145" t="s">
        <v>4</v>
      </c>
      <c r="F58" s="145" t="s">
        <v>17</v>
      </c>
      <c r="G58" s="145" t="s">
        <v>18</v>
      </c>
      <c r="H58" s="145" t="s">
        <v>94</v>
      </c>
      <c r="I58" s="145" t="s">
        <v>20</v>
      </c>
      <c r="J58" s="127" t="s">
        <v>196</v>
      </c>
      <c r="K58" s="127" t="s">
        <v>218</v>
      </c>
      <c r="L58" s="69">
        <v>2222220</v>
      </c>
      <c r="M58" s="122">
        <v>337.3</v>
      </c>
      <c r="N58" s="122">
        <v>0</v>
      </c>
      <c r="O58" s="122">
        <v>0</v>
      </c>
      <c r="P58" s="122">
        <v>0</v>
      </c>
      <c r="Q58" s="122"/>
      <c r="R58" s="186">
        <v>2019</v>
      </c>
    </row>
    <row r="59" spans="1:18" ht="28.25" hidden="1" customHeight="1" x14ac:dyDescent="0.35">
      <c r="A59" s="181" t="s">
        <v>101</v>
      </c>
      <c r="B59" s="135" t="s">
        <v>101</v>
      </c>
      <c r="C59" s="145" t="s">
        <v>103</v>
      </c>
      <c r="D59" s="145" t="s">
        <v>102</v>
      </c>
      <c r="E59" s="145" t="s">
        <v>41</v>
      </c>
      <c r="F59" s="145" t="s">
        <v>47</v>
      </c>
      <c r="G59" s="145" t="s">
        <v>104</v>
      </c>
      <c r="H59" s="145" t="s">
        <v>105</v>
      </c>
      <c r="I59" s="145" t="s">
        <v>66</v>
      </c>
      <c r="J59" s="127" t="s">
        <v>197</v>
      </c>
      <c r="K59" s="127" t="s">
        <v>219</v>
      </c>
      <c r="L59" s="69">
        <v>0</v>
      </c>
      <c r="M59" s="123">
        <v>2.1579000000000002</v>
      </c>
      <c r="N59" s="123">
        <v>0.19800000000000001</v>
      </c>
      <c r="O59" s="122">
        <v>0</v>
      </c>
      <c r="P59" s="123">
        <v>9.8000000000000004E-2</v>
      </c>
      <c r="Q59" s="123"/>
      <c r="R59" s="186">
        <v>2019</v>
      </c>
    </row>
    <row r="60" spans="1:18" ht="28.25" hidden="1" customHeight="1" x14ac:dyDescent="0.35">
      <c r="A60" s="181" t="s">
        <v>106</v>
      </c>
      <c r="B60" s="135" t="s">
        <v>106</v>
      </c>
      <c r="C60" s="145" t="s">
        <v>108</v>
      </c>
      <c r="D60" s="145" t="s">
        <v>107</v>
      </c>
      <c r="E60" s="145" t="s">
        <v>57</v>
      </c>
      <c r="F60" s="145" t="s">
        <v>47</v>
      </c>
      <c r="G60" s="145" t="s">
        <v>6</v>
      </c>
      <c r="H60" s="145" t="s">
        <v>162</v>
      </c>
      <c r="I60" s="145" t="s">
        <v>78</v>
      </c>
      <c r="J60" s="127" t="s">
        <v>198</v>
      </c>
      <c r="K60" s="127" t="s">
        <v>198</v>
      </c>
      <c r="L60" s="69">
        <v>0</v>
      </c>
      <c r="M60" s="122">
        <v>5</v>
      </c>
      <c r="N60" s="122">
        <v>0.08</v>
      </c>
      <c r="O60" s="122">
        <v>0</v>
      </c>
      <c r="P60" s="122">
        <v>0.1</v>
      </c>
      <c r="Q60" s="122"/>
      <c r="R60" s="186">
        <v>2019</v>
      </c>
    </row>
    <row r="61" spans="1:18" ht="28.25" hidden="1" customHeight="1" x14ac:dyDescent="0.35">
      <c r="A61" s="181" t="s">
        <v>110</v>
      </c>
      <c r="B61" s="135" t="s">
        <v>572</v>
      </c>
      <c r="C61" s="145">
        <v>9828</v>
      </c>
      <c r="D61" s="145" t="s">
        <v>111</v>
      </c>
      <c r="E61" s="145" t="s">
        <v>41</v>
      </c>
      <c r="F61" s="145" t="s">
        <v>47</v>
      </c>
      <c r="G61" s="145" t="s">
        <v>104</v>
      </c>
      <c r="H61" s="145" t="s">
        <v>52</v>
      </c>
      <c r="I61" s="145" t="s">
        <v>47</v>
      </c>
      <c r="J61" s="127" t="s">
        <v>199</v>
      </c>
      <c r="K61" s="127" t="s">
        <v>221</v>
      </c>
      <c r="L61" s="69">
        <v>0</v>
      </c>
      <c r="M61" s="123">
        <v>13.48</v>
      </c>
      <c r="N61" s="123">
        <v>0.4</v>
      </c>
      <c r="O61" s="122">
        <v>0</v>
      </c>
      <c r="P61" s="122">
        <v>0.2</v>
      </c>
      <c r="Q61" s="122"/>
      <c r="R61" s="186">
        <v>2019</v>
      </c>
    </row>
    <row r="62" spans="1:18" ht="28.25" hidden="1" customHeight="1" x14ac:dyDescent="0.35">
      <c r="A62" s="181" t="s">
        <v>112</v>
      </c>
      <c r="B62" s="135" t="s">
        <v>567</v>
      </c>
      <c r="C62" s="145">
        <v>10862</v>
      </c>
      <c r="D62" s="145" t="s">
        <v>113</v>
      </c>
      <c r="E62" s="145" t="s">
        <v>46</v>
      </c>
      <c r="F62" s="145" t="s">
        <v>47</v>
      </c>
      <c r="G62" s="145" t="s">
        <v>114</v>
      </c>
      <c r="H62" s="147" t="s">
        <v>115</v>
      </c>
      <c r="I62" s="147" t="s">
        <v>163</v>
      </c>
      <c r="J62" s="127" t="s">
        <v>245</v>
      </c>
      <c r="K62" s="127" t="s">
        <v>236</v>
      </c>
      <c r="L62" s="69">
        <v>0</v>
      </c>
      <c r="M62" s="122">
        <v>0</v>
      </c>
      <c r="N62" s="122">
        <v>0</v>
      </c>
      <c r="O62" s="122">
        <v>0</v>
      </c>
      <c r="P62" s="122">
        <v>0</v>
      </c>
      <c r="Q62" s="122"/>
      <c r="R62" s="186">
        <v>2019</v>
      </c>
    </row>
    <row r="63" spans="1:18" ht="28.25" hidden="1" customHeight="1" x14ac:dyDescent="0.35">
      <c r="A63" s="181" t="s">
        <v>116</v>
      </c>
      <c r="B63" s="135" t="s">
        <v>116</v>
      </c>
      <c r="C63" s="145" t="s">
        <v>164</v>
      </c>
      <c r="D63" s="145" t="s">
        <v>44</v>
      </c>
      <c r="E63" s="145" t="s">
        <v>46</v>
      </c>
      <c r="F63" s="145" t="s">
        <v>47</v>
      </c>
      <c r="G63" s="145" t="s">
        <v>48</v>
      </c>
      <c r="H63" s="145" t="s">
        <v>117</v>
      </c>
      <c r="I63" s="145" t="s">
        <v>47</v>
      </c>
      <c r="J63" s="127"/>
      <c r="K63" s="127" t="s">
        <v>222</v>
      </c>
      <c r="L63" s="69">
        <v>0</v>
      </c>
      <c r="M63" s="122">
        <v>1.41</v>
      </c>
      <c r="N63" s="122">
        <v>1.41</v>
      </c>
      <c r="O63" s="122">
        <v>0</v>
      </c>
      <c r="P63" s="122">
        <v>0</v>
      </c>
      <c r="Q63" s="122"/>
      <c r="R63" s="186">
        <v>2019</v>
      </c>
    </row>
    <row r="64" spans="1:18" ht="28.25" hidden="1" customHeight="1" x14ac:dyDescent="0.35">
      <c r="A64" s="181" t="s">
        <v>118</v>
      </c>
      <c r="B64" s="135" t="s">
        <v>569</v>
      </c>
      <c r="C64" s="145">
        <v>2011770</v>
      </c>
      <c r="D64" s="145" t="s">
        <v>119</v>
      </c>
      <c r="E64" s="145" t="s">
        <v>41</v>
      </c>
      <c r="F64" s="145" t="s">
        <v>27</v>
      </c>
      <c r="G64" s="145" t="s">
        <v>6</v>
      </c>
      <c r="H64" s="147" t="s">
        <v>119</v>
      </c>
      <c r="I64" s="147" t="s">
        <v>165</v>
      </c>
      <c r="J64" s="127" t="s">
        <v>246</v>
      </c>
      <c r="K64" s="127" t="s">
        <v>223</v>
      </c>
      <c r="L64" s="69">
        <v>0</v>
      </c>
      <c r="M64" s="123">
        <v>661</v>
      </c>
      <c r="N64" s="123">
        <v>10</v>
      </c>
      <c r="O64" s="122">
        <v>0</v>
      </c>
      <c r="P64" s="122">
        <v>0</v>
      </c>
      <c r="Q64" s="122"/>
      <c r="R64" s="186">
        <v>2019</v>
      </c>
    </row>
    <row r="65" spans="1:18" ht="28.25" hidden="1" customHeight="1" x14ac:dyDescent="0.35">
      <c r="A65" s="181" t="s">
        <v>121</v>
      </c>
      <c r="B65" s="135" t="s">
        <v>400</v>
      </c>
      <c r="C65" s="145" t="s">
        <v>123</v>
      </c>
      <c r="D65" s="145" t="s">
        <v>122</v>
      </c>
      <c r="E65" s="145" t="s">
        <v>4</v>
      </c>
      <c r="F65" s="145" t="s">
        <v>17</v>
      </c>
      <c r="G65" s="145" t="s">
        <v>18</v>
      </c>
      <c r="H65" s="145" t="s">
        <v>92</v>
      </c>
      <c r="I65" s="145" t="s">
        <v>17</v>
      </c>
      <c r="J65" s="127" t="s">
        <v>201</v>
      </c>
      <c r="K65" s="127" t="s">
        <v>237</v>
      </c>
      <c r="L65" s="69">
        <v>615485</v>
      </c>
      <c r="M65" s="122">
        <v>39</v>
      </c>
      <c r="N65" s="122">
        <v>0</v>
      </c>
      <c r="O65" s="122">
        <v>0</v>
      </c>
      <c r="P65" s="122">
        <v>0</v>
      </c>
      <c r="Q65" s="122"/>
      <c r="R65" s="186">
        <v>2019</v>
      </c>
    </row>
    <row r="66" spans="1:18" ht="28.25" hidden="1" customHeight="1" x14ac:dyDescent="0.35">
      <c r="A66" s="181" t="s">
        <v>124</v>
      </c>
      <c r="B66" s="135" t="s">
        <v>124</v>
      </c>
      <c r="C66" s="145" t="s">
        <v>126</v>
      </c>
      <c r="D66" s="145" t="s">
        <v>125</v>
      </c>
      <c r="E66" s="145" t="s">
        <v>41</v>
      </c>
      <c r="F66" s="145" t="s">
        <v>17</v>
      </c>
      <c r="G66" s="145" t="s">
        <v>18</v>
      </c>
      <c r="H66" s="145" t="s">
        <v>166</v>
      </c>
      <c r="I66" s="145" t="s">
        <v>20</v>
      </c>
      <c r="J66" s="127" t="s">
        <v>202</v>
      </c>
      <c r="K66" s="127" t="s">
        <v>225</v>
      </c>
      <c r="L66" s="69"/>
      <c r="M66" s="123">
        <v>120</v>
      </c>
      <c r="N66" s="123">
        <v>1.1200000000000001</v>
      </c>
      <c r="O66" s="122">
        <v>0</v>
      </c>
      <c r="P66" s="122">
        <v>0</v>
      </c>
      <c r="Q66" s="131">
        <v>46693</v>
      </c>
      <c r="R66" s="186">
        <v>2019</v>
      </c>
    </row>
    <row r="67" spans="1:18" ht="28.25" hidden="1" customHeight="1" x14ac:dyDescent="0.35">
      <c r="A67" s="181" t="s">
        <v>51</v>
      </c>
      <c r="B67" s="135" t="s">
        <v>51</v>
      </c>
      <c r="C67" s="145" t="s">
        <v>53</v>
      </c>
      <c r="D67" s="145" t="s">
        <v>52</v>
      </c>
      <c r="E67" s="145" t="s">
        <v>41</v>
      </c>
      <c r="F67" s="145" t="s">
        <v>47</v>
      </c>
      <c r="G67" s="145" t="s">
        <v>48</v>
      </c>
      <c r="H67" s="147" t="s">
        <v>52</v>
      </c>
      <c r="I67" s="147" t="s">
        <v>47</v>
      </c>
      <c r="J67" s="127" t="s">
        <v>187</v>
      </c>
      <c r="K67" s="127" t="s">
        <v>187</v>
      </c>
      <c r="L67" s="69">
        <v>0</v>
      </c>
      <c r="M67" s="123">
        <v>14.23</v>
      </c>
      <c r="N67" s="123">
        <v>1</v>
      </c>
      <c r="O67" s="122">
        <v>0</v>
      </c>
      <c r="P67" s="122">
        <v>0</v>
      </c>
      <c r="Q67" s="122"/>
      <c r="R67" s="186">
        <v>2019</v>
      </c>
    </row>
    <row r="68" spans="1:18" ht="28.25" hidden="1" customHeight="1" x14ac:dyDescent="0.35">
      <c r="A68" s="181" t="s">
        <v>67</v>
      </c>
      <c r="B68" s="135" t="s">
        <v>67</v>
      </c>
      <c r="C68" s="145" t="s">
        <v>69</v>
      </c>
      <c r="D68" s="145" t="s">
        <v>68</v>
      </c>
      <c r="E68" s="145" t="s">
        <v>41</v>
      </c>
      <c r="F68" s="145" t="s">
        <v>47</v>
      </c>
      <c r="G68" s="145" t="s">
        <v>70</v>
      </c>
      <c r="H68" s="145" t="s">
        <v>71</v>
      </c>
      <c r="I68" s="145" t="s">
        <v>72</v>
      </c>
      <c r="J68" s="127" t="s">
        <v>189</v>
      </c>
      <c r="K68" s="127" t="s">
        <v>213</v>
      </c>
      <c r="L68" s="69">
        <v>0</v>
      </c>
      <c r="M68" s="123">
        <v>445</v>
      </c>
      <c r="N68" s="123">
        <v>2.2000000000000002</v>
      </c>
      <c r="O68" s="122">
        <v>0</v>
      </c>
      <c r="P68" s="122">
        <v>2</v>
      </c>
      <c r="Q68" s="122"/>
      <c r="R68" s="186">
        <v>2019</v>
      </c>
    </row>
    <row r="69" spans="1:18" ht="28.25" hidden="1" customHeight="1" x14ac:dyDescent="0.35">
      <c r="A69" s="181" t="s">
        <v>128</v>
      </c>
      <c r="B69" s="135" t="s">
        <v>128</v>
      </c>
      <c r="C69" s="145" t="s">
        <v>130</v>
      </c>
      <c r="D69" s="145" t="s">
        <v>129</v>
      </c>
      <c r="E69" s="145" t="s">
        <v>41</v>
      </c>
      <c r="F69" s="145" t="s">
        <v>131</v>
      </c>
      <c r="G69" s="145" t="s">
        <v>48</v>
      </c>
      <c r="H69" s="148" t="s">
        <v>44</v>
      </c>
      <c r="I69" s="148" t="s">
        <v>66</v>
      </c>
      <c r="J69" s="127" t="s">
        <v>203</v>
      </c>
      <c r="K69" s="127" t="s">
        <v>226</v>
      </c>
      <c r="L69" s="126"/>
      <c r="M69" s="122">
        <v>4.6100000000000003</v>
      </c>
      <c r="N69" s="122"/>
      <c r="O69" s="122"/>
      <c r="P69" s="122"/>
      <c r="Q69" s="122"/>
      <c r="R69" s="186">
        <v>2019</v>
      </c>
    </row>
    <row r="70" spans="1:18" ht="28.25" hidden="1" customHeight="1" x14ac:dyDescent="0.35">
      <c r="A70" s="180" t="s">
        <v>248</v>
      </c>
      <c r="B70" s="135" t="s">
        <v>248</v>
      </c>
      <c r="C70" s="135" t="s">
        <v>249</v>
      </c>
      <c r="D70" s="135" t="s">
        <v>44</v>
      </c>
      <c r="E70" s="135" t="s">
        <v>46</v>
      </c>
      <c r="F70" s="135" t="s">
        <v>66</v>
      </c>
      <c r="G70" s="146" t="s">
        <v>424</v>
      </c>
      <c r="H70" s="146" t="s">
        <v>44</v>
      </c>
      <c r="I70" s="146" t="s">
        <v>83</v>
      </c>
      <c r="J70" s="128">
        <v>42886</v>
      </c>
      <c r="K70" s="128">
        <v>42886</v>
      </c>
      <c r="L70" s="129"/>
      <c r="M70" s="153">
        <v>0.3</v>
      </c>
      <c r="N70" s="153"/>
      <c r="O70" s="153"/>
      <c r="P70" s="153"/>
      <c r="Q70" s="128">
        <v>44711</v>
      </c>
      <c r="R70" s="186">
        <v>2020</v>
      </c>
    </row>
    <row r="71" spans="1:18" ht="28.25" hidden="1" customHeight="1" x14ac:dyDescent="0.35">
      <c r="A71" s="180" t="s">
        <v>250</v>
      </c>
      <c r="B71" s="135" t="s">
        <v>250</v>
      </c>
      <c r="C71" s="135" t="s">
        <v>251</v>
      </c>
      <c r="D71" s="135" t="s">
        <v>252</v>
      </c>
      <c r="E71" s="135" t="s">
        <v>57</v>
      </c>
      <c r="F71" s="135" t="s">
        <v>253</v>
      </c>
      <c r="G71" s="135"/>
      <c r="H71" s="135"/>
      <c r="I71" s="135"/>
      <c r="J71" s="128">
        <v>40931</v>
      </c>
      <c r="K71" s="128">
        <v>43474</v>
      </c>
      <c r="L71" s="129"/>
      <c r="M71" s="153">
        <v>4.5</v>
      </c>
      <c r="N71" s="153"/>
      <c r="O71" s="153"/>
      <c r="P71" s="153"/>
      <c r="Q71" s="131"/>
      <c r="R71" s="186">
        <v>2020</v>
      </c>
    </row>
    <row r="72" spans="1:18" ht="28.25" hidden="1" customHeight="1" x14ac:dyDescent="0.35">
      <c r="A72" s="180" t="s">
        <v>250</v>
      </c>
      <c r="B72" s="135" t="s">
        <v>250</v>
      </c>
      <c r="C72" s="135" t="s">
        <v>254</v>
      </c>
      <c r="D72" s="135" t="s">
        <v>2</v>
      </c>
      <c r="E72" s="135" t="s">
        <v>255</v>
      </c>
      <c r="F72" s="135" t="s">
        <v>256</v>
      </c>
      <c r="G72" s="135"/>
      <c r="H72" s="135"/>
      <c r="I72" s="135"/>
      <c r="J72" s="132">
        <v>41327</v>
      </c>
      <c r="K72" s="132">
        <v>41465</v>
      </c>
      <c r="L72" s="133">
        <v>75000</v>
      </c>
      <c r="M72" s="153">
        <v>898.5</v>
      </c>
      <c r="N72" s="153">
        <v>0</v>
      </c>
      <c r="O72" s="153">
        <v>545.1</v>
      </c>
      <c r="P72" s="153">
        <v>0</v>
      </c>
      <c r="Q72" s="131">
        <v>44741</v>
      </c>
      <c r="R72" s="186">
        <v>2020</v>
      </c>
    </row>
    <row r="73" spans="1:18" ht="28.25" hidden="1" customHeight="1" x14ac:dyDescent="0.35">
      <c r="A73" s="182" t="s">
        <v>428</v>
      </c>
      <c r="B73" s="135" t="s">
        <v>428</v>
      </c>
      <c r="C73" s="135" t="s">
        <v>257</v>
      </c>
      <c r="D73" s="135" t="s">
        <v>258</v>
      </c>
      <c r="E73" s="135" t="s">
        <v>255</v>
      </c>
      <c r="F73" s="135" t="s">
        <v>136</v>
      </c>
      <c r="G73" s="135"/>
      <c r="H73" s="135"/>
      <c r="I73" s="135"/>
      <c r="J73" s="128">
        <v>40513</v>
      </c>
      <c r="K73" s="128">
        <v>40522</v>
      </c>
      <c r="L73" s="129">
        <v>166250000</v>
      </c>
      <c r="M73" s="153">
        <v>187</v>
      </c>
      <c r="N73" s="153"/>
      <c r="O73" s="153">
        <v>110</v>
      </c>
      <c r="P73" s="153">
        <v>110</v>
      </c>
      <c r="Q73" s="131">
        <v>44625</v>
      </c>
      <c r="R73" s="186">
        <v>2020</v>
      </c>
    </row>
    <row r="74" spans="1:18" ht="28.25" hidden="1" customHeight="1" x14ac:dyDescent="0.35">
      <c r="A74" s="181" t="s">
        <v>133</v>
      </c>
      <c r="B74" s="135" t="s">
        <v>133</v>
      </c>
      <c r="C74" s="135" t="s">
        <v>260</v>
      </c>
      <c r="D74" s="135" t="s">
        <v>261</v>
      </c>
      <c r="E74" s="135" t="s">
        <v>262</v>
      </c>
      <c r="F74" s="135" t="s">
        <v>136</v>
      </c>
      <c r="G74" s="135"/>
      <c r="H74" s="135"/>
      <c r="I74" s="135"/>
      <c r="J74" s="128">
        <v>42285</v>
      </c>
      <c r="K74" s="128">
        <v>42402</v>
      </c>
      <c r="L74" s="129"/>
      <c r="M74" s="153">
        <v>39</v>
      </c>
      <c r="N74" s="153">
        <v>0</v>
      </c>
      <c r="O74" s="153">
        <v>0</v>
      </c>
      <c r="P74" s="153">
        <v>0</v>
      </c>
      <c r="Q74" s="128">
        <v>44228</v>
      </c>
      <c r="R74" s="186">
        <v>2020</v>
      </c>
    </row>
    <row r="75" spans="1:18" ht="28.25" hidden="1" customHeight="1" x14ac:dyDescent="0.35">
      <c r="A75" s="180" t="s">
        <v>14</v>
      </c>
      <c r="B75" s="135" t="s">
        <v>14</v>
      </c>
      <c r="C75" s="135" t="s">
        <v>137</v>
      </c>
      <c r="D75" s="135" t="s">
        <v>15</v>
      </c>
      <c r="E75" s="135" t="s">
        <v>255</v>
      </c>
      <c r="F75" s="135" t="s">
        <v>136</v>
      </c>
      <c r="G75" s="135"/>
      <c r="H75" s="135"/>
      <c r="I75" s="135"/>
      <c r="J75" s="132">
        <v>43231</v>
      </c>
      <c r="K75" s="132">
        <v>43256</v>
      </c>
      <c r="L75" s="133">
        <v>900000</v>
      </c>
      <c r="M75" s="153">
        <v>79</v>
      </c>
      <c r="N75" s="153">
        <v>0</v>
      </c>
      <c r="O75" s="153">
        <v>0</v>
      </c>
      <c r="P75" s="153">
        <v>0</v>
      </c>
      <c r="Q75" s="131">
        <v>44716</v>
      </c>
      <c r="R75" s="186">
        <v>2020</v>
      </c>
    </row>
    <row r="76" spans="1:18" ht="28.25" hidden="1" customHeight="1" x14ac:dyDescent="0.35">
      <c r="A76" s="180" t="s">
        <v>14</v>
      </c>
      <c r="B76" s="135" t="s">
        <v>14</v>
      </c>
      <c r="C76" s="135" t="s">
        <v>22</v>
      </c>
      <c r="D76" s="135" t="s">
        <v>263</v>
      </c>
      <c r="E76" s="135" t="s">
        <v>255</v>
      </c>
      <c r="F76" s="135" t="s">
        <v>136</v>
      </c>
      <c r="G76" s="135"/>
      <c r="H76" s="135"/>
      <c r="I76" s="135"/>
      <c r="J76" s="132">
        <v>38215</v>
      </c>
      <c r="K76" s="132">
        <v>38415</v>
      </c>
      <c r="L76" s="133">
        <v>1546187</v>
      </c>
      <c r="M76" s="153">
        <v>420</v>
      </c>
      <c r="N76" s="153"/>
      <c r="O76" s="153">
        <v>184</v>
      </c>
      <c r="P76" s="153">
        <v>0</v>
      </c>
      <c r="Q76" s="130">
        <v>0</v>
      </c>
      <c r="R76" s="186">
        <v>2020</v>
      </c>
    </row>
    <row r="77" spans="1:18" ht="28.25" hidden="1" customHeight="1" x14ac:dyDescent="0.35">
      <c r="A77" s="180" t="s">
        <v>264</v>
      </c>
      <c r="B77" s="135" t="s">
        <v>264</v>
      </c>
      <c r="C77" s="135" t="s">
        <v>265</v>
      </c>
      <c r="D77" s="135" t="s">
        <v>266</v>
      </c>
      <c r="E77" s="135" t="s">
        <v>255</v>
      </c>
      <c r="F77" s="135" t="s">
        <v>42</v>
      </c>
      <c r="G77" s="135"/>
      <c r="H77" s="135"/>
      <c r="I77" s="135"/>
      <c r="J77" s="132">
        <v>43486</v>
      </c>
      <c r="K77" s="132">
        <v>43496</v>
      </c>
      <c r="L77" s="133">
        <v>580125</v>
      </c>
      <c r="M77" s="153">
        <v>567</v>
      </c>
      <c r="N77" s="153">
        <v>0</v>
      </c>
      <c r="O77" s="153">
        <v>0</v>
      </c>
      <c r="P77" s="153">
        <v>0</v>
      </c>
      <c r="Q77" s="131">
        <v>44956</v>
      </c>
      <c r="R77" s="186">
        <v>2020</v>
      </c>
    </row>
    <row r="78" spans="1:18" ht="28.25" hidden="1" customHeight="1" x14ac:dyDescent="0.35">
      <c r="A78" s="180" t="s">
        <v>264</v>
      </c>
      <c r="B78" s="135" t="s">
        <v>264</v>
      </c>
      <c r="C78" s="135" t="s">
        <v>267</v>
      </c>
      <c r="D78" s="135" t="s">
        <v>268</v>
      </c>
      <c r="E78" s="135" t="s">
        <v>46</v>
      </c>
      <c r="F78" s="135" t="s">
        <v>66</v>
      </c>
      <c r="G78" s="135"/>
      <c r="H78" s="135"/>
      <c r="I78" s="135"/>
      <c r="J78" s="49"/>
      <c r="K78" s="132">
        <v>43361</v>
      </c>
      <c r="L78" s="133">
        <v>0</v>
      </c>
      <c r="M78" s="153">
        <v>0.38</v>
      </c>
      <c r="N78" s="153">
        <v>0</v>
      </c>
      <c r="O78" s="153">
        <v>0</v>
      </c>
      <c r="P78" s="153">
        <v>0</v>
      </c>
      <c r="Q78" s="131">
        <v>45278</v>
      </c>
      <c r="R78" s="186">
        <v>2020</v>
      </c>
    </row>
    <row r="79" spans="1:18" ht="28.25" hidden="1" customHeight="1" x14ac:dyDescent="0.35">
      <c r="A79" s="183" t="s">
        <v>444</v>
      </c>
      <c r="B79" s="135" t="s">
        <v>444</v>
      </c>
      <c r="C79" s="135" t="s">
        <v>270</v>
      </c>
      <c r="D79" s="135" t="s">
        <v>44</v>
      </c>
      <c r="E79" s="135" t="s">
        <v>46</v>
      </c>
      <c r="F79" s="135" t="s">
        <v>66</v>
      </c>
      <c r="G79" s="135"/>
      <c r="H79" s="135"/>
      <c r="I79" s="135"/>
      <c r="J79" s="128">
        <v>43304</v>
      </c>
      <c r="K79" s="128">
        <v>43304</v>
      </c>
      <c r="L79" s="129"/>
      <c r="M79" s="153">
        <v>0.15</v>
      </c>
      <c r="N79" s="153"/>
      <c r="O79" s="153"/>
      <c r="P79" s="153"/>
      <c r="Q79" s="128">
        <v>45129</v>
      </c>
      <c r="R79" s="186">
        <v>2020</v>
      </c>
    </row>
    <row r="80" spans="1:18" ht="28.25" hidden="1" customHeight="1" x14ac:dyDescent="0.35">
      <c r="A80" s="182" t="s">
        <v>445</v>
      </c>
      <c r="B80" s="135" t="s">
        <v>445</v>
      </c>
      <c r="C80" s="135" t="s">
        <v>271</v>
      </c>
      <c r="D80" s="135" t="s">
        <v>272</v>
      </c>
      <c r="E80" s="135" t="s">
        <v>255</v>
      </c>
      <c r="F80" s="135" t="s">
        <v>29</v>
      </c>
      <c r="G80" s="135"/>
      <c r="H80" s="135"/>
      <c r="I80" s="135"/>
      <c r="J80" s="128">
        <v>42157</v>
      </c>
      <c r="K80" s="128">
        <v>42200</v>
      </c>
      <c r="L80" s="129">
        <v>208333</v>
      </c>
      <c r="M80" s="153">
        <v>1590</v>
      </c>
      <c r="N80" s="153"/>
      <c r="O80" s="153">
        <v>401</v>
      </c>
      <c r="P80" s="153"/>
      <c r="Q80" s="49"/>
      <c r="R80" s="186">
        <v>2020</v>
      </c>
    </row>
    <row r="81" spans="1:18" ht="28.25" hidden="1" customHeight="1" x14ac:dyDescent="0.35">
      <c r="A81" s="180" t="s">
        <v>273</v>
      </c>
      <c r="B81" s="135" t="s">
        <v>273</v>
      </c>
      <c r="C81" s="135" t="s">
        <v>274</v>
      </c>
      <c r="D81" s="135" t="s">
        <v>275</v>
      </c>
      <c r="E81" s="135" t="s">
        <v>255</v>
      </c>
      <c r="F81" s="135" t="s">
        <v>136</v>
      </c>
      <c r="G81" s="135"/>
      <c r="H81" s="135"/>
      <c r="I81" s="135"/>
      <c r="J81" s="132">
        <v>43503</v>
      </c>
      <c r="K81" s="132">
        <v>43510</v>
      </c>
      <c r="L81" s="133">
        <v>7000000</v>
      </c>
      <c r="M81" s="153">
        <v>22</v>
      </c>
      <c r="N81" s="153">
        <v>0</v>
      </c>
      <c r="O81" s="153">
        <v>0</v>
      </c>
      <c r="P81" s="153">
        <v>0</v>
      </c>
      <c r="Q81" s="131">
        <v>401768</v>
      </c>
      <c r="R81" s="186">
        <v>2020</v>
      </c>
    </row>
    <row r="82" spans="1:18" ht="28.25" hidden="1" customHeight="1" x14ac:dyDescent="0.35">
      <c r="A82" s="180" t="s">
        <v>276</v>
      </c>
      <c r="B82" s="135" t="s">
        <v>276</v>
      </c>
      <c r="C82" s="135" t="s">
        <v>277</v>
      </c>
      <c r="D82" s="135" t="s">
        <v>31</v>
      </c>
      <c r="E82" s="135" t="s">
        <v>255</v>
      </c>
      <c r="F82" s="135" t="s">
        <v>136</v>
      </c>
      <c r="G82" s="135"/>
      <c r="H82" s="135"/>
      <c r="I82" s="135"/>
      <c r="J82" s="132">
        <v>43231</v>
      </c>
      <c r="K82" s="132">
        <v>43256</v>
      </c>
      <c r="L82" s="133">
        <v>1000000</v>
      </c>
      <c r="M82" s="153">
        <v>314.5</v>
      </c>
      <c r="N82" s="153">
        <v>0</v>
      </c>
      <c r="O82" s="153">
        <v>0</v>
      </c>
      <c r="P82" s="153">
        <v>0</v>
      </c>
      <c r="Q82" s="131">
        <v>401768</v>
      </c>
      <c r="R82" s="186">
        <v>2020</v>
      </c>
    </row>
    <row r="83" spans="1:18" ht="28.25" hidden="1" customHeight="1" x14ac:dyDescent="0.35">
      <c r="A83" s="180" t="s">
        <v>278</v>
      </c>
      <c r="B83" s="135" t="s">
        <v>142</v>
      </c>
      <c r="C83" s="135" t="s">
        <v>279</v>
      </c>
      <c r="D83" s="135" t="s">
        <v>147</v>
      </c>
      <c r="E83" s="135" t="s">
        <v>255</v>
      </c>
      <c r="F83" s="135" t="s">
        <v>136</v>
      </c>
      <c r="G83" s="135"/>
      <c r="H83" s="135"/>
      <c r="I83" s="135"/>
      <c r="J83" s="132">
        <v>42682</v>
      </c>
      <c r="K83" s="132">
        <v>43410</v>
      </c>
      <c r="L83" s="129"/>
      <c r="M83" s="153">
        <v>34.700000000000003</v>
      </c>
      <c r="N83" s="153">
        <v>0</v>
      </c>
      <c r="O83" s="153">
        <v>0</v>
      </c>
      <c r="P83" s="153">
        <v>0</v>
      </c>
      <c r="Q83" s="131">
        <v>44870</v>
      </c>
      <c r="R83" s="186">
        <v>2020</v>
      </c>
    </row>
    <row r="84" spans="1:18" ht="28.25" hidden="1" customHeight="1" x14ac:dyDescent="0.35">
      <c r="A84" s="180" t="s">
        <v>278</v>
      </c>
      <c r="B84" s="135" t="s">
        <v>142</v>
      </c>
      <c r="C84" s="135" t="s">
        <v>280</v>
      </c>
      <c r="D84" s="135" t="s">
        <v>281</v>
      </c>
      <c r="E84" s="135" t="s">
        <v>255</v>
      </c>
      <c r="F84" s="135" t="s">
        <v>136</v>
      </c>
      <c r="G84" s="135"/>
      <c r="H84" s="135"/>
      <c r="I84" s="135"/>
      <c r="J84" s="132">
        <v>42529</v>
      </c>
      <c r="K84" s="132">
        <v>43623</v>
      </c>
      <c r="L84" s="133">
        <v>0</v>
      </c>
      <c r="M84" s="153">
        <v>381</v>
      </c>
      <c r="N84" s="153">
        <v>0</v>
      </c>
      <c r="O84" s="153">
        <v>0</v>
      </c>
      <c r="P84" s="153">
        <v>0</v>
      </c>
      <c r="Q84" s="131">
        <v>45083</v>
      </c>
      <c r="R84" s="186">
        <v>2020</v>
      </c>
    </row>
    <row r="85" spans="1:18" ht="28.25" hidden="1" customHeight="1" x14ac:dyDescent="0.35">
      <c r="A85" s="180" t="s">
        <v>282</v>
      </c>
      <c r="B85" s="135" t="s">
        <v>282</v>
      </c>
      <c r="C85" s="135" t="s">
        <v>283</v>
      </c>
      <c r="D85" s="135" t="s">
        <v>284</v>
      </c>
      <c r="E85" s="135" t="s">
        <v>255</v>
      </c>
      <c r="F85" s="135" t="s">
        <v>136</v>
      </c>
      <c r="G85" s="135"/>
      <c r="H85" s="135"/>
      <c r="I85" s="135"/>
      <c r="J85" s="132">
        <v>43084</v>
      </c>
      <c r="K85" s="132">
        <v>43115</v>
      </c>
      <c r="L85" s="133">
        <v>145000</v>
      </c>
      <c r="M85" s="153">
        <v>260</v>
      </c>
      <c r="N85" s="153">
        <v>0</v>
      </c>
      <c r="O85" s="153">
        <v>0</v>
      </c>
      <c r="P85" s="153">
        <v>0</v>
      </c>
      <c r="Q85" s="131">
        <v>44575</v>
      </c>
      <c r="R85" s="186">
        <v>2020</v>
      </c>
    </row>
    <row r="86" spans="1:18" ht="28.25" hidden="1" customHeight="1" x14ac:dyDescent="0.35">
      <c r="A86" s="180" t="s">
        <v>285</v>
      </c>
      <c r="B86" s="135" t="s">
        <v>285</v>
      </c>
      <c r="C86" s="135" t="s">
        <v>286</v>
      </c>
      <c r="D86" s="135" t="s">
        <v>287</v>
      </c>
      <c r="E86" s="135" t="s">
        <v>262</v>
      </c>
      <c r="F86" s="135" t="s">
        <v>288</v>
      </c>
      <c r="G86" s="135"/>
      <c r="H86" s="135"/>
      <c r="I86" s="135"/>
      <c r="J86" s="49"/>
      <c r="K86" s="49"/>
      <c r="L86" s="129"/>
      <c r="M86" s="153">
        <v>75</v>
      </c>
      <c r="N86" s="153"/>
      <c r="O86" s="153"/>
      <c r="P86" s="153"/>
      <c r="Q86" s="49"/>
      <c r="R86" s="186">
        <v>2020</v>
      </c>
    </row>
    <row r="87" spans="1:18" ht="28.25" hidden="1" customHeight="1" x14ac:dyDescent="0.35">
      <c r="A87" s="180" t="s">
        <v>289</v>
      </c>
      <c r="B87" s="135" t="s">
        <v>151</v>
      </c>
      <c r="C87" s="135" t="s">
        <v>290</v>
      </c>
      <c r="D87" s="135" t="s">
        <v>291</v>
      </c>
      <c r="E87" s="135" t="s">
        <v>46</v>
      </c>
      <c r="F87" s="135" t="s">
        <v>66</v>
      </c>
      <c r="G87" s="135"/>
      <c r="H87" s="135"/>
      <c r="I87" s="135"/>
      <c r="J87" s="49"/>
      <c r="K87" s="128">
        <v>41143</v>
      </c>
      <c r="L87" s="129">
        <v>2855474</v>
      </c>
      <c r="M87" s="153">
        <v>0.2</v>
      </c>
      <c r="N87" s="153"/>
      <c r="O87" s="153"/>
      <c r="P87" s="153"/>
      <c r="Q87" s="49"/>
      <c r="R87" s="186">
        <v>2020</v>
      </c>
    </row>
    <row r="88" spans="1:18" ht="28.25" hidden="1" customHeight="1" x14ac:dyDescent="0.35">
      <c r="A88" s="180" t="s">
        <v>292</v>
      </c>
      <c r="B88" s="135" t="s">
        <v>292</v>
      </c>
      <c r="C88" s="135" t="s">
        <v>293</v>
      </c>
      <c r="D88" s="135" t="s">
        <v>155</v>
      </c>
      <c r="E88" s="135" t="s">
        <v>255</v>
      </c>
      <c r="F88" s="135" t="s">
        <v>136</v>
      </c>
      <c r="G88" s="135"/>
      <c r="H88" s="135"/>
      <c r="I88" s="135"/>
      <c r="J88" s="132">
        <v>42102</v>
      </c>
      <c r="K88" s="132">
        <v>42165</v>
      </c>
      <c r="L88" s="133">
        <v>1295000</v>
      </c>
      <c r="M88" s="153">
        <v>71.319999999999993</v>
      </c>
      <c r="N88" s="153">
        <v>0</v>
      </c>
      <c r="O88" s="153">
        <v>18.02</v>
      </c>
      <c r="P88" s="153">
        <v>0</v>
      </c>
      <c r="Q88" s="131">
        <v>44391</v>
      </c>
      <c r="R88" s="186">
        <v>2020</v>
      </c>
    </row>
    <row r="89" spans="1:18" ht="28.25" hidden="1" customHeight="1" x14ac:dyDescent="0.35">
      <c r="A89" s="180" t="s">
        <v>294</v>
      </c>
      <c r="B89" s="135" t="s">
        <v>459</v>
      </c>
      <c r="C89" s="135" t="s">
        <v>295</v>
      </c>
      <c r="D89" s="135" t="s">
        <v>296</v>
      </c>
      <c r="E89" s="135" t="s">
        <v>255</v>
      </c>
      <c r="F89" s="135" t="s">
        <v>297</v>
      </c>
      <c r="G89" s="135"/>
      <c r="H89" s="135"/>
      <c r="I89" s="135"/>
      <c r="J89" s="128">
        <v>42474</v>
      </c>
      <c r="K89" s="128">
        <v>42506</v>
      </c>
      <c r="L89" s="129">
        <v>186667</v>
      </c>
      <c r="M89" s="153">
        <v>4396</v>
      </c>
      <c r="N89" s="153"/>
      <c r="O89" s="153">
        <v>1101</v>
      </c>
      <c r="P89" s="153"/>
      <c r="Q89" s="49"/>
      <c r="R89" s="186">
        <v>2020</v>
      </c>
    </row>
    <row r="90" spans="1:18" ht="28.25" hidden="1" customHeight="1" x14ac:dyDescent="0.35">
      <c r="A90" s="180" t="s">
        <v>298</v>
      </c>
      <c r="B90" s="135" t="s">
        <v>463</v>
      </c>
      <c r="C90" s="135" t="s">
        <v>299</v>
      </c>
      <c r="D90" s="135" t="s">
        <v>52</v>
      </c>
      <c r="E90" s="135" t="s">
        <v>255</v>
      </c>
      <c r="F90" s="135" t="s">
        <v>66</v>
      </c>
      <c r="G90" s="135"/>
      <c r="H90" s="135"/>
      <c r="I90" s="135"/>
      <c r="J90" s="128">
        <v>42479</v>
      </c>
      <c r="K90" s="128">
        <v>42480</v>
      </c>
      <c r="L90" s="129">
        <v>18777</v>
      </c>
      <c r="M90" s="153">
        <v>6.92</v>
      </c>
      <c r="N90" s="153">
        <v>0</v>
      </c>
      <c r="O90" s="153">
        <v>1.72</v>
      </c>
      <c r="P90" s="153"/>
      <c r="Q90" s="134">
        <v>44670</v>
      </c>
      <c r="R90" s="186">
        <v>2020</v>
      </c>
    </row>
    <row r="91" spans="1:18" ht="28.25" hidden="1" customHeight="1" x14ac:dyDescent="0.35">
      <c r="A91" s="180" t="s">
        <v>300</v>
      </c>
      <c r="B91" s="135" t="s">
        <v>79</v>
      </c>
      <c r="C91" s="135" t="s">
        <v>301</v>
      </c>
      <c r="D91" s="135" t="s">
        <v>302</v>
      </c>
      <c r="E91" s="135" t="s">
        <v>41</v>
      </c>
      <c r="F91" s="135" t="s">
        <v>66</v>
      </c>
      <c r="G91" s="145" t="s">
        <v>48</v>
      </c>
      <c r="H91" s="145" t="s">
        <v>82</v>
      </c>
      <c r="I91" s="145" t="s">
        <v>83</v>
      </c>
      <c r="J91" s="127">
        <v>36574</v>
      </c>
      <c r="K91" s="127">
        <v>42139</v>
      </c>
      <c r="L91" s="133">
        <v>0</v>
      </c>
      <c r="M91" s="153">
        <v>5.86</v>
      </c>
      <c r="N91" s="153">
        <v>0</v>
      </c>
      <c r="O91" s="153"/>
      <c r="P91" s="153">
        <v>0</v>
      </c>
      <c r="Q91" s="131">
        <v>51271</v>
      </c>
      <c r="R91" s="186">
        <v>2020</v>
      </c>
    </row>
    <row r="92" spans="1:18" ht="28.25" hidden="1" customHeight="1" x14ac:dyDescent="0.35">
      <c r="A92" s="180" t="s">
        <v>300</v>
      </c>
      <c r="B92" s="135" t="s">
        <v>79</v>
      </c>
      <c r="C92" s="135" t="s">
        <v>303</v>
      </c>
      <c r="D92" s="135" t="s">
        <v>304</v>
      </c>
      <c r="E92" s="135" t="s">
        <v>41</v>
      </c>
      <c r="F92" s="135" t="s">
        <v>66</v>
      </c>
      <c r="G92" s="146" t="s">
        <v>467</v>
      </c>
      <c r="H92" s="146" t="s">
        <v>82</v>
      </c>
      <c r="I92" s="146" t="s">
        <v>83</v>
      </c>
      <c r="J92" s="127">
        <v>36574</v>
      </c>
      <c r="K92" s="127">
        <v>36578</v>
      </c>
      <c r="L92" s="133">
        <v>0</v>
      </c>
      <c r="M92" s="153">
        <v>2</v>
      </c>
      <c r="N92" s="153">
        <v>0</v>
      </c>
      <c r="O92" s="153"/>
      <c r="P92" s="153">
        <v>0</v>
      </c>
      <c r="Q92" s="131">
        <v>51271</v>
      </c>
      <c r="R92" s="186">
        <v>2020</v>
      </c>
    </row>
    <row r="93" spans="1:18" ht="28.25" hidden="1" customHeight="1" x14ac:dyDescent="0.35">
      <c r="A93" s="180" t="s">
        <v>43</v>
      </c>
      <c r="B93" s="135" t="s">
        <v>470</v>
      </c>
      <c r="C93" s="135" t="s">
        <v>305</v>
      </c>
      <c r="D93" s="135" t="s">
        <v>44</v>
      </c>
      <c r="E93" s="135" t="s">
        <v>46</v>
      </c>
      <c r="F93" s="135" t="s">
        <v>66</v>
      </c>
      <c r="G93" s="135"/>
      <c r="H93" s="135"/>
      <c r="I93" s="135"/>
      <c r="J93" s="127">
        <v>35384</v>
      </c>
      <c r="K93" s="127">
        <v>35384</v>
      </c>
      <c r="L93" s="129"/>
      <c r="M93" s="153">
        <v>0.75</v>
      </c>
      <c r="N93" s="153"/>
      <c r="O93" s="153"/>
      <c r="P93" s="153"/>
      <c r="Q93" s="49"/>
      <c r="R93" s="186">
        <v>2020</v>
      </c>
    </row>
    <row r="94" spans="1:18" ht="28.25" hidden="1" customHeight="1" x14ac:dyDescent="0.35">
      <c r="A94" s="180" t="s">
        <v>43</v>
      </c>
      <c r="B94" s="135" t="s">
        <v>470</v>
      </c>
      <c r="C94" s="135" t="s">
        <v>306</v>
      </c>
      <c r="D94" s="135" t="s">
        <v>49</v>
      </c>
      <c r="E94" s="135" t="s">
        <v>46</v>
      </c>
      <c r="F94" s="135" t="s">
        <v>66</v>
      </c>
      <c r="G94" s="135"/>
      <c r="H94" s="135"/>
      <c r="I94" s="135"/>
      <c r="J94" s="127"/>
      <c r="K94" s="127">
        <v>34316</v>
      </c>
      <c r="L94" s="129"/>
      <c r="M94" s="153">
        <v>0.41</v>
      </c>
      <c r="N94" s="153"/>
      <c r="O94" s="153"/>
      <c r="P94" s="153"/>
      <c r="Q94" s="49"/>
      <c r="R94" s="186">
        <v>2020</v>
      </c>
    </row>
    <row r="95" spans="1:18" ht="28.25" hidden="1" customHeight="1" x14ac:dyDescent="0.35">
      <c r="A95" s="180" t="s">
        <v>43</v>
      </c>
      <c r="B95" s="135" t="s">
        <v>470</v>
      </c>
      <c r="C95" s="135" t="s">
        <v>307</v>
      </c>
      <c r="D95" s="135" t="s">
        <v>44</v>
      </c>
      <c r="E95" s="135" t="s">
        <v>46</v>
      </c>
      <c r="F95" s="135" t="s">
        <v>66</v>
      </c>
      <c r="G95" s="135"/>
      <c r="H95" s="135"/>
      <c r="I95" s="135"/>
      <c r="J95" s="127"/>
      <c r="K95" s="127">
        <v>40032</v>
      </c>
      <c r="L95" s="129"/>
      <c r="M95" s="153">
        <v>0.05</v>
      </c>
      <c r="N95" s="153"/>
      <c r="O95" s="153"/>
      <c r="P95" s="153"/>
      <c r="Q95" s="49"/>
      <c r="R95" s="186">
        <v>2020</v>
      </c>
    </row>
    <row r="96" spans="1:18" ht="28.25" hidden="1" customHeight="1" x14ac:dyDescent="0.35">
      <c r="A96" s="180" t="s">
        <v>43</v>
      </c>
      <c r="B96" s="135" t="s">
        <v>470</v>
      </c>
      <c r="C96" s="135" t="s">
        <v>308</v>
      </c>
      <c r="D96" s="135" t="s">
        <v>49</v>
      </c>
      <c r="E96" s="135" t="s">
        <v>46</v>
      </c>
      <c r="F96" s="135" t="s">
        <v>66</v>
      </c>
      <c r="G96" s="135"/>
      <c r="H96" s="135"/>
      <c r="I96" s="135"/>
      <c r="J96" s="127"/>
      <c r="K96" s="127">
        <v>35688</v>
      </c>
      <c r="L96" s="129"/>
      <c r="M96" s="153">
        <v>0.32500000000000001</v>
      </c>
      <c r="N96" s="153"/>
      <c r="O96" s="153"/>
      <c r="P96" s="153"/>
      <c r="Q96" s="49"/>
      <c r="R96" s="186">
        <v>2020</v>
      </c>
    </row>
    <row r="97" spans="1:18" ht="28.25" hidden="1" customHeight="1" x14ac:dyDescent="0.35">
      <c r="A97" s="180" t="s">
        <v>43</v>
      </c>
      <c r="B97" s="135" t="s">
        <v>470</v>
      </c>
      <c r="C97" s="135" t="s">
        <v>309</v>
      </c>
      <c r="D97" s="135" t="s">
        <v>49</v>
      </c>
      <c r="E97" s="135" t="s">
        <v>46</v>
      </c>
      <c r="F97" s="135" t="s">
        <v>66</v>
      </c>
      <c r="G97" s="135"/>
      <c r="H97" s="135"/>
      <c r="I97" s="135"/>
      <c r="J97" s="127"/>
      <c r="K97" s="127">
        <v>40032</v>
      </c>
      <c r="L97" s="129"/>
      <c r="M97" s="153">
        <v>1.5</v>
      </c>
      <c r="N97" s="153"/>
      <c r="O97" s="153"/>
      <c r="P97" s="153"/>
      <c r="Q97" s="49"/>
      <c r="R97" s="186">
        <v>2020</v>
      </c>
    </row>
    <row r="98" spans="1:18" ht="28.25" hidden="1" customHeight="1" x14ac:dyDescent="0.35">
      <c r="A98" s="180" t="s">
        <v>43</v>
      </c>
      <c r="B98" s="135" t="s">
        <v>470</v>
      </c>
      <c r="C98" s="135" t="s">
        <v>310</v>
      </c>
      <c r="D98" s="135" t="s">
        <v>44</v>
      </c>
      <c r="E98" s="135" t="s">
        <v>46</v>
      </c>
      <c r="F98" s="135" t="s">
        <v>66</v>
      </c>
      <c r="G98" s="135"/>
      <c r="H98" s="135"/>
      <c r="I98" s="135"/>
      <c r="J98" s="127"/>
      <c r="K98" s="127">
        <v>39629</v>
      </c>
      <c r="L98" s="129"/>
      <c r="M98" s="153">
        <v>0.32500000000000001</v>
      </c>
      <c r="N98" s="153"/>
      <c r="O98" s="153"/>
      <c r="P98" s="153"/>
      <c r="Q98" s="49"/>
      <c r="R98" s="186">
        <v>2020</v>
      </c>
    </row>
    <row r="99" spans="1:18" ht="28.25" hidden="1" customHeight="1" x14ac:dyDescent="0.35">
      <c r="A99" s="180" t="s">
        <v>311</v>
      </c>
      <c r="B99" s="135" t="s">
        <v>311</v>
      </c>
      <c r="C99" s="135" t="s">
        <v>312</v>
      </c>
      <c r="D99" s="135" t="s">
        <v>313</v>
      </c>
      <c r="E99" s="135" t="s">
        <v>255</v>
      </c>
      <c r="F99" s="135" t="s">
        <v>136</v>
      </c>
      <c r="G99" s="135"/>
      <c r="H99" s="135"/>
      <c r="I99" s="135"/>
      <c r="J99" s="127">
        <v>43719</v>
      </c>
      <c r="K99" s="127">
        <v>43719</v>
      </c>
      <c r="L99" s="129">
        <v>184275</v>
      </c>
      <c r="M99" s="153">
        <v>122.89</v>
      </c>
      <c r="N99" s="153">
        <v>0</v>
      </c>
      <c r="O99" s="153">
        <v>0</v>
      </c>
      <c r="P99" s="153">
        <v>0</v>
      </c>
      <c r="Q99" s="134">
        <v>45216</v>
      </c>
      <c r="R99" s="186">
        <v>2020</v>
      </c>
    </row>
    <row r="100" spans="1:18" ht="28.25" hidden="1" customHeight="1" x14ac:dyDescent="0.35">
      <c r="A100" s="180" t="s">
        <v>314</v>
      </c>
      <c r="B100" s="135" t="s">
        <v>314</v>
      </c>
      <c r="C100" s="135" t="s">
        <v>315</v>
      </c>
      <c r="D100" s="135" t="s">
        <v>316</v>
      </c>
      <c r="E100" s="135" t="s">
        <v>255</v>
      </c>
      <c r="F100" s="135" t="s">
        <v>316</v>
      </c>
      <c r="G100" s="135"/>
      <c r="H100" s="135"/>
      <c r="I100" s="135"/>
      <c r="J100" s="127">
        <v>40737</v>
      </c>
      <c r="K100" s="127">
        <v>41613</v>
      </c>
      <c r="L100" s="133">
        <v>200000</v>
      </c>
      <c r="M100" s="153">
        <v>2645</v>
      </c>
      <c r="N100" s="153">
        <v>0</v>
      </c>
      <c r="O100" s="153">
        <v>1318</v>
      </c>
      <c r="P100" s="153">
        <v>1327</v>
      </c>
      <c r="Q100" s="131">
        <v>45145</v>
      </c>
      <c r="R100" s="186">
        <v>2020</v>
      </c>
    </row>
    <row r="101" spans="1:18" ht="28.25" hidden="1" customHeight="1" x14ac:dyDescent="0.35">
      <c r="A101" s="180" t="s">
        <v>317</v>
      </c>
      <c r="B101" s="135" t="s">
        <v>51</v>
      </c>
      <c r="C101" s="135" t="s">
        <v>318</v>
      </c>
      <c r="D101" s="135" t="s">
        <v>52</v>
      </c>
      <c r="E101" s="135" t="s">
        <v>41</v>
      </c>
      <c r="F101" s="135" t="s">
        <v>66</v>
      </c>
      <c r="G101" s="135"/>
      <c r="H101" s="135"/>
      <c r="I101" s="135"/>
      <c r="J101" s="127">
        <v>39794</v>
      </c>
      <c r="K101" s="127">
        <v>39794</v>
      </c>
      <c r="L101" s="133">
        <v>0</v>
      </c>
      <c r="M101" s="153">
        <v>10.07</v>
      </c>
      <c r="N101" s="153">
        <v>1</v>
      </c>
      <c r="O101" s="153">
        <v>0</v>
      </c>
      <c r="P101" s="153">
        <v>0</v>
      </c>
      <c r="Q101" s="131">
        <v>48924</v>
      </c>
      <c r="R101" s="186">
        <v>2020</v>
      </c>
    </row>
    <row r="102" spans="1:18" ht="28.25" hidden="1" customHeight="1" x14ac:dyDescent="0.35">
      <c r="A102" s="180" t="s">
        <v>319</v>
      </c>
      <c r="B102" s="135" t="s">
        <v>495</v>
      </c>
      <c r="C102" s="135" t="s">
        <v>320</v>
      </c>
      <c r="D102" s="135" t="s">
        <v>321</v>
      </c>
      <c r="E102" s="135" t="s">
        <v>322</v>
      </c>
      <c r="F102" s="135" t="s">
        <v>66</v>
      </c>
      <c r="G102" s="149" t="s">
        <v>451</v>
      </c>
      <c r="H102" s="149" t="s">
        <v>637</v>
      </c>
      <c r="I102" s="135"/>
      <c r="J102" s="127">
        <v>37979</v>
      </c>
      <c r="K102" s="127">
        <v>43283</v>
      </c>
      <c r="L102" s="129">
        <v>3000</v>
      </c>
      <c r="M102" s="153">
        <v>0.7</v>
      </c>
      <c r="N102" s="153"/>
      <c r="O102" s="153"/>
      <c r="P102" s="153"/>
      <c r="Q102" s="134">
        <v>45108</v>
      </c>
      <c r="R102" s="186">
        <v>2020</v>
      </c>
    </row>
    <row r="103" spans="1:18" ht="28.25" hidden="1" customHeight="1" x14ac:dyDescent="0.35">
      <c r="A103" s="180" t="s">
        <v>323</v>
      </c>
      <c r="B103" s="135" t="s">
        <v>323</v>
      </c>
      <c r="C103" s="135" t="s">
        <v>324</v>
      </c>
      <c r="D103" s="135" t="s">
        <v>325</v>
      </c>
      <c r="E103" s="135" t="s">
        <v>57</v>
      </c>
      <c r="F103" s="135" t="s">
        <v>326</v>
      </c>
      <c r="G103" s="135"/>
      <c r="H103" s="135"/>
      <c r="I103" s="135"/>
      <c r="J103" s="127">
        <v>40914</v>
      </c>
      <c r="K103" s="127">
        <v>40940</v>
      </c>
      <c r="L103" s="133">
        <v>500000</v>
      </c>
      <c r="M103" s="153">
        <v>5</v>
      </c>
      <c r="N103" s="153">
        <v>0.02</v>
      </c>
      <c r="O103" s="153">
        <v>0</v>
      </c>
      <c r="P103" s="153">
        <v>1.87</v>
      </c>
      <c r="Q103" s="131">
        <v>44593</v>
      </c>
      <c r="R103" s="186">
        <v>2020</v>
      </c>
    </row>
    <row r="104" spans="1:18" ht="28.25" hidden="1" customHeight="1" x14ac:dyDescent="0.35">
      <c r="A104" s="180" t="s">
        <v>323</v>
      </c>
      <c r="B104" s="135" t="s">
        <v>323</v>
      </c>
      <c r="C104" s="135" t="s">
        <v>327</v>
      </c>
      <c r="D104" s="135" t="s">
        <v>328</v>
      </c>
      <c r="E104" s="135" t="s">
        <v>255</v>
      </c>
      <c r="F104" s="135" t="s">
        <v>326</v>
      </c>
      <c r="G104" s="135"/>
      <c r="H104" s="135"/>
      <c r="I104" s="135"/>
      <c r="J104" s="127">
        <v>40914</v>
      </c>
      <c r="K104" s="127">
        <v>40918</v>
      </c>
      <c r="L104" s="133">
        <v>500000</v>
      </c>
      <c r="M104" s="153">
        <v>418</v>
      </c>
      <c r="N104" s="153">
        <v>0</v>
      </c>
      <c r="O104" s="153">
        <v>187</v>
      </c>
      <c r="P104" s="153">
        <v>0</v>
      </c>
      <c r="Q104" s="131">
        <v>44223</v>
      </c>
      <c r="R104" s="186">
        <v>2020</v>
      </c>
    </row>
    <row r="105" spans="1:18" ht="28.25" hidden="1" customHeight="1" x14ac:dyDescent="0.35">
      <c r="A105" s="180" t="s">
        <v>329</v>
      </c>
      <c r="B105" s="135" t="s">
        <v>329</v>
      </c>
      <c r="C105" s="135">
        <v>1326</v>
      </c>
      <c r="D105" s="135" t="s">
        <v>330</v>
      </c>
      <c r="E105" s="135" t="s">
        <v>41</v>
      </c>
      <c r="F105" s="135" t="s">
        <v>66</v>
      </c>
      <c r="G105" s="135"/>
      <c r="H105" s="135"/>
      <c r="I105" s="135"/>
      <c r="J105" s="127">
        <v>38239</v>
      </c>
      <c r="K105" s="127">
        <v>38249</v>
      </c>
      <c r="L105" s="129">
        <v>544243</v>
      </c>
      <c r="M105" s="153">
        <v>445.7</v>
      </c>
      <c r="N105" s="153"/>
      <c r="O105" s="153"/>
      <c r="P105" s="153"/>
      <c r="Q105" s="49"/>
      <c r="R105" s="186">
        <v>2020</v>
      </c>
    </row>
    <row r="106" spans="1:18" ht="28.25" hidden="1" customHeight="1" x14ac:dyDescent="0.35">
      <c r="A106" s="180" t="s">
        <v>62</v>
      </c>
      <c r="B106" s="135" t="s">
        <v>62</v>
      </c>
      <c r="C106" s="135" t="s">
        <v>331</v>
      </c>
      <c r="D106" s="145" t="s">
        <v>62</v>
      </c>
      <c r="E106" s="135" t="s">
        <v>46</v>
      </c>
      <c r="F106" s="135" t="s">
        <v>66</v>
      </c>
      <c r="G106" s="145" t="s">
        <v>64</v>
      </c>
      <c r="H106" s="149" t="s">
        <v>474</v>
      </c>
      <c r="I106" s="149" t="s">
        <v>66</v>
      </c>
      <c r="J106" s="127"/>
      <c r="K106" s="127">
        <v>43488</v>
      </c>
      <c r="L106" s="129"/>
      <c r="M106" s="153">
        <v>0.59</v>
      </c>
      <c r="N106" s="153"/>
      <c r="O106" s="153"/>
      <c r="P106" s="153"/>
      <c r="Q106" s="49"/>
      <c r="R106" s="186">
        <v>2020</v>
      </c>
    </row>
    <row r="107" spans="1:18" ht="28.25" hidden="1" customHeight="1" x14ac:dyDescent="0.35">
      <c r="A107" s="180" t="s">
        <v>333</v>
      </c>
      <c r="B107" s="135" t="s">
        <v>517</v>
      </c>
      <c r="C107" s="135" t="s">
        <v>334</v>
      </c>
      <c r="D107" s="135" t="s">
        <v>335</v>
      </c>
      <c r="E107" s="135" t="s">
        <v>46</v>
      </c>
      <c r="F107" s="135" t="s">
        <v>66</v>
      </c>
      <c r="G107" s="135"/>
      <c r="H107" s="135"/>
      <c r="I107" s="135"/>
      <c r="J107" s="127"/>
      <c r="K107" s="127">
        <v>43273</v>
      </c>
      <c r="L107" s="129">
        <v>1488333</v>
      </c>
      <c r="M107" s="153"/>
      <c r="N107" s="153"/>
      <c r="O107" s="153"/>
      <c r="P107" s="153"/>
      <c r="Q107" s="134">
        <v>44003</v>
      </c>
      <c r="R107" s="186">
        <v>2020</v>
      </c>
    </row>
    <row r="108" spans="1:18" ht="28.25" hidden="1" customHeight="1" x14ac:dyDescent="0.35">
      <c r="A108" s="180" t="s">
        <v>336</v>
      </c>
      <c r="B108" s="135" t="s">
        <v>336</v>
      </c>
      <c r="C108" s="135" t="s">
        <v>337</v>
      </c>
      <c r="D108" s="135" t="s">
        <v>338</v>
      </c>
      <c r="E108" s="135" t="s">
        <v>255</v>
      </c>
      <c r="F108" s="135" t="s">
        <v>66</v>
      </c>
      <c r="G108" s="135"/>
      <c r="H108" s="135"/>
      <c r="I108" s="135"/>
      <c r="J108" s="127">
        <v>42145</v>
      </c>
      <c r="K108" s="127">
        <v>42179</v>
      </c>
      <c r="L108" s="129">
        <v>319553</v>
      </c>
      <c r="M108" s="153">
        <v>636</v>
      </c>
      <c r="N108" s="153"/>
      <c r="O108" s="153"/>
      <c r="P108" s="153"/>
      <c r="Q108" s="49"/>
      <c r="R108" s="186">
        <v>2020</v>
      </c>
    </row>
    <row r="109" spans="1:18" ht="28.25" hidden="1" customHeight="1" x14ac:dyDescent="0.35">
      <c r="A109" s="180" t="s">
        <v>73</v>
      </c>
      <c r="B109" s="135" t="s">
        <v>73</v>
      </c>
      <c r="C109" s="135" t="s">
        <v>339</v>
      </c>
      <c r="D109" s="135" t="s">
        <v>340</v>
      </c>
      <c r="E109" s="135" t="s">
        <v>46</v>
      </c>
      <c r="F109" s="135" t="s">
        <v>66</v>
      </c>
      <c r="G109" s="135"/>
      <c r="H109" s="135"/>
      <c r="I109" s="135"/>
      <c r="J109" s="127">
        <v>39267</v>
      </c>
      <c r="K109" s="127">
        <v>39391</v>
      </c>
      <c r="L109" s="133">
        <v>0</v>
      </c>
      <c r="M109" s="153">
        <v>0.04</v>
      </c>
      <c r="N109" s="153">
        <v>0</v>
      </c>
      <c r="O109" s="153">
        <v>5.0000000000000001E-3</v>
      </c>
      <c r="P109" s="153">
        <v>0</v>
      </c>
      <c r="Q109" s="131">
        <v>44714</v>
      </c>
      <c r="R109" s="186">
        <v>2020</v>
      </c>
    </row>
    <row r="110" spans="1:18" ht="28.25" hidden="1" customHeight="1" x14ac:dyDescent="0.35">
      <c r="A110" s="180" t="s">
        <v>341</v>
      </c>
      <c r="B110" s="135" t="s">
        <v>341</v>
      </c>
      <c r="C110" s="135" t="s">
        <v>342</v>
      </c>
      <c r="D110" s="135" t="s">
        <v>343</v>
      </c>
      <c r="E110" s="135" t="s">
        <v>262</v>
      </c>
      <c r="F110" s="135" t="s">
        <v>136</v>
      </c>
      <c r="G110" s="135"/>
      <c r="H110" s="135"/>
      <c r="I110" s="135"/>
      <c r="J110" s="127">
        <v>38215</v>
      </c>
      <c r="K110" s="127">
        <v>43815</v>
      </c>
      <c r="L110" s="133">
        <v>0</v>
      </c>
      <c r="M110" s="153">
        <v>148</v>
      </c>
      <c r="N110" s="153">
        <v>0</v>
      </c>
      <c r="O110" s="153">
        <v>0</v>
      </c>
      <c r="P110" s="153">
        <v>0</v>
      </c>
      <c r="Q110" s="131">
        <v>51120</v>
      </c>
      <c r="R110" s="186">
        <v>2020</v>
      </c>
    </row>
    <row r="111" spans="1:18" ht="28.25" hidden="1" customHeight="1" x14ac:dyDescent="0.35">
      <c r="A111" s="180" t="s">
        <v>344</v>
      </c>
      <c r="B111" s="135" t="s">
        <v>344</v>
      </c>
      <c r="C111" s="135" t="s">
        <v>345</v>
      </c>
      <c r="D111" s="135" t="s">
        <v>291</v>
      </c>
      <c r="E111" s="135" t="s">
        <v>46</v>
      </c>
      <c r="F111" s="135" t="s">
        <v>66</v>
      </c>
      <c r="G111" s="135"/>
      <c r="H111" s="135"/>
      <c r="I111" s="135"/>
      <c r="J111" s="127">
        <v>42054</v>
      </c>
      <c r="K111" s="127">
        <v>43019</v>
      </c>
      <c r="L111" s="129"/>
      <c r="M111" s="153">
        <v>0.2</v>
      </c>
      <c r="N111" s="153"/>
      <c r="O111" s="153"/>
      <c r="P111" s="153"/>
      <c r="Q111" s="49"/>
      <c r="R111" s="186">
        <v>2020</v>
      </c>
    </row>
    <row r="112" spans="1:18" ht="28.25" hidden="1" customHeight="1" x14ac:dyDescent="0.35">
      <c r="A112" s="180" t="s">
        <v>346</v>
      </c>
      <c r="B112" s="135" t="s">
        <v>75</v>
      </c>
      <c r="C112" s="135" t="s">
        <v>347</v>
      </c>
      <c r="D112" s="135" t="s">
        <v>76</v>
      </c>
      <c r="E112" s="135" t="s">
        <v>41</v>
      </c>
      <c r="F112" s="135" t="s">
        <v>66</v>
      </c>
      <c r="G112" s="145" t="s">
        <v>6</v>
      </c>
      <c r="H112" s="145" t="s">
        <v>77</v>
      </c>
      <c r="I112" s="145" t="s">
        <v>78</v>
      </c>
      <c r="J112" s="127">
        <v>39561</v>
      </c>
      <c r="K112" s="127">
        <v>36452</v>
      </c>
      <c r="L112" s="129"/>
      <c r="M112" s="153">
        <v>173</v>
      </c>
      <c r="N112" s="153">
        <v>7</v>
      </c>
      <c r="O112" s="153">
        <v>0</v>
      </c>
      <c r="P112" s="153"/>
      <c r="Q112" s="131">
        <v>401768</v>
      </c>
      <c r="R112" s="186">
        <v>2020</v>
      </c>
    </row>
    <row r="113" spans="1:18" ht="28.25" hidden="1" customHeight="1" x14ac:dyDescent="0.35">
      <c r="A113" s="180" t="s">
        <v>348</v>
      </c>
      <c r="B113" s="135" t="s">
        <v>348</v>
      </c>
      <c r="C113" s="135" t="s">
        <v>349</v>
      </c>
      <c r="D113" s="135" t="s">
        <v>350</v>
      </c>
      <c r="E113" s="135" t="s">
        <v>255</v>
      </c>
      <c r="F113" s="135" t="s">
        <v>136</v>
      </c>
      <c r="G113" s="135"/>
      <c r="H113" s="135"/>
      <c r="I113" s="135"/>
      <c r="J113" s="127">
        <v>40128</v>
      </c>
      <c r="K113" s="127">
        <v>40128</v>
      </c>
      <c r="L113" s="133">
        <v>2260000</v>
      </c>
      <c r="M113" s="153">
        <v>103</v>
      </c>
      <c r="N113" s="153">
        <v>0</v>
      </c>
      <c r="O113" s="153">
        <v>45</v>
      </c>
      <c r="P113" s="153">
        <v>0</v>
      </c>
      <c r="Q113" s="131">
        <v>44144</v>
      </c>
      <c r="R113" s="186">
        <v>2020</v>
      </c>
    </row>
    <row r="114" spans="1:18" ht="28.25" hidden="1" customHeight="1" x14ac:dyDescent="0.35">
      <c r="A114" s="180" t="s">
        <v>351</v>
      </c>
      <c r="B114" s="135" t="s">
        <v>351</v>
      </c>
      <c r="C114" s="135" t="s">
        <v>352</v>
      </c>
      <c r="D114" s="135" t="s">
        <v>353</v>
      </c>
      <c r="E114" s="135" t="s">
        <v>255</v>
      </c>
      <c r="F114" s="135" t="s">
        <v>66</v>
      </c>
      <c r="G114" s="135"/>
      <c r="H114" s="135"/>
      <c r="I114" s="135"/>
      <c r="J114" s="127">
        <v>43264</v>
      </c>
      <c r="K114" s="127">
        <v>43283</v>
      </c>
      <c r="L114" s="129">
        <v>275000</v>
      </c>
      <c r="M114" s="153">
        <v>3029.76</v>
      </c>
      <c r="N114" s="153"/>
      <c r="O114" s="154">
        <v>757.76000000000022</v>
      </c>
      <c r="P114" s="153"/>
      <c r="Q114" s="49"/>
      <c r="R114" s="186">
        <v>2020</v>
      </c>
    </row>
    <row r="115" spans="1:18" ht="28.25" hidden="1" customHeight="1" x14ac:dyDescent="0.35">
      <c r="A115" s="180" t="s">
        <v>354</v>
      </c>
      <c r="B115" s="135" t="s">
        <v>354</v>
      </c>
      <c r="C115" s="135" t="s">
        <v>355</v>
      </c>
      <c r="D115" s="135" t="s">
        <v>356</v>
      </c>
      <c r="E115" s="135" t="s">
        <v>46</v>
      </c>
      <c r="F115" s="135" t="s">
        <v>66</v>
      </c>
      <c r="G115" s="135"/>
      <c r="H115" s="135"/>
      <c r="I115" s="135"/>
      <c r="J115" s="127">
        <v>43742</v>
      </c>
      <c r="K115" s="127">
        <v>43797</v>
      </c>
      <c r="L115" s="133">
        <v>0</v>
      </c>
      <c r="M115" s="153">
        <v>0.06</v>
      </c>
      <c r="N115" s="153">
        <v>6.3399999999999998E-2</v>
      </c>
      <c r="O115" s="153">
        <v>0</v>
      </c>
      <c r="P115" s="153">
        <v>0</v>
      </c>
      <c r="Q115" s="131">
        <v>401768</v>
      </c>
      <c r="R115" s="186">
        <v>2020</v>
      </c>
    </row>
    <row r="116" spans="1:18" ht="28.25" hidden="1" customHeight="1" x14ac:dyDescent="0.35">
      <c r="A116" s="180" t="s">
        <v>357</v>
      </c>
      <c r="B116" s="135" t="s">
        <v>357</v>
      </c>
      <c r="C116" s="135" t="s">
        <v>358</v>
      </c>
      <c r="D116" s="135" t="s">
        <v>359</v>
      </c>
      <c r="E116" s="135" t="s">
        <v>46</v>
      </c>
      <c r="F116" s="135" t="s">
        <v>66</v>
      </c>
      <c r="G116" s="135"/>
      <c r="H116" s="135"/>
      <c r="I116" s="135"/>
      <c r="J116" s="127">
        <v>43348</v>
      </c>
      <c r="K116" s="127">
        <v>43348</v>
      </c>
      <c r="L116" s="129"/>
      <c r="M116" s="153">
        <v>1.74</v>
      </c>
      <c r="N116" s="153"/>
      <c r="O116" s="153"/>
      <c r="P116" s="153"/>
      <c r="Q116" s="128">
        <v>45173</v>
      </c>
      <c r="R116" s="186">
        <v>2020</v>
      </c>
    </row>
    <row r="117" spans="1:18" ht="28.25" hidden="1" customHeight="1" x14ac:dyDescent="0.35">
      <c r="A117" s="180" t="s">
        <v>360</v>
      </c>
      <c r="B117" s="135" t="s">
        <v>84</v>
      </c>
      <c r="C117" s="135" t="s">
        <v>361</v>
      </c>
      <c r="D117" s="135" t="s">
        <v>362</v>
      </c>
      <c r="E117" s="135" t="s">
        <v>262</v>
      </c>
      <c r="F117" s="135" t="s">
        <v>136</v>
      </c>
      <c r="G117" s="135"/>
      <c r="H117" s="135"/>
      <c r="I117" s="135"/>
      <c r="J117" s="127">
        <v>42702</v>
      </c>
      <c r="K117" s="127">
        <v>43382</v>
      </c>
      <c r="L117" s="133"/>
      <c r="M117" s="153">
        <v>375</v>
      </c>
      <c r="N117" s="153">
        <v>0</v>
      </c>
      <c r="O117" s="153">
        <v>102</v>
      </c>
      <c r="P117" s="153">
        <v>0</v>
      </c>
      <c r="Q117" s="131">
        <v>401768</v>
      </c>
      <c r="R117" s="186">
        <v>2020</v>
      </c>
    </row>
    <row r="118" spans="1:18" ht="28.25" hidden="1" customHeight="1" x14ac:dyDescent="0.35">
      <c r="A118" s="180" t="s">
        <v>363</v>
      </c>
      <c r="B118" s="135" t="s">
        <v>363</v>
      </c>
      <c r="C118" s="135" t="s">
        <v>364</v>
      </c>
      <c r="D118" s="135" t="s">
        <v>34</v>
      </c>
      <c r="E118" s="135" t="s">
        <v>255</v>
      </c>
      <c r="F118" s="135" t="s">
        <v>136</v>
      </c>
      <c r="G118" s="135"/>
      <c r="H118" s="135"/>
      <c r="I118" s="135"/>
      <c r="J118" s="127">
        <v>43882</v>
      </c>
      <c r="K118" s="127">
        <v>43886</v>
      </c>
      <c r="L118" s="133">
        <v>1900000</v>
      </c>
      <c r="M118" s="153">
        <v>286</v>
      </c>
      <c r="N118" s="153">
        <v>0</v>
      </c>
      <c r="O118" s="153">
        <v>0</v>
      </c>
      <c r="P118" s="153">
        <v>0</v>
      </c>
      <c r="Q118" s="131">
        <v>45346</v>
      </c>
      <c r="R118" s="186">
        <v>2020</v>
      </c>
    </row>
    <row r="119" spans="1:18" ht="28.25" hidden="1" customHeight="1" x14ac:dyDescent="0.35">
      <c r="A119" s="180" t="s">
        <v>365</v>
      </c>
      <c r="B119" s="135" t="s">
        <v>547</v>
      </c>
      <c r="C119" s="135" t="s">
        <v>366</v>
      </c>
      <c r="D119" s="135" t="s">
        <v>367</v>
      </c>
      <c r="E119" s="135" t="s">
        <v>255</v>
      </c>
      <c r="F119" s="135" t="s">
        <v>136</v>
      </c>
      <c r="G119" s="135"/>
      <c r="H119" s="135"/>
      <c r="I119" s="135"/>
      <c r="J119" s="127">
        <v>43413</v>
      </c>
      <c r="K119" s="127">
        <v>43136</v>
      </c>
      <c r="L119" s="129">
        <v>76875</v>
      </c>
      <c r="M119" s="153">
        <v>110</v>
      </c>
      <c r="N119" s="153"/>
      <c r="O119" s="153"/>
      <c r="P119" s="153"/>
      <c r="Q119" s="134">
        <v>44962</v>
      </c>
      <c r="R119" s="186">
        <v>2020</v>
      </c>
    </row>
    <row r="120" spans="1:18" ht="28.25" hidden="1" customHeight="1" x14ac:dyDescent="0.35">
      <c r="A120" s="180" t="s">
        <v>365</v>
      </c>
      <c r="B120" s="135" t="s">
        <v>547</v>
      </c>
      <c r="C120" s="135" t="s">
        <v>368</v>
      </c>
      <c r="D120" s="135" t="s">
        <v>369</v>
      </c>
      <c r="E120" s="135" t="s">
        <v>255</v>
      </c>
      <c r="F120" s="135" t="s">
        <v>136</v>
      </c>
      <c r="G120" s="135"/>
      <c r="H120" s="135"/>
      <c r="I120" s="135"/>
      <c r="J120" s="127">
        <v>43196</v>
      </c>
      <c r="K120" s="127">
        <v>43229</v>
      </c>
      <c r="L120" s="129">
        <v>175000</v>
      </c>
      <c r="M120" s="153">
        <v>368</v>
      </c>
      <c r="N120" s="153"/>
      <c r="O120" s="153"/>
      <c r="P120" s="153"/>
      <c r="Q120" s="134">
        <v>44689</v>
      </c>
      <c r="R120" s="186">
        <v>2020</v>
      </c>
    </row>
    <row r="121" spans="1:18" ht="28.25" hidden="1" customHeight="1" x14ac:dyDescent="0.35">
      <c r="A121" s="180" t="s">
        <v>370</v>
      </c>
      <c r="B121" s="135" t="s">
        <v>551</v>
      </c>
      <c r="C121" s="135" t="s">
        <v>371</v>
      </c>
      <c r="D121" s="135" t="s">
        <v>372</v>
      </c>
      <c r="E121" s="135" t="s">
        <v>255</v>
      </c>
      <c r="F121" s="135" t="s">
        <v>136</v>
      </c>
      <c r="G121" s="135"/>
      <c r="H121" s="135"/>
      <c r="I121" s="135"/>
      <c r="J121" s="127">
        <v>41675</v>
      </c>
      <c r="K121" s="127">
        <v>41675</v>
      </c>
      <c r="L121" s="133">
        <v>572000</v>
      </c>
      <c r="M121" s="153">
        <v>57</v>
      </c>
      <c r="N121" s="153">
        <v>0</v>
      </c>
      <c r="O121" s="153">
        <v>14</v>
      </c>
      <c r="P121" s="153">
        <v>0</v>
      </c>
      <c r="Q121" s="131">
        <v>45472</v>
      </c>
      <c r="R121" s="186">
        <v>2020</v>
      </c>
    </row>
    <row r="122" spans="1:18" ht="28.25" hidden="1" customHeight="1" x14ac:dyDescent="0.35">
      <c r="A122" s="180" t="s">
        <v>373</v>
      </c>
      <c r="B122" s="135" t="s">
        <v>373</v>
      </c>
      <c r="C122" s="135" t="s">
        <v>91</v>
      </c>
      <c r="D122" s="135" t="s">
        <v>90</v>
      </c>
      <c r="E122" s="135" t="s">
        <v>41</v>
      </c>
      <c r="F122" s="135" t="s">
        <v>136</v>
      </c>
      <c r="G122" s="135"/>
      <c r="H122" s="135"/>
      <c r="I122" s="135"/>
      <c r="J122" s="127">
        <v>38980</v>
      </c>
      <c r="K122" s="127">
        <v>42565</v>
      </c>
      <c r="L122" s="129"/>
      <c r="M122" s="153">
        <v>87.5</v>
      </c>
      <c r="N122" s="153">
        <v>87.5</v>
      </c>
      <c r="O122" s="153"/>
      <c r="P122" s="153"/>
      <c r="Q122" s="131">
        <v>48043</v>
      </c>
      <c r="R122" s="186">
        <v>2020</v>
      </c>
    </row>
    <row r="123" spans="1:18" ht="28.25" hidden="1" customHeight="1" x14ac:dyDescent="0.35">
      <c r="A123" s="180" t="s">
        <v>374</v>
      </c>
      <c r="B123" s="135" t="s">
        <v>374</v>
      </c>
      <c r="C123" s="135">
        <v>7930</v>
      </c>
      <c r="D123" s="135" t="s">
        <v>375</v>
      </c>
      <c r="E123" s="135" t="s">
        <v>41</v>
      </c>
      <c r="F123" s="135" t="s">
        <v>66</v>
      </c>
      <c r="G123" s="135"/>
      <c r="H123" s="135"/>
      <c r="I123" s="135"/>
      <c r="J123" s="127"/>
      <c r="K123" s="127">
        <v>28864</v>
      </c>
      <c r="L123" s="129"/>
      <c r="M123" s="153">
        <v>1.45</v>
      </c>
      <c r="N123" s="153"/>
      <c r="O123" s="153"/>
      <c r="P123" s="153"/>
      <c r="Q123" s="49"/>
      <c r="R123" s="186">
        <v>2020</v>
      </c>
    </row>
    <row r="124" spans="1:18" ht="28.25" customHeight="1" x14ac:dyDescent="0.35">
      <c r="A124" s="180" t="s">
        <v>376</v>
      </c>
      <c r="B124" s="135" t="s">
        <v>93</v>
      </c>
      <c r="C124" s="135" t="s">
        <v>95</v>
      </c>
      <c r="D124" s="135" t="s">
        <v>94</v>
      </c>
      <c r="E124" s="135" t="s">
        <v>41</v>
      </c>
      <c r="F124" s="135" t="s">
        <v>136</v>
      </c>
      <c r="G124" s="135"/>
      <c r="H124" s="135"/>
      <c r="I124" s="135"/>
      <c r="J124" s="127">
        <v>42101</v>
      </c>
      <c r="K124" s="127">
        <v>42214</v>
      </c>
      <c r="L124" s="133">
        <v>522919221</v>
      </c>
      <c r="M124" s="153">
        <v>291.8</v>
      </c>
      <c r="N124" s="153">
        <v>0.69</v>
      </c>
      <c r="O124" s="153"/>
      <c r="P124" s="153">
        <v>0.69</v>
      </c>
      <c r="Q124" s="131">
        <v>51345</v>
      </c>
      <c r="R124" s="186">
        <v>2020</v>
      </c>
    </row>
    <row r="125" spans="1:18" ht="28.25" hidden="1" customHeight="1" x14ac:dyDescent="0.35">
      <c r="A125" s="180" t="s">
        <v>377</v>
      </c>
      <c r="B125" s="135" t="s">
        <v>96</v>
      </c>
      <c r="C125" s="135" t="s">
        <v>378</v>
      </c>
      <c r="D125" s="135" t="s">
        <v>379</v>
      </c>
      <c r="E125" s="135" t="s">
        <v>255</v>
      </c>
      <c r="F125" s="135" t="s">
        <v>136</v>
      </c>
      <c r="G125" s="135"/>
      <c r="H125" s="135"/>
      <c r="I125" s="135"/>
      <c r="J125" s="127">
        <v>43161</v>
      </c>
      <c r="K125" s="127">
        <v>43213</v>
      </c>
      <c r="L125" s="129">
        <v>750000</v>
      </c>
      <c r="M125" s="153">
        <v>337.3</v>
      </c>
      <c r="N125" s="153"/>
      <c r="O125" s="153"/>
      <c r="P125" s="153"/>
      <c r="Q125" s="49"/>
      <c r="R125" s="186">
        <v>2020</v>
      </c>
    </row>
    <row r="126" spans="1:18" ht="28.25" hidden="1" customHeight="1" x14ac:dyDescent="0.35">
      <c r="A126" s="180" t="s">
        <v>377</v>
      </c>
      <c r="B126" s="135" t="s">
        <v>96</v>
      </c>
      <c r="C126" s="135" t="s">
        <v>380</v>
      </c>
      <c r="D126" s="135" t="s">
        <v>381</v>
      </c>
      <c r="E126" s="135" t="s">
        <v>255</v>
      </c>
      <c r="F126" s="135" t="s">
        <v>136</v>
      </c>
      <c r="G126" s="135"/>
      <c r="H126" s="135"/>
      <c r="I126" s="135"/>
      <c r="J126" s="127">
        <v>43161</v>
      </c>
      <c r="K126" s="127">
        <v>43213</v>
      </c>
      <c r="L126" s="129">
        <v>500000</v>
      </c>
      <c r="M126" s="153">
        <v>291.7</v>
      </c>
      <c r="N126" s="153"/>
      <c r="O126" s="153"/>
      <c r="P126" s="153"/>
      <c r="Q126" s="49"/>
      <c r="R126" s="186">
        <v>2020</v>
      </c>
    </row>
    <row r="127" spans="1:18" ht="28.25" hidden="1" customHeight="1" x14ac:dyDescent="0.35">
      <c r="A127" s="180" t="s">
        <v>382</v>
      </c>
      <c r="B127" s="135" t="s">
        <v>101</v>
      </c>
      <c r="C127" s="135" t="s">
        <v>103</v>
      </c>
      <c r="D127" s="135" t="s">
        <v>383</v>
      </c>
      <c r="E127" s="135" t="s">
        <v>41</v>
      </c>
      <c r="F127" s="135" t="s">
        <v>66</v>
      </c>
      <c r="G127" s="135"/>
      <c r="H127" s="135"/>
      <c r="I127" s="135"/>
      <c r="J127" s="127">
        <v>35941</v>
      </c>
      <c r="K127" s="127">
        <v>36574</v>
      </c>
      <c r="L127" s="133">
        <v>0</v>
      </c>
      <c r="M127" s="153">
        <v>2.1579000000000002</v>
      </c>
      <c r="N127" s="153">
        <v>9.8000000000000004E-2</v>
      </c>
      <c r="O127" s="153"/>
      <c r="P127" s="153">
        <v>0</v>
      </c>
      <c r="Q127" s="131">
        <v>401768</v>
      </c>
      <c r="R127" s="186">
        <v>2020</v>
      </c>
    </row>
    <row r="128" spans="1:18" ht="28.25" hidden="1" customHeight="1" x14ac:dyDescent="0.35">
      <c r="A128" s="180" t="s">
        <v>384</v>
      </c>
      <c r="B128" s="135" t="s">
        <v>384</v>
      </c>
      <c r="C128" s="135" t="s">
        <v>385</v>
      </c>
      <c r="D128" s="135" t="s">
        <v>335</v>
      </c>
      <c r="E128" s="135" t="s">
        <v>46</v>
      </c>
      <c r="F128" s="135" t="s">
        <v>66</v>
      </c>
      <c r="G128" s="135"/>
      <c r="H128" s="135"/>
      <c r="I128" s="135"/>
      <c r="J128" s="127"/>
      <c r="K128" s="127">
        <v>42635</v>
      </c>
      <c r="L128" s="129">
        <v>4000</v>
      </c>
      <c r="M128" s="153"/>
      <c r="N128" s="153"/>
      <c r="O128" s="153"/>
      <c r="P128" s="153"/>
      <c r="Q128" s="49"/>
      <c r="R128" s="186">
        <v>2020</v>
      </c>
    </row>
    <row r="129" spans="1:18" ht="28.25" hidden="1" customHeight="1" x14ac:dyDescent="0.35">
      <c r="A129" s="180" t="s">
        <v>106</v>
      </c>
      <c r="B129" s="135" t="s">
        <v>106</v>
      </c>
      <c r="C129" s="135" t="s">
        <v>386</v>
      </c>
      <c r="D129" s="135" t="s">
        <v>387</v>
      </c>
      <c r="E129" s="135" t="s">
        <v>57</v>
      </c>
      <c r="F129" s="135" t="s">
        <v>66</v>
      </c>
      <c r="G129" s="135"/>
      <c r="H129" s="135"/>
      <c r="I129" s="135"/>
      <c r="J129" s="127">
        <v>40126</v>
      </c>
      <c r="K129" s="127">
        <v>40126</v>
      </c>
      <c r="L129" s="133">
        <v>0</v>
      </c>
      <c r="M129" s="153">
        <v>7.57</v>
      </c>
      <c r="N129" s="153">
        <v>0</v>
      </c>
      <c r="O129" s="153">
        <v>2.57</v>
      </c>
      <c r="P129" s="153"/>
      <c r="Q129" s="131">
        <v>401768</v>
      </c>
      <c r="R129" s="186">
        <v>2020</v>
      </c>
    </row>
    <row r="130" spans="1:18" ht="28.25" hidden="1" customHeight="1" x14ac:dyDescent="0.35">
      <c r="A130" s="180" t="s">
        <v>388</v>
      </c>
      <c r="B130" s="135" t="s">
        <v>388</v>
      </c>
      <c r="C130" s="135" t="s">
        <v>389</v>
      </c>
      <c r="D130" s="135" t="s">
        <v>390</v>
      </c>
      <c r="E130" s="135" t="s">
        <v>255</v>
      </c>
      <c r="F130" s="135" t="s">
        <v>42</v>
      </c>
      <c r="G130" s="135"/>
      <c r="H130" s="135"/>
      <c r="I130" s="135"/>
      <c r="J130" s="127">
        <v>42368</v>
      </c>
      <c r="K130" s="127">
        <v>42429</v>
      </c>
      <c r="L130" s="133">
        <v>200000</v>
      </c>
      <c r="M130" s="153">
        <v>872</v>
      </c>
      <c r="N130" s="153">
        <v>0</v>
      </c>
      <c r="O130" s="153">
        <v>218</v>
      </c>
      <c r="P130" s="153">
        <v>0</v>
      </c>
      <c r="Q130" s="131">
        <v>44619</v>
      </c>
      <c r="R130" s="186">
        <v>2020</v>
      </c>
    </row>
    <row r="131" spans="1:18" ht="28.25" hidden="1" customHeight="1" x14ac:dyDescent="0.35">
      <c r="A131" s="180" t="s">
        <v>391</v>
      </c>
      <c r="B131" s="135" t="s">
        <v>391</v>
      </c>
      <c r="C131" s="135" t="s">
        <v>392</v>
      </c>
      <c r="D131" s="135" t="s">
        <v>393</v>
      </c>
      <c r="E131" s="135" t="s">
        <v>255</v>
      </c>
      <c r="F131" s="135" t="s">
        <v>136</v>
      </c>
      <c r="G131" s="135"/>
      <c r="H131" s="135"/>
      <c r="I131" s="135"/>
      <c r="J131" s="127">
        <v>42955</v>
      </c>
      <c r="K131" s="127">
        <v>42969</v>
      </c>
      <c r="L131" s="133">
        <v>75000</v>
      </c>
      <c r="M131" s="153">
        <v>113.2</v>
      </c>
      <c r="N131" s="153">
        <v>0</v>
      </c>
      <c r="O131" s="153"/>
      <c r="P131" s="153">
        <v>0</v>
      </c>
      <c r="Q131" s="131">
        <v>401768</v>
      </c>
      <c r="R131" s="186">
        <v>2020</v>
      </c>
    </row>
    <row r="132" spans="1:18" ht="28.25" hidden="1" customHeight="1" x14ac:dyDescent="0.35">
      <c r="A132" s="180" t="s">
        <v>112</v>
      </c>
      <c r="B132" s="135" t="s">
        <v>567</v>
      </c>
      <c r="C132" s="135" t="s">
        <v>394</v>
      </c>
      <c r="D132" s="135" t="s">
        <v>335</v>
      </c>
      <c r="E132" s="135" t="s">
        <v>46</v>
      </c>
      <c r="F132" s="135" t="s">
        <v>66</v>
      </c>
      <c r="G132" s="135"/>
      <c r="H132" s="135"/>
      <c r="I132" s="135"/>
      <c r="J132" s="127"/>
      <c r="K132" s="127">
        <v>43196</v>
      </c>
      <c r="L132" s="133"/>
      <c r="M132" s="153">
        <v>0</v>
      </c>
      <c r="N132" s="153">
        <v>0</v>
      </c>
      <c r="O132" s="153">
        <v>0</v>
      </c>
      <c r="P132" s="153">
        <v>0</v>
      </c>
      <c r="Q132" s="131">
        <v>401768</v>
      </c>
      <c r="R132" s="186">
        <v>2020</v>
      </c>
    </row>
    <row r="133" spans="1:18" ht="28.25" hidden="1" customHeight="1" x14ac:dyDescent="0.35">
      <c r="A133" s="181" t="s">
        <v>128</v>
      </c>
      <c r="B133" s="135" t="s">
        <v>128</v>
      </c>
      <c r="C133" s="145" t="s">
        <v>130</v>
      </c>
      <c r="D133" s="145" t="s">
        <v>129</v>
      </c>
      <c r="E133" s="145" t="s">
        <v>41</v>
      </c>
      <c r="F133" s="145" t="s">
        <v>131</v>
      </c>
      <c r="G133" s="145"/>
      <c r="H133" s="145"/>
      <c r="I133" s="145"/>
      <c r="J133" s="127">
        <v>38751</v>
      </c>
      <c r="K133" s="127">
        <v>38826</v>
      </c>
      <c r="L133" s="126"/>
      <c r="M133" s="122">
        <v>4.6100000000000003</v>
      </c>
      <c r="N133" s="122"/>
      <c r="O133" s="122"/>
      <c r="P133" s="122"/>
      <c r="Q133" s="128">
        <v>47957</v>
      </c>
      <c r="R133" s="186">
        <v>2020</v>
      </c>
    </row>
    <row r="134" spans="1:18" ht="28.25" hidden="1" customHeight="1" x14ac:dyDescent="0.35">
      <c r="A134" s="181" t="s">
        <v>128</v>
      </c>
      <c r="B134" s="135" t="s">
        <v>128</v>
      </c>
      <c r="C134" s="145" t="s">
        <v>395</v>
      </c>
      <c r="D134" s="145" t="s">
        <v>52</v>
      </c>
      <c r="E134" s="145" t="s">
        <v>41</v>
      </c>
      <c r="F134" s="145" t="s">
        <v>66</v>
      </c>
      <c r="G134" s="145"/>
      <c r="H134" s="145"/>
      <c r="I134" s="145"/>
      <c r="J134" s="127">
        <v>38751</v>
      </c>
      <c r="K134" s="127">
        <v>38826</v>
      </c>
      <c r="L134" s="126"/>
      <c r="M134" s="122">
        <v>4.0999999999999996</v>
      </c>
      <c r="N134" s="122"/>
      <c r="O134" s="122"/>
      <c r="P134" s="122"/>
      <c r="Q134" s="128">
        <v>47957</v>
      </c>
      <c r="R134" s="186">
        <v>2020</v>
      </c>
    </row>
    <row r="135" spans="1:18" ht="28.25" hidden="1" customHeight="1" x14ac:dyDescent="0.35">
      <c r="A135" s="181" t="s">
        <v>128</v>
      </c>
      <c r="B135" s="135" t="s">
        <v>128</v>
      </c>
      <c r="C135" s="145" t="s">
        <v>396</v>
      </c>
      <c r="D135" s="145" t="s">
        <v>44</v>
      </c>
      <c r="E135" s="145" t="s">
        <v>41</v>
      </c>
      <c r="F135" s="145" t="s">
        <v>66</v>
      </c>
      <c r="G135" s="145"/>
      <c r="H135" s="145"/>
      <c r="I135" s="145"/>
      <c r="J135" s="127">
        <v>38751</v>
      </c>
      <c r="K135" s="127">
        <v>38826</v>
      </c>
      <c r="L135" s="126"/>
      <c r="M135" s="122">
        <v>1.21</v>
      </c>
      <c r="N135" s="122"/>
      <c r="O135" s="122"/>
      <c r="P135" s="122"/>
      <c r="Q135" s="128">
        <v>47957</v>
      </c>
      <c r="R135" s="186">
        <v>2020</v>
      </c>
    </row>
    <row r="136" spans="1:18" ht="28.25" hidden="1" customHeight="1" x14ac:dyDescent="0.35">
      <c r="A136" s="180" t="s">
        <v>116</v>
      </c>
      <c r="B136" s="135" t="s">
        <v>116</v>
      </c>
      <c r="C136" s="135" t="s">
        <v>397</v>
      </c>
      <c r="D136" s="135" t="s">
        <v>116</v>
      </c>
      <c r="E136" s="135" t="s">
        <v>46</v>
      </c>
      <c r="F136" s="135" t="s">
        <v>66</v>
      </c>
      <c r="G136" s="135"/>
      <c r="H136" s="135"/>
      <c r="I136" s="135"/>
      <c r="J136" s="127"/>
      <c r="K136" s="127">
        <v>43448</v>
      </c>
      <c r="L136" s="133">
        <v>0</v>
      </c>
      <c r="M136" s="153">
        <v>1.41</v>
      </c>
      <c r="N136" s="153">
        <v>0</v>
      </c>
      <c r="O136" s="153">
        <v>0</v>
      </c>
      <c r="P136" s="153">
        <v>0.08</v>
      </c>
      <c r="Q136" s="131">
        <v>45273</v>
      </c>
      <c r="R136" s="186">
        <v>2020</v>
      </c>
    </row>
    <row r="137" spans="1:18" ht="28.25" hidden="1" customHeight="1" x14ac:dyDescent="0.35">
      <c r="A137" s="180" t="s">
        <v>118</v>
      </c>
      <c r="B137" s="135" t="s">
        <v>569</v>
      </c>
      <c r="C137" s="135" t="s">
        <v>398</v>
      </c>
      <c r="D137" s="135" t="s">
        <v>399</v>
      </c>
      <c r="E137" s="135" t="s">
        <v>41</v>
      </c>
      <c r="F137" s="135" t="s">
        <v>29</v>
      </c>
      <c r="G137" s="135"/>
      <c r="H137" s="135"/>
      <c r="I137" s="135"/>
      <c r="J137" s="127">
        <v>39722</v>
      </c>
      <c r="K137" s="127">
        <v>40702</v>
      </c>
      <c r="L137" s="133">
        <v>100000</v>
      </c>
      <c r="M137" s="153">
        <v>661</v>
      </c>
      <c r="N137" s="153">
        <v>0</v>
      </c>
      <c r="O137" s="153">
        <v>0</v>
      </c>
      <c r="P137" s="153">
        <v>0</v>
      </c>
      <c r="Q137" s="49"/>
      <c r="R137" s="186">
        <v>2020</v>
      </c>
    </row>
    <row r="138" spans="1:18" ht="28.25" hidden="1" customHeight="1" x14ac:dyDescent="0.35">
      <c r="A138" s="180" t="s">
        <v>400</v>
      </c>
      <c r="B138" s="135" t="s">
        <v>400</v>
      </c>
      <c r="C138" s="135" t="s">
        <v>401</v>
      </c>
      <c r="D138" s="135" t="s">
        <v>122</v>
      </c>
      <c r="E138" s="135" t="s">
        <v>255</v>
      </c>
      <c r="F138" s="135" t="s">
        <v>136</v>
      </c>
      <c r="G138" s="135"/>
      <c r="H138" s="135"/>
      <c r="I138" s="135"/>
      <c r="J138" s="127">
        <v>42682</v>
      </c>
      <c r="K138" s="127">
        <v>44025</v>
      </c>
      <c r="L138" s="133">
        <v>184167</v>
      </c>
      <c r="M138" s="153">
        <v>52.76</v>
      </c>
      <c r="N138" s="153">
        <v>0</v>
      </c>
      <c r="O138" s="153">
        <v>13.76</v>
      </c>
      <c r="P138" s="153">
        <v>0</v>
      </c>
      <c r="Q138" s="131">
        <v>45119</v>
      </c>
      <c r="R138" s="186">
        <v>2020</v>
      </c>
    </row>
    <row r="139" spans="1:18" ht="28.25" hidden="1" customHeight="1" x14ac:dyDescent="0.35">
      <c r="A139" s="180" t="s">
        <v>124</v>
      </c>
      <c r="B139" s="135" t="s">
        <v>124</v>
      </c>
      <c r="C139" s="135" t="s">
        <v>126</v>
      </c>
      <c r="D139" s="135" t="s">
        <v>125</v>
      </c>
      <c r="E139" s="135" t="s">
        <v>41</v>
      </c>
      <c r="F139" s="135" t="s">
        <v>136</v>
      </c>
      <c r="G139" s="145" t="s">
        <v>18</v>
      </c>
      <c r="H139" s="145" t="s">
        <v>166</v>
      </c>
      <c r="I139" s="145" t="s">
        <v>20</v>
      </c>
      <c r="J139" s="127">
        <v>40346</v>
      </c>
      <c r="K139" s="127">
        <v>39388</v>
      </c>
      <c r="L139" s="133">
        <v>0</v>
      </c>
      <c r="M139" s="153">
        <v>120</v>
      </c>
      <c r="N139" s="153">
        <v>0</v>
      </c>
      <c r="O139" s="153">
        <v>0</v>
      </c>
      <c r="P139" s="153">
        <v>0</v>
      </c>
      <c r="Q139" s="131">
        <v>46693</v>
      </c>
      <c r="R139" s="186">
        <v>2020</v>
      </c>
    </row>
    <row r="140" spans="1:18" ht="28.25" hidden="1" customHeight="1" x14ac:dyDescent="0.35">
      <c r="A140" s="182" t="s">
        <v>572</v>
      </c>
      <c r="B140" s="135" t="s">
        <v>572</v>
      </c>
      <c r="C140" s="135" t="s">
        <v>403</v>
      </c>
      <c r="D140" s="135" t="s">
        <v>111</v>
      </c>
      <c r="E140" s="135" t="s">
        <v>41</v>
      </c>
      <c r="F140" s="135" t="s">
        <v>66</v>
      </c>
      <c r="G140" s="135"/>
      <c r="H140" s="135"/>
      <c r="I140" s="135"/>
      <c r="J140" s="127">
        <v>35943</v>
      </c>
      <c r="K140" s="127">
        <v>35807</v>
      </c>
      <c r="L140" s="133">
        <v>0</v>
      </c>
      <c r="M140" s="153">
        <v>13.48</v>
      </c>
      <c r="N140" s="153">
        <v>0.4</v>
      </c>
      <c r="O140" s="153">
        <v>0</v>
      </c>
      <c r="P140" s="153">
        <v>0.2</v>
      </c>
      <c r="Q140" s="131">
        <v>44937</v>
      </c>
      <c r="R140" s="186">
        <v>2020</v>
      </c>
    </row>
    <row r="141" spans="1:18" ht="28.25" hidden="1" customHeight="1" x14ac:dyDescent="0.35">
      <c r="A141" s="182" t="s">
        <v>572</v>
      </c>
      <c r="B141" s="135" t="s">
        <v>572</v>
      </c>
      <c r="C141" s="135" t="s">
        <v>404</v>
      </c>
      <c r="D141" s="135" t="s">
        <v>405</v>
      </c>
      <c r="E141" s="135" t="s">
        <v>255</v>
      </c>
      <c r="F141" s="135" t="s">
        <v>66</v>
      </c>
      <c r="G141" s="135"/>
      <c r="H141" s="135"/>
      <c r="I141" s="135"/>
      <c r="J141" s="127" t="s">
        <v>406</v>
      </c>
      <c r="K141" s="127">
        <v>40991</v>
      </c>
      <c r="L141" s="133">
        <v>95796653</v>
      </c>
      <c r="M141" s="153">
        <v>16.399999999999999</v>
      </c>
      <c r="N141" s="153">
        <v>0.4</v>
      </c>
      <c r="O141" s="153">
        <v>8.6</v>
      </c>
      <c r="P141" s="153"/>
      <c r="Q141" s="131">
        <v>44937</v>
      </c>
      <c r="R141" s="186">
        <v>2020</v>
      </c>
    </row>
    <row r="142" spans="1:18" ht="28.25" hidden="1" customHeight="1" x14ac:dyDescent="0.35">
      <c r="A142" s="182" t="s">
        <v>572</v>
      </c>
      <c r="B142" s="135" t="s">
        <v>572</v>
      </c>
      <c r="C142" s="135" t="s">
        <v>407</v>
      </c>
      <c r="D142" s="135" t="s">
        <v>102</v>
      </c>
      <c r="E142" s="135" t="s">
        <v>41</v>
      </c>
      <c r="F142" s="135" t="s">
        <v>66</v>
      </c>
      <c r="G142" s="135"/>
      <c r="H142" s="135"/>
      <c r="I142" s="135"/>
      <c r="J142" s="127"/>
      <c r="K142" s="127">
        <v>31156</v>
      </c>
      <c r="L142" s="133">
        <v>0</v>
      </c>
      <c r="M142" s="153">
        <v>1.18</v>
      </c>
      <c r="N142" s="153">
        <v>0.4</v>
      </c>
      <c r="O142" s="153">
        <v>0</v>
      </c>
      <c r="P142" s="153"/>
      <c r="Q142" s="131">
        <v>44937</v>
      </c>
      <c r="R142" s="186">
        <v>2020</v>
      </c>
    </row>
    <row r="143" spans="1:18" ht="28.25" hidden="1" customHeight="1" x14ac:dyDescent="0.35">
      <c r="A143" s="182" t="s">
        <v>572</v>
      </c>
      <c r="B143" s="135" t="s">
        <v>572</v>
      </c>
      <c r="C143" s="135" t="s">
        <v>407</v>
      </c>
      <c r="D143" s="135" t="s">
        <v>408</v>
      </c>
      <c r="E143" s="135" t="s">
        <v>41</v>
      </c>
      <c r="F143" s="135" t="s">
        <v>66</v>
      </c>
      <c r="G143" s="135"/>
      <c r="H143" s="135"/>
      <c r="I143" s="135"/>
      <c r="J143" s="127"/>
      <c r="K143" s="127">
        <v>31156</v>
      </c>
      <c r="L143" s="133">
        <v>0</v>
      </c>
      <c r="M143" s="153">
        <v>3.29</v>
      </c>
      <c r="N143" s="153">
        <v>0.4</v>
      </c>
      <c r="O143" s="153">
        <v>0</v>
      </c>
      <c r="P143" s="153"/>
      <c r="Q143" s="131">
        <v>44937</v>
      </c>
      <c r="R143" s="186">
        <v>2020</v>
      </c>
    </row>
    <row r="144" spans="1:18" ht="28.25" hidden="1" customHeight="1" x14ac:dyDescent="0.35">
      <c r="A144" s="182" t="s">
        <v>572</v>
      </c>
      <c r="B144" s="135" t="s">
        <v>572</v>
      </c>
      <c r="C144" s="135" t="s">
        <v>409</v>
      </c>
      <c r="D144" s="135" t="s">
        <v>410</v>
      </c>
      <c r="E144" s="135" t="s">
        <v>41</v>
      </c>
      <c r="F144" s="135" t="s">
        <v>66</v>
      </c>
      <c r="G144" s="135"/>
      <c r="H144" s="135"/>
      <c r="I144" s="135"/>
      <c r="J144" s="127"/>
      <c r="K144" s="127">
        <v>31156</v>
      </c>
      <c r="L144" s="133">
        <v>0</v>
      </c>
      <c r="M144" s="153">
        <v>1.3</v>
      </c>
      <c r="N144" s="153">
        <v>0.4</v>
      </c>
      <c r="O144" s="153">
        <v>0</v>
      </c>
      <c r="P144" s="153"/>
      <c r="Q144" s="131">
        <v>44937</v>
      </c>
      <c r="R144" s="186">
        <v>2020</v>
      </c>
    </row>
    <row r="145" spans="1:18" ht="28.25" hidden="1" customHeight="1" x14ac:dyDescent="0.35">
      <c r="A145" s="180" t="s">
        <v>411</v>
      </c>
      <c r="B145" s="135" t="s">
        <v>411</v>
      </c>
      <c r="C145" s="135" t="s">
        <v>412</v>
      </c>
      <c r="D145" s="135" t="s">
        <v>335</v>
      </c>
      <c r="E145" s="135" t="s">
        <v>46</v>
      </c>
      <c r="F145" s="145" t="s">
        <v>66</v>
      </c>
      <c r="G145" s="145"/>
      <c r="H145" s="145"/>
      <c r="I145" s="145"/>
      <c r="J145" s="127" t="s">
        <v>413</v>
      </c>
      <c r="K145" s="127">
        <v>43207</v>
      </c>
      <c r="L145" s="129">
        <v>0</v>
      </c>
      <c r="M145" s="153"/>
      <c r="N145" s="153"/>
      <c r="O145" s="153"/>
      <c r="P145" s="153"/>
      <c r="Q145" s="49"/>
      <c r="R145" s="186">
        <v>2020</v>
      </c>
    </row>
    <row r="146" spans="1:18" ht="28.25" hidden="1" customHeight="1" x14ac:dyDescent="0.35">
      <c r="A146" s="180" t="s">
        <v>414</v>
      </c>
      <c r="B146" s="135" t="s">
        <v>414</v>
      </c>
      <c r="C146" s="135" t="s">
        <v>415</v>
      </c>
      <c r="D146" s="135" t="s">
        <v>416</v>
      </c>
      <c r="E146" s="135" t="s">
        <v>46</v>
      </c>
      <c r="F146" s="135" t="s">
        <v>66</v>
      </c>
      <c r="G146" s="135"/>
      <c r="H146" s="135"/>
      <c r="I146" s="135"/>
      <c r="J146" s="127">
        <v>40066</v>
      </c>
      <c r="K146" s="127">
        <v>40066</v>
      </c>
      <c r="L146" s="129"/>
      <c r="M146" s="153">
        <v>0.21</v>
      </c>
      <c r="N146" s="153"/>
      <c r="O146" s="153"/>
      <c r="P146" s="153"/>
      <c r="Q146" s="128">
        <v>44255</v>
      </c>
      <c r="R146" s="186">
        <v>2020</v>
      </c>
    </row>
    <row r="147" spans="1:18" ht="28.25" hidden="1" customHeight="1" x14ac:dyDescent="0.35">
      <c r="A147" s="180" t="s">
        <v>417</v>
      </c>
      <c r="B147" s="135" t="s">
        <v>417</v>
      </c>
      <c r="C147" s="135" t="s">
        <v>418</v>
      </c>
      <c r="D147" s="135" t="s">
        <v>419</v>
      </c>
      <c r="E147" s="135" t="s">
        <v>255</v>
      </c>
      <c r="F147" s="135" t="s">
        <v>136</v>
      </c>
      <c r="G147" s="135"/>
      <c r="H147" s="135"/>
      <c r="I147" s="135"/>
      <c r="J147" s="127">
        <v>43130</v>
      </c>
      <c r="K147" s="127">
        <v>43179</v>
      </c>
      <c r="L147" s="129">
        <v>55000</v>
      </c>
      <c r="M147" s="153">
        <v>25</v>
      </c>
      <c r="N147" s="153">
        <v>0</v>
      </c>
      <c r="O147" s="153">
        <v>0</v>
      </c>
      <c r="P147" s="153">
        <v>0.2</v>
      </c>
      <c r="Q147" s="134">
        <v>44630</v>
      </c>
      <c r="R147" s="186">
        <v>2020</v>
      </c>
    </row>
    <row r="148" spans="1:18" ht="28.25" hidden="1" customHeight="1" x14ac:dyDescent="0.35">
      <c r="A148" s="180" t="s">
        <v>417</v>
      </c>
      <c r="B148" s="135" t="s">
        <v>417</v>
      </c>
      <c r="C148" s="135" t="s">
        <v>420</v>
      </c>
      <c r="D148" s="135" t="s">
        <v>421</v>
      </c>
      <c r="E148" s="135" t="s">
        <v>255</v>
      </c>
      <c r="F148" s="135" t="s">
        <v>326</v>
      </c>
      <c r="G148" s="135"/>
      <c r="H148" s="135"/>
      <c r="I148" s="135"/>
      <c r="J148" s="127">
        <v>43395</v>
      </c>
      <c r="K148" s="127">
        <v>43501</v>
      </c>
      <c r="L148" s="129">
        <v>87125</v>
      </c>
      <c r="M148" s="153">
        <v>61</v>
      </c>
      <c r="N148" s="153"/>
      <c r="O148" s="153"/>
      <c r="P148" s="153"/>
      <c r="Q148" s="134">
        <v>44962</v>
      </c>
      <c r="R148" s="186">
        <v>2020</v>
      </c>
    </row>
    <row r="149" spans="1:18" ht="28.25" hidden="1" customHeight="1" x14ac:dyDescent="0.35">
      <c r="A149" s="180" t="s">
        <v>422</v>
      </c>
      <c r="B149" s="135" t="s">
        <v>422</v>
      </c>
      <c r="C149" s="135" t="s">
        <v>423</v>
      </c>
      <c r="D149" s="135" t="s">
        <v>416</v>
      </c>
      <c r="E149" s="135" t="s">
        <v>262</v>
      </c>
      <c r="F149" s="135" t="s">
        <v>66</v>
      </c>
      <c r="G149" s="135"/>
      <c r="H149" s="135"/>
      <c r="I149" s="135"/>
      <c r="J149" s="127"/>
      <c r="K149" s="127">
        <v>43210</v>
      </c>
      <c r="L149" s="49"/>
      <c r="M149" s="153">
        <v>9.1999999999999998E-2</v>
      </c>
      <c r="N149" s="153">
        <v>9.1999999999999998E-2</v>
      </c>
      <c r="O149" s="153">
        <v>0</v>
      </c>
      <c r="P149" s="153">
        <v>0</v>
      </c>
      <c r="Q149" s="49"/>
      <c r="R149" s="186">
        <v>2020</v>
      </c>
    </row>
    <row r="150" spans="1:18" ht="28.25" hidden="1" customHeight="1" x14ac:dyDescent="0.35">
      <c r="A150" s="182" t="s">
        <v>248</v>
      </c>
      <c r="B150" s="135" t="s">
        <v>248</v>
      </c>
      <c r="C150" s="146" t="s">
        <v>249</v>
      </c>
      <c r="D150" s="146" t="s">
        <v>44</v>
      </c>
      <c r="E150" s="146" t="s">
        <v>46</v>
      </c>
      <c r="F150" s="146" t="s">
        <v>66</v>
      </c>
      <c r="G150" s="146" t="s">
        <v>424</v>
      </c>
      <c r="H150" s="146" t="s">
        <v>44</v>
      </c>
      <c r="I150" s="146" t="s">
        <v>83</v>
      </c>
      <c r="J150" s="127">
        <v>42886</v>
      </c>
      <c r="K150" s="127">
        <v>42886</v>
      </c>
      <c r="L150" s="128"/>
      <c r="M150" s="153">
        <v>0.3</v>
      </c>
      <c r="N150" s="153"/>
      <c r="O150" s="153"/>
      <c r="P150" s="153"/>
      <c r="Q150" s="128">
        <v>44711</v>
      </c>
      <c r="R150" s="187">
        <v>2021</v>
      </c>
    </row>
    <row r="151" spans="1:18" ht="28.25" hidden="1" customHeight="1" x14ac:dyDescent="0.35">
      <c r="A151" s="180" t="s">
        <v>250</v>
      </c>
      <c r="B151" s="135" t="s">
        <v>250</v>
      </c>
      <c r="C151" s="135" t="s">
        <v>251</v>
      </c>
      <c r="D151" s="135" t="s">
        <v>252</v>
      </c>
      <c r="E151" s="135" t="s">
        <v>57</v>
      </c>
      <c r="F151" s="135" t="s">
        <v>10</v>
      </c>
      <c r="G151" s="146" t="s">
        <v>425</v>
      </c>
      <c r="H151" s="146" t="s">
        <v>11</v>
      </c>
      <c r="I151" s="146" t="s">
        <v>10</v>
      </c>
      <c r="J151" s="127">
        <v>40931</v>
      </c>
      <c r="K151" s="127">
        <v>43474</v>
      </c>
      <c r="L151" s="128"/>
      <c r="M151" s="153">
        <v>4.5</v>
      </c>
      <c r="N151" s="153"/>
      <c r="O151" s="153">
        <v>2.57</v>
      </c>
      <c r="P151" s="153"/>
      <c r="Q151" s="131"/>
      <c r="R151" s="187">
        <v>2021</v>
      </c>
    </row>
    <row r="152" spans="1:18" ht="28.25" hidden="1" customHeight="1" x14ac:dyDescent="0.35">
      <c r="A152" s="180" t="s">
        <v>250</v>
      </c>
      <c r="B152" s="135" t="s">
        <v>250</v>
      </c>
      <c r="C152" s="135" t="s">
        <v>254</v>
      </c>
      <c r="D152" s="135" t="s">
        <v>2</v>
      </c>
      <c r="E152" s="135" t="s">
        <v>255</v>
      </c>
      <c r="F152" s="135" t="s">
        <v>256</v>
      </c>
      <c r="G152" s="146" t="s">
        <v>426</v>
      </c>
      <c r="H152" s="146" t="s">
        <v>427</v>
      </c>
      <c r="I152" s="146" t="s">
        <v>256</v>
      </c>
      <c r="J152" s="127">
        <v>41327</v>
      </c>
      <c r="K152" s="127">
        <v>41465</v>
      </c>
      <c r="L152" s="132"/>
      <c r="M152" s="153">
        <v>898.5</v>
      </c>
      <c r="N152" s="153">
        <v>0</v>
      </c>
      <c r="O152" s="153">
        <v>545.1</v>
      </c>
      <c r="P152" s="153">
        <v>0</v>
      </c>
      <c r="Q152" s="131">
        <v>44741</v>
      </c>
      <c r="R152" s="187">
        <v>2021</v>
      </c>
    </row>
    <row r="153" spans="1:18" ht="28.25" hidden="1" customHeight="1" x14ac:dyDescent="0.35">
      <c r="A153" s="182" t="s">
        <v>428</v>
      </c>
      <c r="B153" s="135" t="s">
        <v>428</v>
      </c>
      <c r="C153" s="146" t="s">
        <v>429</v>
      </c>
      <c r="D153" s="146" t="s">
        <v>430</v>
      </c>
      <c r="E153" s="146" t="s">
        <v>255</v>
      </c>
      <c r="F153" s="146" t="s">
        <v>136</v>
      </c>
      <c r="G153" s="146" t="s">
        <v>431</v>
      </c>
      <c r="H153" s="146" t="s">
        <v>136</v>
      </c>
      <c r="I153" s="146" t="s">
        <v>136</v>
      </c>
      <c r="J153" s="127">
        <v>40513</v>
      </c>
      <c r="K153" s="127">
        <v>40513</v>
      </c>
      <c r="L153" s="137"/>
      <c r="M153" s="155">
        <v>157</v>
      </c>
      <c r="N153" s="155">
        <v>0</v>
      </c>
      <c r="O153" s="155">
        <v>120.5</v>
      </c>
      <c r="P153" s="155">
        <v>0</v>
      </c>
      <c r="Q153" s="138">
        <v>43069</v>
      </c>
      <c r="R153" s="187">
        <v>2021</v>
      </c>
    </row>
    <row r="154" spans="1:18" ht="28.25" hidden="1" customHeight="1" x14ac:dyDescent="0.35">
      <c r="A154" s="182" t="s">
        <v>428</v>
      </c>
      <c r="B154" s="135" t="s">
        <v>428</v>
      </c>
      <c r="C154" s="146" t="s">
        <v>432</v>
      </c>
      <c r="D154" s="146" t="s">
        <v>433</v>
      </c>
      <c r="E154" s="146" t="s">
        <v>255</v>
      </c>
      <c r="F154" s="146" t="s">
        <v>136</v>
      </c>
      <c r="G154" s="146" t="s">
        <v>431</v>
      </c>
      <c r="H154" s="146" t="s">
        <v>136</v>
      </c>
      <c r="I154" s="146" t="s">
        <v>136</v>
      </c>
      <c r="J154" s="127">
        <v>40513</v>
      </c>
      <c r="K154" s="127">
        <v>40513</v>
      </c>
      <c r="L154" s="137"/>
      <c r="M154" s="155">
        <v>187</v>
      </c>
      <c r="N154" s="155">
        <v>0</v>
      </c>
      <c r="O154" s="155">
        <v>110</v>
      </c>
      <c r="P154" s="155">
        <v>0</v>
      </c>
      <c r="Q154" s="138">
        <v>44625</v>
      </c>
      <c r="R154" s="187">
        <v>2021</v>
      </c>
    </row>
    <row r="155" spans="1:18" ht="28.25" hidden="1" customHeight="1" x14ac:dyDescent="0.35">
      <c r="A155" s="182" t="s">
        <v>434</v>
      </c>
      <c r="B155" s="135" t="s">
        <v>434</v>
      </c>
      <c r="C155" s="146" t="s">
        <v>435</v>
      </c>
      <c r="D155" s="146" t="s">
        <v>436</v>
      </c>
      <c r="E155" s="146" t="s">
        <v>87</v>
      </c>
      <c r="F155" s="146" t="s">
        <v>136</v>
      </c>
      <c r="G155" s="146" t="s">
        <v>431</v>
      </c>
      <c r="H155" s="146" t="s">
        <v>20</v>
      </c>
      <c r="I155" s="146" t="s">
        <v>20</v>
      </c>
      <c r="J155" s="127">
        <v>42285</v>
      </c>
      <c r="K155" s="127">
        <v>42402</v>
      </c>
      <c r="L155" s="137"/>
      <c r="M155" s="155">
        <v>39</v>
      </c>
      <c r="N155" s="155">
        <v>39</v>
      </c>
      <c r="O155" s="155">
        <v>0</v>
      </c>
      <c r="P155" s="155">
        <v>0</v>
      </c>
      <c r="Q155" s="138">
        <v>44228</v>
      </c>
      <c r="R155" s="187">
        <v>2021</v>
      </c>
    </row>
    <row r="156" spans="1:18" ht="28.25" hidden="1" customHeight="1" x14ac:dyDescent="0.35">
      <c r="A156" s="182" t="s">
        <v>14</v>
      </c>
      <c r="B156" s="135" t="s">
        <v>14</v>
      </c>
      <c r="C156" s="146" t="s">
        <v>22</v>
      </c>
      <c r="D156" s="146" t="s">
        <v>437</v>
      </c>
      <c r="E156" s="146" t="s">
        <v>255</v>
      </c>
      <c r="F156" s="146" t="s">
        <v>136</v>
      </c>
      <c r="G156" s="146" t="s">
        <v>431</v>
      </c>
      <c r="H156" s="146" t="s">
        <v>438</v>
      </c>
      <c r="I156" s="146" t="s">
        <v>20</v>
      </c>
      <c r="J156" s="127">
        <v>38215</v>
      </c>
      <c r="K156" s="127">
        <v>38415</v>
      </c>
      <c r="L156" s="137"/>
      <c r="M156" s="155">
        <v>420</v>
      </c>
      <c r="N156" s="155">
        <v>0</v>
      </c>
      <c r="O156" s="155">
        <v>184</v>
      </c>
      <c r="P156" s="155">
        <v>0</v>
      </c>
      <c r="Q156" s="71"/>
      <c r="R156" s="187">
        <v>2021</v>
      </c>
    </row>
    <row r="157" spans="1:18" ht="28.25" hidden="1" customHeight="1" x14ac:dyDescent="0.35">
      <c r="A157" s="182" t="s">
        <v>14</v>
      </c>
      <c r="B157" s="135" t="s">
        <v>14</v>
      </c>
      <c r="C157" s="146" t="s">
        <v>137</v>
      </c>
      <c r="D157" s="146" t="s">
        <v>15</v>
      </c>
      <c r="E157" s="146" t="s">
        <v>255</v>
      </c>
      <c r="F157" s="146" t="s">
        <v>136</v>
      </c>
      <c r="G157" s="146" t="s">
        <v>431</v>
      </c>
      <c r="H157" s="146" t="s">
        <v>438</v>
      </c>
      <c r="I157" s="146" t="s">
        <v>20</v>
      </c>
      <c r="J157" s="127">
        <v>43231</v>
      </c>
      <c r="K157" s="127">
        <v>43256</v>
      </c>
      <c r="L157" s="137"/>
      <c r="M157" s="155">
        <v>79</v>
      </c>
      <c r="N157" s="155">
        <v>0</v>
      </c>
      <c r="O157" s="155">
        <v>0</v>
      </c>
      <c r="P157" s="155">
        <v>0</v>
      </c>
      <c r="Q157" s="138">
        <v>45081</v>
      </c>
      <c r="R157" s="187">
        <v>2021</v>
      </c>
    </row>
    <row r="158" spans="1:18" ht="28.25" hidden="1" customHeight="1" x14ac:dyDescent="0.35">
      <c r="A158" s="182" t="s">
        <v>264</v>
      </c>
      <c r="B158" s="135" t="s">
        <v>264</v>
      </c>
      <c r="C158" s="146" t="s">
        <v>439</v>
      </c>
      <c r="D158" s="146" t="s">
        <v>440</v>
      </c>
      <c r="E158" s="146" t="s">
        <v>255</v>
      </c>
      <c r="F158" s="146" t="s">
        <v>42</v>
      </c>
      <c r="G158" s="146" t="s">
        <v>441</v>
      </c>
      <c r="H158" s="146" t="s">
        <v>42</v>
      </c>
      <c r="I158" s="146" t="s">
        <v>42</v>
      </c>
      <c r="J158" s="127">
        <v>43486</v>
      </c>
      <c r="K158" s="127">
        <v>43496</v>
      </c>
      <c r="L158" s="137"/>
      <c r="M158" s="155">
        <v>567</v>
      </c>
      <c r="N158" s="155">
        <v>0</v>
      </c>
      <c r="O158" s="155">
        <v>0</v>
      </c>
      <c r="P158" s="155">
        <v>0</v>
      </c>
      <c r="Q158" s="138">
        <v>401768</v>
      </c>
      <c r="R158" s="187">
        <v>2021</v>
      </c>
    </row>
    <row r="159" spans="1:18" ht="28.25" hidden="1" customHeight="1" x14ac:dyDescent="0.35">
      <c r="A159" s="182" t="s">
        <v>264</v>
      </c>
      <c r="B159" s="135" t="s">
        <v>264</v>
      </c>
      <c r="C159" s="146" t="s">
        <v>267</v>
      </c>
      <c r="D159" s="146" t="s">
        <v>268</v>
      </c>
      <c r="E159" s="146" t="s">
        <v>46</v>
      </c>
      <c r="F159" s="146" t="s">
        <v>66</v>
      </c>
      <c r="G159" s="146" t="s">
        <v>442</v>
      </c>
      <c r="H159" s="146" t="s">
        <v>443</v>
      </c>
      <c r="I159" s="146" t="s">
        <v>66</v>
      </c>
      <c r="J159" s="127"/>
      <c r="K159" s="127">
        <v>43361</v>
      </c>
      <c r="L159" s="137"/>
      <c r="M159" s="155">
        <v>0.38</v>
      </c>
      <c r="N159" s="155">
        <v>0</v>
      </c>
      <c r="O159" s="155">
        <v>0</v>
      </c>
      <c r="P159" s="155">
        <v>0</v>
      </c>
      <c r="Q159" s="138">
        <v>45278</v>
      </c>
      <c r="R159" s="187">
        <v>2021</v>
      </c>
    </row>
    <row r="160" spans="1:18" ht="28.25" hidden="1" customHeight="1" x14ac:dyDescent="0.35">
      <c r="A160" s="183" t="s">
        <v>444</v>
      </c>
      <c r="B160" s="135" t="s">
        <v>444</v>
      </c>
      <c r="C160" s="149" t="s">
        <v>270</v>
      </c>
      <c r="D160" s="149" t="s">
        <v>44</v>
      </c>
      <c r="E160" s="149" t="s">
        <v>46</v>
      </c>
      <c r="F160" s="149" t="s">
        <v>66</v>
      </c>
      <c r="G160" s="149" t="s">
        <v>424</v>
      </c>
      <c r="H160" s="149" t="s">
        <v>44</v>
      </c>
      <c r="I160" s="149" t="s">
        <v>66</v>
      </c>
      <c r="J160" s="127"/>
      <c r="K160" s="127">
        <v>43304</v>
      </c>
      <c r="L160" s="139"/>
      <c r="M160" s="156">
        <v>0.15</v>
      </c>
      <c r="N160" s="156">
        <v>0.15</v>
      </c>
      <c r="O160" s="156"/>
      <c r="P160" s="156"/>
      <c r="Q160" s="139">
        <v>45129</v>
      </c>
      <c r="R160" s="187">
        <v>2021</v>
      </c>
    </row>
    <row r="161" spans="1:18" ht="28.25" hidden="1" customHeight="1" x14ac:dyDescent="0.35">
      <c r="A161" s="182" t="s">
        <v>445</v>
      </c>
      <c r="B161" s="135" t="s">
        <v>445</v>
      </c>
      <c r="C161" s="146" t="s">
        <v>446</v>
      </c>
      <c r="D161" s="146" t="s">
        <v>272</v>
      </c>
      <c r="E161" s="146" t="s">
        <v>255</v>
      </c>
      <c r="F161" s="146" t="s">
        <v>29</v>
      </c>
      <c r="G161" s="146" t="s">
        <v>441</v>
      </c>
      <c r="H161" s="146" t="s">
        <v>447</v>
      </c>
      <c r="I161" s="146" t="s">
        <v>29</v>
      </c>
      <c r="J161" s="127">
        <v>42157</v>
      </c>
      <c r="K161" s="127">
        <v>42200</v>
      </c>
      <c r="L161" s="137"/>
      <c r="M161" s="155">
        <v>1590</v>
      </c>
      <c r="N161" s="155">
        <v>0</v>
      </c>
      <c r="O161" s="155">
        <v>401</v>
      </c>
      <c r="P161" s="155">
        <v>0</v>
      </c>
      <c r="Q161" s="138">
        <v>44420</v>
      </c>
      <c r="R161" s="187">
        <v>2021</v>
      </c>
    </row>
    <row r="162" spans="1:18" ht="28.25" hidden="1" customHeight="1" x14ac:dyDescent="0.35">
      <c r="A162" s="182" t="s">
        <v>273</v>
      </c>
      <c r="B162" s="135" t="s">
        <v>273</v>
      </c>
      <c r="C162" s="146" t="s">
        <v>274</v>
      </c>
      <c r="D162" s="146" t="s">
        <v>275</v>
      </c>
      <c r="E162" s="146" t="s">
        <v>255</v>
      </c>
      <c r="F162" s="146" t="s">
        <v>136</v>
      </c>
      <c r="G162" s="146" t="s">
        <v>431</v>
      </c>
      <c r="H162" s="146" t="s">
        <v>92</v>
      </c>
      <c r="I162" s="146" t="s">
        <v>136</v>
      </c>
      <c r="J162" s="127">
        <v>42682</v>
      </c>
      <c r="K162" s="127">
        <v>43510</v>
      </c>
      <c r="L162" s="137"/>
      <c r="M162" s="155">
        <v>22</v>
      </c>
      <c r="N162" s="155">
        <v>0</v>
      </c>
      <c r="O162" s="155">
        <v>0</v>
      </c>
      <c r="P162" s="155">
        <v>0</v>
      </c>
      <c r="Q162" s="138">
        <v>44971</v>
      </c>
      <c r="R162" s="187">
        <v>2021</v>
      </c>
    </row>
    <row r="163" spans="1:18" ht="28.25" hidden="1" customHeight="1" x14ac:dyDescent="0.35">
      <c r="A163" s="182" t="s">
        <v>448</v>
      </c>
      <c r="B163" s="135" t="s">
        <v>448</v>
      </c>
      <c r="C163" s="146" t="s">
        <v>449</v>
      </c>
      <c r="D163" s="146" t="s">
        <v>450</v>
      </c>
      <c r="E163" s="146" t="s">
        <v>46</v>
      </c>
      <c r="F163" s="146" t="s">
        <v>66</v>
      </c>
      <c r="G163" s="146" t="s">
        <v>451</v>
      </c>
      <c r="H163" s="146" t="s">
        <v>452</v>
      </c>
      <c r="I163" s="146" t="s">
        <v>78</v>
      </c>
      <c r="J163" s="127">
        <v>43186</v>
      </c>
      <c r="K163" s="127">
        <v>43229</v>
      </c>
      <c r="L163" s="137"/>
      <c r="M163" s="155">
        <v>1.2</v>
      </c>
      <c r="N163" s="155">
        <v>1.2</v>
      </c>
      <c r="O163" s="155">
        <v>0</v>
      </c>
      <c r="P163" s="155">
        <v>0</v>
      </c>
      <c r="Q163" s="138">
        <v>401768</v>
      </c>
      <c r="R163" s="187">
        <v>2021</v>
      </c>
    </row>
    <row r="164" spans="1:18" ht="28.25" hidden="1" customHeight="1" x14ac:dyDescent="0.35">
      <c r="A164" s="180" t="s">
        <v>276</v>
      </c>
      <c r="B164" s="135" t="s">
        <v>276</v>
      </c>
      <c r="C164" s="135" t="s">
        <v>277</v>
      </c>
      <c r="D164" s="135" t="s">
        <v>31</v>
      </c>
      <c r="E164" s="135" t="s">
        <v>255</v>
      </c>
      <c r="F164" s="135" t="s">
        <v>136</v>
      </c>
      <c r="G164" s="146" t="s">
        <v>431</v>
      </c>
      <c r="H164" s="146" t="s">
        <v>453</v>
      </c>
      <c r="I164" s="146" t="s">
        <v>20</v>
      </c>
      <c r="J164" s="127">
        <v>43231</v>
      </c>
      <c r="K164" s="127">
        <v>43256</v>
      </c>
      <c r="L164" s="132"/>
      <c r="M164" s="153">
        <v>314.5</v>
      </c>
      <c r="N164" s="153">
        <v>0</v>
      </c>
      <c r="O164" s="153">
        <v>0</v>
      </c>
      <c r="P164" s="153">
        <v>0</v>
      </c>
      <c r="Q164" s="131">
        <v>401768</v>
      </c>
      <c r="R164" s="187">
        <v>2021</v>
      </c>
    </row>
    <row r="165" spans="1:18" ht="28.25" hidden="1" customHeight="1" x14ac:dyDescent="0.35">
      <c r="A165" s="182" t="s">
        <v>278</v>
      </c>
      <c r="B165" s="135" t="s">
        <v>142</v>
      </c>
      <c r="C165" s="146" t="s">
        <v>280</v>
      </c>
      <c r="D165" s="146" t="s">
        <v>143</v>
      </c>
      <c r="E165" s="146" t="s">
        <v>255</v>
      </c>
      <c r="F165" s="146" t="s">
        <v>136</v>
      </c>
      <c r="G165" s="146" t="s">
        <v>431</v>
      </c>
      <c r="H165" s="146" t="s">
        <v>145</v>
      </c>
      <c r="I165" s="146" t="s">
        <v>136</v>
      </c>
      <c r="J165" s="127">
        <v>42529</v>
      </c>
      <c r="K165" s="127">
        <v>43623</v>
      </c>
      <c r="L165" s="137"/>
      <c r="M165" s="155">
        <v>381</v>
      </c>
      <c r="N165" s="155">
        <v>0</v>
      </c>
      <c r="O165" s="155">
        <v>0</v>
      </c>
      <c r="P165" s="155">
        <v>0</v>
      </c>
      <c r="Q165" s="138">
        <v>45084</v>
      </c>
      <c r="R165" s="187">
        <v>2021</v>
      </c>
    </row>
    <row r="166" spans="1:18" ht="28.25" hidden="1" customHeight="1" x14ac:dyDescent="0.35">
      <c r="A166" s="182" t="s">
        <v>278</v>
      </c>
      <c r="B166" s="135" t="s">
        <v>142</v>
      </c>
      <c r="C166" s="146" t="s">
        <v>279</v>
      </c>
      <c r="D166" s="146" t="s">
        <v>147</v>
      </c>
      <c r="E166" s="146" t="s">
        <v>255</v>
      </c>
      <c r="F166" s="146" t="s">
        <v>136</v>
      </c>
      <c r="G166" s="146" t="s">
        <v>431</v>
      </c>
      <c r="H166" s="146" t="s">
        <v>92</v>
      </c>
      <c r="I166" s="146" t="s">
        <v>136</v>
      </c>
      <c r="J166" s="127">
        <v>42682</v>
      </c>
      <c r="K166" s="127">
        <v>43410</v>
      </c>
      <c r="L166" s="137"/>
      <c r="M166" s="155">
        <v>34.700000000000003</v>
      </c>
      <c r="N166" s="155">
        <v>0</v>
      </c>
      <c r="O166" s="155">
        <v>0</v>
      </c>
      <c r="P166" s="155">
        <v>0</v>
      </c>
      <c r="Q166" s="138">
        <v>401768</v>
      </c>
      <c r="R166" s="187">
        <v>2021</v>
      </c>
    </row>
    <row r="167" spans="1:18" ht="28.25" hidden="1" customHeight="1" x14ac:dyDescent="0.35">
      <c r="A167" s="182" t="s">
        <v>282</v>
      </c>
      <c r="B167" s="135" t="s">
        <v>282</v>
      </c>
      <c r="C167" s="146" t="s">
        <v>283</v>
      </c>
      <c r="D167" s="146" t="s">
        <v>284</v>
      </c>
      <c r="E167" s="146" t="s">
        <v>255</v>
      </c>
      <c r="F167" s="146" t="s">
        <v>326</v>
      </c>
      <c r="G167" s="146" t="s">
        <v>431</v>
      </c>
      <c r="H167" s="146" t="s">
        <v>284</v>
      </c>
      <c r="I167" s="146" t="s">
        <v>61</v>
      </c>
      <c r="J167" s="127">
        <v>40305</v>
      </c>
      <c r="K167" s="127">
        <v>43115</v>
      </c>
      <c r="L167" s="37"/>
      <c r="M167" s="155">
        <v>260</v>
      </c>
      <c r="N167" s="155">
        <v>0</v>
      </c>
      <c r="O167" s="155">
        <v>65</v>
      </c>
      <c r="P167" s="155">
        <v>0</v>
      </c>
      <c r="Q167" s="37">
        <v>44575</v>
      </c>
      <c r="R167" s="187">
        <v>2021</v>
      </c>
    </row>
    <row r="168" spans="1:18" ht="28.25" hidden="1" customHeight="1" x14ac:dyDescent="0.35">
      <c r="A168" s="180" t="s">
        <v>285</v>
      </c>
      <c r="B168" s="135" t="s">
        <v>285</v>
      </c>
      <c r="C168" s="135" t="s">
        <v>286</v>
      </c>
      <c r="D168" s="135" t="s">
        <v>454</v>
      </c>
      <c r="E168" s="146" t="s">
        <v>87</v>
      </c>
      <c r="F168" s="135" t="s">
        <v>42</v>
      </c>
      <c r="G168" s="146" t="s">
        <v>426</v>
      </c>
      <c r="H168" s="146"/>
      <c r="I168" s="146"/>
      <c r="J168" s="127"/>
      <c r="K168" s="127"/>
      <c r="L168" s="37"/>
      <c r="M168" s="153">
        <v>75</v>
      </c>
      <c r="N168" s="153"/>
      <c r="O168" s="153"/>
      <c r="P168" s="153"/>
      <c r="Q168" s="37"/>
      <c r="R168" s="187">
        <v>2021</v>
      </c>
    </row>
    <row r="169" spans="1:18" ht="28.25" hidden="1" customHeight="1" x14ac:dyDescent="0.35">
      <c r="A169" s="182" t="s">
        <v>151</v>
      </c>
      <c r="B169" s="135" t="s">
        <v>151</v>
      </c>
      <c r="C169" s="146" t="s">
        <v>455</v>
      </c>
      <c r="D169" s="146" t="s">
        <v>456</v>
      </c>
      <c r="E169" s="146" t="s">
        <v>46</v>
      </c>
      <c r="F169" s="146" t="s">
        <v>66</v>
      </c>
      <c r="G169" s="146" t="s">
        <v>424</v>
      </c>
      <c r="H169" s="146" t="s">
        <v>82</v>
      </c>
      <c r="I169" s="146" t="s">
        <v>83</v>
      </c>
      <c r="J169" s="127"/>
      <c r="K169" s="127">
        <v>41143</v>
      </c>
      <c r="L169" s="137"/>
      <c r="M169" s="155">
        <v>0.2</v>
      </c>
      <c r="N169" s="155">
        <v>0</v>
      </c>
      <c r="O169" s="155"/>
      <c r="P169" s="155">
        <v>0</v>
      </c>
      <c r="Q169" s="138">
        <v>42969</v>
      </c>
      <c r="R169" s="187">
        <v>2021</v>
      </c>
    </row>
    <row r="170" spans="1:18" ht="28.25" hidden="1" customHeight="1" x14ac:dyDescent="0.35">
      <c r="A170" s="182" t="s">
        <v>292</v>
      </c>
      <c r="B170" s="135" t="s">
        <v>292</v>
      </c>
      <c r="C170" s="146" t="s">
        <v>293</v>
      </c>
      <c r="D170" s="146" t="s">
        <v>155</v>
      </c>
      <c r="E170" s="146" t="s">
        <v>255</v>
      </c>
      <c r="F170" s="146" t="s">
        <v>136</v>
      </c>
      <c r="G170" s="146" t="s">
        <v>431</v>
      </c>
      <c r="H170" s="146" t="s">
        <v>20</v>
      </c>
      <c r="I170" s="146" t="s">
        <v>20</v>
      </c>
      <c r="J170" s="127">
        <v>42102</v>
      </c>
      <c r="K170" s="127">
        <v>42165</v>
      </c>
      <c r="L170" s="37"/>
      <c r="M170" s="155">
        <v>71.319999999999993</v>
      </c>
      <c r="N170" s="155">
        <v>0</v>
      </c>
      <c r="O170" s="155">
        <v>18.02</v>
      </c>
      <c r="P170" s="155">
        <v>0</v>
      </c>
      <c r="Q170" s="37">
        <v>44391</v>
      </c>
      <c r="R170" s="187">
        <v>2021</v>
      </c>
    </row>
    <row r="171" spans="1:18" ht="28.25" hidden="1" customHeight="1" x14ac:dyDescent="0.35">
      <c r="A171" s="182" t="s">
        <v>292</v>
      </c>
      <c r="B171" s="135" t="s">
        <v>292</v>
      </c>
      <c r="C171" s="146" t="s">
        <v>457</v>
      </c>
      <c r="D171" s="146" t="s">
        <v>458</v>
      </c>
      <c r="E171" s="146" t="s">
        <v>255</v>
      </c>
      <c r="F171" s="146" t="s">
        <v>136</v>
      </c>
      <c r="G171" s="146" t="s">
        <v>431</v>
      </c>
      <c r="H171" s="146" t="s">
        <v>20</v>
      </c>
      <c r="I171" s="146" t="s">
        <v>20</v>
      </c>
      <c r="J171" s="127">
        <v>42102</v>
      </c>
      <c r="K171" s="127">
        <v>42165</v>
      </c>
      <c r="L171" s="37"/>
      <c r="M171" s="155">
        <v>241.8</v>
      </c>
      <c r="N171" s="155">
        <v>0</v>
      </c>
      <c r="O171" s="155">
        <v>80.7</v>
      </c>
      <c r="P171" s="155">
        <v>0</v>
      </c>
      <c r="Q171" s="37">
        <v>43625</v>
      </c>
      <c r="R171" s="187">
        <v>2021</v>
      </c>
    </row>
    <row r="172" spans="1:18" ht="28.25" hidden="1" customHeight="1" x14ac:dyDescent="0.35">
      <c r="A172" s="182" t="s">
        <v>459</v>
      </c>
      <c r="B172" s="135" t="s">
        <v>459</v>
      </c>
      <c r="C172" s="146" t="s">
        <v>460</v>
      </c>
      <c r="D172" s="146" t="s">
        <v>338</v>
      </c>
      <c r="E172" s="146" t="s">
        <v>255</v>
      </c>
      <c r="F172" s="146" t="s">
        <v>42</v>
      </c>
      <c r="G172" s="146" t="s">
        <v>441</v>
      </c>
      <c r="H172" s="146" t="s">
        <v>42</v>
      </c>
      <c r="I172" s="146" t="s">
        <v>42</v>
      </c>
      <c r="J172" s="127">
        <v>44099</v>
      </c>
      <c r="K172" s="127">
        <v>44132</v>
      </c>
      <c r="L172" s="137"/>
      <c r="M172" s="155">
        <v>498</v>
      </c>
      <c r="N172" s="155">
        <v>0</v>
      </c>
      <c r="O172" s="155">
        <v>0</v>
      </c>
      <c r="P172" s="155">
        <v>0</v>
      </c>
      <c r="Q172" s="138">
        <v>45592</v>
      </c>
      <c r="R172" s="187">
        <v>2021</v>
      </c>
    </row>
    <row r="173" spans="1:18" ht="28.25" hidden="1" customHeight="1" x14ac:dyDescent="0.35">
      <c r="A173" s="182" t="s">
        <v>459</v>
      </c>
      <c r="B173" s="135" t="s">
        <v>459</v>
      </c>
      <c r="C173" s="146" t="s">
        <v>461</v>
      </c>
      <c r="D173" s="146" t="s">
        <v>296</v>
      </c>
      <c r="E173" s="146" t="s">
        <v>255</v>
      </c>
      <c r="F173" s="146" t="s">
        <v>256</v>
      </c>
      <c r="G173" s="146" t="s">
        <v>441</v>
      </c>
      <c r="H173" s="146" t="s">
        <v>462</v>
      </c>
      <c r="I173" s="146" t="s">
        <v>256</v>
      </c>
      <c r="J173" s="127">
        <v>42474</v>
      </c>
      <c r="K173" s="127">
        <v>42506</v>
      </c>
      <c r="L173" s="137"/>
      <c r="M173" s="153">
        <v>4396</v>
      </c>
      <c r="N173" s="155">
        <v>0</v>
      </c>
      <c r="O173" s="157">
        <v>1101</v>
      </c>
      <c r="P173" s="155">
        <v>0</v>
      </c>
      <c r="Q173" s="138">
        <v>44692</v>
      </c>
      <c r="R173" s="187">
        <v>2021</v>
      </c>
    </row>
    <row r="174" spans="1:18" ht="28.25" hidden="1" customHeight="1" x14ac:dyDescent="0.35">
      <c r="A174" s="182" t="s">
        <v>463</v>
      </c>
      <c r="B174" s="135" t="s">
        <v>463</v>
      </c>
      <c r="C174" s="146" t="s">
        <v>464</v>
      </c>
      <c r="D174" s="146" t="s">
        <v>52</v>
      </c>
      <c r="E174" s="146" t="s">
        <v>87</v>
      </c>
      <c r="F174" s="146" t="s">
        <v>66</v>
      </c>
      <c r="G174" s="146" t="s">
        <v>424</v>
      </c>
      <c r="H174" s="146" t="s">
        <v>443</v>
      </c>
      <c r="I174" s="146" t="s">
        <v>66</v>
      </c>
      <c r="J174" s="127">
        <v>42479</v>
      </c>
      <c r="K174" s="127">
        <v>44279</v>
      </c>
      <c r="L174" s="137"/>
      <c r="M174" s="155">
        <v>2.77</v>
      </c>
      <c r="N174" s="155">
        <v>2.77</v>
      </c>
      <c r="O174" s="155">
        <v>0</v>
      </c>
      <c r="P174" s="155">
        <v>0</v>
      </c>
      <c r="Q174" s="138">
        <v>46104</v>
      </c>
      <c r="R174" s="187">
        <v>2021</v>
      </c>
    </row>
    <row r="175" spans="1:18" ht="28.25" hidden="1" customHeight="1" x14ac:dyDescent="0.35">
      <c r="A175" s="182" t="s">
        <v>300</v>
      </c>
      <c r="B175" s="135" t="s">
        <v>79</v>
      </c>
      <c r="C175" s="146" t="s">
        <v>465</v>
      </c>
      <c r="D175" s="146" t="s">
        <v>466</v>
      </c>
      <c r="E175" s="146" t="s">
        <v>41</v>
      </c>
      <c r="F175" s="146" t="s">
        <v>66</v>
      </c>
      <c r="G175" s="146" t="s">
        <v>467</v>
      </c>
      <c r="H175" s="146" t="s">
        <v>82</v>
      </c>
      <c r="I175" s="146" t="s">
        <v>83</v>
      </c>
      <c r="J175" s="127">
        <v>36574</v>
      </c>
      <c r="K175" s="127">
        <v>36578</v>
      </c>
      <c r="L175" s="137"/>
      <c r="M175" s="155">
        <v>2</v>
      </c>
      <c r="N175" s="155">
        <v>0.3</v>
      </c>
      <c r="O175" s="155">
        <v>0</v>
      </c>
      <c r="P175" s="155">
        <v>0.05</v>
      </c>
      <c r="Q175" s="138">
        <v>45710</v>
      </c>
      <c r="R175" s="187">
        <v>2021</v>
      </c>
    </row>
    <row r="176" spans="1:18" ht="28.25" hidden="1" customHeight="1" x14ac:dyDescent="0.35">
      <c r="A176" s="182" t="s">
        <v>300</v>
      </c>
      <c r="B176" s="135" t="s">
        <v>79</v>
      </c>
      <c r="C176" s="146" t="s">
        <v>468</v>
      </c>
      <c r="D176" s="146" t="s">
        <v>469</v>
      </c>
      <c r="E176" s="146" t="s">
        <v>41</v>
      </c>
      <c r="F176" s="146" t="s">
        <v>66</v>
      </c>
      <c r="G176" s="146" t="s">
        <v>424</v>
      </c>
      <c r="H176" s="146" t="s">
        <v>44</v>
      </c>
      <c r="I176" s="146" t="s">
        <v>66</v>
      </c>
      <c r="J176" s="127">
        <v>36574</v>
      </c>
      <c r="K176" s="127">
        <v>42139</v>
      </c>
      <c r="L176" s="137"/>
      <c r="M176" s="153">
        <v>5.86</v>
      </c>
      <c r="N176" s="155">
        <v>0</v>
      </c>
      <c r="O176" s="155">
        <v>0</v>
      </c>
      <c r="P176" s="155">
        <v>0</v>
      </c>
      <c r="Q176" s="138">
        <v>51271</v>
      </c>
      <c r="R176" s="187">
        <v>2021</v>
      </c>
    </row>
    <row r="177" spans="1:18" ht="28.25" hidden="1" customHeight="1" x14ac:dyDescent="0.35">
      <c r="A177" s="182" t="s">
        <v>470</v>
      </c>
      <c r="B177" s="135" t="s">
        <v>470</v>
      </c>
      <c r="C177" s="149" t="s">
        <v>471</v>
      </c>
      <c r="D177" s="149" t="s">
        <v>44</v>
      </c>
      <c r="E177" s="149" t="s">
        <v>46</v>
      </c>
      <c r="F177" s="149" t="s">
        <v>66</v>
      </c>
      <c r="G177" s="149" t="s">
        <v>424</v>
      </c>
      <c r="H177" s="149" t="s">
        <v>44</v>
      </c>
      <c r="I177" s="149" t="s">
        <v>66</v>
      </c>
      <c r="J177" s="127"/>
      <c r="K177" s="127">
        <v>40032</v>
      </c>
      <c r="L177" s="139"/>
      <c r="M177" s="156">
        <v>0.05</v>
      </c>
      <c r="N177" s="156">
        <v>0.05</v>
      </c>
      <c r="O177" s="156"/>
      <c r="P177" s="156"/>
      <c r="Q177" s="139">
        <v>46431</v>
      </c>
      <c r="R177" s="187">
        <v>2021</v>
      </c>
    </row>
    <row r="178" spans="1:18" ht="28.25" hidden="1" customHeight="1" x14ac:dyDescent="0.35">
      <c r="A178" s="182" t="s">
        <v>470</v>
      </c>
      <c r="B178" s="135" t="s">
        <v>470</v>
      </c>
      <c r="C178" s="149" t="s">
        <v>472</v>
      </c>
      <c r="D178" s="149" t="s">
        <v>44</v>
      </c>
      <c r="E178" s="149" t="s">
        <v>46</v>
      </c>
      <c r="F178" s="149" t="s">
        <v>66</v>
      </c>
      <c r="G178" s="149" t="s">
        <v>424</v>
      </c>
      <c r="H178" s="149" t="s">
        <v>44</v>
      </c>
      <c r="I178" s="149" t="s">
        <v>66</v>
      </c>
      <c r="J178" s="127"/>
      <c r="K178" s="127">
        <v>35384</v>
      </c>
      <c r="L178" s="139"/>
      <c r="M178" s="156">
        <v>7.4999999999999997E-2</v>
      </c>
      <c r="N178" s="156">
        <v>6.5000000000000002E-2</v>
      </c>
      <c r="O178" s="156">
        <v>0.01</v>
      </c>
      <c r="P178" s="156"/>
      <c r="Q178" s="139">
        <v>46431</v>
      </c>
      <c r="R178" s="187">
        <v>2021</v>
      </c>
    </row>
    <row r="179" spans="1:18" ht="28.25" hidden="1" customHeight="1" x14ac:dyDescent="0.35">
      <c r="A179" s="182" t="s">
        <v>470</v>
      </c>
      <c r="B179" s="135" t="s">
        <v>470</v>
      </c>
      <c r="C179" s="150" t="s">
        <v>473</v>
      </c>
      <c r="D179" s="149" t="s">
        <v>416</v>
      </c>
      <c r="E179" s="149" t="s">
        <v>46</v>
      </c>
      <c r="F179" s="149" t="s">
        <v>66</v>
      </c>
      <c r="G179" s="149" t="s">
        <v>442</v>
      </c>
      <c r="H179" s="149" t="s">
        <v>474</v>
      </c>
      <c r="I179" s="149" t="s">
        <v>66</v>
      </c>
      <c r="J179" s="127"/>
      <c r="K179" s="127">
        <v>43986</v>
      </c>
      <c r="L179" s="139"/>
      <c r="M179" s="156">
        <v>2.75E-2</v>
      </c>
      <c r="N179" s="156"/>
      <c r="O179" s="156"/>
      <c r="P179" s="156"/>
      <c r="Q179" s="139">
        <v>45811</v>
      </c>
      <c r="R179" s="187">
        <v>2021</v>
      </c>
    </row>
    <row r="180" spans="1:18" ht="28.25" hidden="1" customHeight="1" x14ac:dyDescent="0.35">
      <c r="A180" s="182" t="s">
        <v>470</v>
      </c>
      <c r="B180" s="135" t="s">
        <v>470</v>
      </c>
      <c r="C180" s="150" t="s">
        <v>306</v>
      </c>
      <c r="D180" s="149" t="s">
        <v>416</v>
      </c>
      <c r="E180" s="149" t="s">
        <v>46</v>
      </c>
      <c r="F180" s="149" t="s">
        <v>66</v>
      </c>
      <c r="G180" s="149" t="s">
        <v>442</v>
      </c>
      <c r="H180" s="149" t="s">
        <v>474</v>
      </c>
      <c r="I180" s="149" t="s">
        <v>66</v>
      </c>
      <c r="J180" s="127"/>
      <c r="K180" s="127">
        <v>42478</v>
      </c>
      <c r="L180" s="139"/>
      <c r="M180" s="156">
        <v>0.41</v>
      </c>
      <c r="N180" s="156"/>
      <c r="O180" s="156"/>
      <c r="P180" s="156"/>
      <c r="Q180" s="139">
        <v>46432</v>
      </c>
      <c r="R180" s="187">
        <v>2021</v>
      </c>
    </row>
    <row r="181" spans="1:18" ht="28.25" hidden="1" customHeight="1" x14ac:dyDescent="0.35">
      <c r="A181" s="182" t="s">
        <v>470</v>
      </c>
      <c r="B181" s="135" t="s">
        <v>470</v>
      </c>
      <c r="C181" s="149" t="s">
        <v>475</v>
      </c>
      <c r="D181" s="149" t="s">
        <v>416</v>
      </c>
      <c r="E181" s="149" t="s">
        <v>46</v>
      </c>
      <c r="F181" s="149" t="s">
        <v>66</v>
      </c>
      <c r="G181" s="149" t="s">
        <v>442</v>
      </c>
      <c r="H181" s="149" t="s">
        <v>474</v>
      </c>
      <c r="I181" s="149" t="s">
        <v>66</v>
      </c>
      <c r="J181" s="127"/>
      <c r="K181" s="127">
        <v>40032</v>
      </c>
      <c r="L181" s="139"/>
      <c r="M181" s="156">
        <v>0.15</v>
      </c>
      <c r="N181" s="156"/>
      <c r="O181" s="156"/>
      <c r="P181" s="156"/>
      <c r="Q181" s="139">
        <v>46460</v>
      </c>
      <c r="R181" s="187">
        <v>2021</v>
      </c>
    </row>
    <row r="182" spans="1:18" ht="28.25" hidden="1" customHeight="1" x14ac:dyDescent="0.35">
      <c r="A182" s="182" t="s">
        <v>470</v>
      </c>
      <c r="B182" s="135" t="s">
        <v>470</v>
      </c>
      <c r="C182" s="149" t="s">
        <v>476</v>
      </c>
      <c r="D182" s="149" t="s">
        <v>416</v>
      </c>
      <c r="E182" s="149" t="s">
        <v>46</v>
      </c>
      <c r="F182" s="149" t="s">
        <v>66</v>
      </c>
      <c r="G182" s="149" t="s">
        <v>442</v>
      </c>
      <c r="H182" s="149" t="s">
        <v>474</v>
      </c>
      <c r="I182" s="149" t="s">
        <v>66</v>
      </c>
      <c r="J182" s="127"/>
      <c r="K182" s="127">
        <v>39902</v>
      </c>
      <c r="L182" s="139"/>
      <c r="M182" s="156">
        <v>0.05</v>
      </c>
      <c r="N182" s="156"/>
      <c r="O182" s="156"/>
      <c r="P182" s="156"/>
      <c r="Q182" s="139">
        <v>46460</v>
      </c>
      <c r="R182" s="187">
        <v>2021</v>
      </c>
    </row>
    <row r="183" spans="1:18" ht="28.25" hidden="1" customHeight="1" x14ac:dyDescent="0.35">
      <c r="A183" s="182" t="s">
        <v>470</v>
      </c>
      <c r="B183" s="135" t="s">
        <v>470</v>
      </c>
      <c r="C183" s="149" t="s">
        <v>477</v>
      </c>
      <c r="D183" s="149" t="s">
        <v>416</v>
      </c>
      <c r="E183" s="149" t="s">
        <v>46</v>
      </c>
      <c r="F183" s="149" t="s">
        <v>66</v>
      </c>
      <c r="G183" s="149" t="s">
        <v>442</v>
      </c>
      <c r="H183" s="149" t="s">
        <v>474</v>
      </c>
      <c r="I183" s="149" t="s">
        <v>66</v>
      </c>
      <c r="J183" s="127"/>
      <c r="K183" s="127">
        <v>43493</v>
      </c>
      <c r="L183" s="139"/>
      <c r="M183" s="156">
        <v>0.15</v>
      </c>
      <c r="N183" s="156"/>
      <c r="O183" s="156"/>
      <c r="P183" s="156"/>
      <c r="Q183" s="139">
        <v>45318</v>
      </c>
      <c r="R183" s="187">
        <v>2021</v>
      </c>
    </row>
    <row r="184" spans="1:18" ht="28.25" hidden="1" customHeight="1" x14ac:dyDescent="0.35">
      <c r="A184" s="182" t="s">
        <v>470</v>
      </c>
      <c r="B184" s="135" t="s">
        <v>470</v>
      </c>
      <c r="C184" s="150" t="s">
        <v>478</v>
      </c>
      <c r="D184" s="149" t="s">
        <v>416</v>
      </c>
      <c r="E184" s="149" t="s">
        <v>46</v>
      </c>
      <c r="F184" s="149" t="s">
        <v>66</v>
      </c>
      <c r="G184" s="149" t="s">
        <v>442</v>
      </c>
      <c r="H184" s="149" t="s">
        <v>474</v>
      </c>
      <c r="I184" s="149" t="s">
        <v>66</v>
      </c>
      <c r="J184" s="127"/>
      <c r="K184" s="127">
        <v>43986</v>
      </c>
      <c r="L184" s="139"/>
      <c r="M184" s="156">
        <v>1.4999999999999999E-2</v>
      </c>
      <c r="N184" s="156"/>
      <c r="O184" s="156"/>
      <c r="P184" s="156"/>
      <c r="Q184" s="139">
        <v>45811</v>
      </c>
      <c r="R184" s="187">
        <v>2021</v>
      </c>
    </row>
    <row r="185" spans="1:18" ht="28.25" hidden="1" customHeight="1" x14ac:dyDescent="0.35">
      <c r="A185" s="182" t="s">
        <v>479</v>
      </c>
      <c r="B185" s="135" t="s">
        <v>479</v>
      </c>
      <c r="C185" s="146" t="s">
        <v>480</v>
      </c>
      <c r="D185" s="146" t="s">
        <v>481</v>
      </c>
      <c r="E185" s="146" t="s">
        <v>255</v>
      </c>
      <c r="F185" s="146" t="s">
        <v>136</v>
      </c>
      <c r="G185" s="146" t="s">
        <v>431</v>
      </c>
      <c r="H185" s="146" t="s">
        <v>482</v>
      </c>
      <c r="I185" s="146" t="s">
        <v>20</v>
      </c>
      <c r="J185" s="127">
        <v>43737</v>
      </c>
      <c r="K185" s="127">
        <v>43780</v>
      </c>
      <c r="L185" s="137"/>
      <c r="M185" s="155">
        <v>252</v>
      </c>
      <c r="N185" s="155">
        <v>0</v>
      </c>
      <c r="O185" s="155">
        <v>0</v>
      </c>
      <c r="P185" s="155">
        <v>0</v>
      </c>
      <c r="Q185" s="138">
        <v>45240</v>
      </c>
      <c r="R185" s="187">
        <v>2021</v>
      </c>
    </row>
    <row r="186" spans="1:18" ht="28.25" hidden="1" customHeight="1" x14ac:dyDescent="0.35">
      <c r="A186" s="182" t="s">
        <v>422</v>
      </c>
      <c r="B186" s="135" t="s">
        <v>422</v>
      </c>
      <c r="C186" s="146" t="s">
        <v>483</v>
      </c>
      <c r="D186" s="146" t="s">
        <v>416</v>
      </c>
      <c r="E186" s="146" t="s">
        <v>46</v>
      </c>
      <c r="F186" s="146" t="s">
        <v>66</v>
      </c>
      <c r="G186" s="146" t="s">
        <v>442</v>
      </c>
      <c r="H186" s="146" t="s">
        <v>484</v>
      </c>
      <c r="I186" s="146" t="s">
        <v>66</v>
      </c>
      <c r="J186" s="127"/>
      <c r="K186" s="127">
        <v>43219</v>
      </c>
      <c r="L186" s="137"/>
      <c r="M186" s="155">
        <v>9.1999999999999998E-2</v>
      </c>
      <c r="N186" s="155">
        <v>9.1999999999999998E-2</v>
      </c>
      <c r="O186" s="155">
        <v>0</v>
      </c>
      <c r="P186" s="155">
        <v>0</v>
      </c>
      <c r="Q186" s="138">
        <v>401768</v>
      </c>
      <c r="R186" s="187">
        <v>2021</v>
      </c>
    </row>
    <row r="187" spans="1:18" ht="28.25" hidden="1" customHeight="1" x14ac:dyDescent="0.35">
      <c r="A187" s="182" t="s">
        <v>422</v>
      </c>
      <c r="B187" s="135" t="s">
        <v>422</v>
      </c>
      <c r="C187" s="146" t="s">
        <v>485</v>
      </c>
      <c r="D187" s="146" t="s">
        <v>486</v>
      </c>
      <c r="E187" s="146" t="s">
        <v>46</v>
      </c>
      <c r="F187" s="146" t="s">
        <v>326</v>
      </c>
      <c r="G187" s="146" t="s">
        <v>442</v>
      </c>
      <c r="H187" s="146" t="s">
        <v>487</v>
      </c>
      <c r="I187" s="146" t="s">
        <v>326</v>
      </c>
      <c r="J187" s="127"/>
      <c r="K187" s="127"/>
      <c r="L187" s="71"/>
      <c r="M187" s="155">
        <v>0.5</v>
      </c>
      <c r="N187" s="155">
        <v>0.5</v>
      </c>
      <c r="O187" s="155">
        <v>0</v>
      </c>
      <c r="P187" s="155">
        <v>0</v>
      </c>
      <c r="Q187" s="138">
        <v>44489</v>
      </c>
      <c r="R187" s="187">
        <v>2021</v>
      </c>
    </row>
    <row r="188" spans="1:18" ht="28.25" hidden="1" customHeight="1" x14ac:dyDescent="0.35">
      <c r="A188" s="182" t="s">
        <v>314</v>
      </c>
      <c r="B188" s="135" t="s">
        <v>314</v>
      </c>
      <c r="C188" s="146" t="s">
        <v>315</v>
      </c>
      <c r="D188" s="146" t="s">
        <v>316</v>
      </c>
      <c r="E188" s="146" t="s">
        <v>255</v>
      </c>
      <c r="F188" s="146" t="s">
        <v>316</v>
      </c>
      <c r="G188" s="146" t="s">
        <v>441</v>
      </c>
      <c r="H188" s="146" t="s">
        <v>488</v>
      </c>
      <c r="I188" s="146" t="s">
        <v>316</v>
      </c>
      <c r="J188" s="127">
        <v>40737</v>
      </c>
      <c r="K188" s="127">
        <v>41613</v>
      </c>
      <c r="L188" s="137"/>
      <c r="M188" s="155">
        <v>2645</v>
      </c>
      <c r="N188" s="155">
        <v>0</v>
      </c>
      <c r="O188" s="155">
        <v>2520</v>
      </c>
      <c r="P188" s="155">
        <v>0</v>
      </c>
      <c r="Q188" s="138">
        <v>45145</v>
      </c>
      <c r="R188" s="187">
        <v>2021</v>
      </c>
    </row>
    <row r="189" spans="1:18" ht="28.25" hidden="1" customHeight="1" x14ac:dyDescent="0.35">
      <c r="A189" s="182" t="s">
        <v>317</v>
      </c>
      <c r="B189" s="135" t="s">
        <v>51</v>
      </c>
      <c r="C189" s="146" t="s">
        <v>53</v>
      </c>
      <c r="D189" s="146" t="s">
        <v>52</v>
      </c>
      <c r="E189" s="146" t="s">
        <v>41</v>
      </c>
      <c r="F189" s="146" t="s">
        <v>66</v>
      </c>
      <c r="G189" s="146" t="s">
        <v>424</v>
      </c>
      <c r="H189" s="146" t="s">
        <v>52</v>
      </c>
      <c r="I189" s="146" t="s">
        <v>66</v>
      </c>
      <c r="J189" s="127">
        <v>39794</v>
      </c>
      <c r="K189" s="127">
        <v>39794</v>
      </c>
      <c r="L189" s="137"/>
      <c r="M189" s="155">
        <v>10.07</v>
      </c>
      <c r="N189" s="155"/>
      <c r="O189" s="155">
        <v>0</v>
      </c>
      <c r="P189" s="155">
        <v>0</v>
      </c>
      <c r="Q189" s="138">
        <v>48924</v>
      </c>
      <c r="R189" s="187">
        <v>2021</v>
      </c>
    </row>
    <row r="190" spans="1:18" ht="28.25" hidden="1" customHeight="1" x14ac:dyDescent="0.35">
      <c r="A190" s="182" t="s">
        <v>317</v>
      </c>
      <c r="B190" s="135" t="s">
        <v>51</v>
      </c>
      <c r="C190" s="151" t="s">
        <v>489</v>
      </c>
      <c r="D190" s="146" t="s">
        <v>490</v>
      </c>
      <c r="E190" s="146" t="s">
        <v>41</v>
      </c>
      <c r="F190" s="146" t="s">
        <v>66</v>
      </c>
      <c r="G190" s="146" t="s">
        <v>491</v>
      </c>
      <c r="H190" s="146" t="s">
        <v>490</v>
      </c>
      <c r="I190" s="146" t="s">
        <v>66</v>
      </c>
      <c r="J190" s="127"/>
      <c r="K190" s="127"/>
      <c r="L190" s="137"/>
      <c r="M190" s="155">
        <v>3.59</v>
      </c>
      <c r="N190" s="155"/>
      <c r="O190" s="155"/>
      <c r="P190" s="155"/>
      <c r="Q190" s="138"/>
      <c r="R190" s="187">
        <v>2021</v>
      </c>
    </row>
    <row r="191" spans="1:18" ht="28.25" hidden="1" customHeight="1" x14ac:dyDescent="0.35">
      <c r="A191" s="183" t="s">
        <v>492</v>
      </c>
      <c r="B191" s="135" t="s">
        <v>492</v>
      </c>
      <c r="C191" s="149" t="s">
        <v>493</v>
      </c>
      <c r="D191" s="146" t="s">
        <v>494</v>
      </c>
      <c r="E191" s="146" t="s">
        <v>46</v>
      </c>
      <c r="F191" s="146" t="s">
        <v>66</v>
      </c>
      <c r="G191" s="149" t="s">
        <v>451</v>
      </c>
      <c r="H191" s="146" t="s">
        <v>77</v>
      </c>
      <c r="I191" s="149" t="s">
        <v>78</v>
      </c>
      <c r="J191" s="127"/>
      <c r="K191" s="127">
        <v>43448</v>
      </c>
      <c r="L191" s="139"/>
      <c r="M191" s="156">
        <v>0</v>
      </c>
      <c r="N191" s="156"/>
      <c r="O191" s="156"/>
      <c r="P191" s="156"/>
      <c r="Q191" s="138">
        <v>45274</v>
      </c>
      <c r="R191" s="187">
        <v>2021</v>
      </c>
    </row>
    <row r="192" spans="1:18" ht="28.25" hidden="1" customHeight="1" x14ac:dyDescent="0.35">
      <c r="A192" s="183" t="s">
        <v>495</v>
      </c>
      <c r="B192" s="135" t="s">
        <v>495</v>
      </c>
      <c r="C192" s="150" t="s">
        <v>496</v>
      </c>
      <c r="D192" s="149" t="s">
        <v>497</v>
      </c>
      <c r="E192" s="149" t="s">
        <v>322</v>
      </c>
      <c r="F192" s="146" t="s">
        <v>326</v>
      </c>
      <c r="G192" s="149" t="s">
        <v>498</v>
      </c>
      <c r="H192" s="149" t="s">
        <v>497</v>
      </c>
      <c r="I192" s="149" t="s">
        <v>61</v>
      </c>
      <c r="J192" s="127"/>
      <c r="K192" s="127">
        <v>40112</v>
      </c>
      <c r="L192" s="139"/>
      <c r="M192" s="156">
        <v>5.1100000000000003</v>
      </c>
      <c r="N192" s="156">
        <v>5.1100000000000003</v>
      </c>
      <c r="O192" s="156">
        <v>0</v>
      </c>
      <c r="P192" s="156"/>
      <c r="Q192" s="139">
        <v>45195</v>
      </c>
      <c r="R192" s="187">
        <v>2021</v>
      </c>
    </row>
    <row r="193" spans="1:18" ht="28.25" hidden="1" customHeight="1" x14ac:dyDescent="0.35">
      <c r="A193" s="183" t="s">
        <v>495</v>
      </c>
      <c r="B193" s="135" t="s">
        <v>495</v>
      </c>
      <c r="C193" s="150" t="s">
        <v>499</v>
      </c>
      <c r="D193" s="149" t="s">
        <v>335</v>
      </c>
      <c r="E193" s="149" t="s">
        <v>322</v>
      </c>
      <c r="F193" s="149" t="s">
        <v>66</v>
      </c>
      <c r="G193" s="149" t="s">
        <v>451</v>
      </c>
      <c r="H193" s="149" t="s">
        <v>637</v>
      </c>
      <c r="I193" s="149" t="s">
        <v>500</v>
      </c>
      <c r="J193" s="127"/>
      <c r="K193" s="127">
        <v>43349</v>
      </c>
      <c r="L193" s="139"/>
      <c r="M193" s="156">
        <v>0.73</v>
      </c>
      <c r="N193" s="156"/>
      <c r="O193" s="156"/>
      <c r="P193" s="156"/>
      <c r="Q193" s="139">
        <v>44809</v>
      </c>
      <c r="R193" s="187">
        <v>2021</v>
      </c>
    </row>
    <row r="194" spans="1:18" ht="28.25" hidden="1" customHeight="1" x14ac:dyDescent="0.35">
      <c r="A194" s="182" t="s">
        <v>501</v>
      </c>
      <c r="B194" s="135" t="s">
        <v>501</v>
      </c>
      <c r="C194" s="146" t="s">
        <v>502</v>
      </c>
      <c r="D194" s="146" t="s">
        <v>503</v>
      </c>
      <c r="E194" s="146" t="s">
        <v>46</v>
      </c>
      <c r="F194" s="146" t="s">
        <v>66</v>
      </c>
      <c r="G194" s="146" t="s">
        <v>498</v>
      </c>
      <c r="H194" s="146" t="s">
        <v>82</v>
      </c>
      <c r="I194" s="146" t="s">
        <v>83</v>
      </c>
      <c r="J194" s="127"/>
      <c r="K194" s="127"/>
      <c r="L194" s="71"/>
      <c r="M194" s="155">
        <v>0.04</v>
      </c>
      <c r="N194" s="155">
        <v>0</v>
      </c>
      <c r="O194" s="155">
        <v>0</v>
      </c>
      <c r="P194" s="155">
        <v>0</v>
      </c>
      <c r="Q194" s="138">
        <v>401768</v>
      </c>
      <c r="R194" s="187">
        <v>2021</v>
      </c>
    </row>
    <row r="195" spans="1:18" ht="28.25" hidden="1" customHeight="1" x14ac:dyDescent="0.35">
      <c r="A195" s="182" t="s">
        <v>323</v>
      </c>
      <c r="B195" s="135" t="s">
        <v>323</v>
      </c>
      <c r="C195" s="146" t="s">
        <v>324</v>
      </c>
      <c r="D195" s="146" t="s">
        <v>325</v>
      </c>
      <c r="E195" s="146" t="s">
        <v>57</v>
      </c>
      <c r="F195" s="146" t="s">
        <v>326</v>
      </c>
      <c r="G195" s="146" t="s">
        <v>504</v>
      </c>
      <c r="H195" s="146" t="s">
        <v>284</v>
      </c>
      <c r="I195" s="146" t="s">
        <v>61</v>
      </c>
      <c r="J195" s="127">
        <v>40914</v>
      </c>
      <c r="K195" s="127">
        <v>40940</v>
      </c>
      <c r="L195" s="137"/>
      <c r="M195" s="155">
        <v>5</v>
      </c>
      <c r="N195" s="155">
        <v>0.02</v>
      </c>
      <c r="O195" s="155">
        <v>0</v>
      </c>
      <c r="P195" s="155">
        <v>1.87</v>
      </c>
      <c r="Q195" s="138">
        <v>44593</v>
      </c>
      <c r="R195" s="187">
        <v>2021</v>
      </c>
    </row>
    <row r="196" spans="1:18" ht="28.25" hidden="1" customHeight="1" x14ac:dyDescent="0.35">
      <c r="A196" s="183" t="s">
        <v>505</v>
      </c>
      <c r="B196" s="135" t="s">
        <v>505</v>
      </c>
      <c r="C196" s="149" t="s">
        <v>506</v>
      </c>
      <c r="D196" s="149" t="s">
        <v>44</v>
      </c>
      <c r="E196" s="149" t="s">
        <v>46</v>
      </c>
      <c r="F196" s="149" t="s">
        <v>66</v>
      </c>
      <c r="G196" s="149" t="s">
        <v>424</v>
      </c>
      <c r="H196" s="149" t="s">
        <v>44</v>
      </c>
      <c r="I196" s="149" t="s">
        <v>66</v>
      </c>
      <c r="J196" s="127"/>
      <c r="K196" s="127">
        <v>44882</v>
      </c>
      <c r="L196" s="139"/>
      <c r="M196" s="156">
        <v>0.51</v>
      </c>
      <c r="N196" s="156">
        <v>0.34</v>
      </c>
      <c r="O196" s="156"/>
      <c r="P196" s="156"/>
      <c r="Q196" s="139"/>
      <c r="R196" s="187">
        <v>2021</v>
      </c>
    </row>
    <row r="197" spans="1:18" ht="28.25" hidden="1" customHeight="1" x14ac:dyDescent="0.35">
      <c r="A197" s="182" t="s">
        <v>62</v>
      </c>
      <c r="B197" s="135" t="s">
        <v>62</v>
      </c>
      <c r="C197" s="149" t="s">
        <v>507</v>
      </c>
      <c r="D197" s="149" t="s">
        <v>416</v>
      </c>
      <c r="E197" s="149" t="s">
        <v>46</v>
      </c>
      <c r="F197" s="149" t="s">
        <v>66</v>
      </c>
      <c r="G197" s="145" t="s">
        <v>64</v>
      </c>
      <c r="H197" s="149" t="s">
        <v>474</v>
      </c>
      <c r="I197" s="149" t="s">
        <v>66</v>
      </c>
      <c r="J197" s="127"/>
      <c r="K197" s="127">
        <v>43573</v>
      </c>
      <c r="L197" s="139"/>
      <c r="M197" s="156">
        <v>0.11</v>
      </c>
      <c r="N197" s="156"/>
      <c r="O197" s="156"/>
      <c r="P197" s="156"/>
      <c r="Q197" s="139">
        <v>45314</v>
      </c>
      <c r="R197" s="187">
        <v>2021</v>
      </c>
    </row>
    <row r="198" spans="1:18" ht="28.25" hidden="1" customHeight="1" x14ac:dyDescent="0.35">
      <c r="A198" s="182" t="s">
        <v>62</v>
      </c>
      <c r="B198" s="135" t="s">
        <v>62</v>
      </c>
      <c r="C198" s="150" t="s">
        <v>508</v>
      </c>
      <c r="D198" s="149" t="s">
        <v>416</v>
      </c>
      <c r="E198" s="149" t="s">
        <v>46</v>
      </c>
      <c r="F198" s="149" t="s">
        <v>66</v>
      </c>
      <c r="G198" s="145" t="s">
        <v>64</v>
      </c>
      <c r="H198" s="149" t="s">
        <v>474</v>
      </c>
      <c r="I198" s="149" t="s">
        <v>66</v>
      </c>
      <c r="J198" s="127"/>
      <c r="K198" s="127">
        <v>44225</v>
      </c>
      <c r="L198" s="139"/>
      <c r="M198" s="156">
        <v>0.105</v>
      </c>
      <c r="N198" s="156"/>
      <c r="O198" s="156"/>
      <c r="P198" s="156"/>
      <c r="Q198" s="139">
        <v>46050</v>
      </c>
      <c r="R198" s="187">
        <v>2021</v>
      </c>
    </row>
    <row r="199" spans="1:18" ht="28.25" hidden="1" customHeight="1" x14ac:dyDescent="0.35">
      <c r="A199" s="182" t="s">
        <v>62</v>
      </c>
      <c r="B199" s="135" t="s">
        <v>62</v>
      </c>
      <c r="C199" s="149" t="s">
        <v>509</v>
      </c>
      <c r="D199" s="149" t="s">
        <v>416</v>
      </c>
      <c r="E199" s="149" t="s">
        <v>46</v>
      </c>
      <c r="F199" s="149" t="s">
        <v>66</v>
      </c>
      <c r="G199" s="145" t="s">
        <v>64</v>
      </c>
      <c r="H199" s="149" t="s">
        <v>474</v>
      </c>
      <c r="I199" s="149" t="s">
        <v>66</v>
      </c>
      <c r="J199" s="127"/>
      <c r="K199" s="127">
        <v>42881</v>
      </c>
      <c r="L199" s="139"/>
      <c r="M199" s="156">
        <v>0.14000000000000001</v>
      </c>
      <c r="N199" s="156"/>
      <c r="O199" s="156"/>
      <c r="P199" s="156"/>
      <c r="Q199" s="139">
        <v>46629</v>
      </c>
      <c r="R199" s="187">
        <v>2021</v>
      </c>
    </row>
    <row r="200" spans="1:18" ht="28.25" hidden="1" customHeight="1" x14ac:dyDescent="0.35">
      <c r="A200" s="182" t="s">
        <v>62</v>
      </c>
      <c r="B200" s="135" t="s">
        <v>62</v>
      </c>
      <c r="C200" s="149" t="s">
        <v>510</v>
      </c>
      <c r="D200" s="149" t="s">
        <v>44</v>
      </c>
      <c r="E200" s="149" t="s">
        <v>46</v>
      </c>
      <c r="F200" s="149" t="s">
        <v>66</v>
      </c>
      <c r="G200" s="149" t="s">
        <v>424</v>
      </c>
      <c r="H200" s="149" t="s">
        <v>44</v>
      </c>
      <c r="I200" s="149" t="s">
        <v>66</v>
      </c>
      <c r="J200" s="127"/>
      <c r="K200" s="127">
        <v>43448</v>
      </c>
      <c r="L200" s="139"/>
      <c r="M200" s="156">
        <v>0.11</v>
      </c>
      <c r="N200" s="156"/>
      <c r="O200" s="156"/>
      <c r="P200" s="156"/>
      <c r="Q200" s="139">
        <v>45273</v>
      </c>
      <c r="R200" s="187">
        <v>2021</v>
      </c>
    </row>
    <row r="201" spans="1:18" ht="28.25" hidden="1" customHeight="1" x14ac:dyDescent="0.35">
      <c r="A201" s="182" t="s">
        <v>62</v>
      </c>
      <c r="B201" s="135" t="s">
        <v>62</v>
      </c>
      <c r="C201" s="149" t="s">
        <v>511</v>
      </c>
      <c r="D201" s="149" t="s">
        <v>44</v>
      </c>
      <c r="E201" s="149" t="s">
        <v>46</v>
      </c>
      <c r="F201" s="149" t="s">
        <v>66</v>
      </c>
      <c r="G201" s="149" t="s">
        <v>424</v>
      </c>
      <c r="H201" s="149" t="s">
        <v>44</v>
      </c>
      <c r="I201" s="149" t="s">
        <v>66</v>
      </c>
      <c r="J201" s="127"/>
      <c r="K201" s="127">
        <v>38525</v>
      </c>
      <c r="L201" s="139"/>
      <c r="M201" s="156">
        <v>1.29</v>
      </c>
      <c r="N201" s="156"/>
      <c r="O201" s="156"/>
      <c r="P201" s="156"/>
      <c r="Q201" s="71" t="s">
        <v>512</v>
      </c>
      <c r="R201" s="187">
        <v>2021</v>
      </c>
    </row>
    <row r="202" spans="1:18" ht="28.25" hidden="1" customHeight="1" x14ac:dyDescent="0.35">
      <c r="A202" s="182" t="s">
        <v>62</v>
      </c>
      <c r="B202" s="135" t="s">
        <v>62</v>
      </c>
      <c r="C202" s="146" t="s">
        <v>513</v>
      </c>
      <c r="D202" s="146" t="s">
        <v>514</v>
      </c>
      <c r="E202" s="146" t="s">
        <v>46</v>
      </c>
      <c r="F202" s="146" t="s">
        <v>66</v>
      </c>
      <c r="G202" s="146" t="s">
        <v>424</v>
      </c>
      <c r="H202" s="146" t="s">
        <v>44</v>
      </c>
      <c r="I202" s="146" t="s">
        <v>66</v>
      </c>
      <c r="J202" s="127"/>
      <c r="K202" s="127">
        <v>44476</v>
      </c>
      <c r="L202" s="137"/>
      <c r="M202" s="155">
        <v>1.722</v>
      </c>
      <c r="N202" s="155">
        <v>0.35</v>
      </c>
      <c r="O202" s="155">
        <v>0</v>
      </c>
      <c r="P202" s="155">
        <v>0</v>
      </c>
      <c r="Q202" s="138">
        <v>46302</v>
      </c>
      <c r="R202" s="187">
        <v>2021</v>
      </c>
    </row>
    <row r="203" spans="1:18" ht="28.25" hidden="1" customHeight="1" x14ac:dyDescent="0.35">
      <c r="A203" s="182" t="s">
        <v>62</v>
      </c>
      <c r="B203" s="135" t="s">
        <v>62</v>
      </c>
      <c r="C203" s="146" t="s">
        <v>515</v>
      </c>
      <c r="D203" s="146" t="s">
        <v>516</v>
      </c>
      <c r="E203" s="146" t="s">
        <v>46</v>
      </c>
      <c r="F203" s="146" t="s">
        <v>66</v>
      </c>
      <c r="G203" s="145" t="s">
        <v>64</v>
      </c>
      <c r="H203" s="146" t="s">
        <v>484</v>
      </c>
      <c r="I203" s="146" t="s">
        <v>66</v>
      </c>
      <c r="J203" s="127"/>
      <c r="K203" s="127">
        <v>40057</v>
      </c>
      <c r="L203" s="137"/>
      <c r="M203" s="155">
        <v>0.59</v>
      </c>
      <c r="N203" s="155">
        <v>1.29E-2</v>
      </c>
      <c r="O203" s="155">
        <v>0</v>
      </c>
      <c r="P203" s="155">
        <v>0</v>
      </c>
      <c r="Q203" s="138">
        <v>41883</v>
      </c>
      <c r="R203" s="187">
        <v>2021</v>
      </c>
    </row>
    <row r="204" spans="1:18" ht="28.25" hidden="1" customHeight="1" x14ac:dyDescent="0.35">
      <c r="A204" s="182" t="s">
        <v>517</v>
      </c>
      <c r="B204" s="135" t="s">
        <v>517</v>
      </c>
      <c r="C204" s="146" t="s">
        <v>518</v>
      </c>
      <c r="D204" s="146" t="s">
        <v>335</v>
      </c>
      <c r="E204" s="146" t="s">
        <v>46</v>
      </c>
      <c r="F204" s="146" t="s">
        <v>66</v>
      </c>
      <c r="G204" s="146" t="s">
        <v>451</v>
      </c>
      <c r="H204" s="146" t="s">
        <v>77</v>
      </c>
      <c r="I204" s="146" t="s">
        <v>78</v>
      </c>
      <c r="J204" s="127">
        <v>43273</v>
      </c>
      <c r="K204" s="127">
        <v>43273</v>
      </c>
      <c r="L204" s="137"/>
      <c r="M204" s="155">
        <v>0</v>
      </c>
      <c r="N204" s="155">
        <v>0</v>
      </c>
      <c r="O204" s="155">
        <v>0</v>
      </c>
      <c r="P204" s="155">
        <v>0</v>
      </c>
      <c r="Q204" s="138">
        <v>45107</v>
      </c>
      <c r="R204" s="187">
        <v>2021</v>
      </c>
    </row>
    <row r="205" spans="1:18" ht="28.25" hidden="1" customHeight="1" x14ac:dyDescent="0.35">
      <c r="A205" s="182" t="s">
        <v>519</v>
      </c>
      <c r="B205" s="135" t="s">
        <v>336</v>
      </c>
      <c r="C205" s="146" t="s">
        <v>520</v>
      </c>
      <c r="D205" s="146" t="s">
        <v>521</v>
      </c>
      <c r="E205" s="146" t="s">
        <v>255</v>
      </c>
      <c r="F205" s="146" t="s">
        <v>66</v>
      </c>
      <c r="G205" s="146" t="s">
        <v>441</v>
      </c>
      <c r="H205" s="146" t="s">
        <v>78</v>
      </c>
      <c r="I205" s="146" t="s">
        <v>78</v>
      </c>
      <c r="J205" s="127">
        <v>42145</v>
      </c>
      <c r="K205" s="127">
        <v>42179</v>
      </c>
      <c r="L205" s="137"/>
      <c r="M205" s="155">
        <v>636</v>
      </c>
      <c r="N205" s="155">
        <v>0</v>
      </c>
      <c r="O205" s="155">
        <v>0</v>
      </c>
      <c r="P205" s="155">
        <v>0</v>
      </c>
      <c r="Q205" s="138">
        <v>401768</v>
      </c>
      <c r="R205" s="187">
        <v>2021</v>
      </c>
    </row>
    <row r="206" spans="1:18" ht="28.25" hidden="1" customHeight="1" x14ac:dyDescent="0.35">
      <c r="A206" s="182" t="s">
        <v>522</v>
      </c>
      <c r="B206" s="135" t="s">
        <v>67</v>
      </c>
      <c r="C206" s="146" t="s">
        <v>523</v>
      </c>
      <c r="D206" s="146" t="s">
        <v>330</v>
      </c>
      <c r="E206" s="146" t="s">
        <v>41</v>
      </c>
      <c r="F206" s="146" t="s">
        <v>66</v>
      </c>
      <c r="G206" s="146" t="s">
        <v>524</v>
      </c>
      <c r="H206" s="146" t="s">
        <v>77</v>
      </c>
      <c r="I206" s="146" t="s">
        <v>78</v>
      </c>
      <c r="J206" s="127">
        <v>38239</v>
      </c>
      <c r="K206" s="127">
        <v>38249</v>
      </c>
      <c r="L206" s="137"/>
      <c r="M206" s="155">
        <v>445</v>
      </c>
      <c r="N206" s="155">
        <v>2.2000000000000002</v>
      </c>
      <c r="O206" s="155">
        <v>0</v>
      </c>
      <c r="P206" s="155">
        <v>2</v>
      </c>
      <c r="Q206" s="138">
        <v>401768</v>
      </c>
      <c r="R206" s="187">
        <v>2021</v>
      </c>
    </row>
    <row r="207" spans="1:18" ht="28.25" hidden="1" customHeight="1" x14ac:dyDescent="0.35">
      <c r="A207" s="182" t="s">
        <v>73</v>
      </c>
      <c r="B207" s="135" t="s">
        <v>73</v>
      </c>
      <c r="C207" s="146" t="s">
        <v>339</v>
      </c>
      <c r="D207" s="146" t="s">
        <v>340</v>
      </c>
      <c r="E207" s="146" t="s">
        <v>46</v>
      </c>
      <c r="F207" s="146" t="s">
        <v>66</v>
      </c>
      <c r="G207" s="146" t="s">
        <v>442</v>
      </c>
      <c r="H207" s="146" t="s">
        <v>484</v>
      </c>
      <c r="I207" s="146" t="s">
        <v>66</v>
      </c>
      <c r="J207" s="127">
        <v>39267</v>
      </c>
      <c r="K207" s="127">
        <v>39391</v>
      </c>
      <c r="L207" s="137"/>
      <c r="M207" s="155">
        <v>0.04</v>
      </c>
      <c r="N207" s="155">
        <v>0</v>
      </c>
      <c r="O207" s="155">
        <v>5.0000000000000001E-3</v>
      </c>
      <c r="P207" s="155">
        <v>0</v>
      </c>
      <c r="Q207" s="138">
        <v>44714</v>
      </c>
      <c r="R207" s="187">
        <v>2021</v>
      </c>
    </row>
    <row r="208" spans="1:18" ht="28.25" hidden="1" customHeight="1" x14ac:dyDescent="0.35">
      <c r="A208" s="182" t="s">
        <v>525</v>
      </c>
      <c r="B208" s="135" t="s">
        <v>525</v>
      </c>
      <c r="C208" s="146" t="s">
        <v>526</v>
      </c>
      <c r="D208" s="146" t="s">
        <v>527</v>
      </c>
      <c r="E208" s="146" t="s">
        <v>255</v>
      </c>
      <c r="F208" s="146" t="s">
        <v>42</v>
      </c>
      <c r="G208" s="146" t="s">
        <v>441</v>
      </c>
      <c r="H208" s="146" t="s">
        <v>528</v>
      </c>
      <c r="I208" s="146" t="s">
        <v>529</v>
      </c>
      <c r="J208" s="127">
        <v>44099</v>
      </c>
      <c r="K208" s="127">
        <v>44132</v>
      </c>
      <c r="L208" s="137"/>
      <c r="M208" s="155">
        <v>588</v>
      </c>
      <c r="N208" s="155">
        <v>0</v>
      </c>
      <c r="O208" s="155">
        <v>0</v>
      </c>
      <c r="P208" s="155">
        <v>0</v>
      </c>
      <c r="Q208" s="138">
        <v>45592</v>
      </c>
      <c r="R208" s="187">
        <v>2021</v>
      </c>
    </row>
    <row r="209" spans="1:18" ht="28.25" hidden="1" customHeight="1" x14ac:dyDescent="0.35">
      <c r="A209" s="182" t="s">
        <v>341</v>
      </c>
      <c r="B209" s="135" t="s">
        <v>341</v>
      </c>
      <c r="C209" s="146" t="s">
        <v>342</v>
      </c>
      <c r="D209" s="146" t="s">
        <v>530</v>
      </c>
      <c r="E209" s="146" t="s">
        <v>87</v>
      </c>
      <c r="F209" s="146" t="s">
        <v>136</v>
      </c>
      <c r="G209" s="146" t="s">
        <v>431</v>
      </c>
      <c r="H209" s="146" t="s">
        <v>438</v>
      </c>
      <c r="I209" s="146" t="s">
        <v>20</v>
      </c>
      <c r="J209" s="127">
        <v>38215</v>
      </c>
      <c r="K209" s="127">
        <v>43815</v>
      </c>
      <c r="L209" s="137"/>
      <c r="M209" s="155">
        <v>148</v>
      </c>
      <c r="N209" s="155">
        <v>0</v>
      </c>
      <c r="O209" s="155">
        <v>0</v>
      </c>
      <c r="P209" s="155">
        <v>0</v>
      </c>
      <c r="Q209" s="138">
        <v>51120</v>
      </c>
      <c r="R209" s="187">
        <v>2021</v>
      </c>
    </row>
    <row r="210" spans="1:18" ht="28.25" hidden="1" customHeight="1" x14ac:dyDescent="0.35">
      <c r="A210" s="182" t="s">
        <v>344</v>
      </c>
      <c r="B210" s="135" t="s">
        <v>344</v>
      </c>
      <c r="C210" s="146" t="s">
        <v>531</v>
      </c>
      <c r="D210" s="146" t="s">
        <v>532</v>
      </c>
      <c r="E210" s="146" t="s">
        <v>46</v>
      </c>
      <c r="F210" s="146" t="s">
        <v>66</v>
      </c>
      <c r="G210" s="146" t="s">
        <v>424</v>
      </c>
      <c r="H210" s="149" t="s">
        <v>44</v>
      </c>
      <c r="I210" s="146" t="s">
        <v>83</v>
      </c>
      <c r="J210" s="127">
        <v>43019</v>
      </c>
      <c r="K210" s="127">
        <v>42054</v>
      </c>
      <c r="L210" s="137"/>
      <c r="M210" s="155">
        <v>0.2</v>
      </c>
      <c r="N210" s="155">
        <v>0</v>
      </c>
      <c r="O210" s="155">
        <v>0</v>
      </c>
      <c r="P210" s="155">
        <v>0</v>
      </c>
      <c r="Q210" s="138">
        <v>43880</v>
      </c>
      <c r="R210" s="187">
        <v>2021</v>
      </c>
    </row>
    <row r="211" spans="1:18" ht="28.25" hidden="1" customHeight="1" x14ac:dyDescent="0.35">
      <c r="A211" s="182" t="s">
        <v>346</v>
      </c>
      <c r="B211" s="135" t="s">
        <v>75</v>
      </c>
      <c r="C211" s="151" t="s">
        <v>533</v>
      </c>
      <c r="D211" s="146" t="s">
        <v>534</v>
      </c>
      <c r="E211" s="146" t="s">
        <v>41</v>
      </c>
      <c r="F211" s="146" t="s">
        <v>66</v>
      </c>
      <c r="G211" s="146" t="s">
        <v>441</v>
      </c>
      <c r="H211" s="146" t="s">
        <v>535</v>
      </c>
      <c r="I211" s="146" t="s">
        <v>78</v>
      </c>
      <c r="J211" s="127">
        <v>39561</v>
      </c>
      <c r="K211" s="127">
        <v>36452</v>
      </c>
      <c r="L211" s="137"/>
      <c r="M211" s="155">
        <v>18.440999999999999</v>
      </c>
      <c r="N211" s="155">
        <v>0</v>
      </c>
      <c r="O211" s="155">
        <v>0</v>
      </c>
      <c r="P211" s="156"/>
      <c r="Q211" s="138">
        <v>401768</v>
      </c>
      <c r="R211" s="187">
        <v>2021</v>
      </c>
    </row>
    <row r="212" spans="1:18" ht="28.25" hidden="1" customHeight="1" x14ac:dyDescent="0.35">
      <c r="A212" s="182" t="s">
        <v>346</v>
      </c>
      <c r="B212" s="135" t="s">
        <v>75</v>
      </c>
      <c r="C212" s="151" t="s">
        <v>536</v>
      </c>
      <c r="D212" s="146" t="s">
        <v>76</v>
      </c>
      <c r="E212" s="146" t="s">
        <v>41</v>
      </c>
      <c r="F212" s="146" t="s">
        <v>66</v>
      </c>
      <c r="G212" s="146" t="s">
        <v>441</v>
      </c>
      <c r="H212" s="146" t="s">
        <v>77</v>
      </c>
      <c r="I212" s="146" t="s">
        <v>78</v>
      </c>
      <c r="J212" s="127">
        <v>39561</v>
      </c>
      <c r="K212" s="127">
        <v>36452</v>
      </c>
      <c r="L212" s="137"/>
      <c r="M212" s="155">
        <v>173</v>
      </c>
      <c r="N212" s="155">
        <v>7</v>
      </c>
      <c r="O212" s="155">
        <v>0</v>
      </c>
      <c r="P212" s="156"/>
      <c r="Q212" s="138">
        <v>401768</v>
      </c>
      <c r="R212" s="187">
        <v>2021</v>
      </c>
    </row>
    <row r="213" spans="1:18" ht="28.25" hidden="1" customHeight="1" x14ac:dyDescent="0.35">
      <c r="A213" s="182" t="s">
        <v>348</v>
      </c>
      <c r="B213" s="135" t="s">
        <v>348</v>
      </c>
      <c r="C213" s="146" t="s">
        <v>349</v>
      </c>
      <c r="D213" s="146" t="s">
        <v>350</v>
      </c>
      <c r="E213" s="146" t="s">
        <v>255</v>
      </c>
      <c r="F213" s="146" t="s">
        <v>136</v>
      </c>
      <c r="G213" s="146" t="s">
        <v>431</v>
      </c>
      <c r="H213" s="146" t="s">
        <v>166</v>
      </c>
      <c r="I213" s="146" t="s">
        <v>20</v>
      </c>
      <c r="J213" s="127">
        <v>40128</v>
      </c>
      <c r="K213" s="127">
        <v>40128</v>
      </c>
      <c r="L213" s="137"/>
      <c r="M213" s="155">
        <v>103</v>
      </c>
      <c r="N213" s="155">
        <v>0</v>
      </c>
      <c r="O213" s="155">
        <v>45</v>
      </c>
      <c r="P213" s="155">
        <v>0</v>
      </c>
      <c r="Q213" s="138">
        <v>44144</v>
      </c>
      <c r="R213" s="187">
        <v>2021</v>
      </c>
    </row>
    <row r="214" spans="1:18" ht="28.25" hidden="1" customHeight="1" x14ac:dyDescent="0.35">
      <c r="A214" s="182" t="s">
        <v>537</v>
      </c>
      <c r="B214" s="135" t="s">
        <v>351</v>
      </c>
      <c r="C214" s="146" t="s">
        <v>538</v>
      </c>
      <c r="D214" s="146" t="s">
        <v>353</v>
      </c>
      <c r="E214" s="146" t="s">
        <v>255</v>
      </c>
      <c r="F214" s="146" t="s">
        <v>29</v>
      </c>
      <c r="G214" s="146" t="s">
        <v>441</v>
      </c>
      <c r="H214" s="146" t="s">
        <v>539</v>
      </c>
      <c r="I214" s="146" t="s">
        <v>29</v>
      </c>
      <c r="J214" s="127">
        <v>42147</v>
      </c>
      <c r="K214" s="127">
        <v>42233</v>
      </c>
      <c r="L214" s="137"/>
      <c r="M214" s="153">
        <v>3029.76</v>
      </c>
      <c r="N214" s="155">
        <v>0</v>
      </c>
      <c r="O214" s="155">
        <v>757</v>
      </c>
      <c r="P214" s="155">
        <v>0</v>
      </c>
      <c r="Q214" s="138">
        <v>44424</v>
      </c>
      <c r="R214" s="187">
        <v>2021</v>
      </c>
    </row>
    <row r="215" spans="1:18" ht="28.25" hidden="1" customHeight="1" x14ac:dyDescent="0.35">
      <c r="A215" s="182" t="s">
        <v>354</v>
      </c>
      <c r="B215" s="135" t="s">
        <v>354</v>
      </c>
      <c r="C215" s="146" t="s">
        <v>355</v>
      </c>
      <c r="D215" s="146" t="s">
        <v>356</v>
      </c>
      <c r="E215" s="146" t="s">
        <v>46</v>
      </c>
      <c r="F215" s="146" t="s">
        <v>66</v>
      </c>
      <c r="G215" s="146" t="s">
        <v>442</v>
      </c>
      <c r="H215" s="146" t="s">
        <v>484</v>
      </c>
      <c r="I215" s="146" t="s">
        <v>66</v>
      </c>
      <c r="J215" s="127">
        <v>43742</v>
      </c>
      <c r="K215" s="127">
        <v>43797</v>
      </c>
      <c r="L215" s="137"/>
      <c r="M215" s="155">
        <v>0.06</v>
      </c>
      <c r="N215" s="155">
        <v>6.3399999999999998E-2</v>
      </c>
      <c r="O215" s="155">
        <v>0</v>
      </c>
      <c r="P215" s="155">
        <v>0</v>
      </c>
      <c r="Q215" s="138">
        <v>401768</v>
      </c>
      <c r="R215" s="187">
        <v>2021</v>
      </c>
    </row>
    <row r="216" spans="1:18" ht="28.25" hidden="1" customHeight="1" x14ac:dyDescent="0.35">
      <c r="A216" s="182" t="s">
        <v>540</v>
      </c>
      <c r="B216" s="135" t="s">
        <v>357</v>
      </c>
      <c r="C216" s="146" t="s">
        <v>541</v>
      </c>
      <c r="D216" s="146" t="s">
        <v>542</v>
      </c>
      <c r="E216" s="146" t="s">
        <v>46</v>
      </c>
      <c r="F216" s="146" t="s">
        <v>66</v>
      </c>
      <c r="G216" s="146" t="s">
        <v>424</v>
      </c>
      <c r="H216" s="146" t="s">
        <v>543</v>
      </c>
      <c r="I216" s="146" t="s">
        <v>78</v>
      </c>
      <c r="J216" s="127"/>
      <c r="K216" s="127">
        <v>44348</v>
      </c>
      <c r="L216" s="137"/>
      <c r="M216" s="155">
        <v>1.74</v>
      </c>
      <c r="N216" s="155">
        <v>0</v>
      </c>
      <c r="O216" s="155">
        <v>0</v>
      </c>
      <c r="P216" s="155">
        <v>0</v>
      </c>
      <c r="Q216" s="138">
        <v>45808</v>
      </c>
      <c r="R216" s="187">
        <v>2021</v>
      </c>
    </row>
    <row r="217" spans="1:18" ht="28.25" hidden="1" customHeight="1" x14ac:dyDescent="0.35">
      <c r="A217" s="182" t="s">
        <v>360</v>
      </c>
      <c r="B217" s="135" t="s">
        <v>84</v>
      </c>
      <c r="C217" s="146" t="s">
        <v>361</v>
      </c>
      <c r="D217" s="146" t="s">
        <v>362</v>
      </c>
      <c r="E217" s="146" t="s">
        <v>87</v>
      </c>
      <c r="F217" s="146" t="s">
        <v>136</v>
      </c>
      <c r="G217" s="146" t="s">
        <v>431</v>
      </c>
      <c r="H217" s="146" t="s">
        <v>544</v>
      </c>
      <c r="I217" s="146" t="s">
        <v>20</v>
      </c>
      <c r="J217" s="127">
        <v>42702</v>
      </c>
      <c r="K217" s="127">
        <v>43382</v>
      </c>
      <c r="L217" s="137"/>
      <c r="M217" s="155">
        <v>121.83</v>
      </c>
      <c r="N217" s="155">
        <v>0</v>
      </c>
      <c r="O217" s="155">
        <v>102</v>
      </c>
      <c r="P217" s="155">
        <v>0</v>
      </c>
      <c r="Q217" s="138">
        <v>401768</v>
      </c>
      <c r="R217" s="187">
        <v>2021</v>
      </c>
    </row>
    <row r="218" spans="1:18" ht="28.25" hidden="1" customHeight="1" x14ac:dyDescent="0.35">
      <c r="A218" s="182" t="s">
        <v>363</v>
      </c>
      <c r="B218" s="135" t="s">
        <v>363</v>
      </c>
      <c r="C218" s="146" t="s">
        <v>545</v>
      </c>
      <c r="D218" s="146" t="s">
        <v>546</v>
      </c>
      <c r="E218" s="146" t="s">
        <v>255</v>
      </c>
      <c r="F218" s="146" t="s">
        <v>136</v>
      </c>
      <c r="G218" s="146" t="s">
        <v>431</v>
      </c>
      <c r="H218" s="146" t="s">
        <v>94</v>
      </c>
      <c r="I218" s="146" t="s">
        <v>20</v>
      </c>
      <c r="J218" s="127"/>
      <c r="K218" s="127">
        <v>43886</v>
      </c>
      <c r="L218" s="137"/>
      <c r="M218" s="155">
        <v>286</v>
      </c>
      <c r="N218" s="155">
        <v>0</v>
      </c>
      <c r="O218" s="155">
        <v>0</v>
      </c>
      <c r="P218" s="155">
        <v>0</v>
      </c>
      <c r="Q218" s="138">
        <v>401768</v>
      </c>
      <c r="R218" s="187">
        <v>2021</v>
      </c>
    </row>
    <row r="219" spans="1:18" ht="28.25" hidden="1" customHeight="1" x14ac:dyDescent="0.35">
      <c r="A219" s="182" t="s">
        <v>547</v>
      </c>
      <c r="B219" s="135" t="s">
        <v>547</v>
      </c>
      <c r="C219" s="146" t="s">
        <v>548</v>
      </c>
      <c r="D219" s="146" t="s">
        <v>367</v>
      </c>
      <c r="E219" s="146" t="s">
        <v>255</v>
      </c>
      <c r="F219" s="146" t="s">
        <v>136</v>
      </c>
      <c r="G219" s="146" t="s">
        <v>431</v>
      </c>
      <c r="H219" s="146" t="s">
        <v>20</v>
      </c>
      <c r="I219" s="146" t="s">
        <v>20</v>
      </c>
      <c r="J219" s="127">
        <v>43413</v>
      </c>
      <c r="K219" s="127">
        <v>43501</v>
      </c>
      <c r="L219" s="137"/>
      <c r="M219" s="155">
        <v>110</v>
      </c>
      <c r="N219" s="155">
        <v>0</v>
      </c>
      <c r="O219" s="155">
        <v>0</v>
      </c>
      <c r="P219" s="155">
        <v>0</v>
      </c>
      <c r="Q219" s="138">
        <v>44962</v>
      </c>
      <c r="R219" s="187">
        <v>2021</v>
      </c>
    </row>
    <row r="220" spans="1:18" ht="28.25" hidden="1" customHeight="1" x14ac:dyDescent="0.35">
      <c r="A220" s="182" t="s">
        <v>547</v>
      </c>
      <c r="B220" s="135" t="s">
        <v>547</v>
      </c>
      <c r="C220" s="146" t="s">
        <v>549</v>
      </c>
      <c r="D220" s="146" t="s">
        <v>369</v>
      </c>
      <c r="E220" s="146" t="s">
        <v>255</v>
      </c>
      <c r="F220" s="146" t="s">
        <v>136</v>
      </c>
      <c r="G220" s="146" t="s">
        <v>550</v>
      </c>
      <c r="H220" s="146" t="s">
        <v>20</v>
      </c>
      <c r="I220" s="146" t="s">
        <v>20</v>
      </c>
      <c r="J220" s="127">
        <v>43196</v>
      </c>
      <c r="K220" s="127">
        <v>43229</v>
      </c>
      <c r="L220" s="137"/>
      <c r="M220" s="155">
        <v>368</v>
      </c>
      <c r="N220" s="155">
        <v>0</v>
      </c>
      <c r="O220" s="155">
        <v>0</v>
      </c>
      <c r="P220" s="155">
        <v>0</v>
      </c>
      <c r="Q220" s="138">
        <v>44690</v>
      </c>
      <c r="R220" s="187">
        <v>2021</v>
      </c>
    </row>
    <row r="221" spans="1:18" ht="28.25" hidden="1" customHeight="1" x14ac:dyDescent="0.35">
      <c r="A221" s="182" t="s">
        <v>551</v>
      </c>
      <c r="B221" s="135" t="s">
        <v>551</v>
      </c>
      <c r="C221" s="146" t="s">
        <v>552</v>
      </c>
      <c r="D221" s="146" t="s">
        <v>372</v>
      </c>
      <c r="E221" s="146" t="s">
        <v>255</v>
      </c>
      <c r="F221" s="146" t="s">
        <v>136</v>
      </c>
      <c r="G221" s="146" t="s">
        <v>431</v>
      </c>
      <c r="H221" s="146" t="s">
        <v>166</v>
      </c>
      <c r="I221" s="146" t="s">
        <v>20</v>
      </c>
      <c r="J221" s="127">
        <v>41470</v>
      </c>
      <c r="K221" s="127">
        <v>44012</v>
      </c>
      <c r="L221" s="137"/>
      <c r="M221" s="153">
        <v>57</v>
      </c>
      <c r="N221" s="155">
        <v>0</v>
      </c>
      <c r="O221" s="155">
        <v>14</v>
      </c>
      <c r="P221" s="155">
        <v>0</v>
      </c>
      <c r="Q221" s="138">
        <v>45472</v>
      </c>
      <c r="R221" s="187">
        <v>2021</v>
      </c>
    </row>
    <row r="222" spans="1:18" ht="28.25" hidden="1" customHeight="1" x14ac:dyDescent="0.35">
      <c r="A222" s="182" t="s">
        <v>373</v>
      </c>
      <c r="B222" s="135" t="s">
        <v>373</v>
      </c>
      <c r="C222" s="146" t="s">
        <v>91</v>
      </c>
      <c r="D222" s="146" t="s">
        <v>90</v>
      </c>
      <c r="E222" s="146" t="s">
        <v>41</v>
      </c>
      <c r="F222" s="146" t="s">
        <v>136</v>
      </c>
      <c r="G222" s="146" t="s">
        <v>431</v>
      </c>
      <c r="H222" s="146" t="s">
        <v>92</v>
      </c>
      <c r="I222" s="146" t="s">
        <v>136</v>
      </c>
      <c r="J222" s="127">
        <v>38980</v>
      </c>
      <c r="K222" s="127">
        <v>42565</v>
      </c>
      <c r="L222" s="137"/>
      <c r="M222" s="155">
        <v>87.5</v>
      </c>
      <c r="N222" s="155">
        <v>87.5</v>
      </c>
      <c r="O222" s="156"/>
      <c r="P222" s="156"/>
      <c r="Q222" s="138">
        <v>48043</v>
      </c>
      <c r="R222" s="187">
        <v>2021</v>
      </c>
    </row>
    <row r="223" spans="1:18" ht="28.25" hidden="1" customHeight="1" x14ac:dyDescent="0.35">
      <c r="A223" s="182" t="s">
        <v>374</v>
      </c>
      <c r="B223" s="135" t="s">
        <v>374</v>
      </c>
      <c r="C223" s="146" t="s">
        <v>553</v>
      </c>
      <c r="D223" s="146" t="s">
        <v>52</v>
      </c>
      <c r="E223" s="146" t="s">
        <v>41</v>
      </c>
      <c r="F223" s="146" t="s">
        <v>66</v>
      </c>
      <c r="G223" s="146" t="s">
        <v>554</v>
      </c>
      <c r="H223" s="146" t="s">
        <v>52</v>
      </c>
      <c r="I223" s="146" t="s">
        <v>66</v>
      </c>
      <c r="J223" s="127"/>
      <c r="K223" s="127">
        <v>35296</v>
      </c>
      <c r="L223" s="137"/>
      <c r="M223" s="155">
        <v>0.36</v>
      </c>
      <c r="N223" s="155">
        <v>0</v>
      </c>
      <c r="O223" s="155">
        <v>0</v>
      </c>
      <c r="P223" s="155">
        <v>0</v>
      </c>
      <c r="Q223" s="138">
        <v>401768</v>
      </c>
      <c r="R223" s="187">
        <v>2021</v>
      </c>
    </row>
    <row r="224" spans="1:18" ht="28.25" hidden="1" customHeight="1" x14ac:dyDescent="0.35">
      <c r="A224" s="182" t="s">
        <v>374</v>
      </c>
      <c r="B224" s="135" t="s">
        <v>374</v>
      </c>
      <c r="C224" s="146" t="s">
        <v>555</v>
      </c>
      <c r="D224" s="146" t="s">
        <v>102</v>
      </c>
      <c r="E224" s="146" t="s">
        <v>41</v>
      </c>
      <c r="F224" s="146" t="s">
        <v>66</v>
      </c>
      <c r="G224" s="146" t="s">
        <v>554</v>
      </c>
      <c r="H224" s="146" t="s">
        <v>556</v>
      </c>
      <c r="I224" s="146" t="s">
        <v>83</v>
      </c>
      <c r="J224" s="127"/>
      <c r="K224" s="127">
        <v>35242</v>
      </c>
      <c r="L224" s="137"/>
      <c r="M224" s="155">
        <v>0.45</v>
      </c>
      <c r="N224" s="155">
        <v>0</v>
      </c>
      <c r="O224" s="155">
        <v>0</v>
      </c>
      <c r="P224" s="155">
        <v>0</v>
      </c>
      <c r="Q224" s="138">
        <v>401768</v>
      </c>
      <c r="R224" s="187">
        <v>2021</v>
      </c>
    </row>
    <row r="225" spans="1:18" ht="28.25" hidden="1" customHeight="1" x14ac:dyDescent="0.35">
      <c r="A225" s="182" t="s">
        <v>374</v>
      </c>
      <c r="B225" s="135" t="s">
        <v>374</v>
      </c>
      <c r="C225" s="146" t="s">
        <v>557</v>
      </c>
      <c r="D225" s="146" t="s">
        <v>375</v>
      </c>
      <c r="E225" s="146" t="s">
        <v>41</v>
      </c>
      <c r="F225" s="146" t="s">
        <v>66</v>
      </c>
      <c r="G225" s="146" t="s">
        <v>554</v>
      </c>
      <c r="H225" s="146" t="s">
        <v>556</v>
      </c>
      <c r="I225" s="146" t="s">
        <v>83</v>
      </c>
      <c r="J225" s="127"/>
      <c r="K225" s="127">
        <v>28864</v>
      </c>
      <c r="L225" s="137"/>
      <c r="M225" s="155">
        <v>1.45</v>
      </c>
      <c r="N225" s="155">
        <v>0.01</v>
      </c>
      <c r="O225" s="155">
        <v>0</v>
      </c>
      <c r="P225" s="155">
        <v>0.1</v>
      </c>
      <c r="Q225" s="138">
        <v>56257</v>
      </c>
      <c r="R225" s="187">
        <v>2021</v>
      </c>
    </row>
    <row r="226" spans="1:18" ht="28.25" hidden="1" customHeight="1" x14ac:dyDescent="0.35">
      <c r="A226" s="183" t="s">
        <v>558</v>
      </c>
      <c r="B226" s="135" t="s">
        <v>558</v>
      </c>
      <c r="C226" s="149" t="s">
        <v>559</v>
      </c>
      <c r="D226" s="149" t="s">
        <v>44</v>
      </c>
      <c r="E226" s="149" t="s">
        <v>46</v>
      </c>
      <c r="F226" s="149" t="s">
        <v>66</v>
      </c>
      <c r="G226" s="149" t="s">
        <v>424</v>
      </c>
      <c r="H226" s="149" t="s">
        <v>44</v>
      </c>
      <c r="I226" s="149" t="s">
        <v>66</v>
      </c>
      <c r="J226" s="127"/>
      <c r="K226" s="127">
        <v>43474</v>
      </c>
      <c r="L226" s="139"/>
      <c r="M226" s="156">
        <v>0.42</v>
      </c>
      <c r="N226" s="156">
        <v>0.42</v>
      </c>
      <c r="O226" s="156"/>
      <c r="P226" s="156"/>
      <c r="Q226" s="139">
        <v>45299</v>
      </c>
      <c r="R226" s="187">
        <v>2021</v>
      </c>
    </row>
    <row r="227" spans="1:18" ht="28.25" customHeight="1" x14ac:dyDescent="0.35">
      <c r="A227" s="182" t="s">
        <v>376</v>
      </c>
      <c r="B227" s="135" t="s">
        <v>93</v>
      </c>
      <c r="C227" s="146" t="s">
        <v>95</v>
      </c>
      <c r="D227" s="146" t="s">
        <v>94</v>
      </c>
      <c r="E227" s="146" t="s">
        <v>41</v>
      </c>
      <c r="F227" s="146" t="s">
        <v>136</v>
      </c>
      <c r="G227" s="146" t="s">
        <v>431</v>
      </c>
      <c r="H227" s="146" t="s">
        <v>94</v>
      </c>
      <c r="I227" s="146" t="s">
        <v>20</v>
      </c>
      <c r="J227" s="127">
        <v>42101</v>
      </c>
      <c r="K227" s="127">
        <v>42214</v>
      </c>
      <c r="L227" s="137"/>
      <c r="M227" s="155">
        <v>291.8</v>
      </c>
      <c r="N227" s="155">
        <v>291.8</v>
      </c>
      <c r="O227" s="156"/>
      <c r="P227" s="155">
        <v>0.69</v>
      </c>
      <c r="Q227" s="138">
        <v>51345</v>
      </c>
      <c r="R227" s="187">
        <v>2021</v>
      </c>
    </row>
    <row r="228" spans="1:18" ht="28.25" hidden="1" customHeight="1" x14ac:dyDescent="0.35">
      <c r="A228" s="182" t="s">
        <v>377</v>
      </c>
      <c r="B228" s="135" t="s">
        <v>96</v>
      </c>
      <c r="C228" s="146" t="s">
        <v>560</v>
      </c>
      <c r="D228" s="146" t="s">
        <v>97</v>
      </c>
      <c r="E228" s="146" t="s">
        <v>255</v>
      </c>
      <c r="F228" s="146" t="s">
        <v>136</v>
      </c>
      <c r="G228" s="146" t="s">
        <v>431</v>
      </c>
      <c r="H228" s="146" t="s">
        <v>94</v>
      </c>
      <c r="I228" s="146" t="s">
        <v>20</v>
      </c>
      <c r="J228" s="127">
        <v>43161</v>
      </c>
      <c r="K228" s="127">
        <v>43210</v>
      </c>
      <c r="L228" s="137"/>
      <c r="M228" s="155">
        <v>337.3</v>
      </c>
      <c r="N228" s="155">
        <v>0</v>
      </c>
      <c r="O228" s="155">
        <v>0</v>
      </c>
      <c r="P228" s="155">
        <v>0</v>
      </c>
      <c r="Q228" s="138">
        <v>44670</v>
      </c>
      <c r="R228" s="187">
        <v>2021</v>
      </c>
    </row>
    <row r="229" spans="1:18" ht="28.25" hidden="1" customHeight="1" x14ac:dyDescent="0.35">
      <c r="A229" s="182" t="s">
        <v>382</v>
      </c>
      <c r="B229" s="135" t="s">
        <v>101</v>
      </c>
      <c r="C229" s="146" t="s">
        <v>103</v>
      </c>
      <c r="D229" s="146" t="s">
        <v>102</v>
      </c>
      <c r="E229" s="146" t="s">
        <v>41</v>
      </c>
      <c r="F229" s="146" t="s">
        <v>66</v>
      </c>
      <c r="G229" s="146" t="s">
        <v>554</v>
      </c>
      <c r="H229" s="146" t="s">
        <v>561</v>
      </c>
      <c r="I229" s="146" t="s">
        <v>83</v>
      </c>
      <c r="J229" s="127">
        <v>35941</v>
      </c>
      <c r="K229" s="127">
        <v>36574</v>
      </c>
      <c r="L229" s="137"/>
      <c r="M229" s="155">
        <v>2.1800000000000002</v>
      </c>
      <c r="N229" s="155">
        <v>0.19800000000000001</v>
      </c>
      <c r="O229" s="155">
        <v>2.16</v>
      </c>
      <c r="P229" s="155">
        <v>9.8000000000000004E-2</v>
      </c>
      <c r="Q229" s="138">
        <v>401768</v>
      </c>
      <c r="R229" s="187">
        <v>2021</v>
      </c>
    </row>
    <row r="230" spans="1:18" ht="28.25" hidden="1" customHeight="1" x14ac:dyDescent="0.35">
      <c r="A230" s="182" t="s">
        <v>384</v>
      </c>
      <c r="B230" s="135" t="s">
        <v>384</v>
      </c>
      <c r="C230" s="146" t="s">
        <v>562</v>
      </c>
      <c r="D230" s="146" t="s">
        <v>563</v>
      </c>
      <c r="E230" s="146" t="s">
        <v>46</v>
      </c>
      <c r="F230" s="146" t="s">
        <v>66</v>
      </c>
      <c r="G230" s="146" t="s">
        <v>451</v>
      </c>
      <c r="H230" s="146" t="s">
        <v>452</v>
      </c>
      <c r="I230" s="146" t="s">
        <v>78</v>
      </c>
      <c r="J230" s="127"/>
      <c r="K230" s="127">
        <v>42635</v>
      </c>
      <c r="L230" s="137"/>
      <c r="M230" s="155">
        <v>0</v>
      </c>
      <c r="N230" s="155">
        <v>0</v>
      </c>
      <c r="O230" s="155">
        <v>0</v>
      </c>
      <c r="P230" s="155">
        <v>0</v>
      </c>
      <c r="Q230" s="138">
        <v>45191</v>
      </c>
      <c r="R230" s="187">
        <v>2021</v>
      </c>
    </row>
    <row r="231" spans="1:18" ht="28.25" hidden="1" customHeight="1" x14ac:dyDescent="0.35">
      <c r="A231" s="182" t="s">
        <v>106</v>
      </c>
      <c r="B231" s="135" t="s">
        <v>106</v>
      </c>
      <c r="C231" s="146" t="s">
        <v>564</v>
      </c>
      <c r="D231" s="146" t="s">
        <v>107</v>
      </c>
      <c r="E231" s="146" t="s">
        <v>57</v>
      </c>
      <c r="F231" s="146" t="s">
        <v>66</v>
      </c>
      <c r="G231" s="146" t="s">
        <v>441</v>
      </c>
      <c r="H231" s="146" t="s">
        <v>565</v>
      </c>
      <c r="I231" s="146" t="s">
        <v>78</v>
      </c>
      <c r="J231" s="127">
        <v>40126</v>
      </c>
      <c r="K231" s="127">
        <v>40126</v>
      </c>
      <c r="L231" s="137"/>
      <c r="M231" s="153">
        <v>5</v>
      </c>
      <c r="N231" s="155">
        <v>0</v>
      </c>
      <c r="O231" s="153">
        <v>0</v>
      </c>
      <c r="P231" s="155">
        <v>0</v>
      </c>
      <c r="Q231" s="138">
        <v>401768</v>
      </c>
      <c r="R231" s="187">
        <v>2021</v>
      </c>
    </row>
    <row r="232" spans="1:18" ht="28.25" hidden="1" customHeight="1" x14ac:dyDescent="0.35">
      <c r="A232" s="182" t="s">
        <v>388</v>
      </c>
      <c r="B232" s="135" t="s">
        <v>388</v>
      </c>
      <c r="C232" s="146" t="s">
        <v>389</v>
      </c>
      <c r="D232" s="146" t="s">
        <v>390</v>
      </c>
      <c r="E232" s="146" t="s">
        <v>255</v>
      </c>
      <c r="F232" s="146" t="s">
        <v>42</v>
      </c>
      <c r="G232" s="146" t="s">
        <v>441</v>
      </c>
      <c r="H232" s="146" t="s">
        <v>566</v>
      </c>
      <c r="I232" s="146" t="s">
        <v>42</v>
      </c>
      <c r="J232" s="127">
        <v>42368</v>
      </c>
      <c r="K232" s="127">
        <v>42429</v>
      </c>
      <c r="L232" s="137"/>
      <c r="M232" s="155">
        <v>872</v>
      </c>
      <c r="N232" s="155">
        <v>0</v>
      </c>
      <c r="O232" s="155">
        <v>381</v>
      </c>
      <c r="P232" s="155">
        <v>0</v>
      </c>
      <c r="Q232" s="138">
        <v>44619</v>
      </c>
      <c r="R232" s="187">
        <v>2021</v>
      </c>
    </row>
    <row r="233" spans="1:18" ht="28.25" hidden="1" customHeight="1" x14ac:dyDescent="0.35">
      <c r="A233" s="182" t="s">
        <v>567</v>
      </c>
      <c r="B233" s="135" t="s">
        <v>567</v>
      </c>
      <c r="C233" s="146" t="s">
        <v>394</v>
      </c>
      <c r="D233" s="146" t="s">
        <v>568</v>
      </c>
      <c r="E233" s="146" t="s">
        <v>46</v>
      </c>
      <c r="F233" s="146" t="s">
        <v>66</v>
      </c>
      <c r="G233" s="146" t="s">
        <v>451</v>
      </c>
      <c r="H233" s="146" t="s">
        <v>452</v>
      </c>
      <c r="I233" s="146" t="s">
        <v>78</v>
      </c>
      <c r="J233" s="127"/>
      <c r="K233" s="127">
        <v>43196</v>
      </c>
      <c r="L233" s="137"/>
      <c r="M233" s="155">
        <v>0</v>
      </c>
      <c r="N233" s="155">
        <v>0</v>
      </c>
      <c r="O233" s="155">
        <v>0</v>
      </c>
      <c r="P233" s="155">
        <v>0</v>
      </c>
      <c r="Q233" s="138">
        <v>401768</v>
      </c>
      <c r="R233" s="187">
        <v>2021</v>
      </c>
    </row>
    <row r="234" spans="1:18" ht="28.25" hidden="1" customHeight="1" x14ac:dyDescent="0.35">
      <c r="A234" s="182" t="s">
        <v>569</v>
      </c>
      <c r="B234" s="135" t="s">
        <v>569</v>
      </c>
      <c r="C234" s="146" t="s">
        <v>398</v>
      </c>
      <c r="D234" s="146" t="s">
        <v>399</v>
      </c>
      <c r="E234" s="146" t="s">
        <v>41</v>
      </c>
      <c r="F234" s="146" t="s">
        <v>29</v>
      </c>
      <c r="G234" s="146" t="s">
        <v>441</v>
      </c>
      <c r="H234" s="146" t="s">
        <v>119</v>
      </c>
      <c r="I234" s="146" t="s">
        <v>165</v>
      </c>
      <c r="J234" s="127">
        <v>39722</v>
      </c>
      <c r="K234" s="127">
        <v>40702</v>
      </c>
      <c r="L234" s="137"/>
      <c r="M234" s="155">
        <v>661</v>
      </c>
      <c r="N234" s="155">
        <v>10</v>
      </c>
      <c r="O234" s="155">
        <v>0</v>
      </c>
      <c r="P234" s="155">
        <v>0</v>
      </c>
      <c r="Q234" s="71"/>
      <c r="R234" s="187">
        <v>2021</v>
      </c>
    </row>
    <row r="235" spans="1:18" ht="28.25" hidden="1" customHeight="1" x14ac:dyDescent="0.35">
      <c r="A235" s="182" t="s">
        <v>391</v>
      </c>
      <c r="B235" s="135" t="s">
        <v>391</v>
      </c>
      <c r="C235" s="146" t="s">
        <v>570</v>
      </c>
      <c r="D235" s="146" t="s">
        <v>571</v>
      </c>
      <c r="E235" s="146" t="s">
        <v>255</v>
      </c>
      <c r="F235" s="146" t="s">
        <v>136</v>
      </c>
      <c r="G235" s="146" t="s">
        <v>431</v>
      </c>
      <c r="H235" s="146" t="s">
        <v>482</v>
      </c>
      <c r="I235" s="146" t="s">
        <v>20</v>
      </c>
      <c r="J235" s="127">
        <v>42955</v>
      </c>
      <c r="K235" s="127">
        <v>42969</v>
      </c>
      <c r="L235" s="137"/>
      <c r="M235" s="155">
        <v>113.2</v>
      </c>
      <c r="N235" s="155">
        <v>0</v>
      </c>
      <c r="O235" s="155">
        <v>28.3</v>
      </c>
      <c r="P235" s="155">
        <v>0</v>
      </c>
      <c r="Q235" s="138">
        <v>44430</v>
      </c>
      <c r="R235" s="187">
        <v>2021</v>
      </c>
    </row>
    <row r="236" spans="1:18" ht="28.25" hidden="1" customHeight="1" x14ac:dyDescent="0.35">
      <c r="A236" s="182" t="s">
        <v>572</v>
      </c>
      <c r="B236" s="135" t="s">
        <v>572</v>
      </c>
      <c r="C236" s="135" t="s">
        <v>403</v>
      </c>
      <c r="D236" s="135" t="s">
        <v>111</v>
      </c>
      <c r="E236" s="135" t="s">
        <v>41</v>
      </c>
      <c r="F236" s="135" t="s">
        <v>66</v>
      </c>
      <c r="G236" s="146" t="s">
        <v>554</v>
      </c>
      <c r="H236" s="146" t="s">
        <v>52</v>
      </c>
      <c r="I236" s="146" t="s">
        <v>66</v>
      </c>
      <c r="J236" s="127">
        <v>35943</v>
      </c>
      <c r="K236" s="127">
        <v>35807</v>
      </c>
      <c r="L236" s="132"/>
      <c r="M236" s="153">
        <v>13.48</v>
      </c>
      <c r="N236" s="153">
        <v>0.4</v>
      </c>
      <c r="O236" s="153">
        <v>0</v>
      </c>
      <c r="P236" s="153">
        <v>0.2</v>
      </c>
      <c r="Q236" s="131">
        <v>44937</v>
      </c>
      <c r="R236" s="187">
        <v>2021</v>
      </c>
    </row>
    <row r="237" spans="1:18" ht="28.25" hidden="1" customHeight="1" x14ac:dyDescent="0.35">
      <c r="A237" s="182" t="s">
        <v>572</v>
      </c>
      <c r="B237" s="135" t="s">
        <v>572</v>
      </c>
      <c r="C237" s="135" t="s">
        <v>407</v>
      </c>
      <c r="D237" s="135" t="s">
        <v>102</v>
      </c>
      <c r="E237" s="135" t="s">
        <v>41</v>
      </c>
      <c r="F237" s="135" t="s">
        <v>66</v>
      </c>
      <c r="G237" s="146" t="s">
        <v>554</v>
      </c>
      <c r="H237" s="146" t="s">
        <v>52</v>
      </c>
      <c r="I237" s="146" t="s">
        <v>66</v>
      </c>
      <c r="J237" s="127">
        <v>35943</v>
      </c>
      <c r="K237" s="127">
        <v>31156</v>
      </c>
      <c r="L237" s="132"/>
      <c r="M237" s="153">
        <v>1.18</v>
      </c>
      <c r="N237" s="153">
        <v>0.4</v>
      </c>
      <c r="O237" s="153">
        <v>0</v>
      </c>
      <c r="P237" s="153"/>
      <c r="Q237" s="131">
        <v>44937</v>
      </c>
      <c r="R237" s="187">
        <v>2021</v>
      </c>
    </row>
    <row r="238" spans="1:18" ht="28.25" hidden="1" customHeight="1" x14ac:dyDescent="0.35">
      <c r="A238" s="182" t="s">
        <v>572</v>
      </c>
      <c r="B238" s="135" t="s">
        <v>572</v>
      </c>
      <c r="C238" s="135" t="s">
        <v>573</v>
      </c>
      <c r="D238" s="135" t="s">
        <v>408</v>
      </c>
      <c r="E238" s="135" t="s">
        <v>41</v>
      </c>
      <c r="F238" s="135" t="s">
        <v>66</v>
      </c>
      <c r="G238" s="146" t="s">
        <v>554</v>
      </c>
      <c r="H238" s="146" t="s">
        <v>52</v>
      </c>
      <c r="I238" s="146" t="s">
        <v>66</v>
      </c>
      <c r="J238" s="127">
        <v>35943</v>
      </c>
      <c r="K238" s="127">
        <v>31156</v>
      </c>
      <c r="L238" s="132"/>
      <c r="M238" s="153">
        <v>3.29</v>
      </c>
      <c r="N238" s="153">
        <v>0.4</v>
      </c>
      <c r="O238" s="153">
        <v>0</v>
      </c>
      <c r="P238" s="153"/>
      <c r="Q238" s="131">
        <v>44937</v>
      </c>
      <c r="R238" s="187">
        <v>2021</v>
      </c>
    </row>
    <row r="239" spans="1:18" ht="28.25" hidden="1" customHeight="1" x14ac:dyDescent="0.35">
      <c r="A239" s="182" t="s">
        <v>572</v>
      </c>
      <c r="B239" s="135" t="s">
        <v>572</v>
      </c>
      <c r="C239" s="135" t="s">
        <v>409</v>
      </c>
      <c r="D239" s="135" t="s">
        <v>410</v>
      </c>
      <c r="E239" s="135" t="s">
        <v>41</v>
      </c>
      <c r="F239" s="135" t="s">
        <v>66</v>
      </c>
      <c r="G239" s="146" t="s">
        <v>554</v>
      </c>
      <c r="H239" s="146" t="s">
        <v>52</v>
      </c>
      <c r="I239" s="146" t="s">
        <v>66</v>
      </c>
      <c r="J239" s="127">
        <v>35943</v>
      </c>
      <c r="K239" s="127">
        <v>31156</v>
      </c>
      <c r="L239" s="132"/>
      <c r="M239" s="153">
        <v>1.3</v>
      </c>
      <c r="N239" s="153">
        <v>0.4</v>
      </c>
      <c r="O239" s="153">
        <v>0</v>
      </c>
      <c r="P239" s="153"/>
      <c r="Q239" s="131">
        <v>44937</v>
      </c>
      <c r="R239" s="187">
        <v>2021</v>
      </c>
    </row>
    <row r="240" spans="1:18" ht="28.25" hidden="1" customHeight="1" x14ac:dyDescent="0.35">
      <c r="A240" s="181" t="s">
        <v>128</v>
      </c>
      <c r="B240" s="135" t="s">
        <v>128</v>
      </c>
      <c r="C240" s="145" t="s">
        <v>130</v>
      </c>
      <c r="D240" s="145" t="s">
        <v>129</v>
      </c>
      <c r="E240" s="145" t="s">
        <v>41</v>
      </c>
      <c r="F240" s="145" t="s">
        <v>131</v>
      </c>
      <c r="G240" s="146" t="s">
        <v>574</v>
      </c>
      <c r="H240" s="149" t="s">
        <v>575</v>
      </c>
      <c r="I240" s="149" t="s">
        <v>575</v>
      </c>
      <c r="J240" s="127">
        <v>38751</v>
      </c>
      <c r="K240" s="127">
        <v>38826</v>
      </c>
      <c r="L240" s="136"/>
      <c r="M240" s="122">
        <v>4.6100000000000003</v>
      </c>
      <c r="N240" s="122">
        <v>1.99</v>
      </c>
      <c r="O240" s="122"/>
      <c r="P240" s="122"/>
      <c r="Q240" s="128">
        <v>47957</v>
      </c>
      <c r="R240" s="187">
        <v>2021</v>
      </c>
    </row>
    <row r="241" spans="1:18" ht="28.25" hidden="1" customHeight="1" x14ac:dyDescent="0.35">
      <c r="A241" s="181" t="s">
        <v>128</v>
      </c>
      <c r="B241" s="135" t="s">
        <v>128</v>
      </c>
      <c r="C241" s="145" t="s">
        <v>395</v>
      </c>
      <c r="D241" s="145" t="s">
        <v>52</v>
      </c>
      <c r="E241" s="145" t="s">
        <v>41</v>
      </c>
      <c r="F241" s="145" t="s">
        <v>66</v>
      </c>
      <c r="G241" s="146" t="s">
        <v>424</v>
      </c>
      <c r="H241" s="149" t="s">
        <v>66</v>
      </c>
      <c r="I241" s="149" t="s">
        <v>66</v>
      </c>
      <c r="J241" s="127">
        <v>38751</v>
      </c>
      <c r="K241" s="127">
        <v>38826</v>
      </c>
      <c r="L241" s="136"/>
      <c r="M241" s="122">
        <v>4.0999999999999996</v>
      </c>
      <c r="N241" s="156"/>
      <c r="O241" s="122"/>
      <c r="P241" s="122"/>
      <c r="Q241" s="128">
        <v>47957</v>
      </c>
      <c r="R241" s="187">
        <v>2021</v>
      </c>
    </row>
    <row r="242" spans="1:18" ht="28.25" hidden="1" customHeight="1" x14ac:dyDescent="0.35">
      <c r="A242" s="181" t="s">
        <v>128</v>
      </c>
      <c r="B242" s="135" t="s">
        <v>128</v>
      </c>
      <c r="C242" s="145" t="s">
        <v>396</v>
      </c>
      <c r="D242" s="145" t="s">
        <v>44</v>
      </c>
      <c r="E242" s="145" t="s">
        <v>41</v>
      </c>
      <c r="F242" s="145" t="s">
        <v>66</v>
      </c>
      <c r="G242" s="146" t="s">
        <v>424</v>
      </c>
      <c r="H242" s="149" t="s">
        <v>66</v>
      </c>
      <c r="I242" s="149" t="s">
        <v>66</v>
      </c>
      <c r="J242" s="127">
        <v>38751</v>
      </c>
      <c r="K242" s="127">
        <v>38826</v>
      </c>
      <c r="L242" s="136"/>
      <c r="M242" s="122">
        <v>1.21</v>
      </c>
      <c r="N242" s="156"/>
      <c r="O242" s="122"/>
      <c r="P242" s="122"/>
      <c r="Q242" s="128">
        <v>47957</v>
      </c>
      <c r="R242" s="187">
        <v>2021</v>
      </c>
    </row>
    <row r="243" spans="1:18" ht="28.25" hidden="1" customHeight="1" x14ac:dyDescent="0.35">
      <c r="A243" s="181" t="s">
        <v>128</v>
      </c>
      <c r="B243" s="135" t="s">
        <v>128</v>
      </c>
      <c r="C243" s="150" t="s">
        <v>576</v>
      </c>
      <c r="D243" s="149" t="s">
        <v>416</v>
      </c>
      <c r="E243" s="149" t="s">
        <v>46</v>
      </c>
      <c r="F243" s="145" t="s">
        <v>66</v>
      </c>
      <c r="G243" s="149" t="s">
        <v>577</v>
      </c>
      <c r="H243" s="149" t="s">
        <v>65</v>
      </c>
      <c r="I243" s="146" t="s">
        <v>66</v>
      </c>
      <c r="J243" s="127"/>
      <c r="K243" s="127"/>
      <c r="L243" s="71"/>
      <c r="M243" s="156">
        <v>0.3</v>
      </c>
      <c r="N243" s="156"/>
      <c r="O243" s="156"/>
      <c r="P243" s="156"/>
      <c r="Q243" s="71"/>
      <c r="R243" s="187">
        <v>2021</v>
      </c>
    </row>
    <row r="244" spans="1:18" ht="28.25" hidden="1" customHeight="1" x14ac:dyDescent="0.35">
      <c r="A244" s="181" t="s">
        <v>128</v>
      </c>
      <c r="B244" s="135" t="s">
        <v>128</v>
      </c>
      <c r="C244" s="149" t="s">
        <v>578</v>
      </c>
      <c r="D244" s="149" t="s">
        <v>52</v>
      </c>
      <c r="E244" s="149" t="s">
        <v>41</v>
      </c>
      <c r="F244" s="149" t="s">
        <v>66</v>
      </c>
      <c r="G244" s="149" t="s">
        <v>424</v>
      </c>
      <c r="H244" s="149" t="s">
        <v>443</v>
      </c>
      <c r="I244" s="149" t="s">
        <v>66</v>
      </c>
      <c r="J244" s="127">
        <v>40177</v>
      </c>
      <c r="K244" s="127">
        <v>40177</v>
      </c>
      <c r="L244" s="136"/>
      <c r="M244" s="156">
        <v>4.0999999999999996</v>
      </c>
      <c r="N244" s="156">
        <v>0.32</v>
      </c>
      <c r="O244" s="156"/>
      <c r="P244" s="156"/>
      <c r="Q244" s="71"/>
      <c r="R244" s="187">
        <v>2021</v>
      </c>
    </row>
    <row r="245" spans="1:18" ht="28.25" hidden="1" customHeight="1" x14ac:dyDescent="0.35">
      <c r="A245" s="181" t="s">
        <v>128</v>
      </c>
      <c r="B245" s="135" t="s">
        <v>128</v>
      </c>
      <c r="C245" s="149" t="s">
        <v>579</v>
      </c>
      <c r="D245" s="145" t="s">
        <v>44</v>
      </c>
      <c r="E245" s="149" t="s">
        <v>41</v>
      </c>
      <c r="F245" s="149" t="s">
        <v>66</v>
      </c>
      <c r="G245" s="149" t="s">
        <v>424</v>
      </c>
      <c r="H245" s="149" t="s">
        <v>580</v>
      </c>
      <c r="I245" s="149" t="s">
        <v>83</v>
      </c>
      <c r="J245" s="127">
        <v>43677</v>
      </c>
      <c r="K245" s="127">
        <v>43677</v>
      </c>
      <c r="L245" s="136"/>
      <c r="M245" s="156">
        <v>3.7189999999999999</v>
      </c>
      <c r="N245" s="156">
        <v>0.27</v>
      </c>
      <c r="O245" s="156"/>
      <c r="P245" s="156"/>
      <c r="Q245" s="71"/>
      <c r="R245" s="187">
        <v>2021</v>
      </c>
    </row>
    <row r="246" spans="1:18" ht="28.25" hidden="1" customHeight="1" x14ac:dyDescent="0.35">
      <c r="A246" s="181" t="s">
        <v>128</v>
      </c>
      <c r="B246" s="135" t="s">
        <v>128</v>
      </c>
      <c r="C246" s="152" t="s">
        <v>581</v>
      </c>
      <c r="D246" s="149" t="s">
        <v>416</v>
      </c>
      <c r="E246" s="149" t="s">
        <v>46</v>
      </c>
      <c r="F246" s="149" t="s">
        <v>66</v>
      </c>
      <c r="G246" s="149" t="s">
        <v>582</v>
      </c>
      <c r="H246" s="149" t="s">
        <v>65</v>
      </c>
      <c r="I246" s="149" t="s">
        <v>66</v>
      </c>
      <c r="J246" s="127">
        <v>43657</v>
      </c>
      <c r="K246" s="127">
        <v>43657</v>
      </c>
      <c r="L246" s="136"/>
      <c r="M246" s="156">
        <v>0.3</v>
      </c>
      <c r="N246" s="156">
        <v>0.08</v>
      </c>
      <c r="O246" s="156"/>
      <c r="P246" s="156"/>
      <c r="Q246" s="71"/>
      <c r="R246" s="187">
        <v>2021</v>
      </c>
    </row>
    <row r="247" spans="1:18" ht="28.25" hidden="1" customHeight="1" x14ac:dyDescent="0.35">
      <c r="A247" s="181" t="s">
        <v>128</v>
      </c>
      <c r="B247" s="135" t="s">
        <v>128</v>
      </c>
      <c r="C247" s="152" t="s">
        <v>583</v>
      </c>
      <c r="D247" s="145" t="s">
        <v>44</v>
      </c>
      <c r="E247" s="149" t="s">
        <v>46</v>
      </c>
      <c r="F247" s="149" t="s">
        <v>66</v>
      </c>
      <c r="G247" s="149" t="s">
        <v>424</v>
      </c>
      <c r="H247" s="149" t="s">
        <v>44</v>
      </c>
      <c r="I247" s="149" t="s">
        <v>83</v>
      </c>
      <c r="J247" s="127">
        <v>44452</v>
      </c>
      <c r="K247" s="127">
        <v>44452</v>
      </c>
      <c r="L247" s="136"/>
      <c r="M247" s="156">
        <v>0.156</v>
      </c>
      <c r="N247" s="156">
        <v>0</v>
      </c>
      <c r="O247" s="156"/>
      <c r="P247" s="156"/>
      <c r="Q247" s="71"/>
      <c r="R247" s="187">
        <v>2021</v>
      </c>
    </row>
    <row r="248" spans="1:18" ht="28.25" hidden="1" customHeight="1" x14ac:dyDescent="0.35">
      <c r="A248" s="181" t="s">
        <v>128</v>
      </c>
      <c r="B248" s="135" t="s">
        <v>128</v>
      </c>
      <c r="C248" s="152" t="s">
        <v>584</v>
      </c>
      <c r="D248" s="145" t="s">
        <v>44</v>
      </c>
      <c r="E248" s="149" t="s">
        <v>46</v>
      </c>
      <c r="F248" s="149" t="s">
        <v>66</v>
      </c>
      <c r="G248" s="149" t="s">
        <v>424</v>
      </c>
      <c r="H248" s="149" t="s">
        <v>44</v>
      </c>
      <c r="I248" s="149" t="s">
        <v>83</v>
      </c>
      <c r="J248" s="127">
        <v>44452</v>
      </c>
      <c r="K248" s="127">
        <v>44452</v>
      </c>
      <c r="L248" s="136"/>
      <c r="M248" s="156">
        <v>0.14099999999999999</v>
      </c>
      <c r="N248" s="156">
        <v>0</v>
      </c>
      <c r="O248" s="156"/>
      <c r="P248" s="156"/>
      <c r="Q248" s="71"/>
      <c r="R248" s="187">
        <v>2021</v>
      </c>
    </row>
    <row r="249" spans="1:18" ht="28.25" hidden="1" customHeight="1" x14ac:dyDescent="0.35">
      <c r="A249" s="181" t="s">
        <v>128</v>
      </c>
      <c r="B249" s="135" t="s">
        <v>128</v>
      </c>
      <c r="C249" s="152" t="s">
        <v>585</v>
      </c>
      <c r="D249" s="145" t="s">
        <v>44</v>
      </c>
      <c r="E249" s="149" t="s">
        <v>46</v>
      </c>
      <c r="F249" s="149" t="s">
        <v>66</v>
      </c>
      <c r="G249" s="149" t="s">
        <v>424</v>
      </c>
      <c r="H249" s="149" t="s">
        <v>44</v>
      </c>
      <c r="I249" s="149" t="s">
        <v>83</v>
      </c>
      <c r="J249" s="127">
        <v>44404</v>
      </c>
      <c r="K249" s="127">
        <v>44404</v>
      </c>
      <c r="L249" s="136"/>
      <c r="M249" s="156">
        <v>0.108</v>
      </c>
      <c r="N249" s="156">
        <v>0</v>
      </c>
      <c r="O249" s="156"/>
      <c r="P249" s="156"/>
      <c r="Q249" s="71"/>
      <c r="R249" s="187">
        <v>2021</v>
      </c>
    </row>
    <row r="250" spans="1:18" ht="28.25" hidden="1" customHeight="1" x14ac:dyDescent="0.35">
      <c r="A250" s="181" t="s">
        <v>128</v>
      </c>
      <c r="B250" s="135" t="s">
        <v>128</v>
      </c>
      <c r="C250" s="152" t="s">
        <v>586</v>
      </c>
      <c r="D250" s="145" t="s">
        <v>587</v>
      </c>
      <c r="E250" s="149" t="s">
        <v>46</v>
      </c>
      <c r="F250" s="149" t="s">
        <v>66</v>
      </c>
      <c r="G250" s="149" t="s">
        <v>424</v>
      </c>
      <c r="H250" s="149" t="s">
        <v>52</v>
      </c>
      <c r="I250" s="149" t="s">
        <v>83</v>
      </c>
      <c r="J250" s="127">
        <v>44462</v>
      </c>
      <c r="K250" s="127">
        <v>44462</v>
      </c>
      <c r="L250" s="136"/>
      <c r="M250" s="156">
        <v>0.95</v>
      </c>
      <c r="N250" s="156">
        <v>0</v>
      </c>
      <c r="O250" s="156"/>
      <c r="P250" s="156"/>
      <c r="Q250" s="71"/>
      <c r="R250" s="187">
        <v>2021</v>
      </c>
    </row>
    <row r="251" spans="1:18" ht="28.25" hidden="1" customHeight="1" x14ac:dyDescent="0.35">
      <c r="A251" s="181" t="s">
        <v>128</v>
      </c>
      <c r="B251" s="135" t="s">
        <v>128</v>
      </c>
      <c r="C251" s="152" t="s">
        <v>588</v>
      </c>
      <c r="D251" s="149" t="s">
        <v>487</v>
      </c>
      <c r="E251" s="149" t="s">
        <v>46</v>
      </c>
      <c r="F251" s="149" t="s">
        <v>326</v>
      </c>
      <c r="G251" s="149" t="s">
        <v>467</v>
      </c>
      <c r="H251" s="149" t="s">
        <v>487</v>
      </c>
      <c r="I251" s="149" t="s">
        <v>326</v>
      </c>
      <c r="J251" s="127">
        <v>44708</v>
      </c>
      <c r="K251" s="127">
        <v>44708</v>
      </c>
      <c r="L251" s="136"/>
      <c r="M251" s="156">
        <v>0.75</v>
      </c>
      <c r="N251" s="156">
        <v>0</v>
      </c>
      <c r="O251" s="156"/>
      <c r="P251" s="156"/>
      <c r="Q251" s="71"/>
      <c r="R251" s="187">
        <v>2021</v>
      </c>
    </row>
    <row r="252" spans="1:18" ht="28.25" hidden="1" customHeight="1" x14ac:dyDescent="0.35">
      <c r="A252" s="181" t="s">
        <v>128</v>
      </c>
      <c r="B252" s="135" t="s">
        <v>128</v>
      </c>
      <c r="C252" s="152" t="s">
        <v>589</v>
      </c>
      <c r="D252" s="149" t="s">
        <v>487</v>
      </c>
      <c r="E252" s="149" t="s">
        <v>46</v>
      </c>
      <c r="F252" s="149" t="s">
        <v>326</v>
      </c>
      <c r="G252" s="149" t="s">
        <v>467</v>
      </c>
      <c r="H252" s="149" t="s">
        <v>487</v>
      </c>
      <c r="I252" s="149" t="s">
        <v>326</v>
      </c>
      <c r="J252" s="127">
        <v>44708</v>
      </c>
      <c r="K252" s="127">
        <v>44708</v>
      </c>
      <c r="L252" s="136"/>
      <c r="M252" s="156">
        <v>1.5</v>
      </c>
      <c r="N252" s="156">
        <v>0</v>
      </c>
      <c r="O252" s="156"/>
      <c r="P252" s="156"/>
      <c r="Q252" s="71"/>
      <c r="R252" s="187">
        <v>2021</v>
      </c>
    </row>
    <row r="253" spans="1:18" ht="28.25" hidden="1" customHeight="1" x14ac:dyDescent="0.35">
      <c r="A253" s="182" t="s">
        <v>590</v>
      </c>
      <c r="B253" s="135" t="s">
        <v>590</v>
      </c>
      <c r="C253" s="146" t="s">
        <v>591</v>
      </c>
      <c r="D253" s="146" t="s">
        <v>592</v>
      </c>
      <c r="E253" s="146" t="s">
        <v>255</v>
      </c>
      <c r="F253" s="146" t="s">
        <v>136</v>
      </c>
      <c r="G253" s="146" t="s">
        <v>431</v>
      </c>
      <c r="H253" s="146" t="s">
        <v>92</v>
      </c>
      <c r="I253" s="146" t="s">
        <v>136</v>
      </c>
      <c r="J253" s="127">
        <v>40818</v>
      </c>
      <c r="K253" s="127">
        <v>40940</v>
      </c>
      <c r="L253" s="137"/>
      <c r="M253" s="155">
        <v>40</v>
      </c>
      <c r="N253" s="155">
        <v>0</v>
      </c>
      <c r="O253" s="155">
        <v>30</v>
      </c>
      <c r="P253" s="155">
        <v>0</v>
      </c>
      <c r="Q253" s="138">
        <v>401768</v>
      </c>
      <c r="R253" s="187">
        <v>2021</v>
      </c>
    </row>
    <row r="254" spans="1:18" ht="28.25" hidden="1" customHeight="1" x14ac:dyDescent="0.35">
      <c r="A254" s="182" t="s">
        <v>590</v>
      </c>
      <c r="B254" s="135" t="s">
        <v>590</v>
      </c>
      <c r="C254" s="146" t="s">
        <v>593</v>
      </c>
      <c r="D254" s="146" t="s">
        <v>594</v>
      </c>
      <c r="E254" s="146" t="s">
        <v>255</v>
      </c>
      <c r="F254" s="146" t="s">
        <v>136</v>
      </c>
      <c r="G254" s="146" t="s">
        <v>431</v>
      </c>
      <c r="H254" s="146" t="s">
        <v>92</v>
      </c>
      <c r="I254" s="146" t="s">
        <v>136</v>
      </c>
      <c r="J254" s="127">
        <v>40568</v>
      </c>
      <c r="K254" s="127">
        <v>40865</v>
      </c>
      <c r="L254" s="137"/>
      <c r="M254" s="155">
        <v>54</v>
      </c>
      <c r="N254" s="155">
        <v>0</v>
      </c>
      <c r="O254" s="155">
        <v>37.5</v>
      </c>
      <c r="P254" s="155">
        <v>0</v>
      </c>
      <c r="Q254" s="138">
        <v>401768</v>
      </c>
      <c r="R254" s="187">
        <v>2021</v>
      </c>
    </row>
    <row r="255" spans="1:18" ht="28.25" hidden="1" customHeight="1" x14ac:dyDescent="0.35">
      <c r="A255" s="183" t="s">
        <v>595</v>
      </c>
      <c r="B255" s="135" t="s">
        <v>595</v>
      </c>
      <c r="C255" s="149" t="s">
        <v>596</v>
      </c>
      <c r="D255" s="149" t="s">
        <v>44</v>
      </c>
      <c r="E255" s="149" t="s">
        <v>46</v>
      </c>
      <c r="F255" s="149" t="s">
        <v>66</v>
      </c>
      <c r="G255" s="149" t="s">
        <v>424</v>
      </c>
      <c r="H255" s="149" t="s">
        <v>44</v>
      </c>
      <c r="I255" s="149" t="s">
        <v>66</v>
      </c>
      <c r="J255" s="127"/>
      <c r="K255" s="127">
        <v>36582</v>
      </c>
      <c r="L255" s="139"/>
      <c r="M255" s="156">
        <v>0.2</v>
      </c>
      <c r="N255" s="156">
        <v>0.15</v>
      </c>
      <c r="O255" s="156"/>
      <c r="P255" s="156"/>
      <c r="Q255" s="139">
        <v>45369</v>
      </c>
      <c r="R255" s="187">
        <v>2021</v>
      </c>
    </row>
    <row r="256" spans="1:18" ht="28.25" hidden="1" customHeight="1" x14ac:dyDescent="0.35">
      <c r="A256" s="182" t="s">
        <v>597</v>
      </c>
      <c r="B256" s="135" t="s">
        <v>646</v>
      </c>
      <c r="C256" s="146" t="s">
        <v>598</v>
      </c>
      <c r="D256" s="146" t="s">
        <v>599</v>
      </c>
      <c r="E256" s="146" t="s">
        <v>46</v>
      </c>
      <c r="F256" s="146" t="s">
        <v>66</v>
      </c>
      <c r="G256" s="146" t="s">
        <v>451</v>
      </c>
      <c r="H256" s="146" t="s">
        <v>77</v>
      </c>
      <c r="I256" s="146" t="s">
        <v>78</v>
      </c>
      <c r="J256" s="127"/>
      <c r="K256" s="127">
        <v>43195</v>
      </c>
      <c r="L256" s="137"/>
      <c r="M256" s="155">
        <v>0</v>
      </c>
      <c r="N256" s="155">
        <v>0</v>
      </c>
      <c r="O256" s="155">
        <v>0</v>
      </c>
      <c r="P256" s="155">
        <v>0</v>
      </c>
      <c r="Q256" s="138">
        <v>401768</v>
      </c>
      <c r="R256" s="187">
        <v>2021</v>
      </c>
    </row>
    <row r="257" spans="1:18" ht="28.25" hidden="1" customHeight="1" x14ac:dyDescent="0.35">
      <c r="A257" s="182" t="s">
        <v>400</v>
      </c>
      <c r="B257" s="135" t="s">
        <v>400</v>
      </c>
      <c r="C257" s="146" t="s">
        <v>401</v>
      </c>
      <c r="D257" s="146" t="s">
        <v>122</v>
      </c>
      <c r="E257" s="146" t="s">
        <v>255</v>
      </c>
      <c r="F257" s="146" t="s">
        <v>136</v>
      </c>
      <c r="G257" s="146" t="s">
        <v>431</v>
      </c>
      <c r="H257" s="146" t="s">
        <v>92</v>
      </c>
      <c r="I257" s="146" t="s">
        <v>136</v>
      </c>
      <c r="J257" s="127">
        <v>42682</v>
      </c>
      <c r="K257" s="127">
        <v>44025</v>
      </c>
      <c r="L257" s="137"/>
      <c r="M257" s="153">
        <v>52.76</v>
      </c>
      <c r="N257" s="153">
        <v>0</v>
      </c>
      <c r="O257" s="153">
        <v>13.76</v>
      </c>
      <c r="P257" s="155">
        <v>0</v>
      </c>
      <c r="Q257" s="138">
        <v>45119</v>
      </c>
      <c r="R257" s="187">
        <v>2021</v>
      </c>
    </row>
    <row r="258" spans="1:18" ht="28.25" hidden="1" customHeight="1" x14ac:dyDescent="0.35">
      <c r="A258" s="180" t="s">
        <v>124</v>
      </c>
      <c r="B258" s="135" t="s">
        <v>124</v>
      </c>
      <c r="C258" s="135" t="s">
        <v>126</v>
      </c>
      <c r="D258" s="135" t="s">
        <v>125</v>
      </c>
      <c r="E258" s="135" t="s">
        <v>41</v>
      </c>
      <c r="F258" s="135" t="s">
        <v>136</v>
      </c>
      <c r="G258" s="146" t="s">
        <v>431</v>
      </c>
      <c r="H258" s="146" t="s">
        <v>166</v>
      </c>
      <c r="I258" s="146" t="s">
        <v>136</v>
      </c>
      <c r="J258" s="127">
        <v>40346</v>
      </c>
      <c r="K258" s="127">
        <v>39388</v>
      </c>
      <c r="L258" s="132"/>
      <c r="M258" s="153">
        <v>120</v>
      </c>
      <c r="N258" s="153">
        <v>0</v>
      </c>
      <c r="O258" s="153">
        <v>0</v>
      </c>
      <c r="P258" s="153">
        <v>0</v>
      </c>
      <c r="Q258" s="131">
        <v>46693</v>
      </c>
      <c r="R258" s="187">
        <v>2021</v>
      </c>
    </row>
    <row r="259" spans="1:18" ht="28.25" hidden="1" customHeight="1" x14ac:dyDescent="0.35">
      <c r="A259" s="182" t="s">
        <v>600</v>
      </c>
      <c r="B259" s="135" t="s">
        <v>600</v>
      </c>
      <c r="C259" s="151" t="s">
        <v>601</v>
      </c>
      <c r="D259" s="149" t="s">
        <v>602</v>
      </c>
      <c r="E259" s="146" t="s">
        <v>255</v>
      </c>
      <c r="F259" s="146" t="s">
        <v>136</v>
      </c>
      <c r="G259" s="146" t="s">
        <v>431</v>
      </c>
      <c r="H259" s="146" t="s">
        <v>438</v>
      </c>
      <c r="I259" s="146" t="s">
        <v>20</v>
      </c>
      <c r="J259" s="127">
        <v>40346</v>
      </c>
      <c r="K259" s="127">
        <v>39388</v>
      </c>
      <c r="L259" s="137"/>
      <c r="M259" s="155">
        <v>472.5</v>
      </c>
      <c r="N259" s="155">
        <v>0</v>
      </c>
      <c r="O259" s="155">
        <v>0</v>
      </c>
      <c r="P259" s="155">
        <v>0</v>
      </c>
      <c r="Q259" s="138">
        <v>46693</v>
      </c>
      <c r="R259" s="187">
        <v>2021</v>
      </c>
    </row>
    <row r="260" spans="1:18" ht="28.25" hidden="1" customHeight="1" x14ac:dyDescent="0.35">
      <c r="A260" s="182" t="s">
        <v>603</v>
      </c>
      <c r="B260" s="135" t="s">
        <v>648</v>
      </c>
      <c r="C260" s="146" t="s">
        <v>604</v>
      </c>
      <c r="D260" s="146" t="s">
        <v>605</v>
      </c>
      <c r="E260" s="146" t="s">
        <v>46</v>
      </c>
      <c r="F260" s="146" t="s">
        <v>66</v>
      </c>
      <c r="G260" s="146" t="s">
        <v>442</v>
      </c>
      <c r="H260" s="146" t="s">
        <v>606</v>
      </c>
      <c r="I260" s="146" t="s">
        <v>66</v>
      </c>
      <c r="J260" s="127">
        <v>39709</v>
      </c>
      <c r="K260" s="127">
        <v>40066</v>
      </c>
      <c r="L260" s="137"/>
      <c r="M260" s="155">
        <v>0.21</v>
      </c>
      <c r="N260" s="155">
        <v>0</v>
      </c>
      <c r="O260" s="155">
        <v>0</v>
      </c>
      <c r="P260" s="155">
        <v>0</v>
      </c>
      <c r="Q260" s="138">
        <v>401768</v>
      </c>
      <c r="R260" s="187">
        <v>2021</v>
      </c>
    </row>
    <row r="261" spans="1:18" ht="28.25" hidden="1" customHeight="1" x14ac:dyDescent="0.35">
      <c r="A261" s="183" t="s">
        <v>607</v>
      </c>
      <c r="B261" s="135" t="s">
        <v>607</v>
      </c>
      <c r="C261" s="152" t="s">
        <v>608</v>
      </c>
      <c r="D261" s="149" t="s">
        <v>609</v>
      </c>
      <c r="E261" s="146" t="s">
        <v>255</v>
      </c>
      <c r="F261" s="149" t="s">
        <v>256</v>
      </c>
      <c r="G261" s="149" t="s">
        <v>610</v>
      </c>
      <c r="H261" s="149" t="s">
        <v>611</v>
      </c>
      <c r="I261" s="149" t="s">
        <v>256</v>
      </c>
      <c r="J261" s="127">
        <v>41425</v>
      </c>
      <c r="K261" s="127">
        <v>44741</v>
      </c>
      <c r="L261" s="139"/>
      <c r="M261" s="156">
        <v>637.48</v>
      </c>
      <c r="N261" s="156"/>
      <c r="O261" s="156"/>
      <c r="P261" s="156"/>
      <c r="Q261" s="71"/>
      <c r="R261" s="187">
        <v>2021</v>
      </c>
    </row>
    <row r="262" spans="1:18" ht="28.25" hidden="1" customHeight="1" x14ac:dyDescent="0.35">
      <c r="A262" s="182" t="s">
        <v>612</v>
      </c>
      <c r="B262" s="135" t="s">
        <v>411</v>
      </c>
      <c r="C262" s="146" t="s">
        <v>613</v>
      </c>
      <c r="D262" s="146" t="s">
        <v>494</v>
      </c>
      <c r="E262" s="146" t="s">
        <v>46</v>
      </c>
      <c r="F262" s="146" t="s">
        <v>66</v>
      </c>
      <c r="G262" s="146" t="s">
        <v>451</v>
      </c>
      <c r="H262" s="146" t="s">
        <v>452</v>
      </c>
      <c r="I262" s="146" t="s">
        <v>78</v>
      </c>
      <c r="J262" s="127">
        <v>43175</v>
      </c>
      <c r="K262" s="127">
        <v>43207</v>
      </c>
      <c r="L262" s="137"/>
      <c r="M262" s="155">
        <v>0</v>
      </c>
      <c r="N262" s="155">
        <v>0</v>
      </c>
      <c r="O262" s="155">
        <v>0</v>
      </c>
      <c r="P262" s="155">
        <v>0</v>
      </c>
      <c r="Q262" s="138">
        <v>401768</v>
      </c>
      <c r="R262" s="187">
        <v>2021</v>
      </c>
    </row>
    <row r="263" spans="1:18" ht="28.25" hidden="1" customHeight="1" x14ac:dyDescent="0.35">
      <c r="A263" s="182" t="s">
        <v>614</v>
      </c>
      <c r="B263" s="135" t="s">
        <v>417</v>
      </c>
      <c r="C263" s="146" t="s">
        <v>420</v>
      </c>
      <c r="D263" s="146" t="s">
        <v>421</v>
      </c>
      <c r="E263" s="146" t="s">
        <v>255</v>
      </c>
      <c r="F263" s="146" t="s">
        <v>326</v>
      </c>
      <c r="G263" s="146" t="s">
        <v>431</v>
      </c>
      <c r="H263" s="146" t="s">
        <v>326</v>
      </c>
      <c r="I263" s="146" t="s">
        <v>326</v>
      </c>
      <c r="J263" s="127">
        <v>43395</v>
      </c>
      <c r="K263" s="127">
        <v>43501</v>
      </c>
      <c r="L263" s="137"/>
      <c r="M263" s="155">
        <v>61</v>
      </c>
      <c r="N263" s="155">
        <v>0</v>
      </c>
      <c r="O263" s="155">
        <v>0</v>
      </c>
      <c r="P263" s="155">
        <v>0</v>
      </c>
      <c r="Q263" s="138">
        <v>44962</v>
      </c>
      <c r="R263" s="187">
        <v>2021</v>
      </c>
    </row>
    <row r="264" spans="1:18" ht="28.25" hidden="1" customHeight="1" x14ac:dyDescent="0.35">
      <c r="A264" s="182" t="s">
        <v>614</v>
      </c>
      <c r="B264" s="135" t="s">
        <v>417</v>
      </c>
      <c r="C264" s="146" t="s">
        <v>418</v>
      </c>
      <c r="D264" s="146" t="s">
        <v>419</v>
      </c>
      <c r="E264" s="146" t="s">
        <v>255</v>
      </c>
      <c r="F264" s="146" t="s">
        <v>136</v>
      </c>
      <c r="G264" s="146" t="s">
        <v>431</v>
      </c>
      <c r="H264" s="146" t="s">
        <v>136</v>
      </c>
      <c r="I264" s="146" t="s">
        <v>136</v>
      </c>
      <c r="J264" s="127">
        <v>43130</v>
      </c>
      <c r="K264" s="127">
        <v>43179</v>
      </c>
      <c r="L264" s="137"/>
      <c r="M264" s="155">
        <v>25</v>
      </c>
      <c r="N264" s="155">
        <v>0</v>
      </c>
      <c r="O264" s="155">
        <v>0</v>
      </c>
      <c r="P264" s="155">
        <v>0</v>
      </c>
      <c r="Q264" s="138">
        <v>44630</v>
      </c>
      <c r="R264" s="187">
        <v>2021</v>
      </c>
    </row>
    <row r="265" spans="1:18" ht="28.25" hidden="1" customHeight="1" x14ac:dyDescent="0.35">
      <c r="A265" s="182" t="s">
        <v>615</v>
      </c>
      <c r="B265" s="135" t="s">
        <v>615</v>
      </c>
      <c r="C265" s="146" t="s">
        <v>616</v>
      </c>
      <c r="D265" s="146" t="s">
        <v>291</v>
      </c>
      <c r="E265" s="146" t="s">
        <v>46</v>
      </c>
      <c r="F265" s="146" t="s">
        <v>66</v>
      </c>
      <c r="G265" s="146" t="s">
        <v>424</v>
      </c>
      <c r="H265" s="146" t="s">
        <v>44</v>
      </c>
      <c r="I265" s="146" t="s">
        <v>66</v>
      </c>
      <c r="J265" s="127"/>
      <c r="K265" s="127">
        <v>42885</v>
      </c>
      <c r="L265" s="137"/>
      <c r="M265" s="155">
        <v>0.14313899999999999</v>
      </c>
      <c r="N265" s="155">
        <v>0</v>
      </c>
      <c r="O265" s="155">
        <v>0</v>
      </c>
      <c r="P265" s="155">
        <v>0</v>
      </c>
      <c r="Q265" s="138">
        <v>401768</v>
      </c>
      <c r="R265" s="187">
        <v>2021</v>
      </c>
    </row>
    <row r="266" spans="1:18" ht="28.25" hidden="1" customHeight="1" x14ac:dyDescent="0.35">
      <c r="A266" s="182" t="s">
        <v>248</v>
      </c>
      <c r="B266" s="135" t="s">
        <v>248</v>
      </c>
      <c r="C266" s="146" t="s">
        <v>249</v>
      </c>
      <c r="D266" s="146" t="s">
        <v>44</v>
      </c>
      <c r="E266" s="146" t="s">
        <v>46</v>
      </c>
      <c r="F266" s="146" t="s">
        <v>66</v>
      </c>
      <c r="G266" s="146" t="s">
        <v>424</v>
      </c>
      <c r="H266" s="146" t="s">
        <v>44</v>
      </c>
      <c r="I266" s="146" t="s">
        <v>83</v>
      </c>
      <c r="J266" s="127">
        <v>42886</v>
      </c>
      <c r="K266" s="127">
        <v>42886</v>
      </c>
      <c r="L266" s="128"/>
      <c r="M266" s="153">
        <v>0.3</v>
      </c>
      <c r="N266" s="153"/>
      <c r="O266" s="153"/>
      <c r="P266" s="153"/>
      <c r="Q266" s="128">
        <v>44711</v>
      </c>
      <c r="R266" s="187">
        <v>2022</v>
      </c>
    </row>
    <row r="267" spans="1:18" ht="28.25" hidden="1" customHeight="1" x14ac:dyDescent="0.35">
      <c r="A267" s="182" t="s">
        <v>428</v>
      </c>
      <c r="B267" s="135" t="s">
        <v>428</v>
      </c>
      <c r="C267" s="146" t="s">
        <v>429</v>
      </c>
      <c r="D267" s="146" t="s">
        <v>430</v>
      </c>
      <c r="E267" s="146" t="s">
        <v>255</v>
      </c>
      <c r="F267" s="146" t="s">
        <v>136</v>
      </c>
      <c r="G267" s="146" t="s">
        <v>431</v>
      </c>
      <c r="H267" s="146" t="s">
        <v>136</v>
      </c>
      <c r="I267" s="146" t="s">
        <v>136</v>
      </c>
      <c r="J267" s="127">
        <v>40513</v>
      </c>
      <c r="K267" s="127">
        <v>40513</v>
      </c>
      <c r="L267" s="137"/>
      <c r="M267" s="155">
        <v>157</v>
      </c>
      <c r="N267" s="155">
        <v>0</v>
      </c>
      <c r="O267" s="155">
        <v>120.5</v>
      </c>
      <c r="P267" s="155">
        <v>0</v>
      </c>
      <c r="Q267" s="138">
        <v>43069</v>
      </c>
      <c r="R267" s="187">
        <v>2022</v>
      </c>
    </row>
    <row r="268" spans="1:18" ht="28.25" hidden="1" customHeight="1" x14ac:dyDescent="0.35">
      <c r="A268" s="182" t="s">
        <v>428</v>
      </c>
      <c r="B268" s="135" t="s">
        <v>428</v>
      </c>
      <c r="C268" s="146" t="s">
        <v>432</v>
      </c>
      <c r="D268" s="146" t="s">
        <v>433</v>
      </c>
      <c r="E268" s="146" t="s">
        <v>255</v>
      </c>
      <c r="F268" s="146" t="s">
        <v>136</v>
      </c>
      <c r="G268" s="146" t="s">
        <v>431</v>
      </c>
      <c r="H268" s="146" t="s">
        <v>136</v>
      </c>
      <c r="I268" s="146" t="s">
        <v>136</v>
      </c>
      <c r="J268" s="127">
        <v>40513</v>
      </c>
      <c r="K268" s="127">
        <v>40513</v>
      </c>
      <c r="L268" s="137"/>
      <c r="M268" s="155">
        <v>187</v>
      </c>
      <c r="N268" s="155">
        <v>0</v>
      </c>
      <c r="O268" s="155">
        <v>110</v>
      </c>
      <c r="P268" s="155">
        <v>0</v>
      </c>
      <c r="Q268" s="138">
        <v>44625</v>
      </c>
      <c r="R268" s="187">
        <v>2022</v>
      </c>
    </row>
    <row r="269" spans="1:18" ht="28.25" hidden="1" customHeight="1" x14ac:dyDescent="0.35">
      <c r="A269" s="182" t="s">
        <v>434</v>
      </c>
      <c r="B269" s="135" t="s">
        <v>434</v>
      </c>
      <c r="C269" s="146" t="s">
        <v>435</v>
      </c>
      <c r="D269" s="146" t="s">
        <v>436</v>
      </c>
      <c r="E269" s="146" t="s">
        <v>87</v>
      </c>
      <c r="F269" s="146" t="s">
        <v>136</v>
      </c>
      <c r="G269" s="146" t="s">
        <v>431</v>
      </c>
      <c r="H269" s="146" t="s">
        <v>20</v>
      </c>
      <c r="I269" s="146" t="s">
        <v>20</v>
      </c>
      <c r="J269" s="127">
        <v>42285</v>
      </c>
      <c r="K269" s="127">
        <v>42402</v>
      </c>
      <c r="L269" s="137"/>
      <c r="M269" s="155">
        <v>39</v>
      </c>
      <c r="N269" s="155">
        <v>39</v>
      </c>
      <c r="O269" s="155">
        <v>0</v>
      </c>
      <c r="P269" s="155">
        <v>0</v>
      </c>
      <c r="Q269" s="138">
        <v>44228</v>
      </c>
      <c r="R269" s="187">
        <v>2022</v>
      </c>
    </row>
    <row r="270" spans="1:18" ht="28.25" hidden="1" customHeight="1" x14ac:dyDescent="0.35">
      <c r="A270" s="182" t="s">
        <v>14</v>
      </c>
      <c r="B270" s="135" t="s">
        <v>14</v>
      </c>
      <c r="C270" s="146" t="s">
        <v>22</v>
      </c>
      <c r="D270" s="146" t="s">
        <v>437</v>
      </c>
      <c r="E270" s="146" t="s">
        <v>255</v>
      </c>
      <c r="F270" s="146" t="s">
        <v>136</v>
      </c>
      <c r="G270" s="146" t="s">
        <v>431</v>
      </c>
      <c r="H270" s="146" t="s">
        <v>438</v>
      </c>
      <c r="I270" s="146" t="s">
        <v>20</v>
      </c>
      <c r="J270" s="127">
        <v>38215</v>
      </c>
      <c r="K270" s="127">
        <v>38415</v>
      </c>
      <c r="L270" s="137"/>
      <c r="M270" s="155">
        <v>420</v>
      </c>
      <c r="N270" s="155">
        <v>0</v>
      </c>
      <c r="O270" s="155">
        <v>184</v>
      </c>
      <c r="P270" s="155">
        <v>0</v>
      </c>
      <c r="Q270" s="71"/>
      <c r="R270" s="187">
        <v>2022</v>
      </c>
    </row>
    <row r="271" spans="1:18" ht="28.25" hidden="1" customHeight="1" x14ac:dyDescent="0.35">
      <c r="A271" s="182" t="s">
        <v>14</v>
      </c>
      <c r="B271" s="135" t="s">
        <v>14</v>
      </c>
      <c r="C271" s="146" t="s">
        <v>137</v>
      </c>
      <c r="D271" s="146" t="s">
        <v>15</v>
      </c>
      <c r="E271" s="146" t="s">
        <v>255</v>
      </c>
      <c r="F271" s="146" t="s">
        <v>136</v>
      </c>
      <c r="G271" s="146" t="s">
        <v>431</v>
      </c>
      <c r="H271" s="146" t="s">
        <v>438</v>
      </c>
      <c r="I271" s="146" t="s">
        <v>20</v>
      </c>
      <c r="J271" s="127">
        <v>43231</v>
      </c>
      <c r="K271" s="127">
        <v>43256</v>
      </c>
      <c r="L271" s="137"/>
      <c r="M271" s="155">
        <v>79</v>
      </c>
      <c r="N271" s="155">
        <v>0</v>
      </c>
      <c r="O271" s="155">
        <v>0</v>
      </c>
      <c r="P271" s="155">
        <v>0</v>
      </c>
      <c r="Q271" s="138">
        <v>45081</v>
      </c>
      <c r="R271" s="187">
        <v>2022</v>
      </c>
    </row>
    <row r="272" spans="1:18" ht="28.25" hidden="1" customHeight="1" x14ac:dyDescent="0.35">
      <c r="A272" s="182" t="s">
        <v>264</v>
      </c>
      <c r="B272" s="135" t="s">
        <v>264</v>
      </c>
      <c r="C272" s="146" t="s">
        <v>439</v>
      </c>
      <c r="D272" s="146" t="s">
        <v>440</v>
      </c>
      <c r="E272" s="146" t="s">
        <v>255</v>
      </c>
      <c r="F272" s="146" t="s">
        <v>42</v>
      </c>
      <c r="G272" s="146" t="s">
        <v>441</v>
      </c>
      <c r="H272" s="146" t="s">
        <v>42</v>
      </c>
      <c r="I272" s="146" t="s">
        <v>42</v>
      </c>
      <c r="J272" s="127">
        <v>43486</v>
      </c>
      <c r="K272" s="127">
        <v>43496</v>
      </c>
      <c r="L272" s="137"/>
      <c r="M272" s="155">
        <v>567</v>
      </c>
      <c r="N272" s="155">
        <v>0</v>
      </c>
      <c r="O272" s="155">
        <v>0</v>
      </c>
      <c r="P272" s="155">
        <v>0</v>
      </c>
      <c r="Q272" s="138">
        <v>401768</v>
      </c>
      <c r="R272" s="187">
        <v>2022</v>
      </c>
    </row>
    <row r="273" spans="1:18" ht="28.25" hidden="1" customHeight="1" x14ac:dyDescent="0.35">
      <c r="A273" s="182" t="s">
        <v>264</v>
      </c>
      <c r="B273" s="135" t="s">
        <v>264</v>
      </c>
      <c r="C273" s="146" t="s">
        <v>267</v>
      </c>
      <c r="D273" s="146" t="s">
        <v>268</v>
      </c>
      <c r="E273" s="146" t="s">
        <v>46</v>
      </c>
      <c r="F273" s="146" t="s">
        <v>66</v>
      </c>
      <c r="G273" s="146" t="s">
        <v>442</v>
      </c>
      <c r="H273" s="146" t="s">
        <v>443</v>
      </c>
      <c r="I273" s="146" t="s">
        <v>66</v>
      </c>
      <c r="J273" s="127"/>
      <c r="K273" s="127">
        <v>43361</v>
      </c>
      <c r="L273" s="137"/>
      <c r="M273" s="155">
        <v>0.38</v>
      </c>
      <c r="N273" s="155">
        <v>0</v>
      </c>
      <c r="O273" s="155">
        <v>0</v>
      </c>
      <c r="P273" s="155">
        <v>0</v>
      </c>
      <c r="Q273" s="138">
        <v>45278</v>
      </c>
      <c r="R273" s="187">
        <v>2022</v>
      </c>
    </row>
    <row r="274" spans="1:18" ht="28.25" hidden="1" customHeight="1" x14ac:dyDescent="0.35">
      <c r="A274" s="183" t="s">
        <v>444</v>
      </c>
      <c r="B274" s="135" t="s">
        <v>444</v>
      </c>
      <c r="C274" s="149" t="s">
        <v>270</v>
      </c>
      <c r="D274" s="149" t="s">
        <v>44</v>
      </c>
      <c r="E274" s="149" t="s">
        <v>46</v>
      </c>
      <c r="F274" s="149" t="s">
        <v>66</v>
      </c>
      <c r="G274" s="149" t="s">
        <v>424</v>
      </c>
      <c r="H274" s="149" t="s">
        <v>44</v>
      </c>
      <c r="I274" s="149" t="s">
        <v>66</v>
      </c>
      <c r="J274" s="127"/>
      <c r="K274" s="127">
        <v>43304</v>
      </c>
      <c r="L274" s="139"/>
      <c r="M274" s="156">
        <v>0.15</v>
      </c>
      <c r="N274" s="156">
        <v>0.15</v>
      </c>
      <c r="O274" s="156"/>
      <c r="P274" s="156"/>
      <c r="Q274" s="139">
        <v>45129</v>
      </c>
      <c r="R274" s="187">
        <v>2022</v>
      </c>
    </row>
    <row r="275" spans="1:18" ht="28.25" hidden="1" customHeight="1" x14ac:dyDescent="0.35">
      <c r="A275" s="182" t="s">
        <v>445</v>
      </c>
      <c r="B275" s="135" t="s">
        <v>445</v>
      </c>
      <c r="C275" s="146" t="s">
        <v>446</v>
      </c>
      <c r="D275" s="146" t="s">
        <v>272</v>
      </c>
      <c r="E275" s="146" t="s">
        <v>255</v>
      </c>
      <c r="F275" s="146" t="s">
        <v>29</v>
      </c>
      <c r="G275" s="146" t="s">
        <v>441</v>
      </c>
      <c r="H275" s="146" t="s">
        <v>447</v>
      </c>
      <c r="I275" s="146" t="s">
        <v>29</v>
      </c>
      <c r="J275" s="127">
        <v>42157</v>
      </c>
      <c r="K275" s="127">
        <v>42200</v>
      </c>
      <c r="L275" s="137"/>
      <c r="M275" s="155">
        <v>1590</v>
      </c>
      <c r="N275" s="155">
        <v>0</v>
      </c>
      <c r="O275" s="155">
        <v>401</v>
      </c>
      <c r="P275" s="155">
        <v>0</v>
      </c>
      <c r="Q275" s="138">
        <v>44420</v>
      </c>
      <c r="R275" s="187">
        <v>2022</v>
      </c>
    </row>
    <row r="276" spans="1:18" ht="28.25" hidden="1" customHeight="1" x14ac:dyDescent="0.35">
      <c r="A276" s="182" t="s">
        <v>273</v>
      </c>
      <c r="B276" s="135" t="s">
        <v>273</v>
      </c>
      <c r="C276" s="146" t="s">
        <v>274</v>
      </c>
      <c r="D276" s="146" t="s">
        <v>275</v>
      </c>
      <c r="E276" s="146" t="s">
        <v>255</v>
      </c>
      <c r="F276" s="146" t="s">
        <v>136</v>
      </c>
      <c r="G276" s="146" t="s">
        <v>431</v>
      </c>
      <c r="H276" s="146" t="s">
        <v>92</v>
      </c>
      <c r="I276" s="146" t="s">
        <v>136</v>
      </c>
      <c r="J276" s="127">
        <v>42682</v>
      </c>
      <c r="K276" s="127">
        <v>43510</v>
      </c>
      <c r="L276" s="137"/>
      <c r="M276" s="155">
        <v>22</v>
      </c>
      <c r="N276" s="155">
        <v>0</v>
      </c>
      <c r="O276" s="155">
        <v>0</v>
      </c>
      <c r="P276" s="155">
        <v>0</v>
      </c>
      <c r="Q276" s="138">
        <v>44971</v>
      </c>
      <c r="R276" s="187">
        <v>2022</v>
      </c>
    </row>
    <row r="277" spans="1:18" ht="28.25" hidden="1" customHeight="1" x14ac:dyDescent="0.35">
      <c r="A277" s="182" t="s">
        <v>448</v>
      </c>
      <c r="B277" s="135" t="s">
        <v>448</v>
      </c>
      <c r="C277" s="146" t="s">
        <v>449</v>
      </c>
      <c r="D277" s="146" t="s">
        <v>450</v>
      </c>
      <c r="E277" s="146" t="s">
        <v>46</v>
      </c>
      <c r="F277" s="146" t="s">
        <v>66</v>
      </c>
      <c r="G277" s="146" t="s">
        <v>451</v>
      </c>
      <c r="H277" s="146" t="s">
        <v>452</v>
      </c>
      <c r="I277" s="146" t="s">
        <v>78</v>
      </c>
      <c r="J277" s="127">
        <v>43186</v>
      </c>
      <c r="K277" s="127">
        <v>43229</v>
      </c>
      <c r="L277" s="137"/>
      <c r="M277" s="155">
        <v>1.2</v>
      </c>
      <c r="N277" s="155">
        <v>1.2</v>
      </c>
      <c r="O277" s="155">
        <v>0</v>
      </c>
      <c r="P277" s="155">
        <v>0</v>
      </c>
      <c r="Q277" s="138">
        <v>401768</v>
      </c>
      <c r="R277" s="187">
        <v>2022</v>
      </c>
    </row>
    <row r="278" spans="1:18" ht="28.25" hidden="1" customHeight="1" x14ac:dyDescent="0.35">
      <c r="A278" s="180" t="s">
        <v>276</v>
      </c>
      <c r="B278" s="135" t="s">
        <v>276</v>
      </c>
      <c r="C278" s="135" t="s">
        <v>277</v>
      </c>
      <c r="D278" s="135" t="s">
        <v>31</v>
      </c>
      <c r="E278" s="135" t="s">
        <v>255</v>
      </c>
      <c r="F278" s="135" t="s">
        <v>136</v>
      </c>
      <c r="G278" s="146" t="s">
        <v>431</v>
      </c>
      <c r="H278" s="146" t="s">
        <v>453</v>
      </c>
      <c r="I278" s="146" t="s">
        <v>20</v>
      </c>
      <c r="J278" s="127">
        <v>43231</v>
      </c>
      <c r="K278" s="127">
        <v>43256</v>
      </c>
      <c r="L278" s="132"/>
      <c r="M278" s="153">
        <v>314.5</v>
      </c>
      <c r="N278" s="153">
        <v>0</v>
      </c>
      <c r="O278" s="153">
        <v>0</v>
      </c>
      <c r="P278" s="153">
        <v>0</v>
      </c>
      <c r="Q278" s="131">
        <v>401768</v>
      </c>
      <c r="R278" s="187">
        <v>2022</v>
      </c>
    </row>
    <row r="279" spans="1:18" ht="28.25" hidden="1" customHeight="1" x14ac:dyDescent="0.35">
      <c r="A279" s="182" t="s">
        <v>278</v>
      </c>
      <c r="B279" s="135" t="s">
        <v>142</v>
      </c>
      <c r="C279" s="146" t="s">
        <v>280</v>
      </c>
      <c r="D279" s="146" t="s">
        <v>143</v>
      </c>
      <c r="E279" s="146" t="s">
        <v>255</v>
      </c>
      <c r="F279" s="146" t="s">
        <v>136</v>
      </c>
      <c r="G279" s="146" t="s">
        <v>431</v>
      </c>
      <c r="H279" s="146" t="s">
        <v>145</v>
      </c>
      <c r="I279" s="146" t="s">
        <v>136</v>
      </c>
      <c r="J279" s="127">
        <v>42529</v>
      </c>
      <c r="K279" s="127">
        <v>43623</v>
      </c>
      <c r="L279" s="137"/>
      <c r="M279" s="155">
        <v>381</v>
      </c>
      <c r="N279" s="155">
        <v>0</v>
      </c>
      <c r="O279" s="155">
        <v>0</v>
      </c>
      <c r="P279" s="155">
        <v>0</v>
      </c>
      <c r="Q279" s="138">
        <v>45084</v>
      </c>
      <c r="R279" s="187">
        <v>2022</v>
      </c>
    </row>
    <row r="280" spans="1:18" ht="28.25" hidden="1" customHeight="1" x14ac:dyDescent="0.35">
      <c r="A280" s="182" t="s">
        <v>278</v>
      </c>
      <c r="B280" s="135" t="s">
        <v>142</v>
      </c>
      <c r="C280" s="146" t="s">
        <v>279</v>
      </c>
      <c r="D280" s="146" t="s">
        <v>147</v>
      </c>
      <c r="E280" s="146" t="s">
        <v>255</v>
      </c>
      <c r="F280" s="146" t="s">
        <v>136</v>
      </c>
      <c r="G280" s="146" t="s">
        <v>431</v>
      </c>
      <c r="H280" s="146" t="s">
        <v>92</v>
      </c>
      <c r="I280" s="146" t="s">
        <v>136</v>
      </c>
      <c r="J280" s="127">
        <v>42682</v>
      </c>
      <c r="K280" s="127">
        <v>43410</v>
      </c>
      <c r="L280" s="137"/>
      <c r="M280" s="155">
        <v>381</v>
      </c>
      <c r="N280" s="155">
        <v>0</v>
      </c>
      <c r="O280" s="155">
        <v>0</v>
      </c>
      <c r="P280" s="155">
        <v>0</v>
      </c>
      <c r="Q280" s="138">
        <v>401768</v>
      </c>
      <c r="R280" s="187">
        <v>2022</v>
      </c>
    </row>
    <row r="281" spans="1:18" ht="28.25" hidden="1" customHeight="1" x14ac:dyDescent="0.35">
      <c r="A281" s="182" t="s">
        <v>282</v>
      </c>
      <c r="B281" s="135" t="s">
        <v>282</v>
      </c>
      <c r="C281" s="146" t="s">
        <v>283</v>
      </c>
      <c r="D281" s="146" t="s">
        <v>284</v>
      </c>
      <c r="E281" s="146" t="s">
        <v>255</v>
      </c>
      <c r="F281" s="146" t="s">
        <v>326</v>
      </c>
      <c r="G281" s="146" t="s">
        <v>431</v>
      </c>
      <c r="H281" s="146" t="s">
        <v>284</v>
      </c>
      <c r="I281" s="146" t="s">
        <v>61</v>
      </c>
      <c r="J281" s="127">
        <v>40305</v>
      </c>
      <c r="K281" s="127">
        <v>43115</v>
      </c>
      <c r="L281" s="137"/>
      <c r="M281" s="155">
        <v>260</v>
      </c>
      <c r="N281" s="155">
        <v>0</v>
      </c>
      <c r="O281" s="155">
        <v>65</v>
      </c>
      <c r="P281" s="155">
        <v>0</v>
      </c>
      <c r="Q281" s="138">
        <v>401768</v>
      </c>
      <c r="R281" s="187">
        <v>2022</v>
      </c>
    </row>
    <row r="282" spans="1:18" ht="28.25" hidden="1" customHeight="1" x14ac:dyDescent="0.35">
      <c r="A282" s="184" t="s">
        <v>621</v>
      </c>
      <c r="B282" s="135" t="s">
        <v>621</v>
      </c>
      <c r="C282" s="16">
        <v>10566</v>
      </c>
      <c r="D282" s="16" t="s">
        <v>622</v>
      </c>
      <c r="E282" s="16" t="s">
        <v>255</v>
      </c>
      <c r="F282" s="16" t="s">
        <v>136</v>
      </c>
      <c r="G282" s="16" t="s">
        <v>431</v>
      </c>
      <c r="H282" s="16" t="s">
        <v>623</v>
      </c>
      <c r="I282" s="16" t="s">
        <v>61</v>
      </c>
      <c r="J282" s="127"/>
      <c r="K282" s="127"/>
      <c r="L282" s="52"/>
      <c r="M282" s="158">
        <v>144</v>
      </c>
      <c r="N282" s="158"/>
      <c r="O282" s="158"/>
      <c r="P282" s="158"/>
      <c r="Q282" s="52"/>
      <c r="R282" s="187">
        <v>2022</v>
      </c>
    </row>
    <row r="283" spans="1:18" ht="28.25" hidden="1" customHeight="1" x14ac:dyDescent="0.35">
      <c r="A283" s="180" t="s">
        <v>285</v>
      </c>
      <c r="B283" s="135" t="s">
        <v>285</v>
      </c>
      <c r="C283" s="135" t="s">
        <v>286</v>
      </c>
      <c r="D283" s="135" t="s">
        <v>454</v>
      </c>
      <c r="E283" s="146" t="s">
        <v>87</v>
      </c>
      <c r="F283" s="135" t="s">
        <v>42</v>
      </c>
      <c r="G283" s="146" t="s">
        <v>426</v>
      </c>
      <c r="H283" s="146" t="s">
        <v>624</v>
      </c>
      <c r="I283" s="146" t="s">
        <v>288</v>
      </c>
      <c r="J283" s="127">
        <v>43367</v>
      </c>
      <c r="K283" s="127"/>
      <c r="L283" s="37"/>
      <c r="M283" s="153">
        <v>75</v>
      </c>
      <c r="N283" s="153">
        <v>5</v>
      </c>
      <c r="O283" s="153">
        <v>0</v>
      </c>
      <c r="P283" s="153">
        <v>0</v>
      </c>
      <c r="Q283" s="37"/>
      <c r="R283" s="187">
        <v>2022</v>
      </c>
    </row>
    <row r="284" spans="1:18" ht="28.25" hidden="1" customHeight="1" x14ac:dyDescent="0.35">
      <c r="A284" s="182" t="s">
        <v>151</v>
      </c>
      <c r="B284" s="135" t="s">
        <v>151</v>
      </c>
      <c r="C284" s="146" t="s">
        <v>455</v>
      </c>
      <c r="D284" s="146" t="s">
        <v>456</v>
      </c>
      <c r="E284" s="146" t="s">
        <v>46</v>
      </c>
      <c r="F284" s="146" t="s">
        <v>66</v>
      </c>
      <c r="G284" s="146" t="s">
        <v>424</v>
      </c>
      <c r="H284" s="146" t="s">
        <v>82</v>
      </c>
      <c r="I284" s="146" t="s">
        <v>83</v>
      </c>
      <c r="J284" s="127"/>
      <c r="K284" s="127">
        <v>41143</v>
      </c>
      <c r="L284" s="137"/>
      <c r="M284" s="155">
        <v>0.2</v>
      </c>
      <c r="N284" s="155">
        <v>0</v>
      </c>
      <c r="O284" s="155"/>
      <c r="P284" s="155">
        <v>0</v>
      </c>
      <c r="Q284" s="138">
        <v>42969</v>
      </c>
      <c r="R284" s="187">
        <v>2022</v>
      </c>
    </row>
    <row r="285" spans="1:18" ht="28.25" hidden="1" customHeight="1" x14ac:dyDescent="0.35">
      <c r="A285" s="182" t="s">
        <v>292</v>
      </c>
      <c r="B285" s="135" t="s">
        <v>292</v>
      </c>
      <c r="C285" s="146" t="s">
        <v>293</v>
      </c>
      <c r="D285" s="146" t="s">
        <v>155</v>
      </c>
      <c r="E285" s="146" t="s">
        <v>255</v>
      </c>
      <c r="F285" s="146" t="s">
        <v>136</v>
      </c>
      <c r="G285" s="146" t="s">
        <v>431</v>
      </c>
      <c r="H285" s="146" t="s">
        <v>20</v>
      </c>
      <c r="I285" s="146" t="s">
        <v>20</v>
      </c>
      <c r="J285" s="127">
        <v>42102</v>
      </c>
      <c r="K285" s="127">
        <v>42165</v>
      </c>
      <c r="L285" s="137"/>
      <c r="M285" s="155">
        <v>71.319999999999993</v>
      </c>
      <c r="N285" s="155">
        <v>0</v>
      </c>
      <c r="O285" s="155">
        <v>18.02</v>
      </c>
      <c r="P285" s="155">
        <v>0</v>
      </c>
      <c r="Q285" s="138">
        <v>44391</v>
      </c>
      <c r="R285" s="187">
        <v>2022</v>
      </c>
    </row>
    <row r="286" spans="1:18" ht="28.25" hidden="1" customHeight="1" x14ac:dyDescent="0.35">
      <c r="A286" s="182" t="s">
        <v>292</v>
      </c>
      <c r="B286" s="135" t="s">
        <v>292</v>
      </c>
      <c r="C286" s="146" t="s">
        <v>457</v>
      </c>
      <c r="D286" s="146" t="s">
        <v>458</v>
      </c>
      <c r="E286" s="146" t="s">
        <v>255</v>
      </c>
      <c r="F286" s="146" t="s">
        <v>136</v>
      </c>
      <c r="G286" s="146" t="s">
        <v>431</v>
      </c>
      <c r="H286" s="146" t="s">
        <v>20</v>
      </c>
      <c r="I286" s="146" t="s">
        <v>20</v>
      </c>
      <c r="J286" s="127">
        <v>42102</v>
      </c>
      <c r="K286" s="127">
        <v>42165</v>
      </c>
      <c r="L286" s="137"/>
      <c r="M286" s="155">
        <v>241.8</v>
      </c>
      <c r="N286" s="155">
        <v>0</v>
      </c>
      <c r="O286" s="155">
        <v>80.7</v>
      </c>
      <c r="P286" s="155">
        <v>0</v>
      </c>
      <c r="Q286" s="138">
        <v>43625</v>
      </c>
      <c r="R286" s="187">
        <v>2022</v>
      </c>
    </row>
    <row r="287" spans="1:18" ht="28.25" hidden="1" customHeight="1" x14ac:dyDescent="0.35">
      <c r="A287" s="183" t="s">
        <v>607</v>
      </c>
      <c r="B287" s="135" t="s">
        <v>607</v>
      </c>
      <c r="C287" s="152" t="s">
        <v>608</v>
      </c>
      <c r="D287" s="146" t="s">
        <v>609</v>
      </c>
      <c r="E287" s="146" t="s">
        <v>255</v>
      </c>
      <c r="F287" s="149" t="s">
        <v>256</v>
      </c>
      <c r="G287" s="149" t="s">
        <v>610</v>
      </c>
      <c r="H287" s="149" t="s">
        <v>611</v>
      </c>
      <c r="I287" s="149" t="s">
        <v>256</v>
      </c>
      <c r="J287" s="127">
        <v>41425</v>
      </c>
      <c r="K287" s="127">
        <v>44741</v>
      </c>
      <c r="L287" s="139"/>
      <c r="M287" s="156">
        <v>637.48</v>
      </c>
      <c r="N287" s="156"/>
      <c r="O287" s="156"/>
      <c r="P287" s="156"/>
      <c r="Q287" s="138"/>
      <c r="R287" s="187">
        <v>2022</v>
      </c>
    </row>
    <row r="288" spans="1:18" ht="28.25" hidden="1" customHeight="1" x14ac:dyDescent="0.35">
      <c r="A288" s="182" t="s">
        <v>459</v>
      </c>
      <c r="B288" s="135" t="s">
        <v>459</v>
      </c>
      <c r="C288" s="146" t="s">
        <v>460</v>
      </c>
      <c r="D288" s="146" t="s">
        <v>338</v>
      </c>
      <c r="E288" s="146" t="s">
        <v>255</v>
      </c>
      <c r="F288" s="146" t="s">
        <v>42</v>
      </c>
      <c r="G288" s="146" t="s">
        <v>441</v>
      </c>
      <c r="H288" s="146" t="s">
        <v>42</v>
      </c>
      <c r="I288" s="146" t="s">
        <v>42</v>
      </c>
      <c r="J288" s="127">
        <v>44099</v>
      </c>
      <c r="K288" s="127">
        <v>44132</v>
      </c>
      <c r="L288" s="137"/>
      <c r="M288" s="155">
        <v>498</v>
      </c>
      <c r="N288" s="155">
        <v>0</v>
      </c>
      <c r="O288" s="155">
        <v>0</v>
      </c>
      <c r="P288" s="155">
        <v>0</v>
      </c>
      <c r="Q288" s="138">
        <v>45592</v>
      </c>
      <c r="R288" s="187">
        <v>2022</v>
      </c>
    </row>
    <row r="289" spans="1:18" ht="28.25" hidden="1" customHeight="1" x14ac:dyDescent="0.35">
      <c r="A289" s="182" t="s">
        <v>459</v>
      </c>
      <c r="B289" s="135" t="s">
        <v>459</v>
      </c>
      <c r="C289" s="146" t="s">
        <v>461</v>
      </c>
      <c r="D289" s="146" t="s">
        <v>296</v>
      </c>
      <c r="E289" s="146" t="s">
        <v>255</v>
      </c>
      <c r="F289" s="146" t="s">
        <v>256</v>
      </c>
      <c r="G289" s="146" t="s">
        <v>441</v>
      </c>
      <c r="H289" s="146" t="s">
        <v>462</v>
      </c>
      <c r="I289" s="146" t="s">
        <v>256</v>
      </c>
      <c r="J289" s="127">
        <v>42474</v>
      </c>
      <c r="K289" s="127">
        <v>42506</v>
      </c>
      <c r="L289" s="137"/>
      <c r="M289" s="153">
        <v>4396</v>
      </c>
      <c r="N289" s="155">
        <v>0</v>
      </c>
      <c r="O289" s="155">
        <v>1101</v>
      </c>
      <c r="P289" s="155">
        <v>0</v>
      </c>
      <c r="Q289" s="138">
        <v>44692</v>
      </c>
      <c r="R289" s="187">
        <v>2022</v>
      </c>
    </row>
    <row r="290" spans="1:18" ht="28.25" hidden="1" customHeight="1" x14ac:dyDescent="0.35">
      <c r="A290" s="185" t="s">
        <v>625</v>
      </c>
      <c r="B290" s="135" t="s">
        <v>625</v>
      </c>
      <c r="C290" s="141" t="s">
        <v>626</v>
      </c>
      <c r="D290" s="16" t="s">
        <v>627</v>
      </c>
      <c r="E290" s="146" t="s">
        <v>255</v>
      </c>
      <c r="F290" s="65" t="s">
        <v>136</v>
      </c>
      <c r="G290" s="65" t="s">
        <v>431</v>
      </c>
      <c r="H290" s="65" t="s">
        <v>628</v>
      </c>
      <c r="I290" s="65" t="s">
        <v>629</v>
      </c>
      <c r="J290" s="127">
        <v>44606</v>
      </c>
      <c r="K290" s="127">
        <v>44623</v>
      </c>
      <c r="L290" s="142"/>
      <c r="M290" s="51">
        <v>207.17</v>
      </c>
      <c r="N290" s="51">
        <v>0</v>
      </c>
      <c r="O290" s="51">
        <v>0</v>
      </c>
      <c r="P290" s="51">
        <v>0</v>
      </c>
      <c r="Q290" s="143"/>
      <c r="R290" s="187">
        <v>2022</v>
      </c>
    </row>
    <row r="291" spans="1:18" ht="28.25" hidden="1" customHeight="1" x14ac:dyDescent="0.35">
      <c r="A291" s="185" t="s">
        <v>625</v>
      </c>
      <c r="B291" s="135" t="s">
        <v>625</v>
      </c>
      <c r="C291" s="141" t="s">
        <v>626</v>
      </c>
      <c r="D291" s="16" t="s">
        <v>630</v>
      </c>
      <c r="E291" s="146" t="s">
        <v>255</v>
      </c>
      <c r="F291" s="65" t="s">
        <v>136</v>
      </c>
      <c r="G291" s="65" t="s">
        <v>431</v>
      </c>
      <c r="H291" s="65" t="s">
        <v>631</v>
      </c>
      <c r="I291" s="65" t="s">
        <v>629</v>
      </c>
      <c r="J291" s="127">
        <v>44606</v>
      </c>
      <c r="K291" s="127">
        <v>44623</v>
      </c>
      <c r="L291" s="142"/>
      <c r="M291" s="51">
        <v>207.17</v>
      </c>
      <c r="N291" s="51">
        <v>0</v>
      </c>
      <c r="O291" s="51">
        <v>0</v>
      </c>
      <c r="P291" s="51">
        <v>0</v>
      </c>
      <c r="Q291" s="143"/>
      <c r="R291" s="187">
        <v>2022</v>
      </c>
    </row>
    <row r="292" spans="1:18" ht="28.25" hidden="1" customHeight="1" x14ac:dyDescent="0.35">
      <c r="A292" s="182" t="s">
        <v>463</v>
      </c>
      <c r="B292" s="135" t="s">
        <v>463</v>
      </c>
      <c r="C292" s="146" t="s">
        <v>464</v>
      </c>
      <c r="D292" s="146" t="s">
        <v>52</v>
      </c>
      <c r="E292" s="146" t="s">
        <v>87</v>
      </c>
      <c r="F292" s="146" t="s">
        <v>66</v>
      </c>
      <c r="G292" s="146" t="s">
        <v>424</v>
      </c>
      <c r="H292" s="146" t="s">
        <v>443</v>
      </c>
      <c r="I292" s="146" t="s">
        <v>66</v>
      </c>
      <c r="J292" s="127">
        <v>42479</v>
      </c>
      <c r="K292" s="127">
        <v>44279</v>
      </c>
      <c r="L292" s="137"/>
      <c r="M292" s="155">
        <v>2.77</v>
      </c>
      <c r="N292" s="155">
        <v>2.77</v>
      </c>
      <c r="O292" s="155">
        <v>0</v>
      </c>
      <c r="P292" s="155">
        <v>0</v>
      </c>
      <c r="Q292" s="138">
        <v>46104</v>
      </c>
      <c r="R292" s="187">
        <v>2022</v>
      </c>
    </row>
    <row r="293" spans="1:18" ht="28.25" hidden="1" customHeight="1" x14ac:dyDescent="0.35">
      <c r="A293" s="182" t="s">
        <v>300</v>
      </c>
      <c r="B293" s="135" t="s">
        <v>79</v>
      </c>
      <c r="C293" s="146" t="s">
        <v>465</v>
      </c>
      <c r="D293" s="146" t="s">
        <v>466</v>
      </c>
      <c r="E293" s="146" t="s">
        <v>41</v>
      </c>
      <c r="F293" s="146" t="s">
        <v>66</v>
      </c>
      <c r="G293" s="146" t="s">
        <v>467</v>
      </c>
      <c r="H293" s="146" t="s">
        <v>82</v>
      </c>
      <c r="I293" s="146" t="s">
        <v>83</v>
      </c>
      <c r="J293" s="127">
        <v>36574</v>
      </c>
      <c r="K293" s="127">
        <v>36578</v>
      </c>
      <c r="L293" s="137"/>
      <c r="M293" s="155">
        <v>2</v>
      </c>
      <c r="N293" s="155">
        <v>0.3</v>
      </c>
      <c r="O293" s="155">
        <v>0</v>
      </c>
      <c r="P293" s="155">
        <v>0.05</v>
      </c>
      <c r="Q293" s="138">
        <v>45710</v>
      </c>
      <c r="R293" s="187">
        <v>2022</v>
      </c>
    </row>
    <row r="294" spans="1:18" ht="28.25" hidden="1" customHeight="1" x14ac:dyDescent="0.35">
      <c r="A294" s="182" t="s">
        <v>300</v>
      </c>
      <c r="B294" s="135" t="s">
        <v>79</v>
      </c>
      <c r="C294" s="146" t="s">
        <v>468</v>
      </c>
      <c r="D294" s="146" t="s">
        <v>469</v>
      </c>
      <c r="E294" s="146" t="s">
        <v>41</v>
      </c>
      <c r="F294" s="146" t="s">
        <v>66</v>
      </c>
      <c r="G294" s="146" t="s">
        <v>424</v>
      </c>
      <c r="H294" s="146" t="s">
        <v>44</v>
      </c>
      <c r="I294" s="146" t="s">
        <v>66</v>
      </c>
      <c r="J294" s="127">
        <v>36574</v>
      </c>
      <c r="K294" s="127">
        <v>42139</v>
      </c>
      <c r="L294" s="137"/>
      <c r="M294" s="153">
        <v>5.86</v>
      </c>
      <c r="N294" s="155">
        <v>0</v>
      </c>
      <c r="O294" s="155">
        <v>0</v>
      </c>
      <c r="P294" s="155">
        <v>0</v>
      </c>
      <c r="Q294" s="138">
        <v>51271</v>
      </c>
      <c r="R294" s="187">
        <v>2022</v>
      </c>
    </row>
    <row r="295" spans="1:18" ht="28.25" hidden="1" customHeight="1" x14ac:dyDescent="0.35">
      <c r="A295" s="182" t="s">
        <v>470</v>
      </c>
      <c r="B295" s="135" t="s">
        <v>470</v>
      </c>
      <c r="C295" s="149" t="s">
        <v>471</v>
      </c>
      <c r="D295" s="149" t="s">
        <v>44</v>
      </c>
      <c r="E295" s="149" t="s">
        <v>46</v>
      </c>
      <c r="F295" s="149" t="s">
        <v>66</v>
      </c>
      <c r="G295" s="149" t="s">
        <v>424</v>
      </c>
      <c r="H295" s="149" t="s">
        <v>44</v>
      </c>
      <c r="I295" s="149" t="s">
        <v>66</v>
      </c>
      <c r="J295" s="71"/>
      <c r="K295" s="127">
        <v>40032</v>
      </c>
      <c r="L295" s="139"/>
      <c r="M295" s="156">
        <v>0.05</v>
      </c>
      <c r="N295" s="156">
        <v>0.05</v>
      </c>
      <c r="O295" s="156"/>
      <c r="P295" s="156"/>
      <c r="Q295" s="138">
        <v>46431</v>
      </c>
      <c r="R295" s="187">
        <v>2022</v>
      </c>
    </row>
    <row r="296" spans="1:18" ht="28.25" hidden="1" customHeight="1" x14ac:dyDescent="0.35">
      <c r="A296" s="182" t="s">
        <v>470</v>
      </c>
      <c r="B296" s="135" t="s">
        <v>470</v>
      </c>
      <c r="C296" s="149" t="s">
        <v>472</v>
      </c>
      <c r="D296" s="149" t="s">
        <v>44</v>
      </c>
      <c r="E296" s="149" t="s">
        <v>46</v>
      </c>
      <c r="F296" s="149" t="s">
        <v>66</v>
      </c>
      <c r="G296" s="149" t="s">
        <v>424</v>
      </c>
      <c r="H296" s="149" t="s">
        <v>44</v>
      </c>
      <c r="I296" s="149" t="s">
        <v>66</v>
      </c>
      <c r="J296" s="71"/>
      <c r="K296" s="127">
        <v>35384</v>
      </c>
      <c r="L296" s="139"/>
      <c r="M296" s="156">
        <v>7.4999999999999997E-2</v>
      </c>
      <c r="N296" s="156">
        <v>6.5000000000000002E-2</v>
      </c>
      <c r="O296" s="156">
        <v>0.01</v>
      </c>
      <c r="P296" s="156"/>
      <c r="Q296" s="138">
        <v>46431</v>
      </c>
      <c r="R296" s="187">
        <v>2022</v>
      </c>
    </row>
    <row r="297" spans="1:18" ht="28.25" hidden="1" customHeight="1" x14ac:dyDescent="0.35">
      <c r="A297" s="182" t="s">
        <v>470</v>
      </c>
      <c r="B297" s="135" t="s">
        <v>470</v>
      </c>
      <c r="C297" s="150" t="s">
        <v>473</v>
      </c>
      <c r="D297" s="149" t="s">
        <v>416</v>
      </c>
      <c r="E297" s="149" t="s">
        <v>46</v>
      </c>
      <c r="F297" s="149" t="s">
        <v>66</v>
      </c>
      <c r="G297" s="149" t="s">
        <v>442</v>
      </c>
      <c r="H297" s="149" t="s">
        <v>474</v>
      </c>
      <c r="I297" s="149" t="s">
        <v>66</v>
      </c>
      <c r="J297" s="71"/>
      <c r="K297" s="127">
        <v>43986</v>
      </c>
      <c r="L297" s="139"/>
      <c r="M297" s="156">
        <v>2.75E-2</v>
      </c>
      <c r="N297" s="156"/>
      <c r="O297" s="156"/>
      <c r="P297" s="156"/>
      <c r="Q297" s="138">
        <v>45811</v>
      </c>
      <c r="R297" s="187">
        <v>2022</v>
      </c>
    </row>
    <row r="298" spans="1:18" ht="28.25" hidden="1" customHeight="1" x14ac:dyDescent="0.35">
      <c r="A298" s="182" t="s">
        <v>470</v>
      </c>
      <c r="B298" s="135" t="s">
        <v>470</v>
      </c>
      <c r="C298" s="150" t="s">
        <v>306</v>
      </c>
      <c r="D298" s="149" t="s">
        <v>416</v>
      </c>
      <c r="E298" s="149" t="s">
        <v>46</v>
      </c>
      <c r="F298" s="149" t="s">
        <v>66</v>
      </c>
      <c r="G298" s="149" t="s">
        <v>442</v>
      </c>
      <c r="H298" s="149" t="s">
        <v>474</v>
      </c>
      <c r="I298" s="149" t="s">
        <v>66</v>
      </c>
      <c r="J298" s="71"/>
      <c r="K298" s="127">
        <v>42478</v>
      </c>
      <c r="L298" s="139"/>
      <c r="M298" s="156">
        <v>0.41</v>
      </c>
      <c r="N298" s="156"/>
      <c r="O298" s="156"/>
      <c r="P298" s="156"/>
      <c r="Q298" s="138">
        <v>46432</v>
      </c>
      <c r="R298" s="187">
        <v>2022</v>
      </c>
    </row>
    <row r="299" spans="1:18" ht="28.25" hidden="1" customHeight="1" x14ac:dyDescent="0.35">
      <c r="A299" s="182" t="s">
        <v>470</v>
      </c>
      <c r="B299" s="135" t="s">
        <v>470</v>
      </c>
      <c r="C299" s="149" t="s">
        <v>475</v>
      </c>
      <c r="D299" s="149" t="s">
        <v>416</v>
      </c>
      <c r="E299" s="149" t="s">
        <v>46</v>
      </c>
      <c r="F299" s="149" t="s">
        <v>66</v>
      </c>
      <c r="G299" s="149" t="s">
        <v>442</v>
      </c>
      <c r="H299" s="149" t="s">
        <v>474</v>
      </c>
      <c r="I299" s="149" t="s">
        <v>66</v>
      </c>
      <c r="J299" s="71"/>
      <c r="K299" s="127">
        <v>40032</v>
      </c>
      <c r="L299" s="139"/>
      <c r="M299" s="156">
        <v>0.15</v>
      </c>
      <c r="N299" s="156"/>
      <c r="O299" s="156"/>
      <c r="P299" s="156"/>
      <c r="Q299" s="138">
        <v>46460</v>
      </c>
      <c r="R299" s="187">
        <v>2022</v>
      </c>
    </row>
    <row r="300" spans="1:18" ht="28.25" hidden="1" customHeight="1" x14ac:dyDescent="0.35">
      <c r="A300" s="182" t="s">
        <v>470</v>
      </c>
      <c r="B300" s="135" t="s">
        <v>470</v>
      </c>
      <c r="C300" s="149" t="s">
        <v>476</v>
      </c>
      <c r="D300" s="149" t="s">
        <v>416</v>
      </c>
      <c r="E300" s="149" t="s">
        <v>46</v>
      </c>
      <c r="F300" s="149" t="s">
        <v>66</v>
      </c>
      <c r="G300" s="149" t="s">
        <v>442</v>
      </c>
      <c r="H300" s="149" t="s">
        <v>474</v>
      </c>
      <c r="I300" s="149" t="s">
        <v>66</v>
      </c>
      <c r="J300" s="71"/>
      <c r="K300" s="127">
        <v>39902</v>
      </c>
      <c r="L300" s="139"/>
      <c r="M300" s="156">
        <v>0.05</v>
      </c>
      <c r="N300" s="156"/>
      <c r="O300" s="156"/>
      <c r="P300" s="156"/>
      <c r="Q300" s="138">
        <v>46460</v>
      </c>
      <c r="R300" s="187">
        <v>2022</v>
      </c>
    </row>
    <row r="301" spans="1:18" ht="28.25" hidden="1" customHeight="1" x14ac:dyDescent="0.35">
      <c r="A301" s="182" t="s">
        <v>470</v>
      </c>
      <c r="B301" s="135" t="s">
        <v>470</v>
      </c>
      <c r="C301" s="149" t="s">
        <v>477</v>
      </c>
      <c r="D301" s="149" t="s">
        <v>416</v>
      </c>
      <c r="E301" s="149" t="s">
        <v>46</v>
      </c>
      <c r="F301" s="149" t="s">
        <v>66</v>
      </c>
      <c r="G301" s="149" t="s">
        <v>442</v>
      </c>
      <c r="H301" s="149" t="s">
        <v>474</v>
      </c>
      <c r="I301" s="149" t="s">
        <v>66</v>
      </c>
      <c r="J301" s="71"/>
      <c r="K301" s="127">
        <v>43493</v>
      </c>
      <c r="L301" s="139"/>
      <c r="M301" s="156">
        <v>0.15</v>
      </c>
      <c r="N301" s="156"/>
      <c r="O301" s="156"/>
      <c r="P301" s="156"/>
      <c r="Q301" s="138">
        <v>45318</v>
      </c>
      <c r="R301" s="187">
        <v>2022</v>
      </c>
    </row>
    <row r="302" spans="1:18" ht="28.25" hidden="1" customHeight="1" x14ac:dyDescent="0.35">
      <c r="A302" s="182" t="s">
        <v>470</v>
      </c>
      <c r="B302" s="135" t="s">
        <v>470</v>
      </c>
      <c r="C302" s="150" t="s">
        <v>478</v>
      </c>
      <c r="D302" s="149" t="s">
        <v>416</v>
      </c>
      <c r="E302" s="149" t="s">
        <v>46</v>
      </c>
      <c r="F302" s="149" t="s">
        <v>66</v>
      </c>
      <c r="G302" s="149" t="s">
        <v>442</v>
      </c>
      <c r="H302" s="149" t="s">
        <v>474</v>
      </c>
      <c r="I302" s="149" t="s">
        <v>66</v>
      </c>
      <c r="J302" s="71"/>
      <c r="K302" s="127">
        <v>43986</v>
      </c>
      <c r="L302" s="139"/>
      <c r="M302" s="156">
        <v>1.4999999999999999E-2</v>
      </c>
      <c r="N302" s="156"/>
      <c r="O302" s="156"/>
      <c r="P302" s="156"/>
      <c r="Q302" s="138">
        <v>45811</v>
      </c>
      <c r="R302" s="187">
        <v>2022</v>
      </c>
    </row>
    <row r="303" spans="1:18" ht="28.25" hidden="1" customHeight="1" x14ac:dyDescent="0.35">
      <c r="A303" s="184" t="s">
        <v>632</v>
      </c>
      <c r="B303" s="135" t="s">
        <v>479</v>
      </c>
      <c r="C303" s="146" t="s">
        <v>480</v>
      </c>
      <c r="D303" s="146" t="s">
        <v>481</v>
      </c>
      <c r="E303" s="146" t="s">
        <v>255</v>
      </c>
      <c r="F303" s="146" t="s">
        <v>136</v>
      </c>
      <c r="G303" s="146" t="s">
        <v>431</v>
      </c>
      <c r="H303" s="146" t="s">
        <v>482</v>
      </c>
      <c r="I303" s="146" t="s">
        <v>20</v>
      </c>
      <c r="J303" s="137">
        <v>43737</v>
      </c>
      <c r="K303" s="127">
        <v>43780</v>
      </c>
      <c r="L303" s="137"/>
      <c r="M303" s="155">
        <v>252</v>
      </c>
      <c r="N303" s="155">
        <v>0</v>
      </c>
      <c r="O303" s="155">
        <v>0</v>
      </c>
      <c r="P303" s="155">
        <v>0</v>
      </c>
      <c r="Q303" s="138">
        <v>45240</v>
      </c>
      <c r="R303" s="187">
        <v>2022</v>
      </c>
    </row>
    <row r="304" spans="1:18" ht="28.25" hidden="1" customHeight="1" x14ac:dyDescent="0.35">
      <c r="A304" s="182" t="s">
        <v>422</v>
      </c>
      <c r="B304" s="135" t="s">
        <v>422</v>
      </c>
      <c r="C304" s="146" t="s">
        <v>483</v>
      </c>
      <c r="D304" s="146" t="s">
        <v>416</v>
      </c>
      <c r="E304" s="146" t="s">
        <v>46</v>
      </c>
      <c r="F304" s="146" t="s">
        <v>66</v>
      </c>
      <c r="G304" s="146" t="s">
        <v>442</v>
      </c>
      <c r="H304" s="146" t="s">
        <v>484</v>
      </c>
      <c r="I304" s="146" t="s">
        <v>66</v>
      </c>
      <c r="J304" s="71"/>
      <c r="K304" s="127">
        <v>43219</v>
      </c>
      <c r="L304" s="137"/>
      <c r="M304" s="155">
        <v>9.1999999999999998E-2</v>
      </c>
      <c r="N304" s="155">
        <v>9.1999999999999998E-2</v>
      </c>
      <c r="O304" s="155">
        <v>0</v>
      </c>
      <c r="P304" s="155">
        <v>0</v>
      </c>
      <c r="Q304" s="138">
        <v>401768</v>
      </c>
      <c r="R304" s="187">
        <v>2022</v>
      </c>
    </row>
    <row r="305" spans="1:18" ht="28.25" hidden="1" customHeight="1" x14ac:dyDescent="0.35">
      <c r="A305" s="182" t="s">
        <v>422</v>
      </c>
      <c r="B305" s="135" t="s">
        <v>422</v>
      </c>
      <c r="C305" s="146" t="s">
        <v>485</v>
      </c>
      <c r="D305" s="146" t="s">
        <v>633</v>
      </c>
      <c r="E305" s="146" t="s">
        <v>46</v>
      </c>
      <c r="F305" s="146" t="s">
        <v>326</v>
      </c>
      <c r="G305" s="146" t="s">
        <v>442</v>
      </c>
      <c r="H305" s="146" t="s">
        <v>487</v>
      </c>
      <c r="I305" s="146" t="s">
        <v>326</v>
      </c>
      <c r="J305" s="71"/>
      <c r="K305" s="127"/>
      <c r="L305" s="71"/>
      <c r="M305" s="155">
        <v>0.5</v>
      </c>
      <c r="N305" s="155">
        <v>0.5</v>
      </c>
      <c r="O305" s="155">
        <v>0</v>
      </c>
      <c r="P305" s="155">
        <v>0</v>
      </c>
      <c r="Q305" s="138">
        <v>44489</v>
      </c>
      <c r="R305" s="187">
        <v>2022</v>
      </c>
    </row>
    <row r="306" spans="1:18" ht="28.25" hidden="1" customHeight="1" x14ac:dyDescent="0.35">
      <c r="A306" s="185" t="s">
        <v>634</v>
      </c>
      <c r="B306" s="135" t="s">
        <v>634</v>
      </c>
      <c r="C306" s="141" t="s">
        <v>635</v>
      </c>
      <c r="D306" s="16" t="s">
        <v>636</v>
      </c>
      <c r="E306" s="146" t="s">
        <v>255</v>
      </c>
      <c r="F306" s="65" t="s">
        <v>136</v>
      </c>
      <c r="G306" s="65" t="s">
        <v>431</v>
      </c>
      <c r="H306" s="65" t="s">
        <v>20</v>
      </c>
      <c r="I306" s="65" t="s">
        <v>20</v>
      </c>
      <c r="J306" s="142"/>
      <c r="K306" s="127"/>
      <c r="L306" s="142"/>
      <c r="M306" s="51">
        <v>298</v>
      </c>
      <c r="N306" s="51"/>
      <c r="O306" s="51"/>
      <c r="P306" s="51"/>
      <c r="Q306" s="143"/>
      <c r="R306" s="187">
        <v>2022</v>
      </c>
    </row>
    <row r="307" spans="1:18" ht="28.25" hidden="1" customHeight="1" x14ac:dyDescent="0.35">
      <c r="A307" s="182" t="s">
        <v>314</v>
      </c>
      <c r="B307" s="135" t="s">
        <v>314</v>
      </c>
      <c r="C307" s="146" t="s">
        <v>315</v>
      </c>
      <c r="D307" s="146" t="s">
        <v>316</v>
      </c>
      <c r="E307" s="146" t="s">
        <v>255</v>
      </c>
      <c r="F307" s="146" t="s">
        <v>316</v>
      </c>
      <c r="G307" s="146" t="s">
        <v>441</v>
      </c>
      <c r="H307" s="146" t="s">
        <v>488</v>
      </c>
      <c r="I307" s="146" t="s">
        <v>316</v>
      </c>
      <c r="J307" s="137">
        <v>40737</v>
      </c>
      <c r="K307" s="127">
        <v>41613</v>
      </c>
      <c r="L307" s="137"/>
      <c r="M307" s="155">
        <v>2645</v>
      </c>
      <c r="N307" s="155">
        <v>0</v>
      </c>
      <c r="O307" s="155">
        <v>2520</v>
      </c>
      <c r="P307" s="155">
        <v>0</v>
      </c>
      <c r="Q307" s="138">
        <v>45145</v>
      </c>
      <c r="R307" s="187">
        <v>2022</v>
      </c>
    </row>
    <row r="308" spans="1:18" ht="28.25" hidden="1" customHeight="1" x14ac:dyDescent="0.35">
      <c r="A308" s="182" t="s">
        <v>317</v>
      </c>
      <c r="B308" s="135" t="s">
        <v>51</v>
      </c>
      <c r="C308" s="146" t="s">
        <v>53</v>
      </c>
      <c r="D308" s="146" t="s">
        <v>52</v>
      </c>
      <c r="E308" s="146" t="s">
        <v>41</v>
      </c>
      <c r="F308" s="146" t="s">
        <v>66</v>
      </c>
      <c r="G308" s="146" t="s">
        <v>424</v>
      </c>
      <c r="H308" s="146" t="s">
        <v>52</v>
      </c>
      <c r="I308" s="146" t="s">
        <v>66</v>
      </c>
      <c r="J308" s="137">
        <v>39794</v>
      </c>
      <c r="K308" s="127">
        <v>39794</v>
      </c>
      <c r="L308" s="137"/>
      <c r="M308" s="155">
        <v>10.07</v>
      </c>
      <c r="N308" s="155"/>
      <c r="O308" s="155">
        <v>0</v>
      </c>
      <c r="P308" s="155">
        <v>0</v>
      </c>
      <c r="Q308" s="138">
        <v>48924</v>
      </c>
      <c r="R308" s="187">
        <v>2022</v>
      </c>
    </row>
    <row r="309" spans="1:18" ht="28.25" hidden="1" customHeight="1" x14ac:dyDescent="0.35">
      <c r="A309" s="182" t="s">
        <v>317</v>
      </c>
      <c r="B309" s="135" t="s">
        <v>51</v>
      </c>
      <c r="C309" s="151" t="s">
        <v>489</v>
      </c>
      <c r="D309" s="146" t="s">
        <v>490</v>
      </c>
      <c r="E309" s="146" t="s">
        <v>41</v>
      </c>
      <c r="F309" s="146" t="s">
        <v>66</v>
      </c>
      <c r="G309" s="146" t="s">
        <v>491</v>
      </c>
      <c r="H309" s="146" t="s">
        <v>490</v>
      </c>
      <c r="I309" s="146" t="s">
        <v>66</v>
      </c>
      <c r="J309" s="137"/>
      <c r="K309" s="127"/>
      <c r="L309" s="137"/>
      <c r="M309" s="155">
        <v>3.59</v>
      </c>
      <c r="N309" s="155"/>
      <c r="O309" s="155"/>
      <c r="P309" s="155"/>
      <c r="Q309" s="138"/>
      <c r="R309" s="187">
        <v>2022</v>
      </c>
    </row>
    <row r="310" spans="1:18" ht="28.25" hidden="1" customHeight="1" x14ac:dyDescent="0.35">
      <c r="A310" s="184" t="s">
        <v>492</v>
      </c>
      <c r="B310" s="135" t="s">
        <v>492</v>
      </c>
      <c r="C310" s="149" t="s">
        <v>493</v>
      </c>
      <c r="D310" s="146" t="s">
        <v>494</v>
      </c>
      <c r="E310" s="146" t="s">
        <v>46</v>
      </c>
      <c r="F310" s="146" t="s">
        <v>66</v>
      </c>
      <c r="G310" s="149" t="s">
        <v>451</v>
      </c>
      <c r="H310" s="146" t="s">
        <v>77</v>
      </c>
      <c r="I310" s="149" t="s">
        <v>78</v>
      </c>
      <c r="J310" s="71"/>
      <c r="K310" s="127">
        <v>43448</v>
      </c>
      <c r="L310" s="139"/>
      <c r="M310" s="156">
        <v>0</v>
      </c>
      <c r="N310" s="156"/>
      <c r="O310" s="156"/>
      <c r="P310" s="156"/>
      <c r="Q310" s="138">
        <v>45274</v>
      </c>
      <c r="R310" s="187">
        <v>2022</v>
      </c>
    </row>
    <row r="311" spans="1:18" ht="28.25" hidden="1" customHeight="1" x14ac:dyDescent="0.35">
      <c r="A311" s="184" t="s">
        <v>495</v>
      </c>
      <c r="B311" s="135" t="s">
        <v>495</v>
      </c>
      <c r="C311" s="150" t="s">
        <v>496</v>
      </c>
      <c r="D311" s="149" t="s">
        <v>497</v>
      </c>
      <c r="E311" s="149" t="s">
        <v>322</v>
      </c>
      <c r="F311" s="146" t="s">
        <v>326</v>
      </c>
      <c r="G311" s="149" t="s">
        <v>498</v>
      </c>
      <c r="H311" s="149" t="s">
        <v>497</v>
      </c>
      <c r="I311" s="149" t="s">
        <v>61</v>
      </c>
      <c r="J311" s="71"/>
      <c r="K311" s="127">
        <v>40112</v>
      </c>
      <c r="L311" s="139"/>
      <c r="M311" s="156">
        <v>5.1100000000000003</v>
      </c>
      <c r="N311" s="156">
        <v>5.1100000000000003</v>
      </c>
      <c r="O311" s="156">
        <v>0</v>
      </c>
      <c r="P311" s="156"/>
      <c r="Q311" s="138">
        <v>45195</v>
      </c>
      <c r="R311" s="187">
        <v>2022</v>
      </c>
    </row>
    <row r="312" spans="1:18" ht="28.25" hidden="1" customHeight="1" x14ac:dyDescent="0.35">
      <c r="A312" s="184" t="s">
        <v>495</v>
      </c>
      <c r="B312" s="135" t="s">
        <v>495</v>
      </c>
      <c r="C312" s="150" t="s">
        <v>499</v>
      </c>
      <c r="D312" s="149" t="s">
        <v>335</v>
      </c>
      <c r="E312" s="149" t="s">
        <v>322</v>
      </c>
      <c r="F312" s="149" t="s">
        <v>66</v>
      </c>
      <c r="G312" s="149" t="s">
        <v>451</v>
      </c>
      <c r="H312" s="149" t="s">
        <v>637</v>
      </c>
      <c r="I312" s="149" t="s">
        <v>78</v>
      </c>
      <c r="J312" s="71"/>
      <c r="K312" s="127">
        <v>43349</v>
      </c>
      <c r="L312" s="139"/>
      <c r="M312" s="156">
        <v>0.73</v>
      </c>
      <c r="N312" s="156"/>
      <c r="O312" s="156"/>
      <c r="P312" s="156"/>
      <c r="Q312" s="138">
        <v>44809</v>
      </c>
      <c r="R312" s="187">
        <v>2022</v>
      </c>
    </row>
    <row r="313" spans="1:18" ht="28.25" hidden="1" customHeight="1" x14ac:dyDescent="0.35">
      <c r="A313" s="184" t="s">
        <v>501</v>
      </c>
      <c r="B313" s="135" t="s">
        <v>501</v>
      </c>
      <c r="C313" s="16"/>
      <c r="D313" s="146" t="s">
        <v>503</v>
      </c>
      <c r="E313" s="146" t="s">
        <v>46</v>
      </c>
      <c r="F313" s="146" t="s">
        <v>66</v>
      </c>
      <c r="G313" s="146" t="s">
        <v>498</v>
      </c>
      <c r="H313" s="146" t="s">
        <v>82</v>
      </c>
      <c r="I313" s="146" t="s">
        <v>83</v>
      </c>
      <c r="J313" s="71"/>
      <c r="K313" s="127"/>
      <c r="L313" s="71"/>
      <c r="M313" s="155">
        <v>0.04</v>
      </c>
      <c r="N313" s="155">
        <v>0</v>
      </c>
      <c r="O313" s="155">
        <v>0</v>
      </c>
      <c r="P313" s="155">
        <v>0</v>
      </c>
      <c r="Q313" s="138">
        <v>401768</v>
      </c>
      <c r="R313" s="187">
        <v>2022</v>
      </c>
    </row>
    <row r="314" spans="1:18" ht="28.25" hidden="1" customHeight="1" x14ac:dyDescent="0.35">
      <c r="A314" s="182" t="s">
        <v>323</v>
      </c>
      <c r="B314" s="135" t="s">
        <v>323</v>
      </c>
      <c r="C314" s="146" t="s">
        <v>324</v>
      </c>
      <c r="D314" s="146" t="s">
        <v>325</v>
      </c>
      <c r="E314" s="146" t="s">
        <v>57</v>
      </c>
      <c r="F314" s="146" t="s">
        <v>326</v>
      </c>
      <c r="G314" s="146" t="s">
        <v>504</v>
      </c>
      <c r="H314" s="146" t="s">
        <v>284</v>
      </c>
      <c r="I314" s="146" t="s">
        <v>61</v>
      </c>
      <c r="J314" s="137">
        <v>40914</v>
      </c>
      <c r="K314" s="127">
        <v>40940</v>
      </c>
      <c r="L314" s="137"/>
      <c r="M314" s="155">
        <v>5</v>
      </c>
      <c r="N314" s="155">
        <v>0.02</v>
      </c>
      <c r="O314" s="155">
        <v>0</v>
      </c>
      <c r="P314" s="155">
        <v>1.87</v>
      </c>
      <c r="Q314" s="138">
        <v>44593</v>
      </c>
      <c r="R314" s="187">
        <v>2022</v>
      </c>
    </row>
    <row r="315" spans="1:18" ht="28.25" hidden="1" customHeight="1" x14ac:dyDescent="0.35">
      <c r="A315" s="183" t="s">
        <v>505</v>
      </c>
      <c r="B315" s="135" t="s">
        <v>505</v>
      </c>
      <c r="C315" s="149" t="s">
        <v>506</v>
      </c>
      <c r="D315" s="149" t="s">
        <v>44</v>
      </c>
      <c r="E315" s="149" t="s">
        <v>46</v>
      </c>
      <c r="F315" s="149" t="s">
        <v>66</v>
      </c>
      <c r="G315" s="149" t="s">
        <v>424</v>
      </c>
      <c r="H315" s="149" t="s">
        <v>44</v>
      </c>
      <c r="I315" s="149" t="s">
        <v>66</v>
      </c>
      <c r="J315" s="71"/>
      <c r="K315" s="127">
        <v>44882</v>
      </c>
      <c r="L315" s="139"/>
      <c r="M315" s="156">
        <v>0.51</v>
      </c>
      <c r="N315" s="156">
        <v>0.34</v>
      </c>
      <c r="O315" s="156"/>
      <c r="P315" s="156"/>
      <c r="Q315" s="139"/>
      <c r="R315" s="187">
        <v>2022</v>
      </c>
    </row>
    <row r="316" spans="1:18" ht="28.25" hidden="1" customHeight="1" x14ac:dyDescent="0.35">
      <c r="A316" s="182" t="s">
        <v>62</v>
      </c>
      <c r="B316" s="135" t="s">
        <v>62</v>
      </c>
      <c r="C316" s="149" t="s">
        <v>507</v>
      </c>
      <c r="D316" s="149" t="s">
        <v>416</v>
      </c>
      <c r="E316" s="149" t="s">
        <v>46</v>
      </c>
      <c r="F316" s="149" t="s">
        <v>66</v>
      </c>
      <c r="G316" s="145" t="s">
        <v>64</v>
      </c>
      <c r="H316" s="149" t="s">
        <v>474</v>
      </c>
      <c r="I316" s="149" t="s">
        <v>66</v>
      </c>
      <c r="J316" s="71"/>
      <c r="K316" s="127">
        <v>43573</v>
      </c>
      <c r="L316" s="139"/>
      <c r="M316" s="156">
        <v>0.11</v>
      </c>
      <c r="N316" s="156"/>
      <c r="O316" s="156"/>
      <c r="P316" s="156"/>
      <c r="Q316" s="138">
        <v>45314</v>
      </c>
      <c r="R316" s="187">
        <v>2022</v>
      </c>
    </row>
    <row r="317" spans="1:18" ht="28.25" hidden="1" customHeight="1" x14ac:dyDescent="0.35">
      <c r="A317" s="182" t="s">
        <v>62</v>
      </c>
      <c r="B317" s="135" t="s">
        <v>62</v>
      </c>
      <c r="C317" s="150" t="s">
        <v>508</v>
      </c>
      <c r="D317" s="149" t="s">
        <v>416</v>
      </c>
      <c r="E317" s="149" t="s">
        <v>46</v>
      </c>
      <c r="F317" s="149" t="s">
        <v>66</v>
      </c>
      <c r="G317" s="145" t="s">
        <v>64</v>
      </c>
      <c r="H317" s="149" t="s">
        <v>474</v>
      </c>
      <c r="I317" s="149" t="s">
        <v>66</v>
      </c>
      <c r="J317" s="71"/>
      <c r="K317" s="127">
        <v>44225</v>
      </c>
      <c r="L317" s="139"/>
      <c r="M317" s="156">
        <v>0.105</v>
      </c>
      <c r="N317" s="156"/>
      <c r="O317" s="156"/>
      <c r="P317" s="156"/>
      <c r="Q317" s="138">
        <v>46050</v>
      </c>
      <c r="R317" s="187">
        <v>2022</v>
      </c>
    </row>
    <row r="318" spans="1:18" ht="28.25" hidden="1" customHeight="1" x14ac:dyDescent="0.35">
      <c r="A318" s="182" t="s">
        <v>62</v>
      </c>
      <c r="B318" s="135" t="s">
        <v>62</v>
      </c>
      <c r="C318" s="149" t="s">
        <v>509</v>
      </c>
      <c r="D318" s="149" t="s">
        <v>416</v>
      </c>
      <c r="E318" s="149" t="s">
        <v>46</v>
      </c>
      <c r="F318" s="149" t="s">
        <v>66</v>
      </c>
      <c r="G318" s="145" t="s">
        <v>64</v>
      </c>
      <c r="H318" s="149" t="s">
        <v>474</v>
      </c>
      <c r="I318" s="149" t="s">
        <v>66</v>
      </c>
      <c r="J318" s="71"/>
      <c r="K318" s="127">
        <v>42881</v>
      </c>
      <c r="L318" s="139"/>
      <c r="M318" s="156">
        <v>0.14000000000000001</v>
      </c>
      <c r="N318" s="156"/>
      <c r="O318" s="156"/>
      <c r="P318" s="156"/>
      <c r="Q318" s="138">
        <v>46629</v>
      </c>
      <c r="R318" s="187">
        <v>2022</v>
      </c>
    </row>
    <row r="319" spans="1:18" ht="28.25" hidden="1" customHeight="1" x14ac:dyDescent="0.35">
      <c r="A319" s="182" t="s">
        <v>62</v>
      </c>
      <c r="B319" s="135" t="s">
        <v>62</v>
      </c>
      <c r="C319" s="149" t="s">
        <v>510</v>
      </c>
      <c r="D319" s="149" t="s">
        <v>44</v>
      </c>
      <c r="E319" s="149" t="s">
        <v>46</v>
      </c>
      <c r="F319" s="149" t="s">
        <v>66</v>
      </c>
      <c r="G319" s="149" t="s">
        <v>424</v>
      </c>
      <c r="H319" s="149" t="s">
        <v>44</v>
      </c>
      <c r="I319" s="149" t="s">
        <v>66</v>
      </c>
      <c r="J319" s="71"/>
      <c r="K319" s="127">
        <v>43448</v>
      </c>
      <c r="L319" s="139"/>
      <c r="M319" s="156">
        <v>0.11</v>
      </c>
      <c r="N319" s="156"/>
      <c r="O319" s="156"/>
      <c r="P319" s="156"/>
      <c r="Q319" s="138">
        <v>45273</v>
      </c>
      <c r="R319" s="187">
        <v>2022</v>
      </c>
    </row>
    <row r="320" spans="1:18" ht="28.25" hidden="1" customHeight="1" x14ac:dyDescent="0.35">
      <c r="A320" s="182" t="s">
        <v>62</v>
      </c>
      <c r="B320" s="135" t="s">
        <v>62</v>
      </c>
      <c r="C320" s="149" t="s">
        <v>511</v>
      </c>
      <c r="D320" s="149" t="s">
        <v>44</v>
      </c>
      <c r="E320" s="149" t="s">
        <v>46</v>
      </c>
      <c r="F320" s="149" t="s">
        <v>66</v>
      </c>
      <c r="G320" s="149" t="s">
        <v>424</v>
      </c>
      <c r="H320" s="149" t="s">
        <v>44</v>
      </c>
      <c r="I320" s="149" t="s">
        <v>66</v>
      </c>
      <c r="J320" s="71"/>
      <c r="K320" s="127">
        <v>38525</v>
      </c>
      <c r="L320" s="139"/>
      <c r="M320" s="156">
        <v>1.29</v>
      </c>
      <c r="N320" s="156"/>
      <c r="O320" s="156"/>
      <c r="P320" s="156"/>
      <c r="Q320" s="138">
        <v>45248</v>
      </c>
      <c r="R320" s="187">
        <v>2022</v>
      </c>
    </row>
    <row r="321" spans="1:18" ht="28.25" hidden="1" customHeight="1" x14ac:dyDescent="0.35">
      <c r="A321" s="182" t="s">
        <v>62</v>
      </c>
      <c r="B321" s="135" t="s">
        <v>62</v>
      </c>
      <c r="C321" s="146" t="s">
        <v>513</v>
      </c>
      <c r="D321" s="146" t="s">
        <v>514</v>
      </c>
      <c r="E321" s="146" t="s">
        <v>46</v>
      </c>
      <c r="F321" s="146" t="s">
        <v>66</v>
      </c>
      <c r="G321" s="146" t="s">
        <v>424</v>
      </c>
      <c r="H321" s="146" t="s">
        <v>44</v>
      </c>
      <c r="I321" s="146" t="s">
        <v>66</v>
      </c>
      <c r="J321" s="71"/>
      <c r="K321" s="127">
        <v>44476</v>
      </c>
      <c r="L321" s="137"/>
      <c r="M321" s="155">
        <v>1.722</v>
      </c>
      <c r="N321" s="155">
        <v>0.35</v>
      </c>
      <c r="O321" s="155">
        <v>0</v>
      </c>
      <c r="P321" s="155">
        <v>0</v>
      </c>
      <c r="Q321" s="138">
        <v>46302</v>
      </c>
      <c r="R321" s="187">
        <v>2022</v>
      </c>
    </row>
    <row r="322" spans="1:18" ht="28.25" hidden="1" customHeight="1" x14ac:dyDescent="0.35">
      <c r="A322" s="182" t="s">
        <v>62</v>
      </c>
      <c r="B322" s="135" t="s">
        <v>62</v>
      </c>
      <c r="C322" s="146" t="s">
        <v>515</v>
      </c>
      <c r="D322" s="146" t="s">
        <v>516</v>
      </c>
      <c r="E322" s="146" t="s">
        <v>46</v>
      </c>
      <c r="F322" s="146" t="s">
        <v>66</v>
      </c>
      <c r="G322" s="145" t="s">
        <v>64</v>
      </c>
      <c r="H322" s="146" t="s">
        <v>484</v>
      </c>
      <c r="I322" s="146" t="s">
        <v>66</v>
      </c>
      <c r="J322" s="71"/>
      <c r="K322" s="127">
        <v>40057</v>
      </c>
      <c r="L322" s="137"/>
      <c r="M322" s="155">
        <v>0.59</v>
      </c>
      <c r="N322" s="155">
        <v>1.29E-2</v>
      </c>
      <c r="O322" s="155">
        <v>0</v>
      </c>
      <c r="P322" s="155">
        <v>0</v>
      </c>
      <c r="Q322" s="138">
        <v>41883</v>
      </c>
      <c r="R322" s="187">
        <v>2022</v>
      </c>
    </row>
    <row r="323" spans="1:18" ht="28.25" hidden="1" customHeight="1" x14ac:dyDescent="0.35">
      <c r="A323" s="182" t="s">
        <v>517</v>
      </c>
      <c r="B323" s="135" t="s">
        <v>517</v>
      </c>
      <c r="C323" s="146" t="s">
        <v>518</v>
      </c>
      <c r="D323" s="146" t="s">
        <v>335</v>
      </c>
      <c r="E323" s="146" t="s">
        <v>46</v>
      </c>
      <c r="F323" s="146" t="s">
        <v>66</v>
      </c>
      <c r="G323" s="146" t="s">
        <v>451</v>
      </c>
      <c r="H323" s="146" t="s">
        <v>77</v>
      </c>
      <c r="I323" s="146" t="s">
        <v>78</v>
      </c>
      <c r="J323" s="137">
        <v>43273</v>
      </c>
      <c r="K323" s="137">
        <v>43273</v>
      </c>
      <c r="L323" s="137"/>
      <c r="M323" s="155">
        <v>1</v>
      </c>
      <c r="N323" s="155">
        <v>0</v>
      </c>
      <c r="O323" s="155">
        <v>0</v>
      </c>
      <c r="P323" s="155">
        <v>0</v>
      </c>
      <c r="Q323" s="138">
        <v>45107</v>
      </c>
      <c r="R323" s="187">
        <v>2022</v>
      </c>
    </row>
    <row r="324" spans="1:18" ht="28.25" hidden="1" customHeight="1" x14ac:dyDescent="0.35">
      <c r="A324" s="182" t="s">
        <v>519</v>
      </c>
      <c r="B324" s="135" t="s">
        <v>336</v>
      </c>
      <c r="C324" s="146" t="s">
        <v>520</v>
      </c>
      <c r="D324" s="146" t="s">
        <v>521</v>
      </c>
      <c r="E324" s="146" t="s">
        <v>255</v>
      </c>
      <c r="F324" s="146" t="s">
        <v>66</v>
      </c>
      <c r="G324" s="146" t="s">
        <v>441</v>
      </c>
      <c r="H324" s="146" t="s">
        <v>78</v>
      </c>
      <c r="I324" s="146" t="s">
        <v>78</v>
      </c>
      <c r="J324" s="137">
        <v>42145</v>
      </c>
      <c r="K324" s="137">
        <v>42179</v>
      </c>
      <c r="L324" s="137"/>
      <c r="M324" s="155">
        <v>636</v>
      </c>
      <c r="N324" s="155">
        <v>0</v>
      </c>
      <c r="O324" s="155">
        <v>0</v>
      </c>
      <c r="P324" s="155">
        <v>0</v>
      </c>
      <c r="Q324" s="138">
        <v>401768</v>
      </c>
      <c r="R324" s="187">
        <v>2022</v>
      </c>
    </row>
    <row r="325" spans="1:18" ht="28.25" hidden="1" customHeight="1" x14ac:dyDescent="0.35">
      <c r="A325" s="182" t="s">
        <v>522</v>
      </c>
      <c r="B325" s="135" t="s">
        <v>67</v>
      </c>
      <c r="C325" s="146" t="s">
        <v>523</v>
      </c>
      <c r="D325" s="146" t="s">
        <v>330</v>
      </c>
      <c r="E325" s="146" t="s">
        <v>41</v>
      </c>
      <c r="F325" s="146" t="s">
        <v>66</v>
      </c>
      <c r="G325" s="146" t="s">
        <v>524</v>
      </c>
      <c r="H325" s="146" t="s">
        <v>77</v>
      </c>
      <c r="I325" s="146" t="s">
        <v>78</v>
      </c>
      <c r="J325" s="127">
        <v>38239</v>
      </c>
      <c r="K325" s="137">
        <v>38249</v>
      </c>
      <c r="L325" s="137"/>
      <c r="M325" s="155">
        <v>445</v>
      </c>
      <c r="N325" s="155">
        <v>2.2000000000000002</v>
      </c>
      <c r="O325" s="155">
        <v>0</v>
      </c>
      <c r="P325" s="155">
        <v>2</v>
      </c>
      <c r="Q325" s="138">
        <v>401768</v>
      </c>
      <c r="R325" s="187">
        <v>2022</v>
      </c>
    </row>
    <row r="326" spans="1:18" ht="28.25" hidden="1" customHeight="1" x14ac:dyDescent="0.35">
      <c r="A326" s="182" t="s">
        <v>73</v>
      </c>
      <c r="B326" s="135" t="s">
        <v>73</v>
      </c>
      <c r="C326" s="146" t="s">
        <v>339</v>
      </c>
      <c r="D326" s="146" t="s">
        <v>340</v>
      </c>
      <c r="E326" s="146" t="s">
        <v>46</v>
      </c>
      <c r="F326" s="146" t="s">
        <v>66</v>
      </c>
      <c r="G326" s="146" t="s">
        <v>442</v>
      </c>
      <c r="H326" s="146" t="s">
        <v>484</v>
      </c>
      <c r="I326" s="146" t="s">
        <v>66</v>
      </c>
      <c r="J326" s="137">
        <v>39267</v>
      </c>
      <c r="K326" s="137">
        <v>39391</v>
      </c>
      <c r="L326" s="137"/>
      <c r="M326" s="155">
        <v>0.04</v>
      </c>
      <c r="N326" s="155">
        <v>0</v>
      </c>
      <c r="O326" s="155">
        <v>5.0000000000000001E-3</v>
      </c>
      <c r="P326" s="155">
        <v>0</v>
      </c>
      <c r="Q326" s="138">
        <v>44714</v>
      </c>
      <c r="R326" s="187">
        <v>2022</v>
      </c>
    </row>
    <row r="327" spans="1:18" ht="28.25" hidden="1" customHeight="1" x14ac:dyDescent="0.35">
      <c r="A327" s="182" t="s">
        <v>525</v>
      </c>
      <c r="B327" s="135" t="s">
        <v>525</v>
      </c>
      <c r="C327" s="146" t="s">
        <v>526</v>
      </c>
      <c r="D327" s="146" t="s">
        <v>527</v>
      </c>
      <c r="E327" s="146" t="s">
        <v>255</v>
      </c>
      <c r="F327" s="146" t="s">
        <v>42</v>
      </c>
      <c r="G327" s="146" t="s">
        <v>441</v>
      </c>
      <c r="H327" s="146" t="s">
        <v>528</v>
      </c>
      <c r="I327" s="146" t="s">
        <v>529</v>
      </c>
      <c r="J327" s="137">
        <v>44099</v>
      </c>
      <c r="K327" s="137">
        <v>44132</v>
      </c>
      <c r="L327" s="137"/>
      <c r="M327" s="155">
        <v>588</v>
      </c>
      <c r="N327" s="155">
        <v>0</v>
      </c>
      <c r="O327" s="155">
        <v>0</v>
      </c>
      <c r="P327" s="155">
        <v>0</v>
      </c>
      <c r="Q327" s="138">
        <v>45592</v>
      </c>
      <c r="R327" s="187">
        <v>2022</v>
      </c>
    </row>
    <row r="328" spans="1:18" ht="28.25" hidden="1" customHeight="1" x14ac:dyDescent="0.35">
      <c r="A328" s="182" t="s">
        <v>341</v>
      </c>
      <c r="B328" s="135" t="s">
        <v>341</v>
      </c>
      <c r="C328" s="146" t="s">
        <v>342</v>
      </c>
      <c r="D328" s="146" t="s">
        <v>530</v>
      </c>
      <c r="E328" s="146" t="s">
        <v>87</v>
      </c>
      <c r="F328" s="146" t="s">
        <v>136</v>
      </c>
      <c r="G328" s="146" t="s">
        <v>431</v>
      </c>
      <c r="H328" s="146" t="s">
        <v>438</v>
      </c>
      <c r="I328" s="146" t="s">
        <v>20</v>
      </c>
      <c r="J328" s="137">
        <v>38215</v>
      </c>
      <c r="K328" s="137">
        <v>43815</v>
      </c>
      <c r="L328" s="137"/>
      <c r="M328" s="155">
        <v>148</v>
      </c>
      <c r="N328" s="155">
        <v>0</v>
      </c>
      <c r="O328" s="155">
        <v>0</v>
      </c>
      <c r="P328" s="155">
        <v>0</v>
      </c>
      <c r="Q328" s="138">
        <v>51120</v>
      </c>
      <c r="R328" s="187">
        <v>2022</v>
      </c>
    </row>
    <row r="329" spans="1:18" ht="28.25" hidden="1" customHeight="1" x14ac:dyDescent="0.35">
      <c r="A329" s="182" t="s">
        <v>344</v>
      </c>
      <c r="B329" s="135" t="s">
        <v>344</v>
      </c>
      <c r="C329" s="146" t="s">
        <v>531</v>
      </c>
      <c r="D329" s="146" t="s">
        <v>532</v>
      </c>
      <c r="E329" s="146" t="s">
        <v>46</v>
      </c>
      <c r="F329" s="146" t="s">
        <v>66</v>
      </c>
      <c r="G329" s="146" t="s">
        <v>424</v>
      </c>
      <c r="H329" s="149" t="s">
        <v>44</v>
      </c>
      <c r="I329" s="146" t="s">
        <v>83</v>
      </c>
      <c r="J329" s="137">
        <v>43019</v>
      </c>
      <c r="K329" s="137">
        <v>42054</v>
      </c>
      <c r="L329" s="137"/>
      <c r="M329" s="155">
        <v>0.2</v>
      </c>
      <c r="N329" s="155">
        <v>0</v>
      </c>
      <c r="O329" s="155">
        <v>0</v>
      </c>
      <c r="P329" s="155">
        <v>0</v>
      </c>
      <c r="Q329" s="138">
        <v>43880</v>
      </c>
      <c r="R329" s="187">
        <v>2022</v>
      </c>
    </row>
    <row r="330" spans="1:18" ht="28.25" hidden="1" customHeight="1" x14ac:dyDescent="0.35">
      <c r="A330" s="182" t="s">
        <v>346</v>
      </c>
      <c r="B330" s="135" t="s">
        <v>75</v>
      </c>
      <c r="C330" s="151" t="s">
        <v>533</v>
      </c>
      <c r="D330" s="146" t="s">
        <v>534</v>
      </c>
      <c r="E330" s="146" t="s">
        <v>41</v>
      </c>
      <c r="F330" s="146" t="s">
        <v>66</v>
      </c>
      <c r="G330" s="146" t="s">
        <v>441</v>
      </c>
      <c r="H330" s="146" t="s">
        <v>535</v>
      </c>
      <c r="I330" s="146" t="s">
        <v>78</v>
      </c>
      <c r="J330" s="127">
        <v>39561</v>
      </c>
      <c r="K330" s="137">
        <v>36452</v>
      </c>
      <c r="L330" s="137"/>
      <c r="M330" s="155">
        <v>18.440999999999999</v>
      </c>
      <c r="N330" s="155">
        <v>0</v>
      </c>
      <c r="O330" s="155">
        <v>0</v>
      </c>
      <c r="P330" s="156"/>
      <c r="Q330" s="138">
        <v>401768</v>
      </c>
      <c r="R330" s="187">
        <v>2022</v>
      </c>
    </row>
    <row r="331" spans="1:18" ht="28.25" hidden="1" customHeight="1" x14ac:dyDescent="0.35">
      <c r="A331" s="182" t="s">
        <v>346</v>
      </c>
      <c r="B331" s="135" t="s">
        <v>75</v>
      </c>
      <c r="C331" s="151" t="s">
        <v>536</v>
      </c>
      <c r="D331" s="146" t="s">
        <v>76</v>
      </c>
      <c r="E331" s="146" t="s">
        <v>41</v>
      </c>
      <c r="F331" s="146" t="s">
        <v>66</v>
      </c>
      <c r="G331" s="146" t="s">
        <v>441</v>
      </c>
      <c r="H331" s="146" t="s">
        <v>77</v>
      </c>
      <c r="I331" s="146" t="s">
        <v>78</v>
      </c>
      <c r="J331" s="127">
        <v>39561</v>
      </c>
      <c r="K331" s="137">
        <v>36452</v>
      </c>
      <c r="L331" s="137"/>
      <c r="M331" s="155">
        <v>173</v>
      </c>
      <c r="N331" s="155">
        <v>7</v>
      </c>
      <c r="O331" s="155">
        <v>0</v>
      </c>
      <c r="P331" s="156"/>
      <c r="Q331" s="138">
        <v>401768</v>
      </c>
      <c r="R331" s="187">
        <v>2022</v>
      </c>
    </row>
    <row r="332" spans="1:18" ht="28.25" hidden="1" customHeight="1" x14ac:dyDescent="0.35">
      <c r="A332" s="182" t="s">
        <v>348</v>
      </c>
      <c r="B332" s="135" t="s">
        <v>348</v>
      </c>
      <c r="C332" s="146" t="s">
        <v>349</v>
      </c>
      <c r="D332" s="146" t="s">
        <v>350</v>
      </c>
      <c r="E332" s="146" t="s">
        <v>255</v>
      </c>
      <c r="F332" s="146" t="s">
        <v>136</v>
      </c>
      <c r="G332" s="146" t="s">
        <v>431</v>
      </c>
      <c r="H332" s="146" t="s">
        <v>166</v>
      </c>
      <c r="I332" s="146" t="s">
        <v>20</v>
      </c>
      <c r="J332" s="137">
        <v>40128</v>
      </c>
      <c r="K332" s="137">
        <v>40128</v>
      </c>
      <c r="L332" s="137"/>
      <c r="M332" s="155">
        <v>103</v>
      </c>
      <c r="N332" s="155">
        <v>0</v>
      </c>
      <c r="O332" s="155">
        <v>45</v>
      </c>
      <c r="P332" s="155">
        <v>0</v>
      </c>
      <c r="Q332" s="138">
        <v>44144</v>
      </c>
      <c r="R332" s="187">
        <v>2022</v>
      </c>
    </row>
    <row r="333" spans="1:18" ht="28.25" hidden="1" customHeight="1" x14ac:dyDescent="0.35">
      <c r="A333" s="182" t="s">
        <v>537</v>
      </c>
      <c r="B333" s="135" t="s">
        <v>351</v>
      </c>
      <c r="C333" s="146" t="s">
        <v>538</v>
      </c>
      <c r="D333" s="146" t="s">
        <v>353</v>
      </c>
      <c r="E333" s="146" t="s">
        <v>255</v>
      </c>
      <c r="F333" s="146" t="s">
        <v>29</v>
      </c>
      <c r="G333" s="146" t="s">
        <v>441</v>
      </c>
      <c r="H333" s="146" t="s">
        <v>539</v>
      </c>
      <c r="I333" s="146" t="s">
        <v>29</v>
      </c>
      <c r="J333" s="137">
        <v>42147</v>
      </c>
      <c r="K333" s="137">
        <v>42233</v>
      </c>
      <c r="L333" s="137"/>
      <c r="M333" s="153">
        <v>3029.76</v>
      </c>
      <c r="N333" s="155">
        <v>0</v>
      </c>
      <c r="O333" s="155">
        <v>757</v>
      </c>
      <c r="P333" s="155">
        <v>0</v>
      </c>
      <c r="Q333" s="138">
        <v>44424</v>
      </c>
      <c r="R333" s="187">
        <v>2022</v>
      </c>
    </row>
    <row r="334" spans="1:18" ht="28.25" hidden="1" customHeight="1" x14ac:dyDescent="0.35">
      <c r="A334" s="182" t="s">
        <v>354</v>
      </c>
      <c r="B334" s="135" t="s">
        <v>354</v>
      </c>
      <c r="C334" s="146" t="s">
        <v>355</v>
      </c>
      <c r="D334" s="146" t="s">
        <v>356</v>
      </c>
      <c r="E334" s="146" t="s">
        <v>46</v>
      </c>
      <c r="F334" s="146" t="s">
        <v>66</v>
      </c>
      <c r="G334" s="146" t="s">
        <v>442</v>
      </c>
      <c r="H334" s="146" t="s">
        <v>484</v>
      </c>
      <c r="I334" s="146" t="s">
        <v>66</v>
      </c>
      <c r="J334" s="137">
        <v>43742</v>
      </c>
      <c r="K334" s="137">
        <v>43797</v>
      </c>
      <c r="L334" s="137"/>
      <c r="M334" s="155">
        <v>0.06</v>
      </c>
      <c r="N334" s="155">
        <v>6.3399999999999998E-2</v>
      </c>
      <c r="O334" s="155">
        <v>0</v>
      </c>
      <c r="P334" s="155">
        <v>0</v>
      </c>
      <c r="Q334" s="138">
        <v>401768</v>
      </c>
      <c r="R334" s="187">
        <v>2022</v>
      </c>
    </row>
    <row r="335" spans="1:18" ht="28.25" hidden="1" customHeight="1" x14ac:dyDescent="0.35">
      <c r="A335" s="182" t="s">
        <v>540</v>
      </c>
      <c r="B335" s="135" t="s">
        <v>357</v>
      </c>
      <c r="C335" s="146" t="s">
        <v>541</v>
      </c>
      <c r="D335" s="146" t="s">
        <v>542</v>
      </c>
      <c r="E335" s="146" t="s">
        <v>46</v>
      </c>
      <c r="F335" s="146" t="s">
        <v>66</v>
      </c>
      <c r="G335" s="146" t="s">
        <v>424</v>
      </c>
      <c r="H335" s="146" t="s">
        <v>543</v>
      </c>
      <c r="I335" s="146" t="s">
        <v>78</v>
      </c>
      <c r="J335" s="71"/>
      <c r="K335" s="137">
        <v>44348</v>
      </c>
      <c r="L335" s="137"/>
      <c r="M335" s="155">
        <v>1.74</v>
      </c>
      <c r="N335" s="155">
        <v>0</v>
      </c>
      <c r="O335" s="155">
        <v>0</v>
      </c>
      <c r="P335" s="155">
        <v>0</v>
      </c>
      <c r="Q335" s="138">
        <v>45808</v>
      </c>
      <c r="R335" s="187">
        <v>2022</v>
      </c>
    </row>
    <row r="336" spans="1:18" ht="28.25" hidden="1" customHeight="1" x14ac:dyDescent="0.35">
      <c r="A336" s="182" t="s">
        <v>360</v>
      </c>
      <c r="B336" s="135" t="s">
        <v>84</v>
      </c>
      <c r="C336" s="146" t="s">
        <v>361</v>
      </c>
      <c r="D336" s="146" t="s">
        <v>362</v>
      </c>
      <c r="E336" s="146" t="s">
        <v>87</v>
      </c>
      <c r="F336" s="146" t="s">
        <v>136</v>
      </c>
      <c r="G336" s="146" t="s">
        <v>431</v>
      </c>
      <c r="H336" s="146" t="s">
        <v>544</v>
      </c>
      <c r="I336" s="146" t="s">
        <v>20</v>
      </c>
      <c r="J336" s="137">
        <v>42702</v>
      </c>
      <c r="K336" s="137">
        <v>43382</v>
      </c>
      <c r="L336" s="137"/>
      <c r="M336" s="155">
        <v>121.83</v>
      </c>
      <c r="N336" s="155">
        <v>0</v>
      </c>
      <c r="O336" s="155">
        <v>102</v>
      </c>
      <c r="P336" s="155">
        <v>0</v>
      </c>
      <c r="Q336" s="138">
        <v>401768</v>
      </c>
      <c r="R336" s="187">
        <v>2022</v>
      </c>
    </row>
    <row r="337" spans="1:18" ht="28.25" hidden="1" customHeight="1" x14ac:dyDescent="0.35">
      <c r="A337" s="182" t="s">
        <v>363</v>
      </c>
      <c r="B337" s="135" t="s">
        <v>363</v>
      </c>
      <c r="C337" s="146" t="s">
        <v>545</v>
      </c>
      <c r="D337" s="146" t="s">
        <v>546</v>
      </c>
      <c r="E337" s="146" t="s">
        <v>255</v>
      </c>
      <c r="F337" s="146" t="s">
        <v>136</v>
      </c>
      <c r="G337" s="146" t="s">
        <v>431</v>
      </c>
      <c r="H337" s="146" t="s">
        <v>94</v>
      </c>
      <c r="I337" s="146" t="s">
        <v>20</v>
      </c>
      <c r="J337" s="71"/>
      <c r="K337" s="137">
        <v>43886</v>
      </c>
      <c r="L337" s="137"/>
      <c r="M337" s="155">
        <v>286</v>
      </c>
      <c r="N337" s="155">
        <v>0</v>
      </c>
      <c r="O337" s="155">
        <v>0</v>
      </c>
      <c r="P337" s="155">
        <v>0</v>
      </c>
      <c r="Q337" s="138">
        <v>401768</v>
      </c>
      <c r="R337" s="187">
        <v>2022</v>
      </c>
    </row>
    <row r="338" spans="1:18" ht="28.25" hidden="1" customHeight="1" x14ac:dyDescent="0.35">
      <c r="A338" s="184" t="s">
        <v>547</v>
      </c>
      <c r="B338" s="135" t="s">
        <v>547</v>
      </c>
      <c r="C338" s="146" t="s">
        <v>548</v>
      </c>
      <c r="D338" s="146" t="s">
        <v>367</v>
      </c>
      <c r="E338" s="146" t="s">
        <v>255</v>
      </c>
      <c r="F338" s="146" t="s">
        <v>136</v>
      </c>
      <c r="G338" s="146" t="s">
        <v>431</v>
      </c>
      <c r="H338" s="146" t="s">
        <v>20</v>
      </c>
      <c r="I338" s="146" t="s">
        <v>20</v>
      </c>
      <c r="J338" s="137">
        <v>43413</v>
      </c>
      <c r="K338" s="137">
        <v>43501</v>
      </c>
      <c r="L338" s="137"/>
      <c r="M338" s="155">
        <v>110</v>
      </c>
      <c r="N338" s="155">
        <v>0</v>
      </c>
      <c r="O338" s="155">
        <v>0</v>
      </c>
      <c r="P338" s="155">
        <v>0</v>
      </c>
      <c r="Q338" s="138">
        <v>44962</v>
      </c>
      <c r="R338" s="187">
        <v>2022</v>
      </c>
    </row>
    <row r="339" spans="1:18" ht="28.25" hidden="1" customHeight="1" x14ac:dyDescent="0.35">
      <c r="A339" s="184" t="s">
        <v>547</v>
      </c>
      <c r="B339" s="135" t="s">
        <v>547</v>
      </c>
      <c r="C339" s="146" t="s">
        <v>549</v>
      </c>
      <c r="D339" s="146" t="s">
        <v>369</v>
      </c>
      <c r="E339" s="146" t="s">
        <v>255</v>
      </c>
      <c r="F339" s="146" t="s">
        <v>136</v>
      </c>
      <c r="G339" s="146" t="s">
        <v>550</v>
      </c>
      <c r="H339" s="146" t="s">
        <v>20</v>
      </c>
      <c r="I339" s="146" t="s">
        <v>20</v>
      </c>
      <c r="J339" s="137">
        <v>43196</v>
      </c>
      <c r="K339" s="137">
        <v>43229</v>
      </c>
      <c r="L339" s="137"/>
      <c r="M339" s="155">
        <v>368</v>
      </c>
      <c r="N339" s="155">
        <v>0</v>
      </c>
      <c r="O339" s="155">
        <v>0</v>
      </c>
      <c r="P339" s="155">
        <v>0</v>
      </c>
      <c r="Q339" s="138">
        <v>44690</v>
      </c>
      <c r="R339" s="187">
        <v>2022</v>
      </c>
    </row>
    <row r="340" spans="1:18" ht="28.25" hidden="1" customHeight="1" x14ac:dyDescent="0.35">
      <c r="A340" s="182" t="s">
        <v>551</v>
      </c>
      <c r="B340" s="135" t="s">
        <v>551</v>
      </c>
      <c r="C340" s="146" t="s">
        <v>552</v>
      </c>
      <c r="D340" s="146" t="s">
        <v>372</v>
      </c>
      <c r="E340" s="146" t="s">
        <v>255</v>
      </c>
      <c r="F340" s="146" t="s">
        <v>136</v>
      </c>
      <c r="G340" s="146" t="s">
        <v>431</v>
      </c>
      <c r="H340" s="146" t="s">
        <v>166</v>
      </c>
      <c r="I340" s="146" t="s">
        <v>20</v>
      </c>
      <c r="J340" s="137">
        <v>41470</v>
      </c>
      <c r="K340" s="137">
        <v>44012</v>
      </c>
      <c r="L340" s="137"/>
      <c r="M340" s="153">
        <v>57</v>
      </c>
      <c r="N340" s="155">
        <v>0</v>
      </c>
      <c r="O340" s="155">
        <v>14</v>
      </c>
      <c r="P340" s="155">
        <v>0</v>
      </c>
      <c r="Q340" s="138">
        <v>45472</v>
      </c>
      <c r="R340" s="187">
        <v>2022</v>
      </c>
    </row>
    <row r="341" spans="1:18" ht="28.25" hidden="1" customHeight="1" x14ac:dyDescent="0.35">
      <c r="A341" s="182" t="s">
        <v>373</v>
      </c>
      <c r="B341" s="135" t="s">
        <v>373</v>
      </c>
      <c r="C341" s="146" t="s">
        <v>91</v>
      </c>
      <c r="D341" s="146" t="s">
        <v>90</v>
      </c>
      <c r="E341" s="146" t="s">
        <v>41</v>
      </c>
      <c r="F341" s="146" t="s">
        <v>136</v>
      </c>
      <c r="G341" s="146" t="s">
        <v>431</v>
      </c>
      <c r="H341" s="146" t="s">
        <v>92</v>
      </c>
      <c r="I341" s="146" t="s">
        <v>136</v>
      </c>
      <c r="J341" s="137">
        <v>38980</v>
      </c>
      <c r="K341" s="137">
        <v>42565</v>
      </c>
      <c r="L341" s="137"/>
      <c r="M341" s="155">
        <v>87.5</v>
      </c>
      <c r="N341" s="155">
        <v>87.5</v>
      </c>
      <c r="O341" s="156"/>
      <c r="P341" s="156"/>
      <c r="Q341" s="138">
        <v>48043</v>
      </c>
      <c r="R341" s="187">
        <v>2022</v>
      </c>
    </row>
    <row r="342" spans="1:18" ht="28.25" hidden="1" customHeight="1" x14ac:dyDescent="0.35">
      <c r="A342" s="182" t="s">
        <v>374</v>
      </c>
      <c r="B342" s="135" t="s">
        <v>374</v>
      </c>
      <c r="C342" s="146" t="s">
        <v>553</v>
      </c>
      <c r="D342" s="146" t="s">
        <v>52</v>
      </c>
      <c r="E342" s="146" t="s">
        <v>41</v>
      </c>
      <c r="F342" s="146" t="s">
        <v>66</v>
      </c>
      <c r="G342" s="146" t="s">
        <v>554</v>
      </c>
      <c r="H342" s="146" t="s">
        <v>52</v>
      </c>
      <c r="I342" s="146" t="s">
        <v>66</v>
      </c>
      <c r="J342" s="71"/>
      <c r="K342" s="137">
        <v>35296</v>
      </c>
      <c r="L342" s="137"/>
      <c r="M342" s="155">
        <v>0.36</v>
      </c>
      <c r="N342" s="155">
        <v>0</v>
      </c>
      <c r="O342" s="155">
        <v>0</v>
      </c>
      <c r="P342" s="155">
        <v>0</v>
      </c>
      <c r="Q342" s="138">
        <v>401768</v>
      </c>
      <c r="R342" s="187">
        <v>2022</v>
      </c>
    </row>
    <row r="343" spans="1:18" ht="28.25" hidden="1" customHeight="1" x14ac:dyDescent="0.35">
      <c r="A343" s="182" t="s">
        <v>374</v>
      </c>
      <c r="B343" s="135" t="s">
        <v>374</v>
      </c>
      <c r="C343" s="146" t="s">
        <v>555</v>
      </c>
      <c r="D343" s="146" t="s">
        <v>102</v>
      </c>
      <c r="E343" s="146" t="s">
        <v>41</v>
      </c>
      <c r="F343" s="146" t="s">
        <v>66</v>
      </c>
      <c r="G343" s="146" t="s">
        <v>554</v>
      </c>
      <c r="H343" s="146" t="s">
        <v>556</v>
      </c>
      <c r="I343" s="146" t="s">
        <v>83</v>
      </c>
      <c r="J343" s="71"/>
      <c r="K343" s="137">
        <v>35242</v>
      </c>
      <c r="L343" s="137"/>
      <c r="M343" s="155">
        <v>0.45</v>
      </c>
      <c r="N343" s="155">
        <v>0</v>
      </c>
      <c r="O343" s="155">
        <v>0</v>
      </c>
      <c r="P343" s="155">
        <v>0</v>
      </c>
      <c r="Q343" s="138">
        <v>401768</v>
      </c>
      <c r="R343" s="187">
        <v>2022</v>
      </c>
    </row>
    <row r="344" spans="1:18" ht="28.25" hidden="1" customHeight="1" x14ac:dyDescent="0.35">
      <c r="A344" s="182" t="s">
        <v>374</v>
      </c>
      <c r="B344" s="135" t="s">
        <v>374</v>
      </c>
      <c r="C344" s="146" t="s">
        <v>557</v>
      </c>
      <c r="D344" s="146" t="s">
        <v>375</v>
      </c>
      <c r="E344" s="146" t="s">
        <v>41</v>
      </c>
      <c r="F344" s="146" t="s">
        <v>66</v>
      </c>
      <c r="G344" s="146" t="s">
        <v>554</v>
      </c>
      <c r="H344" s="146" t="s">
        <v>556</v>
      </c>
      <c r="I344" s="146" t="s">
        <v>83</v>
      </c>
      <c r="J344" s="71"/>
      <c r="K344" s="137">
        <v>28864</v>
      </c>
      <c r="L344" s="137"/>
      <c r="M344" s="155">
        <v>1.45</v>
      </c>
      <c r="N344" s="155">
        <v>0.01</v>
      </c>
      <c r="O344" s="155">
        <v>0</v>
      </c>
      <c r="P344" s="155">
        <v>0.1</v>
      </c>
      <c r="Q344" s="138">
        <v>56257</v>
      </c>
      <c r="R344" s="187">
        <v>2022</v>
      </c>
    </row>
    <row r="345" spans="1:18" ht="28.25" hidden="1" customHeight="1" x14ac:dyDescent="0.35">
      <c r="A345" s="183" t="s">
        <v>558</v>
      </c>
      <c r="B345" s="135" t="s">
        <v>558</v>
      </c>
      <c r="C345" s="149" t="s">
        <v>559</v>
      </c>
      <c r="D345" s="149" t="s">
        <v>44</v>
      </c>
      <c r="E345" s="149" t="s">
        <v>46</v>
      </c>
      <c r="F345" s="149" t="s">
        <v>66</v>
      </c>
      <c r="G345" s="149" t="s">
        <v>424</v>
      </c>
      <c r="H345" s="149" t="s">
        <v>44</v>
      </c>
      <c r="I345" s="149" t="s">
        <v>66</v>
      </c>
      <c r="J345" s="71"/>
      <c r="K345" s="139">
        <v>43474</v>
      </c>
      <c r="L345" s="139"/>
      <c r="M345" s="156">
        <v>0.42</v>
      </c>
      <c r="N345" s="156">
        <v>0.42</v>
      </c>
      <c r="O345" s="156"/>
      <c r="P345" s="156"/>
      <c r="Q345" s="138">
        <v>45299</v>
      </c>
      <c r="R345" s="187">
        <v>2022</v>
      </c>
    </row>
    <row r="346" spans="1:18" ht="28.25" customHeight="1" x14ac:dyDescent="0.35">
      <c r="A346" s="182" t="s">
        <v>376</v>
      </c>
      <c r="B346" s="135" t="s">
        <v>93</v>
      </c>
      <c r="C346" s="146" t="s">
        <v>95</v>
      </c>
      <c r="D346" s="146" t="s">
        <v>94</v>
      </c>
      <c r="E346" s="146" t="s">
        <v>41</v>
      </c>
      <c r="F346" s="146" t="s">
        <v>136</v>
      </c>
      <c r="G346" s="146" t="s">
        <v>431</v>
      </c>
      <c r="H346" s="146" t="s">
        <v>94</v>
      </c>
      <c r="I346" s="146" t="s">
        <v>20</v>
      </c>
      <c r="J346" s="137">
        <v>42101</v>
      </c>
      <c r="K346" s="137">
        <v>42214</v>
      </c>
      <c r="L346" s="137"/>
      <c r="M346" s="155">
        <v>291.8</v>
      </c>
      <c r="N346" s="155">
        <v>291.8</v>
      </c>
      <c r="O346" s="156"/>
      <c r="P346" s="155">
        <v>0.69</v>
      </c>
      <c r="Q346" s="138">
        <v>51345</v>
      </c>
      <c r="R346" s="187">
        <v>2022</v>
      </c>
    </row>
    <row r="347" spans="1:18" ht="28.25" hidden="1" customHeight="1" x14ac:dyDescent="0.35">
      <c r="A347" s="182" t="s">
        <v>377</v>
      </c>
      <c r="B347" s="135" t="s">
        <v>96</v>
      </c>
      <c r="C347" s="146" t="s">
        <v>560</v>
      </c>
      <c r="D347" s="146" t="s">
        <v>97</v>
      </c>
      <c r="E347" s="146" t="s">
        <v>255</v>
      </c>
      <c r="F347" s="146" t="s">
        <v>136</v>
      </c>
      <c r="G347" s="146" t="s">
        <v>431</v>
      </c>
      <c r="H347" s="146" t="s">
        <v>94</v>
      </c>
      <c r="I347" s="146" t="s">
        <v>20</v>
      </c>
      <c r="J347" s="137">
        <v>43161</v>
      </c>
      <c r="K347" s="137">
        <v>43210</v>
      </c>
      <c r="L347" s="137"/>
      <c r="M347" s="155">
        <v>337.3</v>
      </c>
      <c r="N347" s="155">
        <v>0</v>
      </c>
      <c r="O347" s="155">
        <v>0</v>
      </c>
      <c r="P347" s="155">
        <v>0</v>
      </c>
      <c r="Q347" s="138">
        <v>44670</v>
      </c>
      <c r="R347" s="187">
        <v>2022</v>
      </c>
    </row>
    <row r="348" spans="1:18" ht="28.25" hidden="1" customHeight="1" x14ac:dyDescent="0.35">
      <c r="A348" s="182" t="s">
        <v>382</v>
      </c>
      <c r="B348" s="135" t="s">
        <v>101</v>
      </c>
      <c r="C348" s="146" t="s">
        <v>103</v>
      </c>
      <c r="D348" s="146" t="s">
        <v>102</v>
      </c>
      <c r="E348" s="146" t="s">
        <v>41</v>
      </c>
      <c r="F348" s="146" t="s">
        <v>66</v>
      </c>
      <c r="G348" s="146" t="s">
        <v>554</v>
      </c>
      <c r="H348" s="146" t="s">
        <v>561</v>
      </c>
      <c r="I348" s="146" t="s">
        <v>83</v>
      </c>
      <c r="J348" s="137">
        <v>35941</v>
      </c>
      <c r="K348" s="137">
        <v>36574</v>
      </c>
      <c r="L348" s="137"/>
      <c r="M348" s="155">
        <v>2.1800000000000002</v>
      </c>
      <c r="N348" s="155">
        <v>0.19800000000000001</v>
      </c>
      <c r="O348" s="155">
        <v>2.16</v>
      </c>
      <c r="P348" s="155">
        <v>9.8000000000000004E-2</v>
      </c>
      <c r="Q348" s="138">
        <v>401768</v>
      </c>
      <c r="R348" s="187">
        <v>2022</v>
      </c>
    </row>
    <row r="349" spans="1:18" ht="28.25" hidden="1" customHeight="1" x14ac:dyDescent="0.35">
      <c r="A349" s="185" t="s">
        <v>638</v>
      </c>
      <c r="B349" s="135" t="s">
        <v>638</v>
      </c>
      <c r="C349" s="65" t="s">
        <v>639</v>
      </c>
      <c r="D349" s="65" t="s">
        <v>640</v>
      </c>
      <c r="E349" s="65" t="s">
        <v>57</v>
      </c>
      <c r="F349" s="65" t="s">
        <v>10</v>
      </c>
      <c r="G349" s="65" t="s">
        <v>641</v>
      </c>
      <c r="H349" s="65" t="s">
        <v>642</v>
      </c>
      <c r="I349" s="65" t="s">
        <v>256</v>
      </c>
      <c r="J349" s="142">
        <v>40931</v>
      </c>
      <c r="K349" s="142">
        <v>40935</v>
      </c>
      <c r="L349" s="142"/>
      <c r="M349" s="51">
        <v>4.55</v>
      </c>
      <c r="N349" s="51">
        <v>0.156</v>
      </c>
      <c r="O349" s="51">
        <v>2.57</v>
      </c>
      <c r="P349" s="51">
        <v>0</v>
      </c>
      <c r="Q349" s="143">
        <v>401768</v>
      </c>
      <c r="R349" s="187">
        <v>2022</v>
      </c>
    </row>
    <row r="350" spans="1:18" ht="28.25" hidden="1" customHeight="1" x14ac:dyDescent="0.35">
      <c r="A350" s="185" t="s">
        <v>638</v>
      </c>
      <c r="B350" s="135" t="s">
        <v>638</v>
      </c>
      <c r="C350" s="65" t="s">
        <v>639</v>
      </c>
      <c r="D350" s="135" t="s">
        <v>2</v>
      </c>
      <c r="E350" s="135" t="s">
        <v>255</v>
      </c>
      <c r="F350" s="135" t="s">
        <v>256</v>
      </c>
      <c r="G350" s="146" t="s">
        <v>426</v>
      </c>
      <c r="H350" s="146" t="s">
        <v>427</v>
      </c>
      <c r="I350" s="146" t="s">
        <v>256</v>
      </c>
      <c r="J350" s="132">
        <v>41327</v>
      </c>
      <c r="K350" s="132">
        <v>41465</v>
      </c>
      <c r="L350" s="132"/>
      <c r="M350" s="153">
        <v>898.5</v>
      </c>
      <c r="N350" s="153">
        <v>0</v>
      </c>
      <c r="O350" s="153">
        <v>545.1</v>
      </c>
      <c r="P350" s="153">
        <v>0</v>
      </c>
      <c r="Q350" s="131">
        <v>44741</v>
      </c>
      <c r="R350" s="187">
        <v>2022</v>
      </c>
    </row>
    <row r="351" spans="1:18" ht="28.25" hidden="1" customHeight="1" x14ac:dyDescent="0.35">
      <c r="A351" s="182" t="s">
        <v>106</v>
      </c>
      <c r="B351" s="135" t="s">
        <v>106</v>
      </c>
      <c r="C351" s="146" t="s">
        <v>564</v>
      </c>
      <c r="D351" s="146" t="s">
        <v>107</v>
      </c>
      <c r="E351" s="146" t="s">
        <v>57</v>
      </c>
      <c r="F351" s="146" t="s">
        <v>66</v>
      </c>
      <c r="G351" s="146" t="s">
        <v>441</v>
      </c>
      <c r="H351" s="146" t="s">
        <v>565</v>
      </c>
      <c r="I351" s="146" t="s">
        <v>78</v>
      </c>
      <c r="J351" s="137">
        <v>40126</v>
      </c>
      <c r="K351" s="137">
        <v>40126</v>
      </c>
      <c r="L351" s="137"/>
      <c r="M351" s="153">
        <v>5</v>
      </c>
      <c r="N351" s="155">
        <v>0</v>
      </c>
      <c r="O351" s="153">
        <v>0</v>
      </c>
      <c r="P351" s="155">
        <v>0</v>
      </c>
      <c r="Q351" s="138">
        <v>401768</v>
      </c>
      <c r="R351" s="187">
        <v>2022</v>
      </c>
    </row>
    <row r="352" spans="1:18" ht="28.25" hidden="1" customHeight="1" x14ac:dyDescent="0.35">
      <c r="A352" s="185" t="s">
        <v>643</v>
      </c>
      <c r="B352" s="135" t="s">
        <v>643</v>
      </c>
      <c r="C352" s="65" t="s">
        <v>644</v>
      </c>
      <c r="D352" s="65" t="s">
        <v>645</v>
      </c>
      <c r="E352" s="65" t="s">
        <v>57</v>
      </c>
      <c r="F352" s="65" t="s">
        <v>136</v>
      </c>
      <c r="G352" s="65" t="s">
        <v>431</v>
      </c>
      <c r="H352" s="65" t="s">
        <v>20</v>
      </c>
      <c r="I352" s="65" t="s">
        <v>20</v>
      </c>
      <c r="J352" s="142">
        <v>43115</v>
      </c>
      <c r="K352" s="142">
        <v>40935</v>
      </c>
      <c r="L352" s="142"/>
      <c r="M352" s="51">
        <v>5</v>
      </c>
      <c r="N352" s="51">
        <v>5</v>
      </c>
      <c r="O352" s="51">
        <v>0</v>
      </c>
      <c r="P352" s="51">
        <v>0</v>
      </c>
      <c r="Q352" s="143">
        <v>401768</v>
      </c>
      <c r="R352" s="187">
        <v>2022</v>
      </c>
    </row>
    <row r="353" spans="1:18" ht="28.25" hidden="1" customHeight="1" x14ac:dyDescent="0.35">
      <c r="A353" s="182" t="s">
        <v>388</v>
      </c>
      <c r="B353" s="135" t="s">
        <v>388</v>
      </c>
      <c r="C353" s="146" t="s">
        <v>389</v>
      </c>
      <c r="D353" s="146" t="s">
        <v>390</v>
      </c>
      <c r="E353" s="146" t="s">
        <v>255</v>
      </c>
      <c r="F353" s="146" t="s">
        <v>42</v>
      </c>
      <c r="G353" s="146" t="s">
        <v>441</v>
      </c>
      <c r="H353" s="146" t="s">
        <v>566</v>
      </c>
      <c r="I353" s="146" t="s">
        <v>42</v>
      </c>
      <c r="J353" s="137">
        <v>42368</v>
      </c>
      <c r="K353" s="137">
        <v>42429</v>
      </c>
      <c r="L353" s="137"/>
      <c r="M353" s="155">
        <v>872</v>
      </c>
      <c r="N353" s="155">
        <v>0</v>
      </c>
      <c r="O353" s="155">
        <v>381</v>
      </c>
      <c r="P353" s="155">
        <v>0</v>
      </c>
      <c r="Q353" s="138">
        <v>44619</v>
      </c>
      <c r="R353" s="187">
        <v>2022</v>
      </c>
    </row>
    <row r="354" spans="1:18" ht="28.25" hidden="1" customHeight="1" x14ac:dyDescent="0.35">
      <c r="A354" s="182" t="s">
        <v>567</v>
      </c>
      <c r="B354" s="135" t="s">
        <v>567</v>
      </c>
      <c r="C354" s="146" t="s">
        <v>394</v>
      </c>
      <c r="D354" s="146" t="s">
        <v>568</v>
      </c>
      <c r="E354" s="146" t="s">
        <v>46</v>
      </c>
      <c r="F354" s="146" t="s">
        <v>66</v>
      </c>
      <c r="G354" s="146" t="s">
        <v>451</v>
      </c>
      <c r="H354" s="146" t="s">
        <v>452</v>
      </c>
      <c r="I354" s="146" t="s">
        <v>78</v>
      </c>
      <c r="J354" s="71"/>
      <c r="K354" s="137">
        <v>43196</v>
      </c>
      <c r="L354" s="137"/>
      <c r="M354" s="155">
        <v>0</v>
      </c>
      <c r="N354" s="155">
        <v>0</v>
      </c>
      <c r="O354" s="155">
        <v>0</v>
      </c>
      <c r="P354" s="155">
        <v>0</v>
      </c>
      <c r="Q354" s="138">
        <v>401768</v>
      </c>
      <c r="R354" s="187">
        <v>2022</v>
      </c>
    </row>
    <row r="355" spans="1:18" ht="28.25" hidden="1" customHeight="1" x14ac:dyDescent="0.35">
      <c r="A355" s="184" t="s">
        <v>646</v>
      </c>
      <c r="B355" s="135" t="s">
        <v>646</v>
      </c>
      <c r="C355" s="146" t="s">
        <v>598</v>
      </c>
      <c r="D355" s="146" t="s">
        <v>599</v>
      </c>
      <c r="E355" s="146" t="s">
        <v>46</v>
      </c>
      <c r="F355" s="146" t="s">
        <v>66</v>
      </c>
      <c r="G355" s="146" t="s">
        <v>451</v>
      </c>
      <c r="H355" s="146" t="s">
        <v>77</v>
      </c>
      <c r="I355" s="146" t="s">
        <v>78</v>
      </c>
      <c r="J355" s="71"/>
      <c r="K355" s="137">
        <v>43195</v>
      </c>
      <c r="L355" s="137"/>
      <c r="M355" s="155">
        <v>0</v>
      </c>
      <c r="N355" s="155">
        <v>0</v>
      </c>
      <c r="O355" s="155">
        <v>0</v>
      </c>
      <c r="P355" s="155">
        <v>0</v>
      </c>
      <c r="Q355" s="138">
        <v>401768</v>
      </c>
      <c r="R355" s="187">
        <v>2022</v>
      </c>
    </row>
    <row r="356" spans="1:18" ht="28.25" hidden="1" customHeight="1" x14ac:dyDescent="0.35">
      <c r="A356" s="182" t="s">
        <v>569</v>
      </c>
      <c r="B356" s="135" t="s">
        <v>569</v>
      </c>
      <c r="C356" s="146" t="s">
        <v>398</v>
      </c>
      <c r="D356" s="146" t="s">
        <v>399</v>
      </c>
      <c r="E356" s="146" t="s">
        <v>41</v>
      </c>
      <c r="F356" s="146" t="s">
        <v>29</v>
      </c>
      <c r="G356" s="146" t="s">
        <v>441</v>
      </c>
      <c r="H356" s="146" t="s">
        <v>119</v>
      </c>
      <c r="I356" s="146" t="s">
        <v>165</v>
      </c>
      <c r="J356" s="137">
        <v>39722</v>
      </c>
      <c r="K356" s="137">
        <v>40702</v>
      </c>
      <c r="L356" s="137"/>
      <c r="M356" s="155">
        <v>661</v>
      </c>
      <c r="N356" s="155">
        <v>10</v>
      </c>
      <c r="O356" s="155">
        <v>0</v>
      </c>
      <c r="P356" s="155">
        <v>0</v>
      </c>
      <c r="Q356" s="71"/>
      <c r="R356" s="187">
        <v>2022</v>
      </c>
    </row>
    <row r="357" spans="1:18" ht="28.25" hidden="1" customHeight="1" x14ac:dyDescent="0.35">
      <c r="A357" s="182" t="s">
        <v>391</v>
      </c>
      <c r="B357" s="135" t="s">
        <v>391</v>
      </c>
      <c r="C357" s="146" t="s">
        <v>570</v>
      </c>
      <c r="D357" s="146" t="s">
        <v>571</v>
      </c>
      <c r="E357" s="146" t="s">
        <v>255</v>
      </c>
      <c r="F357" s="146" t="s">
        <v>136</v>
      </c>
      <c r="G357" s="146" t="s">
        <v>431</v>
      </c>
      <c r="H357" s="146" t="s">
        <v>482</v>
      </c>
      <c r="I357" s="146" t="s">
        <v>20</v>
      </c>
      <c r="J357" s="137">
        <v>42955</v>
      </c>
      <c r="K357" s="137">
        <v>42969</v>
      </c>
      <c r="L357" s="137"/>
      <c r="M357" s="155">
        <v>113.2</v>
      </c>
      <c r="N357" s="155">
        <v>0</v>
      </c>
      <c r="O357" s="155">
        <v>28.3</v>
      </c>
      <c r="P357" s="155">
        <v>0</v>
      </c>
      <c r="Q357" s="138">
        <v>44430</v>
      </c>
      <c r="R357" s="187">
        <v>2022</v>
      </c>
    </row>
    <row r="358" spans="1:18" ht="28.25" hidden="1" customHeight="1" x14ac:dyDescent="0.35">
      <c r="A358" s="182" t="s">
        <v>572</v>
      </c>
      <c r="B358" s="135" t="s">
        <v>572</v>
      </c>
      <c r="C358" s="135" t="s">
        <v>403</v>
      </c>
      <c r="D358" s="135" t="s">
        <v>111</v>
      </c>
      <c r="E358" s="135" t="s">
        <v>41</v>
      </c>
      <c r="F358" s="135" t="s">
        <v>66</v>
      </c>
      <c r="G358" s="146" t="s">
        <v>554</v>
      </c>
      <c r="H358" s="146" t="s">
        <v>52</v>
      </c>
      <c r="I358" s="146" t="s">
        <v>66</v>
      </c>
      <c r="J358" s="132">
        <v>35943</v>
      </c>
      <c r="K358" s="132">
        <v>35807</v>
      </c>
      <c r="L358" s="132"/>
      <c r="M358" s="153">
        <v>13.48</v>
      </c>
      <c r="N358" s="153">
        <v>0.4</v>
      </c>
      <c r="O358" s="153">
        <v>0</v>
      </c>
      <c r="P358" s="153">
        <v>0.2</v>
      </c>
      <c r="Q358" s="131">
        <v>44937</v>
      </c>
      <c r="R358" s="187">
        <v>2022</v>
      </c>
    </row>
    <row r="359" spans="1:18" ht="28.25" hidden="1" customHeight="1" x14ac:dyDescent="0.35">
      <c r="A359" s="182" t="s">
        <v>572</v>
      </c>
      <c r="B359" s="135" t="s">
        <v>572</v>
      </c>
      <c r="C359" s="135" t="s">
        <v>407</v>
      </c>
      <c r="D359" s="135" t="s">
        <v>102</v>
      </c>
      <c r="E359" s="135" t="s">
        <v>41</v>
      </c>
      <c r="F359" s="135" t="s">
        <v>66</v>
      </c>
      <c r="G359" s="146" t="s">
        <v>554</v>
      </c>
      <c r="H359" s="146"/>
      <c r="I359" s="146" t="s">
        <v>66</v>
      </c>
      <c r="J359" s="49"/>
      <c r="K359" s="132">
        <v>31156</v>
      </c>
      <c r="L359" s="132"/>
      <c r="M359" s="153">
        <v>1.18</v>
      </c>
      <c r="N359" s="153">
        <v>0.4</v>
      </c>
      <c r="O359" s="153">
        <v>0</v>
      </c>
      <c r="P359" s="153"/>
      <c r="Q359" s="131">
        <v>44937</v>
      </c>
      <c r="R359" s="187">
        <v>2022</v>
      </c>
    </row>
    <row r="360" spans="1:18" ht="28.25" hidden="1" customHeight="1" x14ac:dyDescent="0.35">
      <c r="A360" s="182" t="s">
        <v>572</v>
      </c>
      <c r="B360" s="135" t="s">
        <v>572</v>
      </c>
      <c r="C360" s="135" t="s">
        <v>573</v>
      </c>
      <c r="D360" s="135" t="s">
        <v>408</v>
      </c>
      <c r="E360" s="135" t="s">
        <v>41</v>
      </c>
      <c r="F360" s="135" t="s">
        <v>66</v>
      </c>
      <c r="G360" s="146" t="s">
        <v>554</v>
      </c>
      <c r="H360" s="146"/>
      <c r="I360" s="146" t="s">
        <v>66</v>
      </c>
      <c r="J360" s="132"/>
      <c r="K360" s="132">
        <v>31156</v>
      </c>
      <c r="L360" s="132"/>
      <c r="M360" s="153">
        <v>3.29</v>
      </c>
      <c r="N360" s="153">
        <v>0.4</v>
      </c>
      <c r="O360" s="153">
        <v>0</v>
      </c>
      <c r="P360" s="153"/>
      <c r="Q360" s="131">
        <v>44937</v>
      </c>
      <c r="R360" s="187">
        <v>2022</v>
      </c>
    </row>
    <row r="361" spans="1:18" ht="28.25" hidden="1" customHeight="1" x14ac:dyDescent="0.35">
      <c r="A361" s="182" t="s">
        <v>572</v>
      </c>
      <c r="B361" s="135" t="s">
        <v>572</v>
      </c>
      <c r="C361" s="135" t="s">
        <v>409</v>
      </c>
      <c r="D361" s="135" t="s">
        <v>410</v>
      </c>
      <c r="E361" s="135" t="s">
        <v>41</v>
      </c>
      <c r="F361" s="135" t="s">
        <v>66</v>
      </c>
      <c r="G361" s="146" t="s">
        <v>554</v>
      </c>
      <c r="H361" s="146"/>
      <c r="I361" s="146" t="s">
        <v>66</v>
      </c>
      <c r="J361" s="132"/>
      <c r="K361" s="132">
        <v>31156</v>
      </c>
      <c r="L361" s="132"/>
      <c r="M361" s="153">
        <v>1.3</v>
      </c>
      <c r="N361" s="153">
        <v>0.4</v>
      </c>
      <c r="O361" s="153">
        <v>0</v>
      </c>
      <c r="P361" s="153"/>
      <c r="Q361" s="131">
        <v>44937</v>
      </c>
      <c r="R361" s="187">
        <v>2022</v>
      </c>
    </row>
    <row r="362" spans="1:18" ht="28.25" hidden="1" customHeight="1" x14ac:dyDescent="0.35">
      <c r="A362" s="181" t="s">
        <v>128</v>
      </c>
      <c r="B362" s="135" t="s">
        <v>128</v>
      </c>
      <c r="C362" s="149" t="s">
        <v>130</v>
      </c>
      <c r="D362" s="145" t="s">
        <v>129</v>
      </c>
      <c r="E362" s="145" t="s">
        <v>41</v>
      </c>
      <c r="F362" s="145" t="s">
        <v>131</v>
      </c>
      <c r="G362" s="146" t="s">
        <v>574</v>
      </c>
      <c r="H362" s="149" t="s">
        <v>575</v>
      </c>
      <c r="I362" s="149" t="s">
        <v>575</v>
      </c>
      <c r="J362" s="136">
        <v>38751</v>
      </c>
      <c r="K362" s="136">
        <v>38826</v>
      </c>
      <c r="L362" s="136"/>
      <c r="M362" s="122">
        <v>4.6100000000000003</v>
      </c>
      <c r="N362" s="122">
        <v>1.99</v>
      </c>
      <c r="O362" s="122"/>
      <c r="P362" s="122"/>
      <c r="Q362" s="131">
        <v>47957</v>
      </c>
      <c r="R362" s="187">
        <v>2022</v>
      </c>
    </row>
    <row r="363" spans="1:18" ht="28.25" hidden="1" customHeight="1" x14ac:dyDescent="0.35">
      <c r="A363" s="181" t="s">
        <v>128</v>
      </c>
      <c r="B363" s="135" t="s">
        <v>128</v>
      </c>
      <c r="C363" s="149" t="s">
        <v>395</v>
      </c>
      <c r="D363" s="145" t="s">
        <v>52</v>
      </c>
      <c r="E363" s="145" t="s">
        <v>41</v>
      </c>
      <c r="F363" s="145" t="s">
        <v>66</v>
      </c>
      <c r="G363" s="146" t="s">
        <v>424</v>
      </c>
      <c r="H363" s="149" t="s">
        <v>66</v>
      </c>
      <c r="I363" s="149" t="s">
        <v>66</v>
      </c>
      <c r="J363" s="136">
        <v>38751</v>
      </c>
      <c r="K363" s="136">
        <v>38826</v>
      </c>
      <c r="L363" s="136"/>
      <c r="M363" s="122">
        <v>4.0999999999999996</v>
      </c>
      <c r="N363" s="156"/>
      <c r="O363" s="122"/>
      <c r="P363" s="122"/>
      <c r="Q363" s="131">
        <v>47957</v>
      </c>
      <c r="R363" s="187">
        <v>2022</v>
      </c>
    </row>
    <row r="364" spans="1:18" ht="28.25" hidden="1" customHeight="1" x14ac:dyDescent="0.35">
      <c r="A364" s="181" t="s">
        <v>128</v>
      </c>
      <c r="B364" s="135" t="s">
        <v>128</v>
      </c>
      <c r="C364" s="149" t="s">
        <v>576</v>
      </c>
      <c r="D364" s="149" t="s">
        <v>416</v>
      </c>
      <c r="E364" s="149" t="s">
        <v>46</v>
      </c>
      <c r="F364" s="145" t="s">
        <v>66</v>
      </c>
      <c r="G364" s="149" t="s">
        <v>577</v>
      </c>
      <c r="H364" s="149" t="s">
        <v>65</v>
      </c>
      <c r="I364" s="146" t="s">
        <v>66</v>
      </c>
      <c r="J364" s="71"/>
      <c r="K364" s="71"/>
      <c r="L364" s="71"/>
      <c r="M364" s="156">
        <v>0.3</v>
      </c>
      <c r="N364" s="156"/>
      <c r="O364" s="156"/>
      <c r="P364" s="156"/>
      <c r="Q364" s="131"/>
      <c r="R364" s="187">
        <v>2022</v>
      </c>
    </row>
    <row r="365" spans="1:18" ht="28.25" hidden="1" customHeight="1" x14ac:dyDescent="0.35">
      <c r="A365" s="181" t="s">
        <v>128</v>
      </c>
      <c r="B365" s="135" t="s">
        <v>128</v>
      </c>
      <c r="C365" s="149" t="s">
        <v>578</v>
      </c>
      <c r="D365" s="149" t="s">
        <v>52</v>
      </c>
      <c r="E365" s="149" t="s">
        <v>41</v>
      </c>
      <c r="F365" s="149" t="s">
        <v>66</v>
      </c>
      <c r="G365" s="149" t="s">
        <v>424</v>
      </c>
      <c r="H365" s="149" t="s">
        <v>443</v>
      </c>
      <c r="I365" s="149" t="s">
        <v>66</v>
      </c>
      <c r="J365" s="136">
        <v>40177</v>
      </c>
      <c r="K365" s="136">
        <v>40177</v>
      </c>
      <c r="L365" s="136"/>
      <c r="M365" s="156">
        <v>4.0999999999999996</v>
      </c>
      <c r="N365" s="156">
        <v>0.32</v>
      </c>
      <c r="O365" s="156"/>
      <c r="P365" s="156"/>
      <c r="Q365" s="131"/>
      <c r="R365" s="187">
        <v>2022</v>
      </c>
    </row>
    <row r="366" spans="1:18" ht="28.25" hidden="1" customHeight="1" x14ac:dyDescent="0.35">
      <c r="A366" s="181" t="s">
        <v>128</v>
      </c>
      <c r="B366" s="135" t="s">
        <v>128</v>
      </c>
      <c r="C366" s="149" t="s">
        <v>647</v>
      </c>
      <c r="D366" s="145" t="s">
        <v>44</v>
      </c>
      <c r="E366" s="149" t="s">
        <v>41</v>
      </c>
      <c r="F366" s="149" t="s">
        <v>66</v>
      </c>
      <c r="G366" s="149" t="s">
        <v>424</v>
      </c>
      <c r="H366" s="149" t="s">
        <v>580</v>
      </c>
      <c r="I366" s="149" t="s">
        <v>83</v>
      </c>
      <c r="J366" s="136">
        <v>43677</v>
      </c>
      <c r="K366" s="136">
        <v>43677</v>
      </c>
      <c r="L366" s="136"/>
      <c r="M366" s="156">
        <v>3.7189999999999999</v>
      </c>
      <c r="N366" s="156">
        <v>0.27</v>
      </c>
      <c r="O366" s="156"/>
      <c r="P366" s="156"/>
      <c r="Q366" s="131"/>
      <c r="R366" s="187">
        <v>2022</v>
      </c>
    </row>
    <row r="367" spans="1:18" ht="28.25" hidden="1" customHeight="1" x14ac:dyDescent="0.35">
      <c r="A367" s="181" t="s">
        <v>128</v>
      </c>
      <c r="B367" s="135" t="s">
        <v>128</v>
      </c>
      <c r="C367" s="152" t="s">
        <v>581</v>
      </c>
      <c r="D367" s="149" t="s">
        <v>416</v>
      </c>
      <c r="E367" s="149" t="s">
        <v>46</v>
      </c>
      <c r="F367" s="149" t="s">
        <v>66</v>
      </c>
      <c r="G367" s="149" t="s">
        <v>582</v>
      </c>
      <c r="H367" s="149" t="s">
        <v>65</v>
      </c>
      <c r="I367" s="149" t="s">
        <v>66</v>
      </c>
      <c r="J367" s="136">
        <v>43657</v>
      </c>
      <c r="K367" s="136">
        <v>43657</v>
      </c>
      <c r="L367" s="136"/>
      <c r="M367" s="156">
        <v>0.3</v>
      </c>
      <c r="N367" s="156">
        <v>0.08</v>
      </c>
      <c r="O367" s="156"/>
      <c r="P367" s="156"/>
      <c r="Q367" s="131"/>
      <c r="R367" s="187">
        <v>2022</v>
      </c>
    </row>
    <row r="368" spans="1:18" ht="28.25" hidden="1" customHeight="1" x14ac:dyDescent="0.35">
      <c r="A368" s="181" t="s">
        <v>128</v>
      </c>
      <c r="B368" s="135" t="s">
        <v>128</v>
      </c>
      <c r="C368" s="152" t="s">
        <v>583</v>
      </c>
      <c r="D368" s="145" t="s">
        <v>44</v>
      </c>
      <c r="E368" s="149" t="s">
        <v>46</v>
      </c>
      <c r="F368" s="149" t="s">
        <v>66</v>
      </c>
      <c r="G368" s="149" t="s">
        <v>424</v>
      </c>
      <c r="H368" s="149" t="s">
        <v>44</v>
      </c>
      <c r="I368" s="149" t="s">
        <v>83</v>
      </c>
      <c r="J368" s="136">
        <v>44452</v>
      </c>
      <c r="K368" s="136">
        <v>44452</v>
      </c>
      <c r="L368" s="136"/>
      <c r="M368" s="156">
        <v>0.156</v>
      </c>
      <c r="N368" s="156">
        <v>0</v>
      </c>
      <c r="O368" s="156"/>
      <c r="P368" s="156"/>
      <c r="Q368" s="131"/>
      <c r="R368" s="187">
        <v>2022</v>
      </c>
    </row>
    <row r="369" spans="1:18" ht="28.25" hidden="1" customHeight="1" x14ac:dyDescent="0.35">
      <c r="A369" s="181" t="s">
        <v>128</v>
      </c>
      <c r="B369" s="135" t="s">
        <v>128</v>
      </c>
      <c r="C369" s="152" t="s">
        <v>584</v>
      </c>
      <c r="D369" s="145" t="s">
        <v>44</v>
      </c>
      <c r="E369" s="149" t="s">
        <v>46</v>
      </c>
      <c r="F369" s="149" t="s">
        <v>66</v>
      </c>
      <c r="G369" s="149" t="s">
        <v>424</v>
      </c>
      <c r="H369" s="149" t="s">
        <v>44</v>
      </c>
      <c r="I369" s="149" t="s">
        <v>83</v>
      </c>
      <c r="J369" s="136">
        <v>44452</v>
      </c>
      <c r="K369" s="136">
        <v>44452</v>
      </c>
      <c r="L369" s="136"/>
      <c r="M369" s="156">
        <v>0.14099999999999999</v>
      </c>
      <c r="N369" s="156">
        <v>0</v>
      </c>
      <c r="O369" s="156"/>
      <c r="P369" s="156"/>
      <c r="Q369" s="131"/>
      <c r="R369" s="187">
        <v>2022</v>
      </c>
    </row>
    <row r="370" spans="1:18" ht="28.25" hidden="1" customHeight="1" x14ac:dyDescent="0.35">
      <c r="A370" s="181" t="s">
        <v>128</v>
      </c>
      <c r="B370" s="135" t="s">
        <v>128</v>
      </c>
      <c r="C370" s="152" t="s">
        <v>585</v>
      </c>
      <c r="D370" s="145" t="s">
        <v>44</v>
      </c>
      <c r="E370" s="149" t="s">
        <v>46</v>
      </c>
      <c r="F370" s="149" t="s">
        <v>66</v>
      </c>
      <c r="G370" s="149" t="s">
        <v>424</v>
      </c>
      <c r="H370" s="149" t="s">
        <v>44</v>
      </c>
      <c r="I370" s="149" t="s">
        <v>83</v>
      </c>
      <c r="J370" s="136">
        <v>44404</v>
      </c>
      <c r="K370" s="136">
        <v>44404</v>
      </c>
      <c r="L370" s="136"/>
      <c r="M370" s="156">
        <v>0.108</v>
      </c>
      <c r="N370" s="156">
        <v>0</v>
      </c>
      <c r="O370" s="156"/>
      <c r="P370" s="156"/>
      <c r="Q370" s="131"/>
      <c r="R370" s="187">
        <v>2022</v>
      </c>
    </row>
    <row r="371" spans="1:18" ht="28.25" hidden="1" customHeight="1" x14ac:dyDescent="0.35">
      <c r="A371" s="181" t="s">
        <v>128</v>
      </c>
      <c r="B371" s="135" t="s">
        <v>128</v>
      </c>
      <c r="C371" s="152" t="s">
        <v>586</v>
      </c>
      <c r="D371" s="145" t="s">
        <v>587</v>
      </c>
      <c r="E371" s="149" t="s">
        <v>46</v>
      </c>
      <c r="F371" s="149" t="s">
        <v>66</v>
      </c>
      <c r="G371" s="149" t="s">
        <v>424</v>
      </c>
      <c r="H371" s="149" t="s">
        <v>52</v>
      </c>
      <c r="I371" s="149" t="s">
        <v>83</v>
      </c>
      <c r="J371" s="136">
        <v>44462</v>
      </c>
      <c r="K371" s="136">
        <v>44462</v>
      </c>
      <c r="L371" s="136"/>
      <c r="M371" s="156">
        <v>0.95</v>
      </c>
      <c r="N371" s="156">
        <v>0</v>
      </c>
      <c r="O371" s="156"/>
      <c r="P371" s="156"/>
      <c r="Q371" s="131"/>
      <c r="R371" s="187">
        <v>2022</v>
      </c>
    </row>
    <row r="372" spans="1:18" ht="28.25" hidden="1" customHeight="1" x14ac:dyDescent="0.35">
      <c r="A372" s="181" t="s">
        <v>128</v>
      </c>
      <c r="B372" s="135" t="s">
        <v>128</v>
      </c>
      <c r="C372" s="152" t="s">
        <v>588</v>
      </c>
      <c r="D372" s="149" t="s">
        <v>487</v>
      </c>
      <c r="E372" s="149" t="s">
        <v>46</v>
      </c>
      <c r="F372" s="149" t="s">
        <v>326</v>
      </c>
      <c r="G372" s="149" t="s">
        <v>467</v>
      </c>
      <c r="H372" s="149" t="s">
        <v>487</v>
      </c>
      <c r="I372" s="149" t="s">
        <v>326</v>
      </c>
      <c r="J372" s="136">
        <v>44708</v>
      </c>
      <c r="K372" s="136">
        <v>44708</v>
      </c>
      <c r="L372" s="136"/>
      <c r="M372" s="156">
        <v>0.75</v>
      </c>
      <c r="N372" s="156">
        <v>0</v>
      </c>
      <c r="O372" s="156"/>
      <c r="P372" s="156"/>
      <c r="Q372" s="131"/>
      <c r="R372" s="187">
        <v>2022</v>
      </c>
    </row>
    <row r="373" spans="1:18" ht="28.25" hidden="1" customHeight="1" x14ac:dyDescent="0.35">
      <c r="A373" s="181" t="s">
        <v>128</v>
      </c>
      <c r="B373" s="135" t="s">
        <v>128</v>
      </c>
      <c r="C373" s="152" t="s">
        <v>589</v>
      </c>
      <c r="D373" s="149" t="s">
        <v>487</v>
      </c>
      <c r="E373" s="149" t="s">
        <v>46</v>
      </c>
      <c r="F373" s="149" t="s">
        <v>326</v>
      </c>
      <c r="G373" s="149" t="s">
        <v>467</v>
      </c>
      <c r="H373" s="149" t="s">
        <v>487</v>
      </c>
      <c r="I373" s="149" t="s">
        <v>326</v>
      </c>
      <c r="J373" s="136">
        <v>44708</v>
      </c>
      <c r="K373" s="136">
        <v>44708</v>
      </c>
      <c r="L373" s="136"/>
      <c r="M373" s="156">
        <v>1.5</v>
      </c>
      <c r="N373" s="156">
        <v>0</v>
      </c>
      <c r="O373" s="156"/>
      <c r="P373" s="156"/>
      <c r="Q373" s="131"/>
      <c r="R373" s="187">
        <v>2022</v>
      </c>
    </row>
    <row r="374" spans="1:18" ht="28.25" hidden="1" customHeight="1" x14ac:dyDescent="0.35">
      <c r="A374" s="182" t="s">
        <v>590</v>
      </c>
      <c r="B374" s="135" t="s">
        <v>590</v>
      </c>
      <c r="C374" s="146" t="s">
        <v>591</v>
      </c>
      <c r="D374" s="146" t="s">
        <v>592</v>
      </c>
      <c r="E374" s="146" t="s">
        <v>255</v>
      </c>
      <c r="F374" s="146" t="s">
        <v>136</v>
      </c>
      <c r="G374" s="146" t="s">
        <v>431</v>
      </c>
      <c r="H374" s="146" t="s">
        <v>92</v>
      </c>
      <c r="I374" s="146" t="s">
        <v>136</v>
      </c>
      <c r="J374" s="137">
        <v>40818</v>
      </c>
      <c r="K374" s="137">
        <v>40940</v>
      </c>
      <c r="L374" s="137"/>
      <c r="M374" s="155">
        <v>40</v>
      </c>
      <c r="N374" s="155">
        <v>0</v>
      </c>
      <c r="O374" s="155">
        <v>30</v>
      </c>
      <c r="P374" s="155">
        <v>0</v>
      </c>
      <c r="Q374" s="131">
        <v>401768</v>
      </c>
      <c r="R374" s="187">
        <v>2022</v>
      </c>
    </row>
    <row r="375" spans="1:18" ht="28.25" hidden="1" customHeight="1" x14ac:dyDescent="0.35">
      <c r="A375" s="182" t="s">
        <v>590</v>
      </c>
      <c r="B375" s="135" t="s">
        <v>590</v>
      </c>
      <c r="C375" s="146" t="s">
        <v>593</v>
      </c>
      <c r="D375" s="146" t="s">
        <v>594</v>
      </c>
      <c r="E375" s="146" t="s">
        <v>255</v>
      </c>
      <c r="F375" s="146" t="s">
        <v>136</v>
      </c>
      <c r="G375" s="146" t="s">
        <v>431</v>
      </c>
      <c r="H375" s="146" t="s">
        <v>92</v>
      </c>
      <c r="I375" s="146" t="s">
        <v>136</v>
      </c>
      <c r="J375" s="137">
        <v>40568</v>
      </c>
      <c r="K375" s="137">
        <v>40865</v>
      </c>
      <c r="L375" s="137"/>
      <c r="M375" s="155">
        <v>54</v>
      </c>
      <c r="N375" s="155">
        <v>0</v>
      </c>
      <c r="O375" s="155">
        <v>37.5</v>
      </c>
      <c r="P375" s="155">
        <v>0</v>
      </c>
      <c r="Q375" s="131">
        <v>401768</v>
      </c>
      <c r="R375" s="187">
        <v>2022</v>
      </c>
    </row>
    <row r="376" spans="1:18" ht="28.25" hidden="1" customHeight="1" x14ac:dyDescent="0.35">
      <c r="A376" s="183" t="s">
        <v>595</v>
      </c>
      <c r="B376" s="135" t="s">
        <v>595</v>
      </c>
      <c r="C376" s="149" t="s">
        <v>596</v>
      </c>
      <c r="D376" s="149" t="s">
        <v>44</v>
      </c>
      <c r="E376" s="149" t="s">
        <v>46</v>
      </c>
      <c r="F376" s="149" t="s">
        <v>66</v>
      </c>
      <c r="G376" s="149" t="s">
        <v>424</v>
      </c>
      <c r="H376" s="149" t="s">
        <v>44</v>
      </c>
      <c r="I376" s="149" t="s">
        <v>66</v>
      </c>
      <c r="J376" s="71"/>
      <c r="K376" s="139">
        <v>36582</v>
      </c>
      <c r="L376" s="139"/>
      <c r="M376" s="156">
        <v>0.2</v>
      </c>
      <c r="N376" s="156">
        <v>0.15</v>
      </c>
      <c r="O376" s="156"/>
      <c r="P376" s="156"/>
      <c r="Q376" s="131">
        <v>45369</v>
      </c>
      <c r="R376" s="187">
        <v>2022</v>
      </c>
    </row>
    <row r="377" spans="1:18" ht="28.25" hidden="1" customHeight="1" x14ac:dyDescent="0.35">
      <c r="A377" s="182" t="s">
        <v>400</v>
      </c>
      <c r="B377" s="135" t="s">
        <v>400</v>
      </c>
      <c r="C377" s="146" t="s">
        <v>401</v>
      </c>
      <c r="D377" s="146" t="s">
        <v>122</v>
      </c>
      <c r="E377" s="146" t="s">
        <v>255</v>
      </c>
      <c r="F377" s="146" t="s">
        <v>136</v>
      </c>
      <c r="G377" s="146" t="s">
        <v>431</v>
      </c>
      <c r="H377" s="146" t="s">
        <v>92</v>
      </c>
      <c r="I377" s="146" t="s">
        <v>136</v>
      </c>
      <c r="J377" s="137">
        <v>42682</v>
      </c>
      <c r="K377" s="137">
        <v>44025</v>
      </c>
      <c r="L377" s="137"/>
      <c r="M377" s="153">
        <v>52.76</v>
      </c>
      <c r="N377" s="153">
        <v>0</v>
      </c>
      <c r="O377" s="153">
        <v>13.76</v>
      </c>
      <c r="P377" s="155">
        <v>0</v>
      </c>
      <c r="Q377" s="138">
        <v>45119</v>
      </c>
      <c r="R377" s="187">
        <v>2022</v>
      </c>
    </row>
    <row r="378" spans="1:18" ht="28.25" hidden="1" customHeight="1" x14ac:dyDescent="0.35">
      <c r="A378" s="180" t="s">
        <v>124</v>
      </c>
      <c r="B378" s="135" t="s">
        <v>124</v>
      </c>
      <c r="C378" s="135" t="s">
        <v>126</v>
      </c>
      <c r="D378" s="135" t="s">
        <v>125</v>
      </c>
      <c r="E378" s="135" t="s">
        <v>41</v>
      </c>
      <c r="F378" s="135" t="s">
        <v>136</v>
      </c>
      <c r="G378" s="146" t="s">
        <v>431</v>
      </c>
      <c r="H378" s="146" t="s">
        <v>166</v>
      </c>
      <c r="I378" s="146" t="s">
        <v>136</v>
      </c>
      <c r="J378" s="127">
        <v>40346</v>
      </c>
      <c r="K378" s="127">
        <v>39388</v>
      </c>
      <c r="L378" s="132"/>
      <c r="M378" s="153">
        <v>120</v>
      </c>
      <c r="N378" s="153">
        <v>0</v>
      </c>
      <c r="O378" s="153">
        <v>0</v>
      </c>
      <c r="P378" s="153">
        <v>0</v>
      </c>
      <c r="Q378" s="131">
        <v>46693</v>
      </c>
      <c r="R378" s="187">
        <v>2022</v>
      </c>
    </row>
    <row r="379" spans="1:18" ht="28.25" hidden="1" customHeight="1" x14ac:dyDescent="0.35">
      <c r="A379" s="182" t="s">
        <v>600</v>
      </c>
      <c r="B379" s="135" t="s">
        <v>600</v>
      </c>
      <c r="C379" s="151" t="s">
        <v>601</v>
      </c>
      <c r="D379" s="149" t="s">
        <v>602</v>
      </c>
      <c r="E379" s="146" t="s">
        <v>255</v>
      </c>
      <c r="F379" s="146" t="s">
        <v>136</v>
      </c>
      <c r="G379" s="146" t="s">
        <v>431</v>
      </c>
      <c r="H379" s="146" t="s">
        <v>438</v>
      </c>
      <c r="I379" s="146" t="s">
        <v>20</v>
      </c>
      <c r="J379" s="137">
        <v>40346</v>
      </c>
      <c r="K379" s="137">
        <v>39388</v>
      </c>
      <c r="L379" s="137"/>
      <c r="M379" s="155">
        <v>472.5</v>
      </c>
      <c r="N379" s="155">
        <v>0</v>
      </c>
      <c r="O379" s="155">
        <v>0</v>
      </c>
      <c r="P379" s="155">
        <v>0</v>
      </c>
      <c r="Q379" s="138">
        <v>46693</v>
      </c>
      <c r="R379" s="187">
        <v>2022</v>
      </c>
    </row>
    <row r="380" spans="1:18" ht="28.25" hidden="1" customHeight="1" x14ac:dyDescent="0.35">
      <c r="A380" s="182" t="s">
        <v>648</v>
      </c>
      <c r="B380" s="135" t="s">
        <v>648</v>
      </c>
      <c r="C380" s="146" t="s">
        <v>562</v>
      </c>
      <c r="D380" s="146" t="s">
        <v>563</v>
      </c>
      <c r="E380" s="146" t="s">
        <v>46</v>
      </c>
      <c r="F380" s="146" t="s">
        <v>66</v>
      </c>
      <c r="G380" s="146" t="s">
        <v>451</v>
      </c>
      <c r="H380" s="146" t="s">
        <v>452</v>
      </c>
      <c r="I380" s="146" t="s">
        <v>78</v>
      </c>
      <c r="J380" s="71"/>
      <c r="K380" s="137">
        <v>42635</v>
      </c>
      <c r="L380" s="137"/>
      <c r="M380" s="155">
        <v>0</v>
      </c>
      <c r="N380" s="155">
        <v>0</v>
      </c>
      <c r="O380" s="155">
        <v>0</v>
      </c>
      <c r="P380" s="155">
        <v>0</v>
      </c>
      <c r="Q380" s="138">
        <v>45191</v>
      </c>
      <c r="R380" s="187">
        <v>2022</v>
      </c>
    </row>
    <row r="381" spans="1:18" ht="28.25" hidden="1" customHeight="1" x14ac:dyDescent="0.35">
      <c r="A381" s="182" t="s">
        <v>603</v>
      </c>
      <c r="B381" s="135" t="s">
        <v>648</v>
      </c>
      <c r="C381" s="146" t="s">
        <v>604</v>
      </c>
      <c r="D381" s="146" t="s">
        <v>605</v>
      </c>
      <c r="E381" s="146" t="s">
        <v>46</v>
      </c>
      <c r="F381" s="146" t="s">
        <v>66</v>
      </c>
      <c r="G381" s="146" t="s">
        <v>442</v>
      </c>
      <c r="H381" s="146" t="s">
        <v>606</v>
      </c>
      <c r="I381" s="146" t="s">
        <v>66</v>
      </c>
      <c r="J381" s="137">
        <v>39709</v>
      </c>
      <c r="K381" s="137">
        <v>40066</v>
      </c>
      <c r="L381" s="137"/>
      <c r="M381" s="155">
        <v>0.21</v>
      </c>
      <c r="N381" s="155">
        <v>0</v>
      </c>
      <c r="O381" s="155">
        <v>0</v>
      </c>
      <c r="P381" s="155">
        <v>0</v>
      </c>
      <c r="Q381" s="138">
        <v>401768</v>
      </c>
      <c r="R381" s="187">
        <v>2022</v>
      </c>
    </row>
    <row r="382" spans="1:18" ht="28.25" hidden="1" customHeight="1" x14ac:dyDescent="0.35">
      <c r="A382" s="182" t="s">
        <v>649</v>
      </c>
      <c r="B382" s="135" t="s">
        <v>649</v>
      </c>
      <c r="C382" s="146" t="s">
        <v>650</v>
      </c>
      <c r="D382" s="146" t="s">
        <v>651</v>
      </c>
      <c r="E382" s="146" t="s">
        <v>46</v>
      </c>
      <c r="F382" s="146" t="s">
        <v>66</v>
      </c>
      <c r="G382" s="146" t="s">
        <v>424</v>
      </c>
      <c r="H382" s="146" t="s">
        <v>52</v>
      </c>
      <c r="I382" s="146" t="s">
        <v>66</v>
      </c>
      <c r="J382" s="137">
        <v>35727</v>
      </c>
      <c r="K382" s="137">
        <v>35727</v>
      </c>
      <c r="L382" s="137"/>
      <c r="M382" s="155">
        <v>6.1856000000000001E-2</v>
      </c>
      <c r="N382" s="155"/>
      <c r="O382" s="155"/>
      <c r="P382" s="155"/>
      <c r="Q382" s="138"/>
      <c r="R382" s="187">
        <v>2022</v>
      </c>
    </row>
    <row r="383" spans="1:18" ht="28.25" hidden="1" customHeight="1" x14ac:dyDescent="0.35">
      <c r="A383" s="182" t="s">
        <v>612</v>
      </c>
      <c r="B383" s="135" t="s">
        <v>411</v>
      </c>
      <c r="C383" s="146" t="s">
        <v>613</v>
      </c>
      <c r="D383" s="146" t="s">
        <v>494</v>
      </c>
      <c r="E383" s="146" t="s">
        <v>46</v>
      </c>
      <c r="F383" s="146" t="s">
        <v>66</v>
      </c>
      <c r="G383" s="146" t="s">
        <v>451</v>
      </c>
      <c r="H383" s="146" t="s">
        <v>452</v>
      </c>
      <c r="I383" s="146" t="s">
        <v>78</v>
      </c>
      <c r="J383" s="137">
        <v>43175</v>
      </c>
      <c r="K383" s="137">
        <v>43207</v>
      </c>
      <c r="L383" s="137"/>
      <c r="M383" s="155">
        <v>0</v>
      </c>
      <c r="N383" s="155">
        <v>0</v>
      </c>
      <c r="O383" s="155">
        <v>0</v>
      </c>
      <c r="P383" s="155">
        <v>0</v>
      </c>
      <c r="Q383" s="138">
        <v>401768</v>
      </c>
      <c r="R383" s="187">
        <v>2022</v>
      </c>
    </row>
    <row r="384" spans="1:18" ht="28.25" hidden="1" customHeight="1" x14ac:dyDescent="0.35">
      <c r="A384" s="184" t="s">
        <v>614</v>
      </c>
      <c r="B384" s="135" t="s">
        <v>417</v>
      </c>
      <c r="C384" s="146" t="s">
        <v>420</v>
      </c>
      <c r="D384" s="146" t="s">
        <v>421</v>
      </c>
      <c r="E384" s="146" t="s">
        <v>255</v>
      </c>
      <c r="F384" s="146" t="s">
        <v>326</v>
      </c>
      <c r="G384" s="146" t="s">
        <v>431</v>
      </c>
      <c r="H384" s="146" t="s">
        <v>326</v>
      </c>
      <c r="I384" s="146" t="s">
        <v>326</v>
      </c>
      <c r="J384" s="137">
        <v>43395</v>
      </c>
      <c r="K384" s="137">
        <v>43501</v>
      </c>
      <c r="L384" s="137"/>
      <c r="M384" s="155">
        <v>61</v>
      </c>
      <c r="N384" s="155">
        <v>0</v>
      </c>
      <c r="O384" s="155">
        <v>0</v>
      </c>
      <c r="P384" s="155">
        <v>0</v>
      </c>
      <c r="Q384" s="138">
        <v>44962</v>
      </c>
      <c r="R384" s="187">
        <v>2022</v>
      </c>
    </row>
    <row r="385" spans="1:18" ht="28.25" hidden="1" customHeight="1" x14ac:dyDescent="0.35">
      <c r="A385" s="184" t="s">
        <v>614</v>
      </c>
      <c r="B385" s="135" t="s">
        <v>417</v>
      </c>
      <c r="C385" s="146" t="s">
        <v>418</v>
      </c>
      <c r="D385" s="146" t="s">
        <v>419</v>
      </c>
      <c r="E385" s="146" t="s">
        <v>255</v>
      </c>
      <c r="F385" s="146" t="s">
        <v>136</v>
      </c>
      <c r="G385" s="146" t="s">
        <v>431</v>
      </c>
      <c r="H385" s="146" t="s">
        <v>136</v>
      </c>
      <c r="I385" s="146" t="s">
        <v>136</v>
      </c>
      <c r="J385" s="137">
        <v>43130</v>
      </c>
      <c r="K385" s="137">
        <v>43179</v>
      </c>
      <c r="L385" s="137"/>
      <c r="M385" s="155">
        <v>25</v>
      </c>
      <c r="N385" s="155">
        <v>0</v>
      </c>
      <c r="O385" s="155">
        <v>0</v>
      </c>
      <c r="P385" s="155">
        <v>0</v>
      </c>
      <c r="Q385" s="138">
        <v>44630</v>
      </c>
      <c r="R385" s="187">
        <v>2022</v>
      </c>
    </row>
    <row r="386" spans="1:18" ht="28.25" hidden="1" customHeight="1" x14ac:dyDescent="0.35">
      <c r="A386" s="192" t="s">
        <v>615</v>
      </c>
      <c r="B386" s="193" t="s">
        <v>615</v>
      </c>
      <c r="C386" s="194" t="s">
        <v>616</v>
      </c>
      <c r="D386" s="194" t="s">
        <v>291</v>
      </c>
      <c r="E386" s="194" t="s">
        <v>46</v>
      </c>
      <c r="F386" s="194" t="s">
        <v>66</v>
      </c>
      <c r="G386" s="194" t="s">
        <v>424</v>
      </c>
      <c r="H386" s="194" t="s">
        <v>44</v>
      </c>
      <c r="I386" s="194" t="s">
        <v>66</v>
      </c>
      <c r="J386" s="195"/>
      <c r="K386" s="196">
        <v>42885</v>
      </c>
      <c r="L386" s="196"/>
      <c r="M386" s="197">
        <v>0.14313899999999999</v>
      </c>
      <c r="N386" s="197">
        <v>0</v>
      </c>
      <c r="O386" s="197">
        <v>0</v>
      </c>
      <c r="P386" s="197">
        <v>0</v>
      </c>
      <c r="Q386" s="198">
        <v>401768</v>
      </c>
      <c r="R386" s="199">
        <v>2022</v>
      </c>
    </row>
  </sheetData>
  <conditionalFormatting sqref="C374">
    <cfRule type="duplicateValues" dxfId="74" priority="1"/>
  </conditionalFormatting>
  <conditionalFormatting sqref="C375:C376">
    <cfRule type="duplicateValues" dxfId="73" priority="2"/>
  </conditionalFormatting>
  <conditionalFormatting sqref="D98:D99">
    <cfRule type="duplicateValues" dxfId="72" priority="6"/>
  </conditionalFormatting>
  <conditionalFormatting sqref="D374">
    <cfRule type="duplicateValues" dxfId="71" priority="3"/>
  </conditionalFormatting>
  <conditionalFormatting sqref="D375:D376">
    <cfRule type="duplicateValues" dxfId="70" priority="4"/>
  </conditionalFormatting>
  <conditionalFormatting sqref="E98:I98 E99 E100:I100">
    <cfRule type="containsText" dxfId="69" priority="5" operator="containsText" text="OK">
      <formula>NOT(ISERROR(SEARCH("OK",E98)))</formula>
    </cfRule>
    <cfRule type="containsText" dxfId="68" priority="7" operator="containsText" text="NR">
      <formula>NOT(ISERROR(SEARCH("NR",E98)))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3"/>
  <sheetViews>
    <sheetView zoomScaleNormal="100" workbookViewId="0">
      <pane ySplit="1" topLeftCell="A9" activePane="bottomLeft" state="frozen"/>
      <selection pane="bottomLeft" sqref="A1:N133"/>
    </sheetView>
  </sheetViews>
  <sheetFormatPr baseColWidth="10" defaultColWidth="11.54296875" defaultRowHeight="33.65" customHeight="1" x14ac:dyDescent="0.35"/>
  <cols>
    <col min="1" max="1" width="69" style="161" bestFit="1" customWidth="1"/>
    <col min="2" max="2" width="36.90625" style="9" bestFit="1" customWidth="1"/>
    <col min="3" max="3" width="26.36328125" style="161" customWidth="1"/>
    <col min="4" max="4" width="18.1796875" style="9" bestFit="1" customWidth="1"/>
    <col min="5" max="7" width="0" style="9" hidden="1" customWidth="1"/>
    <col min="8" max="8" width="4.6328125" style="9" hidden="1" customWidth="1"/>
    <col min="9" max="9" width="15.6328125" style="161" bestFit="1" customWidth="1"/>
    <col min="10" max="13" width="0" style="9" hidden="1" customWidth="1"/>
    <col min="14" max="14" width="22.08984375" style="10" customWidth="1"/>
    <col min="15" max="16384" width="11.54296875" style="9"/>
  </cols>
  <sheetData>
    <row r="1" spans="1:14" ht="33.65" customHeight="1" x14ac:dyDescent="0.35">
      <c r="A1" s="201" t="s">
        <v>617</v>
      </c>
      <c r="B1" s="202" t="s">
        <v>168</v>
      </c>
      <c r="C1" s="203" t="s">
        <v>169</v>
      </c>
      <c r="D1" s="202" t="s">
        <v>675</v>
      </c>
      <c r="E1" s="204" t="s">
        <v>656</v>
      </c>
      <c r="F1" s="204" t="s">
        <v>657</v>
      </c>
      <c r="G1" s="204" t="s">
        <v>658</v>
      </c>
      <c r="H1" s="204" t="s">
        <v>659</v>
      </c>
      <c r="I1" s="205" t="s">
        <v>676</v>
      </c>
      <c r="J1" s="204" t="s">
        <v>660</v>
      </c>
      <c r="K1" s="204" t="s">
        <v>661</v>
      </c>
      <c r="L1" s="204" t="s">
        <v>662</v>
      </c>
      <c r="M1" s="204" t="s">
        <v>663</v>
      </c>
      <c r="N1" s="206" t="s">
        <v>13</v>
      </c>
    </row>
    <row r="2" spans="1:14" ht="33.65" hidden="1" customHeight="1" x14ac:dyDescent="0.35">
      <c r="A2" s="200" t="s">
        <v>250</v>
      </c>
      <c r="B2" s="73" t="s">
        <v>3</v>
      </c>
      <c r="C2" s="103" t="s">
        <v>4</v>
      </c>
      <c r="D2" s="145" t="s">
        <v>664</v>
      </c>
      <c r="E2" s="73" t="s">
        <v>665</v>
      </c>
      <c r="F2" s="73"/>
      <c r="G2" s="73"/>
      <c r="H2" s="73"/>
      <c r="I2" s="103">
        <v>365</v>
      </c>
      <c r="J2" s="73">
        <v>105</v>
      </c>
      <c r="K2" s="73"/>
      <c r="L2" s="73"/>
      <c r="M2" s="73"/>
      <c r="N2" s="186">
        <v>2018</v>
      </c>
    </row>
    <row r="3" spans="1:14" ht="33.65" hidden="1" customHeight="1" x14ac:dyDescent="0.35">
      <c r="A3" s="200" t="s">
        <v>14</v>
      </c>
      <c r="B3" s="73" t="s">
        <v>22</v>
      </c>
      <c r="C3" s="103" t="s">
        <v>4</v>
      </c>
      <c r="D3" s="145" t="s">
        <v>666</v>
      </c>
      <c r="E3" s="145" t="s">
        <v>667</v>
      </c>
      <c r="F3" s="73"/>
      <c r="G3" s="73"/>
      <c r="H3" s="73"/>
      <c r="I3" s="103">
        <v>6360.4</v>
      </c>
      <c r="J3" s="73">
        <v>11953</v>
      </c>
      <c r="K3" s="73"/>
      <c r="L3" s="73"/>
      <c r="M3" s="73"/>
      <c r="N3" s="186">
        <v>2018</v>
      </c>
    </row>
    <row r="4" spans="1:14" ht="33.65" hidden="1" customHeight="1" x14ac:dyDescent="0.35">
      <c r="A4" s="200" t="s">
        <v>445</v>
      </c>
      <c r="B4" s="73" t="s">
        <v>26</v>
      </c>
      <c r="C4" s="103" t="s">
        <v>4</v>
      </c>
      <c r="D4" s="145" t="s">
        <v>668</v>
      </c>
      <c r="E4" s="145" t="s">
        <v>146</v>
      </c>
      <c r="F4" s="73"/>
      <c r="G4" s="73"/>
      <c r="H4" s="73"/>
      <c r="I4" s="103">
        <v>39</v>
      </c>
      <c r="J4" s="73"/>
      <c r="K4" s="73"/>
      <c r="L4" s="73"/>
      <c r="M4" s="73"/>
      <c r="N4" s="186">
        <v>2018</v>
      </c>
    </row>
    <row r="5" spans="1:14" ht="33.65" hidden="1" customHeight="1" x14ac:dyDescent="0.35">
      <c r="A5" s="200" t="s">
        <v>30</v>
      </c>
      <c r="B5" s="73" t="s">
        <v>35</v>
      </c>
      <c r="C5" s="103" t="s">
        <v>4</v>
      </c>
      <c r="D5" s="145" t="s">
        <v>669</v>
      </c>
      <c r="E5" s="145" t="s">
        <v>666</v>
      </c>
      <c r="F5" s="73" t="s">
        <v>667</v>
      </c>
      <c r="G5" s="73" t="s">
        <v>672</v>
      </c>
      <c r="H5" s="145" t="s">
        <v>668</v>
      </c>
      <c r="I5" s="103">
        <v>4175</v>
      </c>
      <c r="J5" s="159">
        <v>2476.3000000000002</v>
      </c>
      <c r="K5" s="159">
        <v>104371</v>
      </c>
      <c r="L5" s="159">
        <v>271.5</v>
      </c>
      <c r="M5" s="159">
        <v>228.65</v>
      </c>
      <c r="N5" s="186">
        <v>2018</v>
      </c>
    </row>
    <row r="6" spans="1:14" ht="33.65" hidden="1" customHeight="1" x14ac:dyDescent="0.35">
      <c r="A6" s="200" t="s">
        <v>67</v>
      </c>
      <c r="B6" s="73" t="s">
        <v>69</v>
      </c>
      <c r="C6" s="103" t="s">
        <v>41</v>
      </c>
      <c r="D6" s="145" t="s">
        <v>664</v>
      </c>
      <c r="E6" s="145" t="s">
        <v>667</v>
      </c>
      <c r="F6" s="73"/>
      <c r="G6" s="73"/>
      <c r="H6" s="73"/>
      <c r="I6" s="103">
        <v>329</v>
      </c>
      <c r="J6" s="73">
        <v>11719</v>
      </c>
      <c r="K6" s="73"/>
      <c r="L6" s="73"/>
      <c r="M6" s="73"/>
      <c r="N6" s="186">
        <v>2018</v>
      </c>
    </row>
    <row r="7" spans="1:14" ht="33.65" hidden="1" customHeight="1" x14ac:dyDescent="0.35">
      <c r="A7" s="200" t="s">
        <v>79</v>
      </c>
      <c r="B7" s="73" t="s">
        <v>81</v>
      </c>
      <c r="C7" s="103" t="s">
        <v>41</v>
      </c>
      <c r="D7" s="145" t="s">
        <v>666</v>
      </c>
      <c r="E7" s="145" t="s">
        <v>146</v>
      </c>
      <c r="F7" s="73"/>
      <c r="G7" s="73"/>
      <c r="H7" s="73"/>
      <c r="I7" s="103">
        <v>1005</v>
      </c>
      <c r="J7" s="73"/>
      <c r="K7" s="73"/>
      <c r="L7" s="73"/>
      <c r="M7" s="73"/>
      <c r="N7" s="186">
        <v>2018</v>
      </c>
    </row>
    <row r="8" spans="1:14" ht="33.65" hidden="1" customHeight="1" x14ac:dyDescent="0.35">
      <c r="A8" s="200" t="s">
        <v>373</v>
      </c>
      <c r="B8" s="73" t="s">
        <v>91</v>
      </c>
      <c r="C8" s="103" t="s">
        <v>41</v>
      </c>
      <c r="D8" s="145" t="s">
        <v>666</v>
      </c>
      <c r="E8" s="145" t="s">
        <v>146</v>
      </c>
      <c r="F8" s="73"/>
      <c r="G8" s="73"/>
      <c r="H8" s="73"/>
      <c r="I8" s="103">
        <v>14178.080000000002</v>
      </c>
      <c r="J8" s="73"/>
      <c r="K8" s="73"/>
      <c r="L8" s="73"/>
      <c r="M8" s="73"/>
      <c r="N8" s="186">
        <v>2018</v>
      </c>
    </row>
    <row r="9" spans="1:14" ht="33.65" customHeight="1" x14ac:dyDescent="0.35">
      <c r="A9" s="200" t="s">
        <v>93</v>
      </c>
      <c r="B9" s="73"/>
      <c r="C9" s="103" t="s">
        <v>41</v>
      </c>
      <c r="D9" s="145" t="s">
        <v>673</v>
      </c>
      <c r="E9" s="145" t="s">
        <v>146</v>
      </c>
      <c r="F9" s="73"/>
      <c r="G9" s="73"/>
      <c r="H9" s="73"/>
      <c r="I9" s="103">
        <v>21169</v>
      </c>
      <c r="J9" s="73"/>
      <c r="K9" s="73"/>
      <c r="L9" s="73"/>
      <c r="M9" s="73"/>
      <c r="N9" s="186">
        <v>2018</v>
      </c>
    </row>
    <row r="10" spans="1:14" ht="33.65" hidden="1" customHeight="1" x14ac:dyDescent="0.35">
      <c r="A10" s="200" t="s">
        <v>101</v>
      </c>
      <c r="B10" s="73" t="s">
        <v>103</v>
      </c>
      <c r="C10" s="103" t="s">
        <v>41</v>
      </c>
      <c r="D10" s="145" t="s">
        <v>666</v>
      </c>
      <c r="E10" s="145" t="s">
        <v>146</v>
      </c>
      <c r="F10" s="73"/>
      <c r="G10" s="73"/>
      <c r="H10" s="73"/>
      <c r="I10" s="103">
        <v>30</v>
      </c>
      <c r="J10" s="73"/>
      <c r="K10" s="73"/>
      <c r="L10" s="73"/>
      <c r="M10" s="73"/>
      <c r="N10" s="186">
        <v>2018</v>
      </c>
    </row>
    <row r="11" spans="1:14" ht="33.65" hidden="1" customHeight="1" x14ac:dyDescent="0.35">
      <c r="A11" s="200" t="s">
        <v>572</v>
      </c>
      <c r="B11" s="73">
        <v>9828</v>
      </c>
      <c r="C11" s="103" t="s">
        <v>41</v>
      </c>
      <c r="D11" s="145" t="s">
        <v>666</v>
      </c>
      <c r="E11" s="145" t="s">
        <v>146</v>
      </c>
      <c r="F11" s="73"/>
      <c r="G11" s="73"/>
      <c r="H11" s="73"/>
      <c r="I11" s="103">
        <v>2000</v>
      </c>
      <c r="J11" s="73"/>
      <c r="K11" s="73"/>
      <c r="L11" s="73"/>
      <c r="M11" s="73"/>
      <c r="N11" s="186">
        <v>2018</v>
      </c>
    </row>
    <row r="12" spans="1:14" ht="33.65" hidden="1" customHeight="1" x14ac:dyDescent="0.35">
      <c r="A12" s="200" t="s">
        <v>14</v>
      </c>
      <c r="B12" s="73" t="s">
        <v>22</v>
      </c>
      <c r="C12" s="103" t="s">
        <v>4</v>
      </c>
      <c r="D12" s="145" t="s">
        <v>666</v>
      </c>
      <c r="E12" s="145" t="s">
        <v>667</v>
      </c>
      <c r="F12" s="73"/>
      <c r="G12" s="73"/>
      <c r="H12" s="73"/>
      <c r="I12" s="103">
        <v>3422</v>
      </c>
      <c r="J12" s="73">
        <v>16543</v>
      </c>
      <c r="K12" s="73"/>
      <c r="L12" s="73"/>
      <c r="M12" s="73"/>
      <c r="N12" s="186">
        <v>2019</v>
      </c>
    </row>
    <row r="13" spans="1:14" ht="33.65" hidden="1" customHeight="1" x14ac:dyDescent="0.35">
      <c r="A13" s="200" t="s">
        <v>30</v>
      </c>
      <c r="B13" s="73" t="s">
        <v>32</v>
      </c>
      <c r="C13" s="103" t="s">
        <v>4</v>
      </c>
      <c r="D13" s="145" t="s">
        <v>664</v>
      </c>
      <c r="E13" s="145" t="s">
        <v>146</v>
      </c>
      <c r="F13" s="73"/>
      <c r="G13" s="73"/>
      <c r="H13" s="73"/>
      <c r="I13" s="103">
        <v>13472</v>
      </c>
      <c r="J13" s="73"/>
      <c r="K13" s="73"/>
      <c r="L13" s="73"/>
      <c r="M13" s="73"/>
      <c r="N13" s="186">
        <v>2019</v>
      </c>
    </row>
    <row r="14" spans="1:14" ht="33.65" hidden="1" customHeight="1" x14ac:dyDescent="0.35">
      <c r="A14" s="200" t="s">
        <v>30</v>
      </c>
      <c r="B14" s="73" t="s">
        <v>35</v>
      </c>
      <c r="C14" s="103" t="s">
        <v>4</v>
      </c>
      <c r="D14" s="145" t="s">
        <v>667</v>
      </c>
      <c r="E14" s="145" t="s">
        <v>669</v>
      </c>
      <c r="F14" s="73" t="s">
        <v>670</v>
      </c>
      <c r="G14" s="73" t="s">
        <v>671</v>
      </c>
      <c r="H14" s="73"/>
      <c r="I14" s="103">
        <v>10579</v>
      </c>
      <c r="J14" s="73">
        <v>21598</v>
      </c>
      <c r="K14" s="159">
        <v>44.5</v>
      </c>
      <c r="L14" s="159">
        <v>163.41999999999999</v>
      </c>
      <c r="M14" s="73"/>
      <c r="N14" s="186">
        <v>2019</v>
      </c>
    </row>
    <row r="15" spans="1:14" ht="33.65" hidden="1" customHeight="1" x14ac:dyDescent="0.35">
      <c r="A15" s="200" t="s">
        <v>292</v>
      </c>
      <c r="B15" s="73" t="s">
        <v>156</v>
      </c>
      <c r="C15" s="103" t="s">
        <v>4</v>
      </c>
      <c r="D15" s="145" t="s">
        <v>667</v>
      </c>
      <c r="E15" s="145" t="s">
        <v>666</v>
      </c>
      <c r="F15" s="73"/>
      <c r="G15" s="73"/>
      <c r="H15" s="73"/>
      <c r="I15" s="103">
        <v>542</v>
      </c>
      <c r="J15" s="73">
        <v>71</v>
      </c>
      <c r="K15" s="73"/>
      <c r="L15" s="73"/>
      <c r="M15" s="73"/>
      <c r="N15" s="186">
        <v>2019</v>
      </c>
    </row>
    <row r="16" spans="1:14" ht="33.65" hidden="1" customHeight="1" x14ac:dyDescent="0.35">
      <c r="A16" s="200" t="s">
        <v>79</v>
      </c>
      <c r="B16" s="73" t="s">
        <v>81</v>
      </c>
      <c r="C16" s="103" t="s">
        <v>41</v>
      </c>
      <c r="D16" s="145" t="s">
        <v>666</v>
      </c>
      <c r="E16" s="145" t="s">
        <v>146</v>
      </c>
      <c r="F16" s="73"/>
      <c r="G16" s="73"/>
      <c r="H16" s="73"/>
      <c r="I16" s="103">
        <v>450</v>
      </c>
      <c r="J16" s="73"/>
      <c r="K16" s="73"/>
      <c r="L16" s="73"/>
      <c r="M16" s="73"/>
      <c r="N16" s="186">
        <v>2019</v>
      </c>
    </row>
    <row r="17" spans="1:14" ht="33.65" hidden="1" customHeight="1" x14ac:dyDescent="0.35">
      <c r="A17" s="200" t="s">
        <v>84</v>
      </c>
      <c r="B17" s="73" t="s">
        <v>86</v>
      </c>
      <c r="C17" s="103" t="s">
        <v>87</v>
      </c>
      <c r="D17" s="145" t="s">
        <v>667</v>
      </c>
      <c r="E17" s="145" t="s">
        <v>146</v>
      </c>
      <c r="F17" s="73"/>
      <c r="G17" s="73"/>
      <c r="H17" s="73"/>
      <c r="I17" s="103">
        <v>13088</v>
      </c>
      <c r="J17" s="73"/>
      <c r="K17" s="73"/>
      <c r="L17" s="73"/>
      <c r="M17" s="73"/>
      <c r="N17" s="186">
        <v>2019</v>
      </c>
    </row>
    <row r="18" spans="1:14" ht="33.65" customHeight="1" x14ac:dyDescent="0.35">
      <c r="A18" s="200" t="s">
        <v>93</v>
      </c>
      <c r="B18" s="73" t="s">
        <v>69</v>
      </c>
      <c r="C18" s="103" t="s">
        <v>41</v>
      </c>
      <c r="D18" s="145" t="s">
        <v>667</v>
      </c>
      <c r="E18" s="145" t="s">
        <v>146</v>
      </c>
      <c r="F18" s="73"/>
      <c r="G18" s="73"/>
      <c r="H18" s="73"/>
      <c r="I18" s="103">
        <v>27323</v>
      </c>
      <c r="J18" s="73"/>
      <c r="K18" s="73"/>
      <c r="L18" s="73"/>
      <c r="M18" s="73"/>
      <c r="N18" s="186">
        <v>2019</v>
      </c>
    </row>
    <row r="19" spans="1:14" ht="33.65" customHeight="1" x14ac:dyDescent="0.35">
      <c r="A19" s="200" t="s">
        <v>93</v>
      </c>
      <c r="B19" s="37">
        <v>4068</v>
      </c>
      <c r="C19" s="103" t="s">
        <v>41</v>
      </c>
      <c r="D19" s="145" t="s">
        <v>673</v>
      </c>
      <c r="E19" s="145" t="s">
        <v>146</v>
      </c>
      <c r="F19" s="73"/>
      <c r="G19" s="73"/>
      <c r="H19" s="73"/>
      <c r="I19" s="103">
        <v>27323</v>
      </c>
      <c r="J19" s="73"/>
      <c r="K19" s="73"/>
      <c r="L19" s="73"/>
      <c r="M19" s="73"/>
      <c r="N19" s="186">
        <v>2019</v>
      </c>
    </row>
    <row r="20" spans="1:14" ht="33.65" hidden="1" customHeight="1" x14ac:dyDescent="0.35">
      <c r="A20" s="200" t="s">
        <v>101</v>
      </c>
      <c r="B20" s="73" t="s">
        <v>103</v>
      </c>
      <c r="C20" s="103" t="s">
        <v>41</v>
      </c>
      <c r="D20" s="145" t="s">
        <v>666</v>
      </c>
      <c r="E20" s="145" t="s">
        <v>146</v>
      </c>
      <c r="F20" s="73"/>
      <c r="G20" s="73"/>
      <c r="H20" s="73"/>
      <c r="I20" s="103">
        <v>30</v>
      </c>
      <c r="J20" s="73"/>
      <c r="K20" s="73"/>
      <c r="L20" s="73"/>
      <c r="M20" s="73"/>
      <c r="N20" s="186">
        <v>2019</v>
      </c>
    </row>
    <row r="21" spans="1:14" ht="33.65" hidden="1" customHeight="1" x14ac:dyDescent="0.35">
      <c r="A21" s="200" t="s">
        <v>572</v>
      </c>
      <c r="B21" s="37">
        <v>9828</v>
      </c>
      <c r="C21" s="103" t="s">
        <v>41</v>
      </c>
      <c r="D21" s="145" t="s">
        <v>666</v>
      </c>
      <c r="E21" s="145" t="s">
        <v>146</v>
      </c>
      <c r="F21" s="73"/>
      <c r="G21" s="73"/>
      <c r="H21" s="73"/>
      <c r="I21" s="103">
        <v>250</v>
      </c>
      <c r="J21" s="73"/>
      <c r="K21" s="73"/>
      <c r="L21" s="73"/>
      <c r="M21" s="73"/>
      <c r="N21" s="186">
        <v>2019</v>
      </c>
    </row>
    <row r="22" spans="1:14" ht="33.65" hidden="1" customHeight="1" x14ac:dyDescent="0.35">
      <c r="A22" s="200" t="s">
        <v>400</v>
      </c>
      <c r="B22" s="73" t="s">
        <v>123</v>
      </c>
      <c r="C22" s="103" t="s">
        <v>4</v>
      </c>
      <c r="D22" s="145" t="s">
        <v>667</v>
      </c>
      <c r="E22" s="145" t="s">
        <v>146</v>
      </c>
      <c r="F22" s="73"/>
      <c r="G22" s="73"/>
      <c r="H22" s="73"/>
      <c r="I22" s="103">
        <v>1218</v>
      </c>
      <c r="J22" s="73"/>
      <c r="K22" s="73"/>
      <c r="L22" s="73"/>
      <c r="M22" s="73"/>
      <c r="N22" s="186">
        <v>2019</v>
      </c>
    </row>
    <row r="23" spans="1:14" ht="33.65" hidden="1" customHeight="1" x14ac:dyDescent="0.35">
      <c r="A23" s="200" t="s">
        <v>124</v>
      </c>
      <c r="B23" s="73" t="s">
        <v>126</v>
      </c>
      <c r="C23" s="103" t="s">
        <v>41</v>
      </c>
      <c r="D23" s="145" t="s">
        <v>673</v>
      </c>
      <c r="E23" s="145" t="s">
        <v>674</v>
      </c>
      <c r="F23" s="73"/>
      <c r="G23" s="73"/>
      <c r="H23" s="73"/>
      <c r="I23" s="103">
        <v>11412</v>
      </c>
      <c r="J23" s="73">
        <v>20342</v>
      </c>
      <c r="K23" s="73"/>
      <c r="L23" s="73"/>
      <c r="M23" s="73"/>
      <c r="N23" s="186">
        <v>2019</v>
      </c>
    </row>
    <row r="24" spans="1:14" ht="33.65" hidden="1" customHeight="1" x14ac:dyDescent="0.35">
      <c r="A24" s="200" t="s">
        <v>250</v>
      </c>
      <c r="B24" s="21" t="s">
        <v>254</v>
      </c>
      <c r="C24" s="101" t="s">
        <v>255</v>
      </c>
      <c r="D24" s="21" t="s">
        <v>677</v>
      </c>
      <c r="E24" s="52"/>
      <c r="F24" s="52"/>
      <c r="G24" s="52"/>
      <c r="H24" s="52"/>
      <c r="I24" s="101">
        <v>365</v>
      </c>
      <c r="J24" s="52"/>
      <c r="K24" s="52"/>
      <c r="L24" s="52"/>
      <c r="M24" s="52"/>
      <c r="N24" s="187">
        <v>2020</v>
      </c>
    </row>
    <row r="25" spans="1:14" ht="33.65" hidden="1" customHeight="1" x14ac:dyDescent="0.35">
      <c r="A25" s="200" t="s">
        <v>250</v>
      </c>
      <c r="B25" s="21" t="s">
        <v>254</v>
      </c>
      <c r="C25" s="101" t="s">
        <v>255</v>
      </c>
      <c r="D25" s="21" t="s">
        <v>678</v>
      </c>
      <c r="E25" s="52"/>
      <c r="F25" s="52"/>
      <c r="G25" s="52"/>
      <c r="H25" s="52"/>
      <c r="I25" s="101">
        <v>105</v>
      </c>
      <c r="J25" s="52"/>
      <c r="K25" s="52"/>
      <c r="L25" s="52"/>
      <c r="M25" s="52"/>
      <c r="N25" s="187">
        <v>2020</v>
      </c>
    </row>
    <row r="26" spans="1:14" ht="33.65" hidden="1" customHeight="1" x14ac:dyDescent="0.35">
      <c r="A26" s="200" t="s">
        <v>14</v>
      </c>
      <c r="B26" s="21" t="s">
        <v>22</v>
      </c>
      <c r="C26" s="101" t="s">
        <v>255</v>
      </c>
      <c r="D26" s="21" t="s">
        <v>677</v>
      </c>
      <c r="E26" s="52"/>
      <c r="F26" s="52"/>
      <c r="G26" s="52"/>
      <c r="H26" s="52"/>
      <c r="I26" s="101">
        <v>1000</v>
      </c>
      <c r="J26" s="52"/>
      <c r="K26" s="52"/>
      <c r="L26" s="52"/>
      <c r="M26" s="52"/>
      <c r="N26" s="187">
        <v>2020</v>
      </c>
    </row>
    <row r="27" spans="1:14" ht="33.65" hidden="1" customHeight="1" x14ac:dyDescent="0.35">
      <c r="A27" s="200" t="s">
        <v>14</v>
      </c>
      <c r="B27" s="21" t="s">
        <v>137</v>
      </c>
      <c r="C27" s="101" t="s">
        <v>255</v>
      </c>
      <c r="D27" s="21" t="s">
        <v>679</v>
      </c>
      <c r="E27" s="52"/>
      <c r="F27" s="52"/>
      <c r="G27" s="52"/>
      <c r="H27" s="52"/>
      <c r="I27" s="101">
        <v>1012</v>
      </c>
      <c r="J27" s="52"/>
      <c r="K27" s="52"/>
      <c r="L27" s="52"/>
      <c r="M27" s="52"/>
      <c r="N27" s="187">
        <v>2020</v>
      </c>
    </row>
    <row r="28" spans="1:14" ht="33.65" hidden="1" customHeight="1" x14ac:dyDescent="0.35">
      <c r="A28" s="200" t="s">
        <v>14</v>
      </c>
      <c r="B28" s="21" t="s">
        <v>22</v>
      </c>
      <c r="C28" s="101" t="s">
        <v>255</v>
      </c>
      <c r="D28" s="21" t="s">
        <v>673</v>
      </c>
      <c r="E28" s="52"/>
      <c r="F28" s="52"/>
      <c r="G28" s="52"/>
      <c r="H28" s="52"/>
      <c r="I28" s="101">
        <v>20247</v>
      </c>
      <c r="J28" s="52"/>
      <c r="K28" s="52"/>
      <c r="L28" s="52"/>
      <c r="M28" s="52"/>
      <c r="N28" s="187">
        <v>2020</v>
      </c>
    </row>
    <row r="29" spans="1:14" ht="33.65" hidden="1" customHeight="1" x14ac:dyDescent="0.35">
      <c r="A29" s="200" t="s">
        <v>14</v>
      </c>
      <c r="B29" s="21" t="s">
        <v>22</v>
      </c>
      <c r="C29" s="101" t="s">
        <v>255</v>
      </c>
      <c r="D29" s="21" t="s">
        <v>665</v>
      </c>
      <c r="E29" s="52"/>
      <c r="F29" s="52"/>
      <c r="G29" s="52"/>
      <c r="H29" s="52"/>
      <c r="I29" s="101">
        <v>10</v>
      </c>
      <c r="J29" s="52"/>
      <c r="K29" s="52"/>
      <c r="L29" s="52"/>
      <c r="M29" s="52"/>
      <c r="N29" s="187">
        <v>2020</v>
      </c>
    </row>
    <row r="30" spans="1:14" ht="33.65" hidden="1" customHeight="1" x14ac:dyDescent="0.35">
      <c r="A30" s="200" t="s">
        <v>264</v>
      </c>
      <c r="B30" s="21" t="s">
        <v>265</v>
      </c>
      <c r="C30" s="101" t="s">
        <v>255</v>
      </c>
      <c r="D30" s="21" t="s">
        <v>678</v>
      </c>
      <c r="E30" s="52"/>
      <c r="F30" s="52"/>
      <c r="G30" s="52"/>
      <c r="H30" s="52"/>
      <c r="I30" s="101">
        <v>396</v>
      </c>
      <c r="J30" s="52"/>
      <c r="K30" s="52"/>
      <c r="L30" s="52"/>
      <c r="M30" s="52"/>
      <c r="N30" s="187">
        <v>2020</v>
      </c>
    </row>
    <row r="31" spans="1:14" ht="33.65" hidden="1" customHeight="1" x14ac:dyDescent="0.35">
      <c r="A31" s="200" t="s">
        <v>282</v>
      </c>
      <c r="B31" s="21" t="s">
        <v>283</v>
      </c>
      <c r="C31" s="101" t="s">
        <v>255</v>
      </c>
      <c r="D31" s="21" t="s">
        <v>673</v>
      </c>
      <c r="E31" s="52"/>
      <c r="F31" s="52"/>
      <c r="G31" s="52"/>
      <c r="H31" s="52"/>
      <c r="I31" s="101">
        <v>642</v>
      </c>
      <c r="J31" s="52"/>
      <c r="K31" s="52"/>
      <c r="L31" s="52"/>
      <c r="M31" s="52"/>
      <c r="N31" s="187">
        <v>2020</v>
      </c>
    </row>
    <row r="32" spans="1:14" ht="33.65" hidden="1" customHeight="1" x14ac:dyDescent="0.35">
      <c r="A32" s="200" t="s">
        <v>292</v>
      </c>
      <c r="B32" s="21" t="s">
        <v>457</v>
      </c>
      <c r="C32" s="101" t="s">
        <v>255</v>
      </c>
      <c r="D32" s="21" t="s">
        <v>673</v>
      </c>
      <c r="E32" s="52"/>
      <c r="F32" s="52"/>
      <c r="G32" s="52"/>
      <c r="H32" s="52"/>
      <c r="I32" s="101">
        <v>1193</v>
      </c>
      <c r="J32" s="52"/>
      <c r="K32" s="52"/>
      <c r="L32" s="52"/>
      <c r="M32" s="52"/>
      <c r="N32" s="187">
        <v>2020</v>
      </c>
    </row>
    <row r="33" spans="1:14" ht="33.65" hidden="1" customHeight="1" x14ac:dyDescent="0.35">
      <c r="A33" s="200" t="s">
        <v>292</v>
      </c>
      <c r="B33" s="21" t="s">
        <v>457</v>
      </c>
      <c r="C33" s="101" t="s">
        <v>255</v>
      </c>
      <c r="D33" s="21" t="s">
        <v>678</v>
      </c>
      <c r="E33" s="52"/>
      <c r="F33" s="52"/>
      <c r="G33" s="52"/>
      <c r="H33" s="52"/>
      <c r="I33" s="101">
        <v>307</v>
      </c>
      <c r="J33" s="52"/>
      <c r="K33" s="52"/>
      <c r="L33" s="52"/>
      <c r="M33" s="52"/>
      <c r="N33" s="187">
        <v>2020</v>
      </c>
    </row>
    <row r="34" spans="1:14" ht="33.65" hidden="1" customHeight="1" x14ac:dyDescent="0.35">
      <c r="A34" s="200" t="s">
        <v>292</v>
      </c>
      <c r="B34" s="21" t="s">
        <v>293</v>
      </c>
      <c r="C34" s="101" t="s">
        <v>255</v>
      </c>
      <c r="D34" s="21" t="s">
        <v>678</v>
      </c>
      <c r="E34" s="52"/>
      <c r="F34" s="52"/>
      <c r="G34" s="52"/>
      <c r="H34" s="52"/>
      <c r="I34" s="101">
        <v>4</v>
      </c>
      <c r="J34" s="52"/>
      <c r="K34" s="52"/>
      <c r="L34" s="52"/>
      <c r="M34" s="52"/>
      <c r="N34" s="187">
        <v>2020</v>
      </c>
    </row>
    <row r="35" spans="1:14" ht="33.65" hidden="1" customHeight="1" x14ac:dyDescent="0.35">
      <c r="A35" s="200" t="s">
        <v>292</v>
      </c>
      <c r="B35" s="21" t="s">
        <v>293</v>
      </c>
      <c r="C35" s="101" t="s">
        <v>255</v>
      </c>
      <c r="D35" s="21" t="s">
        <v>673</v>
      </c>
      <c r="E35" s="52"/>
      <c r="F35" s="52"/>
      <c r="G35" s="52"/>
      <c r="H35" s="52"/>
      <c r="I35" s="101">
        <v>2</v>
      </c>
      <c r="J35" s="52"/>
      <c r="K35" s="52"/>
      <c r="L35" s="52"/>
      <c r="M35" s="52"/>
      <c r="N35" s="187">
        <v>2020</v>
      </c>
    </row>
    <row r="36" spans="1:14" ht="33.65" hidden="1" customHeight="1" x14ac:dyDescent="0.35">
      <c r="A36" s="200" t="s">
        <v>292</v>
      </c>
      <c r="B36" s="21" t="s">
        <v>293</v>
      </c>
      <c r="C36" s="101" t="s">
        <v>255</v>
      </c>
      <c r="D36" s="21" t="s">
        <v>673</v>
      </c>
      <c r="E36" s="52"/>
      <c r="F36" s="52"/>
      <c r="G36" s="52"/>
      <c r="H36" s="52"/>
      <c r="I36" s="101">
        <v>16</v>
      </c>
      <c r="J36" s="52"/>
      <c r="K36" s="52"/>
      <c r="L36" s="52"/>
      <c r="M36" s="52"/>
      <c r="N36" s="187">
        <v>2020</v>
      </c>
    </row>
    <row r="37" spans="1:14" ht="33.65" hidden="1" customHeight="1" x14ac:dyDescent="0.35">
      <c r="A37" s="200" t="s">
        <v>292</v>
      </c>
      <c r="B37" s="21" t="s">
        <v>293</v>
      </c>
      <c r="C37" s="101" t="s">
        <v>255</v>
      </c>
      <c r="D37" s="21" t="s">
        <v>678</v>
      </c>
      <c r="E37" s="52"/>
      <c r="F37" s="52"/>
      <c r="G37" s="52"/>
      <c r="H37" s="52"/>
      <c r="I37" s="101">
        <v>1</v>
      </c>
      <c r="J37" s="52"/>
      <c r="K37" s="52"/>
      <c r="L37" s="52"/>
      <c r="M37" s="52"/>
      <c r="N37" s="187">
        <v>2020</v>
      </c>
    </row>
    <row r="38" spans="1:14" ht="33.65" hidden="1" customHeight="1" x14ac:dyDescent="0.35">
      <c r="A38" s="200" t="s">
        <v>79</v>
      </c>
      <c r="B38" s="21" t="s">
        <v>468</v>
      </c>
      <c r="C38" s="101" t="s">
        <v>41</v>
      </c>
      <c r="D38" s="21" t="s">
        <v>678</v>
      </c>
      <c r="E38" s="52"/>
      <c r="F38" s="52"/>
      <c r="G38" s="52"/>
      <c r="H38" s="52"/>
      <c r="I38" s="101">
        <v>268</v>
      </c>
      <c r="J38" s="52"/>
      <c r="K38" s="52"/>
      <c r="L38" s="52"/>
      <c r="M38" s="52"/>
      <c r="N38" s="187">
        <v>2020</v>
      </c>
    </row>
    <row r="39" spans="1:14" ht="33.65" hidden="1" customHeight="1" x14ac:dyDescent="0.35">
      <c r="A39" s="200" t="s">
        <v>314</v>
      </c>
      <c r="B39" s="21" t="s">
        <v>315</v>
      </c>
      <c r="C39" s="101" t="s">
        <v>255</v>
      </c>
      <c r="D39" s="21" t="s">
        <v>673</v>
      </c>
      <c r="E39" s="52"/>
      <c r="F39" s="52"/>
      <c r="G39" s="52"/>
      <c r="H39" s="52"/>
      <c r="I39" s="101">
        <v>510</v>
      </c>
      <c r="J39" s="52"/>
      <c r="K39" s="52"/>
      <c r="L39" s="52"/>
      <c r="M39" s="52"/>
      <c r="N39" s="187">
        <v>2020</v>
      </c>
    </row>
    <row r="40" spans="1:14" ht="33.65" hidden="1" customHeight="1" x14ac:dyDescent="0.35">
      <c r="A40" s="200" t="s">
        <v>314</v>
      </c>
      <c r="B40" s="21" t="s">
        <v>315</v>
      </c>
      <c r="C40" s="101" t="s">
        <v>255</v>
      </c>
      <c r="D40" s="21" t="s">
        <v>678</v>
      </c>
      <c r="E40" s="52"/>
      <c r="F40" s="52"/>
      <c r="G40" s="52"/>
      <c r="H40" s="52"/>
      <c r="I40" s="101">
        <v>335</v>
      </c>
      <c r="J40" s="52"/>
      <c r="K40" s="52"/>
      <c r="L40" s="52"/>
      <c r="M40" s="52"/>
      <c r="N40" s="187">
        <v>2020</v>
      </c>
    </row>
    <row r="41" spans="1:14" ht="33.65" hidden="1" customHeight="1" x14ac:dyDescent="0.35">
      <c r="A41" s="200" t="s">
        <v>323</v>
      </c>
      <c r="B41" s="21" t="s">
        <v>324</v>
      </c>
      <c r="C41" s="101" t="s">
        <v>57</v>
      </c>
      <c r="D41" s="21" t="s">
        <v>678</v>
      </c>
      <c r="E41" s="52"/>
      <c r="F41" s="52"/>
      <c r="G41" s="52"/>
      <c r="H41" s="52"/>
      <c r="I41" s="101">
        <v>25</v>
      </c>
      <c r="J41" s="52"/>
      <c r="K41" s="52"/>
      <c r="L41" s="52"/>
      <c r="M41" s="52"/>
      <c r="N41" s="187">
        <v>2020</v>
      </c>
    </row>
    <row r="42" spans="1:14" ht="33.65" hidden="1" customHeight="1" x14ac:dyDescent="0.35">
      <c r="A42" s="200" t="s">
        <v>341</v>
      </c>
      <c r="B42" s="21" t="s">
        <v>342</v>
      </c>
      <c r="C42" s="101" t="s">
        <v>87</v>
      </c>
      <c r="D42" s="21" t="s">
        <v>673</v>
      </c>
      <c r="E42" s="52"/>
      <c r="F42" s="52"/>
      <c r="G42" s="52"/>
      <c r="H42" s="52"/>
      <c r="I42" s="101">
        <v>20362</v>
      </c>
      <c r="J42" s="52"/>
      <c r="K42" s="52"/>
      <c r="L42" s="52"/>
      <c r="M42" s="52"/>
      <c r="N42" s="187">
        <v>2020</v>
      </c>
    </row>
    <row r="43" spans="1:14" ht="33.65" hidden="1" customHeight="1" x14ac:dyDescent="0.35">
      <c r="A43" s="200" t="s">
        <v>341</v>
      </c>
      <c r="B43" s="21" t="s">
        <v>342</v>
      </c>
      <c r="C43" s="101" t="s">
        <v>87</v>
      </c>
      <c r="D43" s="21" t="s">
        <v>679</v>
      </c>
      <c r="E43" s="52"/>
      <c r="F43" s="52"/>
      <c r="G43" s="52"/>
      <c r="H43" s="52"/>
      <c r="I43" s="101">
        <v>1064</v>
      </c>
      <c r="J43" s="52"/>
      <c r="K43" s="52"/>
      <c r="L43" s="52"/>
      <c r="M43" s="52"/>
      <c r="N43" s="187">
        <v>2020</v>
      </c>
    </row>
    <row r="44" spans="1:14" ht="33.65" hidden="1" customHeight="1" x14ac:dyDescent="0.35">
      <c r="A44" s="200" t="s">
        <v>341</v>
      </c>
      <c r="B44" s="21" t="s">
        <v>342</v>
      </c>
      <c r="C44" s="101" t="s">
        <v>87</v>
      </c>
      <c r="D44" s="21" t="s">
        <v>678</v>
      </c>
      <c r="E44" s="52"/>
      <c r="F44" s="52"/>
      <c r="G44" s="52"/>
      <c r="H44" s="52"/>
      <c r="I44" s="101">
        <v>3783</v>
      </c>
      <c r="J44" s="52"/>
      <c r="K44" s="52"/>
      <c r="L44" s="52"/>
      <c r="M44" s="52"/>
      <c r="N44" s="187">
        <v>2020</v>
      </c>
    </row>
    <row r="45" spans="1:14" ht="33.65" hidden="1" customHeight="1" x14ac:dyDescent="0.35">
      <c r="A45" s="200" t="s">
        <v>75</v>
      </c>
      <c r="B45" s="21" t="s">
        <v>347</v>
      </c>
      <c r="C45" s="101" t="s">
        <v>41</v>
      </c>
      <c r="D45" s="21" t="s">
        <v>677</v>
      </c>
      <c r="E45" s="52"/>
      <c r="F45" s="52"/>
      <c r="G45" s="52"/>
      <c r="H45" s="52"/>
      <c r="I45" s="101">
        <v>5</v>
      </c>
      <c r="J45" s="52"/>
      <c r="K45" s="52"/>
      <c r="L45" s="52"/>
      <c r="M45" s="52"/>
      <c r="N45" s="187">
        <v>2020</v>
      </c>
    </row>
    <row r="46" spans="1:14" ht="33.65" hidden="1" customHeight="1" x14ac:dyDescent="0.35">
      <c r="A46" s="200" t="s">
        <v>75</v>
      </c>
      <c r="B46" s="21" t="s">
        <v>347</v>
      </c>
      <c r="C46" s="101" t="s">
        <v>41</v>
      </c>
      <c r="D46" s="21" t="s">
        <v>665</v>
      </c>
      <c r="E46" s="52"/>
      <c r="F46" s="52"/>
      <c r="G46" s="52"/>
      <c r="H46" s="52"/>
      <c r="I46" s="101">
        <v>10</v>
      </c>
      <c r="J46" s="52"/>
      <c r="K46" s="52"/>
      <c r="L46" s="52"/>
      <c r="M46" s="52"/>
      <c r="N46" s="187">
        <v>2020</v>
      </c>
    </row>
    <row r="47" spans="1:14" ht="33.65" hidden="1" customHeight="1" x14ac:dyDescent="0.35">
      <c r="A47" s="200" t="s">
        <v>348</v>
      </c>
      <c r="B47" s="21" t="s">
        <v>349</v>
      </c>
      <c r="C47" s="101" t="s">
        <v>255</v>
      </c>
      <c r="D47" s="21" t="s">
        <v>677</v>
      </c>
      <c r="E47" s="52"/>
      <c r="F47" s="52"/>
      <c r="G47" s="52"/>
      <c r="H47" s="52"/>
      <c r="I47" s="101">
        <v>5320</v>
      </c>
      <c r="J47" s="52"/>
      <c r="K47" s="52"/>
      <c r="L47" s="52"/>
      <c r="M47" s="52"/>
      <c r="N47" s="187">
        <v>2020</v>
      </c>
    </row>
    <row r="48" spans="1:14" ht="33.65" hidden="1" customHeight="1" x14ac:dyDescent="0.35">
      <c r="A48" s="200" t="s">
        <v>348</v>
      </c>
      <c r="B48" s="21" t="s">
        <v>349</v>
      </c>
      <c r="C48" s="101" t="s">
        <v>255</v>
      </c>
      <c r="D48" s="21" t="s">
        <v>673</v>
      </c>
      <c r="E48" s="52"/>
      <c r="F48" s="52"/>
      <c r="G48" s="52"/>
      <c r="H48" s="52"/>
      <c r="I48" s="101">
        <v>9462</v>
      </c>
      <c r="J48" s="52"/>
      <c r="K48" s="52"/>
      <c r="L48" s="52"/>
      <c r="M48" s="52"/>
      <c r="N48" s="187">
        <v>2020</v>
      </c>
    </row>
    <row r="49" spans="1:14" ht="33.65" hidden="1" customHeight="1" x14ac:dyDescent="0.35">
      <c r="A49" s="200" t="s">
        <v>551</v>
      </c>
      <c r="B49" s="21" t="s">
        <v>552</v>
      </c>
      <c r="C49" s="101" t="s">
        <v>255</v>
      </c>
      <c r="D49" s="21" t="s">
        <v>673</v>
      </c>
      <c r="E49" s="52"/>
      <c r="F49" s="52"/>
      <c r="G49" s="52"/>
      <c r="H49" s="52"/>
      <c r="I49" s="101">
        <v>15889</v>
      </c>
      <c r="J49" s="52"/>
      <c r="K49" s="52"/>
      <c r="L49" s="52"/>
      <c r="M49" s="52"/>
      <c r="N49" s="187">
        <v>2020</v>
      </c>
    </row>
    <row r="50" spans="1:14" ht="33.65" hidden="1" customHeight="1" x14ac:dyDescent="0.35">
      <c r="A50" s="200" t="s">
        <v>551</v>
      </c>
      <c r="B50" s="21" t="s">
        <v>552</v>
      </c>
      <c r="C50" s="101" t="s">
        <v>255</v>
      </c>
      <c r="D50" s="21" t="s">
        <v>678</v>
      </c>
      <c r="E50" s="52"/>
      <c r="F50" s="52"/>
      <c r="G50" s="52"/>
      <c r="H50" s="52"/>
      <c r="I50" s="101">
        <v>1230</v>
      </c>
      <c r="J50" s="52"/>
      <c r="K50" s="52"/>
      <c r="L50" s="52"/>
      <c r="M50" s="52"/>
      <c r="N50" s="187">
        <v>2020</v>
      </c>
    </row>
    <row r="51" spans="1:14" ht="33.65" hidden="1" customHeight="1" x14ac:dyDescent="0.35">
      <c r="A51" s="200" t="s">
        <v>373</v>
      </c>
      <c r="B51" s="21" t="s">
        <v>91</v>
      </c>
      <c r="C51" s="101" t="s">
        <v>41</v>
      </c>
      <c r="D51" s="21" t="s">
        <v>673</v>
      </c>
      <c r="E51" s="52"/>
      <c r="F51" s="52"/>
      <c r="G51" s="52"/>
      <c r="H51" s="52"/>
      <c r="I51" s="101">
        <v>25996</v>
      </c>
      <c r="J51" s="52"/>
      <c r="K51" s="52"/>
      <c r="L51" s="52"/>
      <c r="M51" s="52"/>
      <c r="N51" s="187">
        <v>2020</v>
      </c>
    </row>
    <row r="52" spans="1:14" ht="33.65" hidden="1" customHeight="1" x14ac:dyDescent="0.35">
      <c r="A52" s="200" t="s">
        <v>373</v>
      </c>
      <c r="B52" s="21" t="s">
        <v>91</v>
      </c>
      <c r="C52" s="101" t="s">
        <v>41</v>
      </c>
      <c r="D52" s="21" t="s">
        <v>678</v>
      </c>
      <c r="E52" s="52"/>
      <c r="F52" s="52"/>
      <c r="G52" s="52"/>
      <c r="H52" s="52"/>
      <c r="I52" s="101">
        <v>2949</v>
      </c>
      <c r="J52" s="52"/>
      <c r="K52" s="52"/>
      <c r="L52" s="52"/>
      <c r="M52" s="52"/>
      <c r="N52" s="187">
        <v>2020</v>
      </c>
    </row>
    <row r="53" spans="1:14" ht="33.65" customHeight="1" x14ac:dyDescent="0.35">
      <c r="A53" s="200" t="s">
        <v>93</v>
      </c>
      <c r="B53" s="21" t="s">
        <v>95</v>
      </c>
      <c r="C53" s="101" t="s">
        <v>41</v>
      </c>
      <c r="D53" s="21" t="s">
        <v>673</v>
      </c>
      <c r="E53" s="52"/>
      <c r="F53" s="52"/>
      <c r="G53" s="52"/>
      <c r="H53" s="52"/>
      <c r="I53" s="101">
        <v>90545</v>
      </c>
      <c r="J53" s="52"/>
      <c r="K53" s="52"/>
      <c r="L53" s="52"/>
      <c r="M53" s="52"/>
      <c r="N53" s="187">
        <v>2020</v>
      </c>
    </row>
    <row r="54" spans="1:14" ht="33.65" hidden="1" customHeight="1" x14ac:dyDescent="0.35">
      <c r="A54" s="200" t="s">
        <v>101</v>
      </c>
      <c r="B54" s="21" t="s">
        <v>103</v>
      </c>
      <c r="C54" s="101" t="s">
        <v>41</v>
      </c>
      <c r="D54" s="21" t="s">
        <v>678</v>
      </c>
      <c r="E54" s="52"/>
      <c r="F54" s="52"/>
      <c r="G54" s="52"/>
      <c r="H54" s="52"/>
      <c r="I54" s="101">
        <v>30</v>
      </c>
      <c r="J54" s="52"/>
      <c r="K54" s="52"/>
      <c r="L54" s="52"/>
      <c r="M54" s="52"/>
      <c r="N54" s="187">
        <v>2020</v>
      </c>
    </row>
    <row r="55" spans="1:14" ht="33.65" hidden="1" customHeight="1" x14ac:dyDescent="0.35">
      <c r="A55" s="200" t="s">
        <v>388</v>
      </c>
      <c r="B55" s="21" t="s">
        <v>389</v>
      </c>
      <c r="C55" s="101" t="s">
        <v>255</v>
      </c>
      <c r="D55" s="21" t="s">
        <v>673</v>
      </c>
      <c r="E55" s="52"/>
      <c r="F55" s="52"/>
      <c r="G55" s="52"/>
      <c r="H55" s="52"/>
      <c r="I55" s="101">
        <v>1400</v>
      </c>
      <c r="J55" s="52"/>
      <c r="K55" s="52"/>
      <c r="L55" s="52"/>
      <c r="M55" s="52"/>
      <c r="N55" s="187">
        <v>2020</v>
      </c>
    </row>
    <row r="56" spans="1:14" ht="33.65" hidden="1" customHeight="1" x14ac:dyDescent="0.35">
      <c r="A56" s="200" t="s">
        <v>391</v>
      </c>
      <c r="B56" s="21" t="s">
        <v>392</v>
      </c>
      <c r="C56" s="101" t="s">
        <v>255</v>
      </c>
      <c r="D56" s="21" t="s">
        <v>673</v>
      </c>
      <c r="E56" s="52"/>
      <c r="F56" s="52"/>
      <c r="G56" s="52"/>
      <c r="H56" s="52"/>
      <c r="I56" s="101">
        <v>4421</v>
      </c>
      <c r="J56" s="52"/>
      <c r="K56" s="52"/>
      <c r="L56" s="52"/>
      <c r="M56" s="52"/>
      <c r="N56" s="187">
        <v>2020</v>
      </c>
    </row>
    <row r="57" spans="1:14" ht="33.65" hidden="1" customHeight="1" x14ac:dyDescent="0.35">
      <c r="A57" s="200" t="s">
        <v>391</v>
      </c>
      <c r="B57" s="21" t="s">
        <v>392</v>
      </c>
      <c r="C57" s="101" t="s">
        <v>255</v>
      </c>
      <c r="D57" s="21" t="s">
        <v>680</v>
      </c>
      <c r="E57" s="52"/>
      <c r="F57" s="52"/>
      <c r="G57" s="52"/>
      <c r="H57" s="52"/>
      <c r="I57" s="101">
        <v>23</v>
      </c>
      <c r="J57" s="52"/>
      <c r="K57" s="52"/>
      <c r="L57" s="52"/>
      <c r="M57" s="52"/>
      <c r="N57" s="187">
        <v>2020</v>
      </c>
    </row>
    <row r="58" spans="1:14" ht="33.65" hidden="1" customHeight="1" x14ac:dyDescent="0.35">
      <c r="A58" s="200" t="s">
        <v>250</v>
      </c>
      <c r="B58" s="52"/>
      <c r="C58" s="56" t="s">
        <v>57</v>
      </c>
      <c r="D58" s="160" t="s">
        <v>677</v>
      </c>
      <c r="E58" s="52"/>
      <c r="F58" s="52"/>
      <c r="G58" s="52"/>
      <c r="H58" s="52"/>
      <c r="I58" s="103">
        <v>16194</v>
      </c>
      <c r="J58" s="52"/>
      <c r="K58" s="52"/>
      <c r="L58" s="52"/>
      <c r="M58" s="52"/>
      <c r="N58" s="187">
        <v>2020</v>
      </c>
    </row>
    <row r="59" spans="1:14" ht="33.65" hidden="1" customHeight="1" x14ac:dyDescent="0.35">
      <c r="A59" s="200" t="s">
        <v>329</v>
      </c>
      <c r="B59" s="52"/>
      <c r="C59" s="56" t="s">
        <v>41</v>
      </c>
      <c r="D59" s="49"/>
      <c r="E59" s="52"/>
      <c r="F59" s="52"/>
      <c r="G59" s="52"/>
      <c r="H59" s="52"/>
      <c r="I59" s="103"/>
      <c r="J59" s="52"/>
      <c r="K59" s="52"/>
      <c r="L59" s="52"/>
      <c r="M59" s="52"/>
      <c r="N59" s="187">
        <v>2020</v>
      </c>
    </row>
    <row r="60" spans="1:14" ht="33.65" hidden="1" customHeight="1" x14ac:dyDescent="0.35">
      <c r="A60" s="200" t="s">
        <v>336</v>
      </c>
      <c r="B60" s="52"/>
      <c r="C60" s="56" t="s">
        <v>255</v>
      </c>
      <c r="D60" s="21" t="s">
        <v>678</v>
      </c>
      <c r="E60" s="52"/>
      <c r="F60" s="52"/>
      <c r="G60" s="52"/>
      <c r="H60" s="52"/>
      <c r="I60" s="103">
        <v>183</v>
      </c>
      <c r="J60" s="52"/>
      <c r="K60" s="52"/>
      <c r="L60" s="52"/>
      <c r="M60" s="52"/>
      <c r="N60" s="187">
        <v>2020</v>
      </c>
    </row>
    <row r="61" spans="1:14" ht="33.65" hidden="1" customHeight="1" x14ac:dyDescent="0.35">
      <c r="A61" s="200" t="s">
        <v>344</v>
      </c>
      <c r="B61" s="52"/>
      <c r="C61" s="56" t="s">
        <v>46</v>
      </c>
      <c r="D61" s="160" t="s">
        <v>665</v>
      </c>
      <c r="E61" s="52"/>
      <c r="F61" s="52"/>
      <c r="G61" s="52"/>
      <c r="H61" s="52"/>
      <c r="I61" s="103">
        <v>1334</v>
      </c>
      <c r="J61" s="52"/>
      <c r="K61" s="52"/>
      <c r="L61" s="52"/>
      <c r="M61" s="52"/>
      <c r="N61" s="187">
        <v>2020</v>
      </c>
    </row>
    <row r="62" spans="1:14" ht="33.65" hidden="1" customHeight="1" x14ac:dyDescent="0.35">
      <c r="A62" s="200" t="s">
        <v>572</v>
      </c>
      <c r="B62" s="52"/>
      <c r="C62" s="30" t="s">
        <v>41</v>
      </c>
      <c r="D62" s="21" t="s">
        <v>678</v>
      </c>
      <c r="E62" s="52"/>
      <c r="F62" s="52"/>
      <c r="G62" s="52"/>
      <c r="H62" s="52"/>
      <c r="I62" s="103">
        <v>20</v>
      </c>
      <c r="J62" s="52"/>
      <c r="K62" s="52"/>
      <c r="L62" s="52"/>
      <c r="M62" s="52"/>
      <c r="N62" s="187">
        <v>2020</v>
      </c>
    </row>
    <row r="63" spans="1:14" ht="33.65" hidden="1" customHeight="1" x14ac:dyDescent="0.35">
      <c r="A63" s="200" t="s">
        <v>14</v>
      </c>
      <c r="B63" s="37" t="s">
        <v>137</v>
      </c>
      <c r="C63" s="30" t="s">
        <v>255</v>
      </c>
      <c r="D63" s="37" t="s">
        <v>679</v>
      </c>
      <c r="E63" s="52"/>
      <c r="F63" s="52"/>
      <c r="G63" s="52"/>
      <c r="H63" s="52"/>
      <c r="I63" s="30">
        <v>1089</v>
      </c>
      <c r="J63" s="52"/>
      <c r="K63" s="52"/>
      <c r="L63" s="52"/>
      <c r="M63" s="52"/>
      <c r="N63" s="187">
        <v>2021</v>
      </c>
    </row>
    <row r="64" spans="1:14" ht="33.65" hidden="1" customHeight="1" x14ac:dyDescent="0.35">
      <c r="A64" s="200" t="s">
        <v>14</v>
      </c>
      <c r="B64" s="37" t="s">
        <v>137</v>
      </c>
      <c r="C64" s="30" t="s">
        <v>255</v>
      </c>
      <c r="D64" s="37" t="s">
        <v>673</v>
      </c>
      <c r="E64" s="52"/>
      <c r="F64" s="52"/>
      <c r="G64" s="52"/>
      <c r="H64" s="52"/>
      <c r="I64" s="30">
        <v>570</v>
      </c>
      <c r="J64" s="52"/>
      <c r="K64" s="52"/>
      <c r="L64" s="52"/>
      <c r="M64" s="52"/>
      <c r="N64" s="187">
        <v>2021</v>
      </c>
    </row>
    <row r="65" spans="1:14" ht="33.65" hidden="1" customHeight="1" x14ac:dyDescent="0.35">
      <c r="A65" s="200" t="s">
        <v>264</v>
      </c>
      <c r="B65" s="37" t="s">
        <v>267</v>
      </c>
      <c r="C65" s="30" t="s">
        <v>46</v>
      </c>
      <c r="D65" s="37" t="s">
        <v>678</v>
      </c>
      <c r="E65" s="52"/>
      <c r="F65" s="52"/>
      <c r="G65" s="52"/>
      <c r="H65" s="52"/>
      <c r="I65" s="30">
        <v>396</v>
      </c>
      <c r="J65" s="52"/>
      <c r="K65" s="52"/>
      <c r="L65" s="52"/>
      <c r="M65" s="52"/>
      <c r="N65" s="187">
        <v>2021</v>
      </c>
    </row>
    <row r="66" spans="1:14" ht="33.65" hidden="1" customHeight="1" x14ac:dyDescent="0.35">
      <c r="A66" s="200" t="s">
        <v>142</v>
      </c>
      <c r="B66" s="37" t="s">
        <v>280</v>
      </c>
      <c r="C66" s="30" t="s">
        <v>255</v>
      </c>
      <c r="D66" s="37" t="s">
        <v>677</v>
      </c>
      <c r="E66" s="52"/>
      <c r="F66" s="52"/>
      <c r="G66" s="52"/>
      <c r="H66" s="52"/>
      <c r="I66" s="30">
        <v>34</v>
      </c>
      <c r="J66" s="52"/>
      <c r="K66" s="52"/>
      <c r="L66" s="52"/>
      <c r="M66" s="52"/>
      <c r="N66" s="187">
        <v>2021</v>
      </c>
    </row>
    <row r="67" spans="1:14" ht="33.65" hidden="1" customHeight="1" x14ac:dyDescent="0.35">
      <c r="A67" s="200" t="s">
        <v>142</v>
      </c>
      <c r="B67" s="37" t="s">
        <v>280</v>
      </c>
      <c r="C67" s="30" t="s">
        <v>255</v>
      </c>
      <c r="D67" s="37" t="s">
        <v>679</v>
      </c>
      <c r="E67" s="52"/>
      <c r="F67" s="52"/>
      <c r="G67" s="52"/>
      <c r="H67" s="52"/>
      <c r="I67" s="30">
        <v>235</v>
      </c>
      <c r="J67" s="52"/>
      <c r="K67" s="52"/>
      <c r="L67" s="52"/>
      <c r="M67" s="52"/>
      <c r="N67" s="187">
        <v>2021</v>
      </c>
    </row>
    <row r="68" spans="1:14" ht="33.65" hidden="1" customHeight="1" x14ac:dyDescent="0.35">
      <c r="A68" s="200" t="s">
        <v>292</v>
      </c>
      <c r="B68" s="37" t="s">
        <v>457</v>
      </c>
      <c r="C68" s="30" t="s">
        <v>255</v>
      </c>
      <c r="D68" s="37" t="s">
        <v>673</v>
      </c>
      <c r="E68" s="52"/>
      <c r="F68" s="52"/>
      <c r="G68" s="52"/>
      <c r="H68" s="52"/>
      <c r="I68" s="30">
        <v>1262</v>
      </c>
      <c r="J68" s="52"/>
      <c r="K68" s="52"/>
      <c r="L68" s="52"/>
      <c r="M68" s="52"/>
      <c r="N68" s="187">
        <v>2021</v>
      </c>
    </row>
    <row r="69" spans="1:14" ht="33.65" hidden="1" customHeight="1" x14ac:dyDescent="0.35">
      <c r="A69" s="200" t="s">
        <v>292</v>
      </c>
      <c r="B69" s="37" t="s">
        <v>457</v>
      </c>
      <c r="C69" s="30" t="s">
        <v>255</v>
      </c>
      <c r="D69" s="37" t="s">
        <v>678</v>
      </c>
      <c r="E69" s="52"/>
      <c r="F69" s="52"/>
      <c r="G69" s="52"/>
      <c r="H69" s="52"/>
      <c r="I69" s="30">
        <v>642</v>
      </c>
      <c r="J69" s="52"/>
      <c r="K69" s="52"/>
      <c r="L69" s="52"/>
      <c r="M69" s="52"/>
      <c r="N69" s="187">
        <v>2021</v>
      </c>
    </row>
    <row r="70" spans="1:14" ht="33.65" hidden="1" customHeight="1" x14ac:dyDescent="0.35">
      <c r="A70" s="200" t="s">
        <v>79</v>
      </c>
      <c r="B70" s="37" t="s">
        <v>686</v>
      </c>
      <c r="C70" s="30" t="s">
        <v>41</v>
      </c>
      <c r="D70" s="37" t="s">
        <v>678</v>
      </c>
      <c r="E70" s="52"/>
      <c r="F70" s="52"/>
      <c r="G70" s="52"/>
      <c r="H70" s="52"/>
      <c r="I70" s="30">
        <v>255</v>
      </c>
      <c r="J70" s="52"/>
      <c r="K70" s="52"/>
      <c r="L70" s="52"/>
      <c r="M70" s="52"/>
      <c r="N70" s="187">
        <v>2021</v>
      </c>
    </row>
    <row r="71" spans="1:14" ht="33.65" hidden="1" customHeight="1" x14ac:dyDescent="0.35">
      <c r="A71" s="200" t="s">
        <v>422</v>
      </c>
      <c r="B71" s="37" t="s">
        <v>483</v>
      </c>
      <c r="C71" s="30" t="s">
        <v>87</v>
      </c>
      <c r="D71" s="37" t="s">
        <v>678</v>
      </c>
      <c r="E71" s="52"/>
      <c r="F71" s="52"/>
      <c r="G71" s="52"/>
      <c r="H71" s="52"/>
      <c r="I71" s="30">
        <v>21</v>
      </c>
      <c r="J71" s="52"/>
      <c r="K71" s="52"/>
      <c r="L71" s="52"/>
      <c r="M71" s="52"/>
      <c r="N71" s="187">
        <v>2021</v>
      </c>
    </row>
    <row r="72" spans="1:14" ht="33.65" hidden="1" customHeight="1" x14ac:dyDescent="0.35">
      <c r="A72" s="200" t="s">
        <v>422</v>
      </c>
      <c r="B72" s="37" t="s">
        <v>485</v>
      </c>
      <c r="C72" s="30" t="s">
        <v>46</v>
      </c>
      <c r="D72" s="37" t="s">
        <v>678</v>
      </c>
      <c r="E72" s="52"/>
      <c r="F72" s="52"/>
      <c r="G72" s="52"/>
      <c r="H72" s="52"/>
      <c r="I72" s="30">
        <v>21</v>
      </c>
      <c r="J72" s="52"/>
      <c r="K72" s="52"/>
      <c r="L72" s="52"/>
      <c r="M72" s="52"/>
      <c r="N72" s="187">
        <v>2021</v>
      </c>
    </row>
    <row r="73" spans="1:14" ht="33.65" hidden="1" customHeight="1" x14ac:dyDescent="0.35">
      <c r="A73" s="200" t="s">
        <v>422</v>
      </c>
      <c r="B73" s="37" t="s">
        <v>483</v>
      </c>
      <c r="C73" s="30" t="s">
        <v>46</v>
      </c>
      <c r="D73" s="37" t="s">
        <v>665</v>
      </c>
      <c r="E73" s="52"/>
      <c r="F73" s="52"/>
      <c r="G73" s="52"/>
      <c r="H73" s="52"/>
      <c r="I73" s="30">
        <v>18</v>
      </c>
      <c r="J73" s="52"/>
      <c r="K73" s="52"/>
      <c r="L73" s="52"/>
      <c r="M73" s="52"/>
      <c r="N73" s="187">
        <v>2021</v>
      </c>
    </row>
    <row r="74" spans="1:14" ht="33.65" hidden="1" customHeight="1" x14ac:dyDescent="0.35">
      <c r="A74" s="200" t="s">
        <v>422</v>
      </c>
      <c r="B74" s="37" t="s">
        <v>485</v>
      </c>
      <c r="C74" s="30" t="s">
        <v>46</v>
      </c>
      <c r="D74" s="37" t="s">
        <v>678</v>
      </c>
      <c r="E74" s="52"/>
      <c r="F74" s="52"/>
      <c r="G74" s="52"/>
      <c r="H74" s="52"/>
      <c r="I74" s="30">
        <v>21</v>
      </c>
      <c r="J74" s="52"/>
      <c r="K74" s="52"/>
      <c r="L74" s="52"/>
      <c r="M74" s="52"/>
      <c r="N74" s="187">
        <v>2021</v>
      </c>
    </row>
    <row r="75" spans="1:14" ht="33.65" hidden="1" customHeight="1" x14ac:dyDescent="0.35">
      <c r="A75" s="200" t="s">
        <v>314</v>
      </c>
      <c r="B75" s="37" t="s">
        <v>315</v>
      </c>
      <c r="C75" s="30" t="s">
        <v>255</v>
      </c>
      <c r="D75" s="37" t="s">
        <v>673</v>
      </c>
      <c r="E75" s="52"/>
      <c r="F75" s="52"/>
      <c r="G75" s="52"/>
      <c r="H75" s="52"/>
      <c r="I75" s="30">
        <v>510</v>
      </c>
      <c r="J75" s="52"/>
      <c r="K75" s="52"/>
      <c r="L75" s="52"/>
      <c r="M75" s="52"/>
      <c r="N75" s="187">
        <v>2021</v>
      </c>
    </row>
    <row r="76" spans="1:14" ht="33.65" hidden="1" customHeight="1" x14ac:dyDescent="0.35">
      <c r="A76" s="200" t="s">
        <v>314</v>
      </c>
      <c r="B76" s="37" t="s">
        <v>315</v>
      </c>
      <c r="C76" s="30" t="s">
        <v>255</v>
      </c>
      <c r="D76" s="37" t="s">
        <v>678</v>
      </c>
      <c r="E76" s="52"/>
      <c r="F76" s="52"/>
      <c r="G76" s="52"/>
      <c r="H76" s="52"/>
      <c r="I76" s="30">
        <v>335</v>
      </c>
      <c r="J76" s="52"/>
      <c r="K76" s="52"/>
      <c r="L76" s="52"/>
      <c r="M76" s="52"/>
      <c r="N76" s="187">
        <v>2021</v>
      </c>
    </row>
    <row r="77" spans="1:14" ht="33.65" hidden="1" customHeight="1" x14ac:dyDescent="0.35">
      <c r="A77" s="200" t="s">
        <v>336</v>
      </c>
      <c r="B77" s="37" t="s">
        <v>520</v>
      </c>
      <c r="C77" s="30" t="s">
        <v>255</v>
      </c>
      <c r="D77" s="37" t="s">
        <v>665</v>
      </c>
      <c r="E77" s="52"/>
      <c r="F77" s="52"/>
      <c r="G77" s="52"/>
      <c r="H77" s="52"/>
      <c r="I77" s="30">
        <v>2</v>
      </c>
      <c r="J77" s="52"/>
      <c r="K77" s="52"/>
      <c r="L77" s="52"/>
      <c r="M77" s="52"/>
      <c r="N77" s="187">
        <v>2021</v>
      </c>
    </row>
    <row r="78" spans="1:14" ht="33.65" hidden="1" customHeight="1" x14ac:dyDescent="0.35">
      <c r="A78" s="200" t="s">
        <v>336</v>
      </c>
      <c r="B78" s="37" t="s">
        <v>520</v>
      </c>
      <c r="C78" s="30" t="s">
        <v>255</v>
      </c>
      <c r="D78" s="37" t="s">
        <v>678</v>
      </c>
      <c r="E78" s="52"/>
      <c r="F78" s="52"/>
      <c r="G78" s="52"/>
      <c r="H78" s="52"/>
      <c r="I78" s="30">
        <v>62</v>
      </c>
      <c r="J78" s="52"/>
      <c r="K78" s="52"/>
      <c r="L78" s="52"/>
      <c r="M78" s="52"/>
      <c r="N78" s="187">
        <v>2021</v>
      </c>
    </row>
    <row r="79" spans="1:14" ht="33.65" hidden="1" customHeight="1" x14ac:dyDescent="0.35">
      <c r="A79" s="200" t="s">
        <v>67</v>
      </c>
      <c r="B79" s="37" t="s">
        <v>523</v>
      </c>
      <c r="C79" s="30" t="s">
        <v>41</v>
      </c>
      <c r="D79" s="37" t="s">
        <v>673</v>
      </c>
      <c r="E79" s="52"/>
      <c r="F79" s="52"/>
      <c r="G79" s="52"/>
      <c r="H79" s="52"/>
      <c r="I79" s="30">
        <v>17314</v>
      </c>
      <c r="J79" s="52"/>
      <c r="K79" s="52"/>
      <c r="L79" s="52"/>
      <c r="M79" s="52"/>
      <c r="N79" s="187">
        <v>2021</v>
      </c>
    </row>
    <row r="80" spans="1:14" ht="33.65" hidden="1" customHeight="1" x14ac:dyDescent="0.35">
      <c r="A80" s="200" t="s">
        <v>525</v>
      </c>
      <c r="B80" s="37" t="s">
        <v>526</v>
      </c>
      <c r="C80" s="30" t="s">
        <v>255</v>
      </c>
      <c r="D80" s="37" t="s">
        <v>678</v>
      </c>
      <c r="E80" s="52"/>
      <c r="F80" s="52"/>
      <c r="G80" s="52"/>
      <c r="H80" s="52"/>
      <c r="I80" s="30">
        <v>559</v>
      </c>
      <c r="J80" s="52"/>
      <c r="K80" s="52"/>
      <c r="L80" s="52"/>
      <c r="M80" s="52"/>
      <c r="N80" s="187">
        <v>2021</v>
      </c>
    </row>
    <row r="81" spans="1:14" ht="33.65" hidden="1" customHeight="1" x14ac:dyDescent="0.35">
      <c r="A81" s="200" t="s">
        <v>525</v>
      </c>
      <c r="B81" s="37" t="s">
        <v>526</v>
      </c>
      <c r="C81" s="30" t="s">
        <v>255</v>
      </c>
      <c r="D81" s="37" t="s">
        <v>665</v>
      </c>
      <c r="E81" s="52"/>
      <c r="F81" s="52"/>
      <c r="G81" s="52"/>
      <c r="H81" s="52"/>
      <c r="I81" s="30">
        <v>2799</v>
      </c>
      <c r="J81" s="52"/>
      <c r="K81" s="52"/>
      <c r="L81" s="52"/>
      <c r="M81" s="52"/>
      <c r="N81" s="187">
        <v>2021</v>
      </c>
    </row>
    <row r="82" spans="1:14" ht="33.65" hidden="1" customHeight="1" x14ac:dyDescent="0.35">
      <c r="A82" s="200" t="s">
        <v>341</v>
      </c>
      <c r="B82" s="37" t="s">
        <v>342</v>
      </c>
      <c r="C82" s="30" t="s">
        <v>87</v>
      </c>
      <c r="D82" s="37" t="s">
        <v>673</v>
      </c>
      <c r="E82" s="52"/>
      <c r="F82" s="52"/>
      <c r="G82" s="52"/>
      <c r="H82" s="52"/>
      <c r="I82" s="30">
        <v>3678</v>
      </c>
      <c r="J82" s="52"/>
      <c r="K82" s="52"/>
      <c r="L82" s="52"/>
      <c r="M82" s="52"/>
      <c r="N82" s="187">
        <v>2021</v>
      </c>
    </row>
    <row r="83" spans="1:14" ht="33.65" hidden="1" customHeight="1" x14ac:dyDescent="0.35">
      <c r="A83" s="200" t="s">
        <v>341</v>
      </c>
      <c r="B83" s="37" t="s">
        <v>342</v>
      </c>
      <c r="C83" s="30" t="s">
        <v>87</v>
      </c>
      <c r="D83" s="37" t="s">
        <v>679</v>
      </c>
      <c r="E83" s="52"/>
      <c r="F83" s="52"/>
      <c r="G83" s="52"/>
      <c r="H83" s="52"/>
      <c r="I83" s="30">
        <v>262</v>
      </c>
      <c r="J83" s="52"/>
      <c r="K83" s="52"/>
      <c r="L83" s="52"/>
      <c r="M83" s="52"/>
      <c r="N83" s="187">
        <v>2021</v>
      </c>
    </row>
    <row r="84" spans="1:14" ht="33.65" hidden="1" customHeight="1" x14ac:dyDescent="0.35">
      <c r="A84" s="200" t="s">
        <v>341</v>
      </c>
      <c r="B84" s="37" t="s">
        <v>342</v>
      </c>
      <c r="C84" s="30" t="s">
        <v>87</v>
      </c>
      <c r="D84" s="37" t="s">
        <v>678</v>
      </c>
      <c r="E84" s="52"/>
      <c r="F84" s="52"/>
      <c r="G84" s="52"/>
      <c r="H84" s="52"/>
      <c r="I84" s="30">
        <v>1655</v>
      </c>
      <c r="J84" s="52"/>
      <c r="K84" s="52"/>
      <c r="L84" s="52"/>
      <c r="M84" s="52"/>
      <c r="N84" s="187">
        <v>2021</v>
      </c>
    </row>
    <row r="85" spans="1:14" ht="33.65" hidden="1" customHeight="1" x14ac:dyDescent="0.35">
      <c r="A85" s="200" t="s">
        <v>348</v>
      </c>
      <c r="B85" s="37" t="s">
        <v>349</v>
      </c>
      <c r="C85" s="30" t="s">
        <v>255</v>
      </c>
      <c r="D85" s="37" t="s">
        <v>677</v>
      </c>
      <c r="E85" s="52"/>
      <c r="F85" s="52"/>
      <c r="G85" s="52"/>
      <c r="H85" s="52"/>
      <c r="I85" s="30">
        <v>1666</v>
      </c>
      <c r="J85" s="52"/>
      <c r="K85" s="52"/>
      <c r="L85" s="52"/>
      <c r="M85" s="52"/>
      <c r="N85" s="187">
        <v>2021</v>
      </c>
    </row>
    <row r="86" spans="1:14" ht="33.65" hidden="1" customHeight="1" x14ac:dyDescent="0.35">
      <c r="A86" s="200" t="s">
        <v>373</v>
      </c>
      <c r="B86" s="37" t="s">
        <v>91</v>
      </c>
      <c r="C86" s="30" t="s">
        <v>41</v>
      </c>
      <c r="D86" s="37" t="s">
        <v>673</v>
      </c>
      <c r="E86" s="52"/>
      <c r="F86" s="52"/>
      <c r="G86" s="52"/>
      <c r="H86" s="52"/>
      <c r="I86" s="30">
        <v>31528</v>
      </c>
      <c r="J86" s="52"/>
      <c r="K86" s="52"/>
      <c r="L86" s="52"/>
      <c r="M86" s="52"/>
      <c r="N86" s="187">
        <v>2021</v>
      </c>
    </row>
    <row r="87" spans="1:14" ht="33.65" customHeight="1" x14ac:dyDescent="0.35">
      <c r="A87" s="200" t="s">
        <v>93</v>
      </c>
      <c r="B87" s="37" t="s">
        <v>95</v>
      </c>
      <c r="C87" s="30" t="s">
        <v>41</v>
      </c>
      <c r="D87" s="37" t="s">
        <v>673</v>
      </c>
      <c r="E87" s="52"/>
      <c r="F87" s="52"/>
      <c r="G87" s="52"/>
      <c r="H87" s="52"/>
      <c r="I87" s="30">
        <v>8674</v>
      </c>
      <c r="J87" s="52"/>
      <c r="K87" s="52"/>
      <c r="L87" s="52"/>
      <c r="M87" s="52"/>
      <c r="N87" s="187">
        <v>2021</v>
      </c>
    </row>
    <row r="88" spans="1:14" ht="33.65" hidden="1" customHeight="1" x14ac:dyDescent="0.35">
      <c r="A88" s="200" t="s">
        <v>106</v>
      </c>
      <c r="B88" s="37" t="s">
        <v>681</v>
      </c>
      <c r="C88" s="30" t="s">
        <v>57</v>
      </c>
      <c r="D88" s="37" t="s">
        <v>678</v>
      </c>
      <c r="E88" s="52"/>
      <c r="F88" s="52"/>
      <c r="G88" s="52"/>
      <c r="H88" s="52"/>
      <c r="I88" s="30">
        <v>1038</v>
      </c>
      <c r="J88" s="52"/>
      <c r="K88" s="52"/>
      <c r="L88" s="52"/>
      <c r="M88" s="52"/>
      <c r="N88" s="187">
        <v>2021</v>
      </c>
    </row>
    <row r="89" spans="1:14" ht="33.65" hidden="1" customHeight="1" x14ac:dyDescent="0.35">
      <c r="A89" s="200" t="s">
        <v>106</v>
      </c>
      <c r="B89" s="37" t="s">
        <v>681</v>
      </c>
      <c r="C89" s="30" t="s">
        <v>57</v>
      </c>
      <c r="D89" s="37" t="s">
        <v>678</v>
      </c>
      <c r="E89" s="52"/>
      <c r="F89" s="52"/>
      <c r="G89" s="52"/>
      <c r="H89" s="52"/>
      <c r="I89" s="30">
        <v>1038</v>
      </c>
      <c r="J89" s="52"/>
      <c r="K89" s="52"/>
      <c r="L89" s="52"/>
      <c r="M89" s="52"/>
      <c r="N89" s="187">
        <v>2021</v>
      </c>
    </row>
    <row r="90" spans="1:14" ht="33.65" hidden="1" customHeight="1" x14ac:dyDescent="0.35">
      <c r="A90" s="200" t="s">
        <v>388</v>
      </c>
      <c r="B90" s="37" t="s">
        <v>389</v>
      </c>
      <c r="C90" s="30" t="s">
        <v>255</v>
      </c>
      <c r="D90" s="37" t="s">
        <v>678</v>
      </c>
      <c r="E90" s="52"/>
      <c r="F90" s="52"/>
      <c r="G90" s="52"/>
      <c r="H90" s="52"/>
      <c r="I90" s="30">
        <v>163</v>
      </c>
      <c r="J90" s="52"/>
      <c r="K90" s="52"/>
      <c r="L90" s="52"/>
      <c r="M90" s="52"/>
      <c r="N90" s="187">
        <v>2021</v>
      </c>
    </row>
    <row r="91" spans="1:14" ht="33.65" hidden="1" customHeight="1" x14ac:dyDescent="0.35">
      <c r="A91" s="200" t="s">
        <v>388</v>
      </c>
      <c r="B91" s="37" t="s">
        <v>389</v>
      </c>
      <c r="C91" s="30" t="s">
        <v>255</v>
      </c>
      <c r="D91" s="37" t="s">
        <v>665</v>
      </c>
      <c r="E91" s="52"/>
      <c r="F91" s="52"/>
      <c r="G91" s="52"/>
      <c r="H91" s="52"/>
      <c r="I91" s="30">
        <v>710</v>
      </c>
      <c r="J91" s="52"/>
      <c r="K91" s="52"/>
      <c r="L91" s="52"/>
      <c r="M91" s="52"/>
      <c r="N91" s="187">
        <v>2021</v>
      </c>
    </row>
    <row r="92" spans="1:14" ht="33.65" hidden="1" customHeight="1" x14ac:dyDescent="0.35">
      <c r="A92" s="200" t="s">
        <v>388</v>
      </c>
      <c r="B92" s="37" t="s">
        <v>389</v>
      </c>
      <c r="C92" s="30" t="s">
        <v>255</v>
      </c>
      <c r="D92" s="71" t="s">
        <v>678</v>
      </c>
      <c r="E92" s="52"/>
      <c r="F92" s="52"/>
      <c r="G92" s="52"/>
      <c r="H92" s="52"/>
      <c r="I92" s="50">
        <v>163</v>
      </c>
      <c r="J92" s="52"/>
      <c r="K92" s="52"/>
      <c r="L92" s="52"/>
      <c r="M92" s="52"/>
      <c r="N92" s="187">
        <v>2021</v>
      </c>
    </row>
    <row r="93" spans="1:14" ht="33.65" hidden="1" customHeight="1" x14ac:dyDescent="0.35">
      <c r="A93" s="200" t="s">
        <v>388</v>
      </c>
      <c r="B93" s="37" t="s">
        <v>389</v>
      </c>
      <c r="C93" s="30" t="s">
        <v>255</v>
      </c>
      <c r="D93" s="37" t="s">
        <v>665</v>
      </c>
      <c r="E93" s="52"/>
      <c r="F93" s="52"/>
      <c r="G93" s="52"/>
      <c r="H93" s="52"/>
      <c r="I93" s="50">
        <v>710</v>
      </c>
      <c r="J93" s="52"/>
      <c r="K93" s="52"/>
      <c r="L93" s="52"/>
      <c r="M93" s="52"/>
      <c r="N93" s="187">
        <v>2021</v>
      </c>
    </row>
    <row r="94" spans="1:14" ht="33.65" hidden="1" customHeight="1" x14ac:dyDescent="0.35">
      <c r="A94" s="200" t="s">
        <v>400</v>
      </c>
      <c r="B94" s="37" t="s">
        <v>682</v>
      </c>
      <c r="C94" s="30" t="s">
        <v>255</v>
      </c>
      <c r="D94" s="37" t="s">
        <v>677</v>
      </c>
      <c r="E94" s="52"/>
      <c r="F94" s="52"/>
      <c r="G94" s="52"/>
      <c r="H94" s="52"/>
      <c r="I94" s="30">
        <v>33</v>
      </c>
      <c r="J94" s="52"/>
      <c r="K94" s="52"/>
      <c r="L94" s="52"/>
      <c r="M94" s="52"/>
      <c r="N94" s="187">
        <v>2021</v>
      </c>
    </row>
    <row r="95" spans="1:14" ht="33.65" hidden="1" customHeight="1" x14ac:dyDescent="0.35">
      <c r="A95" s="200" t="s">
        <v>400</v>
      </c>
      <c r="B95" s="37" t="s">
        <v>682</v>
      </c>
      <c r="C95" s="30" t="s">
        <v>255</v>
      </c>
      <c r="D95" s="37" t="s">
        <v>677</v>
      </c>
      <c r="E95" s="52"/>
      <c r="F95" s="52"/>
      <c r="G95" s="52"/>
      <c r="H95" s="52"/>
      <c r="I95" s="30">
        <v>3897</v>
      </c>
      <c r="J95" s="52"/>
      <c r="K95" s="52"/>
      <c r="L95" s="52"/>
      <c r="M95" s="52"/>
      <c r="N95" s="187">
        <v>2021</v>
      </c>
    </row>
    <row r="96" spans="1:14" ht="33.65" hidden="1" customHeight="1" x14ac:dyDescent="0.35">
      <c r="A96" s="200" t="s">
        <v>600</v>
      </c>
      <c r="B96" s="140" t="s">
        <v>601</v>
      </c>
      <c r="C96" s="30" t="s">
        <v>255</v>
      </c>
      <c r="D96" s="71" t="s">
        <v>678</v>
      </c>
      <c r="E96" s="52"/>
      <c r="F96" s="52"/>
      <c r="G96" s="52"/>
      <c r="H96" s="52"/>
      <c r="I96" s="50">
        <v>1583</v>
      </c>
      <c r="J96" s="52"/>
      <c r="K96" s="52"/>
      <c r="L96" s="52"/>
      <c r="M96" s="52"/>
      <c r="N96" s="187">
        <v>2021</v>
      </c>
    </row>
    <row r="97" spans="1:14" ht="33.65" hidden="1" customHeight="1" x14ac:dyDescent="0.35">
      <c r="A97" s="200" t="s">
        <v>600</v>
      </c>
      <c r="B97" s="140" t="s">
        <v>601</v>
      </c>
      <c r="C97" s="30" t="s">
        <v>255</v>
      </c>
      <c r="D97" s="71" t="s">
        <v>673</v>
      </c>
      <c r="E97" s="52"/>
      <c r="F97" s="52"/>
      <c r="G97" s="52"/>
      <c r="H97" s="52"/>
      <c r="I97" s="50">
        <v>10890</v>
      </c>
      <c r="J97" s="52"/>
      <c r="K97" s="52"/>
      <c r="L97" s="52"/>
      <c r="M97" s="52"/>
      <c r="N97" s="187">
        <v>2021</v>
      </c>
    </row>
    <row r="98" spans="1:14" ht="33.65" hidden="1" customHeight="1" x14ac:dyDescent="0.35">
      <c r="A98" s="200" t="s">
        <v>248</v>
      </c>
      <c r="B98" s="17" t="s">
        <v>249</v>
      </c>
      <c r="C98" s="20" t="s">
        <v>46</v>
      </c>
      <c r="D98" s="17" t="s">
        <v>665</v>
      </c>
      <c r="E98" s="52"/>
      <c r="F98" s="52"/>
      <c r="G98" s="52"/>
      <c r="H98" s="52"/>
      <c r="I98" s="20">
        <v>17</v>
      </c>
      <c r="J98" s="52"/>
      <c r="K98" s="52"/>
      <c r="L98" s="52"/>
      <c r="M98" s="52"/>
      <c r="N98" s="187">
        <v>2022</v>
      </c>
    </row>
    <row r="99" spans="1:14" ht="33.65" hidden="1" customHeight="1" x14ac:dyDescent="0.35">
      <c r="A99" s="200" t="s">
        <v>14</v>
      </c>
      <c r="B99" s="52"/>
      <c r="C99" s="20" t="s">
        <v>255</v>
      </c>
      <c r="D99" s="17" t="s">
        <v>673</v>
      </c>
      <c r="E99" s="52"/>
      <c r="F99" s="52"/>
      <c r="G99" s="52"/>
      <c r="H99" s="52"/>
      <c r="I99" s="20">
        <v>3000</v>
      </c>
      <c r="J99" s="52"/>
      <c r="K99" s="52"/>
      <c r="L99" s="52"/>
      <c r="M99" s="52"/>
      <c r="N99" s="187">
        <v>2022</v>
      </c>
    </row>
    <row r="100" spans="1:14" ht="33.65" hidden="1" customHeight="1" x14ac:dyDescent="0.35">
      <c r="A100" s="200" t="s">
        <v>264</v>
      </c>
      <c r="B100" s="52"/>
      <c r="C100" s="20" t="s">
        <v>255</v>
      </c>
      <c r="D100" s="17" t="s">
        <v>678</v>
      </c>
      <c r="E100" s="52"/>
      <c r="F100" s="52"/>
      <c r="G100" s="52"/>
      <c r="H100" s="52"/>
      <c r="I100" s="50">
        <v>240</v>
      </c>
      <c r="J100" s="52"/>
      <c r="K100" s="52"/>
      <c r="L100" s="52"/>
      <c r="M100" s="52"/>
      <c r="N100" s="187">
        <v>2022</v>
      </c>
    </row>
    <row r="101" spans="1:14" ht="33.65" hidden="1" customHeight="1" x14ac:dyDescent="0.35">
      <c r="A101" s="200" t="s">
        <v>273</v>
      </c>
      <c r="B101" s="52"/>
      <c r="C101" s="20" t="s">
        <v>255</v>
      </c>
      <c r="D101" s="52" t="s">
        <v>665</v>
      </c>
      <c r="E101" s="52"/>
      <c r="F101" s="52"/>
      <c r="G101" s="52"/>
      <c r="H101" s="52"/>
      <c r="I101" s="50"/>
      <c r="J101" s="52"/>
      <c r="K101" s="52"/>
      <c r="L101" s="52"/>
      <c r="M101" s="52"/>
      <c r="N101" s="187">
        <v>2022</v>
      </c>
    </row>
    <row r="102" spans="1:14" ht="33.65" hidden="1" customHeight="1" x14ac:dyDescent="0.35">
      <c r="A102" s="200" t="s">
        <v>276</v>
      </c>
      <c r="B102" s="52"/>
      <c r="C102" s="20" t="s">
        <v>255</v>
      </c>
      <c r="D102" s="17" t="s">
        <v>678</v>
      </c>
      <c r="E102" s="52"/>
      <c r="F102" s="52"/>
      <c r="G102" s="52"/>
      <c r="H102" s="52"/>
      <c r="I102" s="20">
        <v>6122</v>
      </c>
      <c r="J102" s="52"/>
      <c r="K102" s="52"/>
      <c r="L102" s="52"/>
      <c r="M102" s="52"/>
      <c r="N102" s="187">
        <v>2022</v>
      </c>
    </row>
    <row r="103" spans="1:14" ht="33.65" hidden="1" customHeight="1" x14ac:dyDescent="0.35">
      <c r="A103" s="200" t="s">
        <v>276</v>
      </c>
      <c r="B103" s="52"/>
      <c r="C103" s="20" t="s">
        <v>255</v>
      </c>
      <c r="D103" s="17" t="s">
        <v>673</v>
      </c>
      <c r="E103" s="52"/>
      <c r="F103" s="52"/>
      <c r="G103" s="52"/>
      <c r="H103" s="52"/>
      <c r="I103" s="20">
        <v>16439</v>
      </c>
      <c r="J103" s="52"/>
      <c r="K103" s="52"/>
      <c r="L103" s="52"/>
      <c r="M103" s="52"/>
      <c r="N103" s="187">
        <v>2022</v>
      </c>
    </row>
    <row r="104" spans="1:14" ht="33.65" hidden="1" customHeight="1" x14ac:dyDescent="0.35">
      <c r="A104" s="200" t="s">
        <v>276</v>
      </c>
      <c r="B104" s="52"/>
      <c r="C104" s="20" t="s">
        <v>255</v>
      </c>
      <c r="D104" s="17" t="s">
        <v>679</v>
      </c>
      <c r="E104" s="52"/>
      <c r="F104" s="52"/>
      <c r="G104" s="52"/>
      <c r="H104" s="52"/>
      <c r="I104" s="20">
        <v>2764</v>
      </c>
      <c r="J104" s="52"/>
      <c r="K104" s="52"/>
      <c r="L104" s="52"/>
      <c r="M104" s="52"/>
      <c r="N104" s="187">
        <v>2022</v>
      </c>
    </row>
    <row r="105" spans="1:14" ht="33.65" hidden="1" customHeight="1" x14ac:dyDescent="0.35">
      <c r="A105" s="200" t="s">
        <v>276</v>
      </c>
      <c r="B105" s="52"/>
      <c r="C105" s="20" t="s">
        <v>255</v>
      </c>
      <c r="D105" s="17" t="s">
        <v>677</v>
      </c>
      <c r="E105" s="52"/>
      <c r="F105" s="52"/>
      <c r="G105" s="52"/>
      <c r="H105" s="52"/>
      <c r="I105" s="20">
        <v>3114</v>
      </c>
      <c r="J105" s="52"/>
      <c r="K105" s="52"/>
      <c r="L105" s="52"/>
      <c r="M105" s="52"/>
      <c r="N105" s="187">
        <v>2022</v>
      </c>
    </row>
    <row r="106" spans="1:14" ht="33.65" hidden="1" customHeight="1" x14ac:dyDescent="0.35">
      <c r="A106" s="200" t="s">
        <v>142</v>
      </c>
      <c r="B106" s="52"/>
      <c r="C106" s="20" t="s">
        <v>255</v>
      </c>
      <c r="D106" s="52" t="s">
        <v>673</v>
      </c>
      <c r="E106" s="52"/>
      <c r="F106" s="52"/>
      <c r="G106" s="52"/>
      <c r="H106" s="52"/>
      <c r="I106" s="20">
        <f>27+30+42+42+47+44+43+40+11+17+32+38+42+42+40+36+36+20+70+72*3+64+76*4+66*2+45+36+48+35+36*3+24+40+33*2+30*4+72+33</f>
        <v>2042</v>
      </c>
      <c r="J106" s="52"/>
      <c r="K106" s="52"/>
      <c r="L106" s="52"/>
      <c r="M106" s="52"/>
      <c r="N106" s="187">
        <v>2022</v>
      </c>
    </row>
    <row r="107" spans="1:14" ht="33.65" hidden="1" customHeight="1" x14ac:dyDescent="0.35">
      <c r="A107" s="200" t="s">
        <v>142</v>
      </c>
      <c r="B107" s="52"/>
      <c r="C107" s="20" t="s">
        <v>255</v>
      </c>
      <c r="D107" s="52" t="s">
        <v>677</v>
      </c>
      <c r="E107" s="52"/>
      <c r="F107" s="52"/>
      <c r="G107" s="52"/>
      <c r="H107" s="52"/>
      <c r="I107" s="20">
        <f>9+6+4+12+11+5+4+9+14+18+5+5+8+7+20+10+5</f>
        <v>152</v>
      </c>
      <c r="J107" s="52"/>
      <c r="K107" s="52"/>
      <c r="L107" s="52"/>
      <c r="M107" s="52"/>
      <c r="N107" s="187">
        <v>2022</v>
      </c>
    </row>
    <row r="108" spans="1:14" ht="33.65" hidden="1" customHeight="1" x14ac:dyDescent="0.35">
      <c r="A108" s="200" t="s">
        <v>621</v>
      </c>
      <c r="B108" s="52"/>
      <c r="C108" s="20" t="s">
        <v>255</v>
      </c>
      <c r="D108" s="52" t="s">
        <v>677</v>
      </c>
      <c r="E108" s="52"/>
      <c r="F108" s="52"/>
      <c r="G108" s="52"/>
      <c r="H108" s="52"/>
      <c r="I108" s="20">
        <v>330</v>
      </c>
      <c r="J108" s="52"/>
      <c r="K108" s="52"/>
      <c r="L108" s="52"/>
      <c r="M108" s="52"/>
      <c r="N108" s="187">
        <v>2022</v>
      </c>
    </row>
    <row r="109" spans="1:14" ht="33.65" hidden="1" customHeight="1" x14ac:dyDescent="0.35">
      <c r="A109" s="200" t="s">
        <v>292</v>
      </c>
      <c r="B109" s="52"/>
      <c r="C109" s="20" t="s">
        <v>255</v>
      </c>
      <c r="D109" s="52" t="s">
        <v>673</v>
      </c>
      <c r="E109" s="52"/>
      <c r="F109" s="52"/>
      <c r="G109" s="52"/>
      <c r="H109" s="52"/>
      <c r="I109" s="20">
        <v>9413</v>
      </c>
      <c r="J109" s="52"/>
      <c r="K109" s="52"/>
      <c r="L109" s="52"/>
      <c r="M109" s="52"/>
      <c r="N109" s="187">
        <v>2022</v>
      </c>
    </row>
    <row r="110" spans="1:14" ht="33.65" hidden="1" customHeight="1" x14ac:dyDescent="0.35">
      <c r="A110" s="200" t="s">
        <v>292</v>
      </c>
      <c r="B110" s="52"/>
      <c r="C110" s="20" t="s">
        <v>255</v>
      </c>
      <c r="D110" s="52" t="s">
        <v>678</v>
      </c>
      <c r="E110" s="52"/>
      <c r="F110" s="52"/>
      <c r="G110" s="52"/>
      <c r="H110" s="52"/>
      <c r="I110" s="20">
        <v>7807</v>
      </c>
      <c r="J110" s="52"/>
      <c r="K110" s="52"/>
      <c r="L110" s="52"/>
      <c r="M110" s="52"/>
      <c r="N110" s="187">
        <v>2022</v>
      </c>
    </row>
    <row r="111" spans="1:14" ht="33.65" hidden="1" customHeight="1" x14ac:dyDescent="0.35">
      <c r="A111" s="200" t="s">
        <v>422</v>
      </c>
      <c r="B111" s="17" t="s">
        <v>683</v>
      </c>
      <c r="C111" s="20" t="s">
        <v>46</v>
      </c>
      <c r="D111" s="17" t="s">
        <v>678</v>
      </c>
      <c r="E111" s="52"/>
      <c r="F111" s="52"/>
      <c r="G111" s="52"/>
      <c r="H111" s="52"/>
      <c r="I111" s="20">
        <v>21</v>
      </c>
      <c r="J111" s="52"/>
      <c r="K111" s="52"/>
      <c r="L111" s="52"/>
      <c r="M111" s="52"/>
      <c r="N111" s="187">
        <v>2022</v>
      </c>
    </row>
    <row r="112" spans="1:14" ht="33.65" hidden="1" customHeight="1" x14ac:dyDescent="0.35">
      <c r="A112" s="200" t="s">
        <v>422</v>
      </c>
      <c r="B112" s="17" t="s">
        <v>683</v>
      </c>
      <c r="C112" s="20" t="s">
        <v>46</v>
      </c>
      <c r="D112" s="17" t="s">
        <v>684</v>
      </c>
      <c r="E112" s="52"/>
      <c r="F112" s="52"/>
      <c r="G112" s="52"/>
      <c r="H112" s="52"/>
      <c r="I112" s="20">
        <v>18</v>
      </c>
      <c r="J112" s="52"/>
      <c r="K112" s="52"/>
      <c r="L112" s="52"/>
      <c r="M112" s="52"/>
      <c r="N112" s="187">
        <v>2022</v>
      </c>
    </row>
    <row r="113" spans="1:14" ht="33.65" hidden="1" customHeight="1" x14ac:dyDescent="0.35">
      <c r="A113" s="200" t="s">
        <v>314</v>
      </c>
      <c r="B113" s="52"/>
      <c r="C113" s="20" t="s">
        <v>255</v>
      </c>
      <c r="D113" s="52" t="s">
        <v>673</v>
      </c>
      <c r="E113" s="52"/>
      <c r="F113" s="52"/>
      <c r="G113" s="52"/>
      <c r="H113" s="52"/>
      <c r="I113" s="20">
        <v>510</v>
      </c>
      <c r="J113" s="52"/>
      <c r="K113" s="52"/>
      <c r="L113" s="52"/>
      <c r="M113" s="52"/>
      <c r="N113" s="187">
        <v>2022</v>
      </c>
    </row>
    <row r="114" spans="1:14" ht="33.65" hidden="1" customHeight="1" x14ac:dyDescent="0.35">
      <c r="A114" s="200" t="s">
        <v>314</v>
      </c>
      <c r="B114" s="52"/>
      <c r="C114" s="20" t="s">
        <v>255</v>
      </c>
      <c r="D114" s="52" t="s">
        <v>678</v>
      </c>
      <c r="E114" s="52"/>
      <c r="F114" s="52"/>
      <c r="G114" s="52"/>
      <c r="H114" s="52"/>
      <c r="I114" s="20">
        <v>335</v>
      </c>
      <c r="J114" s="52"/>
      <c r="K114" s="52"/>
      <c r="L114" s="52"/>
      <c r="M114" s="52"/>
      <c r="N114" s="187">
        <v>2022</v>
      </c>
    </row>
    <row r="115" spans="1:14" ht="33.65" hidden="1" customHeight="1" x14ac:dyDescent="0.35">
      <c r="A115" s="200" t="s">
        <v>525</v>
      </c>
      <c r="B115" s="52"/>
      <c r="C115" s="20" t="s">
        <v>255</v>
      </c>
      <c r="D115" s="52" t="s">
        <v>678</v>
      </c>
      <c r="E115" s="52"/>
      <c r="F115" s="52"/>
      <c r="G115" s="52"/>
      <c r="H115" s="52"/>
      <c r="I115" s="20">
        <v>415</v>
      </c>
      <c r="J115" s="52"/>
      <c r="K115" s="52"/>
      <c r="L115" s="52"/>
      <c r="M115" s="52"/>
      <c r="N115" s="187">
        <v>2022</v>
      </c>
    </row>
    <row r="116" spans="1:14" ht="33.65" hidden="1" customHeight="1" x14ac:dyDescent="0.35">
      <c r="A116" s="200" t="s">
        <v>525</v>
      </c>
      <c r="B116" s="52"/>
      <c r="C116" s="20" t="s">
        <v>255</v>
      </c>
      <c r="D116" s="52" t="s">
        <v>684</v>
      </c>
      <c r="E116" s="52"/>
      <c r="F116" s="52"/>
      <c r="G116" s="52"/>
      <c r="H116" s="52"/>
      <c r="I116" s="20">
        <v>1717</v>
      </c>
      <c r="J116" s="52"/>
      <c r="K116" s="52"/>
      <c r="L116" s="52"/>
      <c r="M116" s="52"/>
      <c r="N116" s="187">
        <v>2022</v>
      </c>
    </row>
    <row r="117" spans="1:14" ht="33.65" hidden="1" customHeight="1" x14ac:dyDescent="0.35">
      <c r="A117" s="200" t="s">
        <v>75</v>
      </c>
      <c r="B117" s="17" t="s">
        <v>347</v>
      </c>
      <c r="C117" s="20" t="s">
        <v>41</v>
      </c>
      <c r="D117" s="17" t="s">
        <v>678</v>
      </c>
      <c r="E117" s="52"/>
      <c r="F117" s="52"/>
      <c r="G117" s="52"/>
      <c r="H117" s="52"/>
      <c r="I117" s="20">
        <v>6111</v>
      </c>
      <c r="J117" s="52"/>
      <c r="K117" s="52"/>
      <c r="L117" s="52"/>
      <c r="M117" s="52"/>
      <c r="N117" s="187">
        <v>2022</v>
      </c>
    </row>
    <row r="118" spans="1:14" ht="33.65" hidden="1" customHeight="1" x14ac:dyDescent="0.35">
      <c r="A118" s="200" t="s">
        <v>348</v>
      </c>
      <c r="B118" s="52"/>
      <c r="C118" s="20" t="s">
        <v>255</v>
      </c>
      <c r="D118" s="52" t="s">
        <v>673</v>
      </c>
      <c r="E118" s="52"/>
      <c r="F118" s="52"/>
      <c r="G118" s="52"/>
      <c r="H118" s="52"/>
      <c r="I118" s="20">
        <v>26898</v>
      </c>
      <c r="J118" s="52"/>
      <c r="K118" s="52"/>
      <c r="L118" s="52"/>
      <c r="M118" s="52"/>
      <c r="N118" s="187">
        <v>2022</v>
      </c>
    </row>
    <row r="119" spans="1:14" ht="33.65" hidden="1" customHeight="1" x14ac:dyDescent="0.35">
      <c r="A119" s="200" t="s">
        <v>363</v>
      </c>
      <c r="B119" s="52"/>
      <c r="C119" s="20" t="s">
        <v>255</v>
      </c>
      <c r="D119" s="52" t="s">
        <v>673</v>
      </c>
      <c r="E119" s="52"/>
      <c r="F119" s="52"/>
      <c r="G119" s="52"/>
      <c r="H119" s="52"/>
      <c r="I119" s="20">
        <v>1496</v>
      </c>
      <c r="J119" s="52"/>
      <c r="K119" s="52"/>
      <c r="L119" s="52"/>
      <c r="M119" s="52"/>
      <c r="N119" s="187">
        <v>2022</v>
      </c>
    </row>
    <row r="120" spans="1:14" ht="33.65" hidden="1" customHeight="1" x14ac:dyDescent="0.35">
      <c r="A120" s="200" t="s">
        <v>373</v>
      </c>
      <c r="B120" s="17" t="s">
        <v>91</v>
      </c>
      <c r="C120" s="20" t="s">
        <v>41</v>
      </c>
      <c r="D120" s="17" t="s">
        <v>673</v>
      </c>
      <c r="E120" s="52"/>
      <c r="F120" s="52"/>
      <c r="G120" s="52"/>
      <c r="H120" s="52"/>
      <c r="I120" s="20">
        <v>25251</v>
      </c>
      <c r="J120" s="52"/>
      <c r="K120" s="52"/>
      <c r="L120" s="52"/>
      <c r="M120" s="52"/>
      <c r="N120" s="187">
        <v>2022</v>
      </c>
    </row>
    <row r="121" spans="1:14" ht="33.65" customHeight="1" x14ac:dyDescent="0.35">
      <c r="A121" s="200" t="s">
        <v>93</v>
      </c>
      <c r="B121" s="52"/>
      <c r="C121" s="20" t="s">
        <v>41</v>
      </c>
      <c r="D121" s="52" t="s">
        <v>673</v>
      </c>
      <c r="E121" s="52"/>
      <c r="F121" s="52"/>
      <c r="G121" s="52"/>
      <c r="H121" s="52"/>
      <c r="I121" s="20">
        <v>150659</v>
      </c>
      <c r="J121" s="52"/>
      <c r="K121" s="52"/>
      <c r="L121" s="52"/>
      <c r="M121" s="52"/>
      <c r="N121" s="187">
        <v>2022</v>
      </c>
    </row>
    <row r="122" spans="1:14" ht="33.65" hidden="1" customHeight="1" x14ac:dyDescent="0.35">
      <c r="A122" s="200" t="s">
        <v>96</v>
      </c>
      <c r="B122" s="52"/>
      <c r="C122" s="20" t="s">
        <v>255</v>
      </c>
      <c r="D122" s="52" t="s">
        <v>673</v>
      </c>
      <c r="E122" s="52"/>
      <c r="F122" s="52"/>
      <c r="G122" s="52"/>
      <c r="H122" s="52"/>
      <c r="I122" s="20">
        <v>8674</v>
      </c>
      <c r="J122" s="52"/>
      <c r="K122" s="52"/>
      <c r="L122" s="52"/>
      <c r="M122" s="52"/>
      <c r="N122" s="187">
        <v>2022</v>
      </c>
    </row>
    <row r="123" spans="1:14" ht="33.65" hidden="1" customHeight="1" x14ac:dyDescent="0.35">
      <c r="A123" s="200" t="s">
        <v>101</v>
      </c>
      <c r="B123" s="17" t="s">
        <v>103</v>
      </c>
      <c r="C123" s="20" t="s">
        <v>41</v>
      </c>
      <c r="D123" s="17" t="s">
        <v>678</v>
      </c>
      <c r="E123" s="52"/>
      <c r="F123" s="52"/>
      <c r="G123" s="52"/>
      <c r="H123" s="52"/>
      <c r="I123" s="20">
        <v>30</v>
      </c>
      <c r="J123" s="52"/>
      <c r="K123" s="52"/>
      <c r="L123" s="52"/>
      <c r="M123" s="52"/>
      <c r="N123" s="187">
        <v>2022</v>
      </c>
    </row>
    <row r="124" spans="1:14" ht="33.65" hidden="1" customHeight="1" x14ac:dyDescent="0.35">
      <c r="A124" s="200" t="s">
        <v>638</v>
      </c>
      <c r="B124" s="17" t="s">
        <v>639</v>
      </c>
      <c r="C124" s="20" t="s">
        <v>57</v>
      </c>
      <c r="D124" s="17" t="s">
        <v>677</v>
      </c>
      <c r="E124" s="52"/>
      <c r="F124" s="52"/>
      <c r="G124" s="52"/>
      <c r="H124" s="52"/>
      <c r="I124" s="20">
        <v>118</v>
      </c>
      <c r="J124" s="52"/>
      <c r="K124" s="52"/>
      <c r="L124" s="52"/>
      <c r="M124" s="52"/>
      <c r="N124" s="187">
        <v>2022</v>
      </c>
    </row>
    <row r="125" spans="1:14" ht="33.65" hidden="1" customHeight="1" x14ac:dyDescent="0.35">
      <c r="A125" s="200" t="s">
        <v>106</v>
      </c>
      <c r="B125" s="17" t="s">
        <v>681</v>
      </c>
      <c r="C125" s="20" t="s">
        <v>57</v>
      </c>
      <c r="D125" s="17" t="s">
        <v>678</v>
      </c>
      <c r="E125" s="52"/>
      <c r="F125" s="52"/>
      <c r="G125" s="52"/>
      <c r="H125" s="52"/>
      <c r="I125" s="20">
        <v>6155</v>
      </c>
      <c r="J125" s="52"/>
      <c r="K125" s="52"/>
      <c r="L125" s="52"/>
      <c r="M125" s="52"/>
      <c r="N125" s="187">
        <v>2022</v>
      </c>
    </row>
    <row r="126" spans="1:14" ht="33.65" hidden="1" customHeight="1" x14ac:dyDescent="0.35">
      <c r="A126" s="200" t="s">
        <v>643</v>
      </c>
      <c r="B126" s="17" t="s">
        <v>644</v>
      </c>
      <c r="C126" s="20" t="s">
        <v>57</v>
      </c>
      <c r="D126" s="17" t="s">
        <v>665</v>
      </c>
      <c r="E126" s="52"/>
      <c r="F126" s="52"/>
      <c r="G126" s="52"/>
      <c r="H126" s="52"/>
      <c r="I126" s="20">
        <v>6524</v>
      </c>
      <c r="J126" s="52"/>
      <c r="K126" s="52"/>
      <c r="L126" s="52"/>
      <c r="M126" s="52"/>
      <c r="N126" s="187">
        <v>2022</v>
      </c>
    </row>
    <row r="127" spans="1:14" ht="33.65" hidden="1" customHeight="1" x14ac:dyDescent="0.35">
      <c r="A127" s="200" t="s">
        <v>388</v>
      </c>
      <c r="B127" s="52"/>
      <c r="C127" s="20" t="s">
        <v>255</v>
      </c>
      <c r="D127" s="52" t="s">
        <v>678</v>
      </c>
      <c r="E127" s="52"/>
      <c r="F127" s="52"/>
      <c r="G127" s="52"/>
      <c r="H127" s="52"/>
      <c r="I127" s="20">
        <v>167</v>
      </c>
      <c r="J127" s="52"/>
      <c r="K127" s="52"/>
      <c r="L127" s="52"/>
      <c r="M127" s="52"/>
      <c r="N127" s="187">
        <v>2022</v>
      </c>
    </row>
    <row r="128" spans="1:14" ht="33.65" hidden="1" customHeight="1" x14ac:dyDescent="0.35">
      <c r="A128" s="200" t="s">
        <v>388</v>
      </c>
      <c r="B128" s="52"/>
      <c r="C128" s="20" t="s">
        <v>255</v>
      </c>
      <c r="D128" s="52" t="s">
        <v>684</v>
      </c>
      <c r="E128" s="52"/>
      <c r="F128" s="52"/>
      <c r="G128" s="52"/>
      <c r="H128" s="52"/>
      <c r="I128" s="20">
        <v>681</v>
      </c>
      <c r="J128" s="52"/>
      <c r="K128" s="52"/>
      <c r="L128" s="52"/>
      <c r="M128" s="52"/>
      <c r="N128" s="187">
        <v>2022</v>
      </c>
    </row>
    <row r="129" spans="1:14" ht="33.65" hidden="1" customHeight="1" x14ac:dyDescent="0.35">
      <c r="A129" s="200" t="s">
        <v>391</v>
      </c>
      <c r="B129" s="52"/>
      <c r="C129" s="20" t="s">
        <v>255</v>
      </c>
      <c r="D129" s="52" t="s">
        <v>673</v>
      </c>
      <c r="E129" s="52"/>
      <c r="F129" s="52"/>
      <c r="G129" s="52"/>
      <c r="H129" s="52"/>
      <c r="I129" s="20">
        <v>4914</v>
      </c>
      <c r="J129" s="52"/>
      <c r="K129" s="52"/>
      <c r="L129" s="52"/>
      <c r="M129" s="52"/>
      <c r="N129" s="187">
        <v>2022</v>
      </c>
    </row>
    <row r="130" spans="1:14" ht="33.65" hidden="1" customHeight="1" x14ac:dyDescent="0.35">
      <c r="A130" s="200" t="s">
        <v>391</v>
      </c>
      <c r="B130" s="52"/>
      <c r="C130" s="20" t="s">
        <v>255</v>
      </c>
      <c r="D130" s="52" t="s">
        <v>677</v>
      </c>
      <c r="E130" s="52"/>
      <c r="F130" s="52"/>
      <c r="G130" s="52"/>
      <c r="H130" s="52"/>
      <c r="I130" s="20">
        <v>3193</v>
      </c>
      <c r="J130" s="52"/>
      <c r="K130" s="52"/>
      <c r="L130" s="52"/>
      <c r="M130" s="52"/>
      <c r="N130" s="187">
        <v>2022</v>
      </c>
    </row>
    <row r="131" spans="1:14" ht="33.65" hidden="1" customHeight="1" x14ac:dyDescent="0.35">
      <c r="A131" s="200" t="s">
        <v>400</v>
      </c>
      <c r="B131" s="52"/>
      <c r="C131" s="20" t="s">
        <v>255</v>
      </c>
      <c r="D131" s="52" t="s">
        <v>677</v>
      </c>
      <c r="E131" s="52"/>
      <c r="F131" s="52"/>
      <c r="G131" s="52"/>
      <c r="H131" s="52"/>
      <c r="I131" s="20">
        <f>6+12+6+3+6</f>
        <v>33</v>
      </c>
      <c r="J131" s="52"/>
      <c r="K131" s="52"/>
      <c r="L131" s="52"/>
      <c r="M131" s="52"/>
      <c r="N131" s="187">
        <v>2022</v>
      </c>
    </row>
    <row r="132" spans="1:14" ht="33.65" hidden="1" customHeight="1" x14ac:dyDescent="0.35">
      <c r="A132" s="200" t="s">
        <v>124</v>
      </c>
      <c r="B132" s="17" t="s">
        <v>126</v>
      </c>
      <c r="C132" s="20" t="s">
        <v>41</v>
      </c>
      <c r="D132" s="17" t="s">
        <v>673</v>
      </c>
      <c r="E132" s="52"/>
      <c r="F132" s="52"/>
      <c r="G132" s="52"/>
      <c r="H132" s="52"/>
      <c r="I132" s="20">
        <v>1986</v>
      </c>
      <c r="J132" s="52"/>
      <c r="K132" s="52"/>
      <c r="L132" s="52"/>
      <c r="M132" s="52"/>
      <c r="N132" s="187">
        <v>2022</v>
      </c>
    </row>
    <row r="133" spans="1:14" ht="33.65" hidden="1" customHeight="1" x14ac:dyDescent="0.35">
      <c r="A133" s="207" t="s">
        <v>600</v>
      </c>
      <c r="B133" s="208"/>
      <c r="C133" s="209" t="s">
        <v>255</v>
      </c>
      <c r="D133" s="208" t="s">
        <v>677</v>
      </c>
      <c r="E133" s="208"/>
      <c r="F133" s="208"/>
      <c r="G133" s="208"/>
      <c r="H133" s="208"/>
      <c r="I133" s="209">
        <v>8953</v>
      </c>
      <c r="J133" s="208"/>
      <c r="K133" s="208"/>
      <c r="L133" s="208"/>
      <c r="M133" s="208"/>
      <c r="N133" s="199">
        <v>2022</v>
      </c>
    </row>
  </sheetData>
  <conditionalFormatting sqref="C62">
    <cfRule type="containsText" dxfId="67" priority="1" operator="containsText" text="OK">
      <formula>NOT(ISERROR(SEARCH("OK",C62)))</formula>
    </cfRule>
    <cfRule type="containsText" dxfId="66" priority="2" operator="containsText" text="NR">
      <formula>NOT(ISERROR(SEARCH("NR",C62)))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51"/>
  <sheetViews>
    <sheetView showGridLines="0" zoomScale="92" workbookViewId="0">
      <pane ySplit="1" topLeftCell="A2" activePane="bottomLeft" state="frozen"/>
      <selection activeCell="D1" sqref="D1"/>
      <selection pane="bottomLeft" activeCell="B60" sqref="B60"/>
    </sheetView>
  </sheetViews>
  <sheetFormatPr baseColWidth="10" defaultRowHeight="14.5" x14ac:dyDescent="0.35"/>
  <cols>
    <col min="1" max="1" width="51.453125" customWidth="1"/>
    <col min="2" max="2" width="20" bestFit="1" customWidth="1"/>
    <col min="3" max="3" width="18" style="13" bestFit="1" customWidth="1"/>
    <col min="4" max="4" width="21.08984375" style="13" bestFit="1" customWidth="1"/>
    <col min="5" max="5" width="20" style="13" bestFit="1" customWidth="1"/>
    <col min="6" max="6" width="20.54296875" style="42" bestFit="1" customWidth="1"/>
  </cols>
  <sheetData>
    <row r="1" spans="1:7" ht="26.4" customHeight="1" x14ac:dyDescent="0.35">
      <c r="A1" s="11" t="s">
        <v>617</v>
      </c>
      <c r="B1" s="11" t="s">
        <v>618</v>
      </c>
      <c r="C1" s="38" t="s">
        <v>691</v>
      </c>
      <c r="D1" s="38" t="s">
        <v>692</v>
      </c>
      <c r="E1" s="38" t="s">
        <v>693</v>
      </c>
      <c r="F1" s="41" t="s">
        <v>694</v>
      </c>
      <c r="G1" s="8" t="s">
        <v>695</v>
      </c>
    </row>
    <row r="2" spans="1:7" ht="20.399999999999999" hidden="1" customHeight="1" x14ac:dyDescent="0.35">
      <c r="A2" s="30" t="s">
        <v>317</v>
      </c>
      <c r="B2" s="30" t="s">
        <v>48</v>
      </c>
      <c r="C2" s="30">
        <v>1830122</v>
      </c>
      <c r="D2" s="30">
        <v>4966191</v>
      </c>
      <c r="E2" s="30">
        <v>1830122</v>
      </c>
      <c r="F2" s="40">
        <v>2018</v>
      </c>
      <c r="G2" s="30" t="s">
        <v>66</v>
      </c>
    </row>
    <row r="3" spans="1:7" ht="20.399999999999999" hidden="1" customHeight="1" x14ac:dyDescent="0.35">
      <c r="A3" s="30" t="s">
        <v>317</v>
      </c>
      <c r="B3" s="30" t="s">
        <v>687</v>
      </c>
      <c r="C3" s="30">
        <v>31521</v>
      </c>
      <c r="D3" s="30">
        <v>95256</v>
      </c>
      <c r="E3" s="30">
        <v>31521</v>
      </c>
      <c r="F3" s="40">
        <v>2018</v>
      </c>
      <c r="G3" s="30" t="s">
        <v>66</v>
      </c>
    </row>
    <row r="4" spans="1:7" ht="20.399999999999999" hidden="1" customHeight="1" x14ac:dyDescent="0.35">
      <c r="A4" s="30" t="s">
        <v>317</v>
      </c>
      <c r="B4" s="30" t="s">
        <v>688</v>
      </c>
      <c r="C4" s="30">
        <v>50726</v>
      </c>
      <c r="D4" s="30">
        <v>118983</v>
      </c>
      <c r="E4" s="30">
        <v>50726</v>
      </c>
      <c r="F4" s="40">
        <v>2018</v>
      </c>
      <c r="G4" s="30" t="s">
        <v>66</v>
      </c>
    </row>
    <row r="5" spans="1:7" ht="20.399999999999999" hidden="1" customHeight="1" x14ac:dyDescent="0.35">
      <c r="A5" s="30" t="s">
        <v>75</v>
      </c>
      <c r="B5" s="30" t="s">
        <v>6</v>
      </c>
      <c r="C5" s="30">
        <v>1782000</v>
      </c>
      <c r="D5" s="30">
        <v>53312912</v>
      </c>
      <c r="E5" s="30">
        <v>1782000</v>
      </c>
      <c r="F5" s="40">
        <v>2018</v>
      </c>
      <c r="G5" s="30"/>
    </row>
    <row r="6" spans="1:7" ht="20.399999999999999" hidden="1" customHeight="1" x14ac:dyDescent="0.35">
      <c r="A6" s="30" t="s">
        <v>79</v>
      </c>
      <c r="B6" s="30" t="s">
        <v>48</v>
      </c>
      <c r="C6" s="30">
        <v>2558360</v>
      </c>
      <c r="D6" s="30">
        <v>5372556</v>
      </c>
      <c r="E6" s="30">
        <v>2558556</v>
      </c>
      <c r="F6" s="40">
        <v>2018</v>
      </c>
      <c r="G6" s="30"/>
    </row>
    <row r="7" spans="1:7" ht="20.399999999999999" hidden="1" customHeight="1" x14ac:dyDescent="0.35">
      <c r="A7" s="30" t="s">
        <v>79</v>
      </c>
      <c r="B7" s="30" t="s">
        <v>687</v>
      </c>
      <c r="C7" s="30">
        <v>363579</v>
      </c>
      <c r="D7" s="30">
        <v>1199811</v>
      </c>
      <c r="E7" s="30">
        <v>363579</v>
      </c>
      <c r="F7" s="40">
        <v>2018</v>
      </c>
      <c r="G7" s="30" t="s">
        <v>66</v>
      </c>
    </row>
    <row r="8" spans="1:7" ht="20.399999999999999" hidden="1" customHeight="1" x14ac:dyDescent="0.35">
      <c r="A8" s="30" t="s">
        <v>79</v>
      </c>
      <c r="B8" s="30" t="s">
        <v>688</v>
      </c>
      <c r="C8" s="30">
        <v>97426</v>
      </c>
      <c r="D8" s="30">
        <v>292278</v>
      </c>
      <c r="E8" s="30">
        <v>97426</v>
      </c>
      <c r="F8" s="40">
        <v>2018</v>
      </c>
      <c r="G8" s="30"/>
    </row>
    <row r="9" spans="1:7" ht="20.399999999999999" hidden="1" customHeight="1" x14ac:dyDescent="0.35">
      <c r="A9" s="30" t="s">
        <v>128</v>
      </c>
      <c r="B9" s="30" t="s">
        <v>48</v>
      </c>
      <c r="C9" s="30">
        <v>1233461</v>
      </c>
      <c r="D9" s="30">
        <v>2707447</v>
      </c>
      <c r="E9" s="30">
        <v>1233461</v>
      </c>
      <c r="F9" s="40">
        <v>2018</v>
      </c>
      <c r="G9" s="30"/>
    </row>
    <row r="10" spans="1:7" ht="20.399999999999999" customHeight="1" x14ac:dyDescent="0.35">
      <c r="A10" s="30" t="s">
        <v>128</v>
      </c>
      <c r="B10" s="30" t="s">
        <v>689</v>
      </c>
      <c r="C10" s="30">
        <v>1774882</v>
      </c>
      <c r="D10" s="30">
        <v>3895866</v>
      </c>
      <c r="E10" s="30">
        <v>1774882</v>
      </c>
      <c r="F10" s="40">
        <v>2018</v>
      </c>
      <c r="G10" s="30"/>
    </row>
    <row r="11" spans="1:7" ht="20.399999999999999" hidden="1" customHeight="1" x14ac:dyDescent="0.35">
      <c r="A11" s="30" t="s">
        <v>317</v>
      </c>
      <c r="B11" s="30" t="s">
        <v>48</v>
      </c>
      <c r="C11" s="30">
        <v>1706082</v>
      </c>
      <c r="D11" s="30">
        <v>4620070</v>
      </c>
      <c r="E11" s="30">
        <v>1706082</v>
      </c>
      <c r="F11" s="40">
        <v>2019</v>
      </c>
      <c r="G11" s="30" t="s">
        <v>66</v>
      </c>
    </row>
    <row r="12" spans="1:7" ht="20.399999999999999" hidden="1" customHeight="1" x14ac:dyDescent="0.35">
      <c r="A12" s="30" t="s">
        <v>317</v>
      </c>
      <c r="B12" s="30" t="s">
        <v>687</v>
      </c>
      <c r="C12" s="30">
        <v>31521</v>
      </c>
      <c r="D12" s="30">
        <v>95256</v>
      </c>
      <c r="E12" s="30">
        <v>31521</v>
      </c>
      <c r="F12" s="40">
        <v>2019</v>
      </c>
      <c r="G12" s="30" t="s">
        <v>66</v>
      </c>
    </row>
    <row r="13" spans="1:7" ht="20.399999999999999" hidden="1" customHeight="1" x14ac:dyDescent="0.35">
      <c r="A13" s="30" t="s">
        <v>317</v>
      </c>
      <c r="B13" s="30" t="s">
        <v>688</v>
      </c>
      <c r="C13" s="30">
        <v>46778</v>
      </c>
      <c r="D13" s="30">
        <v>112080</v>
      </c>
      <c r="E13" s="30">
        <v>46778</v>
      </c>
      <c r="F13" s="40">
        <v>2019</v>
      </c>
      <c r="G13" s="30" t="s">
        <v>66</v>
      </c>
    </row>
    <row r="14" spans="1:7" ht="20.399999999999999" hidden="1" customHeight="1" x14ac:dyDescent="0.35">
      <c r="A14" s="30" t="s">
        <v>75</v>
      </c>
      <c r="B14" s="30" t="s">
        <v>6</v>
      </c>
      <c r="C14" s="30">
        <v>1701437</v>
      </c>
      <c r="D14" s="30">
        <v>52823568</v>
      </c>
      <c r="E14" s="30">
        <v>1708529</v>
      </c>
      <c r="F14" s="40">
        <v>2019</v>
      </c>
      <c r="G14" s="30"/>
    </row>
    <row r="15" spans="1:7" ht="20.399999999999999" hidden="1" customHeight="1" x14ac:dyDescent="0.35">
      <c r="A15" s="30" t="s">
        <v>79</v>
      </c>
      <c r="B15" s="30" t="s">
        <v>48</v>
      </c>
      <c r="C15" s="30">
        <v>2647939</v>
      </c>
      <c r="D15" s="30">
        <v>5560671</v>
      </c>
      <c r="E15" s="30">
        <v>2647939</v>
      </c>
      <c r="F15" s="40">
        <v>2019</v>
      </c>
      <c r="G15" s="30"/>
    </row>
    <row r="16" spans="1:7" ht="20.399999999999999" hidden="1" customHeight="1" x14ac:dyDescent="0.35">
      <c r="A16" s="30" t="s">
        <v>79</v>
      </c>
      <c r="B16" s="30" t="s">
        <v>687</v>
      </c>
      <c r="C16" s="30">
        <v>401962</v>
      </c>
      <c r="D16" s="30">
        <v>1326476</v>
      </c>
      <c r="E16" s="30">
        <v>401962</v>
      </c>
      <c r="F16" s="40">
        <v>2019</v>
      </c>
      <c r="G16" s="30" t="s">
        <v>66</v>
      </c>
    </row>
    <row r="17" spans="1:7" ht="20.399999999999999" hidden="1" customHeight="1" x14ac:dyDescent="0.35">
      <c r="A17" s="30" t="s">
        <v>79</v>
      </c>
      <c r="B17" s="30" t="s">
        <v>688</v>
      </c>
      <c r="C17" s="30">
        <v>92774</v>
      </c>
      <c r="D17" s="30">
        <v>278322</v>
      </c>
      <c r="E17" s="30">
        <v>92774</v>
      </c>
      <c r="F17" s="40">
        <v>2019</v>
      </c>
      <c r="G17" s="30"/>
    </row>
    <row r="18" spans="1:7" ht="20.399999999999999" hidden="1" customHeight="1" x14ac:dyDescent="0.35">
      <c r="A18" s="30" t="s">
        <v>128</v>
      </c>
      <c r="B18" s="30" t="s">
        <v>48</v>
      </c>
      <c r="C18" s="30">
        <v>745152</v>
      </c>
      <c r="D18" s="30">
        <v>1635608</v>
      </c>
      <c r="E18" s="30">
        <v>745152</v>
      </c>
      <c r="F18" s="40">
        <v>2019</v>
      </c>
      <c r="G18" s="30"/>
    </row>
    <row r="19" spans="1:7" ht="20.399999999999999" customHeight="1" x14ac:dyDescent="0.35">
      <c r="A19" s="30" t="s">
        <v>128</v>
      </c>
      <c r="B19" s="30" t="s">
        <v>689</v>
      </c>
      <c r="C19" s="30">
        <v>1617455</v>
      </c>
      <c r="D19" s="30">
        <v>3550313</v>
      </c>
      <c r="E19" s="30">
        <v>1617455</v>
      </c>
      <c r="F19" s="40">
        <v>2019</v>
      </c>
      <c r="G19" s="30"/>
    </row>
    <row r="20" spans="1:7" ht="20.399999999999999" hidden="1" customHeight="1" x14ac:dyDescent="0.35">
      <c r="A20" s="30" t="s">
        <v>79</v>
      </c>
      <c r="B20" s="30" t="s">
        <v>424</v>
      </c>
      <c r="C20" s="30">
        <v>2404017</v>
      </c>
      <c r="D20" s="30">
        <v>5048436</v>
      </c>
      <c r="E20" s="30">
        <v>2404017</v>
      </c>
      <c r="F20" s="40">
        <v>2020</v>
      </c>
      <c r="G20" s="30"/>
    </row>
    <row r="21" spans="1:7" ht="20.399999999999999" hidden="1" customHeight="1" x14ac:dyDescent="0.35">
      <c r="A21" s="30" t="s">
        <v>79</v>
      </c>
      <c r="B21" s="30" t="s">
        <v>687</v>
      </c>
      <c r="C21" s="30">
        <v>367462</v>
      </c>
      <c r="D21" s="30">
        <v>1212625</v>
      </c>
      <c r="E21" s="30">
        <v>367462</v>
      </c>
      <c r="F21" s="40">
        <v>2020</v>
      </c>
      <c r="G21" s="30" t="s">
        <v>66</v>
      </c>
    </row>
    <row r="22" spans="1:7" ht="20.399999999999999" hidden="1" customHeight="1" x14ac:dyDescent="0.35">
      <c r="A22" s="30" t="s">
        <v>79</v>
      </c>
      <c r="B22" s="30" t="s">
        <v>688</v>
      </c>
      <c r="C22" s="30">
        <v>89475</v>
      </c>
      <c r="D22" s="30">
        <v>268425</v>
      </c>
      <c r="E22" s="30">
        <v>89745</v>
      </c>
      <c r="F22" s="40">
        <v>2020</v>
      </c>
      <c r="G22" s="30"/>
    </row>
    <row r="23" spans="1:7" ht="20.399999999999999" hidden="1" customHeight="1" x14ac:dyDescent="0.35">
      <c r="A23" s="30" t="s">
        <v>317</v>
      </c>
      <c r="B23" s="30" t="s">
        <v>424</v>
      </c>
      <c r="C23" s="30">
        <v>2014833</v>
      </c>
      <c r="D23" s="30">
        <v>4863907</v>
      </c>
      <c r="E23" s="30">
        <v>2014833</v>
      </c>
      <c r="F23" s="40">
        <v>2020</v>
      </c>
      <c r="G23" s="30" t="s">
        <v>66</v>
      </c>
    </row>
    <row r="24" spans="1:7" ht="20.399999999999999" hidden="1" customHeight="1" x14ac:dyDescent="0.35">
      <c r="A24" s="30" t="s">
        <v>317</v>
      </c>
      <c r="B24" s="30" t="s">
        <v>687</v>
      </c>
      <c r="C24" s="30">
        <v>50590</v>
      </c>
      <c r="D24" s="30">
        <v>106352</v>
      </c>
      <c r="E24" s="30">
        <v>50590</v>
      </c>
      <c r="F24" s="40">
        <v>2020</v>
      </c>
      <c r="G24" s="30" t="s">
        <v>66</v>
      </c>
    </row>
    <row r="25" spans="1:7" ht="20.399999999999999" hidden="1" customHeight="1" x14ac:dyDescent="0.35">
      <c r="A25" s="30" t="s">
        <v>317</v>
      </c>
      <c r="B25" s="30" t="s">
        <v>688</v>
      </c>
      <c r="C25" s="30">
        <v>61844</v>
      </c>
      <c r="D25" s="30">
        <v>130008</v>
      </c>
      <c r="E25" s="30">
        <v>61844</v>
      </c>
      <c r="F25" s="40">
        <v>2020</v>
      </c>
      <c r="G25" s="30" t="s">
        <v>66</v>
      </c>
    </row>
    <row r="26" spans="1:7" ht="20.399999999999999" hidden="1" customHeight="1" x14ac:dyDescent="0.35">
      <c r="A26" s="30" t="s">
        <v>75</v>
      </c>
      <c r="B26" s="30" t="s">
        <v>6</v>
      </c>
      <c r="C26" s="30">
        <v>1649000</v>
      </c>
      <c r="D26" s="30">
        <v>47554112</v>
      </c>
      <c r="E26" s="30">
        <v>1697859</v>
      </c>
      <c r="F26" s="40">
        <v>2020</v>
      </c>
      <c r="G26" s="30"/>
    </row>
    <row r="27" spans="1:7" ht="20.399999999999999" customHeight="1" x14ac:dyDescent="0.35">
      <c r="A27" s="30" t="s">
        <v>128</v>
      </c>
      <c r="B27" s="30" t="s">
        <v>689</v>
      </c>
      <c r="C27" s="30">
        <v>1845762</v>
      </c>
      <c r="D27" s="30">
        <v>4051447.59</v>
      </c>
      <c r="E27" s="30">
        <v>1845762</v>
      </c>
      <c r="F27" s="40">
        <v>2020</v>
      </c>
      <c r="G27" s="30"/>
    </row>
    <row r="28" spans="1:7" ht="20.399999999999999" hidden="1" customHeight="1" x14ac:dyDescent="0.35">
      <c r="A28" s="30" t="s">
        <v>128</v>
      </c>
      <c r="B28" s="30" t="s">
        <v>424</v>
      </c>
      <c r="C28" s="30">
        <v>950428</v>
      </c>
      <c r="D28" s="30">
        <v>2086189.46</v>
      </c>
      <c r="E28" s="30">
        <v>950428</v>
      </c>
      <c r="F28" s="40">
        <v>2020</v>
      </c>
      <c r="G28" s="30"/>
    </row>
    <row r="29" spans="1:7" ht="20.399999999999999" hidden="1" customHeight="1" x14ac:dyDescent="0.35">
      <c r="A29" s="30" t="s">
        <v>128</v>
      </c>
      <c r="B29" s="30" t="s">
        <v>688</v>
      </c>
      <c r="C29" s="30">
        <v>109252</v>
      </c>
      <c r="D29" s="30">
        <f>C29*500/1000</f>
        <v>54626</v>
      </c>
      <c r="E29" s="30">
        <f>C29</f>
        <v>109252</v>
      </c>
      <c r="F29" s="40">
        <v>2020</v>
      </c>
      <c r="G29" s="30"/>
    </row>
    <row r="30" spans="1:7" ht="20.399999999999999" hidden="1" customHeight="1" x14ac:dyDescent="0.35">
      <c r="A30" s="30" t="s">
        <v>79</v>
      </c>
      <c r="B30" s="30" t="s">
        <v>424</v>
      </c>
      <c r="C30" s="30">
        <v>2500228</v>
      </c>
      <c r="D30" s="30">
        <v>5250478.8</v>
      </c>
      <c r="E30" s="30">
        <v>2500228</v>
      </c>
      <c r="F30" s="40">
        <v>2021</v>
      </c>
      <c r="G30" s="30" t="s">
        <v>66</v>
      </c>
    </row>
    <row r="31" spans="1:7" ht="20.399999999999999" hidden="1" customHeight="1" x14ac:dyDescent="0.35">
      <c r="A31" s="30" t="s">
        <v>79</v>
      </c>
      <c r="B31" s="30" t="s">
        <v>687</v>
      </c>
      <c r="C31" s="30">
        <v>376950</v>
      </c>
      <c r="D31" s="30">
        <v>1243935</v>
      </c>
      <c r="E31" s="30">
        <v>376950</v>
      </c>
      <c r="F31" s="40">
        <v>2021</v>
      </c>
      <c r="G31" s="30" t="s">
        <v>66</v>
      </c>
    </row>
    <row r="32" spans="1:7" ht="20.399999999999999" hidden="1" customHeight="1" x14ac:dyDescent="0.35">
      <c r="A32" s="30" t="s">
        <v>300</v>
      </c>
      <c r="B32" s="30" t="s">
        <v>688</v>
      </c>
      <c r="C32" s="30">
        <v>89037</v>
      </c>
      <c r="D32" s="30">
        <v>267111</v>
      </c>
      <c r="E32" s="30">
        <v>89037</v>
      </c>
      <c r="F32" s="40">
        <v>2021</v>
      </c>
      <c r="G32" s="30" t="s">
        <v>66</v>
      </c>
    </row>
    <row r="33" spans="1:7" ht="20.399999999999999" hidden="1" customHeight="1" x14ac:dyDescent="0.35">
      <c r="A33" s="30" t="s">
        <v>317</v>
      </c>
      <c r="B33" s="30" t="s">
        <v>424</v>
      </c>
      <c r="C33" s="30">
        <v>1977329</v>
      </c>
      <c r="D33" s="30">
        <v>2597828.2599999998</v>
      </c>
      <c r="E33" s="30">
        <v>1977329</v>
      </c>
      <c r="F33" s="40">
        <v>2021</v>
      </c>
      <c r="G33" s="30" t="s">
        <v>66</v>
      </c>
    </row>
    <row r="34" spans="1:7" ht="20.399999999999999" hidden="1" customHeight="1" x14ac:dyDescent="0.35">
      <c r="A34" s="30" t="s">
        <v>317</v>
      </c>
      <c r="B34" s="30" t="s">
        <v>687</v>
      </c>
      <c r="C34" s="30">
        <v>63543</v>
      </c>
      <c r="D34" s="30">
        <v>101037</v>
      </c>
      <c r="E34" s="30">
        <v>63543</v>
      </c>
      <c r="F34" s="40">
        <v>2021</v>
      </c>
      <c r="G34" s="30" t="s">
        <v>66</v>
      </c>
    </row>
    <row r="35" spans="1:7" ht="20.399999999999999" hidden="1" customHeight="1" x14ac:dyDescent="0.35">
      <c r="A35" s="30" t="s">
        <v>317</v>
      </c>
      <c r="B35" s="30" t="s">
        <v>688</v>
      </c>
      <c r="C35" s="30">
        <v>63978</v>
      </c>
      <c r="D35" s="30">
        <v>109881</v>
      </c>
      <c r="E35" s="30">
        <v>63978</v>
      </c>
      <c r="F35" s="40">
        <v>2021</v>
      </c>
      <c r="G35" s="30" t="s">
        <v>66</v>
      </c>
    </row>
    <row r="36" spans="1:7" ht="20.399999999999999" hidden="1" customHeight="1" x14ac:dyDescent="0.35">
      <c r="A36" s="30" t="s">
        <v>317</v>
      </c>
      <c r="B36" s="30" t="s">
        <v>687</v>
      </c>
      <c r="C36" s="30">
        <v>230157</v>
      </c>
      <c r="D36" s="30">
        <v>549093.57400000002</v>
      </c>
      <c r="E36" s="30">
        <v>209338</v>
      </c>
      <c r="F36" s="40">
        <v>2021</v>
      </c>
      <c r="G36" s="30" t="s">
        <v>66</v>
      </c>
    </row>
    <row r="37" spans="1:7" ht="20.399999999999999" hidden="1" customHeight="1" x14ac:dyDescent="0.35">
      <c r="A37" s="30" t="s">
        <v>75</v>
      </c>
      <c r="B37" s="30" t="s">
        <v>6</v>
      </c>
      <c r="C37" s="30">
        <v>1770000</v>
      </c>
      <c r="D37" s="30">
        <v>49694156</v>
      </c>
      <c r="E37" s="30">
        <v>1940602</v>
      </c>
      <c r="F37" s="40">
        <v>2021</v>
      </c>
      <c r="G37" s="30" t="s">
        <v>66</v>
      </c>
    </row>
    <row r="38" spans="1:7" ht="20.399999999999999" customHeight="1" x14ac:dyDescent="0.35">
      <c r="A38" s="30" t="s">
        <v>128</v>
      </c>
      <c r="B38" s="30" t="s">
        <v>689</v>
      </c>
      <c r="C38" s="30">
        <v>1965915</v>
      </c>
      <c r="D38" s="30">
        <v>4315183.42</v>
      </c>
      <c r="E38" s="30">
        <v>1965915</v>
      </c>
      <c r="F38" s="40">
        <v>2021</v>
      </c>
      <c r="G38" s="30" t="s">
        <v>131</v>
      </c>
    </row>
    <row r="39" spans="1:7" ht="20.399999999999999" hidden="1" customHeight="1" x14ac:dyDescent="0.35">
      <c r="A39" s="30" t="s">
        <v>128</v>
      </c>
      <c r="B39" s="30" t="s">
        <v>688</v>
      </c>
      <c r="C39" s="30">
        <v>139098</v>
      </c>
      <c r="D39" s="30">
        <v>541647.61</v>
      </c>
      <c r="E39" s="30">
        <v>139098</v>
      </c>
      <c r="F39" s="40">
        <v>2021</v>
      </c>
      <c r="G39" s="30" t="s">
        <v>131</v>
      </c>
    </row>
    <row r="40" spans="1:7" ht="20.399999999999999" hidden="1" customHeight="1" x14ac:dyDescent="0.35">
      <c r="A40" s="30" t="s">
        <v>128</v>
      </c>
      <c r="B40" s="30" t="s">
        <v>424</v>
      </c>
      <c r="C40" s="30">
        <v>977848</v>
      </c>
      <c r="D40" s="30">
        <v>2146376.36</v>
      </c>
      <c r="E40" s="30">
        <v>977848</v>
      </c>
      <c r="F40" s="40">
        <v>2021</v>
      </c>
      <c r="G40" s="30" t="s">
        <v>131</v>
      </c>
    </row>
    <row r="41" spans="1:7" ht="20.399999999999999" hidden="1" customHeight="1" x14ac:dyDescent="0.35">
      <c r="A41" s="30" t="s">
        <v>79</v>
      </c>
      <c r="B41" s="30" t="s">
        <v>687</v>
      </c>
      <c r="C41" s="30">
        <v>400578</v>
      </c>
      <c r="D41" s="30">
        <v>1321908</v>
      </c>
      <c r="E41" s="30">
        <v>400578</v>
      </c>
      <c r="F41" s="40">
        <v>2022</v>
      </c>
      <c r="G41" s="30" t="s">
        <v>66</v>
      </c>
    </row>
    <row r="42" spans="1:7" ht="20.399999999999999" hidden="1" customHeight="1" x14ac:dyDescent="0.35">
      <c r="A42" s="30" t="s">
        <v>317</v>
      </c>
      <c r="B42" s="30" t="s">
        <v>687</v>
      </c>
      <c r="C42" s="30">
        <v>156221</v>
      </c>
      <c r="D42" s="30">
        <v>388947</v>
      </c>
      <c r="E42" s="30">
        <v>168001</v>
      </c>
      <c r="F42" s="40">
        <v>2022</v>
      </c>
      <c r="G42" s="30" t="s">
        <v>66</v>
      </c>
    </row>
    <row r="43" spans="1:7" ht="20.399999999999999" hidden="1" customHeight="1" x14ac:dyDescent="0.35">
      <c r="A43" s="30" t="s">
        <v>79</v>
      </c>
      <c r="B43" s="30" t="s">
        <v>424</v>
      </c>
      <c r="C43" s="30">
        <v>2902226</v>
      </c>
      <c r="D43" s="30">
        <v>6094674</v>
      </c>
      <c r="E43" s="30">
        <v>2902226</v>
      </c>
      <c r="F43" s="40">
        <v>2022</v>
      </c>
      <c r="G43" s="30" t="s">
        <v>66</v>
      </c>
    </row>
    <row r="44" spans="1:7" ht="20.399999999999999" hidden="1" customHeight="1" x14ac:dyDescent="0.35">
      <c r="A44" s="30" t="s">
        <v>317</v>
      </c>
      <c r="B44" s="30" t="s">
        <v>424</v>
      </c>
      <c r="C44" s="30">
        <v>1388347</v>
      </c>
      <c r="D44" s="30">
        <v>2244819</v>
      </c>
      <c r="E44" s="30">
        <v>1388347</v>
      </c>
      <c r="F44" s="40">
        <v>2022</v>
      </c>
      <c r="G44" s="30" t="s">
        <v>66</v>
      </c>
    </row>
    <row r="45" spans="1:7" ht="20.399999999999999" hidden="1" customHeight="1" x14ac:dyDescent="0.35">
      <c r="A45" s="30" t="s">
        <v>79</v>
      </c>
      <c r="B45" s="30" t="s">
        <v>688</v>
      </c>
      <c r="C45" s="30">
        <v>82473</v>
      </c>
      <c r="D45" s="30">
        <v>247419</v>
      </c>
      <c r="E45" s="30">
        <v>82473</v>
      </c>
      <c r="F45" s="40">
        <v>2022</v>
      </c>
      <c r="G45" s="30" t="s">
        <v>66</v>
      </c>
    </row>
    <row r="46" spans="1:7" ht="20.399999999999999" hidden="1" customHeight="1" x14ac:dyDescent="0.35">
      <c r="A46" s="30" t="s">
        <v>317</v>
      </c>
      <c r="B46" s="30" t="s">
        <v>688</v>
      </c>
      <c r="C46" s="30">
        <v>40864</v>
      </c>
      <c r="D46" s="30">
        <v>84608</v>
      </c>
      <c r="E46" s="30">
        <v>40864</v>
      </c>
      <c r="F46" s="40">
        <v>2022</v>
      </c>
      <c r="G46" s="30" t="s">
        <v>66</v>
      </c>
    </row>
    <row r="47" spans="1:7" ht="20.399999999999999" hidden="1" customHeight="1" x14ac:dyDescent="0.35">
      <c r="A47" s="30" t="s">
        <v>75</v>
      </c>
      <c r="B47" s="30" t="s">
        <v>6</v>
      </c>
      <c r="C47" s="30">
        <v>1771000</v>
      </c>
      <c r="D47" s="30">
        <v>56393616</v>
      </c>
      <c r="E47" s="30">
        <v>1987798</v>
      </c>
      <c r="F47" s="40">
        <v>2022</v>
      </c>
      <c r="G47" s="30" t="s">
        <v>66</v>
      </c>
    </row>
    <row r="48" spans="1:7" ht="20.399999999999999" customHeight="1" x14ac:dyDescent="0.35">
      <c r="A48" s="30" t="s">
        <v>128</v>
      </c>
      <c r="B48" s="30" t="s">
        <v>689</v>
      </c>
      <c r="C48" s="30">
        <v>1990935</v>
      </c>
      <c r="D48" s="30">
        <v>4370102</v>
      </c>
      <c r="E48" s="30">
        <v>1990935</v>
      </c>
      <c r="F48" s="40">
        <v>2022</v>
      </c>
      <c r="G48" s="30" t="s">
        <v>131</v>
      </c>
    </row>
    <row r="49" spans="1:7" ht="20.399999999999999" hidden="1" customHeight="1" x14ac:dyDescent="0.35">
      <c r="A49" s="30" t="s">
        <v>128</v>
      </c>
      <c r="B49" s="30" t="s">
        <v>424</v>
      </c>
      <c r="C49" s="30">
        <f>140987+762283</f>
        <v>903270</v>
      </c>
      <c r="D49" s="30">
        <v>1982677</v>
      </c>
      <c r="E49" s="30">
        <f>140987+762283</f>
        <v>903270</v>
      </c>
      <c r="F49" s="40">
        <v>2022</v>
      </c>
      <c r="G49" s="30" t="s">
        <v>131</v>
      </c>
    </row>
    <row r="50" spans="1:7" ht="20.399999999999999" hidden="1" customHeight="1" x14ac:dyDescent="0.35">
      <c r="A50" s="30" t="s">
        <v>128</v>
      </c>
      <c r="B50" s="30" t="s">
        <v>688</v>
      </c>
      <c r="C50" s="30">
        <v>101441</v>
      </c>
      <c r="D50" s="30">
        <v>395011</v>
      </c>
      <c r="E50" s="30">
        <f>101441</f>
        <v>101441</v>
      </c>
      <c r="F50" s="40">
        <v>2022</v>
      </c>
      <c r="G50" s="30" t="s">
        <v>131</v>
      </c>
    </row>
    <row r="51" spans="1:7" x14ac:dyDescent="0.35">
      <c r="C51" s="13">
        <f t="shared" ref="C51:E51" si="0">SUBTOTAL(9,C2:C50)</f>
        <v>9194949</v>
      </c>
      <c r="D51" s="13">
        <f t="shared" si="0"/>
        <v>20182912.009999998</v>
      </c>
      <c r="E51" s="13">
        <f t="shared" si="0"/>
        <v>9194949</v>
      </c>
    </row>
  </sheetData>
  <autoFilter ref="A1:G50" xr:uid="{00000000-0009-0000-0000-000003000000}">
    <filterColumn colId="1">
      <filters>
        <filter val="MARNE"/>
        <filter val="MARNO CALCAIR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110"/>
  <sheetViews>
    <sheetView zoomScale="115" zoomScaleNormal="115" workbookViewId="0">
      <selection activeCell="A4" sqref="A4:G50"/>
    </sheetView>
  </sheetViews>
  <sheetFormatPr baseColWidth="10" defaultRowHeight="14.5" x14ac:dyDescent="0.35"/>
  <cols>
    <col min="1" max="1" width="32.36328125" customWidth="1"/>
    <col min="2" max="2" width="22.36328125" style="13" customWidth="1"/>
    <col min="3" max="7" width="12.54296875" style="13" customWidth="1"/>
    <col min="8" max="11" width="12.54296875" bestFit="1" customWidth="1"/>
    <col min="12" max="12" width="39.08984375" bestFit="1" customWidth="1"/>
    <col min="13" max="13" width="37.08984375" bestFit="1" customWidth="1"/>
  </cols>
  <sheetData>
    <row r="3" spans="1:7" x14ac:dyDescent="0.35">
      <c r="A3" s="5" t="s">
        <v>1587</v>
      </c>
      <c r="B3" s="5" t="s">
        <v>1589</v>
      </c>
      <c r="C3"/>
      <c r="D3"/>
      <c r="E3"/>
      <c r="F3"/>
      <c r="G3"/>
    </row>
    <row r="4" spans="1:7" x14ac:dyDescent="0.35">
      <c r="A4" s="5" t="s">
        <v>653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654</v>
      </c>
    </row>
    <row r="5" spans="1:7" x14ac:dyDescent="0.35">
      <c r="A5" s="6" t="s">
        <v>703</v>
      </c>
      <c r="B5" s="7">
        <v>547038</v>
      </c>
      <c r="C5" s="7">
        <v>507579</v>
      </c>
      <c r="D5" s="7">
        <v>447211</v>
      </c>
      <c r="E5" s="7">
        <v>506066.55000000005</v>
      </c>
      <c r="F5" s="7">
        <v>545250</v>
      </c>
      <c r="G5" s="7">
        <v>2553144.5499999998</v>
      </c>
    </row>
    <row r="6" spans="1:7" x14ac:dyDescent="0.35">
      <c r="A6" s="6" t="s">
        <v>704</v>
      </c>
      <c r="B6" s="176">
        <v>0.78899999999999992</v>
      </c>
      <c r="C6" s="176">
        <v>0.48</v>
      </c>
      <c r="D6" s="176">
        <v>1.04905</v>
      </c>
      <c r="E6" s="176">
        <v>1.3179000000000001</v>
      </c>
      <c r="F6" s="176">
        <v>1.2044241908208</v>
      </c>
      <c r="G6" s="176">
        <v>4.8403741908207998</v>
      </c>
    </row>
    <row r="7" spans="1:7" x14ac:dyDescent="0.35">
      <c r="A7" s="6" t="s">
        <v>104</v>
      </c>
      <c r="B7" s="7">
        <v>249804</v>
      </c>
      <c r="C7" s="7">
        <v>197673</v>
      </c>
      <c r="D7" s="7">
        <v>201919</v>
      </c>
      <c r="E7" s="7">
        <v>193437.82</v>
      </c>
      <c r="F7" s="7">
        <v>165559.5</v>
      </c>
      <c r="G7" s="7">
        <v>1008393.3200000001</v>
      </c>
    </row>
    <row r="8" spans="1:7" x14ac:dyDescent="0.35">
      <c r="A8" s="6" t="s">
        <v>64</v>
      </c>
      <c r="B8" s="7">
        <v>4165323</v>
      </c>
      <c r="C8" s="7">
        <v>3613673</v>
      </c>
      <c r="D8" s="7">
        <v>3700408.75</v>
      </c>
      <c r="E8" s="7">
        <v>5415019.6600000001</v>
      </c>
      <c r="F8" s="7">
        <v>6352766.348888889</v>
      </c>
      <c r="G8" s="7">
        <v>23247190.758888889</v>
      </c>
    </row>
    <row r="9" spans="1:7" x14ac:dyDescent="0.35">
      <c r="A9" s="6" t="s">
        <v>48</v>
      </c>
      <c r="B9" s="7">
        <v>686330.84896608652</v>
      </c>
      <c r="C9" s="7">
        <v>845370</v>
      </c>
      <c r="D9" s="7">
        <v>1189327.5</v>
      </c>
      <c r="E9" s="7">
        <v>2016432</v>
      </c>
      <c r="F9" s="7">
        <v>2416753.7042222223</v>
      </c>
      <c r="G9" s="7">
        <v>7154214.0531883091</v>
      </c>
    </row>
    <row r="10" spans="1:7" x14ac:dyDescent="0.35">
      <c r="A10" s="6" t="s">
        <v>698</v>
      </c>
      <c r="B10" s="7">
        <v>6768493</v>
      </c>
      <c r="C10" s="7">
        <v>6825714</v>
      </c>
      <c r="D10" s="7">
        <v>7090629</v>
      </c>
      <c r="E10" s="7">
        <v>8033979.8849999998</v>
      </c>
      <c r="F10" s="7">
        <v>7991917.1400000006</v>
      </c>
      <c r="G10" s="7">
        <v>36710733.024999999</v>
      </c>
    </row>
    <row r="11" spans="1:7" x14ac:dyDescent="0.35">
      <c r="A11" s="6" t="s">
        <v>1586</v>
      </c>
      <c r="B11" s="7"/>
      <c r="C11" s="7"/>
      <c r="D11" s="7"/>
      <c r="E11" s="7">
        <v>306750</v>
      </c>
      <c r="F11" s="7">
        <v>22019.16</v>
      </c>
      <c r="G11" s="7">
        <v>328769.15999999997</v>
      </c>
    </row>
    <row r="12" spans="1:7" x14ac:dyDescent="0.35">
      <c r="A12" s="6" t="s">
        <v>702</v>
      </c>
      <c r="B12" s="7">
        <v>134996</v>
      </c>
      <c r="C12" s="7">
        <v>158630</v>
      </c>
      <c r="D12" s="7">
        <v>198179</v>
      </c>
      <c r="E12" s="7">
        <v>158724</v>
      </c>
      <c r="F12" s="7">
        <v>83001</v>
      </c>
      <c r="G12" s="7">
        <v>733530</v>
      </c>
    </row>
    <row r="13" spans="1:7" x14ac:dyDescent="0.35">
      <c r="A13" s="6" t="s">
        <v>705</v>
      </c>
      <c r="B13" s="7">
        <v>11498</v>
      </c>
      <c r="C13" s="7">
        <v>11213</v>
      </c>
      <c r="D13" s="7">
        <v>29603</v>
      </c>
      <c r="E13" s="7">
        <v>18988.169999999998</v>
      </c>
      <c r="F13" s="7">
        <v>16781</v>
      </c>
      <c r="G13" s="7">
        <v>88083.17</v>
      </c>
    </row>
    <row r="14" spans="1:7" x14ac:dyDescent="0.35">
      <c r="A14" s="6" t="s">
        <v>699</v>
      </c>
      <c r="B14" s="7">
        <v>506937</v>
      </c>
      <c r="C14" s="7">
        <v>492282</v>
      </c>
      <c r="D14" s="7">
        <v>521440</v>
      </c>
      <c r="E14" s="7">
        <v>543061.92000000004</v>
      </c>
      <c r="F14" s="7">
        <v>497760</v>
      </c>
      <c r="G14" s="7">
        <v>2561480.92</v>
      </c>
    </row>
    <row r="15" spans="1:7" x14ac:dyDescent="0.35">
      <c r="A15" s="6" t="s">
        <v>688</v>
      </c>
      <c r="B15" s="7"/>
      <c r="C15" s="7"/>
      <c r="D15" s="7"/>
      <c r="E15" s="7">
        <v>1052</v>
      </c>
      <c r="F15" s="7">
        <v>0</v>
      </c>
      <c r="G15" s="7">
        <v>1052</v>
      </c>
    </row>
    <row r="16" spans="1:7" x14ac:dyDescent="0.35">
      <c r="A16" s="6" t="s">
        <v>701</v>
      </c>
      <c r="B16" s="7">
        <v>5645</v>
      </c>
      <c r="C16" s="7">
        <v>6515</v>
      </c>
      <c r="D16" s="7">
        <v>5501</v>
      </c>
      <c r="E16" s="7">
        <v>6985</v>
      </c>
      <c r="F16" s="7">
        <v>6284</v>
      </c>
      <c r="G16" s="7">
        <v>30930</v>
      </c>
    </row>
    <row r="17" spans="1:7" x14ac:dyDescent="0.35">
      <c r="A17" s="6" t="s">
        <v>59</v>
      </c>
      <c r="B17" s="7">
        <v>11284</v>
      </c>
      <c r="C17" s="7">
        <v>4368</v>
      </c>
      <c r="D17" s="7">
        <v>15376</v>
      </c>
      <c r="E17" s="7">
        <v>9236</v>
      </c>
      <c r="F17" s="7">
        <v>36090.85</v>
      </c>
      <c r="G17" s="7">
        <v>76354.850000000006</v>
      </c>
    </row>
    <row r="18" spans="1:7" x14ac:dyDescent="0.35">
      <c r="A18" s="6" t="s">
        <v>18</v>
      </c>
      <c r="B18" s="176">
        <v>11.885300000000001</v>
      </c>
      <c r="C18" s="7">
        <v>12.309000000000001</v>
      </c>
      <c r="D18" s="7">
        <v>12.4422</v>
      </c>
      <c r="E18" s="7">
        <v>16.205629999999999</v>
      </c>
      <c r="F18" s="7">
        <v>14.946701216199999</v>
      </c>
      <c r="G18" s="7">
        <v>67.788831216199995</v>
      </c>
    </row>
    <row r="19" spans="1:7" x14ac:dyDescent="0.35">
      <c r="A19" s="6" t="s">
        <v>697</v>
      </c>
      <c r="B19" s="7">
        <v>711221.4</v>
      </c>
      <c r="C19" s="7">
        <v>594538.12600000005</v>
      </c>
      <c r="D19" s="7">
        <v>581504</v>
      </c>
      <c r="E19" s="7">
        <v>334172.63</v>
      </c>
      <c r="F19" s="7">
        <v>1088462</v>
      </c>
      <c r="G19" s="7">
        <v>3309898.156</v>
      </c>
    </row>
    <row r="20" spans="1:7" x14ac:dyDescent="0.35">
      <c r="A20" s="6" t="s">
        <v>700</v>
      </c>
      <c r="B20" s="7">
        <v>3961</v>
      </c>
      <c r="C20" s="7">
        <v>3614</v>
      </c>
      <c r="D20" s="7">
        <v>4044</v>
      </c>
      <c r="E20" s="7">
        <v>4431</v>
      </c>
      <c r="F20" s="7">
        <v>4203</v>
      </c>
      <c r="G20" s="7">
        <v>20253</v>
      </c>
    </row>
    <row r="21" spans="1:7" x14ac:dyDescent="0.35">
      <c r="A21" s="6" t="s">
        <v>114</v>
      </c>
      <c r="B21" s="7">
        <v>4801.1816374615173</v>
      </c>
      <c r="C21" s="7">
        <v>98355</v>
      </c>
      <c r="D21" s="7">
        <v>297611</v>
      </c>
      <c r="E21" s="7">
        <v>888095.16</v>
      </c>
      <c r="F21" s="7">
        <v>884708.30999999994</v>
      </c>
      <c r="G21" s="7">
        <v>2173570.6516374615</v>
      </c>
    </row>
    <row r="22" spans="1:7" x14ac:dyDescent="0.35">
      <c r="A22" s="6" t="s">
        <v>70</v>
      </c>
      <c r="B22" s="7">
        <v>93569</v>
      </c>
      <c r="C22" s="7">
        <v>80721</v>
      </c>
      <c r="D22" s="7">
        <v>84376</v>
      </c>
      <c r="E22" s="7">
        <v>90705.73</v>
      </c>
      <c r="F22" s="7">
        <v>84065</v>
      </c>
      <c r="G22" s="7">
        <v>433436.73</v>
      </c>
    </row>
    <row r="23" spans="1:7" x14ac:dyDescent="0.35">
      <c r="A23" s="6" t="s">
        <v>1594</v>
      </c>
      <c r="B23" s="7"/>
      <c r="C23" s="7"/>
      <c r="D23" s="7">
        <v>682</v>
      </c>
      <c r="E23" s="7">
        <v>1812.1</v>
      </c>
      <c r="F23" s="7">
        <v>9099</v>
      </c>
      <c r="G23" s="7">
        <v>11593.1</v>
      </c>
    </row>
    <row r="24" spans="1:7" x14ac:dyDescent="0.35">
      <c r="A24" s="6" t="s">
        <v>1595</v>
      </c>
      <c r="B24" s="7"/>
      <c r="C24" s="7"/>
      <c r="D24" s="7"/>
      <c r="E24" s="7">
        <v>86431.25</v>
      </c>
      <c r="F24" s="7">
        <v>79811</v>
      </c>
      <c r="G24" s="7">
        <v>166242.25</v>
      </c>
    </row>
    <row r="25" spans="1:7" x14ac:dyDescent="0.35">
      <c r="A25" s="6" t="s">
        <v>654</v>
      </c>
      <c r="B25" s="7">
        <v>13900914.104903547</v>
      </c>
      <c r="C25" s="7">
        <v>13440257.915000001</v>
      </c>
      <c r="D25" s="7">
        <v>14367824.741249999</v>
      </c>
      <c r="E25" s="7">
        <v>18615398.398530003</v>
      </c>
      <c r="F25" s="7">
        <v>20284547.164236519</v>
      </c>
      <c r="G25" s="7">
        <v>80608942.323920056</v>
      </c>
    </row>
    <row r="28" spans="1:7" x14ac:dyDescent="0.35">
      <c r="A28" s="5" t="s">
        <v>1588</v>
      </c>
      <c r="B28" s="5" t="s">
        <v>1589</v>
      </c>
      <c r="C28"/>
      <c r="D28"/>
      <c r="E28"/>
      <c r="F28"/>
      <c r="G28"/>
    </row>
    <row r="29" spans="1:7" x14ac:dyDescent="0.35">
      <c r="A29" s="5" t="s">
        <v>653</v>
      </c>
      <c r="B29">
        <v>2018</v>
      </c>
      <c r="C29">
        <v>2019</v>
      </c>
      <c r="D29">
        <v>2020</v>
      </c>
      <c r="E29">
        <v>2021</v>
      </c>
      <c r="F29">
        <v>2022</v>
      </c>
      <c r="G29" t="s">
        <v>654</v>
      </c>
    </row>
    <row r="30" spans="1:7" x14ac:dyDescent="0.35">
      <c r="A30" s="6" t="s">
        <v>703</v>
      </c>
      <c r="B30" s="7">
        <v>201320533</v>
      </c>
      <c r="C30" s="7">
        <v>210681808</v>
      </c>
      <c r="D30" s="7">
        <v>161926331</v>
      </c>
      <c r="E30" s="7">
        <v>298015592</v>
      </c>
      <c r="F30" s="7">
        <v>535846513</v>
      </c>
      <c r="G30" s="7">
        <v>1407790777</v>
      </c>
    </row>
    <row r="31" spans="1:7" x14ac:dyDescent="0.35">
      <c r="A31" s="6" t="s">
        <v>704</v>
      </c>
      <c r="B31" s="7">
        <v>234090</v>
      </c>
      <c r="C31" s="7">
        <v>160845</v>
      </c>
      <c r="D31" s="7">
        <v>413220</v>
      </c>
      <c r="E31" s="7">
        <v>582754</v>
      </c>
      <c r="F31" s="7">
        <v>527302.41110219504</v>
      </c>
      <c r="G31" s="7">
        <v>1918211.411102195</v>
      </c>
    </row>
    <row r="32" spans="1:7" x14ac:dyDescent="0.35">
      <c r="A32" s="6" t="s">
        <v>104</v>
      </c>
      <c r="B32" s="7">
        <v>8799401</v>
      </c>
      <c r="C32" s="7">
        <v>8131167</v>
      </c>
      <c r="D32" s="7">
        <v>9418584</v>
      </c>
      <c r="E32" s="7">
        <v>8398278.4763799999</v>
      </c>
      <c r="F32" s="7">
        <v>4701936.6679999996</v>
      </c>
      <c r="G32" s="7">
        <v>39449367.144379996</v>
      </c>
    </row>
    <row r="33" spans="1:7" x14ac:dyDescent="0.35">
      <c r="A33" s="6" t="s">
        <v>64</v>
      </c>
      <c r="B33" s="7">
        <v>32021943.9900917</v>
      </c>
      <c r="C33" s="7">
        <v>29173441</v>
      </c>
      <c r="D33" s="7">
        <v>28232431.543051284</v>
      </c>
      <c r="E33" s="7">
        <v>41607736.657580003</v>
      </c>
      <c r="F33" s="7">
        <v>45863194.627999999</v>
      </c>
      <c r="G33" s="7">
        <v>176898747.81872299</v>
      </c>
    </row>
    <row r="34" spans="1:7" x14ac:dyDescent="0.35">
      <c r="A34" s="6" t="s">
        <v>48</v>
      </c>
      <c r="B34" s="7">
        <v>4181540.3572281958</v>
      </c>
      <c r="C34" s="7">
        <v>3722308</v>
      </c>
      <c r="D34" s="7">
        <v>3924676</v>
      </c>
      <c r="E34" s="7">
        <v>5004611.6089999992</v>
      </c>
      <c r="F34" s="7">
        <v>7144906.1889999993</v>
      </c>
      <c r="G34" s="7">
        <v>23978042.155228194</v>
      </c>
    </row>
    <row r="35" spans="1:7" x14ac:dyDescent="0.35">
      <c r="A35" s="6" t="s">
        <v>698</v>
      </c>
      <c r="B35" s="7">
        <v>271170800</v>
      </c>
      <c r="C35" s="7">
        <v>282573150.18453157</v>
      </c>
      <c r="D35" s="7">
        <v>308450890</v>
      </c>
      <c r="E35" s="7">
        <v>341192189</v>
      </c>
      <c r="F35" s="7">
        <v>374919352</v>
      </c>
      <c r="G35" s="7">
        <v>1578306381.1845317</v>
      </c>
    </row>
    <row r="36" spans="1:7" x14ac:dyDescent="0.35">
      <c r="A36" s="6" t="s">
        <v>1586</v>
      </c>
      <c r="B36" s="7"/>
      <c r="C36" s="7"/>
      <c r="D36" s="7"/>
      <c r="E36" s="7">
        <v>7800049</v>
      </c>
      <c r="F36" s="7">
        <v>836567</v>
      </c>
      <c r="G36" s="7">
        <v>8636616</v>
      </c>
    </row>
    <row r="37" spans="1:7" x14ac:dyDescent="0.35">
      <c r="A37" s="6" t="s">
        <v>702</v>
      </c>
      <c r="B37" s="7">
        <v>134870474</v>
      </c>
      <c r="C37" s="7">
        <v>35499539</v>
      </c>
      <c r="D37" s="7">
        <v>40073984</v>
      </c>
      <c r="E37" s="7">
        <v>44665289</v>
      </c>
      <c r="F37" s="7">
        <v>30021383</v>
      </c>
      <c r="G37" s="7">
        <v>285130669</v>
      </c>
    </row>
    <row r="38" spans="1:7" x14ac:dyDescent="0.35">
      <c r="A38" s="6" t="s">
        <v>705</v>
      </c>
      <c r="B38" s="7">
        <v>506562</v>
      </c>
      <c r="C38" s="7">
        <v>716526</v>
      </c>
      <c r="D38" s="7">
        <v>1050212</v>
      </c>
      <c r="E38" s="7">
        <v>337937.34200000006</v>
      </c>
      <c r="F38" s="7">
        <v>1190239</v>
      </c>
      <c r="G38" s="7">
        <v>3801476.3420000002</v>
      </c>
    </row>
    <row r="39" spans="1:7" x14ac:dyDescent="0.35">
      <c r="A39" s="6" t="s">
        <v>699</v>
      </c>
      <c r="B39" s="7">
        <v>46481540</v>
      </c>
      <c r="C39" s="7">
        <v>49583135</v>
      </c>
      <c r="D39" s="7">
        <v>58828495</v>
      </c>
      <c r="E39" s="7">
        <v>77403118.920000002</v>
      </c>
      <c r="F39" s="7">
        <v>107576795</v>
      </c>
      <c r="G39" s="7">
        <v>339873083.92000002</v>
      </c>
    </row>
    <row r="40" spans="1:7" x14ac:dyDescent="0.35">
      <c r="A40" s="6" t="s">
        <v>688</v>
      </c>
      <c r="B40" s="7"/>
      <c r="C40" s="7"/>
      <c r="D40" s="7"/>
      <c r="E40" s="7">
        <v>526000</v>
      </c>
      <c r="F40" s="7">
        <v>0</v>
      </c>
      <c r="G40" s="7">
        <v>526000</v>
      </c>
    </row>
    <row r="41" spans="1:7" x14ac:dyDescent="0.35">
      <c r="A41" s="6" t="s">
        <v>701</v>
      </c>
      <c r="B41" s="7">
        <v>1906448</v>
      </c>
      <c r="C41" s="7">
        <v>2591827</v>
      </c>
      <c r="D41" s="7">
        <v>2346995</v>
      </c>
      <c r="E41" s="7">
        <v>3603027</v>
      </c>
      <c r="F41" s="7">
        <v>5519766</v>
      </c>
      <c r="G41" s="7">
        <v>15968063</v>
      </c>
    </row>
    <row r="42" spans="1:7" x14ac:dyDescent="0.35">
      <c r="A42" s="6" t="s">
        <v>59</v>
      </c>
      <c r="B42" s="7">
        <v>1300152</v>
      </c>
      <c r="C42" s="7">
        <v>503285</v>
      </c>
      <c r="D42" s="7">
        <v>417480</v>
      </c>
      <c r="E42" s="7">
        <v>511882</v>
      </c>
      <c r="F42" s="7">
        <v>1263388</v>
      </c>
      <c r="G42" s="7">
        <v>3996187</v>
      </c>
    </row>
    <row r="43" spans="1:7" x14ac:dyDescent="0.35">
      <c r="A43" s="6" t="s">
        <v>18</v>
      </c>
      <c r="B43" s="7">
        <v>280200301</v>
      </c>
      <c r="C43" s="7">
        <v>328521567</v>
      </c>
      <c r="D43" s="7">
        <v>387689042.0596</v>
      </c>
      <c r="E43" s="7">
        <v>512434766</v>
      </c>
      <c r="F43" s="7">
        <v>543404837</v>
      </c>
      <c r="G43" s="7">
        <v>2052250513.0595999</v>
      </c>
    </row>
    <row r="44" spans="1:7" x14ac:dyDescent="0.35">
      <c r="A44" s="6" t="s">
        <v>697</v>
      </c>
      <c r="B44" s="7">
        <v>25019075.450582255</v>
      </c>
      <c r="C44" s="7">
        <v>22488176.373080455</v>
      </c>
      <c r="D44" s="7">
        <v>18823024</v>
      </c>
      <c r="E44" s="7">
        <v>14528340.323626233</v>
      </c>
      <c r="F44" s="7">
        <v>71327465.011000007</v>
      </c>
      <c r="G44" s="7">
        <v>152186081.15828896</v>
      </c>
    </row>
    <row r="45" spans="1:7" x14ac:dyDescent="0.35">
      <c r="A45" s="6" t="s">
        <v>700</v>
      </c>
      <c r="B45" s="7">
        <v>1935661</v>
      </c>
      <c r="C45" s="7">
        <v>2370039</v>
      </c>
      <c r="D45" s="7">
        <v>2809546</v>
      </c>
      <c r="E45" s="7">
        <v>3618766</v>
      </c>
      <c r="F45" s="7">
        <v>5314146</v>
      </c>
      <c r="G45" s="7">
        <v>16048158</v>
      </c>
    </row>
    <row r="46" spans="1:7" x14ac:dyDescent="0.35">
      <c r="A46" s="6" t="s">
        <v>114</v>
      </c>
      <c r="B46" s="7">
        <v>41892</v>
      </c>
      <c r="C46" s="7">
        <v>858182</v>
      </c>
      <c r="D46" s="7">
        <v>1970149.7250000001</v>
      </c>
      <c r="E46" s="7">
        <v>2603972.531</v>
      </c>
      <c r="F46" s="7">
        <v>6223886.8890000004</v>
      </c>
      <c r="G46" s="7">
        <v>11698083.145</v>
      </c>
    </row>
    <row r="47" spans="1:7" x14ac:dyDescent="0.35">
      <c r="A47" s="6" t="s">
        <v>70</v>
      </c>
      <c r="B47" s="7">
        <v>63438403</v>
      </c>
      <c r="C47" s="7">
        <v>58448385</v>
      </c>
      <c r="D47" s="7">
        <v>50167844</v>
      </c>
      <c r="E47" s="7">
        <v>62003823.299999997</v>
      </c>
      <c r="F47" s="7">
        <v>86969610</v>
      </c>
      <c r="G47" s="7">
        <v>321028065.30000001</v>
      </c>
    </row>
    <row r="48" spans="1:7" x14ac:dyDescent="0.35">
      <c r="A48" s="6" t="s">
        <v>1594</v>
      </c>
      <c r="B48" s="7"/>
      <c r="C48" s="7"/>
      <c r="D48" s="7">
        <v>89376</v>
      </c>
      <c r="E48" s="7">
        <v>204879</v>
      </c>
      <c r="F48" s="7">
        <v>2225609</v>
      </c>
      <c r="G48" s="7">
        <v>2519864</v>
      </c>
    </row>
    <row r="49" spans="1:7" x14ac:dyDescent="0.35">
      <c r="A49" s="6" t="s">
        <v>1595</v>
      </c>
      <c r="B49" s="7"/>
      <c r="C49" s="7"/>
      <c r="D49" s="7"/>
      <c r="E49" s="7">
        <v>574274.10800000001</v>
      </c>
      <c r="F49" s="7">
        <v>576403.81799999997</v>
      </c>
      <c r="G49" s="7">
        <v>1150677.926</v>
      </c>
    </row>
    <row r="50" spans="1:7" x14ac:dyDescent="0.35">
      <c r="A50" s="6" t="s">
        <v>654</v>
      </c>
      <c r="B50" s="7">
        <v>1073428816.7979021</v>
      </c>
      <c r="C50" s="7">
        <v>1036023380.5576121</v>
      </c>
      <c r="D50" s="7">
        <v>1076632280.3276513</v>
      </c>
      <c r="E50" s="7">
        <v>1425617286.2675862</v>
      </c>
      <c r="F50" s="7">
        <v>1831453300.6141021</v>
      </c>
      <c r="G50" s="7">
        <v>6443155064.5648546</v>
      </c>
    </row>
    <row r="51" spans="1:7" x14ac:dyDescent="0.35">
      <c r="B51"/>
      <c r="C51"/>
      <c r="D51"/>
      <c r="E51"/>
      <c r="F51"/>
      <c r="G51"/>
    </row>
    <row r="52" spans="1:7" x14ac:dyDescent="0.35">
      <c r="B52"/>
      <c r="C52"/>
      <c r="D52"/>
      <c r="E52"/>
      <c r="F52"/>
      <c r="G52"/>
    </row>
    <row r="53" spans="1:7" x14ac:dyDescent="0.35">
      <c r="B53"/>
      <c r="C53"/>
      <c r="D53"/>
      <c r="E53"/>
      <c r="F53"/>
      <c r="G53"/>
    </row>
    <row r="54" spans="1:7" x14ac:dyDescent="0.35">
      <c r="B54"/>
      <c r="C54"/>
      <c r="D54"/>
      <c r="E54"/>
      <c r="F54"/>
      <c r="G54"/>
    </row>
    <row r="55" spans="1:7" x14ac:dyDescent="0.35">
      <c r="B55"/>
      <c r="C55"/>
      <c r="D55"/>
      <c r="E55"/>
      <c r="F55"/>
      <c r="G55"/>
    </row>
    <row r="56" spans="1:7" x14ac:dyDescent="0.35">
      <c r="B56"/>
      <c r="C56"/>
      <c r="D56"/>
      <c r="E56"/>
      <c r="F56"/>
      <c r="G56"/>
    </row>
    <row r="57" spans="1:7" x14ac:dyDescent="0.35">
      <c r="B57"/>
      <c r="C57"/>
      <c r="D57"/>
      <c r="E57"/>
      <c r="F57"/>
      <c r="G57"/>
    </row>
    <row r="58" spans="1:7" x14ac:dyDescent="0.35">
      <c r="B58"/>
      <c r="C58"/>
      <c r="D58"/>
      <c r="E58"/>
      <c r="F58"/>
      <c r="G58"/>
    </row>
    <row r="59" spans="1:7" x14ac:dyDescent="0.35">
      <c r="B59"/>
      <c r="C59"/>
      <c r="D59"/>
      <c r="E59"/>
      <c r="F59"/>
      <c r="G59"/>
    </row>
    <row r="60" spans="1:7" x14ac:dyDescent="0.35">
      <c r="B60"/>
      <c r="C60"/>
      <c r="D60"/>
      <c r="E60"/>
      <c r="F60"/>
      <c r="G60"/>
    </row>
    <row r="61" spans="1:7" x14ac:dyDescent="0.35">
      <c r="B61"/>
      <c r="C61"/>
      <c r="D61"/>
      <c r="E61"/>
      <c r="F61"/>
      <c r="G61"/>
    </row>
    <row r="62" spans="1:7" x14ac:dyDescent="0.35">
      <c r="B62"/>
      <c r="C62"/>
      <c r="D62"/>
      <c r="E62"/>
      <c r="F62"/>
      <c r="G62"/>
    </row>
    <row r="63" spans="1:7" x14ac:dyDescent="0.35">
      <c r="B63"/>
      <c r="C63"/>
      <c r="D63"/>
      <c r="E63"/>
      <c r="F63"/>
      <c r="G63"/>
    </row>
    <row r="64" spans="1:7" x14ac:dyDescent="0.35">
      <c r="B64"/>
      <c r="C64"/>
      <c r="D64"/>
      <c r="E64"/>
      <c r="F64"/>
      <c r="G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opLeftCell="A2" zoomScale="175" zoomScaleNormal="175" workbookViewId="0">
      <selection activeCell="A4" sqref="A4:G50"/>
    </sheetView>
  </sheetViews>
  <sheetFormatPr baseColWidth="10" defaultRowHeight="14.5" x14ac:dyDescent="0.35"/>
  <cols>
    <col min="1" max="1" width="19.54296875" bestFit="1" customWidth="1"/>
    <col min="2" max="2" width="35.6328125" style="163" bestFit="1" customWidth="1"/>
    <col min="3" max="3" width="32.36328125" style="13" customWidth="1"/>
    <col min="4" max="4" width="17.36328125" bestFit="1" customWidth="1"/>
  </cols>
  <sheetData>
    <row r="1" spans="1:4" x14ac:dyDescent="0.35">
      <c r="A1" s="5" t="s">
        <v>711</v>
      </c>
      <c r="B1" s="176" t="s">
        <v>18</v>
      </c>
    </row>
    <row r="3" spans="1:4" x14ac:dyDescent="0.35">
      <c r="A3" s="5" t="s">
        <v>653</v>
      </c>
      <c r="B3" s="176" t="s">
        <v>1587</v>
      </c>
      <c r="C3" t="s">
        <v>1588</v>
      </c>
    </row>
    <row r="4" spans="1:4" x14ac:dyDescent="0.35">
      <c r="A4" s="6">
        <v>2018</v>
      </c>
      <c r="B4" s="176">
        <v>11.885300000000001</v>
      </c>
      <c r="C4" s="7">
        <v>280200301</v>
      </c>
      <c r="D4" s="173">
        <f>+C4/B4</f>
        <v>23575366.292815492</v>
      </c>
    </row>
    <row r="5" spans="1:4" x14ac:dyDescent="0.35">
      <c r="A5" s="6">
        <v>2019</v>
      </c>
      <c r="B5" s="176">
        <v>12.309000000000001</v>
      </c>
      <c r="C5" s="7">
        <v>328521567</v>
      </c>
      <c r="D5" s="173">
        <f t="shared" ref="D5:D8" si="0">+C5/B5</f>
        <v>26689541.554959781</v>
      </c>
    </row>
    <row r="6" spans="1:4" x14ac:dyDescent="0.35">
      <c r="A6" s="6">
        <v>2020</v>
      </c>
      <c r="B6" s="176">
        <v>12.4422</v>
      </c>
      <c r="C6" s="7">
        <v>387689042.0596</v>
      </c>
      <c r="D6" s="173">
        <f t="shared" si="0"/>
        <v>31159203.521853048</v>
      </c>
    </row>
    <row r="7" spans="1:4" x14ac:dyDescent="0.35">
      <c r="A7" s="6">
        <v>2021</v>
      </c>
      <c r="B7" s="176">
        <v>16.205629999999999</v>
      </c>
      <c r="C7" s="7">
        <v>512434766</v>
      </c>
      <c r="D7" s="173">
        <f t="shared" si="0"/>
        <v>31620786.479760431</v>
      </c>
    </row>
    <row r="8" spans="1:4" x14ac:dyDescent="0.35">
      <c r="A8" s="6">
        <v>2022</v>
      </c>
      <c r="B8" s="176">
        <v>14.946701216199999</v>
      </c>
      <c r="C8" s="7">
        <v>543404837</v>
      </c>
      <c r="D8" s="173">
        <f t="shared" si="0"/>
        <v>36356171.782642581</v>
      </c>
    </row>
    <row r="9" spans="1:4" x14ac:dyDescent="0.35">
      <c r="A9" s="6" t="s">
        <v>654</v>
      </c>
      <c r="B9" s="176">
        <v>67.788831216199995</v>
      </c>
      <c r="C9" s="7">
        <v>2052250513.0595999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G35"/>
  <sheetViews>
    <sheetView zoomScale="145" zoomScaleNormal="145" workbookViewId="0">
      <selection activeCell="A4" sqref="A4:G50"/>
    </sheetView>
  </sheetViews>
  <sheetFormatPr baseColWidth="10" defaultRowHeight="14.5" x14ac:dyDescent="0.35"/>
  <cols>
    <col min="1" max="1" width="24.90625" customWidth="1"/>
    <col min="2" max="2" width="22.36328125" style="13" customWidth="1"/>
    <col min="3" max="3" width="9.453125" style="13" customWidth="1"/>
    <col min="4" max="5" width="12.6328125" style="13" customWidth="1"/>
    <col min="6" max="6" width="9.453125" style="13" customWidth="1"/>
    <col min="7" max="7" width="12.6328125" style="13" customWidth="1"/>
    <col min="8" max="8" width="34.81640625" bestFit="1" customWidth="1"/>
    <col min="9" max="9" width="33.08984375" bestFit="1" customWidth="1"/>
    <col min="10" max="10" width="34.81640625" bestFit="1" customWidth="1"/>
    <col min="11" max="11" width="33.08984375" bestFit="1" customWidth="1"/>
    <col min="12" max="12" width="39.6328125" bestFit="1" customWidth="1"/>
    <col min="13" max="13" width="38" bestFit="1" customWidth="1"/>
  </cols>
  <sheetData>
    <row r="3" spans="1:7" x14ac:dyDescent="0.35">
      <c r="A3" s="5" t="s">
        <v>1588</v>
      </c>
      <c r="B3" s="5" t="s">
        <v>1589</v>
      </c>
      <c r="C3"/>
      <c r="D3"/>
      <c r="E3"/>
      <c r="F3"/>
      <c r="G3"/>
    </row>
    <row r="4" spans="1:7" x14ac:dyDescent="0.35">
      <c r="A4" s="5" t="s">
        <v>653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654</v>
      </c>
    </row>
    <row r="5" spans="1:7" x14ac:dyDescent="0.35">
      <c r="A5" s="6" t="s">
        <v>703</v>
      </c>
      <c r="B5" s="7">
        <v>201320533</v>
      </c>
      <c r="C5" s="7">
        <v>210681808</v>
      </c>
      <c r="D5" s="7">
        <v>161926331</v>
      </c>
      <c r="E5" s="7">
        <v>298015592</v>
      </c>
      <c r="F5" s="7">
        <v>535846513</v>
      </c>
      <c r="G5" s="7">
        <v>1407790777</v>
      </c>
    </row>
    <row r="6" spans="1:7" x14ac:dyDescent="0.35">
      <c r="A6" s="6" t="s">
        <v>704</v>
      </c>
      <c r="B6" s="7">
        <v>234090</v>
      </c>
      <c r="C6" s="7">
        <v>160845</v>
      </c>
      <c r="D6" s="7">
        <v>413220</v>
      </c>
      <c r="E6" s="7">
        <v>582754</v>
      </c>
      <c r="F6" s="7">
        <v>527302.41110219504</v>
      </c>
      <c r="G6" s="7">
        <v>1918211.411102195</v>
      </c>
    </row>
    <row r="7" spans="1:7" x14ac:dyDescent="0.35">
      <c r="A7" s="6" t="s">
        <v>104</v>
      </c>
      <c r="B7" s="7">
        <v>8799401</v>
      </c>
      <c r="C7" s="7">
        <v>8131167</v>
      </c>
      <c r="D7" s="7">
        <v>9418584</v>
      </c>
      <c r="E7" s="7">
        <v>8398278.4763799999</v>
      </c>
      <c r="F7" s="7">
        <v>4701936.6679999996</v>
      </c>
      <c r="G7" s="7">
        <v>39449367.144379996</v>
      </c>
    </row>
    <row r="8" spans="1:7" x14ac:dyDescent="0.35">
      <c r="A8" s="6" t="s">
        <v>64</v>
      </c>
      <c r="B8" s="7">
        <v>32021943.9900917</v>
      </c>
      <c r="C8" s="7">
        <v>29173441</v>
      </c>
      <c r="D8" s="7">
        <v>28232431.543051284</v>
      </c>
      <c r="E8" s="7">
        <v>41607736.657580003</v>
      </c>
      <c r="F8" s="7">
        <v>45863194.627999999</v>
      </c>
      <c r="G8" s="7">
        <v>176898747.81872299</v>
      </c>
    </row>
    <row r="9" spans="1:7" x14ac:dyDescent="0.35">
      <c r="A9" s="6" t="s">
        <v>48</v>
      </c>
      <c r="B9" s="7">
        <v>4181540.3572281958</v>
      </c>
      <c r="C9" s="7">
        <v>3722308</v>
      </c>
      <c r="D9" s="7">
        <v>3924676</v>
      </c>
      <c r="E9" s="7">
        <v>5004611.6089999992</v>
      </c>
      <c r="F9" s="7">
        <v>7144906.1889999993</v>
      </c>
      <c r="G9" s="7">
        <v>23978042.155228194</v>
      </c>
    </row>
    <row r="10" spans="1:7" x14ac:dyDescent="0.35">
      <c r="A10" s="6" t="s">
        <v>698</v>
      </c>
      <c r="B10" s="7">
        <v>271170800</v>
      </c>
      <c r="C10" s="7">
        <v>282573150.18453157</v>
      </c>
      <c r="D10" s="7">
        <v>308450890</v>
      </c>
      <c r="E10" s="7">
        <v>341192189</v>
      </c>
      <c r="F10" s="7">
        <v>374919352</v>
      </c>
      <c r="G10" s="7">
        <v>1578306381.1845317</v>
      </c>
    </row>
    <row r="11" spans="1:7" x14ac:dyDescent="0.35">
      <c r="A11" s="6" t="s">
        <v>1586</v>
      </c>
      <c r="B11" s="7"/>
      <c r="C11" s="7"/>
      <c r="D11" s="7"/>
      <c r="E11" s="7">
        <v>7800049</v>
      </c>
      <c r="F11" s="7">
        <v>836567</v>
      </c>
      <c r="G11" s="7">
        <v>8636616</v>
      </c>
    </row>
    <row r="12" spans="1:7" x14ac:dyDescent="0.35">
      <c r="A12" s="6" t="s">
        <v>702</v>
      </c>
      <c r="B12" s="7">
        <v>134870474</v>
      </c>
      <c r="C12" s="7">
        <v>35499539</v>
      </c>
      <c r="D12" s="7">
        <v>40073984</v>
      </c>
      <c r="E12" s="7">
        <v>44665289</v>
      </c>
      <c r="F12" s="7">
        <v>30021383</v>
      </c>
      <c r="G12" s="7">
        <v>285130669</v>
      </c>
    </row>
    <row r="13" spans="1:7" x14ac:dyDescent="0.35">
      <c r="A13" s="6" t="s">
        <v>705</v>
      </c>
      <c r="B13" s="7">
        <v>506562</v>
      </c>
      <c r="C13" s="7">
        <v>716526</v>
      </c>
      <c r="D13" s="7">
        <v>1050212</v>
      </c>
      <c r="E13" s="7">
        <v>337937.34200000006</v>
      </c>
      <c r="F13" s="7">
        <v>1190239</v>
      </c>
      <c r="G13" s="7">
        <v>3801476.3420000002</v>
      </c>
    </row>
    <row r="14" spans="1:7" x14ac:dyDescent="0.35">
      <c r="A14" s="6" t="s">
        <v>699</v>
      </c>
      <c r="B14" s="7">
        <v>46481540</v>
      </c>
      <c r="C14" s="7">
        <v>49583135</v>
      </c>
      <c r="D14" s="7">
        <v>58828495</v>
      </c>
      <c r="E14" s="7">
        <v>77403118.920000002</v>
      </c>
      <c r="F14" s="7">
        <v>107576795</v>
      </c>
      <c r="G14" s="7">
        <v>339873083.92000002</v>
      </c>
    </row>
    <row r="15" spans="1:7" x14ac:dyDescent="0.35">
      <c r="A15" s="6" t="s">
        <v>688</v>
      </c>
      <c r="B15" s="7"/>
      <c r="C15" s="7"/>
      <c r="D15" s="7"/>
      <c r="E15" s="7">
        <v>526000</v>
      </c>
      <c r="F15" s="7">
        <v>0</v>
      </c>
      <c r="G15" s="7">
        <v>526000</v>
      </c>
    </row>
    <row r="16" spans="1:7" x14ac:dyDescent="0.35">
      <c r="A16" s="6" t="s">
        <v>701</v>
      </c>
      <c r="B16" s="7">
        <v>1906448</v>
      </c>
      <c r="C16" s="7">
        <v>2591827</v>
      </c>
      <c r="D16" s="7">
        <v>2346995</v>
      </c>
      <c r="E16" s="7">
        <v>3603027</v>
      </c>
      <c r="F16" s="7">
        <v>5519766</v>
      </c>
      <c r="G16" s="7">
        <v>15968063</v>
      </c>
    </row>
    <row r="17" spans="1:7" x14ac:dyDescent="0.35">
      <c r="A17" s="6" t="s">
        <v>59</v>
      </c>
      <c r="B17" s="7">
        <v>1300152</v>
      </c>
      <c r="C17" s="7">
        <v>503285</v>
      </c>
      <c r="D17" s="7">
        <v>417480</v>
      </c>
      <c r="E17" s="7">
        <v>511882</v>
      </c>
      <c r="F17" s="7">
        <v>1263388</v>
      </c>
      <c r="G17" s="7">
        <v>3996187</v>
      </c>
    </row>
    <row r="18" spans="1:7" x14ac:dyDescent="0.35">
      <c r="A18" s="6" t="s">
        <v>18</v>
      </c>
      <c r="B18" s="7">
        <v>280200301</v>
      </c>
      <c r="C18" s="7">
        <v>328521567</v>
      </c>
      <c r="D18" s="7">
        <v>387689042.0596</v>
      </c>
      <c r="E18" s="7">
        <v>512434766</v>
      </c>
      <c r="F18" s="7">
        <v>543404837</v>
      </c>
      <c r="G18" s="7">
        <v>2052250513.0595999</v>
      </c>
    </row>
    <row r="19" spans="1:7" x14ac:dyDescent="0.35">
      <c r="A19" s="6" t="s">
        <v>697</v>
      </c>
      <c r="B19" s="7">
        <v>25019075.450582255</v>
      </c>
      <c r="C19" s="7">
        <v>22488176.373080455</v>
      </c>
      <c r="D19" s="7">
        <v>18823024</v>
      </c>
      <c r="E19" s="7">
        <v>14528340.323626233</v>
      </c>
      <c r="F19" s="7">
        <v>71327465.011000007</v>
      </c>
      <c r="G19" s="7">
        <v>152186081.15828896</v>
      </c>
    </row>
    <row r="20" spans="1:7" x14ac:dyDescent="0.35">
      <c r="A20" s="6" t="s">
        <v>700</v>
      </c>
      <c r="B20" s="7">
        <v>1935661</v>
      </c>
      <c r="C20" s="7">
        <v>2370039</v>
      </c>
      <c r="D20" s="7">
        <v>2809546</v>
      </c>
      <c r="E20" s="7">
        <v>3618766</v>
      </c>
      <c r="F20" s="7">
        <v>5314146</v>
      </c>
      <c r="G20" s="7">
        <v>16048158</v>
      </c>
    </row>
    <row r="21" spans="1:7" x14ac:dyDescent="0.35">
      <c r="A21" s="6" t="s">
        <v>114</v>
      </c>
      <c r="B21" s="7">
        <v>41892</v>
      </c>
      <c r="C21" s="7">
        <v>858182</v>
      </c>
      <c r="D21" s="7">
        <v>1970149.7250000001</v>
      </c>
      <c r="E21" s="7">
        <v>2603972.531</v>
      </c>
      <c r="F21" s="7">
        <v>6223886.8890000004</v>
      </c>
      <c r="G21" s="7">
        <v>11698083.145</v>
      </c>
    </row>
    <row r="22" spans="1:7" x14ac:dyDescent="0.35">
      <c r="A22" s="6" t="s">
        <v>70</v>
      </c>
      <c r="B22" s="7">
        <v>63438403</v>
      </c>
      <c r="C22" s="7">
        <v>58448385</v>
      </c>
      <c r="D22" s="7">
        <v>50167844</v>
      </c>
      <c r="E22" s="7">
        <v>62003823.299999997</v>
      </c>
      <c r="F22" s="7">
        <v>86969610</v>
      </c>
      <c r="G22" s="7">
        <v>321028065.30000001</v>
      </c>
    </row>
    <row r="23" spans="1:7" x14ac:dyDescent="0.35">
      <c r="A23" s="6" t="s">
        <v>1594</v>
      </c>
      <c r="B23" s="7"/>
      <c r="C23" s="7"/>
      <c r="D23" s="7">
        <v>89376</v>
      </c>
      <c r="E23" s="7">
        <v>204879</v>
      </c>
      <c r="F23" s="7">
        <v>2225609</v>
      </c>
      <c r="G23" s="7">
        <v>2519864</v>
      </c>
    </row>
    <row r="24" spans="1:7" x14ac:dyDescent="0.35">
      <c r="A24" s="6" t="s">
        <v>1595</v>
      </c>
      <c r="B24" s="7"/>
      <c r="C24" s="7"/>
      <c r="D24" s="7"/>
      <c r="E24" s="7">
        <v>574274.10800000001</v>
      </c>
      <c r="F24" s="7">
        <v>576403.81799999997</v>
      </c>
      <c r="G24" s="7">
        <v>1150677.926</v>
      </c>
    </row>
    <row r="25" spans="1:7" x14ac:dyDescent="0.35">
      <c r="A25" s="6" t="s">
        <v>654</v>
      </c>
      <c r="B25" s="7">
        <v>1073428816.7979021</v>
      </c>
      <c r="C25" s="7">
        <v>1036023380.5576121</v>
      </c>
      <c r="D25" s="7">
        <v>1076632280.3276513</v>
      </c>
      <c r="E25" s="7">
        <v>1425617286.2675862</v>
      </c>
      <c r="F25" s="7">
        <v>1831453300.6141021</v>
      </c>
      <c r="G25" s="7">
        <v>6443155064.5648546</v>
      </c>
    </row>
    <row r="27" spans="1:7" x14ac:dyDescent="0.35">
      <c r="A27" s="5" t="s">
        <v>1590</v>
      </c>
      <c r="B27" s="5" t="s">
        <v>1589</v>
      </c>
      <c r="C27"/>
      <c r="D27"/>
      <c r="E27"/>
      <c r="F27"/>
      <c r="G27"/>
    </row>
    <row r="28" spans="1:7" x14ac:dyDescent="0.35">
      <c r="A28" s="5" t="s">
        <v>653</v>
      </c>
      <c r="B28" s="177">
        <v>2018</v>
      </c>
      <c r="C28" s="177">
        <v>2019</v>
      </c>
      <c r="D28" s="177">
        <v>2020</v>
      </c>
      <c r="E28" s="177">
        <v>2021</v>
      </c>
      <c r="F28" s="177">
        <v>2022</v>
      </c>
      <c r="G28" s="177" t="s">
        <v>654</v>
      </c>
    </row>
    <row r="29" spans="1:7" x14ac:dyDescent="0.35">
      <c r="A29" s="6" t="s">
        <v>687</v>
      </c>
      <c r="B29" s="7">
        <v>1295067</v>
      </c>
      <c r="C29" s="7">
        <v>1421732</v>
      </c>
      <c r="D29" s="7">
        <v>1318977</v>
      </c>
      <c r="E29" s="7">
        <v>1894065.574</v>
      </c>
      <c r="F29" s="7">
        <v>1710855</v>
      </c>
      <c r="G29" s="7">
        <v>7640696.574</v>
      </c>
    </row>
    <row r="30" spans="1:7" x14ac:dyDescent="0.35">
      <c r="A30" s="6" t="s">
        <v>48</v>
      </c>
      <c r="B30" s="7">
        <v>13046194</v>
      </c>
      <c r="C30" s="7">
        <v>11816349</v>
      </c>
      <c r="D30" s="7">
        <v>11998532.460000001</v>
      </c>
      <c r="E30" s="7">
        <v>9994683.4199999999</v>
      </c>
      <c r="F30" s="7">
        <v>10322170</v>
      </c>
      <c r="G30" s="7">
        <v>57177928.880000003</v>
      </c>
    </row>
    <row r="31" spans="1:7" x14ac:dyDescent="0.35">
      <c r="A31" s="6" t="s">
        <v>688</v>
      </c>
      <c r="B31" s="7">
        <v>411261</v>
      </c>
      <c r="C31" s="7">
        <v>390402</v>
      </c>
      <c r="D31" s="7">
        <v>453059</v>
      </c>
      <c r="E31" s="7">
        <v>918639.61</v>
      </c>
      <c r="F31" s="7">
        <v>727038</v>
      </c>
      <c r="G31" s="7">
        <v>2900399.61</v>
      </c>
    </row>
    <row r="32" spans="1:7" x14ac:dyDescent="0.35">
      <c r="A32" s="6" t="s">
        <v>689</v>
      </c>
      <c r="B32" s="7">
        <v>3895866</v>
      </c>
      <c r="C32" s="7">
        <v>3550313</v>
      </c>
      <c r="D32" s="7">
        <v>4051447.59</v>
      </c>
      <c r="E32" s="7">
        <v>4315183.42</v>
      </c>
      <c r="F32" s="7">
        <v>4370102</v>
      </c>
      <c r="G32" s="7">
        <v>20182912.009999998</v>
      </c>
    </row>
    <row r="33" spans="1:7" x14ac:dyDescent="0.35">
      <c r="A33" s="6" t="s">
        <v>6</v>
      </c>
      <c r="B33" s="7">
        <v>53312912</v>
      </c>
      <c r="C33" s="7">
        <v>52823568</v>
      </c>
      <c r="D33" s="7">
        <v>47554112</v>
      </c>
      <c r="E33" s="7">
        <v>49694156</v>
      </c>
      <c r="F33" s="7">
        <v>56393616</v>
      </c>
      <c r="G33" s="7">
        <v>259778364</v>
      </c>
    </row>
    <row r="34" spans="1:7" x14ac:dyDescent="0.35">
      <c r="A34" s="6" t="s">
        <v>654</v>
      </c>
      <c r="B34" s="7">
        <v>71961300</v>
      </c>
      <c r="C34" s="7">
        <v>70002364</v>
      </c>
      <c r="D34" s="7">
        <v>65376128.049999997</v>
      </c>
      <c r="E34" s="7">
        <v>66816728.023999996</v>
      </c>
      <c r="F34" s="7">
        <v>73523781</v>
      </c>
      <c r="G34" s="7">
        <v>347680301.074</v>
      </c>
    </row>
    <row r="35" spans="1:7" x14ac:dyDescent="0.35">
      <c r="B35"/>
      <c r="C35"/>
      <c r="D35"/>
      <c r="E35"/>
      <c r="F35"/>
      <c r="G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426"/>
  <sheetViews>
    <sheetView workbookViewId="0">
      <pane ySplit="1" topLeftCell="A2" activePane="bottomLeft" state="frozen"/>
      <selection activeCell="D1" sqref="D1"/>
      <selection pane="bottomLeft" activeCell="B19" sqref="B19"/>
    </sheetView>
  </sheetViews>
  <sheetFormatPr baseColWidth="10" defaultColWidth="11.54296875" defaultRowHeight="14.5" x14ac:dyDescent="0.35"/>
  <cols>
    <col min="1" max="1" width="67.6328125" style="1" customWidth="1"/>
    <col min="2" max="2" width="28.6328125" style="1" customWidth="1"/>
    <col min="3" max="4" width="20.54296875" style="1" bestFit="1" customWidth="1"/>
    <col min="5" max="5" width="17" style="72" bestFit="1" customWidth="1"/>
    <col min="6" max="6" width="24.81640625" style="72" customWidth="1"/>
    <col min="7" max="7" width="44.6328125" style="72" bestFit="1" customWidth="1"/>
    <col min="8" max="8" width="38.90625" style="72" bestFit="1" customWidth="1"/>
    <col min="9" max="9" width="18.90625" style="72" bestFit="1" customWidth="1"/>
    <col min="10" max="10" width="20.54296875" style="72" bestFit="1" customWidth="1"/>
    <col min="11" max="11" width="20.81640625" style="72" bestFit="1" customWidth="1"/>
    <col min="12" max="12" width="14.453125" style="1" bestFit="1" customWidth="1"/>
    <col min="13" max="13" width="19.54296875" style="1" bestFit="1" customWidth="1"/>
    <col min="14" max="14" width="50.36328125" style="1" customWidth="1"/>
    <col min="15" max="20" width="11.54296875" style="1"/>
    <col min="21" max="21" width="29.81640625" style="1" customWidth="1"/>
    <col min="22" max="24" width="11.54296875" style="1"/>
    <col min="25" max="25" width="22.08984375" style="1" bestFit="1" customWidth="1"/>
    <col min="26" max="16384" width="11.54296875" style="1"/>
  </cols>
  <sheetData>
    <row r="1" spans="1:25" ht="29" x14ac:dyDescent="0.35">
      <c r="A1" s="26" t="s">
        <v>1002</v>
      </c>
      <c r="B1" s="26" t="s">
        <v>169</v>
      </c>
      <c r="C1" s="26" t="s">
        <v>984</v>
      </c>
      <c r="D1" s="26" t="s">
        <v>985</v>
      </c>
      <c r="E1" s="112" t="s">
        <v>986</v>
      </c>
      <c r="F1" s="112" t="s">
        <v>987</v>
      </c>
      <c r="G1" s="113" t="s">
        <v>988</v>
      </c>
      <c r="H1" s="112" t="s">
        <v>989</v>
      </c>
      <c r="I1" s="112" t="s">
        <v>962</v>
      </c>
      <c r="J1" s="112" t="s">
        <v>990</v>
      </c>
      <c r="K1" s="112" t="s">
        <v>991</v>
      </c>
      <c r="L1" s="26" t="s">
        <v>722</v>
      </c>
      <c r="M1" s="27" t="s">
        <v>169</v>
      </c>
      <c r="N1" s="26" t="s">
        <v>992</v>
      </c>
      <c r="U1" s="144" t="s">
        <v>652</v>
      </c>
      <c r="V1" s="144" t="s">
        <v>617</v>
      </c>
      <c r="W1" s="144" t="s">
        <v>168</v>
      </c>
      <c r="X1" s="144" t="s">
        <v>167</v>
      </c>
      <c r="Y1" s="144" t="s">
        <v>169</v>
      </c>
    </row>
    <row r="2" spans="1:25" ht="24" customHeight="1" x14ac:dyDescent="0.35">
      <c r="A2" s="50" t="s">
        <v>250</v>
      </c>
      <c r="B2" s="50" t="s">
        <v>4</v>
      </c>
      <c r="C2" s="50" t="s">
        <v>993</v>
      </c>
      <c r="D2" s="50" t="s">
        <v>994</v>
      </c>
      <c r="E2" s="50">
        <v>3</v>
      </c>
      <c r="F2" s="50"/>
      <c r="G2" s="50"/>
      <c r="H2" s="50"/>
      <c r="I2" s="50">
        <v>3</v>
      </c>
      <c r="J2" s="50">
        <v>3</v>
      </c>
      <c r="K2" s="50"/>
      <c r="L2" s="36">
        <v>2018</v>
      </c>
      <c r="M2" s="50" t="s">
        <v>255</v>
      </c>
      <c r="N2" s="50" t="s">
        <v>6</v>
      </c>
      <c r="U2" s="49" t="s">
        <v>250</v>
      </c>
      <c r="V2" s="49" t="s">
        <v>250</v>
      </c>
      <c r="W2" s="73" t="s">
        <v>3</v>
      </c>
      <c r="X2" s="73" t="s">
        <v>2</v>
      </c>
      <c r="Y2" s="73" t="s">
        <v>4</v>
      </c>
    </row>
    <row r="3" spans="1:25" ht="24" customHeight="1" x14ac:dyDescent="0.35">
      <c r="A3" s="50" t="s">
        <v>250</v>
      </c>
      <c r="B3" s="50" t="s">
        <v>4</v>
      </c>
      <c r="C3" s="50" t="s">
        <v>993</v>
      </c>
      <c r="D3" s="50" t="s">
        <v>995</v>
      </c>
      <c r="E3" s="50">
        <v>173177</v>
      </c>
      <c r="F3" s="50"/>
      <c r="G3" s="50"/>
      <c r="H3" s="50"/>
      <c r="I3" s="50">
        <v>173177</v>
      </c>
      <c r="J3" s="50"/>
      <c r="K3" s="50"/>
      <c r="L3" s="36">
        <v>2018</v>
      </c>
      <c r="M3" s="50" t="s">
        <v>255</v>
      </c>
      <c r="N3" s="50" t="s">
        <v>6</v>
      </c>
      <c r="U3" s="135" t="s">
        <v>250</v>
      </c>
      <c r="V3" s="135" t="s">
        <v>250</v>
      </c>
      <c r="W3" s="145" t="s">
        <v>9</v>
      </c>
      <c r="X3" s="145" t="s">
        <v>8</v>
      </c>
      <c r="Y3" s="145" t="s">
        <v>4</v>
      </c>
    </row>
    <row r="4" spans="1:25" ht="24" customHeight="1" x14ac:dyDescent="0.35">
      <c r="A4" s="50" t="s">
        <v>250</v>
      </c>
      <c r="B4" s="50" t="s">
        <v>4</v>
      </c>
      <c r="C4" s="50" t="s">
        <v>996</v>
      </c>
      <c r="D4" s="50" t="s">
        <v>997</v>
      </c>
      <c r="E4" s="50">
        <v>2</v>
      </c>
      <c r="F4" s="50"/>
      <c r="G4" s="50">
        <v>1</v>
      </c>
      <c r="H4" s="50"/>
      <c r="I4" s="50">
        <v>3</v>
      </c>
      <c r="J4" s="50">
        <v>3</v>
      </c>
      <c r="K4" s="50"/>
      <c r="L4" s="36">
        <v>2018</v>
      </c>
      <c r="M4" s="50" t="s">
        <v>255</v>
      </c>
      <c r="N4" s="50" t="s">
        <v>6</v>
      </c>
      <c r="U4" s="145" t="s">
        <v>14</v>
      </c>
      <c r="V4" s="135" t="s">
        <v>14</v>
      </c>
      <c r="W4" s="145" t="s">
        <v>16</v>
      </c>
      <c r="X4" s="145" t="s">
        <v>15</v>
      </c>
      <c r="Y4" s="145" t="s">
        <v>4</v>
      </c>
    </row>
    <row r="5" spans="1:25" ht="24" customHeight="1" x14ac:dyDescent="0.35">
      <c r="A5" s="50" t="s">
        <v>250</v>
      </c>
      <c r="B5" s="50" t="s">
        <v>4</v>
      </c>
      <c r="C5" s="50" t="s">
        <v>996</v>
      </c>
      <c r="D5" s="50" t="s">
        <v>994</v>
      </c>
      <c r="E5" s="50">
        <v>7</v>
      </c>
      <c r="F5" s="50"/>
      <c r="G5" s="50">
        <v>2</v>
      </c>
      <c r="H5" s="50">
        <v>5</v>
      </c>
      <c r="I5" s="50">
        <v>14</v>
      </c>
      <c r="J5" s="50">
        <v>14</v>
      </c>
      <c r="K5" s="50"/>
      <c r="L5" s="36">
        <v>2018</v>
      </c>
      <c r="M5" s="50" t="s">
        <v>255</v>
      </c>
      <c r="N5" s="50" t="s">
        <v>6</v>
      </c>
      <c r="U5" s="145" t="s">
        <v>14</v>
      </c>
      <c r="V5" s="135" t="s">
        <v>14</v>
      </c>
      <c r="W5" s="145" t="s">
        <v>22</v>
      </c>
      <c r="X5" s="145" t="s">
        <v>21</v>
      </c>
      <c r="Y5" s="145" t="s">
        <v>4</v>
      </c>
    </row>
    <row r="6" spans="1:25" ht="24" customHeight="1" x14ac:dyDescent="0.35">
      <c r="A6" s="50" t="s">
        <v>250</v>
      </c>
      <c r="B6" s="50" t="s">
        <v>4</v>
      </c>
      <c r="C6" s="50" t="s">
        <v>996</v>
      </c>
      <c r="D6" s="50" t="s">
        <v>995</v>
      </c>
      <c r="E6" s="50">
        <v>141102</v>
      </c>
      <c r="F6" s="50"/>
      <c r="G6" s="50">
        <v>13657</v>
      </c>
      <c r="H6" s="50">
        <v>16928</v>
      </c>
      <c r="I6" s="50">
        <v>171687</v>
      </c>
      <c r="J6" s="50"/>
      <c r="K6" s="50"/>
      <c r="L6" s="36">
        <v>2018</v>
      </c>
      <c r="M6" s="50" t="s">
        <v>255</v>
      </c>
      <c r="N6" s="50" t="s">
        <v>6</v>
      </c>
      <c r="U6" s="146" t="s">
        <v>445</v>
      </c>
      <c r="V6" s="135" t="s">
        <v>445</v>
      </c>
      <c r="W6" s="145" t="s">
        <v>26</v>
      </c>
      <c r="X6" s="145" t="s">
        <v>25</v>
      </c>
      <c r="Y6" s="145" t="s">
        <v>4</v>
      </c>
    </row>
    <row r="7" spans="1:25" ht="24" customHeight="1" x14ac:dyDescent="0.35">
      <c r="A7" s="50" t="s">
        <v>434</v>
      </c>
      <c r="B7" s="50" t="s">
        <v>87</v>
      </c>
      <c r="C7" s="50" t="s">
        <v>996</v>
      </c>
      <c r="D7" s="50" t="s">
        <v>997</v>
      </c>
      <c r="E7" s="50"/>
      <c r="F7" s="50"/>
      <c r="G7" s="50"/>
      <c r="H7" s="50"/>
      <c r="I7" s="50">
        <v>0</v>
      </c>
      <c r="J7" s="50"/>
      <c r="K7" s="50"/>
      <c r="L7" s="36">
        <v>2018</v>
      </c>
      <c r="M7" s="50" t="s">
        <v>262</v>
      </c>
      <c r="N7" s="50" t="s">
        <v>18</v>
      </c>
      <c r="U7" s="145" t="s">
        <v>30</v>
      </c>
      <c r="V7" s="135" t="s">
        <v>30</v>
      </c>
      <c r="W7" s="145" t="s">
        <v>32</v>
      </c>
      <c r="X7" s="145" t="s">
        <v>31</v>
      </c>
      <c r="Y7" s="145" t="s">
        <v>4</v>
      </c>
    </row>
    <row r="8" spans="1:25" ht="24" customHeight="1" x14ac:dyDescent="0.35">
      <c r="A8" s="50" t="s">
        <v>434</v>
      </c>
      <c r="B8" s="50" t="s">
        <v>87</v>
      </c>
      <c r="C8" s="50" t="s">
        <v>996</v>
      </c>
      <c r="D8" s="50" t="s">
        <v>994</v>
      </c>
      <c r="E8" s="50">
        <v>1</v>
      </c>
      <c r="F8" s="50">
        <v>8</v>
      </c>
      <c r="G8" s="50">
        <v>12</v>
      </c>
      <c r="H8" s="50">
        <v>51</v>
      </c>
      <c r="I8" s="50">
        <v>72</v>
      </c>
      <c r="J8" s="50">
        <v>72</v>
      </c>
      <c r="K8" s="50"/>
      <c r="L8" s="36">
        <v>2018</v>
      </c>
      <c r="M8" s="50" t="s">
        <v>262</v>
      </c>
      <c r="N8" s="50" t="s">
        <v>18</v>
      </c>
      <c r="U8" s="145" t="s">
        <v>30</v>
      </c>
      <c r="V8" s="135" t="s">
        <v>30</v>
      </c>
      <c r="W8" s="145" t="s">
        <v>35</v>
      </c>
      <c r="X8" s="145" t="s">
        <v>34</v>
      </c>
      <c r="Y8" s="145" t="s">
        <v>4</v>
      </c>
    </row>
    <row r="9" spans="1:25" ht="24" customHeight="1" x14ac:dyDescent="0.35">
      <c r="A9" s="50" t="s">
        <v>434</v>
      </c>
      <c r="B9" s="50" t="s">
        <v>87</v>
      </c>
      <c r="C9" s="50" t="s">
        <v>996</v>
      </c>
      <c r="D9" s="50" t="s">
        <v>995</v>
      </c>
      <c r="E9" s="50">
        <v>12000</v>
      </c>
      <c r="F9" s="50">
        <v>94000</v>
      </c>
      <c r="G9" s="50">
        <v>63767</v>
      </c>
      <c r="H9" s="50">
        <v>40000</v>
      </c>
      <c r="I9" s="50">
        <v>209767</v>
      </c>
      <c r="J9" s="50">
        <v>209767</v>
      </c>
      <c r="K9" s="50"/>
      <c r="L9" s="36">
        <v>2018</v>
      </c>
      <c r="M9" s="50" t="s">
        <v>262</v>
      </c>
      <c r="N9" s="50" t="s">
        <v>18</v>
      </c>
      <c r="U9" s="145" t="s">
        <v>38</v>
      </c>
      <c r="V9" s="135" t="s">
        <v>285</v>
      </c>
      <c r="W9" s="145" t="s">
        <v>40</v>
      </c>
      <c r="X9" s="145" t="s">
        <v>39</v>
      </c>
      <c r="Y9" s="145" t="s">
        <v>41</v>
      </c>
    </row>
    <row r="10" spans="1:25" ht="24" customHeight="1" x14ac:dyDescent="0.35">
      <c r="A10" s="103" t="s">
        <v>14</v>
      </c>
      <c r="B10" s="50" t="s">
        <v>4</v>
      </c>
      <c r="C10" s="50" t="s">
        <v>993</v>
      </c>
      <c r="D10" s="50" t="s">
        <v>994</v>
      </c>
      <c r="E10" s="50">
        <v>2</v>
      </c>
      <c r="F10" s="50">
        <v>2</v>
      </c>
      <c r="G10" s="50">
        <v>1</v>
      </c>
      <c r="H10" s="50">
        <v>5</v>
      </c>
      <c r="I10" s="50">
        <v>10</v>
      </c>
      <c r="J10" s="50"/>
      <c r="K10" s="50"/>
      <c r="L10" s="36">
        <v>2018</v>
      </c>
      <c r="M10" s="50" t="s">
        <v>255</v>
      </c>
      <c r="N10" s="50" t="s">
        <v>18</v>
      </c>
      <c r="U10" s="145" t="s">
        <v>43</v>
      </c>
      <c r="V10" s="135" t="s">
        <v>470</v>
      </c>
      <c r="W10" s="145" t="s">
        <v>45</v>
      </c>
      <c r="X10" s="145" t="s">
        <v>44</v>
      </c>
      <c r="Y10" s="145" t="s">
        <v>46</v>
      </c>
    </row>
    <row r="11" spans="1:25" ht="24" customHeight="1" x14ac:dyDescent="0.35">
      <c r="A11" s="103" t="s">
        <v>14</v>
      </c>
      <c r="B11" s="50" t="s">
        <v>4</v>
      </c>
      <c r="C11" s="50" t="s">
        <v>993</v>
      </c>
      <c r="D11" s="50" t="s">
        <v>995</v>
      </c>
      <c r="E11" s="50">
        <v>315414</v>
      </c>
      <c r="F11" s="50">
        <v>101163</v>
      </c>
      <c r="G11" s="50">
        <v>5696</v>
      </c>
      <c r="H11" s="50">
        <v>422274</v>
      </c>
      <c r="I11" s="50">
        <v>844547</v>
      </c>
      <c r="J11" s="50"/>
      <c r="K11" s="50"/>
      <c r="L11" s="36">
        <v>2018</v>
      </c>
      <c r="M11" s="50" t="s">
        <v>255</v>
      </c>
      <c r="N11" s="50" t="s">
        <v>18</v>
      </c>
      <c r="U11" s="145" t="s">
        <v>43</v>
      </c>
      <c r="V11" s="135" t="s">
        <v>470</v>
      </c>
      <c r="W11" s="145" t="s">
        <v>50</v>
      </c>
      <c r="X11" s="145" t="s">
        <v>49</v>
      </c>
      <c r="Y11" s="145" t="s">
        <v>46</v>
      </c>
    </row>
    <row r="12" spans="1:25" ht="24" customHeight="1" x14ac:dyDescent="0.35">
      <c r="A12" s="103" t="s">
        <v>14</v>
      </c>
      <c r="B12" s="50" t="s">
        <v>4</v>
      </c>
      <c r="C12" s="50" t="s">
        <v>996</v>
      </c>
      <c r="D12" s="50" t="s">
        <v>997</v>
      </c>
      <c r="E12" s="50"/>
      <c r="F12" s="50">
        <v>4</v>
      </c>
      <c r="G12" s="50">
        <v>4</v>
      </c>
      <c r="H12" s="50">
        <v>8</v>
      </c>
      <c r="I12" s="50">
        <v>16</v>
      </c>
      <c r="J12" s="50">
        <v>3</v>
      </c>
      <c r="K12" s="50"/>
      <c r="L12" s="36">
        <v>2018</v>
      </c>
      <c r="M12" s="50" t="s">
        <v>255</v>
      </c>
      <c r="N12" s="50" t="s">
        <v>18</v>
      </c>
      <c r="U12" s="145" t="s">
        <v>51</v>
      </c>
      <c r="V12" s="135" t="s">
        <v>51</v>
      </c>
      <c r="W12" s="145" t="s">
        <v>53</v>
      </c>
      <c r="X12" s="145" t="s">
        <v>52</v>
      </c>
      <c r="Y12" s="145" t="s">
        <v>41</v>
      </c>
    </row>
    <row r="13" spans="1:25" ht="24" customHeight="1" x14ac:dyDescent="0.35">
      <c r="A13" s="103" t="s">
        <v>14</v>
      </c>
      <c r="B13" s="50" t="s">
        <v>4</v>
      </c>
      <c r="C13" s="50" t="s">
        <v>996</v>
      </c>
      <c r="D13" s="50" t="s">
        <v>994</v>
      </c>
      <c r="E13" s="50">
        <v>2</v>
      </c>
      <c r="F13" s="50">
        <v>8</v>
      </c>
      <c r="G13" s="50">
        <v>17</v>
      </c>
      <c r="H13" s="50">
        <v>68</v>
      </c>
      <c r="I13" s="50">
        <v>95</v>
      </c>
      <c r="J13" s="50">
        <v>46</v>
      </c>
      <c r="K13" s="50">
        <v>50</v>
      </c>
      <c r="L13" s="36">
        <v>2018</v>
      </c>
      <c r="M13" s="50" t="s">
        <v>255</v>
      </c>
      <c r="N13" s="50" t="s">
        <v>18</v>
      </c>
      <c r="U13" s="145" t="s">
        <v>54</v>
      </c>
      <c r="V13" s="135" t="s">
        <v>54</v>
      </c>
      <c r="W13" s="145" t="s">
        <v>56</v>
      </c>
      <c r="X13" s="145" t="s">
        <v>55</v>
      </c>
      <c r="Y13" s="145" t="s">
        <v>57</v>
      </c>
    </row>
    <row r="14" spans="1:25" ht="24" customHeight="1" x14ac:dyDescent="0.35">
      <c r="A14" s="103" t="s">
        <v>14</v>
      </c>
      <c r="B14" s="50" t="s">
        <v>4</v>
      </c>
      <c r="C14" s="50" t="s">
        <v>996</v>
      </c>
      <c r="D14" s="50" t="s">
        <v>995</v>
      </c>
      <c r="E14" s="50">
        <v>157456</v>
      </c>
      <c r="F14" s="50">
        <v>192404</v>
      </c>
      <c r="G14" s="50">
        <v>71317</v>
      </c>
      <c r="H14" s="50">
        <v>105400</v>
      </c>
      <c r="I14" s="50">
        <v>526577</v>
      </c>
      <c r="J14" s="50">
        <v>463846</v>
      </c>
      <c r="K14" s="50">
        <v>62732</v>
      </c>
      <c r="L14" s="36">
        <v>2018</v>
      </c>
      <c r="M14" s="50" t="s">
        <v>255</v>
      </c>
      <c r="N14" s="50" t="s">
        <v>18</v>
      </c>
      <c r="U14" s="145" t="s">
        <v>62</v>
      </c>
      <c r="V14" s="135" t="s">
        <v>62</v>
      </c>
      <c r="W14" s="145" t="s">
        <v>63</v>
      </c>
      <c r="X14" s="145" t="s">
        <v>62</v>
      </c>
      <c r="Y14" s="145" t="s">
        <v>46</v>
      </c>
    </row>
    <row r="15" spans="1:25" ht="24" customHeight="1" x14ac:dyDescent="0.35">
      <c r="A15" s="50" t="s">
        <v>445</v>
      </c>
      <c r="B15" s="50" t="s">
        <v>4</v>
      </c>
      <c r="C15" s="50" t="s">
        <v>993</v>
      </c>
      <c r="D15" s="50" t="s">
        <v>997</v>
      </c>
      <c r="E15" s="50">
        <v>1</v>
      </c>
      <c r="F15" s="50"/>
      <c r="G15" s="50"/>
      <c r="H15" s="50"/>
      <c r="I15" s="50">
        <v>1</v>
      </c>
      <c r="J15" s="50"/>
      <c r="K15" s="50"/>
      <c r="L15" s="36">
        <v>2018</v>
      </c>
      <c r="M15" s="50" t="s">
        <v>255</v>
      </c>
      <c r="N15" s="50" t="s">
        <v>6</v>
      </c>
      <c r="U15" s="145" t="s">
        <v>67</v>
      </c>
      <c r="V15" s="135" t="s">
        <v>67</v>
      </c>
      <c r="W15" s="145" t="s">
        <v>69</v>
      </c>
      <c r="X15" s="145" t="s">
        <v>68</v>
      </c>
      <c r="Y15" s="145" t="s">
        <v>41</v>
      </c>
    </row>
    <row r="16" spans="1:25" ht="24" customHeight="1" x14ac:dyDescent="0.35">
      <c r="A16" s="50" t="s">
        <v>445</v>
      </c>
      <c r="B16" s="50" t="s">
        <v>4</v>
      </c>
      <c r="C16" s="50" t="s">
        <v>993</v>
      </c>
      <c r="D16" s="50" t="s">
        <v>994</v>
      </c>
      <c r="E16" s="50">
        <v>1</v>
      </c>
      <c r="F16" s="50"/>
      <c r="G16" s="50"/>
      <c r="H16" s="50"/>
      <c r="I16" s="50">
        <v>1</v>
      </c>
      <c r="J16" s="50"/>
      <c r="K16" s="50"/>
      <c r="L16" s="36">
        <v>2018</v>
      </c>
      <c r="M16" s="50" t="s">
        <v>255</v>
      </c>
      <c r="N16" s="50" t="s">
        <v>6</v>
      </c>
      <c r="U16" s="145" t="s">
        <v>73</v>
      </c>
      <c r="V16" s="135" t="s">
        <v>73</v>
      </c>
      <c r="W16" s="145">
        <v>4068</v>
      </c>
      <c r="X16" s="145" t="s">
        <v>74</v>
      </c>
      <c r="Y16" s="145" t="s">
        <v>46</v>
      </c>
    </row>
    <row r="17" spans="1:25" ht="24" customHeight="1" x14ac:dyDescent="0.35">
      <c r="A17" s="50" t="s">
        <v>445</v>
      </c>
      <c r="B17" s="50" t="s">
        <v>4</v>
      </c>
      <c r="C17" s="50" t="s">
        <v>993</v>
      </c>
      <c r="D17" s="50" t="s">
        <v>995</v>
      </c>
      <c r="E17" s="50">
        <v>3000</v>
      </c>
      <c r="F17" s="50"/>
      <c r="G17" s="50"/>
      <c r="H17" s="50"/>
      <c r="I17" s="50">
        <v>3000</v>
      </c>
      <c r="J17" s="50"/>
      <c r="K17" s="50"/>
      <c r="L17" s="36">
        <v>2018</v>
      </c>
      <c r="M17" s="50" t="s">
        <v>255</v>
      </c>
      <c r="N17" s="50" t="s">
        <v>6</v>
      </c>
      <c r="U17" s="145" t="s">
        <v>75</v>
      </c>
      <c r="V17" s="135" t="s">
        <v>75</v>
      </c>
      <c r="W17" s="145">
        <v>991020</v>
      </c>
      <c r="X17" s="145" t="s">
        <v>76</v>
      </c>
      <c r="Y17" s="145" t="s">
        <v>41</v>
      </c>
    </row>
    <row r="18" spans="1:25" ht="24" customHeight="1" x14ac:dyDescent="0.35">
      <c r="A18" s="50" t="s">
        <v>445</v>
      </c>
      <c r="B18" s="50" t="s">
        <v>4</v>
      </c>
      <c r="C18" s="50" t="s">
        <v>996</v>
      </c>
      <c r="D18" s="50" t="s">
        <v>997</v>
      </c>
      <c r="E18" s="50">
        <v>2</v>
      </c>
      <c r="F18" s="50"/>
      <c r="G18" s="50">
        <v>2</v>
      </c>
      <c r="H18" s="50"/>
      <c r="I18" s="50">
        <v>4</v>
      </c>
      <c r="J18" s="50">
        <v>4</v>
      </c>
      <c r="K18" s="50"/>
      <c r="L18" s="36">
        <v>2018</v>
      </c>
      <c r="M18" s="50" t="s">
        <v>255</v>
      </c>
      <c r="N18" s="50" t="s">
        <v>6</v>
      </c>
      <c r="U18" s="145" t="s">
        <v>79</v>
      </c>
      <c r="V18" s="135" t="s">
        <v>79</v>
      </c>
      <c r="W18" s="145" t="s">
        <v>81</v>
      </c>
      <c r="X18" s="145" t="s">
        <v>80</v>
      </c>
      <c r="Y18" s="145" t="s">
        <v>41</v>
      </c>
    </row>
    <row r="19" spans="1:25" ht="24" customHeight="1" x14ac:dyDescent="0.35">
      <c r="A19" s="50" t="s">
        <v>445</v>
      </c>
      <c r="B19" s="50" t="s">
        <v>4</v>
      </c>
      <c r="C19" s="50" t="s">
        <v>996</v>
      </c>
      <c r="D19" s="50" t="s">
        <v>994</v>
      </c>
      <c r="E19" s="50">
        <v>6</v>
      </c>
      <c r="F19" s="50"/>
      <c r="G19" s="50">
        <v>2</v>
      </c>
      <c r="H19" s="50">
        <v>8</v>
      </c>
      <c r="I19" s="50">
        <v>16</v>
      </c>
      <c r="J19" s="50">
        <v>8</v>
      </c>
      <c r="K19" s="50">
        <v>8</v>
      </c>
      <c r="L19" s="36">
        <v>2018</v>
      </c>
      <c r="M19" s="50" t="s">
        <v>255</v>
      </c>
      <c r="N19" s="50" t="s">
        <v>6</v>
      </c>
      <c r="U19" s="145" t="s">
        <v>84</v>
      </c>
      <c r="V19" s="135" t="s">
        <v>84</v>
      </c>
      <c r="W19" s="145" t="s">
        <v>86</v>
      </c>
      <c r="X19" s="145" t="s">
        <v>85</v>
      </c>
      <c r="Y19" s="145" t="s">
        <v>87</v>
      </c>
    </row>
    <row r="20" spans="1:25" ht="24" customHeight="1" x14ac:dyDescent="0.35">
      <c r="A20" s="50" t="s">
        <v>445</v>
      </c>
      <c r="B20" s="50" t="s">
        <v>4</v>
      </c>
      <c r="C20" s="50" t="s">
        <v>996</v>
      </c>
      <c r="D20" s="50" t="s">
        <v>995</v>
      </c>
      <c r="E20" s="50">
        <v>41265</v>
      </c>
      <c r="F20" s="50"/>
      <c r="G20" s="50"/>
      <c r="H20" s="50"/>
      <c r="I20" s="50">
        <v>41265</v>
      </c>
      <c r="J20" s="50"/>
      <c r="K20" s="50"/>
      <c r="L20" s="36">
        <v>2018</v>
      </c>
      <c r="M20" s="50" t="s">
        <v>255</v>
      </c>
      <c r="N20" s="50" t="s">
        <v>6</v>
      </c>
      <c r="U20" s="145" t="s">
        <v>89</v>
      </c>
      <c r="V20" s="135" t="s">
        <v>373</v>
      </c>
      <c r="W20" s="145" t="s">
        <v>91</v>
      </c>
      <c r="X20" s="145" t="s">
        <v>90</v>
      </c>
      <c r="Y20" s="145" t="s">
        <v>41</v>
      </c>
    </row>
    <row r="21" spans="1:25" ht="24" customHeight="1" x14ac:dyDescent="0.35">
      <c r="A21" s="103" t="s">
        <v>30</v>
      </c>
      <c r="B21" s="50" t="s">
        <v>4</v>
      </c>
      <c r="C21" s="50" t="s">
        <v>996</v>
      </c>
      <c r="D21" s="50" t="s">
        <v>997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36">
        <v>2018</v>
      </c>
      <c r="M21" s="50" t="s">
        <v>255</v>
      </c>
      <c r="N21" s="50" t="s">
        <v>18</v>
      </c>
      <c r="U21" s="145" t="s">
        <v>93</v>
      </c>
      <c r="V21" s="135" t="s">
        <v>93</v>
      </c>
      <c r="W21" s="145" t="s">
        <v>95</v>
      </c>
      <c r="X21" s="145" t="s">
        <v>94</v>
      </c>
      <c r="Y21" s="145" t="s">
        <v>41</v>
      </c>
    </row>
    <row r="22" spans="1:25" ht="24" customHeight="1" x14ac:dyDescent="0.35">
      <c r="A22" s="103" t="s">
        <v>30</v>
      </c>
      <c r="B22" s="50" t="s">
        <v>4</v>
      </c>
      <c r="C22" s="50" t="s">
        <v>996</v>
      </c>
      <c r="D22" s="50" t="s">
        <v>994</v>
      </c>
      <c r="E22" s="50">
        <v>3</v>
      </c>
      <c r="F22" s="50">
        <v>1</v>
      </c>
      <c r="G22" s="50">
        <v>1</v>
      </c>
      <c r="H22" s="50">
        <v>28</v>
      </c>
      <c r="I22" s="50">
        <v>33</v>
      </c>
      <c r="J22" s="50">
        <v>7</v>
      </c>
      <c r="K22" s="50">
        <v>26</v>
      </c>
      <c r="L22" s="36">
        <v>2018</v>
      </c>
      <c r="M22" s="50" t="s">
        <v>255</v>
      </c>
      <c r="N22" s="50" t="s">
        <v>18</v>
      </c>
      <c r="U22" s="145" t="s">
        <v>96</v>
      </c>
      <c r="V22" s="135" t="s">
        <v>96</v>
      </c>
      <c r="W22" s="145" t="s">
        <v>98</v>
      </c>
      <c r="X22" s="145" t="s">
        <v>97</v>
      </c>
      <c r="Y22" s="145" t="s">
        <v>4</v>
      </c>
    </row>
    <row r="23" spans="1:25" ht="24" customHeight="1" x14ac:dyDescent="0.35">
      <c r="A23" s="103" t="s">
        <v>30</v>
      </c>
      <c r="B23" s="50" t="s">
        <v>4</v>
      </c>
      <c r="C23" s="50" t="s">
        <v>996</v>
      </c>
      <c r="D23" s="50" t="s">
        <v>995</v>
      </c>
      <c r="E23" s="50">
        <v>36999.519999999997</v>
      </c>
      <c r="F23" s="50">
        <v>4492.3360000000002</v>
      </c>
      <c r="G23" s="50">
        <v>3403.3119999999999</v>
      </c>
      <c r="H23" s="50">
        <v>25380.781999999999</v>
      </c>
      <c r="I23" s="50">
        <v>70275.95</v>
      </c>
      <c r="J23" s="50">
        <v>50745.167999999998</v>
      </c>
      <c r="K23" s="50">
        <v>19530.781999999999</v>
      </c>
      <c r="L23" s="36">
        <v>2018</v>
      </c>
      <c r="M23" s="50" t="s">
        <v>255</v>
      </c>
      <c r="N23" s="50" t="s">
        <v>18</v>
      </c>
      <c r="U23" s="145" t="s">
        <v>96</v>
      </c>
      <c r="V23" s="135" t="s">
        <v>96</v>
      </c>
      <c r="W23" s="145" t="s">
        <v>100</v>
      </c>
      <c r="X23" s="145" t="s">
        <v>99</v>
      </c>
      <c r="Y23" s="145" t="s">
        <v>4</v>
      </c>
    </row>
    <row r="24" spans="1:25" ht="24" customHeight="1" x14ac:dyDescent="0.35">
      <c r="A24" s="103" t="s">
        <v>30</v>
      </c>
      <c r="B24" s="50" t="s">
        <v>4</v>
      </c>
      <c r="C24" s="50" t="s">
        <v>996</v>
      </c>
      <c r="D24" s="50" t="s">
        <v>997</v>
      </c>
      <c r="E24" s="50">
        <v>4</v>
      </c>
      <c r="F24" s="50">
        <v>3</v>
      </c>
      <c r="G24" s="50">
        <v>0</v>
      </c>
      <c r="H24" s="50">
        <v>10</v>
      </c>
      <c r="I24" s="50">
        <v>17</v>
      </c>
      <c r="J24" s="50">
        <v>7</v>
      </c>
      <c r="K24" s="50">
        <v>10</v>
      </c>
      <c r="L24" s="36">
        <v>2018</v>
      </c>
      <c r="M24" s="50" t="s">
        <v>255</v>
      </c>
      <c r="N24" s="50" t="s">
        <v>18</v>
      </c>
      <c r="U24" s="145" t="s">
        <v>101</v>
      </c>
      <c r="V24" s="135" t="s">
        <v>101</v>
      </c>
      <c r="W24" s="145" t="s">
        <v>103</v>
      </c>
      <c r="X24" s="145" t="s">
        <v>102</v>
      </c>
      <c r="Y24" s="145" t="s">
        <v>41</v>
      </c>
    </row>
    <row r="25" spans="1:25" ht="24" customHeight="1" x14ac:dyDescent="0.35">
      <c r="A25" s="103" t="s">
        <v>30</v>
      </c>
      <c r="B25" s="50" t="s">
        <v>4</v>
      </c>
      <c r="C25" s="50" t="s">
        <v>996</v>
      </c>
      <c r="D25" s="50" t="s">
        <v>994</v>
      </c>
      <c r="E25" s="50">
        <v>25</v>
      </c>
      <c r="F25" s="50">
        <v>19</v>
      </c>
      <c r="G25" s="50">
        <v>18</v>
      </c>
      <c r="H25" s="50">
        <v>363</v>
      </c>
      <c r="I25" s="50">
        <v>425</v>
      </c>
      <c r="J25" s="50">
        <v>63</v>
      </c>
      <c r="K25" s="50">
        <v>362</v>
      </c>
      <c r="L25" s="36">
        <v>2018</v>
      </c>
      <c r="M25" s="50" t="s">
        <v>255</v>
      </c>
      <c r="N25" s="50" t="s">
        <v>18</v>
      </c>
      <c r="U25" s="145" t="s">
        <v>106</v>
      </c>
      <c r="V25" s="135" t="s">
        <v>106</v>
      </c>
      <c r="W25" s="145" t="s">
        <v>108</v>
      </c>
      <c r="X25" s="145" t="s">
        <v>107</v>
      </c>
      <c r="Y25" s="145" t="s">
        <v>57</v>
      </c>
    </row>
    <row r="26" spans="1:25" ht="24" customHeight="1" x14ac:dyDescent="0.35">
      <c r="A26" s="103" t="s">
        <v>30</v>
      </c>
      <c r="B26" s="50" t="s">
        <v>4</v>
      </c>
      <c r="C26" s="50" t="s">
        <v>996</v>
      </c>
      <c r="D26" s="50" t="s">
        <v>995</v>
      </c>
      <c r="E26" s="50">
        <v>481180.45</v>
      </c>
      <c r="F26" s="50">
        <v>152462.03</v>
      </c>
      <c r="G26" s="50">
        <v>71280.951000000001</v>
      </c>
      <c r="H26" s="50">
        <v>712718.21</v>
      </c>
      <c r="I26" s="50">
        <v>1417641.6409999998</v>
      </c>
      <c r="J26" s="50">
        <v>708423.43</v>
      </c>
      <c r="K26" s="50">
        <v>709218.21</v>
      </c>
      <c r="L26" s="36">
        <v>2018</v>
      </c>
      <c r="M26" s="50" t="s">
        <v>255</v>
      </c>
      <c r="N26" s="50" t="s">
        <v>18</v>
      </c>
      <c r="U26" s="145" t="s">
        <v>110</v>
      </c>
      <c r="V26" s="135" t="s">
        <v>572</v>
      </c>
      <c r="W26" s="145">
        <v>9828</v>
      </c>
      <c r="X26" s="145" t="s">
        <v>111</v>
      </c>
      <c r="Y26" s="145" t="s">
        <v>41</v>
      </c>
    </row>
    <row r="27" spans="1:25" ht="24" customHeight="1" x14ac:dyDescent="0.35">
      <c r="A27" s="103" t="s">
        <v>38</v>
      </c>
      <c r="B27" s="50" t="s">
        <v>41</v>
      </c>
      <c r="C27" s="50" t="s">
        <v>996</v>
      </c>
      <c r="D27" s="50" t="s">
        <v>997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36">
        <v>2018</v>
      </c>
      <c r="M27" s="50" t="s">
        <v>41</v>
      </c>
      <c r="N27" s="50" t="s">
        <v>6</v>
      </c>
      <c r="U27" s="145" t="s">
        <v>112</v>
      </c>
      <c r="V27" s="135" t="s">
        <v>567</v>
      </c>
      <c r="W27" s="145">
        <v>10862</v>
      </c>
      <c r="X27" s="145" t="s">
        <v>113</v>
      </c>
      <c r="Y27" s="145" t="s">
        <v>46</v>
      </c>
    </row>
    <row r="28" spans="1:25" ht="24" customHeight="1" x14ac:dyDescent="0.35">
      <c r="A28" s="103" t="s">
        <v>38</v>
      </c>
      <c r="B28" s="50" t="s">
        <v>41</v>
      </c>
      <c r="C28" s="50" t="s">
        <v>996</v>
      </c>
      <c r="D28" s="50" t="s">
        <v>994</v>
      </c>
      <c r="E28" s="50">
        <v>1</v>
      </c>
      <c r="F28" s="50">
        <v>2</v>
      </c>
      <c r="G28" s="50"/>
      <c r="H28" s="50"/>
      <c r="I28" s="50">
        <v>3</v>
      </c>
      <c r="J28" s="50"/>
      <c r="K28" s="50"/>
      <c r="L28" s="36">
        <v>2018</v>
      </c>
      <c r="M28" s="50" t="s">
        <v>41</v>
      </c>
      <c r="N28" s="50" t="s">
        <v>6</v>
      </c>
      <c r="U28" s="145" t="s">
        <v>116</v>
      </c>
      <c r="V28" s="135" t="s">
        <v>116</v>
      </c>
      <c r="W28" s="145">
        <v>266694</v>
      </c>
      <c r="X28" s="145" t="s">
        <v>44</v>
      </c>
      <c r="Y28" s="145" t="s">
        <v>46</v>
      </c>
    </row>
    <row r="29" spans="1:25" ht="24" customHeight="1" x14ac:dyDescent="0.35">
      <c r="A29" s="103" t="s">
        <v>38</v>
      </c>
      <c r="B29" s="50" t="s">
        <v>41</v>
      </c>
      <c r="C29" s="50" t="s">
        <v>996</v>
      </c>
      <c r="D29" s="50" t="s">
        <v>995</v>
      </c>
      <c r="E29" s="50">
        <v>20365.584999999999</v>
      </c>
      <c r="F29" s="50">
        <v>8034.2759999999998</v>
      </c>
      <c r="G29" s="50"/>
      <c r="H29" s="50"/>
      <c r="I29" s="50">
        <v>28399.860999999997</v>
      </c>
      <c r="J29" s="50"/>
      <c r="K29" s="50"/>
      <c r="L29" s="36">
        <v>2018</v>
      </c>
      <c r="M29" s="50" t="s">
        <v>41</v>
      </c>
      <c r="N29" s="50" t="s">
        <v>6</v>
      </c>
      <c r="U29" s="145" t="s">
        <v>118</v>
      </c>
      <c r="V29" s="135" t="s">
        <v>569</v>
      </c>
      <c r="W29" s="145">
        <v>2011770</v>
      </c>
      <c r="X29" s="145" t="s">
        <v>119</v>
      </c>
      <c r="Y29" s="145" t="s">
        <v>41</v>
      </c>
    </row>
    <row r="30" spans="1:25" ht="24" customHeight="1" x14ac:dyDescent="0.35">
      <c r="A30" s="103" t="s">
        <v>43</v>
      </c>
      <c r="B30" s="50" t="s">
        <v>46</v>
      </c>
      <c r="C30" s="50" t="s">
        <v>993</v>
      </c>
      <c r="D30" s="50" t="s">
        <v>997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/>
      <c r="K30" s="50"/>
      <c r="L30" s="36">
        <v>2018</v>
      </c>
      <c r="M30" s="50" t="s">
        <v>46</v>
      </c>
      <c r="N30" s="50" t="s">
        <v>48</v>
      </c>
      <c r="U30" s="145" t="s">
        <v>121</v>
      </c>
      <c r="V30" s="135" t="s">
        <v>400</v>
      </c>
      <c r="W30" s="145" t="s">
        <v>123</v>
      </c>
      <c r="X30" s="145" t="s">
        <v>122</v>
      </c>
      <c r="Y30" s="145" t="s">
        <v>4</v>
      </c>
    </row>
    <row r="31" spans="1:25" ht="24" customHeight="1" x14ac:dyDescent="0.35">
      <c r="A31" s="103" t="s">
        <v>43</v>
      </c>
      <c r="B31" s="50" t="s">
        <v>46</v>
      </c>
      <c r="C31" s="50" t="s">
        <v>993</v>
      </c>
      <c r="D31" s="50" t="s">
        <v>994</v>
      </c>
      <c r="E31" s="50">
        <v>3</v>
      </c>
      <c r="F31" s="50">
        <v>0</v>
      </c>
      <c r="G31" s="50">
        <v>4</v>
      </c>
      <c r="H31" s="50">
        <v>3</v>
      </c>
      <c r="I31" s="50">
        <v>10</v>
      </c>
      <c r="J31" s="50"/>
      <c r="K31" s="50"/>
      <c r="L31" s="36">
        <v>2018</v>
      </c>
      <c r="M31" s="50" t="s">
        <v>46</v>
      </c>
      <c r="N31" s="50" t="s">
        <v>48</v>
      </c>
      <c r="U31" s="145" t="s">
        <v>124</v>
      </c>
      <c r="V31" s="135" t="s">
        <v>124</v>
      </c>
      <c r="W31" s="145" t="s">
        <v>126</v>
      </c>
      <c r="X31" s="145" t="s">
        <v>125</v>
      </c>
      <c r="Y31" s="145" t="s">
        <v>41</v>
      </c>
    </row>
    <row r="32" spans="1:25" ht="24" customHeight="1" x14ac:dyDescent="0.35">
      <c r="A32" s="103" t="s">
        <v>43</v>
      </c>
      <c r="B32" s="50" t="s">
        <v>46</v>
      </c>
      <c r="C32" s="50" t="s">
        <v>993</v>
      </c>
      <c r="D32" s="50" t="s">
        <v>995</v>
      </c>
      <c r="E32" s="50">
        <v>21348</v>
      </c>
      <c r="F32" s="50">
        <v>0</v>
      </c>
      <c r="G32" s="50">
        <v>18476</v>
      </c>
      <c r="H32" s="50">
        <v>6852</v>
      </c>
      <c r="I32" s="50">
        <v>46676</v>
      </c>
      <c r="J32" s="50"/>
      <c r="K32" s="50"/>
      <c r="L32" s="36">
        <v>2018</v>
      </c>
      <c r="M32" s="50" t="s">
        <v>46</v>
      </c>
      <c r="N32" s="50" t="s">
        <v>48</v>
      </c>
      <c r="U32" s="145" t="s">
        <v>128</v>
      </c>
      <c r="V32" s="135" t="s">
        <v>128</v>
      </c>
      <c r="W32" s="145" t="s">
        <v>130</v>
      </c>
      <c r="X32" s="145" t="s">
        <v>129</v>
      </c>
      <c r="Y32" s="145" t="s">
        <v>41</v>
      </c>
    </row>
    <row r="33" spans="1:25" ht="24" customHeight="1" x14ac:dyDescent="0.35">
      <c r="A33" s="103" t="s">
        <v>43</v>
      </c>
      <c r="B33" s="50" t="s">
        <v>46</v>
      </c>
      <c r="C33" s="50" t="s">
        <v>996</v>
      </c>
      <c r="D33" s="50" t="s">
        <v>997</v>
      </c>
      <c r="E33" s="50">
        <v>0</v>
      </c>
      <c r="F33" s="50">
        <v>0</v>
      </c>
      <c r="G33" s="50">
        <v>5</v>
      </c>
      <c r="H33" s="50">
        <v>4</v>
      </c>
      <c r="I33" s="50">
        <v>9</v>
      </c>
      <c r="J33" s="50">
        <v>7</v>
      </c>
      <c r="K33" s="50">
        <v>2</v>
      </c>
      <c r="L33" s="36">
        <v>2018</v>
      </c>
      <c r="M33" s="50" t="s">
        <v>46</v>
      </c>
      <c r="N33" s="50" t="s">
        <v>48</v>
      </c>
      <c r="U33" s="135" t="s">
        <v>250</v>
      </c>
      <c r="V33" s="135" t="s">
        <v>250</v>
      </c>
      <c r="W33" s="145" t="s">
        <v>9</v>
      </c>
      <c r="X33" s="145" t="s">
        <v>8</v>
      </c>
      <c r="Y33" s="145" t="s">
        <v>4</v>
      </c>
    </row>
    <row r="34" spans="1:25" ht="24" customHeight="1" x14ac:dyDescent="0.35">
      <c r="A34" s="103" t="s">
        <v>43</v>
      </c>
      <c r="B34" s="50" t="s">
        <v>46</v>
      </c>
      <c r="C34" s="50" t="s">
        <v>996</v>
      </c>
      <c r="D34" s="50" t="s">
        <v>994</v>
      </c>
      <c r="E34" s="50">
        <v>2</v>
      </c>
      <c r="F34" s="50">
        <v>3</v>
      </c>
      <c r="G34" s="50">
        <v>135</v>
      </c>
      <c r="H34" s="50">
        <v>413</v>
      </c>
      <c r="I34" s="50">
        <v>553</v>
      </c>
      <c r="J34" s="50">
        <v>413</v>
      </c>
      <c r="K34" s="50">
        <v>140</v>
      </c>
      <c r="L34" s="36">
        <v>2018</v>
      </c>
      <c r="M34" s="50" t="s">
        <v>46</v>
      </c>
      <c r="N34" s="50" t="s">
        <v>48</v>
      </c>
      <c r="U34" s="135" t="s">
        <v>250</v>
      </c>
      <c r="V34" s="135" t="s">
        <v>250</v>
      </c>
      <c r="W34" s="145" t="s">
        <v>132</v>
      </c>
      <c r="X34" s="145" t="s">
        <v>2</v>
      </c>
      <c r="Y34" s="145" t="s">
        <v>4</v>
      </c>
    </row>
    <row r="35" spans="1:25" ht="24" customHeight="1" x14ac:dyDescent="0.35">
      <c r="A35" s="103" t="s">
        <v>43</v>
      </c>
      <c r="B35" s="50" t="s">
        <v>46</v>
      </c>
      <c r="C35" s="50" t="s">
        <v>996</v>
      </c>
      <c r="D35" s="50" t="s">
        <v>995</v>
      </c>
      <c r="E35" s="50">
        <v>84299</v>
      </c>
      <c r="F35" s="50">
        <v>46596</v>
      </c>
      <c r="G35" s="50">
        <v>148248</v>
      </c>
      <c r="H35" s="50">
        <v>1155885</v>
      </c>
      <c r="I35" s="50">
        <v>1435028</v>
      </c>
      <c r="J35" s="50"/>
      <c r="K35" s="50"/>
      <c r="L35" s="36">
        <v>2018</v>
      </c>
      <c r="M35" s="50" t="s">
        <v>46</v>
      </c>
      <c r="N35" s="50" t="s">
        <v>48</v>
      </c>
      <c r="U35" s="145" t="s">
        <v>133</v>
      </c>
      <c r="V35" s="135" t="s">
        <v>133</v>
      </c>
      <c r="W35" s="145" t="s">
        <v>135</v>
      </c>
      <c r="X35" s="145" t="s">
        <v>134</v>
      </c>
      <c r="Y35" s="145" t="s">
        <v>87</v>
      </c>
    </row>
    <row r="36" spans="1:25" ht="24" customHeight="1" x14ac:dyDescent="0.35">
      <c r="A36" s="103" t="s">
        <v>51</v>
      </c>
      <c r="B36" s="50" t="s">
        <v>41</v>
      </c>
      <c r="C36" s="50" t="s">
        <v>993</v>
      </c>
      <c r="D36" s="50" t="s">
        <v>994</v>
      </c>
      <c r="E36" s="50">
        <v>19</v>
      </c>
      <c r="F36" s="50">
        <v>0</v>
      </c>
      <c r="G36" s="50">
        <v>0</v>
      </c>
      <c r="H36" s="50">
        <v>0</v>
      </c>
      <c r="I36" s="50">
        <v>19</v>
      </c>
      <c r="J36" s="50"/>
      <c r="K36" s="50"/>
      <c r="L36" s="36">
        <v>2018</v>
      </c>
      <c r="M36" s="50" t="s">
        <v>41</v>
      </c>
      <c r="N36" s="50" t="s">
        <v>998</v>
      </c>
      <c r="U36" s="145" t="s">
        <v>14</v>
      </c>
      <c r="V36" s="135" t="s">
        <v>14</v>
      </c>
      <c r="W36" s="145" t="s">
        <v>137</v>
      </c>
      <c r="X36" s="145" t="s">
        <v>15</v>
      </c>
      <c r="Y36" s="145" t="s">
        <v>4</v>
      </c>
    </row>
    <row r="37" spans="1:25" ht="24" customHeight="1" x14ac:dyDescent="0.35">
      <c r="A37" s="103" t="s">
        <v>51</v>
      </c>
      <c r="B37" s="50" t="s">
        <v>41</v>
      </c>
      <c r="C37" s="50" t="s">
        <v>993</v>
      </c>
      <c r="D37" s="50" t="s">
        <v>995</v>
      </c>
      <c r="E37" s="50">
        <v>1477982</v>
      </c>
      <c r="F37" s="50">
        <v>0</v>
      </c>
      <c r="G37" s="50">
        <v>0</v>
      </c>
      <c r="H37" s="50">
        <v>0</v>
      </c>
      <c r="I37" s="50">
        <v>1477982</v>
      </c>
      <c r="J37" s="50"/>
      <c r="K37" s="50"/>
      <c r="L37" s="36">
        <v>2018</v>
      </c>
      <c r="M37" s="50" t="s">
        <v>41</v>
      </c>
      <c r="N37" s="50" t="s">
        <v>998</v>
      </c>
      <c r="U37" s="145" t="s">
        <v>14</v>
      </c>
      <c r="V37" s="135" t="s">
        <v>14</v>
      </c>
      <c r="W37" s="145" t="s">
        <v>22</v>
      </c>
      <c r="X37" s="145" t="s">
        <v>21</v>
      </c>
      <c r="Y37" s="145" t="s">
        <v>4</v>
      </c>
    </row>
    <row r="38" spans="1:25" ht="24" customHeight="1" x14ac:dyDescent="0.35">
      <c r="A38" s="103" t="s">
        <v>51</v>
      </c>
      <c r="B38" s="50" t="s">
        <v>41</v>
      </c>
      <c r="C38" s="50" t="s">
        <v>996</v>
      </c>
      <c r="D38" s="50" t="s">
        <v>997</v>
      </c>
      <c r="E38" s="50">
        <v>3</v>
      </c>
      <c r="F38" s="50">
        <v>10</v>
      </c>
      <c r="G38" s="50">
        <v>21</v>
      </c>
      <c r="H38" s="50">
        <v>1</v>
      </c>
      <c r="I38" s="50">
        <v>35</v>
      </c>
      <c r="J38" s="50">
        <v>35</v>
      </c>
      <c r="K38" s="50"/>
      <c r="L38" s="36">
        <v>2018</v>
      </c>
      <c r="M38" s="50" t="s">
        <v>41</v>
      </c>
      <c r="N38" s="50" t="s">
        <v>998</v>
      </c>
      <c r="U38" s="146" t="s">
        <v>445</v>
      </c>
      <c r="V38" s="135" t="s">
        <v>445</v>
      </c>
      <c r="W38" s="145" t="s">
        <v>26</v>
      </c>
      <c r="X38" s="145" t="s">
        <v>25</v>
      </c>
      <c r="Y38" s="145" t="s">
        <v>4</v>
      </c>
    </row>
    <row r="39" spans="1:25" ht="24" customHeight="1" x14ac:dyDescent="0.35">
      <c r="A39" s="103" t="s">
        <v>51</v>
      </c>
      <c r="B39" s="50" t="s">
        <v>41</v>
      </c>
      <c r="C39" s="50" t="s">
        <v>996</v>
      </c>
      <c r="D39" s="50" t="s">
        <v>994</v>
      </c>
      <c r="E39" s="50">
        <v>13</v>
      </c>
      <c r="F39" s="50">
        <v>63</v>
      </c>
      <c r="G39" s="50">
        <v>90</v>
      </c>
      <c r="H39" s="50">
        <v>52</v>
      </c>
      <c r="I39" s="50">
        <v>218</v>
      </c>
      <c r="J39" s="50">
        <v>218</v>
      </c>
      <c r="K39" s="50"/>
      <c r="L39" s="36">
        <v>2018</v>
      </c>
      <c r="M39" s="50" t="s">
        <v>41</v>
      </c>
      <c r="N39" s="50" t="s">
        <v>998</v>
      </c>
      <c r="U39" s="146" t="s">
        <v>273</v>
      </c>
      <c r="V39" s="135" t="s">
        <v>273</v>
      </c>
      <c r="W39" s="135" t="s">
        <v>274</v>
      </c>
      <c r="X39" s="145" t="s">
        <v>141</v>
      </c>
      <c r="Y39" s="145" t="s">
        <v>4</v>
      </c>
    </row>
    <row r="40" spans="1:25" ht="24" customHeight="1" x14ac:dyDescent="0.35">
      <c r="A40" s="103" t="s">
        <v>51</v>
      </c>
      <c r="B40" s="50" t="s">
        <v>41</v>
      </c>
      <c r="C40" s="50" t="s">
        <v>996</v>
      </c>
      <c r="D40" s="50" t="s">
        <v>995</v>
      </c>
      <c r="E40" s="50">
        <v>411671</v>
      </c>
      <c r="F40" s="50">
        <v>828223</v>
      </c>
      <c r="G40" s="50">
        <v>759862</v>
      </c>
      <c r="H40" s="50">
        <v>198458</v>
      </c>
      <c r="I40" s="50">
        <v>2198214</v>
      </c>
      <c r="J40" s="50">
        <v>2230113</v>
      </c>
      <c r="K40" s="50"/>
      <c r="L40" s="36">
        <v>2018</v>
      </c>
      <c r="M40" s="50" t="s">
        <v>41</v>
      </c>
      <c r="N40" s="50" t="s">
        <v>998</v>
      </c>
      <c r="U40" s="145" t="s">
        <v>142</v>
      </c>
      <c r="V40" s="135" t="s">
        <v>142</v>
      </c>
      <c r="W40" s="145" t="s">
        <v>144</v>
      </c>
      <c r="X40" s="145" t="s">
        <v>143</v>
      </c>
      <c r="Y40" s="145" t="s">
        <v>4</v>
      </c>
    </row>
    <row r="41" spans="1:25" ht="24" customHeight="1" x14ac:dyDescent="0.35">
      <c r="A41" s="103" t="s">
        <v>62</v>
      </c>
      <c r="B41" s="50" t="s">
        <v>46</v>
      </c>
      <c r="C41" s="50" t="s">
        <v>993</v>
      </c>
      <c r="D41" s="50" t="s">
        <v>997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36">
        <v>2018</v>
      </c>
      <c r="M41" s="50" t="s">
        <v>46</v>
      </c>
      <c r="N41" s="50" t="s">
        <v>64</v>
      </c>
      <c r="U41" s="145" t="s">
        <v>142</v>
      </c>
      <c r="V41" s="135" t="s">
        <v>142</v>
      </c>
      <c r="W41" s="145">
        <v>23735</v>
      </c>
      <c r="X41" s="145" t="s">
        <v>147</v>
      </c>
      <c r="Y41" s="145" t="s">
        <v>4</v>
      </c>
    </row>
    <row r="42" spans="1:25" ht="24" customHeight="1" x14ac:dyDescent="0.35">
      <c r="A42" s="103" t="s">
        <v>62</v>
      </c>
      <c r="B42" s="50" t="s">
        <v>46</v>
      </c>
      <c r="C42" s="50" t="s">
        <v>993</v>
      </c>
      <c r="D42" s="50" t="s">
        <v>994</v>
      </c>
      <c r="E42" s="50">
        <v>4</v>
      </c>
      <c r="F42" s="50">
        <v>0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36">
        <v>2018</v>
      </c>
      <c r="M42" s="50" t="s">
        <v>46</v>
      </c>
      <c r="N42" s="50" t="s">
        <v>64</v>
      </c>
      <c r="U42" s="145" t="s">
        <v>30</v>
      </c>
      <c r="V42" s="135" t="s">
        <v>30</v>
      </c>
      <c r="W42" s="145" t="s">
        <v>32</v>
      </c>
      <c r="X42" s="145" t="s">
        <v>31</v>
      </c>
      <c r="Y42" s="145" t="s">
        <v>4</v>
      </c>
    </row>
    <row r="43" spans="1:25" ht="24" customHeight="1" x14ac:dyDescent="0.35">
      <c r="A43" s="103" t="s">
        <v>62</v>
      </c>
      <c r="B43" s="50" t="s">
        <v>46</v>
      </c>
      <c r="C43" s="50" t="s">
        <v>993</v>
      </c>
      <c r="D43" s="50" t="s">
        <v>995</v>
      </c>
      <c r="E43" s="50">
        <v>49509.536999999997</v>
      </c>
      <c r="F43" s="50">
        <v>0</v>
      </c>
      <c r="G43" s="50">
        <v>0</v>
      </c>
      <c r="H43" s="50">
        <v>0</v>
      </c>
      <c r="I43" s="50">
        <v>49509.536999999997</v>
      </c>
      <c r="J43" s="50"/>
      <c r="K43" s="50"/>
      <c r="L43" s="36">
        <v>2018</v>
      </c>
      <c r="M43" s="50" t="s">
        <v>46</v>
      </c>
      <c r="N43" s="50" t="s">
        <v>64</v>
      </c>
      <c r="U43" s="145" t="s">
        <v>30</v>
      </c>
      <c r="V43" s="135" t="s">
        <v>30</v>
      </c>
      <c r="W43" s="145" t="s">
        <v>35</v>
      </c>
      <c r="X43" s="145" t="s">
        <v>34</v>
      </c>
      <c r="Y43" s="145" t="s">
        <v>4</v>
      </c>
    </row>
    <row r="44" spans="1:25" ht="24" customHeight="1" x14ac:dyDescent="0.35">
      <c r="A44" s="103" t="s">
        <v>62</v>
      </c>
      <c r="B44" s="50" t="s">
        <v>46</v>
      </c>
      <c r="C44" s="50" t="s">
        <v>996</v>
      </c>
      <c r="D44" s="50" t="s">
        <v>997</v>
      </c>
      <c r="E44" s="50">
        <v>0</v>
      </c>
      <c r="F44" s="50">
        <v>0</v>
      </c>
      <c r="G44" s="50">
        <v>3</v>
      </c>
      <c r="H44" s="50">
        <v>4</v>
      </c>
      <c r="I44" s="50">
        <v>7</v>
      </c>
      <c r="J44" s="50">
        <v>6</v>
      </c>
      <c r="K44" s="50">
        <v>1</v>
      </c>
      <c r="L44" s="36">
        <v>2018</v>
      </c>
      <c r="M44" s="50" t="s">
        <v>46</v>
      </c>
      <c r="N44" s="50" t="s">
        <v>64</v>
      </c>
      <c r="U44" s="145" t="s">
        <v>38</v>
      </c>
      <c r="V44" s="135" t="s">
        <v>285</v>
      </c>
      <c r="W44" s="145" t="s">
        <v>40</v>
      </c>
      <c r="X44" s="145" t="s">
        <v>39</v>
      </c>
      <c r="Y44" s="145" t="s">
        <v>41</v>
      </c>
    </row>
    <row r="45" spans="1:25" ht="24" customHeight="1" x14ac:dyDescent="0.35">
      <c r="A45" s="103" t="s">
        <v>62</v>
      </c>
      <c r="B45" s="50" t="s">
        <v>46</v>
      </c>
      <c r="C45" s="50" t="s">
        <v>996</v>
      </c>
      <c r="D45" s="50" t="s">
        <v>994</v>
      </c>
      <c r="E45" s="50">
        <v>1</v>
      </c>
      <c r="F45" s="50">
        <v>2</v>
      </c>
      <c r="G45" s="50">
        <v>19</v>
      </c>
      <c r="H45" s="50">
        <v>150</v>
      </c>
      <c r="I45" s="50">
        <v>172</v>
      </c>
      <c r="J45" s="50">
        <v>171</v>
      </c>
      <c r="K45" s="50">
        <v>1</v>
      </c>
      <c r="L45" s="36">
        <v>2018</v>
      </c>
      <c r="M45" s="50" t="s">
        <v>46</v>
      </c>
      <c r="N45" s="50" t="s">
        <v>64</v>
      </c>
      <c r="U45" s="145" t="s">
        <v>151</v>
      </c>
      <c r="V45" s="135" t="s">
        <v>151</v>
      </c>
      <c r="W45" s="145" t="s">
        <v>153</v>
      </c>
      <c r="X45" s="145" t="s">
        <v>152</v>
      </c>
      <c r="Y45" s="145" t="s">
        <v>46</v>
      </c>
    </row>
    <row r="46" spans="1:25" ht="24" customHeight="1" x14ac:dyDescent="0.35">
      <c r="A46" s="103" t="s">
        <v>62</v>
      </c>
      <c r="B46" s="50" t="s">
        <v>46</v>
      </c>
      <c r="C46" s="50" t="s">
        <v>996</v>
      </c>
      <c r="D46" s="50" t="s">
        <v>995</v>
      </c>
      <c r="E46" s="50">
        <v>12836.962</v>
      </c>
      <c r="F46" s="50">
        <v>24663.923999999999</v>
      </c>
      <c r="G46" s="50">
        <v>93693.986000000004</v>
      </c>
      <c r="H46" s="50">
        <v>234818.16</v>
      </c>
      <c r="I46" s="50">
        <v>366013.03200000001</v>
      </c>
      <c r="J46" s="50">
        <v>362142.75</v>
      </c>
      <c r="K46" s="50">
        <v>3870.2809999999999</v>
      </c>
      <c r="L46" s="36">
        <v>2018</v>
      </c>
      <c r="M46" s="50" t="s">
        <v>46</v>
      </c>
      <c r="N46" s="50" t="s">
        <v>64</v>
      </c>
      <c r="U46" s="145" t="s">
        <v>154</v>
      </c>
      <c r="V46" s="135" t="s">
        <v>292</v>
      </c>
      <c r="W46" s="145" t="s">
        <v>156</v>
      </c>
      <c r="X46" s="145" t="s">
        <v>155</v>
      </c>
      <c r="Y46" s="145" t="s">
        <v>4</v>
      </c>
    </row>
    <row r="47" spans="1:25" ht="24" customHeight="1" x14ac:dyDescent="0.35">
      <c r="A47" s="103" t="s">
        <v>54</v>
      </c>
      <c r="B47" s="50" t="s">
        <v>57</v>
      </c>
      <c r="C47" s="50" t="s">
        <v>996</v>
      </c>
      <c r="D47" s="50" t="s">
        <v>997</v>
      </c>
      <c r="E47" s="50"/>
      <c r="F47" s="50">
        <v>2</v>
      </c>
      <c r="G47" s="50">
        <v>1</v>
      </c>
      <c r="H47" s="50"/>
      <c r="I47" s="50">
        <v>3</v>
      </c>
      <c r="J47" s="50"/>
      <c r="K47" s="50"/>
      <c r="L47" s="36">
        <v>2018</v>
      </c>
      <c r="M47" s="50" t="s">
        <v>57</v>
      </c>
      <c r="N47" s="50" t="s">
        <v>59</v>
      </c>
      <c r="U47" s="145" t="s">
        <v>43</v>
      </c>
      <c r="V47" s="135" t="s">
        <v>470</v>
      </c>
      <c r="W47" s="145" t="s">
        <v>157</v>
      </c>
      <c r="X47" s="145" t="s">
        <v>49</v>
      </c>
      <c r="Y47" s="145" t="s">
        <v>46</v>
      </c>
    </row>
    <row r="48" spans="1:25" ht="24" customHeight="1" x14ac:dyDescent="0.35">
      <c r="A48" s="103" t="s">
        <v>54</v>
      </c>
      <c r="B48" s="50" t="s">
        <v>57</v>
      </c>
      <c r="C48" s="50" t="s">
        <v>996</v>
      </c>
      <c r="D48" s="50" t="s">
        <v>994</v>
      </c>
      <c r="E48" s="50">
        <v>2</v>
      </c>
      <c r="F48" s="50">
        <v>2</v>
      </c>
      <c r="G48" s="50">
        <v>7</v>
      </c>
      <c r="H48" s="50">
        <v>240</v>
      </c>
      <c r="I48" s="50">
        <v>251</v>
      </c>
      <c r="J48" s="50"/>
      <c r="K48" s="50"/>
      <c r="L48" s="36">
        <v>2018</v>
      </c>
      <c r="M48" s="50" t="s">
        <v>57</v>
      </c>
      <c r="N48" s="50" t="s">
        <v>59</v>
      </c>
      <c r="U48" s="145" t="s">
        <v>43</v>
      </c>
      <c r="V48" s="135" t="s">
        <v>470</v>
      </c>
      <c r="W48" s="145" t="s">
        <v>158</v>
      </c>
      <c r="X48" s="145" t="s">
        <v>44</v>
      </c>
      <c r="Y48" s="145" t="s">
        <v>46</v>
      </c>
    </row>
    <row r="49" spans="1:25" ht="24" customHeight="1" x14ac:dyDescent="0.35">
      <c r="A49" s="103" t="s">
        <v>54</v>
      </c>
      <c r="B49" s="50" t="s">
        <v>57</v>
      </c>
      <c r="C49" s="50" t="s">
        <v>996</v>
      </c>
      <c r="D49" s="50" t="s">
        <v>995</v>
      </c>
      <c r="E49" s="50">
        <v>18840</v>
      </c>
      <c r="F49" s="50">
        <v>60000</v>
      </c>
      <c r="G49" s="50">
        <v>412</v>
      </c>
      <c r="H49" s="50"/>
      <c r="I49" s="50">
        <v>79252</v>
      </c>
      <c r="J49" s="50"/>
      <c r="K49" s="50"/>
      <c r="L49" s="36">
        <v>2018</v>
      </c>
      <c r="M49" s="50" t="s">
        <v>57</v>
      </c>
      <c r="N49" s="50" t="s">
        <v>59</v>
      </c>
      <c r="U49" s="145" t="s">
        <v>54</v>
      </c>
      <c r="V49" s="135" t="s">
        <v>54</v>
      </c>
      <c r="W49" s="145" t="s">
        <v>159</v>
      </c>
      <c r="X49" s="145" t="s">
        <v>55</v>
      </c>
      <c r="Y49" s="145" t="s">
        <v>57</v>
      </c>
    </row>
    <row r="50" spans="1:25" ht="24" customHeight="1" x14ac:dyDescent="0.35">
      <c r="A50" s="103" t="s">
        <v>67</v>
      </c>
      <c r="B50" s="50" t="s">
        <v>41</v>
      </c>
      <c r="C50" s="50" t="s">
        <v>993</v>
      </c>
      <c r="D50" s="50" t="s">
        <v>997</v>
      </c>
      <c r="E50" s="50">
        <v>2</v>
      </c>
      <c r="F50" s="50">
        <v>1</v>
      </c>
      <c r="G50" s="50"/>
      <c r="H50" s="50"/>
      <c r="I50" s="50">
        <v>3</v>
      </c>
      <c r="J50" s="50">
        <v>3</v>
      </c>
      <c r="K50" s="50"/>
      <c r="L50" s="36">
        <v>2018</v>
      </c>
      <c r="M50" s="50" t="s">
        <v>41</v>
      </c>
      <c r="N50" s="50" t="s">
        <v>999</v>
      </c>
      <c r="U50" s="145" t="s">
        <v>62</v>
      </c>
      <c r="V50" s="135" t="s">
        <v>62</v>
      </c>
      <c r="W50" s="145" t="s">
        <v>63</v>
      </c>
      <c r="X50" s="145" t="s">
        <v>62</v>
      </c>
      <c r="Y50" s="145" t="s">
        <v>46</v>
      </c>
    </row>
    <row r="51" spans="1:25" ht="24" customHeight="1" x14ac:dyDescent="0.35">
      <c r="A51" s="103" t="s">
        <v>67</v>
      </c>
      <c r="B51" s="50" t="s">
        <v>41</v>
      </c>
      <c r="C51" s="50" t="s">
        <v>993</v>
      </c>
      <c r="D51" s="50" t="s">
        <v>994</v>
      </c>
      <c r="E51" s="50">
        <v>16</v>
      </c>
      <c r="F51" s="50">
        <v>43</v>
      </c>
      <c r="G51" s="50"/>
      <c r="H51" s="50"/>
      <c r="I51" s="50">
        <v>59</v>
      </c>
      <c r="J51" s="50">
        <v>59</v>
      </c>
      <c r="K51" s="50"/>
      <c r="L51" s="36">
        <v>2018</v>
      </c>
      <c r="M51" s="50" t="s">
        <v>41</v>
      </c>
      <c r="N51" s="50" t="s">
        <v>999</v>
      </c>
      <c r="U51" s="145" t="s">
        <v>73</v>
      </c>
      <c r="V51" s="135" t="s">
        <v>73</v>
      </c>
      <c r="W51" s="145">
        <v>4068</v>
      </c>
      <c r="X51" s="145" t="s">
        <v>74</v>
      </c>
      <c r="Y51" s="145" t="s">
        <v>46</v>
      </c>
    </row>
    <row r="52" spans="1:25" ht="24" customHeight="1" x14ac:dyDescent="0.35">
      <c r="A52" s="103" t="s">
        <v>67</v>
      </c>
      <c r="B52" s="50" t="s">
        <v>41</v>
      </c>
      <c r="C52" s="50" t="s">
        <v>993</v>
      </c>
      <c r="D52" s="50" t="s">
        <v>995</v>
      </c>
      <c r="E52" s="50">
        <v>860032</v>
      </c>
      <c r="F52" s="50">
        <v>1185463</v>
      </c>
      <c r="G52" s="50"/>
      <c r="H52" s="50"/>
      <c r="I52" s="50">
        <v>2045495</v>
      </c>
      <c r="J52" s="50"/>
      <c r="K52" s="50"/>
      <c r="L52" s="36">
        <v>2018</v>
      </c>
      <c r="M52" s="50" t="s">
        <v>41</v>
      </c>
      <c r="N52" s="50" t="s">
        <v>999</v>
      </c>
      <c r="U52" s="145" t="s">
        <v>75</v>
      </c>
      <c r="V52" s="135" t="s">
        <v>75</v>
      </c>
      <c r="W52" s="145">
        <v>991020</v>
      </c>
      <c r="X52" s="145" t="s">
        <v>76</v>
      </c>
      <c r="Y52" s="145" t="s">
        <v>41</v>
      </c>
    </row>
    <row r="53" spans="1:25" ht="24" customHeight="1" x14ac:dyDescent="0.35">
      <c r="A53" s="103" t="s">
        <v>67</v>
      </c>
      <c r="B53" s="50" t="s">
        <v>41</v>
      </c>
      <c r="C53" s="50" t="s">
        <v>996</v>
      </c>
      <c r="D53" s="50" t="s">
        <v>997</v>
      </c>
      <c r="E53" s="50">
        <v>4</v>
      </c>
      <c r="F53" s="50">
        <v>16</v>
      </c>
      <c r="G53" s="50">
        <v>25</v>
      </c>
      <c r="H53" s="50">
        <v>42</v>
      </c>
      <c r="I53" s="50">
        <v>87</v>
      </c>
      <c r="J53" s="50">
        <v>68</v>
      </c>
      <c r="K53" s="50">
        <v>19</v>
      </c>
      <c r="L53" s="36">
        <v>2018</v>
      </c>
      <c r="M53" s="50" t="s">
        <v>41</v>
      </c>
      <c r="N53" s="50" t="s">
        <v>999</v>
      </c>
      <c r="U53" s="145" t="s">
        <v>79</v>
      </c>
      <c r="V53" s="135" t="s">
        <v>79</v>
      </c>
      <c r="W53" s="145" t="s">
        <v>81</v>
      </c>
      <c r="X53" s="145" t="s">
        <v>80</v>
      </c>
      <c r="Y53" s="145" t="s">
        <v>41</v>
      </c>
    </row>
    <row r="54" spans="1:25" ht="24" customHeight="1" x14ac:dyDescent="0.35">
      <c r="A54" s="103" t="s">
        <v>67</v>
      </c>
      <c r="B54" s="50" t="s">
        <v>41</v>
      </c>
      <c r="C54" s="50" t="s">
        <v>996</v>
      </c>
      <c r="D54" s="50" t="s">
        <v>994</v>
      </c>
      <c r="E54" s="50">
        <v>18</v>
      </c>
      <c r="F54" s="50">
        <v>70</v>
      </c>
      <c r="G54" s="50">
        <v>242</v>
      </c>
      <c r="H54" s="50">
        <v>306</v>
      </c>
      <c r="I54" s="50">
        <v>636</v>
      </c>
      <c r="J54" s="50">
        <v>592</v>
      </c>
      <c r="K54" s="50">
        <v>44</v>
      </c>
      <c r="L54" s="36">
        <v>2018</v>
      </c>
      <c r="M54" s="50" t="s">
        <v>41</v>
      </c>
      <c r="N54" s="50" t="s">
        <v>999</v>
      </c>
      <c r="U54" s="145" t="s">
        <v>84</v>
      </c>
      <c r="V54" s="135" t="s">
        <v>84</v>
      </c>
      <c r="W54" s="145" t="s">
        <v>86</v>
      </c>
      <c r="X54" s="145" t="s">
        <v>85</v>
      </c>
      <c r="Y54" s="145" t="s">
        <v>87</v>
      </c>
    </row>
    <row r="55" spans="1:25" ht="24" customHeight="1" x14ac:dyDescent="0.35">
      <c r="A55" s="103" t="s">
        <v>67</v>
      </c>
      <c r="B55" s="50" t="s">
        <v>41</v>
      </c>
      <c r="C55" s="50" t="s">
        <v>996</v>
      </c>
      <c r="D55" s="50" t="s">
        <v>995</v>
      </c>
      <c r="E55" s="50">
        <v>807139</v>
      </c>
      <c r="F55" s="50">
        <v>1442210</v>
      </c>
      <c r="G55" s="50">
        <v>2659581</v>
      </c>
      <c r="H55" s="50">
        <v>2272522</v>
      </c>
      <c r="I55" s="50">
        <v>7181452</v>
      </c>
      <c r="J55" s="50"/>
      <c r="K55" s="50"/>
      <c r="L55" s="36">
        <v>2018</v>
      </c>
      <c r="M55" s="50" t="s">
        <v>41</v>
      </c>
      <c r="N55" s="50" t="s">
        <v>999</v>
      </c>
      <c r="U55" s="145" t="s">
        <v>89</v>
      </c>
      <c r="V55" s="135" t="s">
        <v>373</v>
      </c>
      <c r="W55" s="145" t="s">
        <v>91</v>
      </c>
      <c r="X55" s="145" t="s">
        <v>90</v>
      </c>
      <c r="Y55" s="145" t="s">
        <v>41</v>
      </c>
    </row>
    <row r="56" spans="1:25" ht="24" customHeight="1" x14ac:dyDescent="0.35">
      <c r="A56" s="103" t="s">
        <v>75</v>
      </c>
      <c r="B56" s="50" t="s">
        <v>41</v>
      </c>
      <c r="C56" s="50" t="s">
        <v>993</v>
      </c>
      <c r="D56" s="50" t="s">
        <v>997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/>
      <c r="L56" s="36">
        <v>2018</v>
      </c>
      <c r="M56" s="50" t="s">
        <v>41</v>
      </c>
      <c r="N56" s="50" t="s">
        <v>1000</v>
      </c>
      <c r="U56" s="145" t="s">
        <v>93</v>
      </c>
      <c r="V56" s="135" t="s">
        <v>93</v>
      </c>
      <c r="W56" s="145" t="s">
        <v>95</v>
      </c>
      <c r="X56" s="145" t="s">
        <v>94</v>
      </c>
      <c r="Y56" s="145" t="s">
        <v>41</v>
      </c>
    </row>
    <row r="57" spans="1:25" ht="24" customHeight="1" x14ac:dyDescent="0.35">
      <c r="A57" s="103" t="s">
        <v>75</v>
      </c>
      <c r="B57" s="50" t="s">
        <v>41</v>
      </c>
      <c r="C57" s="50" t="s">
        <v>993</v>
      </c>
      <c r="D57" s="50" t="s">
        <v>994</v>
      </c>
      <c r="E57" s="50">
        <v>3</v>
      </c>
      <c r="F57" s="50">
        <v>34</v>
      </c>
      <c r="G57" s="50">
        <v>0</v>
      </c>
      <c r="H57" s="50">
        <v>0</v>
      </c>
      <c r="I57" s="50">
        <v>37</v>
      </c>
      <c r="J57" s="50">
        <v>37</v>
      </c>
      <c r="K57" s="50"/>
      <c r="L57" s="36">
        <v>2018</v>
      </c>
      <c r="M57" s="50" t="s">
        <v>41</v>
      </c>
      <c r="N57" s="50" t="s">
        <v>1000</v>
      </c>
      <c r="U57" s="145" t="s">
        <v>96</v>
      </c>
      <c r="V57" s="135" t="s">
        <v>96</v>
      </c>
      <c r="W57" s="145" t="s">
        <v>100</v>
      </c>
      <c r="X57" s="145" t="s">
        <v>99</v>
      </c>
      <c r="Y57" s="145" t="s">
        <v>4</v>
      </c>
    </row>
    <row r="58" spans="1:25" ht="24" customHeight="1" x14ac:dyDescent="0.35">
      <c r="A58" s="103" t="s">
        <v>75</v>
      </c>
      <c r="B58" s="50" t="s">
        <v>41</v>
      </c>
      <c r="C58" s="50" t="s">
        <v>993</v>
      </c>
      <c r="D58" s="50" t="s">
        <v>995</v>
      </c>
      <c r="E58" s="50">
        <v>120459.46153846153</v>
      </c>
      <c r="F58" s="50">
        <v>0</v>
      </c>
      <c r="G58" s="50">
        <v>0</v>
      </c>
      <c r="H58" s="50">
        <v>0</v>
      </c>
      <c r="I58" s="50">
        <v>120459.46153846153</v>
      </c>
      <c r="J58" s="50">
        <v>0</v>
      </c>
      <c r="K58" s="50">
        <v>0</v>
      </c>
      <c r="L58" s="36">
        <v>2018</v>
      </c>
      <c r="M58" s="50" t="s">
        <v>41</v>
      </c>
      <c r="N58" s="50" t="s">
        <v>1000</v>
      </c>
      <c r="U58" s="145" t="s">
        <v>96</v>
      </c>
      <c r="V58" s="135" t="s">
        <v>96</v>
      </c>
      <c r="W58" s="145" t="s">
        <v>98</v>
      </c>
      <c r="X58" s="145" t="s">
        <v>97</v>
      </c>
      <c r="Y58" s="145" t="s">
        <v>4</v>
      </c>
    </row>
    <row r="59" spans="1:25" ht="24" customHeight="1" x14ac:dyDescent="0.35">
      <c r="A59" s="103" t="s">
        <v>75</v>
      </c>
      <c r="B59" s="50" t="s">
        <v>41</v>
      </c>
      <c r="C59" s="50" t="s">
        <v>996</v>
      </c>
      <c r="D59" s="50" t="s">
        <v>997</v>
      </c>
      <c r="E59" s="50">
        <v>0</v>
      </c>
      <c r="F59" s="50">
        <v>4</v>
      </c>
      <c r="G59" s="50">
        <v>8</v>
      </c>
      <c r="H59" s="50">
        <v>1</v>
      </c>
      <c r="I59" s="50">
        <v>13</v>
      </c>
      <c r="J59" s="50">
        <v>13</v>
      </c>
      <c r="K59" s="50">
        <v>64</v>
      </c>
      <c r="L59" s="36">
        <v>2018</v>
      </c>
      <c r="M59" s="50" t="s">
        <v>41</v>
      </c>
      <c r="N59" s="50" t="s">
        <v>1000</v>
      </c>
      <c r="U59" s="145" t="s">
        <v>101</v>
      </c>
      <c r="V59" s="135" t="s">
        <v>101</v>
      </c>
      <c r="W59" s="145" t="s">
        <v>103</v>
      </c>
      <c r="X59" s="145" t="s">
        <v>102</v>
      </c>
      <c r="Y59" s="145" t="s">
        <v>41</v>
      </c>
    </row>
    <row r="60" spans="1:25" ht="24" customHeight="1" x14ac:dyDescent="0.35">
      <c r="A60" s="103" t="s">
        <v>75</v>
      </c>
      <c r="B60" s="50" t="s">
        <v>41</v>
      </c>
      <c r="C60" s="50" t="s">
        <v>996</v>
      </c>
      <c r="D60" s="50" t="s">
        <v>994</v>
      </c>
      <c r="E60" s="50">
        <v>3</v>
      </c>
      <c r="F60" s="50">
        <v>104</v>
      </c>
      <c r="G60" s="50">
        <v>677</v>
      </c>
      <c r="H60" s="50">
        <v>30</v>
      </c>
      <c r="I60" s="50">
        <v>814</v>
      </c>
      <c r="J60" s="50">
        <v>814</v>
      </c>
      <c r="K60" s="50">
        <v>793</v>
      </c>
      <c r="L60" s="36">
        <v>2018</v>
      </c>
      <c r="M60" s="50" t="s">
        <v>41</v>
      </c>
      <c r="N60" s="50" t="s">
        <v>1000</v>
      </c>
      <c r="U60" s="145" t="s">
        <v>106</v>
      </c>
      <c r="V60" s="135" t="s">
        <v>106</v>
      </c>
      <c r="W60" s="145" t="s">
        <v>108</v>
      </c>
      <c r="X60" s="145" t="s">
        <v>107</v>
      </c>
      <c r="Y60" s="145" t="s">
        <v>57</v>
      </c>
    </row>
    <row r="61" spans="1:25" ht="24" customHeight="1" x14ac:dyDescent="0.35">
      <c r="A61" s="103" t="s">
        <v>75</v>
      </c>
      <c r="B61" s="50" t="s">
        <v>41</v>
      </c>
      <c r="C61" s="50" t="s">
        <v>996</v>
      </c>
      <c r="D61" s="50" t="s">
        <v>995</v>
      </c>
      <c r="E61" s="50">
        <v>53160</v>
      </c>
      <c r="F61" s="50">
        <v>1221351</v>
      </c>
      <c r="G61" s="50">
        <v>5189738</v>
      </c>
      <c r="H61" s="50">
        <v>188081</v>
      </c>
      <c r="I61" s="50">
        <v>6652330</v>
      </c>
      <c r="J61" s="50">
        <v>6652330</v>
      </c>
      <c r="K61" s="50">
        <v>529274</v>
      </c>
      <c r="L61" s="36">
        <v>2018</v>
      </c>
      <c r="M61" s="50" t="s">
        <v>41</v>
      </c>
      <c r="N61" s="50" t="s">
        <v>1000</v>
      </c>
      <c r="U61" s="145" t="s">
        <v>110</v>
      </c>
      <c r="V61" s="135" t="s">
        <v>572</v>
      </c>
      <c r="W61" s="145">
        <v>9828</v>
      </c>
      <c r="X61" s="145" t="s">
        <v>111</v>
      </c>
      <c r="Y61" s="145" t="s">
        <v>41</v>
      </c>
    </row>
    <row r="62" spans="1:25" ht="24" customHeight="1" x14ac:dyDescent="0.35">
      <c r="A62" s="103" t="s">
        <v>79</v>
      </c>
      <c r="B62" s="50" t="s">
        <v>41</v>
      </c>
      <c r="C62" s="50" t="s">
        <v>993</v>
      </c>
      <c r="D62" s="50" t="s">
        <v>994</v>
      </c>
      <c r="E62" s="50">
        <v>8</v>
      </c>
      <c r="F62" s="50"/>
      <c r="G62" s="50"/>
      <c r="H62" s="50"/>
      <c r="I62" s="50">
        <v>8</v>
      </c>
      <c r="J62" s="50">
        <v>8</v>
      </c>
      <c r="K62" s="50"/>
      <c r="L62" s="36">
        <v>2018</v>
      </c>
      <c r="M62" s="50" t="s">
        <v>41</v>
      </c>
      <c r="N62" s="50" t="s">
        <v>1001</v>
      </c>
      <c r="U62" s="145" t="s">
        <v>112</v>
      </c>
      <c r="V62" s="135" t="s">
        <v>567</v>
      </c>
      <c r="W62" s="145">
        <v>10862</v>
      </c>
      <c r="X62" s="145" t="s">
        <v>113</v>
      </c>
      <c r="Y62" s="145" t="s">
        <v>46</v>
      </c>
    </row>
    <row r="63" spans="1:25" ht="24" customHeight="1" x14ac:dyDescent="0.35">
      <c r="A63" s="103" t="s">
        <v>79</v>
      </c>
      <c r="B63" s="50" t="s">
        <v>41</v>
      </c>
      <c r="C63" s="50" t="s">
        <v>993</v>
      </c>
      <c r="D63" s="50" t="s">
        <v>995</v>
      </c>
      <c r="E63" s="50">
        <v>253916</v>
      </c>
      <c r="F63" s="50"/>
      <c r="G63" s="50"/>
      <c r="H63" s="50"/>
      <c r="I63" s="50">
        <v>253916</v>
      </c>
      <c r="J63" s="50"/>
      <c r="K63" s="50"/>
      <c r="L63" s="36">
        <v>2018</v>
      </c>
      <c r="M63" s="50" t="s">
        <v>41</v>
      </c>
      <c r="N63" s="50" t="s">
        <v>1001</v>
      </c>
      <c r="U63" s="145" t="s">
        <v>116</v>
      </c>
      <c r="V63" s="135" t="s">
        <v>116</v>
      </c>
      <c r="W63" s="145" t="s">
        <v>164</v>
      </c>
      <c r="X63" s="145" t="s">
        <v>44</v>
      </c>
      <c r="Y63" s="145" t="s">
        <v>46</v>
      </c>
    </row>
    <row r="64" spans="1:25" ht="24" customHeight="1" x14ac:dyDescent="0.35">
      <c r="A64" s="103" t="s">
        <v>79</v>
      </c>
      <c r="B64" s="50" t="s">
        <v>41</v>
      </c>
      <c r="C64" s="50" t="s">
        <v>996</v>
      </c>
      <c r="D64" s="50" t="s">
        <v>997</v>
      </c>
      <c r="E64" s="50">
        <v>10</v>
      </c>
      <c r="F64" s="50">
        <v>31</v>
      </c>
      <c r="G64" s="50">
        <v>24</v>
      </c>
      <c r="H64" s="50">
        <v>3</v>
      </c>
      <c r="I64" s="50">
        <v>68</v>
      </c>
      <c r="J64" s="50">
        <v>68</v>
      </c>
      <c r="K64" s="50"/>
      <c r="L64" s="36">
        <v>2018</v>
      </c>
      <c r="M64" s="50" t="s">
        <v>41</v>
      </c>
      <c r="N64" s="50" t="s">
        <v>1001</v>
      </c>
      <c r="U64" s="145" t="s">
        <v>118</v>
      </c>
      <c r="V64" s="135" t="s">
        <v>569</v>
      </c>
      <c r="W64" s="145">
        <v>2011770</v>
      </c>
      <c r="X64" s="145" t="s">
        <v>119</v>
      </c>
      <c r="Y64" s="145" t="s">
        <v>41</v>
      </c>
    </row>
    <row r="65" spans="1:25" ht="24" customHeight="1" x14ac:dyDescent="0.35">
      <c r="A65" s="103" t="s">
        <v>79</v>
      </c>
      <c r="B65" s="50" t="s">
        <v>41</v>
      </c>
      <c r="C65" s="50" t="s">
        <v>996</v>
      </c>
      <c r="D65" s="50" t="s">
        <v>994</v>
      </c>
      <c r="E65" s="50">
        <v>101</v>
      </c>
      <c r="F65" s="50">
        <v>198</v>
      </c>
      <c r="G65" s="50">
        <v>361</v>
      </c>
      <c r="H65" s="50">
        <v>18</v>
      </c>
      <c r="I65" s="50">
        <v>678</v>
      </c>
      <c r="J65" s="50">
        <v>678</v>
      </c>
      <c r="K65" s="50"/>
      <c r="L65" s="36">
        <v>2018</v>
      </c>
      <c r="M65" s="50" t="s">
        <v>41</v>
      </c>
      <c r="N65" s="50" t="s">
        <v>1001</v>
      </c>
      <c r="U65" s="145" t="s">
        <v>121</v>
      </c>
      <c r="V65" s="135" t="s">
        <v>400</v>
      </c>
      <c r="W65" s="145" t="s">
        <v>123</v>
      </c>
      <c r="X65" s="145" t="s">
        <v>122</v>
      </c>
      <c r="Y65" s="145" t="s">
        <v>4</v>
      </c>
    </row>
    <row r="66" spans="1:25" ht="24" customHeight="1" x14ac:dyDescent="0.35">
      <c r="A66" s="103" t="s">
        <v>79</v>
      </c>
      <c r="B66" s="50" t="s">
        <v>41</v>
      </c>
      <c r="C66" s="50" t="s">
        <v>996</v>
      </c>
      <c r="D66" s="50" t="s">
        <v>995</v>
      </c>
      <c r="E66" s="50">
        <v>2975532</v>
      </c>
      <c r="F66" s="50">
        <v>994623</v>
      </c>
      <c r="G66" s="50">
        <v>781902</v>
      </c>
      <c r="H66" s="50">
        <v>33863</v>
      </c>
      <c r="I66" s="50">
        <v>4785920</v>
      </c>
      <c r="J66" s="50">
        <v>4785920</v>
      </c>
      <c r="K66" s="50"/>
      <c r="L66" s="36">
        <v>2018</v>
      </c>
      <c r="M66" s="50" t="s">
        <v>41</v>
      </c>
      <c r="N66" s="50" t="s">
        <v>1001</v>
      </c>
      <c r="U66" s="145" t="s">
        <v>124</v>
      </c>
      <c r="V66" s="135" t="s">
        <v>124</v>
      </c>
      <c r="W66" s="145" t="s">
        <v>126</v>
      </c>
      <c r="X66" s="145" t="s">
        <v>125</v>
      </c>
      <c r="Y66" s="145" t="s">
        <v>41</v>
      </c>
    </row>
    <row r="67" spans="1:25" ht="24" customHeight="1" x14ac:dyDescent="0.35">
      <c r="A67" s="103" t="s">
        <v>89</v>
      </c>
      <c r="B67" s="50" t="s">
        <v>41</v>
      </c>
      <c r="C67" s="50" t="s">
        <v>993</v>
      </c>
      <c r="D67" s="50" t="s">
        <v>997</v>
      </c>
      <c r="E67" s="50">
        <v>1</v>
      </c>
      <c r="F67" s="50">
        <v>0</v>
      </c>
      <c r="G67" s="50">
        <v>0</v>
      </c>
      <c r="H67" s="50">
        <v>0</v>
      </c>
      <c r="I67" s="50">
        <v>1</v>
      </c>
      <c r="J67" s="50">
        <v>1</v>
      </c>
      <c r="K67" s="50">
        <v>0</v>
      </c>
      <c r="L67" s="36">
        <v>2018</v>
      </c>
      <c r="M67" s="50" t="s">
        <v>41</v>
      </c>
      <c r="N67" s="50" t="s">
        <v>18</v>
      </c>
      <c r="U67" s="145" t="s">
        <v>51</v>
      </c>
      <c r="V67" s="135" t="s">
        <v>51</v>
      </c>
      <c r="W67" s="145" t="s">
        <v>53</v>
      </c>
      <c r="X67" s="145" t="s">
        <v>52</v>
      </c>
      <c r="Y67" s="145" t="s">
        <v>41</v>
      </c>
    </row>
    <row r="68" spans="1:25" ht="24" customHeight="1" x14ac:dyDescent="0.35">
      <c r="A68" s="103" t="s">
        <v>89</v>
      </c>
      <c r="B68" s="50" t="s">
        <v>41</v>
      </c>
      <c r="C68" s="50" t="s">
        <v>993</v>
      </c>
      <c r="D68" s="50" t="s">
        <v>994</v>
      </c>
      <c r="E68" s="50">
        <v>52</v>
      </c>
      <c r="F68" s="50">
        <v>0</v>
      </c>
      <c r="G68" s="50">
        <v>0</v>
      </c>
      <c r="H68" s="50">
        <v>0</v>
      </c>
      <c r="I68" s="50">
        <v>52</v>
      </c>
      <c r="J68" s="50">
        <v>52</v>
      </c>
      <c r="K68" s="50">
        <v>0</v>
      </c>
      <c r="L68" s="36">
        <v>2018</v>
      </c>
      <c r="M68" s="50" t="s">
        <v>41</v>
      </c>
      <c r="N68" s="50" t="s">
        <v>18</v>
      </c>
      <c r="U68" s="145" t="s">
        <v>67</v>
      </c>
      <c r="V68" s="135" t="s">
        <v>67</v>
      </c>
      <c r="W68" s="145" t="s">
        <v>69</v>
      </c>
      <c r="X68" s="145" t="s">
        <v>68</v>
      </c>
      <c r="Y68" s="145" t="s">
        <v>41</v>
      </c>
    </row>
    <row r="69" spans="1:25" ht="24" customHeight="1" x14ac:dyDescent="0.35">
      <c r="A69" s="103" t="s">
        <v>89</v>
      </c>
      <c r="B69" s="50" t="s">
        <v>41</v>
      </c>
      <c r="C69" s="50" t="s">
        <v>993</v>
      </c>
      <c r="D69" s="50" t="s">
        <v>995</v>
      </c>
      <c r="E69" s="50">
        <v>4382350</v>
      </c>
      <c r="F69" s="50">
        <v>0</v>
      </c>
      <c r="G69" s="50">
        <v>0</v>
      </c>
      <c r="H69" s="50">
        <v>0</v>
      </c>
      <c r="I69" s="50">
        <v>4382350</v>
      </c>
      <c r="J69" s="50"/>
      <c r="K69" s="50"/>
      <c r="L69" s="36">
        <v>2018</v>
      </c>
      <c r="M69" s="50" t="s">
        <v>41</v>
      </c>
      <c r="N69" s="50" t="s">
        <v>18</v>
      </c>
      <c r="U69" s="145" t="s">
        <v>128</v>
      </c>
      <c r="V69" s="135" t="s">
        <v>128</v>
      </c>
      <c r="W69" s="145" t="s">
        <v>130</v>
      </c>
      <c r="X69" s="145" t="s">
        <v>129</v>
      </c>
      <c r="Y69" s="145" t="s">
        <v>41</v>
      </c>
    </row>
    <row r="70" spans="1:25" ht="24" customHeight="1" x14ac:dyDescent="0.35">
      <c r="A70" s="103" t="s">
        <v>89</v>
      </c>
      <c r="B70" s="50" t="s">
        <v>41</v>
      </c>
      <c r="C70" s="50" t="s">
        <v>996</v>
      </c>
      <c r="D70" s="50" t="s">
        <v>997</v>
      </c>
      <c r="E70" s="50">
        <v>1</v>
      </c>
      <c r="F70" s="50">
        <v>39</v>
      </c>
      <c r="G70" s="50">
        <v>5</v>
      </c>
      <c r="H70" s="50">
        <v>4</v>
      </c>
      <c r="I70" s="50">
        <v>49</v>
      </c>
      <c r="J70" s="50">
        <v>49</v>
      </c>
      <c r="K70" s="50">
        <v>0</v>
      </c>
      <c r="L70" s="36">
        <v>2018</v>
      </c>
      <c r="M70" s="50" t="s">
        <v>41</v>
      </c>
      <c r="N70" s="50" t="s">
        <v>18</v>
      </c>
      <c r="U70" s="135" t="s">
        <v>248</v>
      </c>
      <c r="V70" s="135" t="s">
        <v>248</v>
      </c>
      <c r="W70" s="135" t="s">
        <v>249</v>
      </c>
      <c r="X70" s="135" t="s">
        <v>44</v>
      </c>
      <c r="Y70" s="135" t="s">
        <v>46</v>
      </c>
    </row>
    <row r="71" spans="1:25" ht="24" customHeight="1" x14ac:dyDescent="0.35">
      <c r="A71" s="103" t="s">
        <v>89</v>
      </c>
      <c r="B71" s="50" t="s">
        <v>41</v>
      </c>
      <c r="C71" s="50" t="s">
        <v>996</v>
      </c>
      <c r="D71" s="50" t="s">
        <v>994</v>
      </c>
      <c r="E71" s="50">
        <v>45</v>
      </c>
      <c r="F71" s="50">
        <v>30</v>
      </c>
      <c r="G71" s="50">
        <v>80</v>
      </c>
      <c r="H71" s="50">
        <v>40</v>
      </c>
      <c r="I71" s="50">
        <v>195</v>
      </c>
      <c r="J71" s="50">
        <v>195</v>
      </c>
      <c r="K71" s="50">
        <v>0</v>
      </c>
      <c r="L71" s="36">
        <v>2018</v>
      </c>
      <c r="M71" s="50" t="s">
        <v>41</v>
      </c>
      <c r="N71" s="50" t="s">
        <v>18</v>
      </c>
      <c r="U71" s="135" t="s">
        <v>250</v>
      </c>
      <c r="V71" s="135" t="s">
        <v>250</v>
      </c>
      <c r="W71" s="135" t="s">
        <v>251</v>
      </c>
      <c r="X71" s="135" t="s">
        <v>252</v>
      </c>
      <c r="Y71" s="135" t="s">
        <v>57</v>
      </c>
    </row>
    <row r="72" spans="1:25" ht="24" customHeight="1" x14ac:dyDescent="0.35">
      <c r="A72" s="103" t="s">
        <v>89</v>
      </c>
      <c r="B72" s="50" t="s">
        <v>41</v>
      </c>
      <c r="C72" s="50" t="s">
        <v>996</v>
      </c>
      <c r="D72" s="50" t="s">
        <v>995</v>
      </c>
      <c r="E72" s="50">
        <v>407380</v>
      </c>
      <c r="F72" s="50">
        <v>611070</v>
      </c>
      <c r="G72" s="50">
        <v>752770</v>
      </c>
      <c r="H72" s="50">
        <v>389660</v>
      </c>
      <c r="I72" s="50">
        <v>2160880</v>
      </c>
      <c r="J72" s="50">
        <v>2160890</v>
      </c>
      <c r="K72" s="50">
        <v>0</v>
      </c>
      <c r="L72" s="36">
        <v>2018</v>
      </c>
      <c r="M72" s="50" t="s">
        <v>41</v>
      </c>
      <c r="N72" s="50" t="s">
        <v>18</v>
      </c>
      <c r="U72" s="135" t="s">
        <v>250</v>
      </c>
      <c r="V72" s="135" t="s">
        <v>250</v>
      </c>
      <c r="W72" s="135" t="s">
        <v>254</v>
      </c>
      <c r="X72" s="135" t="s">
        <v>2</v>
      </c>
      <c r="Y72" s="135" t="s">
        <v>255</v>
      </c>
    </row>
    <row r="73" spans="1:25" ht="24" customHeight="1" x14ac:dyDescent="0.35">
      <c r="A73" s="103" t="s">
        <v>93</v>
      </c>
      <c r="B73" s="50" t="s">
        <v>41</v>
      </c>
      <c r="C73" s="50" t="s">
        <v>993</v>
      </c>
      <c r="D73" s="50" t="s">
        <v>997</v>
      </c>
      <c r="E73" s="50">
        <v>3</v>
      </c>
      <c r="F73" s="50">
        <v>0</v>
      </c>
      <c r="G73" s="50">
        <v>0</v>
      </c>
      <c r="H73" s="50">
        <v>0</v>
      </c>
      <c r="I73" s="50">
        <v>3</v>
      </c>
      <c r="J73" s="50">
        <v>3</v>
      </c>
      <c r="K73" s="50"/>
      <c r="L73" s="36">
        <v>2018</v>
      </c>
      <c r="M73" s="50" t="s">
        <v>41</v>
      </c>
      <c r="N73" s="50" t="s">
        <v>18</v>
      </c>
      <c r="U73" s="146" t="s">
        <v>428</v>
      </c>
      <c r="V73" s="135" t="s">
        <v>428</v>
      </c>
      <c r="W73" s="135" t="s">
        <v>257</v>
      </c>
      <c r="X73" s="135" t="s">
        <v>258</v>
      </c>
      <c r="Y73" s="135" t="s">
        <v>255</v>
      </c>
    </row>
    <row r="74" spans="1:25" ht="24" customHeight="1" x14ac:dyDescent="0.35">
      <c r="A74" s="103" t="s">
        <v>93</v>
      </c>
      <c r="B74" s="50" t="s">
        <v>41</v>
      </c>
      <c r="C74" s="50" t="s">
        <v>993</v>
      </c>
      <c r="D74" s="50" t="s">
        <v>994</v>
      </c>
      <c r="E74" s="50">
        <v>80</v>
      </c>
      <c r="F74" s="50">
        <v>1</v>
      </c>
      <c r="G74" s="50">
        <v>0</v>
      </c>
      <c r="H74" s="50">
        <v>0</v>
      </c>
      <c r="I74" s="50">
        <v>81</v>
      </c>
      <c r="J74" s="50">
        <v>81</v>
      </c>
      <c r="K74" s="50"/>
      <c r="L74" s="36">
        <v>2018</v>
      </c>
      <c r="M74" s="50" t="s">
        <v>41</v>
      </c>
      <c r="N74" s="50" t="s">
        <v>18</v>
      </c>
      <c r="U74" s="145" t="s">
        <v>133</v>
      </c>
      <c r="V74" s="135" t="s">
        <v>133</v>
      </c>
      <c r="W74" s="135" t="s">
        <v>260</v>
      </c>
      <c r="X74" s="135" t="s">
        <v>261</v>
      </c>
      <c r="Y74" s="135" t="s">
        <v>262</v>
      </c>
    </row>
    <row r="75" spans="1:25" ht="24" customHeight="1" x14ac:dyDescent="0.35">
      <c r="A75" s="103" t="s">
        <v>93</v>
      </c>
      <c r="B75" s="50" t="s">
        <v>41</v>
      </c>
      <c r="C75" s="50" t="s">
        <v>993</v>
      </c>
      <c r="D75" s="50" t="s">
        <v>995</v>
      </c>
      <c r="E75" s="50">
        <v>1702729</v>
      </c>
      <c r="F75" s="50">
        <v>4859</v>
      </c>
      <c r="G75" s="50">
        <v>0</v>
      </c>
      <c r="H75" s="50">
        <v>0</v>
      </c>
      <c r="I75" s="50">
        <v>1707588</v>
      </c>
      <c r="J75" s="50"/>
      <c r="K75" s="50"/>
      <c r="L75" s="36">
        <v>2018</v>
      </c>
      <c r="M75" s="50" t="s">
        <v>41</v>
      </c>
      <c r="N75" s="50" t="s">
        <v>18</v>
      </c>
      <c r="U75" s="135" t="s">
        <v>14</v>
      </c>
      <c r="V75" s="135" t="s">
        <v>14</v>
      </c>
      <c r="W75" s="135" t="s">
        <v>137</v>
      </c>
      <c r="X75" s="135" t="s">
        <v>15</v>
      </c>
      <c r="Y75" s="135" t="s">
        <v>255</v>
      </c>
    </row>
    <row r="76" spans="1:25" ht="24" customHeight="1" x14ac:dyDescent="0.35">
      <c r="A76" s="103" t="s">
        <v>93</v>
      </c>
      <c r="B76" s="50" t="s">
        <v>41</v>
      </c>
      <c r="C76" s="50" t="s">
        <v>996</v>
      </c>
      <c r="D76" s="50" t="s">
        <v>997</v>
      </c>
      <c r="E76" s="50">
        <v>10</v>
      </c>
      <c r="F76" s="50">
        <v>3</v>
      </c>
      <c r="G76" s="50">
        <v>6</v>
      </c>
      <c r="H76" s="50">
        <v>0</v>
      </c>
      <c r="I76" s="50">
        <v>19</v>
      </c>
      <c r="J76" s="50">
        <v>19</v>
      </c>
      <c r="K76" s="50"/>
      <c r="L76" s="36">
        <v>2018</v>
      </c>
      <c r="M76" s="50" t="s">
        <v>41</v>
      </c>
      <c r="N76" s="50" t="s">
        <v>18</v>
      </c>
      <c r="U76" s="135" t="s">
        <v>14</v>
      </c>
      <c r="V76" s="135" t="s">
        <v>14</v>
      </c>
      <c r="W76" s="135" t="s">
        <v>22</v>
      </c>
      <c r="X76" s="135" t="s">
        <v>263</v>
      </c>
      <c r="Y76" s="135" t="s">
        <v>255</v>
      </c>
    </row>
    <row r="77" spans="1:25" ht="24" customHeight="1" x14ac:dyDescent="0.35">
      <c r="A77" s="103" t="s">
        <v>93</v>
      </c>
      <c r="B77" s="50" t="s">
        <v>41</v>
      </c>
      <c r="C77" s="50" t="s">
        <v>996</v>
      </c>
      <c r="D77" s="50" t="s">
        <v>994</v>
      </c>
      <c r="E77" s="50">
        <v>64</v>
      </c>
      <c r="F77" s="50">
        <v>33</v>
      </c>
      <c r="G77" s="50">
        <v>130</v>
      </c>
      <c r="H77" s="50">
        <v>63</v>
      </c>
      <c r="I77" s="50">
        <v>290</v>
      </c>
      <c r="J77" s="50">
        <v>290</v>
      </c>
      <c r="K77" s="50"/>
      <c r="L77" s="36">
        <v>2018</v>
      </c>
      <c r="M77" s="50" t="s">
        <v>41</v>
      </c>
      <c r="N77" s="50" t="s">
        <v>18</v>
      </c>
      <c r="U77" s="135" t="s">
        <v>264</v>
      </c>
      <c r="V77" s="135" t="s">
        <v>264</v>
      </c>
      <c r="W77" s="135" t="s">
        <v>265</v>
      </c>
      <c r="X77" s="135" t="s">
        <v>266</v>
      </c>
      <c r="Y77" s="135" t="s">
        <v>255</v>
      </c>
    </row>
    <row r="78" spans="1:25" ht="24" customHeight="1" x14ac:dyDescent="0.35">
      <c r="A78" s="103" t="s">
        <v>93</v>
      </c>
      <c r="B78" s="50" t="s">
        <v>41</v>
      </c>
      <c r="C78" s="50" t="s">
        <v>996</v>
      </c>
      <c r="D78" s="50" t="s">
        <v>995</v>
      </c>
      <c r="E78" s="50">
        <v>281439</v>
      </c>
      <c r="F78" s="50">
        <v>484810</v>
      </c>
      <c r="G78" s="50">
        <v>2127547</v>
      </c>
      <c r="H78" s="50">
        <v>701144</v>
      </c>
      <c r="I78" s="50">
        <v>3594940</v>
      </c>
      <c r="J78" s="50">
        <v>5694940</v>
      </c>
      <c r="K78" s="50"/>
      <c r="L78" s="36">
        <v>2018</v>
      </c>
      <c r="M78" s="50" t="s">
        <v>41</v>
      </c>
      <c r="N78" s="50" t="s">
        <v>18</v>
      </c>
      <c r="U78" s="135" t="s">
        <v>264</v>
      </c>
      <c r="V78" s="135" t="s">
        <v>264</v>
      </c>
      <c r="W78" s="135" t="s">
        <v>267</v>
      </c>
      <c r="X78" s="135" t="s">
        <v>268</v>
      </c>
      <c r="Y78" s="135" t="s">
        <v>46</v>
      </c>
    </row>
    <row r="79" spans="1:25" ht="24" customHeight="1" x14ac:dyDescent="0.35">
      <c r="A79" s="103" t="s">
        <v>96</v>
      </c>
      <c r="B79" s="50" t="s">
        <v>4</v>
      </c>
      <c r="C79" s="50" t="s">
        <v>996</v>
      </c>
      <c r="D79" s="50" t="s">
        <v>994</v>
      </c>
      <c r="E79" s="50">
        <v>7</v>
      </c>
      <c r="F79" s="50">
        <v>6</v>
      </c>
      <c r="G79" s="50">
        <v>9</v>
      </c>
      <c r="H79" s="50">
        <v>4</v>
      </c>
      <c r="I79" s="50">
        <v>26</v>
      </c>
      <c r="J79" s="50">
        <v>26</v>
      </c>
      <c r="K79" s="50"/>
      <c r="L79" s="36">
        <v>2018</v>
      </c>
      <c r="M79" s="50" t="s">
        <v>255</v>
      </c>
      <c r="N79" s="50" t="s">
        <v>18</v>
      </c>
      <c r="U79" s="149" t="s">
        <v>444</v>
      </c>
      <c r="V79" s="135" t="s">
        <v>444</v>
      </c>
      <c r="W79" s="135" t="s">
        <v>270</v>
      </c>
      <c r="X79" s="135" t="s">
        <v>44</v>
      </c>
      <c r="Y79" s="135" t="s">
        <v>46</v>
      </c>
    </row>
    <row r="80" spans="1:25" ht="24" customHeight="1" x14ac:dyDescent="0.35">
      <c r="A80" s="103" t="s">
        <v>96</v>
      </c>
      <c r="B80" s="50" t="s">
        <v>4</v>
      </c>
      <c r="C80" s="50" t="s">
        <v>996</v>
      </c>
      <c r="D80" s="50" t="s">
        <v>995</v>
      </c>
      <c r="E80" s="50">
        <v>193354</v>
      </c>
      <c r="F80" s="50">
        <v>176552</v>
      </c>
      <c r="G80" s="50">
        <v>93524</v>
      </c>
      <c r="H80" s="50">
        <v>36391</v>
      </c>
      <c r="I80" s="50">
        <v>499821</v>
      </c>
      <c r="J80" s="50">
        <v>499820</v>
      </c>
      <c r="K80" s="50"/>
      <c r="L80" s="36">
        <v>2018</v>
      </c>
      <c r="M80" s="50" t="s">
        <v>255</v>
      </c>
      <c r="N80" s="50" t="s">
        <v>18</v>
      </c>
      <c r="U80" s="146" t="s">
        <v>445</v>
      </c>
      <c r="V80" s="135" t="s">
        <v>445</v>
      </c>
      <c r="W80" s="135" t="s">
        <v>271</v>
      </c>
      <c r="X80" s="135" t="s">
        <v>272</v>
      </c>
      <c r="Y80" s="135" t="s">
        <v>255</v>
      </c>
    </row>
    <row r="81" spans="1:25" ht="24" customHeight="1" x14ac:dyDescent="0.35">
      <c r="A81" s="103" t="s">
        <v>101</v>
      </c>
      <c r="B81" s="50" t="s">
        <v>41</v>
      </c>
      <c r="C81" s="50" t="s">
        <v>993</v>
      </c>
      <c r="D81" s="50" t="s">
        <v>997</v>
      </c>
      <c r="E81" s="50">
        <v>0</v>
      </c>
      <c r="F81" s="50">
        <v>0</v>
      </c>
      <c r="G81" s="50">
        <v>0</v>
      </c>
      <c r="H81" s="50"/>
      <c r="I81" s="50">
        <v>0</v>
      </c>
      <c r="J81" s="50"/>
      <c r="K81" s="50"/>
      <c r="L81" s="36">
        <v>2018</v>
      </c>
      <c r="M81" s="50" t="s">
        <v>41</v>
      </c>
      <c r="N81" s="50" t="s">
        <v>104</v>
      </c>
      <c r="U81" s="135" t="s">
        <v>273</v>
      </c>
      <c r="V81" s="135" t="s">
        <v>273</v>
      </c>
      <c r="W81" s="135" t="s">
        <v>274</v>
      </c>
      <c r="X81" s="135" t="s">
        <v>275</v>
      </c>
      <c r="Y81" s="135" t="s">
        <v>255</v>
      </c>
    </row>
    <row r="82" spans="1:25" ht="24" customHeight="1" x14ac:dyDescent="0.35">
      <c r="A82" s="103" t="s">
        <v>101</v>
      </c>
      <c r="B82" s="50" t="s">
        <v>41</v>
      </c>
      <c r="C82" s="50" t="s">
        <v>993</v>
      </c>
      <c r="D82" s="50" t="s">
        <v>994</v>
      </c>
      <c r="E82" s="50">
        <v>1</v>
      </c>
      <c r="F82" s="50">
        <v>0</v>
      </c>
      <c r="G82" s="50">
        <v>1</v>
      </c>
      <c r="H82" s="50">
        <v>0</v>
      </c>
      <c r="I82" s="50">
        <v>2</v>
      </c>
      <c r="J82" s="50"/>
      <c r="K82" s="50"/>
      <c r="L82" s="36">
        <v>2018</v>
      </c>
      <c r="M82" s="50" t="s">
        <v>41</v>
      </c>
      <c r="N82" s="50" t="s">
        <v>104</v>
      </c>
      <c r="U82" s="135" t="s">
        <v>276</v>
      </c>
      <c r="V82" s="135" t="s">
        <v>276</v>
      </c>
      <c r="W82" s="135" t="s">
        <v>277</v>
      </c>
      <c r="X82" s="135" t="s">
        <v>31</v>
      </c>
      <c r="Y82" s="135" t="s">
        <v>255</v>
      </c>
    </row>
    <row r="83" spans="1:25" ht="24" customHeight="1" x14ac:dyDescent="0.35">
      <c r="A83" s="103" t="s">
        <v>101</v>
      </c>
      <c r="B83" s="50" t="s">
        <v>41</v>
      </c>
      <c r="C83" s="50" t="s">
        <v>993</v>
      </c>
      <c r="D83" s="50" t="s">
        <v>995</v>
      </c>
      <c r="E83" s="50">
        <v>22804.036</v>
      </c>
      <c r="F83" s="50">
        <v>0</v>
      </c>
      <c r="G83" s="50">
        <v>5398.1279999999997</v>
      </c>
      <c r="H83" s="50"/>
      <c r="I83" s="50">
        <v>28202.164000000001</v>
      </c>
      <c r="J83" s="50"/>
      <c r="K83" s="50"/>
      <c r="L83" s="36">
        <v>2018</v>
      </c>
      <c r="M83" s="50" t="s">
        <v>41</v>
      </c>
      <c r="N83" s="50" t="s">
        <v>104</v>
      </c>
      <c r="U83" s="135" t="s">
        <v>278</v>
      </c>
      <c r="V83" s="135" t="s">
        <v>142</v>
      </c>
      <c r="W83" s="135" t="s">
        <v>279</v>
      </c>
      <c r="X83" s="135" t="s">
        <v>147</v>
      </c>
      <c r="Y83" s="135" t="s">
        <v>255</v>
      </c>
    </row>
    <row r="84" spans="1:25" ht="24" customHeight="1" x14ac:dyDescent="0.35">
      <c r="A84" s="103" t="s">
        <v>101</v>
      </c>
      <c r="B84" s="50" t="s">
        <v>41</v>
      </c>
      <c r="C84" s="50" t="s">
        <v>996</v>
      </c>
      <c r="D84" s="50" t="s">
        <v>995</v>
      </c>
      <c r="E84" s="50">
        <v>34931.71</v>
      </c>
      <c r="F84" s="50">
        <v>46368</v>
      </c>
      <c r="G84" s="50">
        <v>76046.827000000005</v>
      </c>
      <c r="H84" s="50">
        <v>165100</v>
      </c>
      <c r="I84" s="50">
        <v>322446.53700000001</v>
      </c>
      <c r="J84" s="50"/>
      <c r="K84" s="50"/>
      <c r="L84" s="36">
        <v>2018</v>
      </c>
      <c r="M84" s="50" t="s">
        <v>41</v>
      </c>
      <c r="N84" s="50" t="s">
        <v>104</v>
      </c>
      <c r="U84" s="135" t="s">
        <v>278</v>
      </c>
      <c r="V84" s="135" t="s">
        <v>142</v>
      </c>
      <c r="W84" s="135" t="s">
        <v>280</v>
      </c>
      <c r="X84" s="135" t="s">
        <v>281</v>
      </c>
      <c r="Y84" s="135" t="s">
        <v>255</v>
      </c>
    </row>
    <row r="85" spans="1:25" ht="24" customHeight="1" x14ac:dyDescent="0.35">
      <c r="A85" s="103" t="s">
        <v>101</v>
      </c>
      <c r="B85" s="50" t="s">
        <v>41</v>
      </c>
      <c r="C85" s="50" t="s">
        <v>996</v>
      </c>
      <c r="D85" s="50" t="s">
        <v>997</v>
      </c>
      <c r="E85" s="50">
        <v>0</v>
      </c>
      <c r="F85" s="50">
        <v>0</v>
      </c>
      <c r="G85" s="50">
        <v>1</v>
      </c>
      <c r="H85" s="50">
        <v>2</v>
      </c>
      <c r="I85" s="50">
        <v>3</v>
      </c>
      <c r="J85" s="50"/>
      <c r="K85" s="50"/>
      <c r="L85" s="36">
        <v>2018</v>
      </c>
      <c r="M85" s="50" t="s">
        <v>41</v>
      </c>
      <c r="N85" s="50" t="s">
        <v>104</v>
      </c>
      <c r="U85" s="135" t="s">
        <v>282</v>
      </c>
      <c r="V85" s="135" t="s">
        <v>282</v>
      </c>
      <c r="W85" s="135" t="s">
        <v>283</v>
      </c>
      <c r="X85" s="135" t="s">
        <v>284</v>
      </c>
      <c r="Y85" s="135" t="s">
        <v>255</v>
      </c>
    </row>
    <row r="86" spans="1:25" ht="24" customHeight="1" x14ac:dyDescent="0.35">
      <c r="A86" s="103" t="s">
        <v>101</v>
      </c>
      <c r="B86" s="50" t="s">
        <v>41</v>
      </c>
      <c r="C86" s="50" t="s">
        <v>996</v>
      </c>
      <c r="D86" s="50" t="s">
        <v>994</v>
      </c>
      <c r="E86" s="50">
        <v>2</v>
      </c>
      <c r="F86" s="50">
        <v>5</v>
      </c>
      <c r="G86" s="50">
        <v>13</v>
      </c>
      <c r="H86" s="50">
        <v>59</v>
      </c>
      <c r="I86" s="50">
        <v>79</v>
      </c>
      <c r="J86" s="50"/>
      <c r="K86" s="50"/>
      <c r="L86" s="36">
        <v>2018</v>
      </c>
      <c r="M86" s="50" t="s">
        <v>41</v>
      </c>
      <c r="N86" s="50" t="s">
        <v>104</v>
      </c>
      <c r="U86" s="135" t="s">
        <v>285</v>
      </c>
      <c r="V86" s="135" t="s">
        <v>285</v>
      </c>
      <c r="W86" s="135" t="s">
        <v>286</v>
      </c>
      <c r="X86" s="135" t="s">
        <v>287</v>
      </c>
      <c r="Y86" s="135" t="s">
        <v>262</v>
      </c>
    </row>
    <row r="87" spans="1:25" ht="24" customHeight="1" x14ac:dyDescent="0.35">
      <c r="A87" s="103" t="s">
        <v>106</v>
      </c>
      <c r="B87" s="50" t="s">
        <v>57</v>
      </c>
      <c r="C87" s="50" t="s">
        <v>993</v>
      </c>
      <c r="D87" s="50" t="s">
        <v>994</v>
      </c>
      <c r="E87" s="50"/>
      <c r="F87" s="50">
        <v>1</v>
      </c>
      <c r="G87" s="50"/>
      <c r="H87" s="50"/>
      <c r="I87" s="50">
        <v>1</v>
      </c>
      <c r="J87" s="50"/>
      <c r="K87" s="50"/>
      <c r="L87" s="36">
        <v>2018</v>
      </c>
      <c r="M87" s="50" t="s">
        <v>57</v>
      </c>
      <c r="N87" s="50" t="s">
        <v>6</v>
      </c>
      <c r="U87" s="135" t="s">
        <v>289</v>
      </c>
      <c r="V87" s="135" t="s">
        <v>151</v>
      </c>
      <c r="W87" s="135" t="s">
        <v>290</v>
      </c>
      <c r="X87" s="135" t="s">
        <v>291</v>
      </c>
      <c r="Y87" s="135" t="s">
        <v>46</v>
      </c>
    </row>
    <row r="88" spans="1:25" ht="24" customHeight="1" x14ac:dyDescent="0.35">
      <c r="A88" s="103" t="s">
        <v>106</v>
      </c>
      <c r="B88" s="50" t="s">
        <v>57</v>
      </c>
      <c r="C88" s="50" t="s">
        <v>993</v>
      </c>
      <c r="D88" s="50" t="s">
        <v>995</v>
      </c>
      <c r="E88" s="50"/>
      <c r="F88" s="50">
        <v>28073</v>
      </c>
      <c r="G88" s="50"/>
      <c r="H88" s="50">
        <v>28073</v>
      </c>
      <c r="I88" s="50">
        <v>56146</v>
      </c>
      <c r="J88" s="50"/>
      <c r="K88" s="50"/>
      <c r="L88" s="36">
        <v>2018</v>
      </c>
      <c r="M88" s="50" t="s">
        <v>57</v>
      </c>
      <c r="N88" s="50" t="s">
        <v>6</v>
      </c>
      <c r="U88" s="135" t="s">
        <v>292</v>
      </c>
      <c r="V88" s="135" t="s">
        <v>292</v>
      </c>
      <c r="W88" s="135" t="s">
        <v>293</v>
      </c>
      <c r="X88" s="135" t="s">
        <v>155</v>
      </c>
      <c r="Y88" s="135" t="s">
        <v>255</v>
      </c>
    </row>
    <row r="89" spans="1:25" ht="24" customHeight="1" x14ac:dyDescent="0.35">
      <c r="A89" s="103" t="s">
        <v>106</v>
      </c>
      <c r="B89" s="50" t="s">
        <v>57</v>
      </c>
      <c r="C89" s="50" t="s">
        <v>996</v>
      </c>
      <c r="D89" s="50" t="s">
        <v>997</v>
      </c>
      <c r="E89" s="50"/>
      <c r="F89" s="50">
        <v>6</v>
      </c>
      <c r="G89" s="50">
        <v>3</v>
      </c>
      <c r="H89" s="50">
        <v>2</v>
      </c>
      <c r="I89" s="50">
        <v>11</v>
      </c>
      <c r="J89" s="50"/>
      <c r="K89" s="50"/>
      <c r="L89" s="36">
        <v>2018</v>
      </c>
      <c r="M89" s="50" t="s">
        <v>57</v>
      </c>
      <c r="N89" s="50" t="s">
        <v>6</v>
      </c>
      <c r="U89" s="135" t="s">
        <v>294</v>
      </c>
      <c r="V89" s="135" t="s">
        <v>459</v>
      </c>
      <c r="W89" s="135" t="s">
        <v>295</v>
      </c>
      <c r="X89" s="135" t="s">
        <v>296</v>
      </c>
      <c r="Y89" s="135" t="s">
        <v>255</v>
      </c>
    </row>
    <row r="90" spans="1:25" ht="24" customHeight="1" x14ac:dyDescent="0.35">
      <c r="A90" s="103" t="s">
        <v>106</v>
      </c>
      <c r="B90" s="50" t="s">
        <v>57</v>
      </c>
      <c r="C90" s="50" t="s">
        <v>996</v>
      </c>
      <c r="D90" s="50" t="s">
        <v>994</v>
      </c>
      <c r="E90" s="50">
        <v>2</v>
      </c>
      <c r="F90" s="50">
        <v>33</v>
      </c>
      <c r="G90" s="50">
        <v>59</v>
      </c>
      <c r="H90" s="50">
        <v>60</v>
      </c>
      <c r="I90" s="50">
        <v>154</v>
      </c>
      <c r="J90" s="50"/>
      <c r="K90" s="50"/>
      <c r="L90" s="36">
        <v>2018</v>
      </c>
      <c r="M90" s="50" t="s">
        <v>57</v>
      </c>
      <c r="N90" s="50" t="s">
        <v>6</v>
      </c>
      <c r="U90" s="135" t="s">
        <v>298</v>
      </c>
      <c r="V90" s="135" t="s">
        <v>463</v>
      </c>
      <c r="W90" s="135" t="s">
        <v>299</v>
      </c>
      <c r="X90" s="135" t="s">
        <v>52</v>
      </c>
      <c r="Y90" s="135" t="s">
        <v>255</v>
      </c>
    </row>
    <row r="91" spans="1:25" ht="24" customHeight="1" x14ac:dyDescent="0.35">
      <c r="A91" s="103" t="s">
        <v>106</v>
      </c>
      <c r="B91" s="50" t="s">
        <v>57</v>
      </c>
      <c r="C91" s="50" t="s">
        <v>996</v>
      </c>
      <c r="D91" s="50" t="s">
        <v>995</v>
      </c>
      <c r="E91" s="50">
        <v>39262</v>
      </c>
      <c r="F91" s="50">
        <v>232389</v>
      </c>
      <c r="G91" s="50">
        <v>255548</v>
      </c>
      <c r="H91" s="50">
        <v>206721</v>
      </c>
      <c r="I91" s="50">
        <v>733920</v>
      </c>
      <c r="J91" s="50"/>
      <c r="K91" s="50"/>
      <c r="L91" s="36">
        <v>2018</v>
      </c>
      <c r="M91" s="50" t="s">
        <v>57</v>
      </c>
      <c r="N91" s="50" t="s">
        <v>6</v>
      </c>
      <c r="U91" s="135" t="s">
        <v>300</v>
      </c>
      <c r="V91" s="135" t="s">
        <v>79</v>
      </c>
      <c r="W91" s="135" t="s">
        <v>301</v>
      </c>
      <c r="X91" s="135" t="s">
        <v>302</v>
      </c>
      <c r="Y91" s="135" t="s">
        <v>41</v>
      </c>
    </row>
    <row r="92" spans="1:25" ht="24" customHeight="1" x14ac:dyDescent="0.35">
      <c r="A92" s="103" t="s">
        <v>110</v>
      </c>
      <c r="B92" s="50" t="s">
        <v>41</v>
      </c>
      <c r="C92" s="50" t="s">
        <v>993</v>
      </c>
      <c r="D92" s="50" t="s">
        <v>997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/>
      <c r="K92" s="50"/>
      <c r="L92" s="36">
        <v>2018</v>
      </c>
      <c r="M92" s="50" t="s">
        <v>41</v>
      </c>
      <c r="N92" s="50" t="s">
        <v>104</v>
      </c>
      <c r="U92" s="135" t="s">
        <v>300</v>
      </c>
      <c r="V92" s="135" t="s">
        <v>79</v>
      </c>
      <c r="W92" s="135" t="s">
        <v>303</v>
      </c>
      <c r="X92" s="135" t="s">
        <v>304</v>
      </c>
      <c r="Y92" s="135" t="s">
        <v>41</v>
      </c>
    </row>
    <row r="93" spans="1:25" ht="24" customHeight="1" x14ac:dyDescent="0.35">
      <c r="A93" s="103" t="s">
        <v>110</v>
      </c>
      <c r="B93" s="50" t="s">
        <v>41</v>
      </c>
      <c r="C93" s="50" t="s">
        <v>993</v>
      </c>
      <c r="D93" s="50" t="s">
        <v>994</v>
      </c>
      <c r="E93" s="50">
        <v>2</v>
      </c>
      <c r="F93" s="50">
        <v>0</v>
      </c>
      <c r="G93" s="50">
        <v>0</v>
      </c>
      <c r="H93" s="50">
        <v>0</v>
      </c>
      <c r="I93" s="50">
        <v>2</v>
      </c>
      <c r="J93" s="50"/>
      <c r="K93" s="50"/>
      <c r="L93" s="36">
        <v>2018</v>
      </c>
      <c r="M93" s="50" t="s">
        <v>41</v>
      </c>
      <c r="N93" s="50" t="s">
        <v>104</v>
      </c>
      <c r="U93" s="135" t="s">
        <v>43</v>
      </c>
      <c r="V93" s="135" t="s">
        <v>470</v>
      </c>
      <c r="W93" s="135" t="s">
        <v>305</v>
      </c>
      <c r="X93" s="135" t="s">
        <v>44</v>
      </c>
      <c r="Y93" s="135" t="s">
        <v>46</v>
      </c>
    </row>
    <row r="94" spans="1:25" ht="24" customHeight="1" x14ac:dyDescent="0.35">
      <c r="A94" s="103" t="s">
        <v>110</v>
      </c>
      <c r="B94" s="50" t="s">
        <v>41</v>
      </c>
      <c r="C94" s="50" t="s">
        <v>993</v>
      </c>
      <c r="D94" s="50" t="s">
        <v>995</v>
      </c>
      <c r="E94" s="50">
        <v>48541</v>
      </c>
      <c r="F94" s="50">
        <v>0</v>
      </c>
      <c r="G94" s="50">
        <v>0</v>
      </c>
      <c r="H94" s="50">
        <v>0</v>
      </c>
      <c r="I94" s="50">
        <v>48541</v>
      </c>
      <c r="J94" s="50"/>
      <c r="K94" s="50"/>
      <c r="L94" s="36">
        <v>2018</v>
      </c>
      <c r="M94" s="50" t="s">
        <v>41</v>
      </c>
      <c r="N94" s="50" t="s">
        <v>104</v>
      </c>
      <c r="U94" s="135" t="s">
        <v>43</v>
      </c>
      <c r="V94" s="135" t="s">
        <v>470</v>
      </c>
      <c r="W94" s="135" t="s">
        <v>306</v>
      </c>
      <c r="X94" s="135" t="s">
        <v>49</v>
      </c>
      <c r="Y94" s="135" t="s">
        <v>46</v>
      </c>
    </row>
    <row r="95" spans="1:25" ht="24" customHeight="1" x14ac:dyDescent="0.35">
      <c r="A95" s="103" t="s">
        <v>110</v>
      </c>
      <c r="B95" s="50" t="s">
        <v>41</v>
      </c>
      <c r="C95" s="50" t="s">
        <v>996</v>
      </c>
      <c r="D95" s="50" t="s">
        <v>997</v>
      </c>
      <c r="E95" s="50">
        <v>1</v>
      </c>
      <c r="F95" s="50">
        <v>0</v>
      </c>
      <c r="G95" s="50">
        <v>7</v>
      </c>
      <c r="H95" s="50">
        <v>2</v>
      </c>
      <c r="I95" s="50">
        <v>10</v>
      </c>
      <c r="J95" s="50">
        <v>8</v>
      </c>
      <c r="K95" s="50">
        <v>2</v>
      </c>
      <c r="L95" s="36">
        <v>2018</v>
      </c>
      <c r="M95" s="50" t="s">
        <v>41</v>
      </c>
      <c r="N95" s="50" t="s">
        <v>104</v>
      </c>
      <c r="U95" s="135" t="s">
        <v>43</v>
      </c>
      <c r="V95" s="135" t="s">
        <v>470</v>
      </c>
      <c r="W95" s="135" t="s">
        <v>307</v>
      </c>
      <c r="X95" s="135" t="s">
        <v>44</v>
      </c>
      <c r="Y95" s="135" t="s">
        <v>46</v>
      </c>
    </row>
    <row r="96" spans="1:25" ht="24" customHeight="1" x14ac:dyDescent="0.35">
      <c r="A96" s="103" t="s">
        <v>110</v>
      </c>
      <c r="B96" s="50" t="s">
        <v>41</v>
      </c>
      <c r="C96" s="50" t="s">
        <v>996</v>
      </c>
      <c r="D96" s="50" t="s">
        <v>994</v>
      </c>
      <c r="E96" s="50">
        <v>2</v>
      </c>
      <c r="F96" s="50">
        <v>0</v>
      </c>
      <c r="G96" s="50">
        <v>31</v>
      </c>
      <c r="H96" s="50">
        <v>41</v>
      </c>
      <c r="I96" s="50">
        <v>74</v>
      </c>
      <c r="J96" s="50">
        <v>70</v>
      </c>
      <c r="K96" s="50">
        <v>0</v>
      </c>
      <c r="L96" s="36">
        <v>2018</v>
      </c>
      <c r="M96" s="50" t="s">
        <v>41</v>
      </c>
      <c r="N96" s="50" t="s">
        <v>104</v>
      </c>
      <c r="U96" s="135" t="s">
        <v>43</v>
      </c>
      <c r="V96" s="135" t="s">
        <v>470</v>
      </c>
      <c r="W96" s="135" t="s">
        <v>308</v>
      </c>
      <c r="X96" s="135" t="s">
        <v>49</v>
      </c>
      <c r="Y96" s="135" t="s">
        <v>46</v>
      </c>
    </row>
    <row r="97" spans="1:25" ht="24" customHeight="1" x14ac:dyDescent="0.35">
      <c r="A97" s="103" t="s">
        <v>110</v>
      </c>
      <c r="B97" s="50" t="s">
        <v>41</v>
      </c>
      <c r="C97" s="50" t="s">
        <v>996</v>
      </c>
      <c r="D97" s="50" t="s">
        <v>995</v>
      </c>
      <c r="E97" s="50">
        <v>36917</v>
      </c>
      <c r="F97" s="50">
        <v>0</v>
      </c>
      <c r="G97" s="50">
        <v>183224</v>
      </c>
      <c r="H97" s="50">
        <v>118065</v>
      </c>
      <c r="I97" s="50">
        <v>338206</v>
      </c>
      <c r="J97" s="50">
        <v>336172</v>
      </c>
      <c r="K97" s="50">
        <v>2034</v>
      </c>
      <c r="L97" s="36">
        <v>2018</v>
      </c>
      <c r="M97" s="50" t="s">
        <v>41</v>
      </c>
      <c r="N97" s="50" t="s">
        <v>104</v>
      </c>
      <c r="U97" s="135" t="s">
        <v>43</v>
      </c>
      <c r="V97" s="135" t="s">
        <v>470</v>
      </c>
      <c r="W97" s="135" t="s">
        <v>309</v>
      </c>
      <c r="X97" s="135" t="s">
        <v>49</v>
      </c>
      <c r="Y97" s="135" t="s">
        <v>46</v>
      </c>
    </row>
    <row r="98" spans="1:25" ht="24" customHeight="1" x14ac:dyDescent="0.35">
      <c r="A98" s="103" t="s">
        <v>112</v>
      </c>
      <c r="B98" s="50" t="s">
        <v>46</v>
      </c>
      <c r="C98" s="50" t="s">
        <v>993</v>
      </c>
      <c r="D98" s="50" t="s">
        <v>994</v>
      </c>
      <c r="E98" s="50">
        <v>3</v>
      </c>
      <c r="F98" s="50"/>
      <c r="G98" s="50"/>
      <c r="H98" s="50"/>
      <c r="I98" s="50">
        <v>3</v>
      </c>
      <c r="J98" s="50"/>
      <c r="K98" s="50">
        <v>3</v>
      </c>
      <c r="L98" s="36">
        <v>2018</v>
      </c>
      <c r="M98" s="50" t="s">
        <v>46</v>
      </c>
      <c r="N98" s="50" t="s">
        <v>114</v>
      </c>
      <c r="U98" s="135" t="s">
        <v>43</v>
      </c>
      <c r="V98" s="135" t="s">
        <v>470</v>
      </c>
      <c r="W98" s="135" t="s">
        <v>310</v>
      </c>
      <c r="X98" s="135" t="s">
        <v>44</v>
      </c>
      <c r="Y98" s="135" t="s">
        <v>46</v>
      </c>
    </row>
    <row r="99" spans="1:25" ht="24" customHeight="1" x14ac:dyDescent="0.35">
      <c r="A99" s="103" t="s">
        <v>112</v>
      </c>
      <c r="B99" s="50" t="s">
        <v>46</v>
      </c>
      <c r="C99" s="50" t="s">
        <v>993</v>
      </c>
      <c r="D99" s="50" t="s">
        <v>995</v>
      </c>
      <c r="E99" s="50">
        <v>9649</v>
      </c>
      <c r="F99" s="50"/>
      <c r="G99" s="50"/>
      <c r="H99" s="50"/>
      <c r="I99" s="50">
        <v>9649</v>
      </c>
      <c r="J99" s="50"/>
      <c r="K99" s="50"/>
      <c r="L99" s="36">
        <v>2018</v>
      </c>
      <c r="M99" s="50" t="s">
        <v>46</v>
      </c>
      <c r="N99" s="50" t="s">
        <v>114</v>
      </c>
      <c r="U99" s="135" t="s">
        <v>311</v>
      </c>
      <c r="V99" s="135" t="s">
        <v>311</v>
      </c>
      <c r="W99" s="135" t="s">
        <v>312</v>
      </c>
      <c r="X99" s="135" t="s">
        <v>313</v>
      </c>
      <c r="Y99" s="135" t="s">
        <v>255</v>
      </c>
    </row>
    <row r="100" spans="1:25" ht="24" customHeight="1" x14ac:dyDescent="0.35">
      <c r="A100" s="103" t="s">
        <v>112</v>
      </c>
      <c r="B100" s="50" t="s">
        <v>46</v>
      </c>
      <c r="C100" s="50" t="s">
        <v>996</v>
      </c>
      <c r="D100" s="50" t="s">
        <v>997</v>
      </c>
      <c r="E100" s="50">
        <v>0</v>
      </c>
      <c r="F100" s="50">
        <v>0</v>
      </c>
      <c r="G100" s="50">
        <v>2</v>
      </c>
      <c r="H100" s="50">
        <v>1</v>
      </c>
      <c r="I100" s="50">
        <v>3</v>
      </c>
      <c r="J100" s="50"/>
      <c r="K100" s="50">
        <v>3</v>
      </c>
      <c r="L100" s="36">
        <v>2018</v>
      </c>
      <c r="M100" s="50" t="s">
        <v>46</v>
      </c>
      <c r="N100" s="50" t="s">
        <v>114</v>
      </c>
      <c r="U100" s="135" t="s">
        <v>314</v>
      </c>
      <c r="V100" s="135" t="s">
        <v>314</v>
      </c>
      <c r="W100" s="135" t="s">
        <v>315</v>
      </c>
      <c r="X100" s="135" t="s">
        <v>316</v>
      </c>
      <c r="Y100" s="135" t="s">
        <v>255</v>
      </c>
    </row>
    <row r="101" spans="1:25" ht="24" customHeight="1" x14ac:dyDescent="0.35">
      <c r="A101" s="103" t="s">
        <v>112</v>
      </c>
      <c r="B101" s="50" t="s">
        <v>46</v>
      </c>
      <c r="C101" s="50" t="s">
        <v>996</v>
      </c>
      <c r="D101" s="50" t="s">
        <v>994</v>
      </c>
      <c r="E101" s="50">
        <v>0</v>
      </c>
      <c r="F101" s="50">
        <v>1</v>
      </c>
      <c r="G101" s="50">
        <v>9</v>
      </c>
      <c r="H101" s="50">
        <v>24</v>
      </c>
      <c r="I101" s="50">
        <v>34</v>
      </c>
      <c r="J101" s="50"/>
      <c r="K101" s="50">
        <v>34</v>
      </c>
      <c r="L101" s="36">
        <v>2018</v>
      </c>
      <c r="M101" s="50" t="s">
        <v>46</v>
      </c>
      <c r="N101" s="50" t="s">
        <v>114</v>
      </c>
      <c r="U101" s="135" t="s">
        <v>317</v>
      </c>
      <c r="V101" s="135" t="s">
        <v>51</v>
      </c>
      <c r="W101" s="135" t="s">
        <v>318</v>
      </c>
      <c r="X101" s="135" t="s">
        <v>52</v>
      </c>
      <c r="Y101" s="135" t="s">
        <v>41</v>
      </c>
    </row>
    <row r="102" spans="1:25" ht="24" customHeight="1" x14ac:dyDescent="0.35">
      <c r="A102" s="103" t="s">
        <v>112</v>
      </c>
      <c r="B102" s="50" t="s">
        <v>46</v>
      </c>
      <c r="C102" s="50" t="s">
        <v>996</v>
      </c>
      <c r="D102" s="50" t="s">
        <v>995</v>
      </c>
      <c r="E102" s="50">
        <v>0</v>
      </c>
      <c r="F102" s="50">
        <v>1597</v>
      </c>
      <c r="G102" s="50">
        <v>7384</v>
      </c>
      <c r="H102" s="50">
        <v>15466</v>
      </c>
      <c r="I102" s="50">
        <v>24447</v>
      </c>
      <c r="J102" s="50"/>
      <c r="K102" s="50"/>
      <c r="L102" s="36">
        <v>2018</v>
      </c>
      <c r="M102" s="50" t="s">
        <v>46</v>
      </c>
      <c r="N102" s="50" t="s">
        <v>114</v>
      </c>
      <c r="U102" s="135" t="s">
        <v>319</v>
      </c>
      <c r="V102" s="135" t="s">
        <v>495</v>
      </c>
      <c r="W102" s="135" t="s">
        <v>320</v>
      </c>
      <c r="X102" s="135" t="s">
        <v>321</v>
      </c>
      <c r="Y102" s="135" t="s">
        <v>322</v>
      </c>
    </row>
    <row r="103" spans="1:25" ht="24" customHeight="1" x14ac:dyDescent="0.35">
      <c r="A103" s="103" t="s">
        <v>116</v>
      </c>
      <c r="B103" s="50" t="s">
        <v>46</v>
      </c>
      <c r="C103" s="50" t="s">
        <v>993</v>
      </c>
      <c r="D103" s="50" t="s">
        <v>997</v>
      </c>
      <c r="E103" s="50">
        <v>0</v>
      </c>
      <c r="F103" s="50"/>
      <c r="G103" s="50"/>
      <c r="H103" s="50"/>
      <c r="I103" s="50">
        <v>0</v>
      </c>
      <c r="J103" s="50"/>
      <c r="K103" s="50"/>
      <c r="L103" s="36">
        <v>2018</v>
      </c>
      <c r="M103" s="50" t="s">
        <v>46</v>
      </c>
      <c r="N103" s="50" t="s">
        <v>48</v>
      </c>
      <c r="U103" s="135" t="s">
        <v>323</v>
      </c>
      <c r="V103" s="135" t="s">
        <v>323</v>
      </c>
      <c r="W103" s="135" t="s">
        <v>324</v>
      </c>
      <c r="X103" s="135" t="s">
        <v>325</v>
      </c>
      <c r="Y103" s="135" t="s">
        <v>57</v>
      </c>
    </row>
    <row r="104" spans="1:25" ht="24" customHeight="1" x14ac:dyDescent="0.35">
      <c r="A104" s="103" t="s">
        <v>116</v>
      </c>
      <c r="B104" s="50" t="s">
        <v>46</v>
      </c>
      <c r="C104" s="50" t="s">
        <v>993</v>
      </c>
      <c r="D104" s="50" t="s">
        <v>994</v>
      </c>
      <c r="E104" s="50">
        <v>5</v>
      </c>
      <c r="F104" s="50"/>
      <c r="G104" s="50"/>
      <c r="H104" s="50"/>
      <c r="I104" s="50">
        <v>5</v>
      </c>
      <c r="J104" s="50"/>
      <c r="K104" s="50"/>
      <c r="L104" s="36">
        <v>2018</v>
      </c>
      <c r="M104" s="50" t="s">
        <v>46</v>
      </c>
      <c r="N104" s="50" t="s">
        <v>48</v>
      </c>
      <c r="U104" s="135" t="s">
        <v>323</v>
      </c>
      <c r="V104" s="135" t="s">
        <v>323</v>
      </c>
      <c r="W104" s="135" t="s">
        <v>327</v>
      </c>
      <c r="X104" s="135" t="s">
        <v>328</v>
      </c>
      <c r="Y104" s="135" t="s">
        <v>255</v>
      </c>
    </row>
    <row r="105" spans="1:25" ht="24" customHeight="1" x14ac:dyDescent="0.35">
      <c r="A105" s="103" t="s">
        <v>116</v>
      </c>
      <c r="B105" s="50" t="s">
        <v>46</v>
      </c>
      <c r="C105" s="50" t="s">
        <v>993</v>
      </c>
      <c r="D105" s="50" t="s">
        <v>995</v>
      </c>
      <c r="E105" s="50">
        <v>29593.723999999998</v>
      </c>
      <c r="F105" s="50"/>
      <c r="G105" s="50"/>
      <c r="H105" s="50"/>
      <c r="I105" s="50">
        <v>29593.723999999998</v>
      </c>
      <c r="J105" s="50"/>
      <c r="K105" s="50"/>
      <c r="L105" s="36">
        <v>2018</v>
      </c>
      <c r="M105" s="50" t="s">
        <v>46</v>
      </c>
      <c r="N105" s="50" t="s">
        <v>48</v>
      </c>
      <c r="U105" s="135" t="s">
        <v>329</v>
      </c>
      <c r="V105" s="135" t="s">
        <v>329</v>
      </c>
      <c r="W105" s="135">
        <v>1326</v>
      </c>
      <c r="X105" s="135" t="s">
        <v>330</v>
      </c>
      <c r="Y105" s="135" t="s">
        <v>41</v>
      </c>
    </row>
    <row r="106" spans="1:25" ht="24" customHeight="1" x14ac:dyDescent="0.35">
      <c r="A106" s="103" t="s">
        <v>116</v>
      </c>
      <c r="B106" s="50" t="s">
        <v>46</v>
      </c>
      <c r="C106" s="50" t="s">
        <v>996</v>
      </c>
      <c r="D106" s="50" t="s">
        <v>997</v>
      </c>
      <c r="E106" s="50">
        <v>0</v>
      </c>
      <c r="F106" s="50">
        <v>4</v>
      </c>
      <c r="G106" s="50">
        <v>8</v>
      </c>
      <c r="H106" s="50">
        <v>7</v>
      </c>
      <c r="I106" s="50">
        <v>19</v>
      </c>
      <c r="J106" s="50">
        <v>19</v>
      </c>
      <c r="K106" s="50"/>
      <c r="L106" s="36">
        <v>2018</v>
      </c>
      <c r="M106" s="50" t="s">
        <v>46</v>
      </c>
      <c r="N106" s="50" t="s">
        <v>48</v>
      </c>
      <c r="U106" s="135" t="s">
        <v>62</v>
      </c>
      <c r="V106" s="135" t="s">
        <v>62</v>
      </c>
      <c r="W106" s="135" t="s">
        <v>331</v>
      </c>
      <c r="X106" s="135" t="s">
        <v>332</v>
      </c>
      <c r="Y106" s="135" t="s">
        <v>46</v>
      </c>
    </row>
    <row r="107" spans="1:25" ht="24" customHeight="1" x14ac:dyDescent="0.35">
      <c r="A107" s="103" t="s">
        <v>116</v>
      </c>
      <c r="B107" s="50" t="s">
        <v>46</v>
      </c>
      <c r="C107" s="50" t="s">
        <v>996</v>
      </c>
      <c r="D107" s="50" t="s">
        <v>994</v>
      </c>
      <c r="E107" s="50">
        <v>1</v>
      </c>
      <c r="F107" s="50">
        <v>6</v>
      </c>
      <c r="G107" s="50">
        <v>21</v>
      </c>
      <c r="H107" s="50">
        <v>178</v>
      </c>
      <c r="I107" s="50">
        <v>206</v>
      </c>
      <c r="J107" s="50">
        <v>206</v>
      </c>
      <c r="K107" s="50"/>
      <c r="L107" s="36">
        <v>2018</v>
      </c>
      <c r="M107" s="50" t="s">
        <v>46</v>
      </c>
      <c r="N107" s="50" t="s">
        <v>48</v>
      </c>
      <c r="U107" s="135" t="s">
        <v>333</v>
      </c>
      <c r="V107" s="135" t="s">
        <v>517</v>
      </c>
      <c r="W107" s="135" t="s">
        <v>334</v>
      </c>
      <c r="X107" s="135" t="s">
        <v>335</v>
      </c>
      <c r="Y107" s="135" t="s">
        <v>46</v>
      </c>
    </row>
    <row r="108" spans="1:25" ht="24" customHeight="1" x14ac:dyDescent="0.35">
      <c r="A108" s="103" t="s">
        <v>116</v>
      </c>
      <c r="B108" s="50" t="s">
        <v>46</v>
      </c>
      <c r="C108" s="50" t="s">
        <v>996</v>
      </c>
      <c r="D108" s="50" t="s">
        <v>995</v>
      </c>
      <c r="E108" s="50">
        <v>21241.965</v>
      </c>
      <c r="F108" s="50">
        <v>103147.81</v>
      </c>
      <c r="G108" s="50">
        <v>109268.62</v>
      </c>
      <c r="H108" s="50">
        <v>353627.34</v>
      </c>
      <c r="I108" s="50">
        <v>587285.73499999999</v>
      </c>
      <c r="J108" s="50">
        <v>587285.73</v>
      </c>
      <c r="K108" s="50"/>
      <c r="L108" s="36">
        <v>2018</v>
      </c>
      <c r="M108" s="50" t="s">
        <v>46</v>
      </c>
      <c r="N108" s="50" t="s">
        <v>48</v>
      </c>
      <c r="U108" s="135" t="s">
        <v>336</v>
      </c>
      <c r="V108" s="135" t="s">
        <v>336</v>
      </c>
      <c r="W108" s="135" t="s">
        <v>337</v>
      </c>
      <c r="X108" s="135" t="s">
        <v>338</v>
      </c>
      <c r="Y108" s="135" t="s">
        <v>255</v>
      </c>
    </row>
    <row r="109" spans="1:25" ht="24" customHeight="1" x14ac:dyDescent="0.35">
      <c r="A109" s="103" t="s">
        <v>118</v>
      </c>
      <c r="B109" s="50" t="s">
        <v>41</v>
      </c>
      <c r="C109" s="50" t="s">
        <v>993</v>
      </c>
      <c r="D109" s="50" t="s">
        <v>997</v>
      </c>
      <c r="E109" s="50">
        <v>1</v>
      </c>
      <c r="F109" s="50">
        <v>0</v>
      </c>
      <c r="G109" s="50">
        <v>0</v>
      </c>
      <c r="H109" s="50">
        <v>0</v>
      </c>
      <c r="I109" s="50">
        <v>1</v>
      </c>
      <c r="J109" s="50"/>
      <c r="K109" s="50"/>
      <c r="L109" s="36">
        <v>2018</v>
      </c>
      <c r="M109" s="50" t="s">
        <v>41</v>
      </c>
      <c r="N109" s="50" t="s">
        <v>6</v>
      </c>
      <c r="U109" s="135" t="s">
        <v>73</v>
      </c>
      <c r="V109" s="135" t="s">
        <v>73</v>
      </c>
      <c r="W109" s="135" t="s">
        <v>339</v>
      </c>
      <c r="X109" s="135" t="s">
        <v>340</v>
      </c>
      <c r="Y109" s="135" t="s">
        <v>46</v>
      </c>
    </row>
    <row r="110" spans="1:25" ht="24" customHeight="1" x14ac:dyDescent="0.35">
      <c r="A110" s="103" t="s">
        <v>118</v>
      </c>
      <c r="B110" s="50" t="s">
        <v>41</v>
      </c>
      <c r="C110" s="50" t="s">
        <v>993</v>
      </c>
      <c r="D110" s="50" t="s">
        <v>994</v>
      </c>
      <c r="E110" s="50">
        <v>3</v>
      </c>
      <c r="F110" s="50">
        <v>0</v>
      </c>
      <c r="G110" s="50">
        <v>0</v>
      </c>
      <c r="H110" s="50">
        <v>0</v>
      </c>
      <c r="I110" s="50">
        <v>3</v>
      </c>
      <c r="J110" s="50"/>
      <c r="K110" s="50"/>
      <c r="L110" s="36">
        <v>2018</v>
      </c>
      <c r="M110" s="50" t="s">
        <v>41</v>
      </c>
      <c r="N110" s="50" t="s">
        <v>6</v>
      </c>
      <c r="U110" s="135" t="s">
        <v>341</v>
      </c>
      <c r="V110" s="135" t="s">
        <v>341</v>
      </c>
      <c r="W110" s="135" t="s">
        <v>342</v>
      </c>
      <c r="X110" s="135" t="s">
        <v>343</v>
      </c>
      <c r="Y110" s="135" t="s">
        <v>262</v>
      </c>
    </row>
    <row r="111" spans="1:25" ht="24" customHeight="1" x14ac:dyDescent="0.35">
      <c r="A111" s="103" t="s">
        <v>118</v>
      </c>
      <c r="B111" s="50" t="s">
        <v>41</v>
      </c>
      <c r="C111" s="50" t="s">
        <v>993</v>
      </c>
      <c r="D111" s="50" t="s">
        <v>995</v>
      </c>
      <c r="E111" s="50">
        <v>221900</v>
      </c>
      <c r="F111" s="50">
        <v>0</v>
      </c>
      <c r="G111" s="50">
        <v>0</v>
      </c>
      <c r="H111" s="50">
        <v>0</v>
      </c>
      <c r="I111" s="50">
        <v>221900</v>
      </c>
      <c r="J111" s="50"/>
      <c r="K111" s="50"/>
      <c r="L111" s="36">
        <v>2018</v>
      </c>
      <c r="M111" s="50" t="s">
        <v>41</v>
      </c>
      <c r="N111" s="50" t="s">
        <v>6</v>
      </c>
      <c r="U111" s="135" t="s">
        <v>344</v>
      </c>
      <c r="V111" s="135" t="s">
        <v>344</v>
      </c>
      <c r="W111" s="135" t="s">
        <v>345</v>
      </c>
      <c r="X111" s="135" t="s">
        <v>291</v>
      </c>
      <c r="Y111" s="135" t="s">
        <v>46</v>
      </c>
    </row>
    <row r="112" spans="1:25" ht="24" customHeight="1" x14ac:dyDescent="0.35">
      <c r="A112" s="103" t="s">
        <v>118</v>
      </c>
      <c r="B112" s="50" t="s">
        <v>41</v>
      </c>
      <c r="C112" s="50" t="s">
        <v>996</v>
      </c>
      <c r="D112" s="50" t="s">
        <v>997</v>
      </c>
      <c r="E112" s="50">
        <v>5</v>
      </c>
      <c r="F112" s="50">
        <v>0</v>
      </c>
      <c r="G112" s="50">
        <v>28</v>
      </c>
      <c r="H112" s="50">
        <v>67</v>
      </c>
      <c r="I112" s="50">
        <v>100</v>
      </c>
      <c r="J112" s="50"/>
      <c r="K112" s="50"/>
      <c r="L112" s="36">
        <v>2018</v>
      </c>
      <c r="M112" s="50" t="s">
        <v>41</v>
      </c>
      <c r="N112" s="50" t="s">
        <v>6</v>
      </c>
      <c r="U112" s="135" t="s">
        <v>346</v>
      </c>
      <c r="V112" s="135" t="s">
        <v>75</v>
      </c>
      <c r="W112" s="135" t="s">
        <v>347</v>
      </c>
      <c r="X112" s="135" t="s">
        <v>76</v>
      </c>
      <c r="Y112" s="135" t="s">
        <v>41</v>
      </c>
    </row>
    <row r="113" spans="1:25" ht="24" customHeight="1" x14ac:dyDescent="0.35">
      <c r="A113" s="103" t="s">
        <v>118</v>
      </c>
      <c r="B113" s="50" t="s">
        <v>41</v>
      </c>
      <c r="C113" s="50" t="s">
        <v>996</v>
      </c>
      <c r="D113" s="50" t="s">
        <v>994</v>
      </c>
      <c r="E113" s="50">
        <v>3</v>
      </c>
      <c r="F113" s="50">
        <v>0</v>
      </c>
      <c r="G113" s="50">
        <v>109</v>
      </c>
      <c r="H113" s="50">
        <v>160</v>
      </c>
      <c r="I113" s="50">
        <v>272</v>
      </c>
      <c r="J113" s="50"/>
      <c r="K113" s="50"/>
      <c r="L113" s="36">
        <v>2018</v>
      </c>
      <c r="M113" s="50" t="s">
        <v>41</v>
      </c>
      <c r="N113" s="50" t="s">
        <v>6</v>
      </c>
      <c r="U113" s="135" t="s">
        <v>348</v>
      </c>
      <c r="V113" s="135" t="s">
        <v>348</v>
      </c>
      <c r="W113" s="135" t="s">
        <v>349</v>
      </c>
      <c r="X113" s="135" t="s">
        <v>350</v>
      </c>
      <c r="Y113" s="135" t="s">
        <v>255</v>
      </c>
    </row>
    <row r="114" spans="1:25" ht="24" customHeight="1" x14ac:dyDescent="0.35">
      <c r="A114" s="103" t="s">
        <v>118</v>
      </c>
      <c r="B114" s="50" t="s">
        <v>41</v>
      </c>
      <c r="C114" s="50" t="s">
        <v>996</v>
      </c>
      <c r="D114" s="50" t="s">
        <v>995</v>
      </c>
      <c r="E114" s="50">
        <v>99718</v>
      </c>
      <c r="F114" s="50">
        <v>0</v>
      </c>
      <c r="G114" s="50">
        <v>1248000</v>
      </c>
      <c r="H114" s="50">
        <v>48936.826999999997</v>
      </c>
      <c r="I114" s="50">
        <v>1396654.827</v>
      </c>
      <c r="J114" s="50"/>
      <c r="K114" s="50"/>
      <c r="L114" s="36">
        <v>2018</v>
      </c>
      <c r="M114" s="50" t="s">
        <v>41</v>
      </c>
      <c r="N114" s="50" t="s">
        <v>6</v>
      </c>
      <c r="U114" s="135" t="s">
        <v>351</v>
      </c>
      <c r="V114" s="135" t="s">
        <v>351</v>
      </c>
      <c r="W114" s="135" t="s">
        <v>352</v>
      </c>
      <c r="X114" s="135" t="s">
        <v>353</v>
      </c>
      <c r="Y114" s="135" t="s">
        <v>255</v>
      </c>
    </row>
    <row r="115" spans="1:25" ht="24" customHeight="1" x14ac:dyDescent="0.35">
      <c r="A115" s="103" t="s">
        <v>121</v>
      </c>
      <c r="B115" s="50" t="s">
        <v>4</v>
      </c>
      <c r="C115" s="50" t="s">
        <v>993</v>
      </c>
      <c r="D115" s="50" t="s">
        <v>997</v>
      </c>
      <c r="E115" s="50">
        <v>0</v>
      </c>
      <c r="F115" s="50">
        <v>0</v>
      </c>
      <c r="G115" s="50">
        <v>0</v>
      </c>
      <c r="H115" s="50">
        <v>0</v>
      </c>
      <c r="I115" s="50">
        <v>0</v>
      </c>
      <c r="J115" s="50">
        <v>0</v>
      </c>
      <c r="K115" s="50">
        <v>0</v>
      </c>
      <c r="L115" s="36">
        <v>2018</v>
      </c>
      <c r="M115" s="50" t="s">
        <v>255</v>
      </c>
      <c r="N115" s="50" t="s">
        <v>18</v>
      </c>
      <c r="U115" s="135" t="s">
        <v>354</v>
      </c>
      <c r="V115" s="135" t="s">
        <v>354</v>
      </c>
      <c r="W115" s="135" t="s">
        <v>355</v>
      </c>
      <c r="X115" s="135" t="s">
        <v>356</v>
      </c>
      <c r="Y115" s="135" t="s">
        <v>46</v>
      </c>
    </row>
    <row r="116" spans="1:25" ht="24" customHeight="1" x14ac:dyDescent="0.35">
      <c r="A116" s="103" t="s">
        <v>121</v>
      </c>
      <c r="B116" s="50" t="s">
        <v>4</v>
      </c>
      <c r="C116" s="50" t="s">
        <v>993</v>
      </c>
      <c r="D116" s="50" t="s">
        <v>994</v>
      </c>
      <c r="E116" s="50">
        <v>0</v>
      </c>
      <c r="F116" s="50">
        <v>0</v>
      </c>
      <c r="G116" s="50">
        <v>0</v>
      </c>
      <c r="H116" s="50">
        <v>0</v>
      </c>
      <c r="I116" s="50">
        <v>0</v>
      </c>
      <c r="J116" s="50">
        <v>0</v>
      </c>
      <c r="K116" s="50">
        <v>0</v>
      </c>
      <c r="L116" s="36">
        <v>2018</v>
      </c>
      <c r="M116" s="50" t="s">
        <v>255</v>
      </c>
      <c r="N116" s="50" t="s">
        <v>18</v>
      </c>
      <c r="U116" s="135" t="s">
        <v>357</v>
      </c>
      <c r="V116" s="135" t="s">
        <v>357</v>
      </c>
      <c r="W116" s="135" t="s">
        <v>358</v>
      </c>
      <c r="X116" s="135" t="s">
        <v>359</v>
      </c>
      <c r="Y116" s="135" t="s">
        <v>46</v>
      </c>
    </row>
    <row r="117" spans="1:25" ht="24" customHeight="1" x14ac:dyDescent="0.35">
      <c r="A117" s="103" t="s">
        <v>121</v>
      </c>
      <c r="B117" s="50" t="s">
        <v>4</v>
      </c>
      <c r="C117" s="50" t="s">
        <v>993</v>
      </c>
      <c r="D117" s="50" t="s">
        <v>995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/>
      <c r="K117" s="50"/>
      <c r="L117" s="36">
        <v>2018</v>
      </c>
      <c r="M117" s="50" t="s">
        <v>255</v>
      </c>
      <c r="N117" s="50" t="s">
        <v>18</v>
      </c>
      <c r="U117" s="135" t="s">
        <v>360</v>
      </c>
      <c r="V117" s="135" t="s">
        <v>84</v>
      </c>
      <c r="W117" s="135" t="s">
        <v>361</v>
      </c>
      <c r="X117" s="135" t="s">
        <v>362</v>
      </c>
      <c r="Y117" s="135" t="s">
        <v>262</v>
      </c>
    </row>
    <row r="118" spans="1:25" ht="24" customHeight="1" x14ac:dyDescent="0.35">
      <c r="A118" s="103" t="s">
        <v>121</v>
      </c>
      <c r="B118" s="50" t="s">
        <v>4</v>
      </c>
      <c r="C118" s="50" t="s">
        <v>996</v>
      </c>
      <c r="D118" s="50" t="s">
        <v>997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36">
        <v>2018</v>
      </c>
      <c r="M118" s="50" t="s">
        <v>255</v>
      </c>
      <c r="N118" s="50" t="s">
        <v>18</v>
      </c>
      <c r="U118" s="135" t="s">
        <v>363</v>
      </c>
      <c r="V118" s="135" t="s">
        <v>363</v>
      </c>
      <c r="W118" s="135" t="s">
        <v>364</v>
      </c>
      <c r="X118" s="135" t="s">
        <v>34</v>
      </c>
      <c r="Y118" s="135" t="s">
        <v>255</v>
      </c>
    </row>
    <row r="119" spans="1:25" ht="24" customHeight="1" x14ac:dyDescent="0.35">
      <c r="A119" s="103" t="s">
        <v>121</v>
      </c>
      <c r="B119" s="50" t="s">
        <v>4</v>
      </c>
      <c r="C119" s="50" t="s">
        <v>996</v>
      </c>
      <c r="D119" s="50" t="s">
        <v>994</v>
      </c>
      <c r="E119" s="50">
        <v>3</v>
      </c>
      <c r="F119" s="50">
        <v>0</v>
      </c>
      <c r="G119" s="50">
        <v>5</v>
      </c>
      <c r="H119" s="50">
        <v>0</v>
      </c>
      <c r="I119" s="50">
        <v>8</v>
      </c>
      <c r="J119" s="50">
        <v>8</v>
      </c>
      <c r="K119" s="50">
        <v>9</v>
      </c>
      <c r="L119" s="36">
        <v>2018</v>
      </c>
      <c r="M119" s="50" t="s">
        <v>255</v>
      </c>
      <c r="N119" s="50" t="s">
        <v>18</v>
      </c>
      <c r="U119" s="135" t="s">
        <v>365</v>
      </c>
      <c r="V119" s="135" t="s">
        <v>547</v>
      </c>
      <c r="W119" s="135" t="s">
        <v>366</v>
      </c>
      <c r="X119" s="135" t="s">
        <v>367</v>
      </c>
      <c r="Y119" s="135" t="s">
        <v>255</v>
      </c>
    </row>
    <row r="120" spans="1:25" ht="24" customHeight="1" x14ac:dyDescent="0.35">
      <c r="A120" s="103" t="s">
        <v>121</v>
      </c>
      <c r="B120" s="50" t="s">
        <v>4</v>
      </c>
      <c r="C120" s="50" t="s">
        <v>996</v>
      </c>
      <c r="D120" s="50" t="s">
        <v>995</v>
      </c>
      <c r="E120" s="50">
        <v>19800</v>
      </c>
      <c r="F120" s="50">
        <v>19800</v>
      </c>
      <c r="G120" s="50">
        <v>19800</v>
      </c>
      <c r="H120" s="50">
        <v>19800</v>
      </c>
      <c r="I120" s="50">
        <v>79200</v>
      </c>
      <c r="J120" s="50">
        <v>19800</v>
      </c>
      <c r="K120" s="50">
        <v>19800</v>
      </c>
      <c r="L120" s="36">
        <v>2018</v>
      </c>
      <c r="M120" s="50" t="s">
        <v>255</v>
      </c>
      <c r="N120" s="50" t="s">
        <v>18</v>
      </c>
      <c r="U120" s="135" t="s">
        <v>365</v>
      </c>
      <c r="V120" s="135" t="s">
        <v>547</v>
      </c>
      <c r="W120" s="135" t="s">
        <v>368</v>
      </c>
      <c r="X120" s="135" t="s">
        <v>369</v>
      </c>
      <c r="Y120" s="135" t="s">
        <v>255</v>
      </c>
    </row>
    <row r="121" spans="1:25" ht="24" customHeight="1" x14ac:dyDescent="0.35">
      <c r="A121" s="103" t="s">
        <v>124</v>
      </c>
      <c r="B121" s="50" t="s">
        <v>41</v>
      </c>
      <c r="C121" s="50" t="s">
        <v>996</v>
      </c>
      <c r="D121" s="50" t="s">
        <v>994</v>
      </c>
      <c r="E121" s="50"/>
      <c r="F121" s="50"/>
      <c r="G121" s="50">
        <v>13</v>
      </c>
      <c r="H121" s="50"/>
      <c r="I121" s="50">
        <v>13</v>
      </c>
      <c r="J121" s="50"/>
      <c r="K121" s="50">
        <v>13</v>
      </c>
      <c r="L121" s="36">
        <v>2018</v>
      </c>
      <c r="M121" s="50" t="s">
        <v>41</v>
      </c>
      <c r="N121" s="50" t="s">
        <v>18</v>
      </c>
      <c r="U121" s="135" t="s">
        <v>370</v>
      </c>
      <c r="V121" s="135" t="s">
        <v>551</v>
      </c>
      <c r="W121" s="135" t="s">
        <v>371</v>
      </c>
      <c r="X121" s="135" t="s">
        <v>372</v>
      </c>
      <c r="Y121" s="135" t="s">
        <v>255</v>
      </c>
    </row>
    <row r="122" spans="1:25" ht="24" customHeight="1" x14ac:dyDescent="0.35">
      <c r="A122" s="103" t="s">
        <v>124</v>
      </c>
      <c r="B122" s="50" t="s">
        <v>41</v>
      </c>
      <c r="C122" s="50" t="s">
        <v>996</v>
      </c>
      <c r="D122" s="50" t="s">
        <v>995</v>
      </c>
      <c r="E122" s="50"/>
      <c r="F122" s="50"/>
      <c r="G122" s="50">
        <v>41046</v>
      </c>
      <c r="H122" s="50"/>
      <c r="I122" s="50">
        <v>41046</v>
      </c>
      <c r="J122" s="50"/>
      <c r="K122" s="50">
        <v>41046</v>
      </c>
      <c r="L122" s="36">
        <v>2018</v>
      </c>
      <c r="M122" s="50" t="s">
        <v>41</v>
      </c>
      <c r="N122" s="50" t="s">
        <v>18</v>
      </c>
      <c r="U122" s="135" t="s">
        <v>373</v>
      </c>
      <c r="V122" s="135" t="s">
        <v>373</v>
      </c>
      <c r="W122" s="135" t="s">
        <v>91</v>
      </c>
      <c r="X122" s="135" t="s">
        <v>90</v>
      </c>
      <c r="Y122" s="135" t="s">
        <v>41</v>
      </c>
    </row>
    <row r="123" spans="1:25" ht="24" customHeight="1" x14ac:dyDescent="0.35">
      <c r="A123" s="103" t="s">
        <v>128</v>
      </c>
      <c r="B123" s="50" t="s">
        <v>41</v>
      </c>
      <c r="C123" s="50" t="s">
        <v>996</v>
      </c>
      <c r="D123" s="50" t="s">
        <v>995</v>
      </c>
      <c r="E123" s="50">
        <v>685918</v>
      </c>
      <c r="F123" s="50">
        <v>1163032</v>
      </c>
      <c r="G123" s="50">
        <v>2785917</v>
      </c>
      <c r="H123" s="50">
        <v>1480225</v>
      </c>
      <c r="I123" s="50">
        <v>6115092</v>
      </c>
      <c r="J123" s="50"/>
      <c r="K123" s="50"/>
      <c r="L123" s="36">
        <v>2018</v>
      </c>
      <c r="M123" s="50" t="s">
        <v>41</v>
      </c>
      <c r="N123" s="50" t="s">
        <v>998</v>
      </c>
      <c r="U123" s="135" t="s">
        <v>374</v>
      </c>
      <c r="V123" s="135" t="s">
        <v>374</v>
      </c>
      <c r="W123" s="135">
        <v>7930</v>
      </c>
      <c r="X123" s="135" t="s">
        <v>375</v>
      </c>
      <c r="Y123" s="135" t="s">
        <v>41</v>
      </c>
    </row>
    <row r="124" spans="1:25" ht="24" customHeight="1" x14ac:dyDescent="0.35">
      <c r="A124" s="103" t="s">
        <v>128</v>
      </c>
      <c r="B124" s="50" t="s">
        <v>41</v>
      </c>
      <c r="C124" s="50" t="s">
        <v>996</v>
      </c>
      <c r="D124" s="50" t="s">
        <v>997</v>
      </c>
      <c r="E124" s="50"/>
      <c r="F124" s="50">
        <v>10</v>
      </c>
      <c r="G124" s="50">
        <v>10</v>
      </c>
      <c r="H124" s="50">
        <v>7</v>
      </c>
      <c r="I124" s="50">
        <v>27</v>
      </c>
      <c r="J124" s="50"/>
      <c r="K124" s="50"/>
      <c r="L124" s="36">
        <v>2018</v>
      </c>
      <c r="M124" s="50" t="s">
        <v>41</v>
      </c>
      <c r="N124" s="50" t="s">
        <v>998</v>
      </c>
      <c r="U124" s="135" t="s">
        <v>376</v>
      </c>
      <c r="V124" s="135" t="s">
        <v>93</v>
      </c>
      <c r="W124" s="135" t="s">
        <v>95</v>
      </c>
      <c r="X124" s="135" t="s">
        <v>94</v>
      </c>
      <c r="Y124" s="135" t="s">
        <v>41</v>
      </c>
    </row>
    <row r="125" spans="1:25" ht="24" customHeight="1" x14ac:dyDescent="0.35">
      <c r="A125" s="103" t="s">
        <v>128</v>
      </c>
      <c r="B125" s="50" t="s">
        <v>41</v>
      </c>
      <c r="C125" s="50" t="s">
        <v>996</v>
      </c>
      <c r="D125" s="50" t="s">
        <v>994</v>
      </c>
      <c r="E125" s="50">
        <v>11</v>
      </c>
      <c r="F125" s="50">
        <v>28</v>
      </c>
      <c r="G125" s="50">
        <v>148</v>
      </c>
      <c r="H125" s="50">
        <v>116</v>
      </c>
      <c r="I125" s="50">
        <v>303</v>
      </c>
      <c r="J125" s="50"/>
      <c r="K125" s="50"/>
      <c r="L125" s="36">
        <v>2018</v>
      </c>
      <c r="M125" s="50" t="s">
        <v>41</v>
      </c>
      <c r="N125" s="50" t="s">
        <v>998</v>
      </c>
      <c r="U125" s="135" t="s">
        <v>377</v>
      </c>
      <c r="V125" s="135" t="s">
        <v>96</v>
      </c>
      <c r="W125" s="135" t="s">
        <v>378</v>
      </c>
      <c r="X125" s="135" t="s">
        <v>379</v>
      </c>
      <c r="Y125" s="135" t="s">
        <v>255</v>
      </c>
    </row>
    <row r="126" spans="1:25" ht="24" customHeight="1" x14ac:dyDescent="0.35">
      <c r="A126" s="103" t="s">
        <v>128</v>
      </c>
      <c r="B126" s="50" t="s">
        <v>41</v>
      </c>
      <c r="C126" s="50" t="s">
        <v>993</v>
      </c>
      <c r="D126" s="50" t="s">
        <v>994</v>
      </c>
      <c r="E126" s="50">
        <v>9</v>
      </c>
      <c r="F126" s="50"/>
      <c r="G126" s="50"/>
      <c r="H126" s="50"/>
      <c r="I126" s="50">
        <v>9</v>
      </c>
      <c r="J126" s="50"/>
      <c r="K126" s="50"/>
      <c r="L126" s="36">
        <v>2018</v>
      </c>
      <c r="M126" s="50" t="s">
        <v>41</v>
      </c>
      <c r="N126" s="50" t="s">
        <v>998</v>
      </c>
      <c r="U126" s="135" t="s">
        <v>377</v>
      </c>
      <c r="V126" s="135" t="s">
        <v>96</v>
      </c>
      <c r="W126" s="135" t="s">
        <v>380</v>
      </c>
      <c r="X126" s="135" t="s">
        <v>381</v>
      </c>
      <c r="Y126" s="135" t="s">
        <v>255</v>
      </c>
    </row>
    <row r="127" spans="1:25" ht="24" customHeight="1" x14ac:dyDescent="0.35">
      <c r="A127" s="103" t="s">
        <v>128</v>
      </c>
      <c r="B127" s="50" t="s">
        <v>41</v>
      </c>
      <c r="C127" s="50" t="s">
        <v>993</v>
      </c>
      <c r="D127" s="50" t="s">
        <v>995</v>
      </c>
      <c r="E127" s="50">
        <v>215180</v>
      </c>
      <c r="F127" s="50"/>
      <c r="G127" s="50"/>
      <c r="H127" s="50"/>
      <c r="I127" s="50">
        <v>215180</v>
      </c>
      <c r="J127" s="50"/>
      <c r="K127" s="50"/>
      <c r="L127" s="36">
        <v>2018</v>
      </c>
      <c r="M127" s="50" t="s">
        <v>41</v>
      </c>
      <c r="N127" s="50" t="s">
        <v>998</v>
      </c>
      <c r="U127" s="135" t="s">
        <v>382</v>
      </c>
      <c r="V127" s="135" t="s">
        <v>101</v>
      </c>
      <c r="W127" s="135" t="s">
        <v>103</v>
      </c>
      <c r="X127" s="135" t="s">
        <v>383</v>
      </c>
      <c r="Y127" s="135" t="s">
        <v>41</v>
      </c>
    </row>
    <row r="128" spans="1:25" ht="24" customHeight="1" x14ac:dyDescent="0.35">
      <c r="A128" s="103" t="s">
        <v>51</v>
      </c>
      <c r="B128" s="50" t="s">
        <v>41</v>
      </c>
      <c r="C128" s="50" t="s">
        <v>993</v>
      </c>
      <c r="D128" s="50" t="s">
        <v>995</v>
      </c>
      <c r="E128" s="50">
        <v>1268086</v>
      </c>
      <c r="F128" s="50">
        <v>0</v>
      </c>
      <c r="G128" s="50">
        <v>0</v>
      </c>
      <c r="H128" s="50">
        <v>0</v>
      </c>
      <c r="I128" s="50">
        <v>1268086</v>
      </c>
      <c r="J128" s="50">
        <v>218</v>
      </c>
      <c r="K128" s="50"/>
      <c r="L128" s="36">
        <v>2019</v>
      </c>
      <c r="M128" s="50" t="s">
        <v>41</v>
      </c>
      <c r="N128" s="50" t="s">
        <v>998</v>
      </c>
      <c r="U128" s="135" t="s">
        <v>384</v>
      </c>
      <c r="V128" s="135" t="s">
        <v>384</v>
      </c>
      <c r="W128" s="135" t="s">
        <v>385</v>
      </c>
      <c r="X128" s="135" t="s">
        <v>335</v>
      </c>
      <c r="Y128" s="135" t="s">
        <v>46</v>
      </c>
    </row>
    <row r="129" spans="1:25" ht="24" customHeight="1" x14ac:dyDescent="0.35">
      <c r="A129" s="50" t="s">
        <v>250</v>
      </c>
      <c r="B129" s="50" t="s">
        <v>4</v>
      </c>
      <c r="C129" s="50" t="s">
        <v>993</v>
      </c>
      <c r="D129" s="50" t="s">
        <v>994</v>
      </c>
      <c r="E129" s="50">
        <v>3</v>
      </c>
      <c r="F129" s="50"/>
      <c r="G129" s="50"/>
      <c r="H129" s="50"/>
      <c r="I129" s="50">
        <v>3</v>
      </c>
      <c r="J129" s="50">
        <v>3</v>
      </c>
      <c r="K129" s="50"/>
      <c r="L129" s="36">
        <v>2019</v>
      </c>
      <c r="M129" s="50" t="s">
        <v>255</v>
      </c>
      <c r="N129" s="50" t="s">
        <v>6</v>
      </c>
      <c r="U129" s="135" t="s">
        <v>106</v>
      </c>
      <c r="V129" s="135" t="s">
        <v>106</v>
      </c>
      <c r="W129" s="135" t="s">
        <v>386</v>
      </c>
      <c r="X129" s="135" t="s">
        <v>387</v>
      </c>
      <c r="Y129" s="135" t="s">
        <v>57</v>
      </c>
    </row>
    <row r="130" spans="1:25" ht="24" customHeight="1" x14ac:dyDescent="0.35">
      <c r="A130" s="50" t="s">
        <v>250</v>
      </c>
      <c r="B130" s="50" t="s">
        <v>4</v>
      </c>
      <c r="C130" s="50" t="s">
        <v>993</v>
      </c>
      <c r="D130" s="50" t="s">
        <v>995</v>
      </c>
      <c r="E130" s="50">
        <v>173177</v>
      </c>
      <c r="F130" s="50"/>
      <c r="G130" s="50"/>
      <c r="H130" s="50"/>
      <c r="I130" s="50">
        <v>173177</v>
      </c>
      <c r="J130" s="50"/>
      <c r="K130" s="50"/>
      <c r="L130" s="36">
        <v>2019</v>
      </c>
      <c r="M130" s="50" t="s">
        <v>255</v>
      </c>
      <c r="N130" s="50" t="s">
        <v>6</v>
      </c>
      <c r="U130" s="135" t="s">
        <v>388</v>
      </c>
      <c r="V130" s="135" t="s">
        <v>388</v>
      </c>
      <c r="W130" s="135" t="s">
        <v>389</v>
      </c>
      <c r="X130" s="135" t="s">
        <v>390</v>
      </c>
      <c r="Y130" s="135" t="s">
        <v>255</v>
      </c>
    </row>
    <row r="131" spans="1:25" ht="24" customHeight="1" x14ac:dyDescent="0.35">
      <c r="A131" s="50" t="s">
        <v>250</v>
      </c>
      <c r="B131" s="50" t="s">
        <v>4</v>
      </c>
      <c r="C131" s="50" t="s">
        <v>996</v>
      </c>
      <c r="D131" s="50" t="s">
        <v>997</v>
      </c>
      <c r="E131" s="50">
        <v>2</v>
      </c>
      <c r="F131" s="50"/>
      <c r="G131" s="50">
        <v>1</v>
      </c>
      <c r="H131" s="50"/>
      <c r="I131" s="50">
        <v>3</v>
      </c>
      <c r="J131" s="50">
        <v>3</v>
      </c>
      <c r="K131" s="50"/>
      <c r="L131" s="36">
        <v>2019</v>
      </c>
      <c r="M131" s="50" t="s">
        <v>255</v>
      </c>
      <c r="N131" s="50" t="s">
        <v>6</v>
      </c>
      <c r="U131" s="135" t="s">
        <v>391</v>
      </c>
      <c r="V131" s="135" t="s">
        <v>391</v>
      </c>
      <c r="W131" s="135" t="s">
        <v>392</v>
      </c>
      <c r="X131" s="135" t="s">
        <v>393</v>
      </c>
      <c r="Y131" s="135" t="s">
        <v>255</v>
      </c>
    </row>
    <row r="132" spans="1:25" ht="24" customHeight="1" x14ac:dyDescent="0.35">
      <c r="A132" s="50" t="s">
        <v>250</v>
      </c>
      <c r="B132" s="50" t="s">
        <v>4</v>
      </c>
      <c r="C132" s="50" t="s">
        <v>996</v>
      </c>
      <c r="D132" s="50" t="s">
        <v>994</v>
      </c>
      <c r="E132" s="50">
        <v>7</v>
      </c>
      <c r="F132" s="50"/>
      <c r="G132" s="50">
        <v>2</v>
      </c>
      <c r="H132" s="50">
        <v>5</v>
      </c>
      <c r="I132" s="50">
        <v>14</v>
      </c>
      <c r="J132" s="50">
        <v>14</v>
      </c>
      <c r="K132" s="50"/>
      <c r="L132" s="36">
        <v>2019</v>
      </c>
      <c r="M132" s="50" t="s">
        <v>255</v>
      </c>
      <c r="N132" s="50" t="s">
        <v>6</v>
      </c>
      <c r="U132" s="135" t="s">
        <v>112</v>
      </c>
      <c r="V132" s="135" t="s">
        <v>567</v>
      </c>
      <c r="W132" s="135" t="s">
        <v>394</v>
      </c>
      <c r="X132" s="135" t="s">
        <v>335</v>
      </c>
      <c r="Y132" s="135" t="s">
        <v>46</v>
      </c>
    </row>
    <row r="133" spans="1:25" ht="24" customHeight="1" x14ac:dyDescent="0.35">
      <c r="A133" s="50" t="s">
        <v>250</v>
      </c>
      <c r="B133" s="50" t="s">
        <v>4</v>
      </c>
      <c r="C133" s="50" t="s">
        <v>996</v>
      </c>
      <c r="D133" s="50" t="s">
        <v>995</v>
      </c>
      <c r="E133" s="50">
        <v>141102</v>
      </c>
      <c r="F133" s="50"/>
      <c r="G133" s="50">
        <v>13657</v>
      </c>
      <c r="H133" s="50">
        <v>16928</v>
      </c>
      <c r="I133" s="50">
        <v>171687</v>
      </c>
      <c r="J133" s="50">
        <v>171688</v>
      </c>
      <c r="K133" s="50"/>
      <c r="L133" s="36">
        <v>2019</v>
      </c>
      <c r="M133" s="50" t="s">
        <v>255</v>
      </c>
      <c r="N133" s="50" t="s">
        <v>6</v>
      </c>
      <c r="U133" s="145" t="s">
        <v>128</v>
      </c>
      <c r="V133" s="135" t="s">
        <v>128</v>
      </c>
      <c r="W133" s="145" t="s">
        <v>130</v>
      </c>
      <c r="X133" s="145" t="s">
        <v>129</v>
      </c>
      <c r="Y133" s="145" t="s">
        <v>41</v>
      </c>
    </row>
    <row r="134" spans="1:25" ht="24" customHeight="1" x14ac:dyDescent="0.35">
      <c r="A134" s="50" t="s">
        <v>434</v>
      </c>
      <c r="B134" s="50" t="s">
        <v>87</v>
      </c>
      <c r="C134" s="50" t="s">
        <v>996</v>
      </c>
      <c r="D134" s="50" t="s">
        <v>997</v>
      </c>
      <c r="E134" s="50"/>
      <c r="F134" s="50"/>
      <c r="G134" s="50"/>
      <c r="H134" s="50">
        <v>8</v>
      </c>
      <c r="I134" s="50">
        <v>8</v>
      </c>
      <c r="J134" s="50"/>
      <c r="K134" s="50"/>
      <c r="L134" s="36">
        <v>2019</v>
      </c>
      <c r="M134" s="50" t="s">
        <v>262</v>
      </c>
      <c r="N134" s="50" t="s">
        <v>18</v>
      </c>
      <c r="U134" s="145" t="s">
        <v>128</v>
      </c>
      <c r="V134" s="135" t="s">
        <v>128</v>
      </c>
      <c r="W134" s="145" t="s">
        <v>395</v>
      </c>
      <c r="X134" s="145" t="s">
        <v>52</v>
      </c>
      <c r="Y134" s="145" t="s">
        <v>41</v>
      </c>
    </row>
    <row r="135" spans="1:25" ht="24" customHeight="1" x14ac:dyDescent="0.35">
      <c r="A135" s="50" t="s">
        <v>434</v>
      </c>
      <c r="B135" s="50" t="s">
        <v>87</v>
      </c>
      <c r="C135" s="50" t="s">
        <v>996</v>
      </c>
      <c r="D135" s="50" t="s">
        <v>994</v>
      </c>
      <c r="E135" s="50">
        <v>1</v>
      </c>
      <c r="F135" s="50">
        <v>8</v>
      </c>
      <c r="G135" s="50">
        <v>14</v>
      </c>
      <c r="H135" s="50">
        <v>34</v>
      </c>
      <c r="I135" s="50">
        <v>57</v>
      </c>
      <c r="J135" s="50">
        <v>57</v>
      </c>
      <c r="K135" s="50"/>
      <c r="L135" s="36">
        <v>2019</v>
      </c>
      <c r="M135" s="50" t="s">
        <v>262</v>
      </c>
      <c r="N135" s="50" t="s">
        <v>18</v>
      </c>
      <c r="U135" s="145" t="s">
        <v>128</v>
      </c>
      <c r="V135" s="135" t="s">
        <v>128</v>
      </c>
      <c r="W135" s="145" t="s">
        <v>396</v>
      </c>
      <c r="X135" s="145" t="s">
        <v>44</v>
      </c>
      <c r="Y135" s="145" t="s">
        <v>41</v>
      </c>
    </row>
    <row r="136" spans="1:25" ht="24" customHeight="1" x14ac:dyDescent="0.35">
      <c r="A136" s="50" t="s">
        <v>434</v>
      </c>
      <c r="B136" s="50" t="s">
        <v>87</v>
      </c>
      <c r="C136" s="50" t="s">
        <v>996</v>
      </c>
      <c r="D136" s="50" t="s">
        <v>995</v>
      </c>
      <c r="E136" s="50">
        <v>12000</v>
      </c>
      <c r="F136" s="50">
        <v>14319</v>
      </c>
      <c r="G136" s="50">
        <v>13767</v>
      </c>
      <c r="H136" s="50">
        <v>8254</v>
      </c>
      <c r="I136" s="50">
        <v>48340</v>
      </c>
      <c r="J136" s="50">
        <v>48340</v>
      </c>
      <c r="K136" s="50"/>
      <c r="L136" s="36">
        <v>2019</v>
      </c>
      <c r="M136" s="50" t="s">
        <v>262</v>
      </c>
      <c r="N136" s="50" t="s">
        <v>18</v>
      </c>
      <c r="U136" s="135" t="s">
        <v>116</v>
      </c>
      <c r="V136" s="135" t="s">
        <v>116</v>
      </c>
      <c r="W136" s="135" t="s">
        <v>397</v>
      </c>
      <c r="X136" s="135" t="s">
        <v>116</v>
      </c>
      <c r="Y136" s="135" t="s">
        <v>46</v>
      </c>
    </row>
    <row r="137" spans="1:25" ht="24" customHeight="1" x14ac:dyDescent="0.35">
      <c r="A137" s="103" t="s">
        <v>14</v>
      </c>
      <c r="B137" s="50" t="s">
        <v>4</v>
      </c>
      <c r="C137" s="50" t="s">
        <v>993</v>
      </c>
      <c r="D137" s="50" t="s">
        <v>994</v>
      </c>
      <c r="E137" s="50">
        <v>2</v>
      </c>
      <c r="F137" s="50">
        <v>2</v>
      </c>
      <c r="G137" s="50">
        <v>1</v>
      </c>
      <c r="H137" s="50"/>
      <c r="I137" s="50">
        <v>5</v>
      </c>
      <c r="J137" s="50"/>
      <c r="K137" s="50"/>
      <c r="L137" s="36">
        <v>2019</v>
      </c>
      <c r="M137" s="50" t="s">
        <v>255</v>
      </c>
      <c r="N137" s="50" t="s">
        <v>18</v>
      </c>
      <c r="U137" s="135" t="s">
        <v>118</v>
      </c>
      <c r="V137" s="135" t="s">
        <v>569</v>
      </c>
      <c r="W137" s="135" t="s">
        <v>398</v>
      </c>
      <c r="X137" s="135" t="s">
        <v>399</v>
      </c>
      <c r="Y137" s="135" t="s">
        <v>41</v>
      </c>
    </row>
    <row r="138" spans="1:25" ht="24" customHeight="1" x14ac:dyDescent="0.35">
      <c r="A138" s="103" t="s">
        <v>14</v>
      </c>
      <c r="B138" s="50" t="s">
        <v>4</v>
      </c>
      <c r="C138" s="50" t="s">
        <v>993</v>
      </c>
      <c r="D138" s="50" t="s">
        <v>995</v>
      </c>
      <c r="E138" s="50">
        <v>326911</v>
      </c>
      <c r="F138" s="50">
        <v>140424</v>
      </c>
      <c r="G138" s="50">
        <v>6411</v>
      </c>
      <c r="H138" s="50"/>
      <c r="I138" s="50">
        <v>473746</v>
      </c>
      <c r="J138" s="50"/>
      <c r="K138" s="50"/>
      <c r="L138" s="36">
        <v>2019</v>
      </c>
      <c r="M138" s="50" t="s">
        <v>255</v>
      </c>
      <c r="N138" s="50" t="s">
        <v>18</v>
      </c>
      <c r="U138" s="135" t="s">
        <v>400</v>
      </c>
      <c r="V138" s="135" t="s">
        <v>400</v>
      </c>
      <c r="W138" s="135" t="s">
        <v>401</v>
      </c>
      <c r="X138" s="135" t="s">
        <v>122</v>
      </c>
      <c r="Y138" s="135" t="s">
        <v>255</v>
      </c>
    </row>
    <row r="139" spans="1:25" ht="24" customHeight="1" x14ac:dyDescent="0.35">
      <c r="A139" s="103" t="s">
        <v>14</v>
      </c>
      <c r="B139" s="50" t="s">
        <v>4</v>
      </c>
      <c r="C139" s="50" t="s">
        <v>996</v>
      </c>
      <c r="D139" s="50" t="s">
        <v>997</v>
      </c>
      <c r="E139" s="50"/>
      <c r="F139" s="50">
        <v>5</v>
      </c>
      <c r="G139" s="50">
        <v>1</v>
      </c>
      <c r="H139" s="50">
        <v>7</v>
      </c>
      <c r="I139" s="50">
        <v>13</v>
      </c>
      <c r="J139" s="50">
        <v>51</v>
      </c>
      <c r="K139" s="50">
        <v>76</v>
      </c>
      <c r="L139" s="36">
        <v>2019</v>
      </c>
      <c r="M139" s="50" t="s">
        <v>255</v>
      </c>
      <c r="N139" s="50" t="s">
        <v>18</v>
      </c>
      <c r="U139" s="135" t="s">
        <v>124</v>
      </c>
      <c r="V139" s="135" t="s">
        <v>124</v>
      </c>
      <c r="W139" s="135" t="s">
        <v>126</v>
      </c>
      <c r="X139" s="135" t="s">
        <v>125</v>
      </c>
      <c r="Y139" s="135" t="s">
        <v>41</v>
      </c>
    </row>
    <row r="140" spans="1:25" ht="24" customHeight="1" x14ac:dyDescent="0.35">
      <c r="A140" s="103" t="s">
        <v>14</v>
      </c>
      <c r="B140" s="50" t="s">
        <v>4</v>
      </c>
      <c r="C140" s="50" t="s">
        <v>996</v>
      </c>
      <c r="D140" s="50" t="s">
        <v>994</v>
      </c>
      <c r="E140" s="50">
        <v>2</v>
      </c>
      <c r="F140" s="50">
        <v>11</v>
      </c>
      <c r="G140" s="50">
        <v>18</v>
      </c>
      <c r="H140" s="50">
        <v>97</v>
      </c>
      <c r="I140" s="50">
        <v>128</v>
      </c>
      <c r="J140" s="50">
        <v>7</v>
      </c>
      <c r="K140" s="50">
        <v>2</v>
      </c>
      <c r="L140" s="36">
        <v>2019</v>
      </c>
      <c r="M140" s="50" t="s">
        <v>255</v>
      </c>
      <c r="N140" s="50" t="s">
        <v>18</v>
      </c>
      <c r="U140" s="135" t="s">
        <v>402</v>
      </c>
      <c r="V140" s="135" t="s">
        <v>572</v>
      </c>
      <c r="W140" s="135" t="s">
        <v>403</v>
      </c>
      <c r="X140" s="135" t="s">
        <v>111</v>
      </c>
      <c r="Y140" s="135" t="s">
        <v>41</v>
      </c>
    </row>
    <row r="141" spans="1:25" ht="24" customHeight="1" x14ac:dyDescent="0.35">
      <c r="A141" s="103" t="s">
        <v>14</v>
      </c>
      <c r="B141" s="50" t="s">
        <v>4</v>
      </c>
      <c r="C141" s="50" t="s">
        <v>996</v>
      </c>
      <c r="D141" s="50" t="s">
        <v>995</v>
      </c>
      <c r="E141" s="50">
        <v>153154</v>
      </c>
      <c r="F141" s="50">
        <v>215557</v>
      </c>
      <c r="G141" s="50">
        <v>61351</v>
      </c>
      <c r="H141" s="50">
        <v>119221</v>
      </c>
      <c r="I141" s="50">
        <v>549283</v>
      </c>
      <c r="J141" s="50">
        <v>8678447</v>
      </c>
      <c r="K141" s="50">
        <v>71669</v>
      </c>
      <c r="L141" s="36">
        <v>2019</v>
      </c>
      <c r="M141" s="50" t="s">
        <v>255</v>
      </c>
      <c r="N141" s="50" t="s">
        <v>18</v>
      </c>
      <c r="U141" s="135" t="s">
        <v>402</v>
      </c>
      <c r="V141" s="135" t="s">
        <v>572</v>
      </c>
      <c r="W141" s="135" t="s">
        <v>404</v>
      </c>
      <c r="X141" s="135" t="s">
        <v>405</v>
      </c>
      <c r="Y141" s="135" t="s">
        <v>255</v>
      </c>
    </row>
    <row r="142" spans="1:25" ht="24" customHeight="1" x14ac:dyDescent="0.35">
      <c r="A142" s="50" t="s">
        <v>445</v>
      </c>
      <c r="B142" s="50" t="s">
        <v>4</v>
      </c>
      <c r="C142" s="50" t="s">
        <v>993</v>
      </c>
      <c r="D142" s="50" t="s">
        <v>997</v>
      </c>
      <c r="E142" s="50">
        <v>0</v>
      </c>
      <c r="F142" s="50"/>
      <c r="G142" s="50"/>
      <c r="H142" s="50"/>
      <c r="I142" s="50">
        <v>0</v>
      </c>
      <c r="J142" s="50"/>
      <c r="K142" s="50"/>
      <c r="L142" s="36">
        <v>2019</v>
      </c>
      <c r="M142" s="50" t="s">
        <v>255</v>
      </c>
      <c r="N142" s="50" t="s">
        <v>6</v>
      </c>
      <c r="U142" s="135" t="s">
        <v>402</v>
      </c>
      <c r="V142" s="135" t="s">
        <v>572</v>
      </c>
      <c r="W142" s="135" t="s">
        <v>407</v>
      </c>
      <c r="X142" s="135" t="s">
        <v>102</v>
      </c>
      <c r="Y142" s="135" t="s">
        <v>41</v>
      </c>
    </row>
    <row r="143" spans="1:25" ht="24" customHeight="1" x14ac:dyDescent="0.35">
      <c r="A143" s="50" t="s">
        <v>445</v>
      </c>
      <c r="B143" s="50" t="s">
        <v>4</v>
      </c>
      <c r="C143" s="50" t="s">
        <v>993</v>
      </c>
      <c r="D143" s="50" t="s">
        <v>994</v>
      </c>
      <c r="E143" s="50">
        <v>0</v>
      </c>
      <c r="F143" s="50"/>
      <c r="G143" s="50"/>
      <c r="H143" s="50"/>
      <c r="I143" s="50">
        <v>0</v>
      </c>
      <c r="J143" s="50"/>
      <c r="K143" s="50"/>
      <c r="L143" s="36">
        <v>2019</v>
      </c>
      <c r="M143" s="50" t="s">
        <v>255</v>
      </c>
      <c r="N143" s="50" t="s">
        <v>6</v>
      </c>
      <c r="U143" s="135" t="s">
        <v>402</v>
      </c>
      <c r="V143" s="135" t="s">
        <v>572</v>
      </c>
      <c r="W143" s="135" t="s">
        <v>407</v>
      </c>
      <c r="X143" s="135" t="s">
        <v>408</v>
      </c>
      <c r="Y143" s="135" t="s">
        <v>41</v>
      </c>
    </row>
    <row r="144" spans="1:25" ht="24" customHeight="1" x14ac:dyDescent="0.35">
      <c r="A144" s="50" t="s">
        <v>445</v>
      </c>
      <c r="B144" s="50" t="s">
        <v>4</v>
      </c>
      <c r="C144" s="50" t="s">
        <v>996</v>
      </c>
      <c r="D144" s="50" t="s">
        <v>997</v>
      </c>
      <c r="E144" s="50">
        <v>1</v>
      </c>
      <c r="F144" s="50">
        <v>0</v>
      </c>
      <c r="G144" s="50">
        <v>0</v>
      </c>
      <c r="H144" s="50">
        <v>0</v>
      </c>
      <c r="I144" s="50">
        <v>1</v>
      </c>
      <c r="J144" s="50">
        <v>1</v>
      </c>
      <c r="K144" s="50"/>
      <c r="L144" s="36">
        <v>2019</v>
      </c>
      <c r="M144" s="50" t="s">
        <v>255</v>
      </c>
      <c r="N144" s="50" t="s">
        <v>6</v>
      </c>
      <c r="U144" s="135" t="s">
        <v>402</v>
      </c>
      <c r="V144" s="135" t="s">
        <v>572</v>
      </c>
      <c r="W144" s="135" t="s">
        <v>409</v>
      </c>
      <c r="X144" s="135" t="s">
        <v>410</v>
      </c>
      <c r="Y144" s="135" t="s">
        <v>41</v>
      </c>
    </row>
    <row r="145" spans="1:25" ht="24" customHeight="1" x14ac:dyDescent="0.35">
      <c r="A145" s="50" t="s">
        <v>445</v>
      </c>
      <c r="B145" s="50" t="s">
        <v>4</v>
      </c>
      <c r="C145" s="50" t="s">
        <v>996</v>
      </c>
      <c r="D145" s="50" t="s">
        <v>994</v>
      </c>
      <c r="E145" s="50">
        <v>2</v>
      </c>
      <c r="F145" s="50">
        <v>0</v>
      </c>
      <c r="G145" s="50">
        <v>0</v>
      </c>
      <c r="H145" s="50">
        <v>0</v>
      </c>
      <c r="I145" s="50">
        <v>2</v>
      </c>
      <c r="J145" s="50">
        <v>2</v>
      </c>
      <c r="K145" s="50"/>
      <c r="L145" s="36">
        <v>2019</v>
      </c>
      <c r="M145" s="50" t="s">
        <v>255</v>
      </c>
      <c r="N145" s="50" t="s">
        <v>6</v>
      </c>
      <c r="U145" s="135" t="s">
        <v>411</v>
      </c>
      <c r="V145" s="135" t="s">
        <v>411</v>
      </c>
      <c r="W145" s="135" t="s">
        <v>412</v>
      </c>
      <c r="X145" s="135" t="s">
        <v>335</v>
      </c>
      <c r="Y145" s="135" t="s">
        <v>46</v>
      </c>
    </row>
    <row r="146" spans="1:25" ht="24" customHeight="1" x14ac:dyDescent="0.35">
      <c r="A146" s="50" t="s">
        <v>445</v>
      </c>
      <c r="B146" s="50" t="s">
        <v>4</v>
      </c>
      <c r="C146" s="50" t="s">
        <v>996</v>
      </c>
      <c r="D146" s="50" t="s">
        <v>995</v>
      </c>
      <c r="E146" s="50">
        <v>17200</v>
      </c>
      <c r="F146" s="50"/>
      <c r="G146" s="50"/>
      <c r="H146" s="50"/>
      <c r="I146" s="50">
        <v>17200</v>
      </c>
      <c r="J146" s="50"/>
      <c r="K146" s="50"/>
      <c r="L146" s="36">
        <v>2019</v>
      </c>
      <c r="M146" s="50" t="s">
        <v>255</v>
      </c>
      <c r="N146" s="50" t="s">
        <v>6</v>
      </c>
      <c r="U146" s="135" t="s">
        <v>414</v>
      </c>
      <c r="V146" s="135" t="s">
        <v>414</v>
      </c>
      <c r="W146" s="135" t="s">
        <v>415</v>
      </c>
      <c r="X146" s="135" t="s">
        <v>416</v>
      </c>
      <c r="Y146" s="135" t="s">
        <v>46</v>
      </c>
    </row>
    <row r="147" spans="1:25" ht="24" customHeight="1" x14ac:dyDescent="0.35">
      <c r="A147" s="50" t="s">
        <v>273</v>
      </c>
      <c r="B147" s="50" t="s">
        <v>4</v>
      </c>
      <c r="C147" s="50" t="s">
        <v>993</v>
      </c>
      <c r="D147" s="50" t="s">
        <v>994</v>
      </c>
      <c r="E147" s="50">
        <v>1</v>
      </c>
      <c r="F147" s="50"/>
      <c r="G147" s="50"/>
      <c r="H147" s="50"/>
      <c r="I147" s="50">
        <v>1</v>
      </c>
      <c r="J147" s="50"/>
      <c r="K147" s="50"/>
      <c r="L147" s="36">
        <v>2019</v>
      </c>
      <c r="M147" s="50" t="s">
        <v>255</v>
      </c>
      <c r="N147" s="50" t="s">
        <v>18</v>
      </c>
      <c r="U147" s="135" t="s">
        <v>417</v>
      </c>
      <c r="V147" s="135" t="s">
        <v>417</v>
      </c>
      <c r="W147" s="135" t="s">
        <v>418</v>
      </c>
      <c r="X147" s="135" t="s">
        <v>419</v>
      </c>
      <c r="Y147" s="135" t="s">
        <v>255</v>
      </c>
    </row>
    <row r="148" spans="1:25" ht="24" customHeight="1" x14ac:dyDescent="0.35">
      <c r="A148" s="50" t="s">
        <v>273</v>
      </c>
      <c r="B148" s="50" t="s">
        <v>4</v>
      </c>
      <c r="C148" s="50" t="s">
        <v>996</v>
      </c>
      <c r="D148" s="50" t="s">
        <v>997</v>
      </c>
      <c r="E148" s="50">
        <v>1</v>
      </c>
      <c r="F148" s="50"/>
      <c r="G148" s="50"/>
      <c r="H148" s="50">
        <v>1</v>
      </c>
      <c r="I148" s="50">
        <v>2</v>
      </c>
      <c r="J148" s="50">
        <v>2</v>
      </c>
      <c r="K148" s="50"/>
      <c r="L148" s="36">
        <v>2019</v>
      </c>
      <c r="M148" s="50" t="s">
        <v>255</v>
      </c>
      <c r="N148" s="50" t="s">
        <v>18</v>
      </c>
      <c r="U148" s="135" t="s">
        <v>417</v>
      </c>
      <c r="V148" s="135" t="s">
        <v>417</v>
      </c>
      <c r="W148" s="135" t="s">
        <v>420</v>
      </c>
      <c r="X148" s="135" t="s">
        <v>421</v>
      </c>
      <c r="Y148" s="135" t="s">
        <v>255</v>
      </c>
    </row>
    <row r="149" spans="1:25" ht="24" customHeight="1" x14ac:dyDescent="0.35">
      <c r="A149" s="50" t="s">
        <v>273</v>
      </c>
      <c r="B149" s="50" t="s">
        <v>4</v>
      </c>
      <c r="C149" s="50" t="s">
        <v>996</v>
      </c>
      <c r="D149" s="50" t="s">
        <v>994</v>
      </c>
      <c r="E149" s="50">
        <v>5</v>
      </c>
      <c r="F149" s="50"/>
      <c r="G149" s="50">
        <v>6</v>
      </c>
      <c r="H149" s="50">
        <v>23</v>
      </c>
      <c r="I149" s="50">
        <v>34</v>
      </c>
      <c r="J149" s="50">
        <v>25</v>
      </c>
      <c r="K149" s="50">
        <v>9</v>
      </c>
      <c r="L149" s="36">
        <v>2019</v>
      </c>
      <c r="M149" s="50" t="s">
        <v>255</v>
      </c>
      <c r="N149" s="50" t="s">
        <v>18</v>
      </c>
      <c r="U149" s="135" t="s">
        <v>422</v>
      </c>
      <c r="V149" s="135" t="s">
        <v>422</v>
      </c>
      <c r="W149" s="135" t="s">
        <v>423</v>
      </c>
      <c r="X149" s="135" t="s">
        <v>416</v>
      </c>
      <c r="Y149" s="135" t="s">
        <v>262</v>
      </c>
    </row>
    <row r="150" spans="1:25" ht="24" customHeight="1" x14ac:dyDescent="0.35">
      <c r="A150" s="103" t="s">
        <v>142</v>
      </c>
      <c r="B150" s="50" t="s">
        <v>4</v>
      </c>
      <c r="C150" s="50" t="s">
        <v>993</v>
      </c>
      <c r="D150" s="50" t="s">
        <v>994</v>
      </c>
      <c r="E150" s="50">
        <v>2</v>
      </c>
      <c r="F150" s="50"/>
      <c r="G150" s="50"/>
      <c r="H150" s="50"/>
      <c r="I150" s="50">
        <v>2</v>
      </c>
      <c r="J150" s="50">
        <v>2</v>
      </c>
      <c r="K150" s="50"/>
      <c r="L150" s="36">
        <v>2019</v>
      </c>
      <c r="M150" s="50" t="s">
        <v>255</v>
      </c>
      <c r="N150" s="50" t="s">
        <v>18</v>
      </c>
      <c r="U150" s="146" t="s">
        <v>248</v>
      </c>
      <c r="V150" s="135" t="s">
        <v>248</v>
      </c>
      <c r="W150" s="146" t="s">
        <v>249</v>
      </c>
      <c r="X150" s="146" t="s">
        <v>44</v>
      </c>
      <c r="Y150" s="146" t="s">
        <v>46</v>
      </c>
    </row>
    <row r="151" spans="1:25" ht="24" customHeight="1" x14ac:dyDescent="0.35">
      <c r="A151" s="103" t="s">
        <v>142</v>
      </c>
      <c r="B151" s="50" t="s">
        <v>4</v>
      </c>
      <c r="C151" s="50" t="s">
        <v>993</v>
      </c>
      <c r="D151" s="50" t="s">
        <v>995</v>
      </c>
      <c r="E151" s="50">
        <v>38400</v>
      </c>
      <c r="F151" s="50"/>
      <c r="G151" s="50"/>
      <c r="H151" s="50"/>
      <c r="I151" s="50">
        <v>38400</v>
      </c>
      <c r="J151" s="50"/>
      <c r="K151" s="50"/>
      <c r="L151" s="36">
        <v>2019</v>
      </c>
      <c r="M151" s="50" t="s">
        <v>255</v>
      </c>
      <c r="N151" s="50" t="s">
        <v>18</v>
      </c>
      <c r="U151" s="135" t="s">
        <v>250</v>
      </c>
      <c r="V151" s="135" t="s">
        <v>250</v>
      </c>
      <c r="W151" s="135" t="s">
        <v>251</v>
      </c>
      <c r="X151" s="135" t="s">
        <v>252</v>
      </c>
      <c r="Y151" s="135" t="s">
        <v>57</v>
      </c>
    </row>
    <row r="152" spans="1:25" ht="24" customHeight="1" x14ac:dyDescent="0.35">
      <c r="A152" s="103" t="s">
        <v>142</v>
      </c>
      <c r="B152" s="50" t="s">
        <v>4</v>
      </c>
      <c r="C152" s="50" t="s">
        <v>996</v>
      </c>
      <c r="D152" s="50" t="s">
        <v>997</v>
      </c>
      <c r="E152" s="50">
        <v>1</v>
      </c>
      <c r="F152" s="50"/>
      <c r="G152" s="50"/>
      <c r="H152" s="50">
        <v>1</v>
      </c>
      <c r="I152" s="50">
        <v>2</v>
      </c>
      <c r="J152" s="50">
        <v>2</v>
      </c>
      <c r="K152" s="50"/>
      <c r="L152" s="36">
        <v>2019</v>
      </c>
      <c r="M152" s="50" t="s">
        <v>255</v>
      </c>
      <c r="N152" s="50" t="s">
        <v>18</v>
      </c>
      <c r="U152" s="135" t="s">
        <v>250</v>
      </c>
      <c r="V152" s="135" t="s">
        <v>250</v>
      </c>
      <c r="W152" s="135" t="s">
        <v>254</v>
      </c>
      <c r="X152" s="135" t="s">
        <v>2</v>
      </c>
      <c r="Y152" s="135" t="s">
        <v>255</v>
      </c>
    </row>
    <row r="153" spans="1:25" ht="24" customHeight="1" x14ac:dyDescent="0.35">
      <c r="A153" s="103" t="s">
        <v>142</v>
      </c>
      <c r="B153" s="50" t="s">
        <v>4</v>
      </c>
      <c r="C153" s="50" t="s">
        <v>996</v>
      </c>
      <c r="D153" s="50" t="s">
        <v>994</v>
      </c>
      <c r="E153" s="50">
        <v>5</v>
      </c>
      <c r="F153" s="50"/>
      <c r="G153" s="50">
        <v>6</v>
      </c>
      <c r="H153" s="50">
        <v>23</v>
      </c>
      <c r="I153" s="50">
        <v>34</v>
      </c>
      <c r="J153" s="50">
        <v>25</v>
      </c>
      <c r="K153" s="50">
        <v>9</v>
      </c>
      <c r="L153" s="36">
        <v>2019</v>
      </c>
      <c r="M153" s="50" t="s">
        <v>255</v>
      </c>
      <c r="N153" s="50" t="s">
        <v>18</v>
      </c>
      <c r="U153" s="146" t="s">
        <v>428</v>
      </c>
      <c r="V153" s="135" t="s">
        <v>428</v>
      </c>
      <c r="W153" s="146" t="s">
        <v>429</v>
      </c>
      <c r="X153" s="146" t="s">
        <v>430</v>
      </c>
      <c r="Y153" s="146" t="s">
        <v>255</v>
      </c>
    </row>
    <row r="154" spans="1:25" ht="24" customHeight="1" x14ac:dyDescent="0.35">
      <c r="A154" s="103" t="s">
        <v>142</v>
      </c>
      <c r="B154" s="50" t="s">
        <v>4</v>
      </c>
      <c r="C154" s="50" t="s">
        <v>996</v>
      </c>
      <c r="D154" s="50" t="s">
        <v>995</v>
      </c>
      <c r="E154" s="50">
        <v>86400</v>
      </c>
      <c r="F154" s="50"/>
      <c r="G154" s="50">
        <v>36000</v>
      </c>
      <c r="H154" s="50">
        <v>43344</v>
      </c>
      <c r="I154" s="50">
        <v>165744</v>
      </c>
      <c r="J154" s="50"/>
      <c r="K154" s="50"/>
      <c r="L154" s="36">
        <v>2019</v>
      </c>
      <c r="M154" s="50" t="s">
        <v>255</v>
      </c>
      <c r="N154" s="50" t="s">
        <v>18</v>
      </c>
      <c r="U154" s="146" t="s">
        <v>428</v>
      </c>
      <c r="V154" s="135" t="s">
        <v>428</v>
      </c>
      <c r="W154" s="146" t="s">
        <v>432</v>
      </c>
      <c r="X154" s="146" t="s">
        <v>433</v>
      </c>
      <c r="Y154" s="146" t="s">
        <v>255</v>
      </c>
    </row>
    <row r="155" spans="1:25" ht="24" customHeight="1" x14ac:dyDescent="0.35">
      <c r="A155" s="103" t="s">
        <v>30</v>
      </c>
      <c r="B155" s="50" t="s">
        <v>4</v>
      </c>
      <c r="C155" s="50" t="s">
        <v>996</v>
      </c>
      <c r="D155" s="50" t="s">
        <v>997</v>
      </c>
      <c r="E155" s="50">
        <v>0</v>
      </c>
      <c r="F155" s="50">
        <v>0</v>
      </c>
      <c r="G155" s="50">
        <v>0</v>
      </c>
      <c r="H155" s="50">
        <v>0</v>
      </c>
      <c r="I155" s="50">
        <v>0</v>
      </c>
      <c r="J155" s="50"/>
      <c r="K155" s="50"/>
      <c r="L155" s="36">
        <v>2019</v>
      </c>
      <c r="M155" s="50" t="s">
        <v>255</v>
      </c>
      <c r="N155" s="50" t="s">
        <v>18</v>
      </c>
      <c r="U155" s="146" t="s">
        <v>434</v>
      </c>
      <c r="V155" s="135" t="s">
        <v>434</v>
      </c>
      <c r="W155" s="146" t="s">
        <v>435</v>
      </c>
      <c r="X155" s="146" t="s">
        <v>436</v>
      </c>
      <c r="Y155" s="146" t="s">
        <v>87</v>
      </c>
    </row>
    <row r="156" spans="1:25" ht="24" customHeight="1" x14ac:dyDescent="0.35">
      <c r="A156" s="103" t="s">
        <v>30</v>
      </c>
      <c r="B156" s="50" t="s">
        <v>4</v>
      </c>
      <c r="C156" s="50" t="s">
        <v>996</v>
      </c>
      <c r="D156" s="50" t="s">
        <v>994</v>
      </c>
      <c r="E156" s="50">
        <v>5</v>
      </c>
      <c r="F156" s="50">
        <v>1</v>
      </c>
      <c r="G156" s="50">
        <v>2</v>
      </c>
      <c r="H156" s="50">
        <v>116</v>
      </c>
      <c r="I156" s="50">
        <v>124</v>
      </c>
      <c r="J156" s="50">
        <v>8</v>
      </c>
      <c r="K156" s="50">
        <v>116</v>
      </c>
      <c r="L156" s="36">
        <v>2019</v>
      </c>
      <c r="M156" s="50" t="s">
        <v>255</v>
      </c>
      <c r="N156" s="50" t="s">
        <v>18</v>
      </c>
      <c r="U156" s="146" t="s">
        <v>14</v>
      </c>
      <c r="V156" s="135" t="s">
        <v>14</v>
      </c>
      <c r="W156" s="146" t="s">
        <v>22</v>
      </c>
      <c r="X156" s="146" t="s">
        <v>437</v>
      </c>
      <c r="Y156" s="146" t="s">
        <v>255</v>
      </c>
    </row>
    <row r="157" spans="1:25" ht="24" customHeight="1" x14ac:dyDescent="0.35">
      <c r="A157" s="103" t="s">
        <v>30</v>
      </c>
      <c r="B157" s="50" t="s">
        <v>4</v>
      </c>
      <c r="C157" s="50" t="s">
        <v>996</v>
      </c>
      <c r="D157" s="50" t="s">
        <v>995</v>
      </c>
      <c r="E157" s="50">
        <v>93047.403999999995</v>
      </c>
      <c r="F157" s="50">
        <v>4393.76</v>
      </c>
      <c r="G157" s="50">
        <v>9234.4760000000006</v>
      </c>
      <c r="H157" s="50">
        <v>131302.96</v>
      </c>
      <c r="I157" s="50">
        <v>237978.59999999998</v>
      </c>
      <c r="J157" s="50">
        <v>106675.64</v>
      </c>
      <c r="K157" s="50">
        <v>131302.96</v>
      </c>
      <c r="L157" s="36">
        <v>2019</v>
      </c>
      <c r="M157" s="50" t="s">
        <v>255</v>
      </c>
      <c r="N157" s="50" t="s">
        <v>18</v>
      </c>
      <c r="U157" s="146" t="s">
        <v>14</v>
      </c>
      <c r="V157" s="135" t="s">
        <v>14</v>
      </c>
      <c r="W157" s="146" t="s">
        <v>137</v>
      </c>
      <c r="X157" s="146" t="s">
        <v>15</v>
      </c>
      <c r="Y157" s="146" t="s">
        <v>255</v>
      </c>
    </row>
    <row r="158" spans="1:25" ht="24" customHeight="1" x14ac:dyDescent="0.35">
      <c r="A158" s="103" t="s">
        <v>30</v>
      </c>
      <c r="B158" s="50" t="s">
        <v>4</v>
      </c>
      <c r="C158" s="50" t="s">
        <v>996</v>
      </c>
      <c r="D158" s="50" t="s">
        <v>997</v>
      </c>
      <c r="E158" s="50">
        <v>4</v>
      </c>
      <c r="F158" s="50">
        <v>3</v>
      </c>
      <c r="G158" s="50">
        <v>0</v>
      </c>
      <c r="H158" s="50">
        <v>10</v>
      </c>
      <c r="I158" s="50">
        <v>17</v>
      </c>
      <c r="J158" s="50">
        <v>7</v>
      </c>
      <c r="K158" s="50">
        <v>10</v>
      </c>
      <c r="L158" s="36">
        <v>2019</v>
      </c>
      <c r="M158" s="50" t="s">
        <v>255</v>
      </c>
      <c r="N158" s="50" t="s">
        <v>18</v>
      </c>
      <c r="U158" s="146" t="s">
        <v>264</v>
      </c>
      <c r="V158" s="135" t="s">
        <v>264</v>
      </c>
      <c r="W158" s="146" t="s">
        <v>439</v>
      </c>
      <c r="X158" s="146" t="s">
        <v>440</v>
      </c>
      <c r="Y158" s="146" t="s">
        <v>255</v>
      </c>
    </row>
    <row r="159" spans="1:25" ht="24" customHeight="1" x14ac:dyDescent="0.35">
      <c r="A159" s="103" t="s">
        <v>30</v>
      </c>
      <c r="B159" s="50" t="s">
        <v>4</v>
      </c>
      <c r="C159" s="50" t="s">
        <v>996</v>
      </c>
      <c r="D159" s="50" t="s">
        <v>994</v>
      </c>
      <c r="E159" s="50">
        <v>21</v>
      </c>
      <c r="F159" s="50">
        <v>19</v>
      </c>
      <c r="G159" s="50">
        <v>17</v>
      </c>
      <c r="H159" s="50">
        <v>103</v>
      </c>
      <c r="I159" s="50">
        <v>160</v>
      </c>
      <c r="J159" s="50">
        <v>87</v>
      </c>
      <c r="K159" s="50">
        <v>73</v>
      </c>
      <c r="L159" s="36">
        <v>2019</v>
      </c>
      <c r="M159" s="50" t="s">
        <v>255</v>
      </c>
      <c r="N159" s="50" t="s">
        <v>18</v>
      </c>
      <c r="U159" s="146" t="s">
        <v>264</v>
      </c>
      <c r="V159" s="135" t="s">
        <v>264</v>
      </c>
      <c r="W159" s="146" t="s">
        <v>267</v>
      </c>
      <c r="X159" s="146" t="s">
        <v>268</v>
      </c>
      <c r="Y159" s="146" t="s">
        <v>46</v>
      </c>
    </row>
    <row r="160" spans="1:25" ht="24" customHeight="1" x14ac:dyDescent="0.35">
      <c r="A160" s="103" t="s">
        <v>30</v>
      </c>
      <c r="B160" s="50" t="s">
        <v>4</v>
      </c>
      <c r="C160" s="50" t="s">
        <v>996</v>
      </c>
      <c r="D160" s="50" t="s">
        <v>995</v>
      </c>
      <c r="E160" s="50">
        <v>399328.68</v>
      </c>
      <c r="F160" s="50">
        <v>162956.46</v>
      </c>
      <c r="G160" s="50">
        <v>70944.517000000007</v>
      </c>
      <c r="H160" s="50">
        <v>301556.56</v>
      </c>
      <c r="I160" s="50">
        <v>934786.21699999995</v>
      </c>
      <c r="J160" s="50">
        <v>636064.91</v>
      </c>
      <c r="K160" s="50">
        <v>298721.3</v>
      </c>
      <c r="L160" s="36">
        <v>2019</v>
      </c>
      <c r="M160" s="50" t="s">
        <v>255</v>
      </c>
      <c r="N160" s="50" t="s">
        <v>18</v>
      </c>
      <c r="U160" s="149" t="s">
        <v>444</v>
      </c>
      <c r="V160" s="135" t="s">
        <v>444</v>
      </c>
      <c r="W160" s="149" t="s">
        <v>270</v>
      </c>
      <c r="X160" s="149" t="s">
        <v>44</v>
      </c>
      <c r="Y160" s="149" t="s">
        <v>46</v>
      </c>
    </row>
    <row r="161" spans="1:25" ht="24" customHeight="1" x14ac:dyDescent="0.35">
      <c r="A161" s="103" t="s">
        <v>38</v>
      </c>
      <c r="B161" s="50" t="s">
        <v>41</v>
      </c>
      <c r="C161" s="50" t="s">
        <v>996</v>
      </c>
      <c r="D161" s="50" t="s">
        <v>997</v>
      </c>
      <c r="E161" s="50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36">
        <v>2019</v>
      </c>
      <c r="M161" s="50" t="s">
        <v>41</v>
      </c>
      <c r="N161" s="50" t="s">
        <v>6</v>
      </c>
      <c r="U161" s="146" t="s">
        <v>445</v>
      </c>
      <c r="V161" s="135" t="s">
        <v>445</v>
      </c>
      <c r="W161" s="146" t="s">
        <v>446</v>
      </c>
      <c r="X161" s="146" t="s">
        <v>272</v>
      </c>
      <c r="Y161" s="146" t="s">
        <v>255</v>
      </c>
    </row>
    <row r="162" spans="1:25" ht="24" customHeight="1" x14ac:dyDescent="0.35">
      <c r="A162" s="103" t="s">
        <v>38</v>
      </c>
      <c r="B162" s="50" t="s">
        <v>41</v>
      </c>
      <c r="C162" s="50" t="s">
        <v>996</v>
      </c>
      <c r="D162" s="50" t="s">
        <v>994</v>
      </c>
      <c r="E162" s="50">
        <v>1</v>
      </c>
      <c r="F162" s="50">
        <v>1</v>
      </c>
      <c r="G162" s="50"/>
      <c r="H162" s="50"/>
      <c r="I162" s="50">
        <v>2</v>
      </c>
      <c r="J162" s="50"/>
      <c r="K162" s="50"/>
      <c r="L162" s="36">
        <v>2019</v>
      </c>
      <c r="M162" s="50" t="s">
        <v>41</v>
      </c>
      <c r="N162" s="50" t="s">
        <v>6</v>
      </c>
      <c r="U162" s="146" t="s">
        <v>273</v>
      </c>
      <c r="V162" s="135" t="s">
        <v>273</v>
      </c>
      <c r="W162" s="146" t="s">
        <v>274</v>
      </c>
      <c r="X162" s="146" t="s">
        <v>275</v>
      </c>
      <c r="Y162" s="146" t="s">
        <v>255</v>
      </c>
    </row>
    <row r="163" spans="1:25" ht="24" customHeight="1" x14ac:dyDescent="0.35">
      <c r="A163" s="103" t="s">
        <v>38</v>
      </c>
      <c r="B163" s="50" t="s">
        <v>41</v>
      </c>
      <c r="C163" s="50" t="s">
        <v>996</v>
      </c>
      <c r="D163" s="50" t="s">
        <v>995</v>
      </c>
      <c r="E163" s="50">
        <v>20347</v>
      </c>
      <c r="F163" s="50">
        <v>24421</v>
      </c>
      <c r="G163" s="50"/>
      <c r="H163" s="50"/>
      <c r="I163" s="50">
        <v>44768</v>
      </c>
      <c r="J163" s="50"/>
      <c r="K163" s="50"/>
      <c r="L163" s="36">
        <v>2019</v>
      </c>
      <c r="M163" s="50" t="s">
        <v>41</v>
      </c>
      <c r="N163" s="50" t="s">
        <v>6</v>
      </c>
      <c r="U163" s="146" t="s">
        <v>448</v>
      </c>
      <c r="V163" s="135" t="s">
        <v>448</v>
      </c>
      <c r="W163" s="146" t="s">
        <v>449</v>
      </c>
      <c r="X163" s="146" t="s">
        <v>450</v>
      </c>
      <c r="Y163" s="146" t="s">
        <v>46</v>
      </c>
    </row>
    <row r="164" spans="1:25" ht="24" customHeight="1" x14ac:dyDescent="0.35">
      <c r="A164" s="103" t="s">
        <v>151</v>
      </c>
      <c r="B164" s="50" t="s">
        <v>46</v>
      </c>
      <c r="C164" s="50" t="s">
        <v>993</v>
      </c>
      <c r="D164" s="50" t="s">
        <v>994</v>
      </c>
      <c r="E164" s="50">
        <v>2</v>
      </c>
      <c r="F164" s="50">
        <v>2</v>
      </c>
      <c r="G164" s="50">
        <v>6</v>
      </c>
      <c r="H164" s="50"/>
      <c r="I164" s="50">
        <v>10</v>
      </c>
      <c r="J164" s="50"/>
      <c r="K164" s="50"/>
      <c r="L164" s="36">
        <v>2019</v>
      </c>
      <c r="M164" s="50" t="s">
        <v>46</v>
      </c>
      <c r="N164" s="50" t="s">
        <v>48</v>
      </c>
      <c r="U164" s="135" t="s">
        <v>276</v>
      </c>
      <c r="V164" s="135" t="s">
        <v>276</v>
      </c>
      <c r="W164" s="135" t="s">
        <v>277</v>
      </c>
      <c r="X164" s="135" t="s">
        <v>31</v>
      </c>
      <c r="Y164" s="135" t="s">
        <v>255</v>
      </c>
    </row>
    <row r="165" spans="1:25" ht="24" customHeight="1" x14ac:dyDescent="0.35">
      <c r="A165" s="103" t="s">
        <v>151</v>
      </c>
      <c r="B165" s="50" t="s">
        <v>46</v>
      </c>
      <c r="C165" s="50" t="s">
        <v>993</v>
      </c>
      <c r="D165" s="50" t="s">
        <v>995</v>
      </c>
      <c r="E165" s="50">
        <v>18399</v>
      </c>
      <c r="F165" s="50">
        <v>14942</v>
      </c>
      <c r="G165" s="50">
        <v>35344</v>
      </c>
      <c r="H165" s="50"/>
      <c r="I165" s="50">
        <v>68685</v>
      </c>
      <c r="J165" s="50"/>
      <c r="K165" s="50"/>
      <c r="L165" s="36">
        <v>2019</v>
      </c>
      <c r="M165" s="50" t="s">
        <v>46</v>
      </c>
      <c r="N165" s="50" t="s">
        <v>48</v>
      </c>
      <c r="U165" s="146" t="s">
        <v>278</v>
      </c>
      <c r="V165" s="135" t="s">
        <v>142</v>
      </c>
      <c r="W165" s="146" t="s">
        <v>280</v>
      </c>
      <c r="X165" s="146" t="s">
        <v>143</v>
      </c>
      <c r="Y165" s="146" t="s">
        <v>255</v>
      </c>
    </row>
    <row r="166" spans="1:25" ht="24" customHeight="1" x14ac:dyDescent="0.35">
      <c r="A166" s="103" t="s">
        <v>151</v>
      </c>
      <c r="B166" s="50" t="s">
        <v>46</v>
      </c>
      <c r="C166" s="50" t="s">
        <v>996</v>
      </c>
      <c r="D166" s="50" t="s">
        <v>997</v>
      </c>
      <c r="E166" s="50"/>
      <c r="F166" s="50"/>
      <c r="G166" s="50"/>
      <c r="H166" s="50">
        <v>3</v>
      </c>
      <c r="I166" s="50">
        <v>3</v>
      </c>
      <c r="J166" s="50"/>
      <c r="K166" s="50"/>
      <c r="L166" s="36">
        <v>2019</v>
      </c>
      <c r="M166" s="50" t="s">
        <v>46</v>
      </c>
      <c r="N166" s="50" t="s">
        <v>48</v>
      </c>
      <c r="U166" s="146" t="s">
        <v>278</v>
      </c>
      <c r="V166" s="135" t="s">
        <v>142</v>
      </c>
      <c r="W166" s="146" t="s">
        <v>279</v>
      </c>
      <c r="X166" s="146" t="s">
        <v>147</v>
      </c>
      <c r="Y166" s="146" t="s">
        <v>255</v>
      </c>
    </row>
    <row r="167" spans="1:25" ht="24" customHeight="1" x14ac:dyDescent="0.35">
      <c r="A167" s="103" t="s">
        <v>151</v>
      </c>
      <c r="B167" s="50" t="s">
        <v>46</v>
      </c>
      <c r="C167" s="50" t="s">
        <v>996</v>
      </c>
      <c r="D167" s="50" t="s">
        <v>994</v>
      </c>
      <c r="E167" s="50"/>
      <c r="F167" s="50">
        <v>1</v>
      </c>
      <c r="G167" s="50">
        <v>8</v>
      </c>
      <c r="H167" s="50">
        <v>28</v>
      </c>
      <c r="I167" s="50">
        <v>37</v>
      </c>
      <c r="J167" s="50"/>
      <c r="K167" s="50"/>
      <c r="L167" s="36">
        <v>2019</v>
      </c>
      <c r="M167" s="50" t="s">
        <v>46</v>
      </c>
      <c r="N167" s="50" t="s">
        <v>48</v>
      </c>
      <c r="U167" s="146" t="s">
        <v>282</v>
      </c>
      <c r="V167" s="135" t="s">
        <v>282</v>
      </c>
      <c r="W167" s="146" t="s">
        <v>283</v>
      </c>
      <c r="X167" s="146" t="s">
        <v>284</v>
      </c>
      <c r="Y167" s="146" t="s">
        <v>255</v>
      </c>
    </row>
    <row r="168" spans="1:25" ht="24" customHeight="1" x14ac:dyDescent="0.35">
      <c r="A168" s="103" t="s">
        <v>151</v>
      </c>
      <c r="B168" s="50" t="s">
        <v>46</v>
      </c>
      <c r="C168" s="50" t="s">
        <v>996</v>
      </c>
      <c r="D168" s="50" t="s">
        <v>995</v>
      </c>
      <c r="E168" s="50"/>
      <c r="F168" s="50">
        <v>1451</v>
      </c>
      <c r="G168" s="50">
        <v>17539</v>
      </c>
      <c r="H168" s="50">
        <v>46753</v>
      </c>
      <c r="I168" s="50">
        <v>65743</v>
      </c>
      <c r="J168" s="50"/>
      <c r="K168" s="50"/>
      <c r="L168" s="36">
        <v>2019</v>
      </c>
      <c r="M168" s="50" t="s">
        <v>46</v>
      </c>
      <c r="N168" s="50" t="s">
        <v>48</v>
      </c>
      <c r="U168" s="135" t="s">
        <v>285</v>
      </c>
      <c r="V168" s="135" t="s">
        <v>285</v>
      </c>
      <c r="W168" s="135" t="s">
        <v>286</v>
      </c>
      <c r="X168" s="135" t="s">
        <v>454</v>
      </c>
      <c r="Y168" s="146" t="s">
        <v>87</v>
      </c>
    </row>
    <row r="169" spans="1:25" ht="24" customHeight="1" x14ac:dyDescent="0.35">
      <c r="A169" s="103" t="s">
        <v>154</v>
      </c>
      <c r="B169" s="50" t="s">
        <v>4</v>
      </c>
      <c r="C169" s="50" t="s">
        <v>993</v>
      </c>
      <c r="D169" s="50" t="s">
        <v>994</v>
      </c>
      <c r="E169" s="50">
        <v>1</v>
      </c>
      <c r="F169" s="50"/>
      <c r="G169" s="50"/>
      <c r="H169" s="50"/>
      <c r="I169" s="50">
        <v>1</v>
      </c>
      <c r="J169" s="50"/>
      <c r="K169" s="50"/>
      <c r="L169" s="36">
        <v>2019</v>
      </c>
      <c r="M169" s="50" t="s">
        <v>255</v>
      </c>
      <c r="N169" s="50" t="s">
        <v>18</v>
      </c>
      <c r="U169" s="146" t="s">
        <v>151</v>
      </c>
      <c r="V169" s="135" t="s">
        <v>151</v>
      </c>
      <c r="W169" s="146" t="s">
        <v>455</v>
      </c>
      <c r="X169" s="146" t="s">
        <v>456</v>
      </c>
      <c r="Y169" s="146" t="s">
        <v>46</v>
      </c>
    </row>
    <row r="170" spans="1:25" ht="24" customHeight="1" x14ac:dyDescent="0.35">
      <c r="A170" s="103" t="s">
        <v>154</v>
      </c>
      <c r="B170" s="50" t="s">
        <v>4</v>
      </c>
      <c r="C170" s="50" t="s">
        <v>993</v>
      </c>
      <c r="D170" s="50" t="s">
        <v>995</v>
      </c>
      <c r="E170" s="50">
        <v>36000</v>
      </c>
      <c r="F170" s="50"/>
      <c r="G170" s="50"/>
      <c r="H170" s="50"/>
      <c r="I170" s="50">
        <v>36000</v>
      </c>
      <c r="J170" s="50"/>
      <c r="K170" s="50"/>
      <c r="L170" s="36">
        <v>2019</v>
      </c>
      <c r="M170" s="50" t="s">
        <v>255</v>
      </c>
      <c r="N170" s="50" t="s">
        <v>18</v>
      </c>
      <c r="U170" s="146" t="s">
        <v>292</v>
      </c>
      <c r="V170" s="135" t="s">
        <v>292</v>
      </c>
      <c r="W170" s="146" t="s">
        <v>293</v>
      </c>
      <c r="X170" s="146" t="s">
        <v>155</v>
      </c>
      <c r="Y170" s="146" t="s">
        <v>255</v>
      </c>
    </row>
    <row r="171" spans="1:25" ht="24" customHeight="1" x14ac:dyDescent="0.35">
      <c r="A171" s="103" t="s">
        <v>154</v>
      </c>
      <c r="B171" s="50" t="s">
        <v>4</v>
      </c>
      <c r="C171" s="50" t="s">
        <v>996</v>
      </c>
      <c r="D171" s="50" t="s">
        <v>997</v>
      </c>
      <c r="E171" s="50">
        <v>1</v>
      </c>
      <c r="F171" s="50"/>
      <c r="G171" s="50"/>
      <c r="H171" s="50">
        <v>100</v>
      </c>
      <c r="I171" s="50">
        <v>101</v>
      </c>
      <c r="J171" s="50">
        <v>4</v>
      </c>
      <c r="K171" s="50">
        <v>106</v>
      </c>
      <c r="L171" s="36">
        <v>2019</v>
      </c>
      <c r="M171" s="50" t="s">
        <v>255</v>
      </c>
      <c r="N171" s="50" t="s">
        <v>18</v>
      </c>
      <c r="U171" s="146" t="s">
        <v>292</v>
      </c>
      <c r="V171" s="135" t="s">
        <v>292</v>
      </c>
      <c r="W171" s="146" t="s">
        <v>457</v>
      </c>
      <c r="X171" s="146" t="s">
        <v>458</v>
      </c>
      <c r="Y171" s="146" t="s">
        <v>255</v>
      </c>
    </row>
    <row r="172" spans="1:25" ht="24" customHeight="1" x14ac:dyDescent="0.35">
      <c r="A172" s="103" t="s">
        <v>154</v>
      </c>
      <c r="B172" s="50" t="s">
        <v>4</v>
      </c>
      <c r="C172" s="50" t="s">
        <v>996</v>
      </c>
      <c r="D172" s="50" t="s">
        <v>994</v>
      </c>
      <c r="E172" s="50">
        <v>1</v>
      </c>
      <c r="F172" s="50">
        <v>2</v>
      </c>
      <c r="G172" s="50">
        <v>3</v>
      </c>
      <c r="H172" s="50"/>
      <c r="I172" s="50">
        <v>6</v>
      </c>
      <c r="J172" s="50"/>
      <c r="K172" s="50"/>
      <c r="L172" s="36">
        <v>2019</v>
      </c>
      <c r="M172" s="50" t="s">
        <v>255</v>
      </c>
      <c r="N172" s="50" t="s">
        <v>18</v>
      </c>
      <c r="U172" s="146" t="s">
        <v>459</v>
      </c>
      <c r="V172" s="135" t="s">
        <v>459</v>
      </c>
      <c r="W172" s="146" t="s">
        <v>460</v>
      </c>
      <c r="X172" s="146" t="s">
        <v>338</v>
      </c>
      <c r="Y172" s="146" t="s">
        <v>255</v>
      </c>
    </row>
    <row r="173" spans="1:25" ht="24" customHeight="1" x14ac:dyDescent="0.35">
      <c r="A173" s="103" t="s">
        <v>154</v>
      </c>
      <c r="B173" s="50" t="s">
        <v>4</v>
      </c>
      <c r="C173" s="50" t="s">
        <v>996</v>
      </c>
      <c r="D173" s="50" t="s">
        <v>995</v>
      </c>
      <c r="E173" s="50">
        <v>57600</v>
      </c>
      <c r="F173" s="50">
        <v>7200</v>
      </c>
      <c r="G173" s="50">
        <v>10800</v>
      </c>
      <c r="H173" s="50">
        <v>21602</v>
      </c>
      <c r="I173" s="50">
        <v>97202</v>
      </c>
      <c r="J173" s="50"/>
      <c r="K173" s="50"/>
      <c r="L173" s="36">
        <v>2019</v>
      </c>
      <c r="M173" s="50" t="s">
        <v>255</v>
      </c>
      <c r="N173" s="50" t="s">
        <v>18</v>
      </c>
      <c r="U173" s="146" t="s">
        <v>459</v>
      </c>
      <c r="V173" s="135" t="s">
        <v>459</v>
      </c>
      <c r="W173" s="146" t="s">
        <v>461</v>
      </c>
      <c r="X173" s="146" t="s">
        <v>296</v>
      </c>
      <c r="Y173" s="146" t="s">
        <v>255</v>
      </c>
    </row>
    <row r="174" spans="1:25" ht="24" customHeight="1" x14ac:dyDescent="0.35">
      <c r="A174" s="103" t="s">
        <v>43</v>
      </c>
      <c r="B174" s="50" t="s">
        <v>46</v>
      </c>
      <c r="C174" s="50" t="s">
        <v>993</v>
      </c>
      <c r="D174" s="50" t="s">
        <v>997</v>
      </c>
      <c r="E174" s="50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36">
        <v>2019</v>
      </c>
      <c r="M174" s="50" t="s">
        <v>46</v>
      </c>
      <c r="N174" s="50" t="s">
        <v>48</v>
      </c>
      <c r="U174" s="146" t="s">
        <v>463</v>
      </c>
      <c r="V174" s="135" t="s">
        <v>463</v>
      </c>
      <c r="W174" s="146" t="s">
        <v>464</v>
      </c>
      <c r="X174" s="146" t="s">
        <v>52</v>
      </c>
      <c r="Y174" s="146" t="s">
        <v>87</v>
      </c>
    </row>
    <row r="175" spans="1:25" ht="24" customHeight="1" x14ac:dyDescent="0.35">
      <c r="A175" s="103" t="s">
        <v>43</v>
      </c>
      <c r="B175" s="50" t="s">
        <v>46</v>
      </c>
      <c r="C175" s="50" t="s">
        <v>993</v>
      </c>
      <c r="D175" s="50" t="s">
        <v>994</v>
      </c>
      <c r="E175" s="50">
        <v>3</v>
      </c>
      <c r="F175" s="50">
        <v>0</v>
      </c>
      <c r="G175" s="50">
        <v>5</v>
      </c>
      <c r="H175" s="50">
        <v>3</v>
      </c>
      <c r="I175" s="50">
        <v>11</v>
      </c>
      <c r="J175" s="50">
        <v>11</v>
      </c>
      <c r="K175" s="50">
        <v>11</v>
      </c>
      <c r="L175" s="36">
        <v>2019</v>
      </c>
      <c r="M175" s="50" t="s">
        <v>46</v>
      </c>
      <c r="N175" s="50" t="s">
        <v>48</v>
      </c>
      <c r="U175" s="146" t="s">
        <v>300</v>
      </c>
      <c r="V175" s="135" t="s">
        <v>79</v>
      </c>
      <c r="W175" s="146" t="s">
        <v>465</v>
      </c>
      <c r="X175" s="146" t="s">
        <v>466</v>
      </c>
      <c r="Y175" s="146" t="s">
        <v>41</v>
      </c>
    </row>
    <row r="176" spans="1:25" ht="24" customHeight="1" x14ac:dyDescent="0.35">
      <c r="A176" s="103" t="s">
        <v>43</v>
      </c>
      <c r="B176" s="50" t="s">
        <v>46</v>
      </c>
      <c r="C176" s="50" t="s">
        <v>993</v>
      </c>
      <c r="D176" s="50" t="s">
        <v>995</v>
      </c>
      <c r="E176" s="50">
        <v>42078</v>
      </c>
      <c r="F176" s="50">
        <v>0</v>
      </c>
      <c r="G176" s="50">
        <v>21728</v>
      </c>
      <c r="H176" s="50">
        <v>6555</v>
      </c>
      <c r="I176" s="50">
        <v>70361</v>
      </c>
      <c r="J176" s="50"/>
      <c r="K176" s="50"/>
      <c r="L176" s="36">
        <v>2019</v>
      </c>
      <c r="M176" s="50" t="s">
        <v>46</v>
      </c>
      <c r="N176" s="50" t="s">
        <v>48</v>
      </c>
      <c r="U176" s="146" t="s">
        <v>300</v>
      </c>
      <c r="V176" s="135" t="s">
        <v>79</v>
      </c>
      <c r="W176" s="146" t="s">
        <v>468</v>
      </c>
      <c r="X176" s="146" t="s">
        <v>469</v>
      </c>
      <c r="Y176" s="146" t="s">
        <v>41</v>
      </c>
    </row>
    <row r="177" spans="1:25" ht="24" customHeight="1" x14ac:dyDescent="0.35">
      <c r="A177" s="103" t="s">
        <v>43</v>
      </c>
      <c r="B177" s="50" t="s">
        <v>46</v>
      </c>
      <c r="C177" s="50" t="s">
        <v>996</v>
      </c>
      <c r="D177" s="50" t="s">
        <v>997</v>
      </c>
      <c r="E177" s="50">
        <v>0</v>
      </c>
      <c r="F177" s="50">
        <v>0</v>
      </c>
      <c r="G177" s="50">
        <v>5</v>
      </c>
      <c r="H177" s="50">
        <v>5</v>
      </c>
      <c r="I177" s="50">
        <v>10</v>
      </c>
      <c r="J177" s="50">
        <v>8</v>
      </c>
      <c r="K177" s="50">
        <v>2</v>
      </c>
      <c r="L177" s="36">
        <v>2019</v>
      </c>
      <c r="M177" s="50" t="s">
        <v>46</v>
      </c>
      <c r="N177" s="50" t="s">
        <v>48</v>
      </c>
      <c r="U177" s="146" t="s">
        <v>470</v>
      </c>
      <c r="V177" s="135" t="s">
        <v>470</v>
      </c>
      <c r="W177" s="149" t="s">
        <v>471</v>
      </c>
      <c r="X177" s="149" t="s">
        <v>44</v>
      </c>
      <c r="Y177" s="149" t="s">
        <v>46</v>
      </c>
    </row>
    <row r="178" spans="1:25" ht="24" customHeight="1" x14ac:dyDescent="0.35">
      <c r="A178" s="103" t="s">
        <v>43</v>
      </c>
      <c r="B178" s="50" t="s">
        <v>46</v>
      </c>
      <c r="C178" s="50" t="s">
        <v>996</v>
      </c>
      <c r="D178" s="50" t="s">
        <v>994</v>
      </c>
      <c r="E178" s="50">
        <v>2</v>
      </c>
      <c r="F178" s="50">
        <v>3</v>
      </c>
      <c r="G178" s="50">
        <v>132</v>
      </c>
      <c r="H178" s="50">
        <v>408</v>
      </c>
      <c r="I178" s="50">
        <v>545</v>
      </c>
      <c r="J178" s="50">
        <v>399</v>
      </c>
      <c r="K178" s="50">
        <v>146</v>
      </c>
      <c r="L178" s="36">
        <v>2019</v>
      </c>
      <c r="M178" s="50" t="s">
        <v>46</v>
      </c>
      <c r="N178" s="50" t="s">
        <v>48</v>
      </c>
      <c r="U178" s="146" t="s">
        <v>470</v>
      </c>
      <c r="V178" s="135" t="s">
        <v>470</v>
      </c>
      <c r="W178" s="149" t="s">
        <v>472</v>
      </c>
      <c r="X178" s="149" t="s">
        <v>44</v>
      </c>
      <c r="Y178" s="149" t="s">
        <v>46</v>
      </c>
    </row>
    <row r="179" spans="1:25" ht="24" customHeight="1" x14ac:dyDescent="0.35">
      <c r="A179" s="103" t="s">
        <v>43</v>
      </c>
      <c r="B179" s="50" t="s">
        <v>46</v>
      </c>
      <c r="C179" s="50" t="s">
        <v>996</v>
      </c>
      <c r="D179" s="50" t="s">
        <v>995</v>
      </c>
      <c r="E179" s="50">
        <v>59112</v>
      </c>
      <c r="F179" s="50">
        <v>17508</v>
      </c>
      <c r="G179" s="50">
        <v>98501</v>
      </c>
      <c r="H179" s="50">
        <v>1073714</v>
      </c>
      <c r="I179" s="50">
        <v>1248835</v>
      </c>
      <c r="J179" s="50">
        <v>1098398</v>
      </c>
      <c r="K179" s="50">
        <v>220798</v>
      </c>
      <c r="L179" s="36">
        <v>2019</v>
      </c>
      <c r="M179" s="50" t="s">
        <v>46</v>
      </c>
      <c r="N179" s="50" t="s">
        <v>48</v>
      </c>
      <c r="U179" s="146" t="s">
        <v>470</v>
      </c>
      <c r="V179" s="135" t="s">
        <v>470</v>
      </c>
      <c r="W179" s="150" t="s">
        <v>473</v>
      </c>
      <c r="X179" s="149" t="s">
        <v>416</v>
      </c>
      <c r="Y179" s="149" t="s">
        <v>46</v>
      </c>
    </row>
    <row r="180" spans="1:25" ht="24" customHeight="1" x14ac:dyDescent="0.35">
      <c r="A180" s="103" t="s">
        <v>51</v>
      </c>
      <c r="B180" s="50" t="s">
        <v>41</v>
      </c>
      <c r="C180" s="50" t="s">
        <v>993</v>
      </c>
      <c r="D180" s="50" t="s">
        <v>997</v>
      </c>
      <c r="E180" s="50">
        <v>2</v>
      </c>
      <c r="F180" s="50"/>
      <c r="G180" s="50"/>
      <c r="H180" s="50"/>
      <c r="I180" s="50">
        <v>2</v>
      </c>
      <c r="J180" s="50"/>
      <c r="K180" s="50"/>
      <c r="L180" s="36">
        <v>2019</v>
      </c>
      <c r="M180" s="50" t="s">
        <v>41</v>
      </c>
      <c r="N180" s="50" t="s">
        <v>998</v>
      </c>
      <c r="U180" s="146" t="s">
        <v>470</v>
      </c>
      <c r="V180" s="135" t="s">
        <v>470</v>
      </c>
      <c r="W180" s="150" t="s">
        <v>306</v>
      </c>
      <c r="X180" s="149" t="s">
        <v>416</v>
      </c>
      <c r="Y180" s="149" t="s">
        <v>46</v>
      </c>
    </row>
    <row r="181" spans="1:25" ht="24" customHeight="1" x14ac:dyDescent="0.35">
      <c r="A181" s="103" t="s">
        <v>51</v>
      </c>
      <c r="B181" s="50" t="s">
        <v>41</v>
      </c>
      <c r="C181" s="50" t="s">
        <v>993</v>
      </c>
      <c r="D181" s="50" t="s">
        <v>994</v>
      </c>
      <c r="E181" s="50">
        <v>10</v>
      </c>
      <c r="F181" s="50">
        <v>0</v>
      </c>
      <c r="G181" s="50">
        <v>0</v>
      </c>
      <c r="H181" s="50">
        <v>0</v>
      </c>
      <c r="I181" s="50">
        <v>10</v>
      </c>
      <c r="J181" s="50"/>
      <c r="K181" s="50"/>
      <c r="L181" s="36">
        <v>2019</v>
      </c>
      <c r="M181" s="50" t="s">
        <v>41</v>
      </c>
      <c r="N181" s="50" t="s">
        <v>998</v>
      </c>
      <c r="U181" s="146" t="s">
        <v>470</v>
      </c>
      <c r="V181" s="135" t="s">
        <v>470</v>
      </c>
      <c r="W181" s="149" t="s">
        <v>475</v>
      </c>
      <c r="X181" s="149" t="s">
        <v>416</v>
      </c>
      <c r="Y181" s="149" t="s">
        <v>46</v>
      </c>
    </row>
    <row r="182" spans="1:25" ht="24" customHeight="1" x14ac:dyDescent="0.35">
      <c r="A182" s="103" t="s">
        <v>51</v>
      </c>
      <c r="B182" s="50" t="s">
        <v>41</v>
      </c>
      <c r="C182" s="50" t="s">
        <v>996</v>
      </c>
      <c r="D182" s="50" t="s">
        <v>994</v>
      </c>
      <c r="E182" s="50">
        <v>13</v>
      </c>
      <c r="F182" s="50">
        <v>63</v>
      </c>
      <c r="G182" s="50">
        <v>91</v>
      </c>
      <c r="H182" s="50">
        <v>48</v>
      </c>
      <c r="I182" s="50">
        <v>215</v>
      </c>
      <c r="J182" s="50">
        <v>215</v>
      </c>
      <c r="K182" s="50"/>
      <c r="L182" s="36">
        <v>2019</v>
      </c>
      <c r="M182" s="50" t="s">
        <v>41</v>
      </c>
      <c r="N182" s="50" t="s">
        <v>998</v>
      </c>
      <c r="U182" s="146" t="s">
        <v>470</v>
      </c>
      <c r="V182" s="135" t="s">
        <v>470</v>
      </c>
      <c r="W182" s="149" t="s">
        <v>476</v>
      </c>
      <c r="X182" s="149" t="s">
        <v>416</v>
      </c>
      <c r="Y182" s="149" t="s">
        <v>46</v>
      </c>
    </row>
    <row r="183" spans="1:25" ht="24" customHeight="1" x14ac:dyDescent="0.35">
      <c r="A183" s="103" t="s">
        <v>51</v>
      </c>
      <c r="B183" s="50" t="s">
        <v>41</v>
      </c>
      <c r="C183" s="50" t="s">
        <v>996</v>
      </c>
      <c r="D183" s="50" t="s">
        <v>997</v>
      </c>
      <c r="E183" s="50">
        <v>1</v>
      </c>
      <c r="F183" s="50">
        <v>7</v>
      </c>
      <c r="G183" s="50">
        <v>19</v>
      </c>
      <c r="H183" s="50">
        <v>1</v>
      </c>
      <c r="I183" s="50">
        <v>28</v>
      </c>
      <c r="J183" s="50">
        <v>28</v>
      </c>
      <c r="K183" s="50"/>
      <c r="L183" s="36">
        <v>2019</v>
      </c>
      <c r="M183" s="50" t="s">
        <v>41</v>
      </c>
      <c r="N183" s="50" t="s">
        <v>998</v>
      </c>
      <c r="U183" s="146" t="s">
        <v>470</v>
      </c>
      <c r="V183" s="135" t="s">
        <v>470</v>
      </c>
      <c r="W183" s="149" t="s">
        <v>477</v>
      </c>
      <c r="X183" s="149" t="s">
        <v>416</v>
      </c>
      <c r="Y183" s="149" t="s">
        <v>46</v>
      </c>
    </row>
    <row r="184" spans="1:25" ht="24" customHeight="1" x14ac:dyDescent="0.35">
      <c r="A184" s="103" t="s">
        <v>62</v>
      </c>
      <c r="B184" s="50" t="s">
        <v>46</v>
      </c>
      <c r="C184" s="50" t="s">
        <v>993</v>
      </c>
      <c r="D184" s="50" t="s">
        <v>997</v>
      </c>
      <c r="E184" s="50">
        <v>0</v>
      </c>
      <c r="F184" s="50"/>
      <c r="G184" s="50"/>
      <c r="H184" s="50"/>
      <c r="I184" s="50">
        <v>0</v>
      </c>
      <c r="J184" s="50"/>
      <c r="K184" s="50"/>
      <c r="L184" s="36">
        <v>2019</v>
      </c>
      <c r="M184" s="50" t="s">
        <v>46</v>
      </c>
      <c r="N184" s="50" t="s">
        <v>64</v>
      </c>
      <c r="U184" s="146" t="s">
        <v>470</v>
      </c>
      <c r="V184" s="135" t="s">
        <v>470</v>
      </c>
      <c r="W184" s="150" t="s">
        <v>478</v>
      </c>
      <c r="X184" s="149" t="s">
        <v>416</v>
      </c>
      <c r="Y184" s="149" t="s">
        <v>46</v>
      </c>
    </row>
    <row r="185" spans="1:25" ht="24" customHeight="1" x14ac:dyDescent="0.35">
      <c r="A185" s="103" t="s">
        <v>62</v>
      </c>
      <c r="B185" s="50" t="s">
        <v>46</v>
      </c>
      <c r="C185" s="50" t="s">
        <v>993</v>
      </c>
      <c r="D185" s="50" t="s">
        <v>994</v>
      </c>
      <c r="E185" s="50">
        <v>8</v>
      </c>
      <c r="F185" s="50">
        <v>2</v>
      </c>
      <c r="G185" s="50"/>
      <c r="H185" s="50"/>
      <c r="I185" s="50">
        <v>10</v>
      </c>
      <c r="J185" s="50"/>
      <c r="K185" s="50"/>
      <c r="L185" s="36">
        <v>2019</v>
      </c>
      <c r="M185" s="50" t="s">
        <v>46</v>
      </c>
      <c r="N185" s="50" t="s">
        <v>64</v>
      </c>
      <c r="U185" s="146" t="s">
        <v>479</v>
      </c>
      <c r="V185" s="135" t="s">
        <v>479</v>
      </c>
      <c r="W185" s="146" t="s">
        <v>480</v>
      </c>
      <c r="X185" s="146" t="s">
        <v>481</v>
      </c>
      <c r="Y185" s="146" t="s">
        <v>255</v>
      </c>
    </row>
    <row r="186" spans="1:25" ht="24" customHeight="1" x14ac:dyDescent="0.35">
      <c r="A186" s="103" t="s">
        <v>62</v>
      </c>
      <c r="B186" s="50" t="s">
        <v>46</v>
      </c>
      <c r="C186" s="50" t="s">
        <v>993</v>
      </c>
      <c r="D186" s="50" t="s">
        <v>995</v>
      </c>
      <c r="E186" s="50">
        <v>55769.938999999998</v>
      </c>
      <c r="F186" s="50">
        <v>760.65499999999997</v>
      </c>
      <c r="G186" s="50"/>
      <c r="H186" s="50"/>
      <c r="I186" s="50">
        <v>56530.593999999997</v>
      </c>
      <c r="J186" s="50"/>
      <c r="K186" s="50"/>
      <c r="L186" s="36">
        <v>2019</v>
      </c>
      <c r="M186" s="50" t="s">
        <v>46</v>
      </c>
      <c r="N186" s="50" t="s">
        <v>64</v>
      </c>
      <c r="U186" s="146" t="s">
        <v>422</v>
      </c>
      <c r="V186" s="135" t="s">
        <v>422</v>
      </c>
      <c r="W186" s="146" t="s">
        <v>483</v>
      </c>
      <c r="X186" s="146" t="s">
        <v>416</v>
      </c>
      <c r="Y186" s="146" t="s">
        <v>46</v>
      </c>
    </row>
    <row r="187" spans="1:25" ht="24" customHeight="1" x14ac:dyDescent="0.35">
      <c r="A187" s="103" t="s">
        <v>62</v>
      </c>
      <c r="B187" s="50" t="s">
        <v>46</v>
      </c>
      <c r="C187" s="50" t="s">
        <v>996</v>
      </c>
      <c r="D187" s="50" t="s">
        <v>997</v>
      </c>
      <c r="E187" s="50">
        <v>0</v>
      </c>
      <c r="F187" s="50">
        <v>4</v>
      </c>
      <c r="G187" s="50">
        <v>8</v>
      </c>
      <c r="H187" s="50">
        <v>13</v>
      </c>
      <c r="I187" s="50">
        <v>25</v>
      </c>
      <c r="J187" s="50">
        <v>24</v>
      </c>
      <c r="K187" s="50">
        <v>2</v>
      </c>
      <c r="L187" s="36">
        <v>2019</v>
      </c>
      <c r="M187" s="50" t="s">
        <v>46</v>
      </c>
      <c r="N187" s="50" t="s">
        <v>64</v>
      </c>
      <c r="U187" s="146" t="s">
        <v>422</v>
      </c>
      <c r="V187" s="135" t="s">
        <v>422</v>
      </c>
      <c r="W187" s="146" t="s">
        <v>485</v>
      </c>
      <c r="X187" s="146" t="s">
        <v>486</v>
      </c>
      <c r="Y187" s="146" t="s">
        <v>46</v>
      </c>
    </row>
    <row r="188" spans="1:25" ht="24" customHeight="1" x14ac:dyDescent="0.35">
      <c r="A188" s="103" t="s">
        <v>62</v>
      </c>
      <c r="B188" s="50" t="s">
        <v>46</v>
      </c>
      <c r="C188" s="50" t="s">
        <v>996</v>
      </c>
      <c r="D188" s="50" t="s">
        <v>994</v>
      </c>
      <c r="E188" s="50">
        <v>1</v>
      </c>
      <c r="F188" s="50">
        <v>7</v>
      </c>
      <c r="G188" s="50">
        <v>24</v>
      </c>
      <c r="H188" s="50">
        <v>244</v>
      </c>
      <c r="I188" s="50">
        <v>276</v>
      </c>
      <c r="J188" s="50">
        <v>256</v>
      </c>
      <c r="K188" s="50">
        <v>20</v>
      </c>
      <c r="L188" s="36">
        <v>2019</v>
      </c>
      <c r="M188" s="50" t="s">
        <v>46</v>
      </c>
      <c r="N188" s="50" t="s">
        <v>64</v>
      </c>
      <c r="U188" s="146" t="s">
        <v>314</v>
      </c>
      <c r="V188" s="135" t="s">
        <v>314</v>
      </c>
      <c r="W188" s="146" t="s">
        <v>315</v>
      </c>
      <c r="X188" s="146" t="s">
        <v>316</v>
      </c>
      <c r="Y188" s="146" t="s">
        <v>255</v>
      </c>
    </row>
    <row r="189" spans="1:25" ht="24" customHeight="1" x14ac:dyDescent="0.35">
      <c r="A189" s="103" t="s">
        <v>62</v>
      </c>
      <c r="B189" s="50" t="s">
        <v>46</v>
      </c>
      <c r="C189" s="50" t="s">
        <v>996</v>
      </c>
      <c r="D189" s="50" t="s">
        <v>995</v>
      </c>
      <c r="E189" s="50">
        <v>20964.481</v>
      </c>
      <c r="F189" s="50">
        <v>97322.077999999994</v>
      </c>
      <c r="G189" s="50">
        <v>132751.10999999999</v>
      </c>
      <c r="H189" s="50">
        <v>429604.3</v>
      </c>
      <c r="I189" s="50">
        <v>680641.96900000004</v>
      </c>
      <c r="J189" s="50">
        <v>671755.31</v>
      </c>
      <c r="K189" s="50">
        <v>8886.66</v>
      </c>
      <c r="L189" s="36">
        <v>2019</v>
      </c>
      <c r="M189" s="50" t="s">
        <v>46</v>
      </c>
      <c r="N189" s="50" t="s">
        <v>64</v>
      </c>
      <c r="U189" s="146" t="s">
        <v>317</v>
      </c>
      <c r="V189" s="135" t="s">
        <v>51</v>
      </c>
      <c r="W189" s="146" t="s">
        <v>53</v>
      </c>
      <c r="X189" s="146" t="s">
        <v>52</v>
      </c>
      <c r="Y189" s="146" t="s">
        <v>41</v>
      </c>
    </row>
    <row r="190" spans="1:25" ht="24" customHeight="1" x14ac:dyDescent="0.35">
      <c r="A190" s="103" t="s">
        <v>54</v>
      </c>
      <c r="B190" s="50" t="s">
        <v>57</v>
      </c>
      <c r="C190" s="50" t="s">
        <v>993</v>
      </c>
      <c r="D190" s="50" t="s">
        <v>997</v>
      </c>
      <c r="E190" s="50">
        <v>0</v>
      </c>
      <c r="F190" s="50">
        <v>0</v>
      </c>
      <c r="G190" s="50"/>
      <c r="H190" s="50">
        <v>0</v>
      </c>
      <c r="I190" s="50">
        <v>0</v>
      </c>
      <c r="J190" s="50"/>
      <c r="K190" s="50"/>
      <c r="L190" s="36">
        <v>2019</v>
      </c>
      <c r="M190" s="50" t="s">
        <v>57</v>
      </c>
      <c r="N190" s="50" t="s">
        <v>59</v>
      </c>
      <c r="U190" s="146" t="s">
        <v>317</v>
      </c>
      <c r="V190" s="135" t="s">
        <v>51</v>
      </c>
      <c r="W190" s="151" t="s">
        <v>489</v>
      </c>
      <c r="X190" s="146" t="s">
        <v>490</v>
      </c>
      <c r="Y190" s="146" t="s">
        <v>41</v>
      </c>
    </row>
    <row r="191" spans="1:25" ht="24" customHeight="1" x14ac:dyDescent="0.35">
      <c r="A191" s="103" t="s">
        <v>54</v>
      </c>
      <c r="B191" s="50" t="s">
        <v>57</v>
      </c>
      <c r="C191" s="50" t="s">
        <v>993</v>
      </c>
      <c r="D191" s="50" t="s">
        <v>994</v>
      </c>
      <c r="E191" s="50"/>
      <c r="F191" s="50"/>
      <c r="G191" s="50"/>
      <c r="H191" s="50">
        <v>0</v>
      </c>
      <c r="I191" s="50">
        <v>0</v>
      </c>
      <c r="J191" s="50"/>
      <c r="K191" s="50"/>
      <c r="L191" s="36">
        <v>2019</v>
      </c>
      <c r="M191" s="50" t="s">
        <v>57</v>
      </c>
      <c r="N191" s="50" t="s">
        <v>59</v>
      </c>
      <c r="U191" s="149" t="s">
        <v>492</v>
      </c>
      <c r="V191" s="135" t="s">
        <v>492</v>
      </c>
      <c r="W191" s="149" t="s">
        <v>493</v>
      </c>
      <c r="X191" s="146" t="s">
        <v>494</v>
      </c>
      <c r="Y191" s="146" t="s">
        <v>46</v>
      </c>
    </row>
    <row r="192" spans="1:25" ht="24" customHeight="1" x14ac:dyDescent="0.35">
      <c r="A192" s="103" t="s">
        <v>54</v>
      </c>
      <c r="B192" s="50" t="s">
        <v>57</v>
      </c>
      <c r="C192" s="50" t="s">
        <v>993</v>
      </c>
      <c r="D192" s="50" t="s">
        <v>995</v>
      </c>
      <c r="E192" s="50">
        <v>0</v>
      </c>
      <c r="F192" s="50"/>
      <c r="G192" s="50"/>
      <c r="H192" s="50">
        <v>0</v>
      </c>
      <c r="I192" s="50">
        <v>0</v>
      </c>
      <c r="J192" s="50"/>
      <c r="K192" s="50"/>
      <c r="L192" s="36">
        <v>2019</v>
      </c>
      <c r="M192" s="50" t="s">
        <v>57</v>
      </c>
      <c r="N192" s="50" t="s">
        <v>59</v>
      </c>
      <c r="U192" s="149" t="s">
        <v>495</v>
      </c>
      <c r="V192" s="135" t="s">
        <v>495</v>
      </c>
      <c r="W192" s="150" t="s">
        <v>496</v>
      </c>
      <c r="X192" s="149" t="s">
        <v>497</v>
      </c>
      <c r="Y192" s="149" t="s">
        <v>322</v>
      </c>
    </row>
    <row r="193" spans="1:25" ht="24" customHeight="1" x14ac:dyDescent="0.35">
      <c r="A193" s="103" t="s">
        <v>54</v>
      </c>
      <c r="B193" s="50" t="s">
        <v>57</v>
      </c>
      <c r="C193" s="50" t="s">
        <v>996</v>
      </c>
      <c r="D193" s="50" t="s">
        <v>997</v>
      </c>
      <c r="E193" s="50"/>
      <c r="F193" s="50">
        <v>1</v>
      </c>
      <c r="G193" s="50">
        <v>2</v>
      </c>
      <c r="H193" s="50"/>
      <c r="I193" s="50">
        <v>3</v>
      </c>
      <c r="J193" s="50"/>
      <c r="K193" s="50"/>
      <c r="L193" s="36">
        <v>2019</v>
      </c>
      <c r="M193" s="50" t="s">
        <v>57</v>
      </c>
      <c r="N193" s="50" t="s">
        <v>59</v>
      </c>
      <c r="U193" s="149" t="s">
        <v>495</v>
      </c>
      <c r="V193" s="135" t="s">
        <v>495</v>
      </c>
      <c r="W193" s="150" t="s">
        <v>499</v>
      </c>
      <c r="X193" s="149" t="s">
        <v>335</v>
      </c>
      <c r="Y193" s="149" t="s">
        <v>322</v>
      </c>
    </row>
    <row r="194" spans="1:25" ht="24" customHeight="1" x14ac:dyDescent="0.35">
      <c r="A194" s="103" t="s">
        <v>54</v>
      </c>
      <c r="B194" s="50" t="s">
        <v>57</v>
      </c>
      <c r="C194" s="50" t="s">
        <v>996</v>
      </c>
      <c r="D194" s="50" t="s">
        <v>994</v>
      </c>
      <c r="E194" s="50">
        <v>2</v>
      </c>
      <c r="F194" s="50">
        <v>1</v>
      </c>
      <c r="G194" s="50"/>
      <c r="H194" s="50">
        <v>220</v>
      </c>
      <c r="I194" s="50">
        <v>223</v>
      </c>
      <c r="J194" s="50"/>
      <c r="K194" s="50"/>
      <c r="L194" s="36">
        <v>2019</v>
      </c>
      <c r="M194" s="50" t="s">
        <v>57</v>
      </c>
      <c r="N194" s="50" t="s">
        <v>59</v>
      </c>
      <c r="U194" s="146" t="s">
        <v>501</v>
      </c>
      <c r="V194" s="135" t="s">
        <v>501</v>
      </c>
      <c r="W194" s="146" t="s">
        <v>502</v>
      </c>
      <c r="X194" s="146" t="s">
        <v>503</v>
      </c>
      <c r="Y194" s="146" t="s">
        <v>46</v>
      </c>
    </row>
    <row r="195" spans="1:25" ht="24" customHeight="1" x14ac:dyDescent="0.35">
      <c r="A195" s="103" t="s">
        <v>54</v>
      </c>
      <c r="B195" s="50" t="s">
        <v>57</v>
      </c>
      <c r="C195" s="50" t="s">
        <v>996</v>
      </c>
      <c r="D195" s="50" t="s">
        <v>995</v>
      </c>
      <c r="E195" s="50">
        <v>17400</v>
      </c>
      <c r="F195" s="50">
        <v>7200</v>
      </c>
      <c r="G195" s="50">
        <v>3960</v>
      </c>
      <c r="H195" s="50">
        <v>28220</v>
      </c>
      <c r="I195" s="50">
        <v>56780</v>
      </c>
      <c r="J195" s="50"/>
      <c r="K195" s="50"/>
      <c r="L195" s="36">
        <v>2019</v>
      </c>
      <c r="M195" s="50" t="s">
        <v>57</v>
      </c>
      <c r="N195" s="50" t="s">
        <v>59</v>
      </c>
      <c r="U195" s="146" t="s">
        <v>323</v>
      </c>
      <c r="V195" s="135" t="s">
        <v>323</v>
      </c>
      <c r="W195" s="146" t="s">
        <v>324</v>
      </c>
      <c r="X195" s="146" t="s">
        <v>325</v>
      </c>
      <c r="Y195" s="146" t="s">
        <v>57</v>
      </c>
    </row>
    <row r="196" spans="1:25" ht="24" customHeight="1" x14ac:dyDescent="0.35">
      <c r="A196" s="103" t="s">
        <v>67</v>
      </c>
      <c r="B196" s="50" t="s">
        <v>41</v>
      </c>
      <c r="C196" s="50" t="s">
        <v>993</v>
      </c>
      <c r="D196" s="50" t="s">
        <v>997</v>
      </c>
      <c r="E196" s="50">
        <v>1</v>
      </c>
      <c r="F196" s="50"/>
      <c r="G196" s="50"/>
      <c r="H196" s="50"/>
      <c r="I196" s="50">
        <v>1</v>
      </c>
      <c r="J196" s="50"/>
      <c r="K196" s="50"/>
      <c r="L196" s="36">
        <v>2019</v>
      </c>
      <c r="M196" s="50" t="s">
        <v>41</v>
      </c>
      <c r="N196" s="50" t="s">
        <v>999</v>
      </c>
      <c r="U196" s="149" t="s">
        <v>505</v>
      </c>
      <c r="V196" s="135" t="s">
        <v>505</v>
      </c>
      <c r="W196" s="149" t="s">
        <v>506</v>
      </c>
      <c r="X196" s="149" t="s">
        <v>44</v>
      </c>
      <c r="Y196" s="149" t="s">
        <v>46</v>
      </c>
    </row>
    <row r="197" spans="1:25" ht="24" customHeight="1" x14ac:dyDescent="0.35">
      <c r="A197" s="103" t="s">
        <v>67</v>
      </c>
      <c r="B197" s="50" t="s">
        <v>41</v>
      </c>
      <c r="C197" s="50" t="s">
        <v>993</v>
      </c>
      <c r="D197" s="50" t="s">
        <v>994</v>
      </c>
      <c r="E197" s="50">
        <v>60</v>
      </c>
      <c r="F197" s="50"/>
      <c r="G197" s="50"/>
      <c r="H197" s="50"/>
      <c r="I197" s="50">
        <v>60</v>
      </c>
      <c r="J197" s="50"/>
      <c r="K197" s="50"/>
      <c r="L197" s="36">
        <v>2019</v>
      </c>
      <c r="M197" s="50" t="s">
        <v>41</v>
      </c>
      <c r="N197" s="50" t="s">
        <v>999</v>
      </c>
      <c r="U197" s="146" t="s">
        <v>62</v>
      </c>
      <c r="V197" s="135" t="s">
        <v>62</v>
      </c>
      <c r="W197" s="149" t="s">
        <v>507</v>
      </c>
      <c r="X197" s="149" t="s">
        <v>416</v>
      </c>
      <c r="Y197" s="149" t="s">
        <v>46</v>
      </c>
    </row>
    <row r="198" spans="1:25" ht="24" customHeight="1" x14ac:dyDescent="0.35">
      <c r="A198" s="103" t="s">
        <v>67</v>
      </c>
      <c r="B198" s="50" t="s">
        <v>41</v>
      </c>
      <c r="C198" s="50" t="s">
        <v>993</v>
      </c>
      <c r="D198" s="50" t="s">
        <v>995</v>
      </c>
      <c r="E198" s="50">
        <v>7834938</v>
      </c>
      <c r="F198" s="50"/>
      <c r="G198" s="50"/>
      <c r="H198" s="50"/>
      <c r="I198" s="50">
        <v>7834938</v>
      </c>
      <c r="J198" s="50"/>
      <c r="K198" s="50"/>
      <c r="L198" s="36">
        <v>2019</v>
      </c>
      <c r="M198" s="50" t="s">
        <v>41</v>
      </c>
      <c r="N198" s="50" t="s">
        <v>999</v>
      </c>
      <c r="U198" s="146" t="s">
        <v>62</v>
      </c>
      <c r="V198" s="135" t="s">
        <v>62</v>
      </c>
      <c r="W198" s="150" t="s">
        <v>508</v>
      </c>
      <c r="X198" s="149" t="s">
        <v>416</v>
      </c>
      <c r="Y198" s="149" t="s">
        <v>46</v>
      </c>
    </row>
    <row r="199" spans="1:25" ht="24" customHeight="1" x14ac:dyDescent="0.35">
      <c r="A199" s="103" t="s">
        <v>67</v>
      </c>
      <c r="B199" s="50" t="s">
        <v>41</v>
      </c>
      <c r="C199" s="50" t="s">
        <v>996</v>
      </c>
      <c r="D199" s="50" t="s">
        <v>997</v>
      </c>
      <c r="E199" s="50">
        <v>4</v>
      </c>
      <c r="F199" s="50">
        <v>19</v>
      </c>
      <c r="G199" s="50">
        <v>28</v>
      </c>
      <c r="H199" s="50">
        <v>40</v>
      </c>
      <c r="I199" s="50">
        <v>91</v>
      </c>
      <c r="J199" s="50"/>
      <c r="K199" s="50"/>
      <c r="L199" s="36">
        <v>2019</v>
      </c>
      <c r="M199" s="50" t="s">
        <v>41</v>
      </c>
      <c r="N199" s="50" t="s">
        <v>999</v>
      </c>
      <c r="U199" s="146" t="s">
        <v>62</v>
      </c>
      <c r="V199" s="135" t="s">
        <v>62</v>
      </c>
      <c r="W199" s="149" t="s">
        <v>509</v>
      </c>
      <c r="X199" s="149" t="s">
        <v>416</v>
      </c>
      <c r="Y199" s="149" t="s">
        <v>46</v>
      </c>
    </row>
    <row r="200" spans="1:25" ht="24" customHeight="1" x14ac:dyDescent="0.35">
      <c r="A200" s="103" t="s">
        <v>67</v>
      </c>
      <c r="B200" s="50" t="s">
        <v>41</v>
      </c>
      <c r="C200" s="50" t="s">
        <v>996</v>
      </c>
      <c r="D200" s="50" t="s">
        <v>994</v>
      </c>
      <c r="E200" s="50">
        <v>20</v>
      </c>
      <c r="F200" s="50">
        <v>83</v>
      </c>
      <c r="G200" s="50">
        <v>240</v>
      </c>
      <c r="H200" s="50">
        <v>319</v>
      </c>
      <c r="I200" s="50">
        <v>662</v>
      </c>
      <c r="J200" s="50"/>
      <c r="K200" s="50"/>
      <c r="L200" s="36">
        <v>2019</v>
      </c>
      <c r="M200" s="50" t="s">
        <v>41</v>
      </c>
      <c r="N200" s="50" t="s">
        <v>999</v>
      </c>
      <c r="U200" s="146" t="s">
        <v>62</v>
      </c>
      <c r="V200" s="135" t="s">
        <v>62</v>
      </c>
      <c r="W200" s="149" t="s">
        <v>510</v>
      </c>
      <c r="X200" s="149" t="s">
        <v>44</v>
      </c>
      <c r="Y200" s="149" t="s">
        <v>46</v>
      </c>
    </row>
    <row r="201" spans="1:25" ht="24" customHeight="1" x14ac:dyDescent="0.35">
      <c r="A201" s="103" t="s">
        <v>67</v>
      </c>
      <c r="B201" s="50" t="s">
        <v>41</v>
      </c>
      <c r="C201" s="50" t="s">
        <v>996</v>
      </c>
      <c r="D201" s="50" t="s">
        <v>995</v>
      </c>
      <c r="E201" s="50">
        <v>926486</v>
      </c>
      <c r="F201" s="50">
        <v>1994369</v>
      </c>
      <c r="G201" s="50">
        <v>3223376</v>
      </c>
      <c r="H201" s="50">
        <v>2793820</v>
      </c>
      <c r="I201" s="50">
        <v>8938051</v>
      </c>
      <c r="J201" s="50"/>
      <c r="K201" s="50"/>
      <c r="L201" s="36">
        <v>2019</v>
      </c>
      <c r="M201" s="50" t="s">
        <v>41</v>
      </c>
      <c r="N201" s="50" t="s">
        <v>999</v>
      </c>
      <c r="U201" s="146" t="s">
        <v>62</v>
      </c>
      <c r="V201" s="135" t="s">
        <v>62</v>
      </c>
      <c r="W201" s="149" t="s">
        <v>511</v>
      </c>
      <c r="X201" s="149" t="s">
        <v>44</v>
      </c>
      <c r="Y201" s="149" t="s">
        <v>46</v>
      </c>
    </row>
    <row r="202" spans="1:25" ht="24" customHeight="1" x14ac:dyDescent="0.35">
      <c r="A202" s="103" t="s">
        <v>75</v>
      </c>
      <c r="B202" s="50" t="s">
        <v>41</v>
      </c>
      <c r="C202" s="50" t="s">
        <v>993</v>
      </c>
      <c r="D202" s="50" t="s">
        <v>994</v>
      </c>
      <c r="E202" s="50">
        <v>65</v>
      </c>
      <c r="F202" s="50"/>
      <c r="G202" s="50">
        <v>1</v>
      </c>
      <c r="H202" s="50"/>
      <c r="I202" s="50">
        <v>66</v>
      </c>
      <c r="J202" s="50"/>
      <c r="K202" s="50"/>
      <c r="L202" s="36">
        <v>2019</v>
      </c>
      <c r="M202" s="50" t="s">
        <v>41</v>
      </c>
      <c r="N202" s="50" t="s">
        <v>1000</v>
      </c>
      <c r="U202" s="146" t="s">
        <v>62</v>
      </c>
      <c r="V202" s="135" t="s">
        <v>62</v>
      </c>
      <c r="W202" s="146" t="s">
        <v>513</v>
      </c>
      <c r="X202" s="146" t="s">
        <v>514</v>
      </c>
      <c r="Y202" s="146" t="s">
        <v>46</v>
      </c>
    </row>
    <row r="203" spans="1:25" ht="24" customHeight="1" x14ac:dyDescent="0.35">
      <c r="A203" s="103" t="s">
        <v>75</v>
      </c>
      <c r="B203" s="50" t="s">
        <v>41</v>
      </c>
      <c r="C203" s="50" t="s">
        <v>993</v>
      </c>
      <c r="D203" s="50" t="s">
        <v>995</v>
      </c>
      <c r="E203" s="50">
        <v>2609955</v>
      </c>
      <c r="F203" s="50"/>
      <c r="G203" s="50">
        <v>9132</v>
      </c>
      <c r="H203" s="50"/>
      <c r="I203" s="50">
        <v>2619087</v>
      </c>
      <c r="J203" s="50"/>
      <c r="K203" s="50"/>
      <c r="L203" s="36">
        <v>2019</v>
      </c>
      <c r="M203" s="50" t="s">
        <v>41</v>
      </c>
      <c r="N203" s="50" t="s">
        <v>1000</v>
      </c>
      <c r="U203" s="146" t="s">
        <v>62</v>
      </c>
      <c r="V203" s="135" t="s">
        <v>62</v>
      </c>
      <c r="W203" s="146" t="s">
        <v>515</v>
      </c>
      <c r="X203" s="146" t="s">
        <v>516</v>
      </c>
      <c r="Y203" s="146" t="s">
        <v>46</v>
      </c>
    </row>
    <row r="204" spans="1:25" ht="24" customHeight="1" x14ac:dyDescent="0.35">
      <c r="A204" s="103" t="s">
        <v>75</v>
      </c>
      <c r="B204" s="50" t="s">
        <v>41</v>
      </c>
      <c r="C204" s="50" t="s">
        <v>996</v>
      </c>
      <c r="D204" s="50" t="s">
        <v>997</v>
      </c>
      <c r="E204" s="50"/>
      <c r="F204" s="50">
        <v>29</v>
      </c>
      <c r="G204" s="50">
        <v>26</v>
      </c>
      <c r="H204" s="50">
        <v>1</v>
      </c>
      <c r="I204" s="50">
        <v>56</v>
      </c>
      <c r="J204" s="50">
        <v>51</v>
      </c>
      <c r="K204" s="50"/>
      <c r="L204" s="36">
        <v>2019</v>
      </c>
      <c r="M204" s="50" t="s">
        <v>41</v>
      </c>
      <c r="N204" s="50" t="s">
        <v>1000</v>
      </c>
      <c r="U204" s="146" t="s">
        <v>517</v>
      </c>
      <c r="V204" s="135" t="s">
        <v>517</v>
      </c>
      <c r="W204" s="146" t="s">
        <v>518</v>
      </c>
      <c r="X204" s="146" t="s">
        <v>335</v>
      </c>
      <c r="Y204" s="146" t="s">
        <v>46</v>
      </c>
    </row>
    <row r="205" spans="1:25" ht="24" customHeight="1" x14ac:dyDescent="0.35">
      <c r="A205" s="103" t="s">
        <v>75</v>
      </c>
      <c r="B205" s="50" t="s">
        <v>41</v>
      </c>
      <c r="C205" s="50" t="s">
        <v>996</v>
      </c>
      <c r="D205" s="50" t="s">
        <v>994</v>
      </c>
      <c r="E205" s="50">
        <v>10</v>
      </c>
      <c r="F205" s="50">
        <v>217</v>
      </c>
      <c r="G205" s="50">
        <v>1203</v>
      </c>
      <c r="H205" s="50">
        <v>31</v>
      </c>
      <c r="I205" s="50">
        <v>1461</v>
      </c>
      <c r="J205" s="50">
        <v>1461</v>
      </c>
      <c r="K205" s="50"/>
      <c r="L205" s="36">
        <v>2019</v>
      </c>
      <c r="M205" s="50" t="s">
        <v>41</v>
      </c>
      <c r="N205" s="50" t="s">
        <v>1000</v>
      </c>
      <c r="U205" s="146" t="s">
        <v>519</v>
      </c>
      <c r="V205" s="135" t="s">
        <v>336</v>
      </c>
      <c r="W205" s="146" t="s">
        <v>520</v>
      </c>
      <c r="X205" s="146" t="s">
        <v>521</v>
      </c>
      <c r="Y205" s="146" t="s">
        <v>255</v>
      </c>
    </row>
    <row r="206" spans="1:25" ht="24" customHeight="1" x14ac:dyDescent="0.35">
      <c r="A206" s="103" t="s">
        <v>75</v>
      </c>
      <c r="B206" s="50" t="s">
        <v>41</v>
      </c>
      <c r="C206" s="50" t="s">
        <v>996</v>
      </c>
      <c r="D206" s="50" t="s">
        <v>995</v>
      </c>
      <c r="E206" s="50">
        <v>560421</v>
      </c>
      <c r="F206" s="50">
        <v>3382554</v>
      </c>
      <c r="G206" s="50">
        <v>10160120</v>
      </c>
      <c r="H206" s="50">
        <v>239744</v>
      </c>
      <c r="I206" s="50">
        <v>14342839</v>
      </c>
      <c r="J206" s="50">
        <v>14342839</v>
      </c>
      <c r="K206" s="50"/>
      <c r="L206" s="36">
        <v>2019</v>
      </c>
      <c r="M206" s="50" t="s">
        <v>41</v>
      </c>
      <c r="N206" s="50" t="s">
        <v>1000</v>
      </c>
      <c r="U206" s="146" t="s">
        <v>522</v>
      </c>
      <c r="V206" s="135" t="s">
        <v>67</v>
      </c>
      <c r="W206" s="146" t="s">
        <v>523</v>
      </c>
      <c r="X206" s="146" t="s">
        <v>330</v>
      </c>
      <c r="Y206" s="146" t="s">
        <v>41</v>
      </c>
    </row>
    <row r="207" spans="1:25" ht="24" customHeight="1" x14ac:dyDescent="0.35">
      <c r="A207" s="103" t="s">
        <v>79</v>
      </c>
      <c r="B207" s="50" t="s">
        <v>41</v>
      </c>
      <c r="C207" s="50" t="s">
        <v>993</v>
      </c>
      <c r="D207" s="50" t="s">
        <v>994</v>
      </c>
      <c r="E207" s="50">
        <v>9</v>
      </c>
      <c r="F207" s="50"/>
      <c r="G207" s="50"/>
      <c r="H207" s="50"/>
      <c r="I207" s="50">
        <v>9</v>
      </c>
      <c r="J207" s="50">
        <v>9</v>
      </c>
      <c r="K207" s="50"/>
      <c r="L207" s="36">
        <v>2019</v>
      </c>
      <c r="M207" s="50" t="s">
        <v>41</v>
      </c>
      <c r="N207" s="50" t="s">
        <v>1001</v>
      </c>
      <c r="U207" s="146" t="s">
        <v>73</v>
      </c>
      <c r="V207" s="135" t="s">
        <v>73</v>
      </c>
      <c r="W207" s="146" t="s">
        <v>339</v>
      </c>
      <c r="X207" s="146" t="s">
        <v>340</v>
      </c>
      <c r="Y207" s="146" t="s">
        <v>46</v>
      </c>
    </row>
    <row r="208" spans="1:25" ht="24" customHeight="1" x14ac:dyDescent="0.35">
      <c r="A208" s="103" t="s">
        <v>79</v>
      </c>
      <c r="B208" s="50" t="s">
        <v>41</v>
      </c>
      <c r="C208" s="50" t="s">
        <v>993</v>
      </c>
      <c r="D208" s="50" t="s">
        <v>995</v>
      </c>
      <c r="E208" s="50">
        <v>244439</v>
      </c>
      <c r="F208" s="50"/>
      <c r="G208" s="50"/>
      <c r="H208" s="50"/>
      <c r="I208" s="50">
        <v>244439</v>
      </c>
      <c r="J208" s="50"/>
      <c r="K208" s="50"/>
      <c r="L208" s="36">
        <v>2019</v>
      </c>
      <c r="M208" s="50" t="s">
        <v>41</v>
      </c>
      <c r="N208" s="50" t="s">
        <v>1001</v>
      </c>
      <c r="U208" s="146" t="s">
        <v>525</v>
      </c>
      <c r="V208" s="135" t="s">
        <v>525</v>
      </c>
      <c r="W208" s="146" t="s">
        <v>526</v>
      </c>
      <c r="X208" s="146" t="s">
        <v>527</v>
      </c>
      <c r="Y208" s="146" t="s">
        <v>255</v>
      </c>
    </row>
    <row r="209" spans="1:25" ht="24" customHeight="1" x14ac:dyDescent="0.35">
      <c r="A209" s="103" t="s">
        <v>79</v>
      </c>
      <c r="B209" s="50" t="s">
        <v>41</v>
      </c>
      <c r="C209" s="50" t="s">
        <v>996</v>
      </c>
      <c r="D209" s="50" t="s">
        <v>997</v>
      </c>
      <c r="E209" s="50">
        <v>10</v>
      </c>
      <c r="F209" s="50">
        <v>34</v>
      </c>
      <c r="G209" s="50">
        <v>23</v>
      </c>
      <c r="H209" s="50">
        <v>4</v>
      </c>
      <c r="I209" s="50">
        <v>71</v>
      </c>
      <c r="J209" s="50">
        <v>71</v>
      </c>
      <c r="K209" s="50"/>
      <c r="L209" s="36">
        <v>2019</v>
      </c>
      <c r="M209" s="50" t="s">
        <v>41</v>
      </c>
      <c r="N209" s="50" t="s">
        <v>1001</v>
      </c>
      <c r="U209" s="146" t="s">
        <v>341</v>
      </c>
      <c r="V209" s="135" t="s">
        <v>341</v>
      </c>
      <c r="W209" s="146" t="s">
        <v>342</v>
      </c>
      <c r="X209" s="146" t="s">
        <v>530</v>
      </c>
      <c r="Y209" s="146" t="s">
        <v>87</v>
      </c>
    </row>
    <row r="210" spans="1:25" ht="24" customHeight="1" x14ac:dyDescent="0.35">
      <c r="A210" s="103" t="s">
        <v>79</v>
      </c>
      <c r="B210" s="50" t="s">
        <v>41</v>
      </c>
      <c r="C210" s="50" t="s">
        <v>996</v>
      </c>
      <c r="D210" s="50" t="s">
        <v>994</v>
      </c>
      <c r="E210" s="50">
        <v>98</v>
      </c>
      <c r="F210" s="50">
        <v>201</v>
      </c>
      <c r="G210" s="50">
        <v>429</v>
      </c>
      <c r="H210" s="50">
        <v>22</v>
      </c>
      <c r="I210" s="50">
        <v>750</v>
      </c>
      <c r="J210" s="50">
        <v>750</v>
      </c>
      <c r="K210" s="50"/>
      <c r="L210" s="36">
        <v>2019</v>
      </c>
      <c r="M210" s="50" t="s">
        <v>41</v>
      </c>
      <c r="N210" s="50" t="s">
        <v>1001</v>
      </c>
      <c r="U210" s="146" t="s">
        <v>344</v>
      </c>
      <c r="V210" s="135" t="s">
        <v>344</v>
      </c>
      <c r="W210" s="146" t="s">
        <v>531</v>
      </c>
      <c r="X210" s="146" t="s">
        <v>532</v>
      </c>
      <c r="Y210" s="146" t="s">
        <v>46</v>
      </c>
    </row>
    <row r="211" spans="1:25" ht="24" customHeight="1" x14ac:dyDescent="0.35">
      <c r="A211" s="103" t="s">
        <v>79</v>
      </c>
      <c r="B211" s="50" t="s">
        <v>41</v>
      </c>
      <c r="C211" s="50" t="s">
        <v>996</v>
      </c>
      <c r="D211" s="50" t="s">
        <v>995</v>
      </c>
      <c r="E211" s="50">
        <v>3230769</v>
      </c>
      <c r="F211" s="50">
        <v>1059002</v>
      </c>
      <c r="G211" s="50">
        <v>848919</v>
      </c>
      <c r="H211" s="50">
        <v>34641</v>
      </c>
      <c r="I211" s="50">
        <v>5173331</v>
      </c>
      <c r="J211" s="50">
        <v>5173331</v>
      </c>
      <c r="K211" s="50"/>
      <c r="L211" s="36">
        <v>2019</v>
      </c>
      <c r="M211" s="50" t="s">
        <v>41</v>
      </c>
      <c r="N211" s="50" t="s">
        <v>1001</v>
      </c>
      <c r="U211" s="146" t="s">
        <v>346</v>
      </c>
      <c r="V211" s="135" t="s">
        <v>75</v>
      </c>
      <c r="W211" s="151" t="s">
        <v>533</v>
      </c>
      <c r="X211" s="146" t="s">
        <v>534</v>
      </c>
      <c r="Y211" s="146" t="s">
        <v>41</v>
      </c>
    </row>
    <row r="212" spans="1:25" ht="24" customHeight="1" x14ac:dyDescent="0.35">
      <c r="A212" s="103" t="s">
        <v>84</v>
      </c>
      <c r="B212" s="50" t="s">
        <v>87</v>
      </c>
      <c r="C212" s="50" t="s">
        <v>993</v>
      </c>
      <c r="D212" s="50" t="s">
        <v>997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36">
        <v>2019</v>
      </c>
      <c r="M212" s="50" t="s">
        <v>262</v>
      </c>
      <c r="N212" s="50" t="s">
        <v>18</v>
      </c>
      <c r="U212" s="146" t="s">
        <v>346</v>
      </c>
      <c r="V212" s="135" t="s">
        <v>75</v>
      </c>
      <c r="W212" s="151" t="s">
        <v>536</v>
      </c>
      <c r="X212" s="146" t="s">
        <v>76</v>
      </c>
      <c r="Y212" s="146" t="s">
        <v>41</v>
      </c>
    </row>
    <row r="213" spans="1:25" ht="24" customHeight="1" x14ac:dyDescent="0.35">
      <c r="A213" s="103" t="s">
        <v>84</v>
      </c>
      <c r="B213" s="50" t="s">
        <v>87</v>
      </c>
      <c r="C213" s="50" t="s">
        <v>993</v>
      </c>
      <c r="D213" s="50" t="s">
        <v>994</v>
      </c>
      <c r="E213" s="50">
        <v>3</v>
      </c>
      <c r="F213" s="50">
        <v>0</v>
      </c>
      <c r="G213" s="50">
        <v>0</v>
      </c>
      <c r="H213" s="50">
        <v>0</v>
      </c>
      <c r="I213" s="50">
        <v>3</v>
      </c>
      <c r="J213" s="50">
        <v>1</v>
      </c>
      <c r="K213" s="50">
        <v>2</v>
      </c>
      <c r="L213" s="36">
        <v>2019</v>
      </c>
      <c r="M213" s="50" t="s">
        <v>262</v>
      </c>
      <c r="N213" s="50" t="s">
        <v>18</v>
      </c>
      <c r="U213" s="146" t="s">
        <v>348</v>
      </c>
      <c r="V213" s="135" t="s">
        <v>348</v>
      </c>
      <c r="W213" s="146" t="s">
        <v>349</v>
      </c>
      <c r="X213" s="146" t="s">
        <v>350</v>
      </c>
      <c r="Y213" s="146" t="s">
        <v>255</v>
      </c>
    </row>
    <row r="214" spans="1:25" ht="24" customHeight="1" x14ac:dyDescent="0.35">
      <c r="A214" s="103" t="s">
        <v>84</v>
      </c>
      <c r="B214" s="50" t="s">
        <v>87</v>
      </c>
      <c r="C214" s="50" t="s">
        <v>993</v>
      </c>
      <c r="D214" s="50" t="s">
        <v>995</v>
      </c>
      <c r="E214" s="50">
        <v>248835.46</v>
      </c>
      <c r="F214" s="50">
        <v>0</v>
      </c>
      <c r="G214" s="50">
        <v>0</v>
      </c>
      <c r="H214" s="50">
        <v>0</v>
      </c>
      <c r="I214" s="50">
        <v>248835.46</v>
      </c>
      <c r="J214" s="50"/>
      <c r="K214" s="50"/>
      <c r="L214" s="36">
        <v>2019</v>
      </c>
      <c r="M214" s="50" t="s">
        <v>262</v>
      </c>
      <c r="N214" s="50" t="s">
        <v>18</v>
      </c>
      <c r="U214" s="146" t="s">
        <v>537</v>
      </c>
      <c r="V214" s="135" t="s">
        <v>351</v>
      </c>
      <c r="W214" s="146" t="s">
        <v>538</v>
      </c>
      <c r="X214" s="146" t="s">
        <v>353</v>
      </c>
      <c r="Y214" s="146" t="s">
        <v>255</v>
      </c>
    </row>
    <row r="215" spans="1:25" ht="24" customHeight="1" x14ac:dyDescent="0.35">
      <c r="A215" s="103" t="s">
        <v>84</v>
      </c>
      <c r="B215" s="50" t="s">
        <v>87</v>
      </c>
      <c r="C215" s="50" t="s">
        <v>996</v>
      </c>
      <c r="D215" s="50" t="s">
        <v>997</v>
      </c>
      <c r="E215" s="50">
        <v>0</v>
      </c>
      <c r="F215" s="50">
        <v>1</v>
      </c>
      <c r="G215" s="50">
        <v>1</v>
      </c>
      <c r="H215" s="50">
        <v>1</v>
      </c>
      <c r="I215" s="50">
        <v>3</v>
      </c>
      <c r="J215" s="50">
        <v>3</v>
      </c>
      <c r="K215" s="50">
        <v>0</v>
      </c>
      <c r="L215" s="36">
        <v>2019</v>
      </c>
      <c r="M215" s="50" t="s">
        <v>262</v>
      </c>
      <c r="N215" s="50" t="s">
        <v>18</v>
      </c>
      <c r="U215" s="146" t="s">
        <v>354</v>
      </c>
      <c r="V215" s="135" t="s">
        <v>354</v>
      </c>
      <c r="W215" s="146" t="s">
        <v>355</v>
      </c>
      <c r="X215" s="146" t="s">
        <v>356</v>
      </c>
      <c r="Y215" s="146" t="s">
        <v>46</v>
      </c>
    </row>
    <row r="216" spans="1:25" ht="24" customHeight="1" x14ac:dyDescent="0.35">
      <c r="A216" s="103" t="s">
        <v>84</v>
      </c>
      <c r="B216" s="50" t="s">
        <v>87</v>
      </c>
      <c r="C216" s="50" t="s">
        <v>996</v>
      </c>
      <c r="D216" s="50" t="s">
        <v>994</v>
      </c>
      <c r="E216" s="50">
        <v>2</v>
      </c>
      <c r="F216" s="50">
        <v>15</v>
      </c>
      <c r="G216" s="50">
        <v>12</v>
      </c>
      <c r="H216" s="50">
        <v>50</v>
      </c>
      <c r="I216" s="50">
        <v>79</v>
      </c>
      <c r="J216" s="50">
        <v>79</v>
      </c>
      <c r="K216" s="50">
        <v>0</v>
      </c>
      <c r="L216" s="36">
        <v>2019</v>
      </c>
      <c r="M216" s="50" t="s">
        <v>262</v>
      </c>
      <c r="N216" s="50" t="s">
        <v>18</v>
      </c>
      <c r="U216" s="146" t="s">
        <v>540</v>
      </c>
      <c r="V216" s="135" t="s">
        <v>357</v>
      </c>
      <c r="W216" s="146" t="s">
        <v>541</v>
      </c>
      <c r="X216" s="146" t="s">
        <v>542</v>
      </c>
      <c r="Y216" s="146" t="s">
        <v>46</v>
      </c>
    </row>
    <row r="217" spans="1:25" ht="24" customHeight="1" x14ac:dyDescent="0.35">
      <c r="A217" s="103" t="s">
        <v>84</v>
      </c>
      <c r="B217" s="50" t="s">
        <v>87</v>
      </c>
      <c r="C217" s="50" t="s">
        <v>996</v>
      </c>
      <c r="D217" s="50" t="s">
        <v>995</v>
      </c>
      <c r="E217" s="50">
        <v>61047.847000000002</v>
      </c>
      <c r="F217" s="50">
        <v>159356.84</v>
      </c>
      <c r="G217" s="50">
        <v>55307.665000000001</v>
      </c>
      <c r="H217" s="50">
        <v>143794.23000000001</v>
      </c>
      <c r="I217" s="50">
        <v>419506.58200000005</v>
      </c>
      <c r="J217" s="50">
        <v>364198.91</v>
      </c>
      <c r="K217" s="50">
        <v>0</v>
      </c>
      <c r="L217" s="36">
        <v>2019</v>
      </c>
      <c r="M217" s="50" t="s">
        <v>262</v>
      </c>
      <c r="N217" s="50" t="s">
        <v>18</v>
      </c>
      <c r="U217" s="146" t="s">
        <v>360</v>
      </c>
      <c r="V217" s="135" t="s">
        <v>84</v>
      </c>
      <c r="W217" s="146" t="s">
        <v>361</v>
      </c>
      <c r="X217" s="146" t="s">
        <v>362</v>
      </c>
      <c r="Y217" s="146" t="s">
        <v>87</v>
      </c>
    </row>
    <row r="218" spans="1:25" ht="24" customHeight="1" x14ac:dyDescent="0.35">
      <c r="A218" s="103" t="s">
        <v>89</v>
      </c>
      <c r="B218" s="50" t="s">
        <v>41</v>
      </c>
      <c r="C218" s="50" t="s">
        <v>993</v>
      </c>
      <c r="D218" s="50" t="s">
        <v>997</v>
      </c>
      <c r="E218" s="50">
        <v>4</v>
      </c>
      <c r="F218" s="50"/>
      <c r="G218" s="50"/>
      <c r="H218" s="50"/>
      <c r="I218" s="50">
        <v>4</v>
      </c>
      <c r="J218" s="50">
        <v>4</v>
      </c>
      <c r="K218" s="50"/>
      <c r="L218" s="36">
        <v>2019</v>
      </c>
      <c r="M218" s="50" t="s">
        <v>41</v>
      </c>
      <c r="N218" s="50" t="s">
        <v>18</v>
      </c>
      <c r="U218" s="146" t="s">
        <v>363</v>
      </c>
      <c r="V218" s="135" t="s">
        <v>363</v>
      </c>
      <c r="W218" s="146" t="s">
        <v>545</v>
      </c>
      <c r="X218" s="146" t="s">
        <v>546</v>
      </c>
      <c r="Y218" s="146" t="s">
        <v>255</v>
      </c>
    </row>
    <row r="219" spans="1:25" ht="24" customHeight="1" x14ac:dyDescent="0.35">
      <c r="A219" s="103" t="s">
        <v>89</v>
      </c>
      <c r="B219" s="50" t="s">
        <v>41</v>
      </c>
      <c r="C219" s="50" t="s">
        <v>993</v>
      </c>
      <c r="D219" s="50" t="s">
        <v>994</v>
      </c>
      <c r="E219" s="50">
        <v>49</v>
      </c>
      <c r="F219" s="50"/>
      <c r="G219" s="50"/>
      <c r="H219" s="50"/>
      <c r="I219" s="50">
        <v>49</v>
      </c>
      <c r="J219" s="50">
        <v>49</v>
      </c>
      <c r="K219" s="50"/>
      <c r="L219" s="36">
        <v>2019</v>
      </c>
      <c r="M219" s="50" t="s">
        <v>41</v>
      </c>
      <c r="N219" s="50" t="s">
        <v>18</v>
      </c>
      <c r="U219" s="146" t="s">
        <v>547</v>
      </c>
      <c r="V219" s="135" t="s">
        <v>547</v>
      </c>
      <c r="W219" s="146" t="s">
        <v>548</v>
      </c>
      <c r="X219" s="146" t="s">
        <v>367</v>
      </c>
      <c r="Y219" s="146" t="s">
        <v>255</v>
      </c>
    </row>
    <row r="220" spans="1:25" ht="24" customHeight="1" x14ac:dyDescent="0.35">
      <c r="A220" s="103" t="s">
        <v>89</v>
      </c>
      <c r="B220" s="50" t="s">
        <v>41</v>
      </c>
      <c r="C220" s="50" t="s">
        <v>993</v>
      </c>
      <c r="D220" s="50" t="s">
        <v>995</v>
      </c>
      <c r="E220" s="50">
        <v>5938000</v>
      </c>
      <c r="F220" s="50"/>
      <c r="G220" s="50"/>
      <c r="H220" s="50"/>
      <c r="I220" s="50">
        <v>5938000</v>
      </c>
      <c r="J220" s="50"/>
      <c r="K220" s="50"/>
      <c r="L220" s="36">
        <v>2019</v>
      </c>
      <c r="M220" s="50" t="s">
        <v>41</v>
      </c>
      <c r="N220" s="50" t="s">
        <v>18</v>
      </c>
      <c r="U220" s="146" t="s">
        <v>547</v>
      </c>
      <c r="V220" s="135" t="s">
        <v>547</v>
      </c>
      <c r="W220" s="146" t="s">
        <v>549</v>
      </c>
      <c r="X220" s="146" t="s">
        <v>369</v>
      </c>
      <c r="Y220" s="146" t="s">
        <v>255</v>
      </c>
    </row>
    <row r="221" spans="1:25" ht="24" customHeight="1" x14ac:dyDescent="0.35">
      <c r="A221" s="103" t="s">
        <v>89</v>
      </c>
      <c r="B221" s="50" t="s">
        <v>41</v>
      </c>
      <c r="C221" s="50" t="s">
        <v>996</v>
      </c>
      <c r="D221" s="50" t="s">
        <v>997</v>
      </c>
      <c r="E221" s="50">
        <v>3</v>
      </c>
      <c r="F221" s="50"/>
      <c r="G221" s="50">
        <v>8</v>
      </c>
      <c r="H221" s="50">
        <v>9</v>
      </c>
      <c r="I221" s="50">
        <v>20</v>
      </c>
      <c r="J221" s="50">
        <v>20</v>
      </c>
      <c r="K221" s="50"/>
      <c r="L221" s="36">
        <v>2019</v>
      </c>
      <c r="M221" s="50" t="s">
        <v>41</v>
      </c>
      <c r="N221" s="50" t="s">
        <v>18</v>
      </c>
      <c r="U221" s="146" t="s">
        <v>551</v>
      </c>
      <c r="V221" s="135" t="s">
        <v>551</v>
      </c>
      <c r="W221" s="146" t="s">
        <v>552</v>
      </c>
      <c r="X221" s="146" t="s">
        <v>372</v>
      </c>
      <c r="Y221" s="146" t="s">
        <v>255</v>
      </c>
    </row>
    <row r="222" spans="1:25" ht="24" customHeight="1" x14ac:dyDescent="0.35">
      <c r="A222" s="103" t="s">
        <v>89</v>
      </c>
      <c r="B222" s="50" t="s">
        <v>41</v>
      </c>
      <c r="C222" s="50" t="s">
        <v>996</v>
      </c>
      <c r="D222" s="50" t="s">
        <v>994</v>
      </c>
      <c r="E222" s="50">
        <v>38</v>
      </c>
      <c r="F222" s="50"/>
      <c r="G222" s="50">
        <v>32</v>
      </c>
      <c r="H222" s="50">
        <v>55</v>
      </c>
      <c r="I222" s="50">
        <v>125</v>
      </c>
      <c r="J222" s="50">
        <v>225</v>
      </c>
      <c r="K222" s="50"/>
      <c r="L222" s="36">
        <v>2019</v>
      </c>
      <c r="M222" s="50" t="s">
        <v>41</v>
      </c>
      <c r="N222" s="50" t="s">
        <v>18</v>
      </c>
      <c r="U222" s="146" t="s">
        <v>373</v>
      </c>
      <c r="V222" s="135" t="s">
        <v>373</v>
      </c>
      <c r="W222" s="146" t="s">
        <v>91</v>
      </c>
      <c r="X222" s="146" t="s">
        <v>90</v>
      </c>
      <c r="Y222" s="146" t="s">
        <v>41</v>
      </c>
    </row>
    <row r="223" spans="1:25" ht="24" customHeight="1" x14ac:dyDescent="0.35">
      <c r="A223" s="103" t="s">
        <v>89</v>
      </c>
      <c r="B223" s="50" t="s">
        <v>41</v>
      </c>
      <c r="C223" s="50" t="s">
        <v>996</v>
      </c>
      <c r="D223" s="50" t="s">
        <v>995</v>
      </c>
      <c r="E223" s="50">
        <v>411000</v>
      </c>
      <c r="F223" s="50"/>
      <c r="G223" s="50">
        <v>401000</v>
      </c>
      <c r="H223" s="50">
        <v>1645000</v>
      </c>
      <c r="I223" s="50">
        <v>2457000</v>
      </c>
      <c r="J223" s="50">
        <v>2457000</v>
      </c>
      <c r="K223" s="50"/>
      <c r="L223" s="36">
        <v>2019</v>
      </c>
      <c r="M223" s="50" t="s">
        <v>41</v>
      </c>
      <c r="N223" s="50" t="s">
        <v>18</v>
      </c>
      <c r="U223" s="146" t="s">
        <v>374</v>
      </c>
      <c r="V223" s="135" t="s">
        <v>374</v>
      </c>
      <c r="W223" s="146" t="s">
        <v>553</v>
      </c>
      <c r="X223" s="146" t="s">
        <v>52</v>
      </c>
      <c r="Y223" s="146" t="s">
        <v>41</v>
      </c>
    </row>
    <row r="224" spans="1:25" ht="24" customHeight="1" x14ac:dyDescent="0.35">
      <c r="A224" s="103" t="s">
        <v>93</v>
      </c>
      <c r="B224" s="50" t="s">
        <v>41</v>
      </c>
      <c r="C224" s="50" t="s">
        <v>993</v>
      </c>
      <c r="D224" s="50" t="s">
        <v>997</v>
      </c>
      <c r="E224" s="50">
        <v>3</v>
      </c>
      <c r="F224" s="50">
        <v>0</v>
      </c>
      <c r="G224" s="50">
        <v>0</v>
      </c>
      <c r="H224" s="50">
        <v>0</v>
      </c>
      <c r="I224" s="50">
        <v>3</v>
      </c>
      <c r="J224" s="50">
        <v>3</v>
      </c>
      <c r="K224" s="50"/>
      <c r="L224" s="36">
        <v>2019</v>
      </c>
      <c r="M224" s="50" t="s">
        <v>41</v>
      </c>
      <c r="N224" s="50" t="s">
        <v>18</v>
      </c>
      <c r="U224" s="146" t="s">
        <v>374</v>
      </c>
      <c r="V224" s="135" t="s">
        <v>374</v>
      </c>
      <c r="W224" s="146" t="s">
        <v>555</v>
      </c>
      <c r="X224" s="146" t="s">
        <v>102</v>
      </c>
      <c r="Y224" s="146" t="s">
        <v>41</v>
      </c>
    </row>
    <row r="225" spans="1:25" ht="24" customHeight="1" x14ac:dyDescent="0.35">
      <c r="A225" s="103" t="s">
        <v>93</v>
      </c>
      <c r="B225" s="50" t="s">
        <v>41</v>
      </c>
      <c r="C225" s="50" t="s">
        <v>993</v>
      </c>
      <c r="D225" s="50" t="s">
        <v>994</v>
      </c>
      <c r="E225" s="50">
        <v>102</v>
      </c>
      <c r="F225" s="50">
        <v>1</v>
      </c>
      <c r="G225" s="50">
        <v>1</v>
      </c>
      <c r="H225" s="50">
        <v>0</v>
      </c>
      <c r="I225" s="50">
        <v>104</v>
      </c>
      <c r="J225" s="50">
        <v>105</v>
      </c>
      <c r="K225" s="50"/>
      <c r="L225" s="36">
        <v>2019</v>
      </c>
      <c r="M225" s="50" t="s">
        <v>41</v>
      </c>
      <c r="N225" s="50" t="s">
        <v>18</v>
      </c>
      <c r="U225" s="146" t="s">
        <v>374</v>
      </c>
      <c r="V225" s="135" t="s">
        <v>374</v>
      </c>
      <c r="W225" s="146" t="s">
        <v>557</v>
      </c>
      <c r="X225" s="146" t="s">
        <v>375</v>
      </c>
      <c r="Y225" s="146" t="s">
        <v>41</v>
      </c>
    </row>
    <row r="226" spans="1:25" ht="24" customHeight="1" x14ac:dyDescent="0.35">
      <c r="A226" s="103" t="s">
        <v>93</v>
      </c>
      <c r="B226" s="50" t="s">
        <v>41</v>
      </c>
      <c r="C226" s="50" t="s">
        <v>993</v>
      </c>
      <c r="D226" s="50" t="s">
        <v>995</v>
      </c>
      <c r="E226" s="50">
        <v>1814878</v>
      </c>
      <c r="F226" s="50">
        <v>41837</v>
      </c>
      <c r="G226" s="50">
        <v>23879</v>
      </c>
      <c r="H226" s="50">
        <v>0</v>
      </c>
      <c r="I226" s="50">
        <v>1880594</v>
      </c>
      <c r="J226" s="50"/>
      <c r="K226" s="50"/>
      <c r="L226" s="36">
        <v>2019</v>
      </c>
      <c r="M226" s="50" t="s">
        <v>41</v>
      </c>
      <c r="N226" s="50" t="s">
        <v>18</v>
      </c>
      <c r="U226" s="149" t="s">
        <v>558</v>
      </c>
      <c r="V226" s="135" t="s">
        <v>558</v>
      </c>
      <c r="W226" s="149" t="s">
        <v>559</v>
      </c>
      <c r="X226" s="149" t="s">
        <v>44</v>
      </c>
      <c r="Y226" s="149" t="s">
        <v>46</v>
      </c>
    </row>
    <row r="227" spans="1:25" ht="24" customHeight="1" x14ac:dyDescent="0.35">
      <c r="A227" s="103" t="s">
        <v>93</v>
      </c>
      <c r="B227" s="50" t="s">
        <v>41</v>
      </c>
      <c r="C227" s="50" t="s">
        <v>996</v>
      </c>
      <c r="D227" s="50" t="s">
        <v>997</v>
      </c>
      <c r="E227" s="50">
        <v>7</v>
      </c>
      <c r="F227" s="50">
        <v>9</v>
      </c>
      <c r="G227" s="50">
        <v>8</v>
      </c>
      <c r="H227" s="50">
        <v>3</v>
      </c>
      <c r="I227" s="50">
        <v>27</v>
      </c>
      <c r="J227" s="50">
        <v>27</v>
      </c>
      <c r="K227" s="50"/>
      <c r="L227" s="36">
        <v>2019</v>
      </c>
      <c r="M227" s="50" t="s">
        <v>41</v>
      </c>
      <c r="N227" s="50" t="s">
        <v>18</v>
      </c>
      <c r="U227" s="146" t="s">
        <v>376</v>
      </c>
      <c r="V227" s="135" t="s">
        <v>93</v>
      </c>
      <c r="W227" s="146" t="s">
        <v>95</v>
      </c>
      <c r="X227" s="146" t="s">
        <v>94</v>
      </c>
      <c r="Y227" s="146" t="s">
        <v>41</v>
      </c>
    </row>
    <row r="228" spans="1:25" ht="24" customHeight="1" x14ac:dyDescent="0.35">
      <c r="A228" s="103" t="s">
        <v>93</v>
      </c>
      <c r="B228" s="50" t="s">
        <v>41</v>
      </c>
      <c r="C228" s="50" t="s">
        <v>996</v>
      </c>
      <c r="D228" s="50" t="s">
        <v>994</v>
      </c>
      <c r="E228" s="50">
        <v>38</v>
      </c>
      <c r="F228" s="50">
        <v>70</v>
      </c>
      <c r="G228" s="50">
        <v>166</v>
      </c>
      <c r="H228" s="50">
        <v>52</v>
      </c>
      <c r="I228" s="50">
        <v>326</v>
      </c>
      <c r="J228" s="50">
        <v>326</v>
      </c>
      <c r="K228" s="50"/>
      <c r="L228" s="36">
        <v>2019</v>
      </c>
      <c r="M228" s="50" t="s">
        <v>41</v>
      </c>
      <c r="N228" s="50" t="s">
        <v>18</v>
      </c>
      <c r="U228" s="146" t="s">
        <v>377</v>
      </c>
      <c r="V228" s="135" t="s">
        <v>96</v>
      </c>
      <c r="W228" s="146" t="s">
        <v>560</v>
      </c>
      <c r="X228" s="146" t="s">
        <v>97</v>
      </c>
      <c r="Y228" s="146" t="s">
        <v>255</v>
      </c>
    </row>
    <row r="229" spans="1:25" ht="24" customHeight="1" x14ac:dyDescent="0.35">
      <c r="A229" s="103" t="s">
        <v>93</v>
      </c>
      <c r="B229" s="50" t="s">
        <v>41</v>
      </c>
      <c r="C229" s="50" t="s">
        <v>996</v>
      </c>
      <c r="D229" s="50" t="s">
        <v>995</v>
      </c>
      <c r="E229" s="50">
        <v>1736645</v>
      </c>
      <c r="F229" s="50">
        <v>1852470</v>
      </c>
      <c r="G229" s="50">
        <v>2737320</v>
      </c>
      <c r="H229" s="50">
        <v>599206</v>
      </c>
      <c r="I229" s="50">
        <v>6925641</v>
      </c>
      <c r="J229" s="50"/>
      <c r="K229" s="50"/>
      <c r="L229" s="36">
        <v>2019</v>
      </c>
      <c r="M229" s="50" t="s">
        <v>41</v>
      </c>
      <c r="N229" s="50" t="s">
        <v>18</v>
      </c>
      <c r="U229" s="146" t="s">
        <v>382</v>
      </c>
      <c r="V229" s="135" t="s">
        <v>101</v>
      </c>
      <c r="W229" s="146" t="s">
        <v>103</v>
      </c>
      <c r="X229" s="146" t="s">
        <v>102</v>
      </c>
      <c r="Y229" s="146" t="s">
        <v>41</v>
      </c>
    </row>
    <row r="230" spans="1:25" ht="24" customHeight="1" x14ac:dyDescent="0.35">
      <c r="A230" s="103" t="s">
        <v>96</v>
      </c>
      <c r="B230" s="50" t="s">
        <v>4</v>
      </c>
      <c r="C230" s="50" t="s">
        <v>993</v>
      </c>
      <c r="D230" s="50" t="s">
        <v>997</v>
      </c>
      <c r="E230" s="50">
        <v>0</v>
      </c>
      <c r="F230" s="50">
        <v>0</v>
      </c>
      <c r="G230" s="50">
        <v>0</v>
      </c>
      <c r="H230" s="50">
        <v>0</v>
      </c>
      <c r="I230" s="50">
        <v>0</v>
      </c>
      <c r="J230" s="50"/>
      <c r="K230" s="50"/>
      <c r="L230" s="36">
        <v>2019</v>
      </c>
      <c r="M230" s="50" t="s">
        <v>255</v>
      </c>
      <c r="N230" s="50" t="s">
        <v>18</v>
      </c>
      <c r="U230" s="146" t="s">
        <v>384</v>
      </c>
      <c r="V230" s="135" t="s">
        <v>384</v>
      </c>
      <c r="W230" s="146" t="s">
        <v>562</v>
      </c>
      <c r="X230" s="146" t="s">
        <v>563</v>
      </c>
      <c r="Y230" s="146" t="s">
        <v>46</v>
      </c>
    </row>
    <row r="231" spans="1:25" ht="24" customHeight="1" x14ac:dyDescent="0.35">
      <c r="A231" s="103" t="s">
        <v>96</v>
      </c>
      <c r="B231" s="50" t="s">
        <v>4</v>
      </c>
      <c r="C231" s="50" t="s">
        <v>993</v>
      </c>
      <c r="D231" s="50" t="s">
        <v>994</v>
      </c>
      <c r="E231" s="50">
        <v>0</v>
      </c>
      <c r="F231" s="50">
        <v>0</v>
      </c>
      <c r="G231" s="50">
        <v>0</v>
      </c>
      <c r="H231" s="50">
        <v>0</v>
      </c>
      <c r="I231" s="50">
        <v>0</v>
      </c>
      <c r="J231" s="50"/>
      <c r="K231" s="50"/>
      <c r="L231" s="36">
        <v>2019</v>
      </c>
      <c r="M231" s="50" t="s">
        <v>255</v>
      </c>
      <c r="N231" s="50" t="s">
        <v>18</v>
      </c>
      <c r="U231" s="146" t="s">
        <v>106</v>
      </c>
      <c r="V231" s="135" t="s">
        <v>106</v>
      </c>
      <c r="W231" s="146" t="s">
        <v>564</v>
      </c>
      <c r="X231" s="146" t="s">
        <v>107</v>
      </c>
      <c r="Y231" s="146" t="s">
        <v>57</v>
      </c>
    </row>
    <row r="232" spans="1:25" ht="24" customHeight="1" x14ac:dyDescent="0.35">
      <c r="A232" s="103" t="s">
        <v>96</v>
      </c>
      <c r="B232" s="50" t="s">
        <v>4</v>
      </c>
      <c r="C232" s="50" t="s">
        <v>993</v>
      </c>
      <c r="D232" s="50" t="s">
        <v>995</v>
      </c>
      <c r="E232" s="50">
        <v>0</v>
      </c>
      <c r="F232" s="50">
        <v>0</v>
      </c>
      <c r="G232" s="50">
        <v>0</v>
      </c>
      <c r="H232" s="50">
        <v>0</v>
      </c>
      <c r="I232" s="50">
        <v>0</v>
      </c>
      <c r="J232" s="50"/>
      <c r="K232" s="50"/>
      <c r="L232" s="36">
        <v>2019</v>
      </c>
      <c r="M232" s="50" t="s">
        <v>255</v>
      </c>
      <c r="N232" s="50" t="s">
        <v>18</v>
      </c>
      <c r="U232" s="146" t="s">
        <v>388</v>
      </c>
      <c r="V232" s="135" t="s">
        <v>388</v>
      </c>
      <c r="W232" s="146" t="s">
        <v>389</v>
      </c>
      <c r="X232" s="146" t="s">
        <v>390</v>
      </c>
      <c r="Y232" s="146" t="s">
        <v>255</v>
      </c>
    </row>
    <row r="233" spans="1:25" ht="24" customHeight="1" x14ac:dyDescent="0.35">
      <c r="A233" s="103" t="s">
        <v>96</v>
      </c>
      <c r="B233" s="50" t="s">
        <v>4</v>
      </c>
      <c r="C233" s="50" t="s">
        <v>996</v>
      </c>
      <c r="D233" s="50" t="s">
        <v>997</v>
      </c>
      <c r="E233" s="50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/>
      <c r="L233" s="36">
        <v>2019</v>
      </c>
      <c r="M233" s="50" t="s">
        <v>255</v>
      </c>
      <c r="N233" s="50" t="s">
        <v>18</v>
      </c>
      <c r="U233" s="146" t="s">
        <v>567</v>
      </c>
      <c r="V233" s="135" t="s">
        <v>567</v>
      </c>
      <c r="W233" s="146" t="s">
        <v>394</v>
      </c>
      <c r="X233" s="146" t="s">
        <v>568</v>
      </c>
      <c r="Y233" s="146" t="s">
        <v>46</v>
      </c>
    </row>
    <row r="234" spans="1:25" ht="24" customHeight="1" x14ac:dyDescent="0.35">
      <c r="A234" s="103" t="s">
        <v>96</v>
      </c>
      <c r="B234" s="50" t="s">
        <v>4</v>
      </c>
      <c r="C234" s="50" t="s">
        <v>996</v>
      </c>
      <c r="D234" s="50" t="s">
        <v>994</v>
      </c>
      <c r="E234" s="50">
        <v>6</v>
      </c>
      <c r="F234" s="50">
        <v>4</v>
      </c>
      <c r="G234" s="50">
        <v>3</v>
      </c>
      <c r="H234" s="50">
        <v>6</v>
      </c>
      <c r="I234" s="50">
        <v>19</v>
      </c>
      <c r="J234" s="50">
        <v>19</v>
      </c>
      <c r="K234" s="50"/>
      <c r="L234" s="36">
        <v>2019</v>
      </c>
      <c r="M234" s="50" t="s">
        <v>255</v>
      </c>
      <c r="N234" s="50" t="s">
        <v>18</v>
      </c>
      <c r="U234" s="146" t="s">
        <v>569</v>
      </c>
      <c r="V234" s="135" t="s">
        <v>569</v>
      </c>
      <c r="W234" s="146" t="s">
        <v>398</v>
      </c>
      <c r="X234" s="146" t="s">
        <v>399</v>
      </c>
      <c r="Y234" s="146" t="s">
        <v>41</v>
      </c>
    </row>
    <row r="235" spans="1:25" ht="24" customHeight="1" x14ac:dyDescent="0.35">
      <c r="A235" s="103" t="s">
        <v>96</v>
      </c>
      <c r="B235" s="50" t="s">
        <v>4</v>
      </c>
      <c r="C235" s="50" t="s">
        <v>996</v>
      </c>
      <c r="D235" s="50" t="s">
        <v>995</v>
      </c>
      <c r="E235" s="50">
        <v>127393</v>
      </c>
      <c r="F235" s="50">
        <v>78359</v>
      </c>
      <c r="G235" s="50">
        <v>27037</v>
      </c>
      <c r="H235" s="50">
        <v>23913</v>
      </c>
      <c r="I235" s="50">
        <v>256702</v>
      </c>
      <c r="J235" s="50"/>
      <c r="K235" s="50"/>
      <c r="L235" s="36">
        <v>2019</v>
      </c>
      <c r="M235" s="50" t="s">
        <v>255</v>
      </c>
      <c r="N235" s="50" t="s">
        <v>18</v>
      </c>
      <c r="U235" s="146" t="s">
        <v>391</v>
      </c>
      <c r="V235" s="135" t="s">
        <v>391</v>
      </c>
      <c r="W235" s="146" t="s">
        <v>570</v>
      </c>
      <c r="X235" s="146" t="s">
        <v>571</v>
      </c>
      <c r="Y235" s="146" t="s">
        <v>255</v>
      </c>
    </row>
    <row r="236" spans="1:25" ht="24" customHeight="1" x14ac:dyDescent="0.35">
      <c r="A236" s="103" t="s">
        <v>101</v>
      </c>
      <c r="B236" s="50" t="s">
        <v>41</v>
      </c>
      <c r="C236" s="50" t="s">
        <v>993</v>
      </c>
      <c r="D236" s="50" t="s">
        <v>997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36">
        <v>2019</v>
      </c>
      <c r="M236" s="50" t="s">
        <v>41</v>
      </c>
      <c r="N236" s="50" t="s">
        <v>104</v>
      </c>
      <c r="U236" s="146" t="s">
        <v>572</v>
      </c>
      <c r="V236" s="135" t="s">
        <v>572</v>
      </c>
      <c r="W236" s="135" t="s">
        <v>403</v>
      </c>
      <c r="X236" s="135" t="s">
        <v>111</v>
      </c>
      <c r="Y236" s="135" t="s">
        <v>41</v>
      </c>
    </row>
    <row r="237" spans="1:25" ht="24" customHeight="1" x14ac:dyDescent="0.35">
      <c r="A237" s="103" t="s">
        <v>101</v>
      </c>
      <c r="B237" s="50" t="s">
        <v>41</v>
      </c>
      <c r="C237" s="50" t="s">
        <v>993</v>
      </c>
      <c r="D237" s="50" t="s">
        <v>994</v>
      </c>
      <c r="E237" s="50">
        <v>1</v>
      </c>
      <c r="F237" s="50">
        <v>0</v>
      </c>
      <c r="G237" s="50">
        <v>1</v>
      </c>
      <c r="H237" s="50">
        <v>0</v>
      </c>
      <c r="I237" s="50">
        <v>2</v>
      </c>
      <c r="J237" s="50">
        <v>2</v>
      </c>
      <c r="K237" s="50"/>
      <c r="L237" s="36">
        <v>2019</v>
      </c>
      <c r="M237" s="50" t="s">
        <v>41</v>
      </c>
      <c r="N237" s="50" t="s">
        <v>104</v>
      </c>
      <c r="U237" s="146" t="s">
        <v>572</v>
      </c>
      <c r="V237" s="135" t="s">
        <v>572</v>
      </c>
      <c r="W237" s="135" t="s">
        <v>407</v>
      </c>
      <c r="X237" s="135" t="s">
        <v>102</v>
      </c>
      <c r="Y237" s="135" t="s">
        <v>41</v>
      </c>
    </row>
    <row r="238" spans="1:25" ht="24" customHeight="1" x14ac:dyDescent="0.35">
      <c r="A238" s="103" t="s">
        <v>101</v>
      </c>
      <c r="B238" s="50" t="s">
        <v>41</v>
      </c>
      <c r="C238" s="50" t="s">
        <v>993</v>
      </c>
      <c r="D238" s="50" t="s">
        <v>995</v>
      </c>
      <c r="E238" s="50">
        <v>22804.036</v>
      </c>
      <c r="F238" s="50">
        <v>0</v>
      </c>
      <c r="G238" s="50">
        <v>5398.1279999999997</v>
      </c>
      <c r="H238" s="50"/>
      <c r="I238" s="50">
        <v>28202.164000000001</v>
      </c>
      <c r="J238" s="50"/>
      <c r="K238" s="50"/>
      <c r="L238" s="36">
        <v>2019</v>
      </c>
      <c r="M238" s="50" t="s">
        <v>41</v>
      </c>
      <c r="N238" s="50" t="s">
        <v>104</v>
      </c>
      <c r="U238" s="146" t="s">
        <v>572</v>
      </c>
      <c r="V238" s="135" t="s">
        <v>572</v>
      </c>
      <c r="W238" s="135" t="s">
        <v>573</v>
      </c>
      <c r="X238" s="135" t="s">
        <v>408</v>
      </c>
      <c r="Y238" s="135" t="s">
        <v>41</v>
      </c>
    </row>
    <row r="239" spans="1:25" ht="24" customHeight="1" x14ac:dyDescent="0.35">
      <c r="A239" s="103" t="s">
        <v>101</v>
      </c>
      <c r="B239" s="50" t="s">
        <v>41</v>
      </c>
      <c r="C239" s="50" t="s">
        <v>996</v>
      </c>
      <c r="D239" s="50" t="s">
        <v>995</v>
      </c>
      <c r="E239" s="50">
        <v>34931.71</v>
      </c>
      <c r="F239" s="50">
        <v>46368</v>
      </c>
      <c r="G239" s="50">
        <v>76046.827000000005</v>
      </c>
      <c r="H239" s="50">
        <v>165100</v>
      </c>
      <c r="I239" s="50">
        <v>322446.53700000001</v>
      </c>
      <c r="J239" s="50"/>
      <c r="K239" s="50"/>
      <c r="L239" s="36">
        <v>2019</v>
      </c>
      <c r="M239" s="50" t="s">
        <v>41</v>
      </c>
      <c r="N239" s="50" t="s">
        <v>104</v>
      </c>
      <c r="U239" s="146" t="s">
        <v>572</v>
      </c>
      <c r="V239" s="135" t="s">
        <v>572</v>
      </c>
      <c r="W239" s="135" t="s">
        <v>409</v>
      </c>
      <c r="X239" s="135" t="s">
        <v>410</v>
      </c>
      <c r="Y239" s="135" t="s">
        <v>41</v>
      </c>
    </row>
    <row r="240" spans="1:25" ht="24" customHeight="1" x14ac:dyDescent="0.35">
      <c r="A240" s="103" t="s">
        <v>101</v>
      </c>
      <c r="B240" s="50" t="s">
        <v>41</v>
      </c>
      <c r="C240" s="50" t="s">
        <v>996</v>
      </c>
      <c r="D240" s="50" t="s">
        <v>997</v>
      </c>
      <c r="E240" s="50">
        <v>0</v>
      </c>
      <c r="F240" s="50">
        <v>0</v>
      </c>
      <c r="G240" s="50">
        <v>1</v>
      </c>
      <c r="H240" s="50">
        <v>2</v>
      </c>
      <c r="I240" s="50">
        <v>3</v>
      </c>
      <c r="J240" s="50">
        <v>5</v>
      </c>
      <c r="K240" s="50"/>
      <c r="L240" s="36">
        <v>2019</v>
      </c>
      <c r="M240" s="50" t="s">
        <v>41</v>
      </c>
      <c r="N240" s="50" t="s">
        <v>104</v>
      </c>
      <c r="U240" s="145" t="s">
        <v>128</v>
      </c>
      <c r="V240" s="135" t="s">
        <v>128</v>
      </c>
      <c r="W240" s="145" t="s">
        <v>130</v>
      </c>
      <c r="X240" s="145" t="s">
        <v>129</v>
      </c>
      <c r="Y240" s="145" t="s">
        <v>41</v>
      </c>
    </row>
    <row r="241" spans="1:25" ht="24" customHeight="1" x14ac:dyDescent="0.35">
      <c r="A241" s="103" t="s">
        <v>101</v>
      </c>
      <c r="B241" s="50" t="s">
        <v>41</v>
      </c>
      <c r="C241" s="50" t="s">
        <v>996</v>
      </c>
      <c r="D241" s="50" t="s">
        <v>994</v>
      </c>
      <c r="E241" s="50">
        <v>2</v>
      </c>
      <c r="F241" s="50">
        <v>5</v>
      </c>
      <c r="G241" s="50">
        <v>13</v>
      </c>
      <c r="H241" s="50">
        <v>59</v>
      </c>
      <c r="I241" s="50">
        <v>79</v>
      </c>
      <c r="J241" s="50">
        <v>59</v>
      </c>
      <c r="K241" s="50">
        <v>20</v>
      </c>
      <c r="L241" s="36">
        <v>2019</v>
      </c>
      <c r="M241" s="50" t="s">
        <v>41</v>
      </c>
      <c r="N241" s="50" t="s">
        <v>104</v>
      </c>
      <c r="U241" s="145" t="s">
        <v>128</v>
      </c>
      <c r="V241" s="135" t="s">
        <v>128</v>
      </c>
      <c r="W241" s="145" t="s">
        <v>395</v>
      </c>
      <c r="X241" s="145" t="s">
        <v>52</v>
      </c>
      <c r="Y241" s="145" t="s">
        <v>41</v>
      </c>
    </row>
    <row r="242" spans="1:25" ht="24" customHeight="1" x14ac:dyDescent="0.35">
      <c r="A242" s="103" t="s">
        <v>106</v>
      </c>
      <c r="B242" s="50" t="s">
        <v>57</v>
      </c>
      <c r="C242" s="50" t="s">
        <v>993</v>
      </c>
      <c r="D242" s="50" t="s">
        <v>997</v>
      </c>
      <c r="E242" s="50"/>
      <c r="F242" s="50">
        <v>0</v>
      </c>
      <c r="G242" s="50"/>
      <c r="H242" s="50"/>
      <c r="I242" s="50">
        <v>0</v>
      </c>
      <c r="J242" s="50"/>
      <c r="K242" s="50"/>
      <c r="L242" s="36">
        <v>2019</v>
      </c>
      <c r="M242" s="50" t="s">
        <v>57</v>
      </c>
      <c r="N242" s="50" t="s">
        <v>6</v>
      </c>
      <c r="U242" s="145" t="s">
        <v>128</v>
      </c>
      <c r="V242" s="135" t="s">
        <v>128</v>
      </c>
      <c r="W242" s="145" t="s">
        <v>396</v>
      </c>
      <c r="X242" s="145" t="s">
        <v>44</v>
      </c>
      <c r="Y242" s="145" t="s">
        <v>41</v>
      </c>
    </row>
    <row r="243" spans="1:25" ht="24" customHeight="1" x14ac:dyDescent="0.35">
      <c r="A243" s="103" t="s">
        <v>106</v>
      </c>
      <c r="B243" s="50" t="s">
        <v>57</v>
      </c>
      <c r="C243" s="50" t="s">
        <v>993</v>
      </c>
      <c r="D243" s="50" t="s">
        <v>994</v>
      </c>
      <c r="E243" s="50"/>
      <c r="F243" s="50">
        <v>1</v>
      </c>
      <c r="G243" s="50"/>
      <c r="H243" s="50"/>
      <c r="I243" s="50">
        <v>1</v>
      </c>
      <c r="J243" s="50"/>
      <c r="K243" s="50"/>
      <c r="L243" s="36">
        <v>2019</v>
      </c>
      <c r="M243" s="50" t="s">
        <v>57</v>
      </c>
      <c r="N243" s="50" t="s">
        <v>6</v>
      </c>
      <c r="U243" s="145" t="s">
        <v>128</v>
      </c>
      <c r="V243" s="135" t="s">
        <v>128</v>
      </c>
      <c r="W243" s="150" t="s">
        <v>576</v>
      </c>
      <c r="X243" s="149" t="s">
        <v>416</v>
      </c>
      <c r="Y243" s="149" t="s">
        <v>46</v>
      </c>
    </row>
    <row r="244" spans="1:25" ht="24" customHeight="1" x14ac:dyDescent="0.35">
      <c r="A244" s="103" t="s">
        <v>106</v>
      </c>
      <c r="B244" s="50" t="s">
        <v>57</v>
      </c>
      <c r="C244" s="50" t="s">
        <v>993</v>
      </c>
      <c r="D244" s="50" t="s">
        <v>995</v>
      </c>
      <c r="E244" s="50"/>
      <c r="F244" s="50">
        <v>15305</v>
      </c>
      <c r="G244" s="50"/>
      <c r="H244" s="50"/>
      <c r="I244" s="50">
        <v>15305</v>
      </c>
      <c r="J244" s="50"/>
      <c r="K244" s="50"/>
      <c r="L244" s="36">
        <v>2019</v>
      </c>
      <c r="M244" s="50" t="s">
        <v>57</v>
      </c>
      <c r="N244" s="50" t="s">
        <v>6</v>
      </c>
      <c r="U244" s="145" t="s">
        <v>128</v>
      </c>
      <c r="V244" s="135" t="s">
        <v>128</v>
      </c>
      <c r="W244" s="149" t="s">
        <v>578</v>
      </c>
      <c r="X244" s="149" t="s">
        <v>52</v>
      </c>
      <c r="Y244" s="149" t="s">
        <v>41</v>
      </c>
    </row>
    <row r="245" spans="1:25" ht="24" customHeight="1" x14ac:dyDescent="0.35">
      <c r="A245" s="103" t="s">
        <v>106</v>
      </c>
      <c r="B245" s="50" t="s">
        <v>57</v>
      </c>
      <c r="C245" s="50" t="s">
        <v>996</v>
      </c>
      <c r="D245" s="50" t="s">
        <v>997</v>
      </c>
      <c r="E245" s="50">
        <v>0</v>
      </c>
      <c r="F245" s="50">
        <v>4</v>
      </c>
      <c r="G245" s="50">
        <v>3</v>
      </c>
      <c r="H245" s="50">
        <v>1</v>
      </c>
      <c r="I245" s="50">
        <v>8</v>
      </c>
      <c r="J245" s="50">
        <v>8</v>
      </c>
      <c r="K245" s="50"/>
      <c r="L245" s="36">
        <v>2019</v>
      </c>
      <c r="M245" s="50" t="s">
        <v>57</v>
      </c>
      <c r="N245" s="50" t="s">
        <v>6</v>
      </c>
      <c r="U245" s="145" t="s">
        <v>128</v>
      </c>
      <c r="V245" s="135" t="s">
        <v>128</v>
      </c>
      <c r="W245" s="149" t="s">
        <v>579</v>
      </c>
      <c r="X245" s="145" t="s">
        <v>44</v>
      </c>
      <c r="Y245" s="149" t="s">
        <v>41</v>
      </c>
    </row>
    <row r="246" spans="1:25" ht="24" customHeight="1" x14ac:dyDescent="0.35">
      <c r="A246" s="103" t="s">
        <v>106</v>
      </c>
      <c r="B246" s="50" t="s">
        <v>57</v>
      </c>
      <c r="C246" s="50" t="s">
        <v>996</v>
      </c>
      <c r="D246" s="50" t="s">
        <v>994</v>
      </c>
      <c r="E246" s="50">
        <v>2</v>
      </c>
      <c r="F246" s="50">
        <v>7</v>
      </c>
      <c r="G246" s="50">
        <v>26</v>
      </c>
      <c r="H246" s="50">
        <v>54</v>
      </c>
      <c r="I246" s="50">
        <v>89</v>
      </c>
      <c r="J246" s="50">
        <v>89</v>
      </c>
      <c r="K246" s="50"/>
      <c r="L246" s="36">
        <v>2019</v>
      </c>
      <c r="M246" s="50" t="s">
        <v>57</v>
      </c>
      <c r="N246" s="50" t="s">
        <v>6</v>
      </c>
      <c r="U246" s="145" t="s">
        <v>128</v>
      </c>
      <c r="V246" s="135" t="s">
        <v>128</v>
      </c>
      <c r="W246" s="152" t="s">
        <v>581</v>
      </c>
      <c r="X246" s="149" t="s">
        <v>416</v>
      </c>
      <c r="Y246" s="149" t="s">
        <v>46</v>
      </c>
    </row>
    <row r="247" spans="1:25" ht="24" customHeight="1" x14ac:dyDescent="0.35">
      <c r="A247" s="103" t="s">
        <v>106</v>
      </c>
      <c r="B247" s="50" t="s">
        <v>57</v>
      </c>
      <c r="C247" s="50" t="s">
        <v>996</v>
      </c>
      <c r="D247" s="50" t="s">
        <v>995</v>
      </c>
      <c r="E247" s="50">
        <v>32045</v>
      </c>
      <c r="F247" s="50">
        <v>88349</v>
      </c>
      <c r="G247" s="50">
        <v>148426</v>
      </c>
      <c r="H247" s="50">
        <v>212961</v>
      </c>
      <c r="I247" s="50">
        <v>481781</v>
      </c>
      <c r="J247" s="50">
        <v>481782</v>
      </c>
      <c r="K247" s="50"/>
      <c r="L247" s="36">
        <v>2019</v>
      </c>
      <c r="M247" s="50" t="s">
        <v>57</v>
      </c>
      <c r="N247" s="50" t="s">
        <v>6</v>
      </c>
      <c r="U247" s="145" t="s">
        <v>128</v>
      </c>
      <c r="V247" s="135" t="s">
        <v>128</v>
      </c>
      <c r="W247" s="152" t="s">
        <v>583</v>
      </c>
      <c r="X247" s="145" t="s">
        <v>44</v>
      </c>
      <c r="Y247" s="149" t="s">
        <v>46</v>
      </c>
    </row>
    <row r="248" spans="1:25" ht="24" customHeight="1" x14ac:dyDescent="0.35">
      <c r="A248" s="103" t="s">
        <v>110</v>
      </c>
      <c r="B248" s="50" t="s">
        <v>41</v>
      </c>
      <c r="C248" s="50" t="s">
        <v>993</v>
      </c>
      <c r="D248" s="50" t="s">
        <v>997</v>
      </c>
      <c r="E248" s="50">
        <v>0</v>
      </c>
      <c r="F248" s="50">
        <v>0</v>
      </c>
      <c r="G248" s="50">
        <v>1</v>
      </c>
      <c r="H248" s="50">
        <v>0</v>
      </c>
      <c r="I248" s="50">
        <v>1</v>
      </c>
      <c r="J248" s="50"/>
      <c r="K248" s="50"/>
      <c r="L248" s="36">
        <v>2019</v>
      </c>
      <c r="M248" s="50" t="s">
        <v>41</v>
      </c>
      <c r="N248" s="50" t="s">
        <v>104</v>
      </c>
      <c r="U248" s="145" t="s">
        <v>128</v>
      </c>
      <c r="V248" s="135" t="s">
        <v>128</v>
      </c>
      <c r="W248" s="152" t="s">
        <v>584</v>
      </c>
      <c r="X248" s="145" t="s">
        <v>44</v>
      </c>
      <c r="Y248" s="149" t="s">
        <v>46</v>
      </c>
    </row>
    <row r="249" spans="1:25" ht="24" customHeight="1" x14ac:dyDescent="0.35">
      <c r="A249" s="103" t="s">
        <v>110</v>
      </c>
      <c r="B249" s="50" t="s">
        <v>41</v>
      </c>
      <c r="C249" s="50" t="s">
        <v>993</v>
      </c>
      <c r="D249" s="50" t="s">
        <v>994</v>
      </c>
      <c r="E249" s="50">
        <v>4</v>
      </c>
      <c r="F249" s="50">
        <v>1</v>
      </c>
      <c r="G249" s="50">
        <v>0</v>
      </c>
      <c r="H249" s="50">
        <v>0</v>
      </c>
      <c r="I249" s="50">
        <v>5</v>
      </c>
      <c r="J249" s="50"/>
      <c r="K249" s="50"/>
      <c r="L249" s="36">
        <v>2019</v>
      </c>
      <c r="M249" s="50" t="s">
        <v>41</v>
      </c>
      <c r="N249" s="50" t="s">
        <v>104</v>
      </c>
      <c r="U249" s="145" t="s">
        <v>128</v>
      </c>
      <c r="V249" s="135" t="s">
        <v>128</v>
      </c>
      <c r="W249" s="152" t="s">
        <v>585</v>
      </c>
      <c r="X249" s="145" t="s">
        <v>44</v>
      </c>
      <c r="Y249" s="149" t="s">
        <v>46</v>
      </c>
    </row>
    <row r="250" spans="1:25" ht="24" customHeight="1" x14ac:dyDescent="0.35">
      <c r="A250" s="103" t="s">
        <v>110</v>
      </c>
      <c r="B250" s="50" t="s">
        <v>41</v>
      </c>
      <c r="C250" s="50" t="s">
        <v>993</v>
      </c>
      <c r="D250" s="50" t="s">
        <v>995</v>
      </c>
      <c r="E250" s="50">
        <v>85593</v>
      </c>
      <c r="F250" s="50">
        <v>17406</v>
      </c>
      <c r="G250" s="50">
        <v>9324</v>
      </c>
      <c r="H250" s="50">
        <v>0</v>
      </c>
      <c r="I250" s="50">
        <v>112323</v>
      </c>
      <c r="J250" s="50"/>
      <c r="K250" s="50"/>
      <c r="L250" s="36">
        <v>2019</v>
      </c>
      <c r="M250" s="50" t="s">
        <v>41</v>
      </c>
      <c r="N250" s="50" t="s">
        <v>104</v>
      </c>
      <c r="U250" s="145" t="s">
        <v>128</v>
      </c>
      <c r="V250" s="135" t="s">
        <v>128</v>
      </c>
      <c r="W250" s="152" t="s">
        <v>586</v>
      </c>
      <c r="X250" s="145" t="s">
        <v>587</v>
      </c>
      <c r="Y250" s="149" t="s">
        <v>46</v>
      </c>
    </row>
    <row r="251" spans="1:25" ht="24" customHeight="1" x14ac:dyDescent="0.35">
      <c r="A251" s="103" t="s">
        <v>110</v>
      </c>
      <c r="B251" s="50" t="s">
        <v>41</v>
      </c>
      <c r="C251" s="50" t="s">
        <v>996</v>
      </c>
      <c r="D251" s="50" t="s">
        <v>997</v>
      </c>
      <c r="E251" s="50">
        <v>1</v>
      </c>
      <c r="F251" s="50">
        <v>1</v>
      </c>
      <c r="G251" s="50">
        <v>2</v>
      </c>
      <c r="H251" s="50">
        <v>7</v>
      </c>
      <c r="I251" s="50">
        <v>11</v>
      </c>
      <c r="J251" s="50">
        <v>7</v>
      </c>
      <c r="K251" s="50">
        <v>4</v>
      </c>
      <c r="L251" s="36">
        <v>2019</v>
      </c>
      <c r="M251" s="50" t="s">
        <v>41</v>
      </c>
      <c r="N251" s="50" t="s">
        <v>104</v>
      </c>
      <c r="U251" s="145" t="s">
        <v>128</v>
      </c>
      <c r="V251" s="135" t="s">
        <v>128</v>
      </c>
      <c r="W251" s="152" t="s">
        <v>588</v>
      </c>
      <c r="X251" s="149" t="s">
        <v>487</v>
      </c>
      <c r="Y251" s="149" t="s">
        <v>46</v>
      </c>
    </row>
    <row r="252" spans="1:25" ht="24" customHeight="1" x14ac:dyDescent="0.35">
      <c r="A252" s="103" t="s">
        <v>110</v>
      </c>
      <c r="B252" s="50" t="s">
        <v>41</v>
      </c>
      <c r="C252" s="50" t="s">
        <v>996</v>
      </c>
      <c r="D252" s="50" t="s">
        <v>994</v>
      </c>
      <c r="E252" s="50">
        <v>1</v>
      </c>
      <c r="F252" s="50">
        <v>3</v>
      </c>
      <c r="G252" s="50">
        <v>26</v>
      </c>
      <c r="H252" s="50">
        <v>38</v>
      </c>
      <c r="I252" s="50">
        <v>68</v>
      </c>
      <c r="J252" s="50">
        <v>68</v>
      </c>
      <c r="K252" s="50">
        <v>0</v>
      </c>
      <c r="L252" s="36">
        <v>2019</v>
      </c>
      <c r="M252" s="50" t="s">
        <v>41</v>
      </c>
      <c r="N252" s="50" t="s">
        <v>104</v>
      </c>
      <c r="U252" s="145" t="s">
        <v>128</v>
      </c>
      <c r="V252" s="135" t="s">
        <v>128</v>
      </c>
      <c r="W252" s="152" t="s">
        <v>589</v>
      </c>
      <c r="X252" s="149" t="s">
        <v>487</v>
      </c>
      <c r="Y252" s="149" t="s">
        <v>46</v>
      </c>
    </row>
    <row r="253" spans="1:25" ht="24" customHeight="1" x14ac:dyDescent="0.35">
      <c r="A253" s="103" t="s">
        <v>110</v>
      </c>
      <c r="B253" s="50" t="s">
        <v>41</v>
      </c>
      <c r="C253" s="50" t="s">
        <v>996</v>
      </c>
      <c r="D253" s="50" t="s">
        <v>995</v>
      </c>
      <c r="E253" s="50">
        <v>37268</v>
      </c>
      <c r="F253" s="50">
        <v>58191</v>
      </c>
      <c r="G253" s="50">
        <v>192511</v>
      </c>
      <c r="H253" s="50">
        <v>152928</v>
      </c>
      <c r="I253" s="50">
        <v>440898</v>
      </c>
      <c r="J253" s="50">
        <v>438586</v>
      </c>
      <c r="K253" s="50">
        <v>2313</v>
      </c>
      <c r="L253" s="36">
        <v>2019</v>
      </c>
      <c r="M253" s="50" t="s">
        <v>41</v>
      </c>
      <c r="N253" s="50" t="s">
        <v>104</v>
      </c>
      <c r="U253" s="146" t="s">
        <v>590</v>
      </c>
      <c r="V253" s="135" t="s">
        <v>590</v>
      </c>
      <c r="W253" s="146" t="s">
        <v>591</v>
      </c>
      <c r="X253" s="146" t="s">
        <v>592</v>
      </c>
      <c r="Y253" s="146" t="s">
        <v>255</v>
      </c>
    </row>
    <row r="254" spans="1:25" ht="24" customHeight="1" x14ac:dyDescent="0.35">
      <c r="A254" s="103" t="s">
        <v>112</v>
      </c>
      <c r="B254" s="50" t="s">
        <v>46</v>
      </c>
      <c r="C254" s="50" t="s">
        <v>993</v>
      </c>
      <c r="D254" s="50" t="s">
        <v>994</v>
      </c>
      <c r="E254" s="50">
        <v>4</v>
      </c>
      <c r="F254" s="50"/>
      <c r="G254" s="50"/>
      <c r="H254" s="50"/>
      <c r="I254" s="50">
        <v>4</v>
      </c>
      <c r="J254" s="50"/>
      <c r="K254" s="50"/>
      <c r="L254" s="36">
        <v>2019</v>
      </c>
      <c r="M254" s="50" t="s">
        <v>46</v>
      </c>
      <c r="N254" s="50" t="s">
        <v>114</v>
      </c>
      <c r="U254" s="146" t="s">
        <v>590</v>
      </c>
      <c r="V254" s="135" t="s">
        <v>590</v>
      </c>
      <c r="W254" s="146" t="s">
        <v>593</v>
      </c>
      <c r="X254" s="146" t="s">
        <v>594</v>
      </c>
      <c r="Y254" s="146" t="s">
        <v>255</v>
      </c>
    </row>
    <row r="255" spans="1:25" ht="24" customHeight="1" x14ac:dyDescent="0.35">
      <c r="A255" s="103" t="s">
        <v>112</v>
      </c>
      <c r="B255" s="50" t="s">
        <v>46</v>
      </c>
      <c r="C255" s="50" t="s">
        <v>993</v>
      </c>
      <c r="D255" s="50" t="s">
        <v>995</v>
      </c>
      <c r="E255" s="50">
        <v>29747</v>
      </c>
      <c r="F255" s="50"/>
      <c r="G255" s="50"/>
      <c r="H255" s="50"/>
      <c r="I255" s="50">
        <v>29747</v>
      </c>
      <c r="J255" s="50"/>
      <c r="K255" s="50"/>
      <c r="L255" s="36">
        <v>2019</v>
      </c>
      <c r="M255" s="50" t="s">
        <v>46</v>
      </c>
      <c r="N255" s="50" t="s">
        <v>114</v>
      </c>
      <c r="U255" s="149" t="s">
        <v>595</v>
      </c>
      <c r="V255" s="135" t="s">
        <v>595</v>
      </c>
      <c r="W255" s="149" t="s">
        <v>596</v>
      </c>
      <c r="X255" s="149" t="s">
        <v>44</v>
      </c>
      <c r="Y255" s="149" t="s">
        <v>46</v>
      </c>
    </row>
    <row r="256" spans="1:25" ht="24" customHeight="1" x14ac:dyDescent="0.35">
      <c r="A256" s="103" t="s">
        <v>112</v>
      </c>
      <c r="B256" s="50" t="s">
        <v>46</v>
      </c>
      <c r="C256" s="50" t="s">
        <v>996</v>
      </c>
      <c r="D256" s="50" t="s">
        <v>997</v>
      </c>
      <c r="E256" s="50"/>
      <c r="F256" s="50"/>
      <c r="G256" s="50">
        <v>2</v>
      </c>
      <c r="H256" s="50">
        <v>3</v>
      </c>
      <c r="I256" s="50">
        <v>5</v>
      </c>
      <c r="J256" s="50"/>
      <c r="K256" s="50"/>
      <c r="L256" s="36">
        <v>2019</v>
      </c>
      <c r="M256" s="50" t="s">
        <v>46</v>
      </c>
      <c r="N256" s="50" t="s">
        <v>114</v>
      </c>
      <c r="U256" s="146" t="s">
        <v>597</v>
      </c>
      <c r="V256" s="135" t="s">
        <v>646</v>
      </c>
      <c r="W256" s="146" t="s">
        <v>598</v>
      </c>
      <c r="X256" s="146" t="s">
        <v>599</v>
      </c>
      <c r="Y256" s="146" t="s">
        <v>46</v>
      </c>
    </row>
    <row r="257" spans="1:25" ht="24" customHeight="1" x14ac:dyDescent="0.35">
      <c r="A257" s="103" t="s">
        <v>112</v>
      </c>
      <c r="B257" s="50" t="s">
        <v>46</v>
      </c>
      <c r="C257" s="50" t="s">
        <v>996</v>
      </c>
      <c r="D257" s="50" t="s">
        <v>994</v>
      </c>
      <c r="E257" s="50"/>
      <c r="F257" s="50">
        <v>8</v>
      </c>
      <c r="G257" s="50">
        <v>24</v>
      </c>
      <c r="H257" s="50">
        <v>16</v>
      </c>
      <c r="I257" s="50">
        <v>48</v>
      </c>
      <c r="J257" s="50"/>
      <c r="K257" s="50"/>
      <c r="L257" s="36">
        <v>2019</v>
      </c>
      <c r="M257" s="50" t="s">
        <v>46</v>
      </c>
      <c r="N257" s="50" t="s">
        <v>114</v>
      </c>
      <c r="U257" s="146" t="s">
        <v>400</v>
      </c>
      <c r="V257" s="135" t="s">
        <v>400</v>
      </c>
      <c r="W257" s="146" t="s">
        <v>401</v>
      </c>
      <c r="X257" s="146" t="s">
        <v>122</v>
      </c>
      <c r="Y257" s="146" t="s">
        <v>255</v>
      </c>
    </row>
    <row r="258" spans="1:25" ht="24" customHeight="1" x14ac:dyDescent="0.35">
      <c r="A258" s="103" t="s">
        <v>112</v>
      </c>
      <c r="B258" s="50" t="s">
        <v>46</v>
      </c>
      <c r="C258" s="50" t="s">
        <v>996</v>
      </c>
      <c r="D258" s="50" t="s">
        <v>995</v>
      </c>
      <c r="E258" s="50"/>
      <c r="F258" s="50">
        <v>31959</v>
      </c>
      <c r="G258" s="50">
        <v>56553</v>
      </c>
      <c r="H258" s="50">
        <v>10990</v>
      </c>
      <c r="I258" s="50">
        <v>99502</v>
      </c>
      <c r="J258" s="50"/>
      <c r="K258" s="50"/>
      <c r="L258" s="36">
        <v>2019</v>
      </c>
      <c r="M258" s="50" t="s">
        <v>46</v>
      </c>
      <c r="N258" s="50" t="s">
        <v>114</v>
      </c>
      <c r="U258" s="135" t="s">
        <v>124</v>
      </c>
      <c r="V258" s="135" t="s">
        <v>124</v>
      </c>
      <c r="W258" s="135" t="s">
        <v>126</v>
      </c>
      <c r="X258" s="135" t="s">
        <v>125</v>
      </c>
      <c r="Y258" s="135" t="s">
        <v>41</v>
      </c>
    </row>
    <row r="259" spans="1:25" ht="24" customHeight="1" x14ac:dyDescent="0.35">
      <c r="A259" s="103" t="s">
        <v>116</v>
      </c>
      <c r="B259" s="50" t="s">
        <v>46</v>
      </c>
      <c r="C259" s="50" t="s">
        <v>993</v>
      </c>
      <c r="D259" s="50" t="s">
        <v>995</v>
      </c>
      <c r="E259" s="50">
        <v>47464</v>
      </c>
      <c r="F259" s="50"/>
      <c r="G259" s="50">
        <v>0</v>
      </c>
      <c r="H259" s="50">
        <v>0</v>
      </c>
      <c r="I259" s="50">
        <v>47464</v>
      </c>
      <c r="J259" s="50"/>
      <c r="K259" s="50"/>
      <c r="L259" s="36">
        <v>2019</v>
      </c>
      <c r="M259" s="50" t="s">
        <v>46</v>
      </c>
      <c r="N259" s="50" t="s">
        <v>48</v>
      </c>
      <c r="U259" s="146" t="s">
        <v>600</v>
      </c>
      <c r="V259" s="135" t="s">
        <v>600</v>
      </c>
      <c r="W259" s="151" t="s">
        <v>601</v>
      </c>
      <c r="X259" s="149" t="s">
        <v>602</v>
      </c>
      <c r="Y259" s="146" t="s">
        <v>255</v>
      </c>
    </row>
    <row r="260" spans="1:25" ht="24" customHeight="1" x14ac:dyDescent="0.35">
      <c r="A260" s="103" t="s">
        <v>116</v>
      </c>
      <c r="B260" s="50" t="s">
        <v>46</v>
      </c>
      <c r="C260" s="50" t="s">
        <v>993</v>
      </c>
      <c r="D260" s="50" t="s">
        <v>997</v>
      </c>
      <c r="E260" s="50">
        <v>1</v>
      </c>
      <c r="F260" s="50">
        <v>0</v>
      </c>
      <c r="G260" s="50">
        <v>0</v>
      </c>
      <c r="H260" s="50">
        <v>0</v>
      </c>
      <c r="I260" s="50">
        <v>1</v>
      </c>
      <c r="J260" s="50"/>
      <c r="K260" s="50"/>
      <c r="L260" s="36">
        <v>2019</v>
      </c>
      <c r="M260" s="50" t="s">
        <v>46</v>
      </c>
      <c r="N260" s="50" t="s">
        <v>48</v>
      </c>
      <c r="U260" s="146" t="s">
        <v>603</v>
      </c>
      <c r="V260" s="135" t="s">
        <v>648</v>
      </c>
      <c r="W260" s="146" t="s">
        <v>604</v>
      </c>
      <c r="X260" s="146" t="s">
        <v>605</v>
      </c>
      <c r="Y260" s="146" t="s">
        <v>46</v>
      </c>
    </row>
    <row r="261" spans="1:25" ht="24" customHeight="1" x14ac:dyDescent="0.35">
      <c r="A261" s="103" t="s">
        <v>116</v>
      </c>
      <c r="B261" s="50" t="s">
        <v>46</v>
      </c>
      <c r="C261" s="50" t="s">
        <v>993</v>
      </c>
      <c r="D261" s="50" t="s">
        <v>994</v>
      </c>
      <c r="E261" s="50">
        <v>4</v>
      </c>
      <c r="F261" s="50">
        <v>0</v>
      </c>
      <c r="G261" s="50">
        <v>0</v>
      </c>
      <c r="H261" s="50">
        <v>0</v>
      </c>
      <c r="I261" s="50">
        <v>4</v>
      </c>
      <c r="J261" s="50"/>
      <c r="K261" s="50"/>
      <c r="L261" s="36">
        <v>2019</v>
      </c>
      <c r="M261" s="50" t="s">
        <v>46</v>
      </c>
      <c r="N261" s="50" t="s">
        <v>48</v>
      </c>
      <c r="U261" s="149" t="s">
        <v>607</v>
      </c>
      <c r="V261" s="135" t="s">
        <v>607</v>
      </c>
      <c r="W261" s="152" t="s">
        <v>608</v>
      </c>
      <c r="X261" s="149" t="s">
        <v>609</v>
      </c>
      <c r="Y261" s="146" t="s">
        <v>255</v>
      </c>
    </row>
    <row r="262" spans="1:25" ht="24" customHeight="1" x14ac:dyDescent="0.35">
      <c r="A262" s="103" t="s">
        <v>116</v>
      </c>
      <c r="B262" s="50" t="s">
        <v>46</v>
      </c>
      <c r="C262" s="50" t="s">
        <v>996</v>
      </c>
      <c r="D262" s="50" t="s">
        <v>997</v>
      </c>
      <c r="E262" s="50">
        <v>0</v>
      </c>
      <c r="F262" s="50">
        <v>0</v>
      </c>
      <c r="G262" s="50">
        <v>3</v>
      </c>
      <c r="H262" s="50">
        <v>7</v>
      </c>
      <c r="I262" s="50">
        <v>10</v>
      </c>
      <c r="J262" s="50">
        <v>9</v>
      </c>
      <c r="K262" s="50">
        <v>1</v>
      </c>
      <c r="L262" s="36">
        <v>2019</v>
      </c>
      <c r="M262" s="50" t="s">
        <v>46</v>
      </c>
      <c r="N262" s="50" t="s">
        <v>48</v>
      </c>
      <c r="U262" s="146" t="s">
        <v>612</v>
      </c>
      <c r="V262" s="135" t="s">
        <v>411</v>
      </c>
      <c r="W262" s="146" t="s">
        <v>613</v>
      </c>
      <c r="X262" s="146" t="s">
        <v>494</v>
      </c>
      <c r="Y262" s="146" t="s">
        <v>46</v>
      </c>
    </row>
    <row r="263" spans="1:25" ht="24" customHeight="1" x14ac:dyDescent="0.35">
      <c r="A263" s="103" t="s">
        <v>116</v>
      </c>
      <c r="B263" s="50" t="s">
        <v>46</v>
      </c>
      <c r="C263" s="50" t="s">
        <v>996</v>
      </c>
      <c r="D263" s="50" t="s">
        <v>994</v>
      </c>
      <c r="E263" s="50">
        <v>1</v>
      </c>
      <c r="F263" s="50">
        <v>1</v>
      </c>
      <c r="G263" s="50">
        <v>19</v>
      </c>
      <c r="H263" s="50">
        <v>137</v>
      </c>
      <c r="I263" s="50">
        <v>158</v>
      </c>
      <c r="J263" s="50">
        <v>158</v>
      </c>
      <c r="K263" s="50"/>
      <c r="L263" s="36">
        <v>2019</v>
      </c>
      <c r="M263" s="50" t="s">
        <v>46</v>
      </c>
      <c r="N263" s="50" t="s">
        <v>48</v>
      </c>
      <c r="U263" s="146" t="s">
        <v>614</v>
      </c>
      <c r="V263" s="135" t="s">
        <v>417</v>
      </c>
      <c r="W263" s="146" t="s">
        <v>420</v>
      </c>
      <c r="X263" s="146" t="s">
        <v>421</v>
      </c>
      <c r="Y263" s="146" t="s">
        <v>255</v>
      </c>
    </row>
    <row r="264" spans="1:25" ht="24" customHeight="1" x14ac:dyDescent="0.35">
      <c r="A264" s="103" t="s">
        <v>116</v>
      </c>
      <c r="B264" s="50" t="s">
        <v>46</v>
      </c>
      <c r="C264" s="50" t="s">
        <v>996</v>
      </c>
      <c r="D264" s="50" t="s">
        <v>995</v>
      </c>
      <c r="E264" s="50">
        <v>22442.424999999999</v>
      </c>
      <c r="F264" s="50">
        <v>13936.179</v>
      </c>
      <c r="G264" s="50">
        <v>95386.290999999997</v>
      </c>
      <c r="H264" s="50">
        <v>231900</v>
      </c>
      <c r="I264" s="50">
        <v>363664.89500000002</v>
      </c>
      <c r="J264" s="50">
        <v>363400</v>
      </c>
      <c r="K264" s="50">
        <v>293490</v>
      </c>
      <c r="L264" s="36">
        <v>2019</v>
      </c>
      <c r="M264" s="50" t="s">
        <v>46</v>
      </c>
      <c r="N264" s="50" t="s">
        <v>48</v>
      </c>
      <c r="U264" s="146" t="s">
        <v>614</v>
      </c>
      <c r="V264" s="135" t="s">
        <v>417</v>
      </c>
      <c r="W264" s="146" t="s">
        <v>418</v>
      </c>
      <c r="X264" s="146" t="s">
        <v>419</v>
      </c>
      <c r="Y264" s="146" t="s">
        <v>255</v>
      </c>
    </row>
    <row r="265" spans="1:25" ht="24" customHeight="1" x14ac:dyDescent="0.35">
      <c r="A265" s="103" t="s">
        <v>118</v>
      </c>
      <c r="B265" s="50" t="s">
        <v>41</v>
      </c>
      <c r="C265" s="50" t="s">
        <v>993</v>
      </c>
      <c r="D265" s="50" t="s">
        <v>994</v>
      </c>
      <c r="E265" s="50">
        <v>6</v>
      </c>
      <c r="F265" s="50">
        <v>0</v>
      </c>
      <c r="G265" s="50">
        <v>0</v>
      </c>
      <c r="H265" s="50">
        <v>0</v>
      </c>
      <c r="I265" s="50">
        <v>6</v>
      </c>
      <c r="J265" s="50"/>
      <c r="K265" s="50"/>
      <c r="L265" s="36">
        <v>2019</v>
      </c>
      <c r="M265" s="50" t="s">
        <v>41</v>
      </c>
      <c r="N265" s="50" t="s">
        <v>6</v>
      </c>
      <c r="U265" s="146" t="s">
        <v>615</v>
      </c>
      <c r="V265" s="135" t="s">
        <v>615</v>
      </c>
      <c r="W265" s="146" t="s">
        <v>616</v>
      </c>
      <c r="X265" s="146" t="s">
        <v>291</v>
      </c>
      <c r="Y265" s="146" t="s">
        <v>46</v>
      </c>
    </row>
    <row r="266" spans="1:25" ht="24" customHeight="1" x14ac:dyDescent="0.35">
      <c r="A266" s="103" t="s">
        <v>118</v>
      </c>
      <c r="B266" s="50" t="s">
        <v>41</v>
      </c>
      <c r="C266" s="50" t="s">
        <v>993</v>
      </c>
      <c r="D266" s="50" t="s">
        <v>997</v>
      </c>
      <c r="E266" s="50">
        <v>1</v>
      </c>
      <c r="F266" s="50">
        <v>0</v>
      </c>
      <c r="G266" s="50">
        <v>0</v>
      </c>
      <c r="H266" s="50">
        <v>0</v>
      </c>
      <c r="I266" s="50">
        <v>1</v>
      </c>
      <c r="J266" s="50"/>
      <c r="K266" s="50"/>
      <c r="L266" s="36">
        <v>2019</v>
      </c>
      <c r="M266" s="50" t="s">
        <v>41</v>
      </c>
      <c r="N266" s="50" t="s">
        <v>6</v>
      </c>
      <c r="U266" s="146" t="s">
        <v>248</v>
      </c>
      <c r="V266" s="135" t="s">
        <v>248</v>
      </c>
      <c r="W266" s="146" t="s">
        <v>249</v>
      </c>
      <c r="X266" s="146" t="s">
        <v>44</v>
      </c>
      <c r="Y266" s="146" t="s">
        <v>46</v>
      </c>
    </row>
    <row r="267" spans="1:25" ht="24" customHeight="1" x14ac:dyDescent="0.35">
      <c r="A267" s="103" t="s">
        <v>118</v>
      </c>
      <c r="B267" s="50" t="s">
        <v>41</v>
      </c>
      <c r="C267" s="103" t="s">
        <v>993</v>
      </c>
      <c r="D267" s="50" t="s">
        <v>995</v>
      </c>
      <c r="E267" s="50">
        <v>257272</v>
      </c>
      <c r="F267" s="50"/>
      <c r="G267" s="50"/>
      <c r="H267" s="50"/>
      <c r="I267" s="50">
        <v>257272</v>
      </c>
      <c r="J267" s="50"/>
      <c r="K267" s="50"/>
      <c r="L267" s="36">
        <v>2019</v>
      </c>
      <c r="M267" s="50" t="s">
        <v>41</v>
      </c>
      <c r="N267" s="50" t="s">
        <v>6</v>
      </c>
      <c r="U267" s="146" t="s">
        <v>428</v>
      </c>
      <c r="V267" s="135" t="s">
        <v>428</v>
      </c>
      <c r="W267" s="146" t="s">
        <v>429</v>
      </c>
      <c r="X267" s="146" t="s">
        <v>430</v>
      </c>
      <c r="Y267" s="146" t="s">
        <v>255</v>
      </c>
    </row>
    <row r="268" spans="1:25" ht="24" customHeight="1" x14ac:dyDescent="0.35">
      <c r="A268" s="103" t="s">
        <v>118</v>
      </c>
      <c r="B268" s="50" t="s">
        <v>41</v>
      </c>
      <c r="C268" s="50" t="s">
        <v>996</v>
      </c>
      <c r="D268" s="50" t="s">
        <v>997</v>
      </c>
      <c r="E268" s="50">
        <v>5</v>
      </c>
      <c r="F268" s="50">
        <v>0</v>
      </c>
      <c r="G268" s="50">
        <v>30</v>
      </c>
      <c r="H268" s="50">
        <v>97</v>
      </c>
      <c r="I268" s="50">
        <v>132</v>
      </c>
      <c r="J268" s="50">
        <v>35</v>
      </c>
      <c r="K268" s="50">
        <v>97</v>
      </c>
      <c r="L268" s="36">
        <v>2019</v>
      </c>
      <c r="M268" s="50" t="s">
        <v>41</v>
      </c>
      <c r="N268" s="50" t="s">
        <v>6</v>
      </c>
      <c r="U268" s="146" t="s">
        <v>428</v>
      </c>
      <c r="V268" s="135" t="s">
        <v>428</v>
      </c>
      <c r="W268" s="146" t="s">
        <v>432</v>
      </c>
      <c r="X268" s="146" t="s">
        <v>433</v>
      </c>
      <c r="Y268" s="146" t="s">
        <v>255</v>
      </c>
    </row>
    <row r="269" spans="1:25" ht="24" customHeight="1" x14ac:dyDescent="0.35">
      <c r="A269" s="103" t="s">
        <v>118</v>
      </c>
      <c r="B269" s="50" t="s">
        <v>41</v>
      </c>
      <c r="C269" s="50" t="s">
        <v>996</v>
      </c>
      <c r="D269" s="50" t="s">
        <v>994</v>
      </c>
      <c r="E269" s="50">
        <v>8</v>
      </c>
      <c r="F269" s="50">
        <v>0</v>
      </c>
      <c r="G269" s="50">
        <v>113</v>
      </c>
      <c r="H269" s="50">
        <v>419</v>
      </c>
      <c r="I269" s="50">
        <v>540</v>
      </c>
      <c r="J269" s="50">
        <v>121</v>
      </c>
      <c r="K269" s="50">
        <v>419</v>
      </c>
      <c r="L269" s="36">
        <v>2019</v>
      </c>
      <c r="M269" s="50" t="s">
        <v>41</v>
      </c>
      <c r="N269" s="50" t="s">
        <v>6</v>
      </c>
      <c r="U269" s="146" t="s">
        <v>434</v>
      </c>
      <c r="V269" s="135" t="s">
        <v>434</v>
      </c>
      <c r="W269" s="146" t="s">
        <v>435</v>
      </c>
      <c r="X269" s="146" t="s">
        <v>436</v>
      </c>
      <c r="Y269" s="146" t="s">
        <v>87</v>
      </c>
    </row>
    <row r="270" spans="1:25" ht="24" customHeight="1" x14ac:dyDescent="0.35">
      <c r="A270" s="103" t="s">
        <v>118</v>
      </c>
      <c r="B270" s="50" t="s">
        <v>41</v>
      </c>
      <c r="C270" s="50" t="s">
        <v>996</v>
      </c>
      <c r="D270" s="50" t="s">
        <v>995</v>
      </c>
      <c r="E270" s="50">
        <v>133200</v>
      </c>
      <c r="F270" s="50">
        <v>0</v>
      </c>
      <c r="G270" s="50">
        <v>744700</v>
      </c>
      <c r="H270" s="50">
        <v>77045.713000000003</v>
      </c>
      <c r="I270" s="50">
        <v>954945.71299999999</v>
      </c>
      <c r="J270" s="50">
        <v>877900</v>
      </c>
      <c r="K270" s="50">
        <v>77045.713000000003</v>
      </c>
      <c r="L270" s="36">
        <v>2019</v>
      </c>
      <c r="M270" s="50" t="s">
        <v>41</v>
      </c>
      <c r="N270" s="50" t="s">
        <v>6</v>
      </c>
      <c r="U270" s="146" t="s">
        <v>14</v>
      </c>
      <c r="V270" s="135" t="s">
        <v>14</v>
      </c>
      <c r="W270" s="146" t="s">
        <v>22</v>
      </c>
      <c r="X270" s="146" t="s">
        <v>437</v>
      </c>
      <c r="Y270" s="146" t="s">
        <v>255</v>
      </c>
    </row>
    <row r="271" spans="1:25" ht="24" customHeight="1" x14ac:dyDescent="0.35">
      <c r="A271" s="103" t="s">
        <v>121</v>
      </c>
      <c r="B271" s="50" t="s">
        <v>4</v>
      </c>
      <c r="C271" s="50" t="s">
        <v>993</v>
      </c>
      <c r="D271" s="50" t="s">
        <v>994</v>
      </c>
      <c r="E271" s="50">
        <v>2</v>
      </c>
      <c r="F271" s="50"/>
      <c r="G271" s="50"/>
      <c r="H271" s="50"/>
      <c r="I271" s="50">
        <v>2</v>
      </c>
      <c r="J271" s="50"/>
      <c r="K271" s="50"/>
      <c r="L271" s="36">
        <v>2019</v>
      </c>
      <c r="M271" s="50" t="s">
        <v>255</v>
      </c>
      <c r="N271" s="50" t="s">
        <v>18</v>
      </c>
      <c r="U271" s="146" t="s">
        <v>14</v>
      </c>
      <c r="V271" s="135" t="s">
        <v>14</v>
      </c>
      <c r="W271" s="146" t="s">
        <v>137</v>
      </c>
      <c r="X271" s="146" t="s">
        <v>15</v>
      </c>
      <c r="Y271" s="146" t="s">
        <v>255</v>
      </c>
    </row>
    <row r="272" spans="1:25" ht="24" customHeight="1" x14ac:dyDescent="0.35">
      <c r="A272" s="103" t="s">
        <v>121</v>
      </c>
      <c r="B272" s="50" t="s">
        <v>4</v>
      </c>
      <c r="C272" s="50" t="s">
        <v>996</v>
      </c>
      <c r="D272" s="50" t="s">
        <v>994</v>
      </c>
      <c r="E272" s="50">
        <v>5</v>
      </c>
      <c r="F272" s="50"/>
      <c r="G272" s="50">
        <v>3</v>
      </c>
      <c r="H272" s="50">
        <v>26</v>
      </c>
      <c r="I272" s="50">
        <v>34</v>
      </c>
      <c r="J272" s="50">
        <v>23</v>
      </c>
      <c r="K272" s="50">
        <v>11</v>
      </c>
      <c r="L272" s="36">
        <v>2019</v>
      </c>
      <c r="M272" s="50" t="s">
        <v>255</v>
      </c>
      <c r="N272" s="50" t="s">
        <v>18</v>
      </c>
      <c r="U272" s="146" t="s">
        <v>264</v>
      </c>
      <c r="V272" s="135" t="s">
        <v>264</v>
      </c>
      <c r="W272" s="146" t="s">
        <v>439</v>
      </c>
      <c r="X272" s="146" t="s">
        <v>440</v>
      </c>
      <c r="Y272" s="146" t="s">
        <v>255</v>
      </c>
    </row>
    <row r="273" spans="1:25" ht="24" customHeight="1" x14ac:dyDescent="0.35">
      <c r="A273" s="103" t="s">
        <v>124</v>
      </c>
      <c r="B273" s="50" t="s">
        <v>41</v>
      </c>
      <c r="C273" s="50" t="s">
        <v>993</v>
      </c>
      <c r="D273" s="50" t="s">
        <v>994</v>
      </c>
      <c r="E273" s="50">
        <v>4</v>
      </c>
      <c r="F273" s="50"/>
      <c r="G273" s="50">
        <v>1</v>
      </c>
      <c r="H273" s="50"/>
      <c r="I273" s="50">
        <v>5</v>
      </c>
      <c r="J273" s="50"/>
      <c r="K273" s="50"/>
      <c r="L273" s="36">
        <v>2019</v>
      </c>
      <c r="M273" s="50" t="s">
        <v>41</v>
      </c>
      <c r="N273" s="50" t="s">
        <v>18</v>
      </c>
      <c r="U273" s="146" t="s">
        <v>264</v>
      </c>
      <c r="V273" s="135" t="s">
        <v>264</v>
      </c>
      <c r="W273" s="146" t="s">
        <v>267</v>
      </c>
      <c r="X273" s="146" t="s">
        <v>268</v>
      </c>
      <c r="Y273" s="146" t="s">
        <v>46</v>
      </c>
    </row>
    <row r="274" spans="1:25" ht="24" customHeight="1" x14ac:dyDescent="0.35">
      <c r="A274" s="103" t="s">
        <v>124</v>
      </c>
      <c r="B274" s="50" t="s">
        <v>41</v>
      </c>
      <c r="C274" s="50" t="s">
        <v>993</v>
      </c>
      <c r="D274" s="50" t="s">
        <v>995</v>
      </c>
      <c r="E274" s="50">
        <v>118871</v>
      </c>
      <c r="F274" s="50"/>
      <c r="G274" s="50">
        <v>10812</v>
      </c>
      <c r="H274" s="50"/>
      <c r="I274" s="50">
        <v>129683</v>
      </c>
      <c r="J274" s="50"/>
      <c r="K274" s="50"/>
      <c r="L274" s="36">
        <v>2019</v>
      </c>
      <c r="M274" s="50" t="s">
        <v>41</v>
      </c>
      <c r="N274" s="50" t="s">
        <v>18</v>
      </c>
      <c r="U274" s="149" t="s">
        <v>444</v>
      </c>
      <c r="V274" s="135" t="s">
        <v>444</v>
      </c>
      <c r="W274" s="149" t="s">
        <v>270</v>
      </c>
      <c r="X274" s="149" t="s">
        <v>44</v>
      </c>
      <c r="Y274" s="149" t="s">
        <v>46</v>
      </c>
    </row>
    <row r="275" spans="1:25" ht="24" customHeight="1" x14ac:dyDescent="0.35">
      <c r="A275" s="103" t="s">
        <v>124</v>
      </c>
      <c r="B275" s="50" t="s">
        <v>41</v>
      </c>
      <c r="C275" s="50" t="s">
        <v>996</v>
      </c>
      <c r="D275" s="50" t="s">
        <v>997</v>
      </c>
      <c r="E275" s="50">
        <v>1</v>
      </c>
      <c r="F275" s="50"/>
      <c r="G275" s="50"/>
      <c r="H275" s="50">
        <v>2</v>
      </c>
      <c r="I275" s="50">
        <v>3</v>
      </c>
      <c r="J275" s="50">
        <v>2</v>
      </c>
      <c r="K275" s="50">
        <v>1</v>
      </c>
      <c r="L275" s="36">
        <v>2019</v>
      </c>
      <c r="M275" s="50" t="s">
        <v>41</v>
      </c>
      <c r="N275" s="50" t="s">
        <v>18</v>
      </c>
      <c r="U275" s="146" t="s">
        <v>445</v>
      </c>
      <c r="V275" s="135" t="s">
        <v>445</v>
      </c>
      <c r="W275" s="146" t="s">
        <v>446</v>
      </c>
      <c r="X275" s="146" t="s">
        <v>272</v>
      </c>
      <c r="Y275" s="146" t="s">
        <v>255</v>
      </c>
    </row>
    <row r="276" spans="1:25" ht="24" customHeight="1" x14ac:dyDescent="0.35">
      <c r="A276" s="103" t="s">
        <v>124</v>
      </c>
      <c r="B276" s="50" t="s">
        <v>41</v>
      </c>
      <c r="C276" s="50" t="s">
        <v>996</v>
      </c>
      <c r="D276" s="50" t="s">
        <v>994</v>
      </c>
      <c r="E276" s="50">
        <v>8</v>
      </c>
      <c r="F276" s="50"/>
      <c r="G276" s="50">
        <v>124</v>
      </c>
      <c r="H276" s="50"/>
      <c r="I276" s="50">
        <v>132</v>
      </c>
      <c r="J276" s="50"/>
      <c r="K276" s="50"/>
      <c r="L276" s="36">
        <v>2019</v>
      </c>
      <c r="M276" s="50" t="s">
        <v>41</v>
      </c>
      <c r="N276" s="50" t="s">
        <v>18</v>
      </c>
      <c r="U276" s="146" t="s">
        <v>273</v>
      </c>
      <c r="V276" s="135" t="s">
        <v>273</v>
      </c>
      <c r="W276" s="146" t="s">
        <v>274</v>
      </c>
      <c r="X276" s="146" t="s">
        <v>275</v>
      </c>
      <c r="Y276" s="146" t="s">
        <v>255</v>
      </c>
    </row>
    <row r="277" spans="1:25" ht="24" customHeight="1" x14ac:dyDescent="0.35">
      <c r="A277" s="103" t="s">
        <v>124</v>
      </c>
      <c r="B277" s="50" t="s">
        <v>41</v>
      </c>
      <c r="C277" s="50" t="s">
        <v>996</v>
      </c>
      <c r="D277" s="50" t="s">
        <v>995</v>
      </c>
      <c r="E277" s="50">
        <v>87346</v>
      </c>
      <c r="F277" s="50"/>
      <c r="G277" s="50">
        <v>336140</v>
      </c>
      <c r="H277" s="50"/>
      <c r="I277" s="50">
        <v>423486</v>
      </c>
      <c r="J277" s="50"/>
      <c r="K277" s="50"/>
      <c r="L277" s="36">
        <v>2019</v>
      </c>
      <c r="M277" s="50" t="s">
        <v>41</v>
      </c>
      <c r="N277" s="50" t="s">
        <v>18</v>
      </c>
      <c r="U277" s="146" t="s">
        <v>448</v>
      </c>
      <c r="V277" s="135" t="s">
        <v>448</v>
      </c>
      <c r="W277" s="146" t="s">
        <v>449</v>
      </c>
      <c r="X277" s="146" t="s">
        <v>450</v>
      </c>
      <c r="Y277" s="146" t="s">
        <v>46</v>
      </c>
    </row>
    <row r="278" spans="1:25" ht="24" customHeight="1" x14ac:dyDescent="0.35">
      <c r="A278" s="103" t="s">
        <v>128</v>
      </c>
      <c r="B278" s="50" t="s">
        <v>41</v>
      </c>
      <c r="C278" s="50" t="s">
        <v>996</v>
      </c>
      <c r="D278" s="50" t="s">
        <v>995</v>
      </c>
      <c r="E278" s="50">
        <v>685918</v>
      </c>
      <c r="F278" s="50">
        <v>1163032</v>
      </c>
      <c r="G278" s="50">
        <v>2785917</v>
      </c>
      <c r="H278" s="50">
        <v>1480225</v>
      </c>
      <c r="I278" s="50">
        <v>6115092</v>
      </c>
      <c r="J278" s="50"/>
      <c r="K278" s="50"/>
      <c r="L278" s="36">
        <v>2019</v>
      </c>
      <c r="M278" s="50" t="s">
        <v>41</v>
      </c>
      <c r="N278" s="50" t="s">
        <v>998</v>
      </c>
      <c r="U278" s="135" t="s">
        <v>276</v>
      </c>
      <c r="V278" s="135" t="s">
        <v>276</v>
      </c>
      <c r="W278" s="135" t="s">
        <v>277</v>
      </c>
      <c r="X278" s="135" t="s">
        <v>31</v>
      </c>
      <c r="Y278" s="135" t="s">
        <v>255</v>
      </c>
    </row>
    <row r="279" spans="1:25" ht="24" customHeight="1" x14ac:dyDescent="0.35">
      <c r="A279" s="103" t="s">
        <v>128</v>
      </c>
      <c r="B279" s="50" t="s">
        <v>41</v>
      </c>
      <c r="C279" s="50" t="s">
        <v>996</v>
      </c>
      <c r="D279" s="50" t="s">
        <v>997</v>
      </c>
      <c r="E279" s="50"/>
      <c r="F279" s="50">
        <v>10</v>
      </c>
      <c r="G279" s="50">
        <v>10</v>
      </c>
      <c r="H279" s="50">
        <v>7</v>
      </c>
      <c r="I279" s="50">
        <v>27</v>
      </c>
      <c r="J279" s="50"/>
      <c r="K279" s="50"/>
      <c r="L279" s="36">
        <v>2019</v>
      </c>
      <c r="M279" s="50" t="s">
        <v>41</v>
      </c>
      <c r="N279" s="50" t="s">
        <v>998</v>
      </c>
      <c r="U279" s="146" t="s">
        <v>278</v>
      </c>
      <c r="V279" s="135" t="s">
        <v>142</v>
      </c>
      <c r="W279" s="146" t="s">
        <v>280</v>
      </c>
      <c r="X279" s="146" t="s">
        <v>143</v>
      </c>
      <c r="Y279" s="146" t="s">
        <v>255</v>
      </c>
    </row>
    <row r="280" spans="1:25" ht="24" customHeight="1" x14ac:dyDescent="0.35">
      <c r="A280" s="103" t="s">
        <v>128</v>
      </c>
      <c r="B280" s="50" t="s">
        <v>41</v>
      </c>
      <c r="C280" s="50" t="s">
        <v>996</v>
      </c>
      <c r="D280" s="50" t="s">
        <v>994</v>
      </c>
      <c r="E280" s="50">
        <v>11</v>
      </c>
      <c r="F280" s="50">
        <v>28</v>
      </c>
      <c r="G280" s="50">
        <v>148</v>
      </c>
      <c r="H280" s="50">
        <v>116</v>
      </c>
      <c r="I280" s="50">
        <v>303</v>
      </c>
      <c r="J280" s="50"/>
      <c r="K280" s="50"/>
      <c r="L280" s="36">
        <v>2019</v>
      </c>
      <c r="M280" s="50" t="s">
        <v>41</v>
      </c>
      <c r="N280" s="50" t="s">
        <v>998</v>
      </c>
      <c r="U280" s="146" t="s">
        <v>278</v>
      </c>
      <c r="V280" s="135" t="s">
        <v>142</v>
      </c>
      <c r="W280" s="146" t="s">
        <v>279</v>
      </c>
      <c r="X280" s="146" t="s">
        <v>147</v>
      </c>
      <c r="Y280" s="146" t="s">
        <v>255</v>
      </c>
    </row>
    <row r="281" spans="1:25" ht="24" customHeight="1" x14ac:dyDescent="0.35">
      <c r="A281" s="103" t="s">
        <v>128</v>
      </c>
      <c r="B281" s="50" t="s">
        <v>41</v>
      </c>
      <c r="C281" s="50" t="s">
        <v>993</v>
      </c>
      <c r="D281" s="50" t="s">
        <v>994</v>
      </c>
      <c r="E281" s="50">
        <v>9</v>
      </c>
      <c r="F281" s="50"/>
      <c r="G281" s="50"/>
      <c r="H281" s="50"/>
      <c r="I281" s="50">
        <v>9</v>
      </c>
      <c r="J281" s="50"/>
      <c r="K281" s="50"/>
      <c r="L281" s="36">
        <v>2019</v>
      </c>
      <c r="M281" s="50" t="s">
        <v>41</v>
      </c>
      <c r="N281" s="50" t="s">
        <v>998</v>
      </c>
      <c r="U281" s="146" t="s">
        <v>282</v>
      </c>
      <c r="V281" s="135" t="s">
        <v>282</v>
      </c>
      <c r="W281" s="146" t="s">
        <v>283</v>
      </c>
      <c r="X281" s="146" t="s">
        <v>284</v>
      </c>
      <c r="Y281" s="146" t="s">
        <v>255</v>
      </c>
    </row>
    <row r="282" spans="1:25" ht="24" customHeight="1" x14ac:dyDescent="0.35">
      <c r="A282" s="103" t="s">
        <v>128</v>
      </c>
      <c r="B282" s="50" t="s">
        <v>41</v>
      </c>
      <c r="C282" s="50" t="s">
        <v>993</v>
      </c>
      <c r="D282" s="50" t="s">
        <v>995</v>
      </c>
      <c r="E282" s="50">
        <v>215180</v>
      </c>
      <c r="F282" s="50"/>
      <c r="G282" s="50"/>
      <c r="H282" s="50"/>
      <c r="I282" s="50">
        <v>215180</v>
      </c>
      <c r="J282" s="50"/>
      <c r="K282" s="50"/>
      <c r="L282" s="36">
        <v>2019</v>
      </c>
      <c r="M282" s="50" t="s">
        <v>41</v>
      </c>
      <c r="N282" s="50" t="s">
        <v>998</v>
      </c>
      <c r="U282" s="16" t="s">
        <v>621</v>
      </c>
      <c r="V282" s="135" t="s">
        <v>621</v>
      </c>
      <c r="W282" s="16">
        <v>10566</v>
      </c>
      <c r="X282" s="16" t="s">
        <v>622</v>
      </c>
      <c r="Y282" s="16" t="s">
        <v>255</v>
      </c>
    </row>
    <row r="283" spans="1:25" ht="24" customHeight="1" x14ac:dyDescent="0.35">
      <c r="A283" s="103" t="s">
        <v>51</v>
      </c>
      <c r="B283" s="50" t="s">
        <v>41</v>
      </c>
      <c r="C283" s="50" t="s">
        <v>996</v>
      </c>
      <c r="D283" s="50" t="s">
        <v>995</v>
      </c>
      <c r="E283" s="50">
        <v>420429</v>
      </c>
      <c r="F283" s="50">
        <v>927375</v>
      </c>
      <c r="G283" s="50">
        <v>819789</v>
      </c>
      <c r="H283" s="50">
        <v>267253</v>
      </c>
      <c r="I283" s="50">
        <v>2434846</v>
      </c>
      <c r="J283" s="50">
        <v>35</v>
      </c>
      <c r="K283" s="50"/>
      <c r="L283" s="36">
        <v>2019</v>
      </c>
      <c r="M283" s="50" t="s">
        <v>41</v>
      </c>
      <c r="N283" s="50" t="s">
        <v>998</v>
      </c>
      <c r="U283" s="135" t="s">
        <v>285</v>
      </c>
      <c r="V283" s="135" t="s">
        <v>285</v>
      </c>
      <c r="W283" s="135" t="s">
        <v>286</v>
      </c>
      <c r="X283" s="135" t="s">
        <v>454</v>
      </c>
      <c r="Y283" s="146" t="s">
        <v>87</v>
      </c>
    </row>
    <row r="284" spans="1:25" ht="24" customHeight="1" x14ac:dyDescent="0.35">
      <c r="A284" s="103" t="s">
        <v>51</v>
      </c>
      <c r="B284" s="50" t="s">
        <v>41</v>
      </c>
      <c r="C284" s="50" t="s">
        <v>993</v>
      </c>
      <c r="D284" s="50" t="s">
        <v>995</v>
      </c>
      <c r="E284" s="50">
        <v>1268086</v>
      </c>
      <c r="F284" s="50">
        <v>0</v>
      </c>
      <c r="G284" s="50">
        <v>0</v>
      </c>
      <c r="H284" s="50">
        <v>0</v>
      </c>
      <c r="I284" s="50">
        <v>1268086</v>
      </c>
      <c r="J284" s="50">
        <v>218</v>
      </c>
      <c r="K284" s="50"/>
      <c r="L284" s="36">
        <v>2019</v>
      </c>
      <c r="M284" s="50" t="s">
        <v>41</v>
      </c>
      <c r="N284" s="50" t="s">
        <v>998</v>
      </c>
      <c r="U284" s="146" t="s">
        <v>151</v>
      </c>
      <c r="V284" s="135" t="s">
        <v>151</v>
      </c>
      <c r="W284" s="146" t="s">
        <v>455</v>
      </c>
      <c r="X284" s="146" t="s">
        <v>456</v>
      </c>
      <c r="Y284" s="146" t="s">
        <v>46</v>
      </c>
    </row>
    <row r="285" spans="1:25" ht="24" customHeight="1" x14ac:dyDescent="0.35">
      <c r="A285" s="50" t="s">
        <v>248</v>
      </c>
      <c r="B285" s="50" t="s">
        <v>46</v>
      </c>
      <c r="C285" s="50" t="s">
        <v>993</v>
      </c>
      <c r="D285" s="50" t="s">
        <v>997</v>
      </c>
      <c r="E285" s="50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36">
        <v>2020</v>
      </c>
      <c r="M285" s="50"/>
      <c r="N285" s="50"/>
      <c r="U285" s="146" t="s">
        <v>292</v>
      </c>
      <c r="V285" s="135" t="s">
        <v>292</v>
      </c>
      <c r="W285" s="146" t="s">
        <v>293</v>
      </c>
      <c r="X285" s="146" t="s">
        <v>155</v>
      </c>
      <c r="Y285" s="146" t="s">
        <v>255</v>
      </c>
    </row>
    <row r="286" spans="1:25" ht="24" customHeight="1" x14ac:dyDescent="0.35">
      <c r="A286" s="50" t="s">
        <v>248</v>
      </c>
      <c r="B286" s="50" t="s">
        <v>46</v>
      </c>
      <c r="C286" s="50" t="s">
        <v>993</v>
      </c>
      <c r="D286" s="50" t="s">
        <v>994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36">
        <v>2020</v>
      </c>
      <c r="M286" s="50"/>
      <c r="N286" s="50"/>
      <c r="U286" s="146" t="s">
        <v>292</v>
      </c>
      <c r="V286" s="135" t="s">
        <v>292</v>
      </c>
      <c r="W286" s="146" t="s">
        <v>457</v>
      </c>
      <c r="X286" s="146" t="s">
        <v>458</v>
      </c>
      <c r="Y286" s="146" t="s">
        <v>255</v>
      </c>
    </row>
    <row r="287" spans="1:25" ht="24" customHeight="1" x14ac:dyDescent="0.35">
      <c r="A287" s="50" t="s">
        <v>248</v>
      </c>
      <c r="B287" s="50" t="s">
        <v>46</v>
      </c>
      <c r="C287" s="50" t="s">
        <v>993</v>
      </c>
      <c r="D287" s="50" t="s">
        <v>995</v>
      </c>
      <c r="E287" s="50">
        <v>0</v>
      </c>
      <c r="F287" s="50">
        <v>0</v>
      </c>
      <c r="G287" s="50">
        <v>0</v>
      </c>
      <c r="H287" s="50">
        <v>0</v>
      </c>
      <c r="I287" s="50">
        <v>0</v>
      </c>
      <c r="J287" s="50"/>
      <c r="K287" s="50"/>
      <c r="L287" s="36">
        <v>2020</v>
      </c>
      <c r="M287" s="50"/>
      <c r="N287" s="50"/>
      <c r="U287" s="149" t="s">
        <v>607</v>
      </c>
      <c r="V287" s="135" t="s">
        <v>607</v>
      </c>
      <c r="W287" s="152" t="s">
        <v>608</v>
      </c>
      <c r="X287" s="146" t="s">
        <v>609</v>
      </c>
      <c r="Y287" s="146" t="s">
        <v>255</v>
      </c>
    </row>
    <row r="288" spans="1:25" ht="24" customHeight="1" x14ac:dyDescent="0.35">
      <c r="A288" s="50" t="s">
        <v>248</v>
      </c>
      <c r="B288" s="50" t="s">
        <v>46</v>
      </c>
      <c r="C288" s="50" t="s">
        <v>996</v>
      </c>
      <c r="D288" s="50" t="s">
        <v>997</v>
      </c>
      <c r="E288" s="50">
        <v>0</v>
      </c>
      <c r="F288" s="50">
        <v>0</v>
      </c>
      <c r="G288" s="50">
        <v>0</v>
      </c>
      <c r="H288" s="50">
        <v>5</v>
      </c>
      <c r="I288" s="50">
        <v>5</v>
      </c>
      <c r="J288" s="50">
        <v>0</v>
      </c>
      <c r="K288" s="50">
        <v>0</v>
      </c>
      <c r="L288" s="36">
        <v>2020</v>
      </c>
      <c r="M288" s="50"/>
      <c r="N288" s="50"/>
      <c r="U288" s="146" t="s">
        <v>459</v>
      </c>
      <c r="V288" s="135" t="s">
        <v>459</v>
      </c>
      <c r="W288" s="146" t="s">
        <v>460</v>
      </c>
      <c r="X288" s="146" t="s">
        <v>338</v>
      </c>
      <c r="Y288" s="146" t="s">
        <v>255</v>
      </c>
    </row>
    <row r="289" spans="1:25" ht="24" customHeight="1" x14ac:dyDescent="0.35">
      <c r="A289" s="50" t="s">
        <v>248</v>
      </c>
      <c r="B289" s="50" t="s">
        <v>46</v>
      </c>
      <c r="C289" s="50" t="s">
        <v>996</v>
      </c>
      <c r="D289" s="50" t="s">
        <v>994</v>
      </c>
      <c r="E289" s="50">
        <v>0</v>
      </c>
      <c r="F289" s="50">
        <v>0</v>
      </c>
      <c r="G289" s="50">
        <v>2</v>
      </c>
      <c r="H289" s="50">
        <v>39</v>
      </c>
      <c r="I289" s="50">
        <v>41</v>
      </c>
      <c r="J289" s="50">
        <v>0</v>
      </c>
      <c r="K289" s="50">
        <v>0</v>
      </c>
      <c r="L289" s="36">
        <v>2020</v>
      </c>
      <c r="M289" s="50"/>
      <c r="N289" s="50"/>
      <c r="U289" s="146" t="s">
        <v>459</v>
      </c>
      <c r="V289" s="135" t="s">
        <v>459</v>
      </c>
      <c r="W289" s="146" t="s">
        <v>461</v>
      </c>
      <c r="X289" s="146" t="s">
        <v>296</v>
      </c>
      <c r="Y289" s="146" t="s">
        <v>255</v>
      </c>
    </row>
    <row r="290" spans="1:25" ht="24" customHeight="1" x14ac:dyDescent="0.35">
      <c r="A290" s="50" t="s">
        <v>248</v>
      </c>
      <c r="B290" s="50" t="s">
        <v>46</v>
      </c>
      <c r="C290" s="50" t="s">
        <v>996</v>
      </c>
      <c r="D290" s="50" t="s">
        <v>995</v>
      </c>
      <c r="E290" s="50"/>
      <c r="F290" s="50">
        <v>0</v>
      </c>
      <c r="G290" s="50">
        <v>6000</v>
      </c>
      <c r="H290" s="50">
        <v>62343</v>
      </c>
      <c r="I290" s="50">
        <v>68343</v>
      </c>
      <c r="J290" s="50">
        <v>0</v>
      </c>
      <c r="K290" s="50">
        <v>0</v>
      </c>
      <c r="L290" s="36">
        <v>2020</v>
      </c>
      <c r="M290" s="50"/>
      <c r="N290" s="50"/>
      <c r="U290" s="65" t="s">
        <v>625</v>
      </c>
      <c r="V290" s="135" t="s">
        <v>625</v>
      </c>
      <c r="W290" s="141" t="s">
        <v>626</v>
      </c>
      <c r="X290" s="16" t="s">
        <v>627</v>
      </c>
      <c r="Y290" s="146" t="s">
        <v>255</v>
      </c>
    </row>
    <row r="291" spans="1:25" ht="24" customHeight="1" x14ac:dyDescent="0.35">
      <c r="A291" s="50" t="s">
        <v>250</v>
      </c>
      <c r="B291" s="50" t="s">
        <v>4</v>
      </c>
      <c r="C291" s="50" t="s">
        <v>993</v>
      </c>
      <c r="D291" s="50" t="s">
        <v>997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36">
        <v>2020</v>
      </c>
      <c r="M291" s="50"/>
      <c r="N291" s="50"/>
      <c r="U291" s="65" t="s">
        <v>625</v>
      </c>
      <c r="V291" s="135" t="s">
        <v>625</v>
      </c>
      <c r="W291" s="141" t="s">
        <v>626</v>
      </c>
      <c r="X291" s="16" t="s">
        <v>630</v>
      </c>
      <c r="Y291" s="146" t="s">
        <v>255</v>
      </c>
    </row>
    <row r="292" spans="1:25" ht="24" customHeight="1" x14ac:dyDescent="0.35">
      <c r="A292" s="50" t="s">
        <v>250</v>
      </c>
      <c r="B292" s="50" t="s">
        <v>4</v>
      </c>
      <c r="C292" s="50" t="s">
        <v>993</v>
      </c>
      <c r="D292" s="50" t="s">
        <v>994</v>
      </c>
      <c r="E292" s="50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36">
        <v>2020</v>
      </c>
      <c r="M292" s="50"/>
      <c r="N292" s="50"/>
      <c r="U292" s="146" t="s">
        <v>463</v>
      </c>
      <c r="V292" s="135" t="s">
        <v>463</v>
      </c>
      <c r="W292" s="146" t="s">
        <v>464</v>
      </c>
      <c r="X292" s="146" t="s">
        <v>52</v>
      </c>
      <c r="Y292" s="146" t="s">
        <v>87</v>
      </c>
    </row>
    <row r="293" spans="1:25" ht="24" customHeight="1" x14ac:dyDescent="0.35">
      <c r="A293" s="50" t="s">
        <v>250</v>
      </c>
      <c r="B293" s="50" t="s">
        <v>4</v>
      </c>
      <c r="C293" s="50" t="s">
        <v>993</v>
      </c>
      <c r="D293" s="50" t="s">
        <v>995</v>
      </c>
      <c r="E293" s="50">
        <v>0</v>
      </c>
      <c r="F293" s="50">
        <v>0</v>
      </c>
      <c r="G293" s="50">
        <v>0</v>
      </c>
      <c r="H293" s="50">
        <v>0</v>
      </c>
      <c r="I293" s="50">
        <v>0</v>
      </c>
      <c r="J293" s="50"/>
      <c r="K293" s="50"/>
      <c r="L293" s="36">
        <v>2020</v>
      </c>
      <c r="M293" s="50"/>
      <c r="N293" s="50"/>
      <c r="U293" s="146" t="s">
        <v>300</v>
      </c>
      <c r="V293" s="135" t="s">
        <v>79</v>
      </c>
      <c r="W293" s="146" t="s">
        <v>465</v>
      </c>
      <c r="X293" s="146" t="s">
        <v>466</v>
      </c>
      <c r="Y293" s="146" t="s">
        <v>41</v>
      </c>
    </row>
    <row r="294" spans="1:25" ht="24" customHeight="1" x14ac:dyDescent="0.35">
      <c r="A294" s="50" t="s">
        <v>250</v>
      </c>
      <c r="B294" s="50" t="s">
        <v>4</v>
      </c>
      <c r="C294" s="50" t="s">
        <v>996</v>
      </c>
      <c r="D294" s="50" t="s">
        <v>997</v>
      </c>
      <c r="E294" s="50">
        <v>0</v>
      </c>
      <c r="F294" s="50">
        <v>2</v>
      </c>
      <c r="G294" s="50">
        <v>0</v>
      </c>
      <c r="H294" s="50">
        <v>0</v>
      </c>
      <c r="I294" s="50">
        <v>2</v>
      </c>
      <c r="J294" s="50">
        <v>2</v>
      </c>
      <c r="K294" s="50">
        <v>0</v>
      </c>
      <c r="L294" s="36">
        <v>2020</v>
      </c>
      <c r="M294" s="50"/>
      <c r="N294" s="50"/>
      <c r="U294" s="146" t="s">
        <v>300</v>
      </c>
      <c r="V294" s="135" t="s">
        <v>79</v>
      </c>
      <c r="W294" s="146" t="s">
        <v>468</v>
      </c>
      <c r="X294" s="146" t="s">
        <v>469</v>
      </c>
      <c r="Y294" s="146" t="s">
        <v>41</v>
      </c>
    </row>
    <row r="295" spans="1:25" ht="24" customHeight="1" x14ac:dyDescent="0.35">
      <c r="A295" s="50" t="s">
        <v>250</v>
      </c>
      <c r="B295" s="50" t="s">
        <v>4</v>
      </c>
      <c r="C295" s="50" t="s">
        <v>996</v>
      </c>
      <c r="D295" s="50" t="s">
        <v>994</v>
      </c>
      <c r="E295" s="50">
        <v>1</v>
      </c>
      <c r="F295" s="50">
        <v>4</v>
      </c>
      <c r="G295" s="50">
        <v>1</v>
      </c>
      <c r="H295" s="50">
        <v>4</v>
      </c>
      <c r="I295" s="50">
        <v>10</v>
      </c>
      <c r="J295" s="50">
        <v>9</v>
      </c>
      <c r="K295" s="50">
        <v>1</v>
      </c>
      <c r="L295" s="36">
        <v>2020</v>
      </c>
      <c r="M295" s="50"/>
      <c r="N295" s="50"/>
      <c r="U295" s="146" t="s">
        <v>470</v>
      </c>
      <c r="V295" s="135" t="s">
        <v>470</v>
      </c>
      <c r="W295" s="149" t="s">
        <v>471</v>
      </c>
      <c r="X295" s="149" t="s">
        <v>44</v>
      </c>
      <c r="Y295" s="149" t="s">
        <v>46</v>
      </c>
    </row>
    <row r="296" spans="1:25" ht="24" customHeight="1" x14ac:dyDescent="0.35">
      <c r="A296" s="50" t="s">
        <v>250</v>
      </c>
      <c r="B296" s="50" t="s">
        <v>4</v>
      </c>
      <c r="C296" s="50" t="s">
        <v>996</v>
      </c>
      <c r="D296" s="50" t="s">
        <v>995</v>
      </c>
      <c r="E296" s="50">
        <v>32098</v>
      </c>
      <c r="F296" s="50">
        <f>4452*4</f>
        <v>17808</v>
      </c>
      <c r="G296" s="50">
        <v>4452</v>
      </c>
      <c r="H296" s="50">
        <f>3386*4</f>
        <v>13544</v>
      </c>
      <c r="I296" s="50">
        <v>0</v>
      </c>
      <c r="J296" s="50">
        <v>0</v>
      </c>
      <c r="K296" s="50">
        <v>0</v>
      </c>
      <c r="L296" s="36">
        <v>2020</v>
      </c>
      <c r="M296" s="50"/>
      <c r="N296" s="50"/>
      <c r="U296" s="146" t="s">
        <v>470</v>
      </c>
      <c r="V296" s="135" t="s">
        <v>470</v>
      </c>
      <c r="W296" s="149" t="s">
        <v>472</v>
      </c>
      <c r="X296" s="149" t="s">
        <v>44</v>
      </c>
      <c r="Y296" s="149" t="s">
        <v>46</v>
      </c>
    </row>
    <row r="297" spans="1:25" ht="24" customHeight="1" x14ac:dyDescent="0.35">
      <c r="A297" s="50" t="s">
        <v>428</v>
      </c>
      <c r="B297" s="50" t="s">
        <v>255</v>
      </c>
      <c r="C297" s="50" t="s">
        <v>993</v>
      </c>
      <c r="D297" s="50" t="s">
        <v>997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36">
        <v>2020</v>
      </c>
      <c r="M297" s="50"/>
      <c r="N297" s="50"/>
      <c r="U297" s="146" t="s">
        <v>470</v>
      </c>
      <c r="V297" s="135" t="s">
        <v>470</v>
      </c>
      <c r="W297" s="150" t="s">
        <v>473</v>
      </c>
      <c r="X297" s="149" t="s">
        <v>416</v>
      </c>
      <c r="Y297" s="149" t="s">
        <v>46</v>
      </c>
    </row>
    <row r="298" spans="1:25" ht="24" customHeight="1" x14ac:dyDescent="0.35">
      <c r="A298" s="50" t="s">
        <v>428</v>
      </c>
      <c r="B298" s="50" t="s">
        <v>255</v>
      </c>
      <c r="C298" s="50" t="s">
        <v>993</v>
      </c>
      <c r="D298" s="50" t="s">
        <v>994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36">
        <v>2020</v>
      </c>
      <c r="M298" s="50"/>
      <c r="N298" s="50"/>
      <c r="U298" s="146" t="s">
        <v>470</v>
      </c>
      <c r="V298" s="135" t="s">
        <v>470</v>
      </c>
      <c r="W298" s="150" t="s">
        <v>306</v>
      </c>
      <c r="X298" s="149" t="s">
        <v>416</v>
      </c>
      <c r="Y298" s="149" t="s">
        <v>46</v>
      </c>
    </row>
    <row r="299" spans="1:25" ht="24" customHeight="1" x14ac:dyDescent="0.35">
      <c r="A299" s="50" t="s">
        <v>428</v>
      </c>
      <c r="B299" s="50" t="s">
        <v>255</v>
      </c>
      <c r="C299" s="50" t="s">
        <v>993</v>
      </c>
      <c r="D299" s="50" t="s">
        <v>995</v>
      </c>
      <c r="E299" s="50">
        <v>0</v>
      </c>
      <c r="F299" s="50">
        <v>0</v>
      </c>
      <c r="G299" s="50">
        <v>0</v>
      </c>
      <c r="H299" s="50">
        <v>0</v>
      </c>
      <c r="I299" s="50">
        <v>0</v>
      </c>
      <c r="J299" s="50"/>
      <c r="K299" s="50"/>
      <c r="L299" s="36">
        <v>2020</v>
      </c>
      <c r="M299" s="50"/>
      <c r="N299" s="50"/>
      <c r="U299" s="146" t="s">
        <v>470</v>
      </c>
      <c r="V299" s="135" t="s">
        <v>470</v>
      </c>
      <c r="W299" s="149" t="s">
        <v>475</v>
      </c>
      <c r="X299" s="149" t="s">
        <v>416</v>
      </c>
      <c r="Y299" s="149" t="s">
        <v>46</v>
      </c>
    </row>
    <row r="300" spans="1:25" ht="24" customHeight="1" x14ac:dyDescent="0.35">
      <c r="A300" s="50" t="s">
        <v>428</v>
      </c>
      <c r="B300" s="50" t="s">
        <v>255</v>
      </c>
      <c r="C300" s="50" t="s">
        <v>996</v>
      </c>
      <c r="D300" s="50" t="s">
        <v>997</v>
      </c>
      <c r="E300" s="50">
        <v>0</v>
      </c>
      <c r="F300" s="50">
        <v>0</v>
      </c>
      <c r="G300" s="50">
        <v>0</v>
      </c>
      <c r="H300" s="50">
        <v>2</v>
      </c>
      <c r="I300" s="50">
        <v>2</v>
      </c>
      <c r="J300" s="50">
        <v>2</v>
      </c>
      <c r="K300" s="50">
        <v>0</v>
      </c>
      <c r="L300" s="36">
        <v>2020</v>
      </c>
      <c r="M300" s="50"/>
      <c r="N300" s="50"/>
      <c r="U300" s="146" t="s">
        <v>470</v>
      </c>
      <c r="V300" s="135" t="s">
        <v>470</v>
      </c>
      <c r="W300" s="149" t="s">
        <v>476</v>
      </c>
      <c r="X300" s="149" t="s">
        <v>416</v>
      </c>
      <c r="Y300" s="149" t="s">
        <v>46</v>
      </c>
    </row>
    <row r="301" spans="1:25" ht="24" customHeight="1" x14ac:dyDescent="0.35">
      <c r="A301" s="50" t="s">
        <v>428</v>
      </c>
      <c r="B301" s="50" t="s">
        <v>255</v>
      </c>
      <c r="C301" s="50" t="s">
        <v>996</v>
      </c>
      <c r="D301" s="50" t="s">
        <v>994</v>
      </c>
      <c r="E301" s="50">
        <v>1</v>
      </c>
      <c r="F301" s="50">
        <v>1</v>
      </c>
      <c r="G301" s="50">
        <v>10</v>
      </c>
      <c r="H301" s="50">
        <v>0</v>
      </c>
      <c r="I301" s="50">
        <v>12</v>
      </c>
      <c r="J301" s="50">
        <v>12</v>
      </c>
      <c r="K301" s="50">
        <v>0</v>
      </c>
      <c r="L301" s="36">
        <v>2020</v>
      </c>
      <c r="M301" s="50"/>
      <c r="N301" s="50"/>
      <c r="U301" s="146" t="s">
        <v>470</v>
      </c>
      <c r="V301" s="135" t="s">
        <v>470</v>
      </c>
      <c r="W301" s="149" t="s">
        <v>477</v>
      </c>
      <c r="X301" s="149" t="s">
        <v>416</v>
      </c>
      <c r="Y301" s="149" t="s">
        <v>46</v>
      </c>
    </row>
    <row r="302" spans="1:25" ht="24" customHeight="1" x14ac:dyDescent="0.35">
      <c r="A302" s="50" t="s">
        <v>428</v>
      </c>
      <c r="B302" s="50" t="s">
        <v>255</v>
      </c>
      <c r="C302" s="50" t="s">
        <v>996</v>
      </c>
      <c r="D302" s="50" t="s">
        <v>995</v>
      </c>
      <c r="E302" s="50">
        <v>6000</v>
      </c>
      <c r="F302" s="50">
        <v>6200</v>
      </c>
      <c r="G302" s="50">
        <v>9375</v>
      </c>
      <c r="H302" s="50">
        <v>4800</v>
      </c>
      <c r="I302" s="50">
        <v>25375</v>
      </c>
      <c r="J302" s="50">
        <v>0</v>
      </c>
      <c r="K302" s="50">
        <v>0</v>
      </c>
      <c r="L302" s="36">
        <v>2020</v>
      </c>
      <c r="M302" s="50"/>
      <c r="N302" s="50"/>
      <c r="U302" s="146" t="s">
        <v>470</v>
      </c>
      <c r="V302" s="135" t="s">
        <v>470</v>
      </c>
      <c r="W302" s="150" t="s">
        <v>478</v>
      </c>
      <c r="X302" s="149" t="s">
        <v>416</v>
      </c>
      <c r="Y302" s="149" t="s">
        <v>46</v>
      </c>
    </row>
    <row r="303" spans="1:25" ht="24" customHeight="1" x14ac:dyDescent="0.35">
      <c r="A303" s="50" t="s">
        <v>434</v>
      </c>
      <c r="B303" s="50" t="s">
        <v>87</v>
      </c>
      <c r="C303" s="50" t="s">
        <v>993</v>
      </c>
      <c r="D303" s="50" t="s">
        <v>997</v>
      </c>
      <c r="E303" s="50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50">
        <v>0</v>
      </c>
      <c r="L303" s="36">
        <v>2020</v>
      </c>
      <c r="M303" s="50"/>
      <c r="N303" s="50"/>
      <c r="U303" s="16" t="s">
        <v>632</v>
      </c>
      <c r="V303" s="135" t="s">
        <v>479</v>
      </c>
      <c r="W303" s="146" t="s">
        <v>480</v>
      </c>
      <c r="X303" s="146" t="s">
        <v>481</v>
      </c>
      <c r="Y303" s="146" t="s">
        <v>255</v>
      </c>
    </row>
    <row r="304" spans="1:25" ht="24" customHeight="1" x14ac:dyDescent="0.35">
      <c r="A304" s="50" t="s">
        <v>434</v>
      </c>
      <c r="B304" s="50" t="s">
        <v>87</v>
      </c>
      <c r="C304" s="50" t="s">
        <v>993</v>
      </c>
      <c r="D304" s="50" t="s">
        <v>994</v>
      </c>
      <c r="E304" s="50">
        <v>1</v>
      </c>
      <c r="F304" s="50">
        <v>0</v>
      </c>
      <c r="G304" s="50">
        <v>0</v>
      </c>
      <c r="H304" s="50">
        <v>0</v>
      </c>
      <c r="I304" s="50">
        <v>1</v>
      </c>
      <c r="J304" s="50">
        <v>0</v>
      </c>
      <c r="K304" s="50">
        <v>0</v>
      </c>
      <c r="L304" s="36">
        <v>2020</v>
      </c>
      <c r="M304" s="50"/>
      <c r="N304" s="50"/>
      <c r="U304" s="146" t="s">
        <v>422</v>
      </c>
      <c r="V304" s="135" t="s">
        <v>422</v>
      </c>
      <c r="W304" s="146" t="s">
        <v>483</v>
      </c>
      <c r="X304" s="146" t="s">
        <v>416</v>
      </c>
      <c r="Y304" s="146" t="s">
        <v>46</v>
      </c>
    </row>
    <row r="305" spans="1:25" ht="24" customHeight="1" x14ac:dyDescent="0.35">
      <c r="A305" s="50" t="s">
        <v>434</v>
      </c>
      <c r="B305" s="50" t="s">
        <v>87</v>
      </c>
      <c r="C305" s="50" t="s">
        <v>993</v>
      </c>
      <c r="D305" s="50" t="s">
        <v>995</v>
      </c>
      <c r="E305" s="50">
        <v>9000</v>
      </c>
      <c r="F305" s="50">
        <v>0</v>
      </c>
      <c r="G305" s="50">
        <v>0</v>
      </c>
      <c r="H305" s="50">
        <v>0</v>
      </c>
      <c r="I305" s="50">
        <v>9000</v>
      </c>
      <c r="J305" s="50"/>
      <c r="K305" s="50"/>
      <c r="L305" s="36">
        <v>2020</v>
      </c>
      <c r="M305" s="50"/>
      <c r="N305" s="50"/>
      <c r="U305" s="146" t="s">
        <v>422</v>
      </c>
      <c r="V305" s="135" t="s">
        <v>422</v>
      </c>
      <c r="W305" s="146" t="s">
        <v>485</v>
      </c>
      <c r="X305" s="146" t="s">
        <v>633</v>
      </c>
      <c r="Y305" s="146" t="s">
        <v>46</v>
      </c>
    </row>
    <row r="306" spans="1:25" ht="24" customHeight="1" x14ac:dyDescent="0.35">
      <c r="A306" s="50" t="s">
        <v>434</v>
      </c>
      <c r="B306" s="50" t="s">
        <v>87</v>
      </c>
      <c r="C306" s="50" t="s">
        <v>996</v>
      </c>
      <c r="D306" s="50" t="s">
        <v>997</v>
      </c>
      <c r="E306" s="50">
        <v>0</v>
      </c>
      <c r="F306" s="50">
        <v>0</v>
      </c>
      <c r="G306" s="50">
        <v>0</v>
      </c>
      <c r="H306" s="50">
        <v>3</v>
      </c>
      <c r="I306" s="50">
        <v>0</v>
      </c>
      <c r="J306" s="50">
        <v>0</v>
      </c>
      <c r="K306" s="50">
        <v>0</v>
      </c>
      <c r="L306" s="36">
        <v>2020</v>
      </c>
      <c r="M306" s="50"/>
      <c r="N306" s="50"/>
      <c r="U306" s="65" t="s">
        <v>634</v>
      </c>
      <c r="V306" s="135" t="s">
        <v>634</v>
      </c>
      <c r="W306" s="141" t="s">
        <v>635</v>
      </c>
      <c r="X306" s="16" t="s">
        <v>636</v>
      </c>
      <c r="Y306" s="146" t="s">
        <v>255</v>
      </c>
    </row>
    <row r="307" spans="1:25" ht="24" customHeight="1" x14ac:dyDescent="0.35">
      <c r="A307" s="50" t="s">
        <v>434</v>
      </c>
      <c r="B307" s="50" t="s">
        <v>87</v>
      </c>
      <c r="C307" s="50" t="s">
        <v>996</v>
      </c>
      <c r="D307" s="50" t="s">
        <v>994</v>
      </c>
      <c r="E307" s="50">
        <v>1</v>
      </c>
      <c r="F307" s="50">
        <v>8</v>
      </c>
      <c r="G307" s="50">
        <v>14</v>
      </c>
      <c r="H307" s="50">
        <v>25</v>
      </c>
      <c r="I307" s="50">
        <v>50</v>
      </c>
      <c r="J307" s="50">
        <v>50</v>
      </c>
      <c r="K307" s="50">
        <v>0</v>
      </c>
      <c r="L307" s="36">
        <v>2020</v>
      </c>
      <c r="M307" s="50"/>
      <c r="N307" s="50"/>
      <c r="U307" s="146" t="s">
        <v>314</v>
      </c>
      <c r="V307" s="135" t="s">
        <v>314</v>
      </c>
      <c r="W307" s="146" t="s">
        <v>315</v>
      </c>
      <c r="X307" s="146" t="s">
        <v>316</v>
      </c>
      <c r="Y307" s="146" t="s">
        <v>255</v>
      </c>
    </row>
    <row r="308" spans="1:25" ht="24" customHeight="1" x14ac:dyDescent="0.35">
      <c r="A308" s="50" t="s">
        <v>434</v>
      </c>
      <c r="B308" s="50" t="s">
        <v>87</v>
      </c>
      <c r="C308" s="50" t="s">
        <v>996</v>
      </c>
      <c r="D308" s="50" t="s">
        <v>995</v>
      </c>
      <c r="E308" s="50">
        <v>8948</v>
      </c>
      <c r="F308" s="50">
        <v>14319</v>
      </c>
      <c r="G308" s="50">
        <v>13767</v>
      </c>
      <c r="H308" s="50">
        <v>8254</v>
      </c>
      <c r="I308" s="50">
        <v>45787</v>
      </c>
      <c r="J308" s="50">
        <v>45787</v>
      </c>
      <c r="K308" s="50">
        <v>0</v>
      </c>
      <c r="L308" s="36">
        <v>2020</v>
      </c>
      <c r="M308" s="50"/>
      <c r="N308" s="50"/>
      <c r="U308" s="146" t="s">
        <v>317</v>
      </c>
      <c r="V308" s="135" t="s">
        <v>51</v>
      </c>
      <c r="W308" s="146" t="s">
        <v>53</v>
      </c>
      <c r="X308" s="146" t="s">
        <v>52</v>
      </c>
      <c r="Y308" s="146" t="s">
        <v>41</v>
      </c>
    </row>
    <row r="309" spans="1:25" ht="24" customHeight="1" x14ac:dyDescent="0.35">
      <c r="A309" s="50" t="s">
        <v>14</v>
      </c>
      <c r="B309" s="50" t="s">
        <v>4</v>
      </c>
      <c r="C309" s="50" t="s">
        <v>993</v>
      </c>
      <c r="D309" s="50" t="s">
        <v>997</v>
      </c>
      <c r="E309" s="50">
        <v>0</v>
      </c>
      <c r="F309" s="50">
        <v>0</v>
      </c>
      <c r="G309" s="50">
        <v>0</v>
      </c>
      <c r="H309" s="50">
        <v>0</v>
      </c>
      <c r="I309" s="50">
        <v>0</v>
      </c>
      <c r="J309" s="50">
        <v>0</v>
      </c>
      <c r="K309" s="50">
        <v>0</v>
      </c>
      <c r="L309" s="36">
        <v>2020</v>
      </c>
      <c r="M309" s="50"/>
      <c r="N309" s="50"/>
      <c r="U309" s="146" t="s">
        <v>317</v>
      </c>
      <c r="V309" s="135" t="s">
        <v>51</v>
      </c>
      <c r="W309" s="151" t="s">
        <v>489</v>
      </c>
      <c r="X309" s="146" t="s">
        <v>490</v>
      </c>
      <c r="Y309" s="146" t="s">
        <v>41</v>
      </c>
    </row>
    <row r="310" spans="1:25" ht="24" customHeight="1" x14ac:dyDescent="0.35">
      <c r="A310" s="50" t="s">
        <v>14</v>
      </c>
      <c r="B310" s="50" t="s">
        <v>4</v>
      </c>
      <c r="C310" s="50" t="s">
        <v>993</v>
      </c>
      <c r="D310" s="50" t="s">
        <v>994</v>
      </c>
      <c r="E310" s="50">
        <v>2</v>
      </c>
      <c r="F310" s="50">
        <v>1</v>
      </c>
      <c r="G310" s="50">
        <v>0</v>
      </c>
      <c r="H310" s="50">
        <v>0</v>
      </c>
      <c r="I310" s="50">
        <v>3</v>
      </c>
      <c r="J310" s="50">
        <v>0</v>
      </c>
      <c r="K310" s="50">
        <v>0</v>
      </c>
      <c r="L310" s="36">
        <v>2020</v>
      </c>
      <c r="M310" s="50"/>
      <c r="N310" s="50"/>
      <c r="U310" s="16" t="s">
        <v>492</v>
      </c>
      <c r="V310" s="135" t="s">
        <v>492</v>
      </c>
      <c r="W310" s="149" t="s">
        <v>493</v>
      </c>
      <c r="X310" s="146" t="s">
        <v>494</v>
      </c>
      <c r="Y310" s="146" t="s">
        <v>46</v>
      </c>
    </row>
    <row r="311" spans="1:25" ht="24" customHeight="1" x14ac:dyDescent="0.35">
      <c r="A311" s="50" t="s">
        <v>14</v>
      </c>
      <c r="B311" s="50" t="s">
        <v>4</v>
      </c>
      <c r="C311" s="50" t="s">
        <v>993</v>
      </c>
      <c r="D311" s="50" t="s">
        <v>995</v>
      </c>
      <c r="E311" s="50">
        <v>452201</v>
      </c>
      <c r="F311" s="50">
        <v>9541</v>
      </c>
      <c r="G311" s="50">
        <v>0</v>
      </c>
      <c r="H311" s="50">
        <v>0</v>
      </c>
      <c r="I311" s="50">
        <v>461742</v>
      </c>
      <c r="J311" s="50"/>
      <c r="K311" s="50"/>
      <c r="L311" s="36">
        <v>2020</v>
      </c>
      <c r="M311" s="50"/>
      <c r="N311" s="50"/>
      <c r="U311" s="16" t="s">
        <v>495</v>
      </c>
      <c r="V311" s="135" t="s">
        <v>495</v>
      </c>
      <c r="W311" s="150" t="s">
        <v>496</v>
      </c>
      <c r="X311" s="149" t="s">
        <v>497</v>
      </c>
      <c r="Y311" s="149" t="s">
        <v>322</v>
      </c>
    </row>
    <row r="312" spans="1:25" ht="24" customHeight="1" x14ac:dyDescent="0.35">
      <c r="A312" s="50" t="s">
        <v>14</v>
      </c>
      <c r="B312" s="50" t="s">
        <v>4</v>
      </c>
      <c r="C312" s="50" t="s">
        <v>996</v>
      </c>
      <c r="D312" s="50" t="s">
        <v>997</v>
      </c>
      <c r="E312" s="50">
        <v>1</v>
      </c>
      <c r="F312" s="50">
        <v>3</v>
      </c>
      <c r="G312" s="50">
        <v>2</v>
      </c>
      <c r="H312" s="50">
        <v>5</v>
      </c>
      <c r="I312" s="50">
        <v>11</v>
      </c>
      <c r="J312" s="50">
        <v>6</v>
      </c>
      <c r="K312" s="50">
        <v>5</v>
      </c>
      <c r="L312" s="36">
        <v>2020</v>
      </c>
      <c r="M312" s="50"/>
      <c r="N312" s="50"/>
      <c r="U312" s="16" t="s">
        <v>495</v>
      </c>
      <c r="V312" s="135" t="s">
        <v>495</v>
      </c>
      <c r="W312" s="150" t="s">
        <v>499</v>
      </c>
      <c r="X312" s="149" t="s">
        <v>335</v>
      </c>
      <c r="Y312" s="149" t="s">
        <v>322</v>
      </c>
    </row>
    <row r="313" spans="1:25" ht="24" customHeight="1" x14ac:dyDescent="0.35">
      <c r="A313" s="50" t="s">
        <v>14</v>
      </c>
      <c r="B313" s="50" t="s">
        <v>4</v>
      </c>
      <c r="C313" s="50" t="s">
        <v>996</v>
      </c>
      <c r="D313" s="50" t="s">
        <v>994</v>
      </c>
      <c r="E313" s="50">
        <v>2</v>
      </c>
      <c r="F313" s="50">
        <v>10</v>
      </c>
      <c r="G313" s="50">
        <v>16</v>
      </c>
      <c r="H313" s="50">
        <v>116</v>
      </c>
      <c r="I313" s="50">
        <v>144</v>
      </c>
      <c r="J313" s="50">
        <v>28</v>
      </c>
      <c r="K313" s="50">
        <v>116</v>
      </c>
      <c r="L313" s="36">
        <v>2020</v>
      </c>
      <c r="M313" s="50"/>
      <c r="N313" s="50"/>
      <c r="U313" s="16" t="s">
        <v>501</v>
      </c>
      <c r="V313" s="135" t="s">
        <v>501</v>
      </c>
      <c r="W313" s="16"/>
      <c r="X313" s="146" t="s">
        <v>503</v>
      </c>
      <c r="Y313" s="146" t="s">
        <v>46</v>
      </c>
    </row>
    <row r="314" spans="1:25" ht="24" customHeight="1" x14ac:dyDescent="0.35">
      <c r="A314" s="50" t="s">
        <v>14</v>
      </c>
      <c r="B314" s="50" t="s">
        <v>4</v>
      </c>
      <c r="C314" s="50" t="s">
        <v>996</v>
      </c>
      <c r="D314" s="50" t="s">
        <v>995</v>
      </c>
      <c r="E314" s="50">
        <v>134406</v>
      </c>
      <c r="F314" s="50">
        <v>162908</v>
      </c>
      <c r="G314" s="50">
        <v>64268</v>
      </c>
      <c r="H314" s="50">
        <v>160284</v>
      </c>
      <c r="I314" s="50">
        <v>521866</v>
      </c>
      <c r="J314" s="50">
        <v>361582</v>
      </c>
      <c r="K314" s="50">
        <v>160284</v>
      </c>
      <c r="L314" s="36">
        <v>2020</v>
      </c>
      <c r="M314" s="50"/>
      <c r="N314" s="50"/>
      <c r="U314" s="146" t="s">
        <v>323</v>
      </c>
      <c r="V314" s="135" t="s">
        <v>323</v>
      </c>
      <c r="W314" s="146" t="s">
        <v>324</v>
      </c>
      <c r="X314" s="146" t="s">
        <v>325</v>
      </c>
      <c r="Y314" s="146" t="s">
        <v>57</v>
      </c>
    </row>
    <row r="315" spans="1:25" ht="24" customHeight="1" x14ac:dyDescent="0.35">
      <c r="A315" s="50" t="s">
        <v>264</v>
      </c>
      <c r="B315" s="50" t="s">
        <v>255</v>
      </c>
      <c r="C315" s="50" t="s">
        <v>993</v>
      </c>
      <c r="D315" s="50" t="s">
        <v>997</v>
      </c>
      <c r="E315" s="50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36">
        <v>2020</v>
      </c>
      <c r="M315" s="50"/>
      <c r="N315" s="50"/>
      <c r="U315" s="149" t="s">
        <v>505</v>
      </c>
      <c r="V315" s="135" t="s">
        <v>505</v>
      </c>
      <c r="W315" s="149" t="s">
        <v>506</v>
      </c>
      <c r="X315" s="149" t="s">
        <v>44</v>
      </c>
      <c r="Y315" s="149" t="s">
        <v>46</v>
      </c>
    </row>
    <row r="316" spans="1:25" ht="24" customHeight="1" x14ac:dyDescent="0.35">
      <c r="A316" s="50" t="s">
        <v>264</v>
      </c>
      <c r="B316" s="50" t="s">
        <v>255</v>
      </c>
      <c r="C316" s="50" t="s">
        <v>993</v>
      </c>
      <c r="D316" s="50" t="s">
        <v>994</v>
      </c>
      <c r="E316" s="50">
        <v>0</v>
      </c>
      <c r="F316" s="50">
        <v>0</v>
      </c>
      <c r="G316" s="50">
        <v>0</v>
      </c>
      <c r="H316" s="50">
        <v>0</v>
      </c>
      <c r="I316" s="50">
        <v>0</v>
      </c>
      <c r="J316" s="50">
        <v>0</v>
      </c>
      <c r="K316" s="50">
        <v>0</v>
      </c>
      <c r="L316" s="36">
        <v>2020</v>
      </c>
      <c r="M316" s="50"/>
      <c r="N316" s="50"/>
      <c r="U316" s="146" t="s">
        <v>62</v>
      </c>
      <c r="V316" s="135" t="s">
        <v>62</v>
      </c>
      <c r="W316" s="149" t="s">
        <v>507</v>
      </c>
      <c r="X316" s="149" t="s">
        <v>416</v>
      </c>
      <c r="Y316" s="149" t="s">
        <v>46</v>
      </c>
    </row>
    <row r="317" spans="1:25" ht="24" customHeight="1" x14ac:dyDescent="0.35">
      <c r="A317" s="50" t="s">
        <v>264</v>
      </c>
      <c r="B317" s="50" t="s">
        <v>255</v>
      </c>
      <c r="C317" s="50" t="s">
        <v>993</v>
      </c>
      <c r="D317" s="50" t="s">
        <v>995</v>
      </c>
      <c r="E317" s="50"/>
      <c r="F317" s="50">
        <v>0</v>
      </c>
      <c r="G317" s="50">
        <v>0</v>
      </c>
      <c r="H317" s="50">
        <v>0</v>
      </c>
      <c r="I317" s="50"/>
      <c r="J317" s="50"/>
      <c r="K317" s="50"/>
      <c r="L317" s="36">
        <v>2020</v>
      </c>
      <c r="M317" s="50"/>
      <c r="N317" s="50"/>
      <c r="U317" s="146" t="s">
        <v>62</v>
      </c>
      <c r="V317" s="135" t="s">
        <v>62</v>
      </c>
      <c r="W317" s="150" t="s">
        <v>508</v>
      </c>
      <c r="X317" s="149" t="s">
        <v>416</v>
      </c>
      <c r="Y317" s="149" t="s">
        <v>46</v>
      </c>
    </row>
    <row r="318" spans="1:25" ht="24" customHeight="1" x14ac:dyDescent="0.35">
      <c r="A318" s="50" t="s">
        <v>264</v>
      </c>
      <c r="B318" s="50" t="s">
        <v>255</v>
      </c>
      <c r="C318" s="50" t="s">
        <v>996</v>
      </c>
      <c r="D318" s="50" t="s">
        <v>997</v>
      </c>
      <c r="E318" s="50">
        <v>2</v>
      </c>
      <c r="F318" s="50">
        <v>0</v>
      </c>
      <c r="G318" s="50">
        <v>0</v>
      </c>
      <c r="H318" s="50">
        <v>0</v>
      </c>
      <c r="I318" s="50">
        <v>2</v>
      </c>
      <c r="J318" s="50">
        <v>1</v>
      </c>
      <c r="K318" s="50">
        <v>2</v>
      </c>
      <c r="L318" s="36">
        <v>2020</v>
      </c>
      <c r="M318" s="50"/>
      <c r="N318" s="50"/>
      <c r="U318" s="146" t="s">
        <v>62</v>
      </c>
      <c r="V318" s="135" t="s">
        <v>62</v>
      </c>
      <c r="W318" s="149" t="s">
        <v>509</v>
      </c>
      <c r="X318" s="149" t="s">
        <v>416</v>
      </c>
      <c r="Y318" s="149" t="s">
        <v>46</v>
      </c>
    </row>
    <row r="319" spans="1:25" ht="24" customHeight="1" x14ac:dyDescent="0.35">
      <c r="A319" s="50" t="s">
        <v>264</v>
      </c>
      <c r="B319" s="50" t="s">
        <v>255</v>
      </c>
      <c r="C319" s="50" t="s">
        <v>996</v>
      </c>
      <c r="D319" s="50" t="s">
        <v>994</v>
      </c>
      <c r="E319" s="50">
        <v>2</v>
      </c>
      <c r="F319" s="50">
        <v>0</v>
      </c>
      <c r="G319" s="50">
        <v>0</v>
      </c>
      <c r="H319" s="50">
        <v>0</v>
      </c>
      <c r="I319" s="50">
        <v>2</v>
      </c>
      <c r="J319" s="50">
        <v>0</v>
      </c>
      <c r="K319" s="50">
        <v>0</v>
      </c>
      <c r="L319" s="36">
        <v>2020</v>
      </c>
      <c r="M319" s="50"/>
      <c r="N319" s="50"/>
      <c r="U319" s="146" t="s">
        <v>62</v>
      </c>
      <c r="V319" s="135" t="s">
        <v>62</v>
      </c>
      <c r="W319" s="149" t="s">
        <v>510</v>
      </c>
      <c r="X319" s="149" t="s">
        <v>44</v>
      </c>
      <c r="Y319" s="149" t="s">
        <v>46</v>
      </c>
    </row>
    <row r="320" spans="1:25" ht="24" customHeight="1" x14ac:dyDescent="0.35">
      <c r="A320" s="50" t="s">
        <v>264</v>
      </c>
      <c r="B320" s="50" t="s">
        <v>255</v>
      </c>
      <c r="C320" s="50" t="s">
        <v>996</v>
      </c>
      <c r="D320" s="50" t="s">
        <v>995</v>
      </c>
      <c r="E320" s="50">
        <v>36000</v>
      </c>
      <c r="F320" s="50">
        <v>0</v>
      </c>
      <c r="G320" s="50">
        <v>0</v>
      </c>
      <c r="H320" s="50">
        <v>0</v>
      </c>
      <c r="I320" s="50">
        <v>36000</v>
      </c>
      <c r="J320" s="50">
        <v>58800</v>
      </c>
      <c r="K320" s="50">
        <v>2400</v>
      </c>
      <c r="L320" s="36">
        <v>2020</v>
      </c>
      <c r="M320" s="50"/>
      <c r="N320" s="50"/>
      <c r="U320" s="146" t="s">
        <v>62</v>
      </c>
      <c r="V320" s="135" t="s">
        <v>62</v>
      </c>
      <c r="W320" s="149" t="s">
        <v>511</v>
      </c>
      <c r="X320" s="149" t="s">
        <v>44</v>
      </c>
      <c r="Y320" s="149" t="s">
        <v>46</v>
      </c>
    </row>
    <row r="321" spans="1:25" ht="24" customHeight="1" x14ac:dyDescent="0.35">
      <c r="A321" s="50" t="s">
        <v>445</v>
      </c>
      <c r="B321" s="50" t="s">
        <v>4</v>
      </c>
      <c r="C321" s="50" t="s">
        <v>993</v>
      </c>
      <c r="D321" s="50" t="s">
        <v>997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36">
        <v>2020</v>
      </c>
      <c r="M321" s="50"/>
      <c r="N321" s="50"/>
      <c r="U321" s="146" t="s">
        <v>62</v>
      </c>
      <c r="V321" s="135" t="s">
        <v>62</v>
      </c>
      <c r="W321" s="146" t="s">
        <v>513</v>
      </c>
      <c r="X321" s="146" t="s">
        <v>514</v>
      </c>
      <c r="Y321" s="146" t="s">
        <v>46</v>
      </c>
    </row>
    <row r="322" spans="1:25" ht="24" customHeight="1" x14ac:dyDescent="0.35">
      <c r="A322" s="50" t="s">
        <v>445</v>
      </c>
      <c r="B322" s="50" t="s">
        <v>4</v>
      </c>
      <c r="C322" s="50" t="s">
        <v>993</v>
      </c>
      <c r="D322" s="50" t="s">
        <v>994</v>
      </c>
      <c r="E322" s="50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36">
        <v>2020</v>
      </c>
      <c r="M322" s="50"/>
      <c r="N322" s="50"/>
      <c r="U322" s="146" t="s">
        <v>62</v>
      </c>
      <c r="V322" s="135" t="s">
        <v>62</v>
      </c>
      <c r="W322" s="146" t="s">
        <v>515</v>
      </c>
      <c r="X322" s="146" t="s">
        <v>516</v>
      </c>
      <c r="Y322" s="146" t="s">
        <v>46</v>
      </c>
    </row>
    <row r="323" spans="1:25" ht="24" customHeight="1" x14ac:dyDescent="0.35">
      <c r="A323" s="50" t="s">
        <v>445</v>
      </c>
      <c r="B323" s="50" t="s">
        <v>4</v>
      </c>
      <c r="C323" s="50" t="s">
        <v>993</v>
      </c>
      <c r="D323" s="50" t="s">
        <v>995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/>
      <c r="K323" s="50"/>
      <c r="L323" s="36">
        <v>2020</v>
      </c>
      <c r="M323" s="50"/>
      <c r="N323" s="50"/>
      <c r="U323" s="146" t="s">
        <v>517</v>
      </c>
      <c r="V323" s="135" t="s">
        <v>517</v>
      </c>
      <c r="W323" s="146" t="s">
        <v>518</v>
      </c>
      <c r="X323" s="146" t="s">
        <v>335</v>
      </c>
      <c r="Y323" s="146" t="s">
        <v>46</v>
      </c>
    </row>
    <row r="324" spans="1:25" ht="24" customHeight="1" x14ac:dyDescent="0.35">
      <c r="A324" s="50" t="s">
        <v>445</v>
      </c>
      <c r="B324" s="50" t="s">
        <v>4</v>
      </c>
      <c r="C324" s="50" t="s">
        <v>996</v>
      </c>
      <c r="D324" s="50" t="s">
        <v>997</v>
      </c>
      <c r="E324" s="50">
        <v>1</v>
      </c>
      <c r="F324" s="50">
        <v>0</v>
      </c>
      <c r="G324" s="50">
        <v>0</v>
      </c>
      <c r="H324" s="50">
        <v>0</v>
      </c>
      <c r="I324" s="50">
        <v>1</v>
      </c>
      <c r="J324" s="50">
        <v>1</v>
      </c>
      <c r="K324" s="50">
        <v>0</v>
      </c>
      <c r="L324" s="36">
        <v>2020</v>
      </c>
      <c r="M324" s="50"/>
      <c r="N324" s="50"/>
      <c r="U324" s="146" t="s">
        <v>519</v>
      </c>
      <c r="V324" s="135" t="s">
        <v>336</v>
      </c>
      <c r="W324" s="146" t="s">
        <v>520</v>
      </c>
      <c r="X324" s="146" t="s">
        <v>521</v>
      </c>
      <c r="Y324" s="146" t="s">
        <v>255</v>
      </c>
    </row>
    <row r="325" spans="1:25" ht="24" customHeight="1" x14ac:dyDescent="0.35">
      <c r="A325" s="50" t="s">
        <v>445</v>
      </c>
      <c r="B325" s="50" t="s">
        <v>4</v>
      </c>
      <c r="C325" s="50" t="s">
        <v>996</v>
      </c>
      <c r="D325" s="50" t="s">
        <v>994</v>
      </c>
      <c r="E325" s="50">
        <v>2</v>
      </c>
      <c r="F325" s="50">
        <v>0</v>
      </c>
      <c r="G325" s="50">
        <v>0</v>
      </c>
      <c r="H325" s="50">
        <v>0</v>
      </c>
      <c r="I325" s="50">
        <v>2</v>
      </c>
      <c r="J325" s="50">
        <v>2</v>
      </c>
      <c r="K325" s="50">
        <v>0</v>
      </c>
      <c r="L325" s="36">
        <v>2020</v>
      </c>
      <c r="M325" s="50"/>
      <c r="N325" s="50"/>
      <c r="U325" s="146" t="s">
        <v>522</v>
      </c>
      <c r="V325" s="135" t="s">
        <v>67</v>
      </c>
      <c r="W325" s="146" t="s">
        <v>523</v>
      </c>
      <c r="X325" s="146" t="s">
        <v>330</v>
      </c>
      <c r="Y325" s="146" t="s">
        <v>41</v>
      </c>
    </row>
    <row r="326" spans="1:25" ht="24" customHeight="1" x14ac:dyDescent="0.35">
      <c r="A326" s="50" t="s">
        <v>445</v>
      </c>
      <c r="B326" s="50" t="s">
        <v>4</v>
      </c>
      <c r="C326" s="50" t="s">
        <v>996</v>
      </c>
      <c r="D326" s="50" t="s">
        <v>995</v>
      </c>
      <c r="E326" s="50">
        <v>37755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36">
        <v>2020</v>
      </c>
      <c r="M326" s="50"/>
      <c r="N326" s="50"/>
      <c r="U326" s="146" t="s">
        <v>73</v>
      </c>
      <c r="V326" s="135" t="s">
        <v>73</v>
      </c>
      <c r="W326" s="146" t="s">
        <v>339</v>
      </c>
      <c r="X326" s="146" t="s">
        <v>340</v>
      </c>
      <c r="Y326" s="146" t="s">
        <v>46</v>
      </c>
    </row>
    <row r="327" spans="1:25" ht="24" customHeight="1" x14ac:dyDescent="0.35">
      <c r="A327" s="50" t="s">
        <v>273</v>
      </c>
      <c r="B327" s="50" t="s">
        <v>4</v>
      </c>
      <c r="C327" s="50" t="s">
        <v>993</v>
      </c>
      <c r="D327" s="50" t="s">
        <v>997</v>
      </c>
      <c r="E327" s="50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36">
        <v>2020</v>
      </c>
      <c r="M327" s="50"/>
      <c r="N327" s="50"/>
      <c r="U327" s="146" t="s">
        <v>525</v>
      </c>
      <c r="V327" s="135" t="s">
        <v>525</v>
      </c>
      <c r="W327" s="146" t="s">
        <v>526</v>
      </c>
      <c r="X327" s="146" t="s">
        <v>527</v>
      </c>
      <c r="Y327" s="146" t="s">
        <v>255</v>
      </c>
    </row>
    <row r="328" spans="1:25" ht="24" customHeight="1" x14ac:dyDescent="0.35">
      <c r="A328" s="50" t="s">
        <v>273</v>
      </c>
      <c r="B328" s="50" t="s">
        <v>4</v>
      </c>
      <c r="C328" s="50" t="s">
        <v>993</v>
      </c>
      <c r="D328" s="50" t="s">
        <v>994</v>
      </c>
      <c r="E328" s="50"/>
      <c r="F328" s="50"/>
      <c r="G328" s="50"/>
      <c r="H328" s="50"/>
      <c r="I328" s="50"/>
      <c r="J328" s="50">
        <v>0</v>
      </c>
      <c r="K328" s="50">
        <v>0</v>
      </c>
      <c r="L328" s="36">
        <v>2020</v>
      </c>
      <c r="M328" s="50"/>
      <c r="N328" s="50"/>
      <c r="U328" s="146" t="s">
        <v>341</v>
      </c>
      <c r="V328" s="135" t="s">
        <v>341</v>
      </c>
      <c r="W328" s="146" t="s">
        <v>342</v>
      </c>
      <c r="X328" s="146" t="s">
        <v>530</v>
      </c>
      <c r="Y328" s="146" t="s">
        <v>87</v>
      </c>
    </row>
    <row r="329" spans="1:25" ht="24" customHeight="1" x14ac:dyDescent="0.35">
      <c r="A329" s="50" t="s">
        <v>273</v>
      </c>
      <c r="B329" s="50" t="s">
        <v>4</v>
      </c>
      <c r="C329" s="50" t="s">
        <v>993</v>
      </c>
      <c r="D329" s="50" t="s">
        <v>995</v>
      </c>
      <c r="E329" s="50"/>
      <c r="F329" s="50"/>
      <c r="G329" s="50"/>
      <c r="H329" s="50"/>
      <c r="I329" s="50"/>
      <c r="J329" s="50"/>
      <c r="K329" s="50"/>
      <c r="L329" s="36">
        <v>2020</v>
      </c>
      <c r="M329" s="50"/>
      <c r="N329" s="50"/>
      <c r="U329" s="146" t="s">
        <v>344</v>
      </c>
      <c r="V329" s="135" t="s">
        <v>344</v>
      </c>
      <c r="W329" s="146" t="s">
        <v>531</v>
      </c>
      <c r="X329" s="146" t="s">
        <v>532</v>
      </c>
      <c r="Y329" s="146" t="s">
        <v>46</v>
      </c>
    </row>
    <row r="330" spans="1:25" ht="24" customHeight="1" x14ac:dyDescent="0.35">
      <c r="A330" s="50" t="s">
        <v>273</v>
      </c>
      <c r="B330" s="50" t="s">
        <v>4</v>
      </c>
      <c r="C330" s="50" t="s">
        <v>996</v>
      </c>
      <c r="D330" s="50" t="s">
        <v>997</v>
      </c>
      <c r="E330" s="50"/>
      <c r="F330" s="50"/>
      <c r="G330" s="50"/>
      <c r="H330" s="50"/>
      <c r="I330" s="50"/>
      <c r="J330" s="50">
        <v>2</v>
      </c>
      <c r="K330" s="50">
        <v>0</v>
      </c>
      <c r="L330" s="36">
        <v>2020</v>
      </c>
      <c r="M330" s="50"/>
      <c r="N330" s="50"/>
      <c r="U330" s="146" t="s">
        <v>346</v>
      </c>
      <c r="V330" s="135" t="s">
        <v>75</v>
      </c>
      <c r="W330" s="151" t="s">
        <v>533</v>
      </c>
      <c r="X330" s="146" t="s">
        <v>534</v>
      </c>
      <c r="Y330" s="146" t="s">
        <v>41</v>
      </c>
    </row>
    <row r="331" spans="1:25" ht="24" customHeight="1" x14ac:dyDescent="0.35">
      <c r="A331" s="50" t="s">
        <v>273</v>
      </c>
      <c r="B331" s="50" t="s">
        <v>4</v>
      </c>
      <c r="C331" s="50" t="s">
        <v>996</v>
      </c>
      <c r="D331" s="50" t="s">
        <v>994</v>
      </c>
      <c r="E331" s="50"/>
      <c r="F331" s="50"/>
      <c r="G331" s="50"/>
      <c r="H331" s="50"/>
      <c r="I331" s="50"/>
      <c r="J331" s="50">
        <v>25</v>
      </c>
      <c r="K331" s="50">
        <v>9</v>
      </c>
      <c r="L331" s="36">
        <v>2020</v>
      </c>
      <c r="M331" s="50"/>
      <c r="N331" s="50"/>
      <c r="U331" s="146" t="s">
        <v>346</v>
      </c>
      <c r="V331" s="135" t="s">
        <v>75</v>
      </c>
      <c r="W331" s="151" t="s">
        <v>536</v>
      </c>
      <c r="X331" s="146" t="s">
        <v>76</v>
      </c>
      <c r="Y331" s="146" t="s">
        <v>41</v>
      </c>
    </row>
    <row r="332" spans="1:25" ht="24" customHeight="1" x14ac:dyDescent="0.35">
      <c r="A332" s="50" t="s">
        <v>273</v>
      </c>
      <c r="B332" s="50" t="s">
        <v>4</v>
      </c>
      <c r="C332" s="50" t="s">
        <v>996</v>
      </c>
      <c r="D332" s="50" t="s">
        <v>995</v>
      </c>
      <c r="E332" s="50"/>
      <c r="F332" s="50"/>
      <c r="G332" s="50"/>
      <c r="H332" s="50"/>
      <c r="I332" s="50"/>
      <c r="J332" s="50">
        <v>0</v>
      </c>
      <c r="K332" s="50">
        <v>0</v>
      </c>
      <c r="L332" s="36">
        <v>2020</v>
      </c>
      <c r="M332" s="50"/>
      <c r="N332" s="50"/>
      <c r="U332" s="146" t="s">
        <v>348</v>
      </c>
      <c r="V332" s="135" t="s">
        <v>348</v>
      </c>
      <c r="W332" s="146" t="s">
        <v>349</v>
      </c>
      <c r="X332" s="146" t="s">
        <v>350</v>
      </c>
      <c r="Y332" s="146" t="s">
        <v>255</v>
      </c>
    </row>
    <row r="333" spans="1:25" ht="24" customHeight="1" x14ac:dyDescent="0.35">
      <c r="A333" s="50" t="s">
        <v>276</v>
      </c>
      <c r="B333" s="50" t="s">
        <v>255</v>
      </c>
      <c r="C333" s="50" t="s">
        <v>993</v>
      </c>
      <c r="D333" s="50" t="s">
        <v>997</v>
      </c>
      <c r="E333" s="50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36">
        <v>2020</v>
      </c>
      <c r="M333" s="50"/>
      <c r="N333" s="50"/>
      <c r="U333" s="146" t="s">
        <v>537</v>
      </c>
      <c r="V333" s="135" t="s">
        <v>351</v>
      </c>
      <c r="W333" s="146" t="s">
        <v>538</v>
      </c>
      <c r="X333" s="146" t="s">
        <v>353</v>
      </c>
      <c r="Y333" s="146" t="s">
        <v>255</v>
      </c>
    </row>
    <row r="334" spans="1:25" ht="24" customHeight="1" x14ac:dyDescent="0.35">
      <c r="A334" s="50" t="s">
        <v>276</v>
      </c>
      <c r="B334" s="50" t="s">
        <v>255</v>
      </c>
      <c r="C334" s="50" t="s">
        <v>993</v>
      </c>
      <c r="D334" s="50" t="s">
        <v>994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36">
        <v>2020</v>
      </c>
      <c r="M334" s="50"/>
      <c r="N334" s="50"/>
      <c r="U334" s="146" t="s">
        <v>354</v>
      </c>
      <c r="V334" s="135" t="s">
        <v>354</v>
      </c>
      <c r="W334" s="146" t="s">
        <v>355</v>
      </c>
      <c r="X334" s="146" t="s">
        <v>356</v>
      </c>
      <c r="Y334" s="146" t="s">
        <v>46</v>
      </c>
    </row>
    <row r="335" spans="1:25" ht="24" customHeight="1" x14ac:dyDescent="0.35">
      <c r="A335" s="50" t="s">
        <v>276</v>
      </c>
      <c r="B335" s="50" t="s">
        <v>255</v>
      </c>
      <c r="C335" s="50" t="s">
        <v>993</v>
      </c>
      <c r="D335" s="50" t="s">
        <v>995</v>
      </c>
      <c r="E335" s="50">
        <v>0</v>
      </c>
      <c r="F335" s="50">
        <v>0</v>
      </c>
      <c r="G335" s="50">
        <v>0</v>
      </c>
      <c r="H335" s="50">
        <v>0</v>
      </c>
      <c r="I335" s="50">
        <v>0</v>
      </c>
      <c r="J335" s="50"/>
      <c r="K335" s="50"/>
      <c r="L335" s="36">
        <v>2020</v>
      </c>
      <c r="M335" s="50"/>
      <c r="N335" s="50"/>
      <c r="U335" s="146" t="s">
        <v>540</v>
      </c>
      <c r="V335" s="135" t="s">
        <v>357</v>
      </c>
      <c r="W335" s="146" t="s">
        <v>541</v>
      </c>
      <c r="X335" s="146" t="s">
        <v>542</v>
      </c>
      <c r="Y335" s="146" t="s">
        <v>46</v>
      </c>
    </row>
    <row r="336" spans="1:25" ht="24" customHeight="1" x14ac:dyDescent="0.35">
      <c r="A336" s="50" t="s">
        <v>276</v>
      </c>
      <c r="B336" s="50" t="s">
        <v>255</v>
      </c>
      <c r="C336" s="50" t="s">
        <v>996</v>
      </c>
      <c r="D336" s="50" t="s">
        <v>997</v>
      </c>
      <c r="E336" s="50">
        <v>0</v>
      </c>
      <c r="F336" s="50">
        <v>1</v>
      </c>
      <c r="G336" s="50">
        <v>0</v>
      </c>
      <c r="H336" s="50">
        <v>1</v>
      </c>
      <c r="I336" s="50">
        <v>2</v>
      </c>
      <c r="J336" s="50">
        <v>1</v>
      </c>
      <c r="K336" s="50">
        <v>1</v>
      </c>
      <c r="L336" s="36">
        <v>2020</v>
      </c>
      <c r="M336" s="50"/>
      <c r="N336" s="50"/>
      <c r="U336" s="146" t="s">
        <v>360</v>
      </c>
      <c r="V336" s="135" t="s">
        <v>84</v>
      </c>
      <c r="W336" s="146" t="s">
        <v>361</v>
      </c>
      <c r="X336" s="146" t="s">
        <v>362</v>
      </c>
      <c r="Y336" s="146" t="s">
        <v>87</v>
      </c>
    </row>
    <row r="337" spans="1:25" ht="24" customHeight="1" x14ac:dyDescent="0.35">
      <c r="A337" s="50" t="s">
        <v>276</v>
      </c>
      <c r="B337" s="50" t="s">
        <v>255</v>
      </c>
      <c r="C337" s="50" t="s">
        <v>996</v>
      </c>
      <c r="D337" s="50" t="s">
        <v>994</v>
      </c>
      <c r="E337" s="50">
        <v>8</v>
      </c>
      <c r="F337" s="50">
        <v>7</v>
      </c>
      <c r="G337" s="50">
        <v>30</v>
      </c>
      <c r="H337" s="50">
        <v>53</v>
      </c>
      <c r="I337" s="50">
        <v>135</v>
      </c>
      <c r="J337" s="50">
        <v>35</v>
      </c>
      <c r="K337" s="50">
        <v>100</v>
      </c>
      <c r="L337" s="36">
        <v>2020</v>
      </c>
      <c r="M337" s="50"/>
      <c r="N337" s="50"/>
      <c r="U337" s="146" t="s">
        <v>363</v>
      </c>
      <c r="V337" s="135" t="s">
        <v>363</v>
      </c>
      <c r="W337" s="146" t="s">
        <v>545</v>
      </c>
      <c r="X337" s="146" t="s">
        <v>546</v>
      </c>
      <c r="Y337" s="146" t="s">
        <v>255</v>
      </c>
    </row>
    <row r="338" spans="1:25" ht="24" customHeight="1" x14ac:dyDescent="0.35">
      <c r="A338" s="50" t="s">
        <v>276</v>
      </c>
      <c r="B338" s="50" t="s">
        <v>255</v>
      </c>
      <c r="C338" s="50" t="s">
        <v>996</v>
      </c>
      <c r="D338" s="50" t="s">
        <v>995</v>
      </c>
      <c r="E338" s="50">
        <v>163904</v>
      </c>
      <c r="F338" s="50">
        <v>49236.991999999998</v>
      </c>
      <c r="G338" s="50">
        <v>121038</v>
      </c>
      <c r="H338" s="50">
        <v>176471</v>
      </c>
      <c r="I338" s="50">
        <v>443307.29300000001</v>
      </c>
      <c r="J338" s="50">
        <v>232687871</v>
      </c>
      <c r="K338" s="50">
        <v>210619422</v>
      </c>
      <c r="L338" s="36">
        <v>2020</v>
      </c>
      <c r="M338" s="50"/>
      <c r="N338" s="50"/>
      <c r="U338" s="16" t="s">
        <v>547</v>
      </c>
      <c r="V338" s="135" t="s">
        <v>547</v>
      </c>
      <c r="W338" s="146" t="s">
        <v>548</v>
      </c>
      <c r="X338" s="146" t="s">
        <v>367</v>
      </c>
      <c r="Y338" s="146" t="s">
        <v>255</v>
      </c>
    </row>
    <row r="339" spans="1:25" ht="24" customHeight="1" x14ac:dyDescent="0.35">
      <c r="A339" s="50" t="s">
        <v>278</v>
      </c>
      <c r="B339" s="50" t="s">
        <v>255</v>
      </c>
      <c r="C339" s="50" t="s">
        <v>993</v>
      </c>
      <c r="D339" s="50" t="s">
        <v>997</v>
      </c>
      <c r="E339" s="50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36">
        <v>2020</v>
      </c>
      <c r="M339" s="50"/>
      <c r="N339" s="50"/>
      <c r="U339" s="16" t="s">
        <v>547</v>
      </c>
      <c r="V339" s="135" t="s">
        <v>547</v>
      </c>
      <c r="W339" s="146" t="s">
        <v>549</v>
      </c>
      <c r="X339" s="146" t="s">
        <v>369</v>
      </c>
      <c r="Y339" s="146" t="s">
        <v>255</v>
      </c>
    </row>
    <row r="340" spans="1:25" ht="24" customHeight="1" x14ac:dyDescent="0.35">
      <c r="A340" s="50" t="s">
        <v>278</v>
      </c>
      <c r="B340" s="50" t="s">
        <v>255</v>
      </c>
      <c r="C340" s="50" t="s">
        <v>993</v>
      </c>
      <c r="D340" s="50" t="s">
        <v>994</v>
      </c>
      <c r="E340" s="50">
        <v>1</v>
      </c>
      <c r="F340" s="50">
        <v>0</v>
      </c>
      <c r="G340" s="50">
        <v>0</v>
      </c>
      <c r="H340" s="50">
        <v>0</v>
      </c>
      <c r="I340" s="50">
        <v>1</v>
      </c>
      <c r="J340" s="50">
        <v>0</v>
      </c>
      <c r="K340" s="50">
        <v>4</v>
      </c>
      <c r="L340" s="36">
        <v>2020</v>
      </c>
      <c r="M340" s="50"/>
      <c r="N340" s="50"/>
      <c r="U340" s="146" t="s">
        <v>551</v>
      </c>
      <c r="V340" s="135" t="s">
        <v>551</v>
      </c>
      <c r="W340" s="146" t="s">
        <v>552</v>
      </c>
      <c r="X340" s="146" t="s">
        <v>372</v>
      </c>
      <c r="Y340" s="146" t="s">
        <v>255</v>
      </c>
    </row>
    <row r="341" spans="1:25" ht="24" customHeight="1" x14ac:dyDescent="0.35">
      <c r="A341" s="50" t="s">
        <v>278</v>
      </c>
      <c r="B341" s="50" t="s">
        <v>255</v>
      </c>
      <c r="C341" s="50" t="s">
        <v>993</v>
      </c>
      <c r="D341" s="50" t="s">
        <v>995</v>
      </c>
      <c r="E341" s="50">
        <v>19200</v>
      </c>
      <c r="F341" s="50">
        <v>0</v>
      </c>
      <c r="G341" s="50">
        <v>0</v>
      </c>
      <c r="H341" s="50">
        <v>0</v>
      </c>
      <c r="I341" s="50">
        <v>0</v>
      </c>
      <c r="J341" s="50"/>
      <c r="K341" s="50"/>
      <c r="L341" s="36">
        <v>2020</v>
      </c>
      <c r="M341" s="50"/>
      <c r="N341" s="50"/>
      <c r="U341" s="146" t="s">
        <v>373</v>
      </c>
      <c r="V341" s="135" t="s">
        <v>373</v>
      </c>
      <c r="W341" s="146" t="s">
        <v>91</v>
      </c>
      <c r="X341" s="146" t="s">
        <v>90</v>
      </c>
      <c r="Y341" s="146" t="s">
        <v>41</v>
      </c>
    </row>
    <row r="342" spans="1:25" ht="24" customHeight="1" x14ac:dyDescent="0.35">
      <c r="A342" s="50" t="s">
        <v>278</v>
      </c>
      <c r="B342" s="50" t="s">
        <v>255</v>
      </c>
      <c r="C342" s="50" t="s">
        <v>996</v>
      </c>
      <c r="D342" s="50" t="s">
        <v>997</v>
      </c>
      <c r="E342" s="50">
        <v>1</v>
      </c>
      <c r="F342" s="50">
        <v>0</v>
      </c>
      <c r="G342" s="50">
        <v>1</v>
      </c>
      <c r="H342" s="50">
        <v>1</v>
      </c>
      <c r="I342" s="50">
        <v>2</v>
      </c>
      <c r="J342" s="50">
        <v>2</v>
      </c>
      <c r="K342" s="50">
        <v>0</v>
      </c>
      <c r="L342" s="36">
        <v>2020</v>
      </c>
      <c r="M342" s="50"/>
      <c r="N342" s="50"/>
      <c r="U342" s="146" t="s">
        <v>374</v>
      </c>
      <c r="V342" s="135" t="s">
        <v>374</v>
      </c>
      <c r="W342" s="146" t="s">
        <v>553</v>
      </c>
      <c r="X342" s="146" t="s">
        <v>52</v>
      </c>
      <c r="Y342" s="146" t="s">
        <v>41</v>
      </c>
    </row>
    <row r="343" spans="1:25" ht="24" customHeight="1" x14ac:dyDescent="0.35">
      <c r="A343" s="50" t="s">
        <v>278</v>
      </c>
      <c r="B343" s="50" t="s">
        <v>255</v>
      </c>
      <c r="C343" s="50" t="s">
        <v>996</v>
      </c>
      <c r="D343" s="50" t="s">
        <v>994</v>
      </c>
      <c r="E343" s="50">
        <v>5</v>
      </c>
      <c r="F343" s="50">
        <v>0</v>
      </c>
      <c r="G343" s="50">
        <f>12+6</f>
        <v>18</v>
      </c>
      <c r="H343" s="50">
        <f>18+8</f>
        <v>26</v>
      </c>
      <c r="I343" s="50">
        <v>29</v>
      </c>
      <c r="J343" s="50">
        <v>25</v>
      </c>
      <c r="K343" s="50">
        <v>4</v>
      </c>
      <c r="L343" s="36">
        <v>2020</v>
      </c>
      <c r="M343" s="50"/>
      <c r="N343" s="50"/>
      <c r="U343" s="146" t="s">
        <v>374</v>
      </c>
      <c r="V343" s="135" t="s">
        <v>374</v>
      </c>
      <c r="W343" s="146" t="s">
        <v>555</v>
      </c>
      <c r="X343" s="146" t="s">
        <v>102</v>
      </c>
      <c r="Y343" s="146" t="s">
        <v>41</v>
      </c>
    </row>
    <row r="344" spans="1:25" ht="24" customHeight="1" x14ac:dyDescent="0.35">
      <c r="A344" s="50" t="s">
        <v>278</v>
      </c>
      <c r="B344" s="50" t="s">
        <v>255</v>
      </c>
      <c r="C344" s="50" t="s">
        <v>996</v>
      </c>
      <c r="D344" s="50" t="s">
        <v>995</v>
      </c>
      <c r="E344" s="50">
        <f>86400</f>
        <v>86400</v>
      </c>
      <c r="F344" s="50">
        <v>0</v>
      </c>
      <c r="G344" s="50">
        <f>6000*19</f>
        <v>114000</v>
      </c>
      <c r="H344" s="50">
        <f>1806*27</f>
        <v>48762</v>
      </c>
      <c r="I344" s="50">
        <v>0</v>
      </c>
      <c r="J344" s="50">
        <v>0</v>
      </c>
      <c r="K344" s="50">
        <v>0</v>
      </c>
      <c r="L344" s="36">
        <v>2020</v>
      </c>
      <c r="M344" s="50"/>
      <c r="N344" s="50"/>
      <c r="U344" s="146" t="s">
        <v>374</v>
      </c>
      <c r="V344" s="135" t="s">
        <v>374</v>
      </c>
      <c r="W344" s="146" t="s">
        <v>557</v>
      </c>
      <c r="X344" s="146" t="s">
        <v>375</v>
      </c>
      <c r="Y344" s="146" t="s">
        <v>41</v>
      </c>
    </row>
    <row r="345" spans="1:25" ht="24" customHeight="1" x14ac:dyDescent="0.35">
      <c r="A345" s="50" t="s">
        <v>282</v>
      </c>
      <c r="B345" s="50" t="s">
        <v>255</v>
      </c>
      <c r="C345" s="50" t="s">
        <v>993</v>
      </c>
      <c r="D345" s="50" t="s">
        <v>997</v>
      </c>
      <c r="E345" s="50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36">
        <v>2020</v>
      </c>
      <c r="M345" s="50"/>
      <c r="N345" s="50"/>
      <c r="U345" s="149" t="s">
        <v>558</v>
      </c>
      <c r="V345" s="135" t="s">
        <v>558</v>
      </c>
      <c r="W345" s="149" t="s">
        <v>559</v>
      </c>
      <c r="X345" s="149" t="s">
        <v>44</v>
      </c>
      <c r="Y345" s="149" t="s">
        <v>46</v>
      </c>
    </row>
    <row r="346" spans="1:25" ht="24" customHeight="1" x14ac:dyDescent="0.35">
      <c r="A346" s="50" t="s">
        <v>282</v>
      </c>
      <c r="B346" s="50" t="s">
        <v>255</v>
      </c>
      <c r="C346" s="50" t="s">
        <v>993</v>
      </c>
      <c r="D346" s="50" t="s">
        <v>994</v>
      </c>
      <c r="E346" s="50">
        <v>3</v>
      </c>
      <c r="F346" s="50">
        <v>0</v>
      </c>
      <c r="G346" s="50">
        <v>0</v>
      </c>
      <c r="H346" s="50">
        <v>0</v>
      </c>
      <c r="I346" s="50">
        <v>3</v>
      </c>
      <c r="J346" s="50">
        <v>0</v>
      </c>
      <c r="K346" s="50">
        <v>0</v>
      </c>
      <c r="L346" s="36">
        <v>2020</v>
      </c>
      <c r="M346" s="50"/>
      <c r="N346" s="50"/>
      <c r="U346" s="146" t="s">
        <v>376</v>
      </c>
      <c r="V346" s="135" t="s">
        <v>93</v>
      </c>
      <c r="W346" s="146" t="s">
        <v>95</v>
      </c>
      <c r="X346" s="146" t="s">
        <v>94</v>
      </c>
      <c r="Y346" s="146" t="s">
        <v>41</v>
      </c>
    </row>
    <row r="347" spans="1:25" ht="24" customHeight="1" x14ac:dyDescent="0.35">
      <c r="A347" s="50" t="s">
        <v>282</v>
      </c>
      <c r="B347" s="50" t="s">
        <v>255</v>
      </c>
      <c r="C347" s="50" t="s">
        <v>993</v>
      </c>
      <c r="D347" s="50" t="s">
        <v>995</v>
      </c>
      <c r="E347" s="50">
        <v>16950</v>
      </c>
      <c r="F347" s="50">
        <v>0</v>
      </c>
      <c r="G347" s="50">
        <v>0</v>
      </c>
      <c r="H347" s="50">
        <v>0</v>
      </c>
      <c r="I347" s="50">
        <v>16950</v>
      </c>
      <c r="J347" s="50"/>
      <c r="K347" s="50"/>
      <c r="L347" s="36">
        <v>2020</v>
      </c>
      <c r="M347" s="50"/>
      <c r="N347" s="50"/>
      <c r="U347" s="146" t="s">
        <v>377</v>
      </c>
      <c r="V347" s="135" t="s">
        <v>96</v>
      </c>
      <c r="W347" s="146" t="s">
        <v>560</v>
      </c>
      <c r="X347" s="146" t="s">
        <v>97</v>
      </c>
      <c r="Y347" s="146" t="s">
        <v>255</v>
      </c>
    </row>
    <row r="348" spans="1:25" ht="24" customHeight="1" x14ac:dyDescent="0.35">
      <c r="A348" s="50" t="s">
        <v>282</v>
      </c>
      <c r="B348" s="50" t="s">
        <v>255</v>
      </c>
      <c r="C348" s="50" t="s">
        <v>996</v>
      </c>
      <c r="D348" s="50" t="s">
        <v>997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36">
        <v>2020</v>
      </c>
      <c r="M348" s="50"/>
      <c r="N348" s="50"/>
      <c r="U348" s="146" t="s">
        <v>382</v>
      </c>
      <c r="V348" s="135" t="s">
        <v>101</v>
      </c>
      <c r="W348" s="146" t="s">
        <v>103</v>
      </c>
      <c r="X348" s="146" t="s">
        <v>102</v>
      </c>
      <c r="Y348" s="146" t="s">
        <v>41</v>
      </c>
    </row>
    <row r="349" spans="1:25" ht="24" customHeight="1" x14ac:dyDescent="0.35">
      <c r="A349" s="50" t="s">
        <v>282</v>
      </c>
      <c r="B349" s="50" t="s">
        <v>255</v>
      </c>
      <c r="C349" s="50" t="s">
        <v>996</v>
      </c>
      <c r="D349" s="50" t="s">
        <v>994</v>
      </c>
      <c r="E349" s="50">
        <v>1</v>
      </c>
      <c r="F349" s="50">
        <v>0</v>
      </c>
      <c r="G349" s="50">
        <v>37</v>
      </c>
      <c r="H349" s="50">
        <v>186</v>
      </c>
      <c r="I349" s="50">
        <v>224</v>
      </c>
      <c r="J349" s="50">
        <v>0</v>
      </c>
      <c r="K349" s="50">
        <v>37</v>
      </c>
      <c r="L349" s="36">
        <v>2020</v>
      </c>
      <c r="M349" s="50"/>
      <c r="N349" s="50"/>
      <c r="U349" s="65" t="s">
        <v>638</v>
      </c>
      <c r="V349" s="135" t="s">
        <v>638</v>
      </c>
      <c r="W349" s="65" t="s">
        <v>639</v>
      </c>
      <c r="X349" s="65" t="s">
        <v>640</v>
      </c>
      <c r="Y349" s="65" t="s">
        <v>57</v>
      </c>
    </row>
    <row r="350" spans="1:25" ht="24" customHeight="1" x14ac:dyDescent="0.35">
      <c r="A350" s="50" t="s">
        <v>282</v>
      </c>
      <c r="B350" s="50" t="s">
        <v>255</v>
      </c>
      <c r="C350" s="50" t="s">
        <v>996</v>
      </c>
      <c r="D350" s="50" t="s">
        <v>995</v>
      </c>
      <c r="E350" s="50">
        <v>5650</v>
      </c>
      <c r="F350" s="50">
        <v>0</v>
      </c>
      <c r="G350" s="50">
        <v>5678</v>
      </c>
      <c r="H350" s="50">
        <v>14310</v>
      </c>
      <c r="I350" s="50">
        <v>25638</v>
      </c>
      <c r="J350" s="50">
        <v>0</v>
      </c>
      <c r="K350" s="50">
        <v>5678</v>
      </c>
      <c r="L350" s="36">
        <v>2020</v>
      </c>
      <c r="M350" s="50"/>
      <c r="N350" s="50"/>
      <c r="U350" s="65" t="s">
        <v>638</v>
      </c>
      <c r="V350" s="135" t="s">
        <v>638</v>
      </c>
      <c r="W350" s="65" t="s">
        <v>639</v>
      </c>
      <c r="X350" s="135" t="s">
        <v>2</v>
      </c>
      <c r="Y350" s="135" t="s">
        <v>255</v>
      </c>
    </row>
    <row r="351" spans="1:25" ht="24" customHeight="1" x14ac:dyDescent="0.35">
      <c r="A351" s="50" t="s">
        <v>292</v>
      </c>
      <c r="B351" s="50" t="s">
        <v>255</v>
      </c>
      <c r="C351" s="50" t="s">
        <v>993</v>
      </c>
      <c r="D351" s="50" t="s">
        <v>997</v>
      </c>
      <c r="E351" s="50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36">
        <v>2020</v>
      </c>
      <c r="M351" s="50"/>
      <c r="N351" s="50"/>
      <c r="U351" s="146" t="s">
        <v>106</v>
      </c>
      <c r="V351" s="135" t="s">
        <v>106</v>
      </c>
      <c r="W351" s="146" t="s">
        <v>564</v>
      </c>
      <c r="X351" s="146" t="s">
        <v>107</v>
      </c>
      <c r="Y351" s="146" t="s">
        <v>57</v>
      </c>
    </row>
    <row r="352" spans="1:25" ht="24" customHeight="1" x14ac:dyDescent="0.35">
      <c r="A352" s="50" t="s">
        <v>292</v>
      </c>
      <c r="B352" s="50" t="s">
        <v>255</v>
      </c>
      <c r="C352" s="50" t="s">
        <v>993</v>
      </c>
      <c r="D352" s="50" t="s">
        <v>994</v>
      </c>
      <c r="E352" s="50">
        <v>1</v>
      </c>
      <c r="F352" s="50">
        <v>0</v>
      </c>
      <c r="G352" s="50">
        <v>0</v>
      </c>
      <c r="H352" s="50">
        <v>0</v>
      </c>
      <c r="I352" s="50">
        <v>1</v>
      </c>
      <c r="J352" s="50">
        <v>0</v>
      </c>
      <c r="K352" s="50">
        <v>0</v>
      </c>
      <c r="L352" s="36">
        <v>2020</v>
      </c>
      <c r="M352" s="50"/>
      <c r="N352" s="50"/>
      <c r="U352" s="65" t="s">
        <v>643</v>
      </c>
      <c r="V352" s="135" t="s">
        <v>643</v>
      </c>
      <c r="W352" s="65" t="s">
        <v>644</v>
      </c>
      <c r="X352" s="65" t="s">
        <v>645</v>
      </c>
      <c r="Y352" s="65" t="s">
        <v>57</v>
      </c>
    </row>
    <row r="353" spans="1:25" ht="24" customHeight="1" x14ac:dyDescent="0.35">
      <c r="A353" s="50" t="s">
        <v>292</v>
      </c>
      <c r="B353" s="50" t="s">
        <v>255</v>
      </c>
      <c r="C353" s="50" t="s">
        <v>993</v>
      </c>
      <c r="D353" s="50" t="s">
        <v>995</v>
      </c>
      <c r="E353" s="50">
        <v>34472</v>
      </c>
      <c r="F353" s="50">
        <v>0</v>
      </c>
      <c r="G353" s="50">
        <v>0</v>
      </c>
      <c r="H353" s="50">
        <v>0</v>
      </c>
      <c r="I353" s="50">
        <v>34472</v>
      </c>
      <c r="J353" s="50"/>
      <c r="K353" s="50"/>
      <c r="L353" s="36">
        <v>2020</v>
      </c>
      <c r="M353" s="50"/>
      <c r="N353" s="50"/>
      <c r="U353" s="146" t="s">
        <v>388</v>
      </c>
      <c r="V353" s="135" t="s">
        <v>388</v>
      </c>
      <c r="W353" s="146" t="s">
        <v>389</v>
      </c>
      <c r="X353" s="146" t="s">
        <v>390</v>
      </c>
      <c r="Y353" s="146" t="s">
        <v>255</v>
      </c>
    </row>
    <row r="354" spans="1:25" ht="24" customHeight="1" x14ac:dyDescent="0.35">
      <c r="A354" s="50" t="s">
        <v>292</v>
      </c>
      <c r="B354" s="50" t="s">
        <v>255</v>
      </c>
      <c r="C354" s="50" t="s">
        <v>996</v>
      </c>
      <c r="D354" s="50" t="s">
        <v>997</v>
      </c>
      <c r="E354" s="50">
        <v>1</v>
      </c>
      <c r="F354" s="50">
        <v>0</v>
      </c>
      <c r="G354" s="50">
        <v>0</v>
      </c>
      <c r="H354" s="50">
        <v>5</v>
      </c>
      <c r="I354" s="50">
        <v>6</v>
      </c>
      <c r="J354" s="50">
        <v>3</v>
      </c>
      <c r="K354" s="50">
        <v>3</v>
      </c>
      <c r="L354" s="36">
        <v>2020</v>
      </c>
      <c r="M354" s="50"/>
      <c r="N354" s="50"/>
      <c r="U354" s="146" t="s">
        <v>567</v>
      </c>
      <c r="V354" s="135" t="s">
        <v>567</v>
      </c>
      <c r="W354" s="146" t="s">
        <v>394</v>
      </c>
      <c r="X354" s="146" t="s">
        <v>568</v>
      </c>
      <c r="Y354" s="146" t="s">
        <v>46</v>
      </c>
    </row>
    <row r="355" spans="1:25" ht="24" customHeight="1" x14ac:dyDescent="0.35">
      <c r="A355" s="50" t="s">
        <v>292</v>
      </c>
      <c r="B355" s="50" t="s">
        <v>255</v>
      </c>
      <c r="C355" s="50" t="s">
        <v>996</v>
      </c>
      <c r="D355" s="50" t="s">
        <v>994</v>
      </c>
      <c r="E355" s="50">
        <v>1</v>
      </c>
      <c r="F355" s="50">
        <v>2</v>
      </c>
      <c r="G355" s="50">
        <v>9</v>
      </c>
      <c r="H355" s="50">
        <v>53</v>
      </c>
      <c r="I355" s="50">
        <v>65</v>
      </c>
      <c r="J355" s="50">
        <v>17</v>
      </c>
      <c r="K355" s="50">
        <v>82</v>
      </c>
      <c r="L355" s="36">
        <v>2020</v>
      </c>
      <c r="M355" s="50"/>
      <c r="N355" s="50"/>
      <c r="U355" s="16" t="s">
        <v>646</v>
      </c>
      <c r="V355" s="135" t="s">
        <v>646</v>
      </c>
      <c r="W355" s="146" t="s">
        <v>598</v>
      </c>
      <c r="X355" s="146" t="s">
        <v>599</v>
      </c>
      <c r="Y355" s="146" t="s">
        <v>46</v>
      </c>
    </row>
    <row r="356" spans="1:25" ht="24" customHeight="1" x14ac:dyDescent="0.35">
      <c r="A356" s="50" t="s">
        <v>292</v>
      </c>
      <c r="B356" s="50" t="s">
        <v>255</v>
      </c>
      <c r="C356" s="50" t="s">
        <v>996</v>
      </c>
      <c r="D356" s="50" t="s">
        <v>995</v>
      </c>
      <c r="E356" s="50">
        <v>78780</v>
      </c>
      <c r="F356" s="50">
        <v>16265</v>
      </c>
      <c r="G356" s="50">
        <v>22228</v>
      </c>
      <c r="H356" s="50">
        <v>37815</v>
      </c>
      <c r="I356" s="50">
        <v>155088</v>
      </c>
      <c r="J356" s="50">
        <v>129733</v>
      </c>
      <c r="K356" s="50">
        <v>25354</v>
      </c>
      <c r="L356" s="36">
        <v>2020</v>
      </c>
      <c r="M356" s="50"/>
      <c r="N356" s="50"/>
      <c r="U356" s="146" t="s">
        <v>569</v>
      </c>
      <c r="V356" s="135" t="s">
        <v>569</v>
      </c>
      <c r="W356" s="146" t="s">
        <v>398</v>
      </c>
      <c r="X356" s="146" t="s">
        <v>399</v>
      </c>
      <c r="Y356" s="146" t="s">
        <v>41</v>
      </c>
    </row>
    <row r="357" spans="1:25" ht="24" customHeight="1" x14ac:dyDescent="0.35">
      <c r="A357" s="50" t="s">
        <v>861</v>
      </c>
      <c r="B357" s="146" t="s">
        <v>255</v>
      </c>
      <c r="C357" s="50" t="s">
        <v>993</v>
      </c>
      <c r="D357" s="50" t="s">
        <v>997</v>
      </c>
      <c r="E357" s="50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36">
        <v>2020</v>
      </c>
      <c r="M357" s="50"/>
      <c r="N357" s="50"/>
      <c r="U357" s="146" t="s">
        <v>391</v>
      </c>
      <c r="V357" s="135" t="s">
        <v>391</v>
      </c>
      <c r="W357" s="146" t="s">
        <v>570</v>
      </c>
      <c r="X357" s="146" t="s">
        <v>571</v>
      </c>
      <c r="Y357" s="146" t="s">
        <v>255</v>
      </c>
    </row>
    <row r="358" spans="1:25" ht="24" customHeight="1" x14ac:dyDescent="0.35">
      <c r="A358" s="50" t="s">
        <v>861</v>
      </c>
      <c r="B358" s="146" t="s">
        <v>255</v>
      </c>
      <c r="C358" s="50" t="s">
        <v>993</v>
      </c>
      <c r="D358" s="50" t="s">
        <v>994</v>
      </c>
      <c r="E358" s="50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36">
        <v>2020</v>
      </c>
      <c r="M358" s="50"/>
      <c r="N358" s="50"/>
      <c r="U358" s="146" t="s">
        <v>572</v>
      </c>
      <c r="V358" s="135" t="s">
        <v>572</v>
      </c>
      <c r="W358" s="135" t="s">
        <v>403</v>
      </c>
      <c r="X358" s="135" t="s">
        <v>111</v>
      </c>
      <c r="Y358" s="135" t="s">
        <v>41</v>
      </c>
    </row>
    <row r="359" spans="1:25" ht="24" customHeight="1" x14ac:dyDescent="0.35">
      <c r="A359" s="50" t="s">
        <v>861</v>
      </c>
      <c r="B359" s="146" t="s">
        <v>255</v>
      </c>
      <c r="C359" s="50" t="s">
        <v>993</v>
      </c>
      <c r="D359" s="50" t="s">
        <v>995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/>
      <c r="K359" s="50"/>
      <c r="L359" s="36">
        <v>2020</v>
      </c>
      <c r="M359" s="50"/>
      <c r="N359" s="50"/>
      <c r="U359" s="146" t="s">
        <v>572</v>
      </c>
      <c r="V359" s="135" t="s">
        <v>572</v>
      </c>
      <c r="W359" s="135" t="s">
        <v>407</v>
      </c>
      <c r="X359" s="135" t="s">
        <v>102</v>
      </c>
      <c r="Y359" s="135" t="s">
        <v>41</v>
      </c>
    </row>
    <row r="360" spans="1:25" ht="24" customHeight="1" x14ac:dyDescent="0.35">
      <c r="A360" s="50" t="s">
        <v>861</v>
      </c>
      <c r="B360" s="146" t="s">
        <v>255</v>
      </c>
      <c r="C360" s="50" t="s">
        <v>996</v>
      </c>
      <c r="D360" s="50" t="s">
        <v>997</v>
      </c>
      <c r="E360" s="50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36">
        <v>2020</v>
      </c>
      <c r="M360" s="50"/>
      <c r="N360" s="50"/>
      <c r="U360" s="146" t="s">
        <v>572</v>
      </c>
      <c r="V360" s="135" t="s">
        <v>572</v>
      </c>
      <c r="W360" s="135" t="s">
        <v>573</v>
      </c>
      <c r="X360" s="135" t="s">
        <v>408</v>
      </c>
      <c r="Y360" s="135" t="s">
        <v>41</v>
      </c>
    </row>
    <row r="361" spans="1:25" ht="24" customHeight="1" x14ac:dyDescent="0.35">
      <c r="A361" s="50" t="s">
        <v>861</v>
      </c>
      <c r="B361" s="146" t="s">
        <v>255</v>
      </c>
      <c r="C361" s="50" t="s">
        <v>996</v>
      </c>
      <c r="D361" s="50" t="s">
        <v>994</v>
      </c>
      <c r="E361" s="50">
        <v>1</v>
      </c>
      <c r="F361" s="50">
        <v>0</v>
      </c>
      <c r="G361" s="50">
        <v>0</v>
      </c>
      <c r="H361" s="50">
        <v>0</v>
      </c>
      <c r="I361" s="50">
        <v>1</v>
      </c>
      <c r="J361" s="50">
        <v>1</v>
      </c>
      <c r="K361" s="50">
        <v>0</v>
      </c>
      <c r="L361" s="36">
        <v>2020</v>
      </c>
      <c r="M361" s="50"/>
      <c r="N361" s="50"/>
      <c r="U361" s="146" t="s">
        <v>572</v>
      </c>
      <c r="V361" s="135" t="s">
        <v>572</v>
      </c>
      <c r="W361" s="135" t="s">
        <v>409</v>
      </c>
      <c r="X361" s="135" t="s">
        <v>410</v>
      </c>
      <c r="Y361" s="135" t="s">
        <v>41</v>
      </c>
    </row>
    <row r="362" spans="1:25" ht="24" customHeight="1" x14ac:dyDescent="0.35">
      <c r="A362" s="50" t="s">
        <v>861</v>
      </c>
      <c r="B362" s="146" t="s">
        <v>255</v>
      </c>
      <c r="C362" s="50" t="s">
        <v>996</v>
      </c>
      <c r="D362" s="50" t="s">
        <v>995</v>
      </c>
      <c r="E362" s="50">
        <v>18000</v>
      </c>
      <c r="F362" s="50">
        <v>0</v>
      </c>
      <c r="G362" s="50">
        <v>0</v>
      </c>
      <c r="H362" s="50">
        <v>0</v>
      </c>
      <c r="I362" s="50">
        <v>18000</v>
      </c>
      <c r="J362" s="50">
        <v>18000</v>
      </c>
      <c r="K362" s="50">
        <v>0</v>
      </c>
      <c r="L362" s="36">
        <v>2020</v>
      </c>
      <c r="M362" s="50"/>
      <c r="N362" s="50"/>
      <c r="U362" s="145" t="s">
        <v>128</v>
      </c>
      <c r="V362" s="135" t="s">
        <v>128</v>
      </c>
      <c r="W362" s="149" t="s">
        <v>130</v>
      </c>
      <c r="X362" s="145" t="s">
        <v>129</v>
      </c>
      <c r="Y362" s="145" t="s">
        <v>41</v>
      </c>
    </row>
    <row r="363" spans="1:25" ht="24" customHeight="1" x14ac:dyDescent="0.35">
      <c r="A363" s="50" t="s">
        <v>300</v>
      </c>
      <c r="B363" s="50" t="s">
        <v>41</v>
      </c>
      <c r="C363" s="50" t="s">
        <v>993</v>
      </c>
      <c r="D363" s="50" t="s">
        <v>997</v>
      </c>
      <c r="E363" s="50">
        <v>1</v>
      </c>
      <c r="F363" s="50">
        <v>0</v>
      </c>
      <c r="G363" s="50">
        <v>0</v>
      </c>
      <c r="H363" s="50">
        <v>0</v>
      </c>
      <c r="I363" s="50">
        <v>1</v>
      </c>
      <c r="J363" s="50">
        <v>1</v>
      </c>
      <c r="K363" s="50">
        <v>0</v>
      </c>
      <c r="L363" s="36">
        <v>2020</v>
      </c>
      <c r="M363" s="50"/>
      <c r="N363" s="50"/>
      <c r="U363" s="145" t="s">
        <v>128</v>
      </c>
      <c r="V363" s="135" t="s">
        <v>128</v>
      </c>
      <c r="W363" s="149" t="s">
        <v>395</v>
      </c>
      <c r="X363" s="145" t="s">
        <v>52</v>
      </c>
      <c r="Y363" s="145" t="s">
        <v>41</v>
      </c>
    </row>
    <row r="364" spans="1:25" ht="24" customHeight="1" x14ac:dyDescent="0.35">
      <c r="A364" s="50" t="s">
        <v>300</v>
      </c>
      <c r="B364" s="50" t="s">
        <v>41</v>
      </c>
      <c r="C364" s="50" t="s">
        <v>993</v>
      </c>
      <c r="D364" s="50" t="s">
        <v>994</v>
      </c>
      <c r="E364" s="50">
        <v>12</v>
      </c>
      <c r="F364" s="50">
        <v>0</v>
      </c>
      <c r="G364" s="50">
        <v>0</v>
      </c>
      <c r="H364" s="50">
        <v>0</v>
      </c>
      <c r="I364" s="50">
        <v>12</v>
      </c>
      <c r="J364" s="50">
        <v>12</v>
      </c>
      <c r="K364" s="50">
        <v>0</v>
      </c>
      <c r="L364" s="36">
        <v>2020</v>
      </c>
      <c r="M364" s="50"/>
      <c r="N364" s="50"/>
      <c r="U364" s="145" t="s">
        <v>128</v>
      </c>
      <c r="V364" s="135" t="s">
        <v>128</v>
      </c>
      <c r="W364" s="149" t="s">
        <v>576</v>
      </c>
      <c r="X364" s="149" t="s">
        <v>416</v>
      </c>
      <c r="Y364" s="149" t="s">
        <v>46</v>
      </c>
    </row>
    <row r="365" spans="1:25" ht="24" customHeight="1" x14ac:dyDescent="0.35">
      <c r="A365" s="50" t="s">
        <v>300</v>
      </c>
      <c r="B365" s="50" t="s">
        <v>41</v>
      </c>
      <c r="C365" s="50" t="s">
        <v>993</v>
      </c>
      <c r="D365" s="50" t="s">
        <v>995</v>
      </c>
      <c r="E365" s="50">
        <v>273434</v>
      </c>
      <c r="F365" s="50">
        <v>0</v>
      </c>
      <c r="G365" s="50">
        <v>0</v>
      </c>
      <c r="H365" s="50">
        <v>0</v>
      </c>
      <c r="I365" s="50">
        <v>273434</v>
      </c>
      <c r="J365" s="50"/>
      <c r="K365" s="50"/>
      <c r="L365" s="36">
        <v>2020</v>
      </c>
      <c r="M365" s="50"/>
      <c r="N365" s="50"/>
      <c r="U365" s="145" t="s">
        <v>128</v>
      </c>
      <c r="V365" s="135" t="s">
        <v>128</v>
      </c>
      <c r="W365" s="149" t="s">
        <v>578</v>
      </c>
      <c r="X365" s="149" t="s">
        <v>52</v>
      </c>
      <c r="Y365" s="149" t="s">
        <v>41</v>
      </c>
    </row>
    <row r="366" spans="1:25" ht="24" customHeight="1" x14ac:dyDescent="0.35">
      <c r="A366" s="50" t="s">
        <v>300</v>
      </c>
      <c r="B366" s="50" t="s">
        <v>41</v>
      </c>
      <c r="C366" s="50" t="s">
        <v>996</v>
      </c>
      <c r="D366" s="50" t="s">
        <v>997</v>
      </c>
      <c r="E366" s="50">
        <v>9</v>
      </c>
      <c r="F366" s="50">
        <v>37</v>
      </c>
      <c r="G366" s="50">
        <v>27</v>
      </c>
      <c r="H366" s="50">
        <v>5</v>
      </c>
      <c r="I366" s="50">
        <v>78</v>
      </c>
      <c r="J366" s="50">
        <v>78</v>
      </c>
      <c r="K366" s="50">
        <v>0</v>
      </c>
      <c r="L366" s="36">
        <v>2020</v>
      </c>
      <c r="M366" s="50"/>
      <c r="N366" s="50"/>
      <c r="U366" s="145" t="s">
        <v>128</v>
      </c>
      <c r="V366" s="135" t="s">
        <v>128</v>
      </c>
      <c r="W366" s="149" t="s">
        <v>647</v>
      </c>
      <c r="X366" s="145" t="s">
        <v>44</v>
      </c>
      <c r="Y366" s="149" t="s">
        <v>41</v>
      </c>
    </row>
    <row r="367" spans="1:25" ht="24" customHeight="1" x14ac:dyDescent="0.35">
      <c r="A367" s="50" t="s">
        <v>300</v>
      </c>
      <c r="B367" s="50" t="s">
        <v>41</v>
      </c>
      <c r="C367" s="50" t="s">
        <v>996</v>
      </c>
      <c r="D367" s="50" t="s">
        <v>994</v>
      </c>
      <c r="E367" s="50">
        <v>107</v>
      </c>
      <c r="F367" s="50">
        <v>209</v>
      </c>
      <c r="G367" s="50">
        <v>445</v>
      </c>
      <c r="H367" s="50">
        <v>20</v>
      </c>
      <c r="I367" s="50">
        <v>781</v>
      </c>
      <c r="J367" s="50">
        <v>781</v>
      </c>
      <c r="K367" s="50">
        <v>0</v>
      </c>
      <c r="L367" s="36">
        <v>2020</v>
      </c>
      <c r="M367" s="50"/>
      <c r="N367" s="50"/>
      <c r="U367" s="145" t="s">
        <v>128</v>
      </c>
      <c r="V367" s="135" t="s">
        <v>128</v>
      </c>
      <c r="W367" s="152" t="s">
        <v>581</v>
      </c>
      <c r="X367" s="149" t="s">
        <v>416</v>
      </c>
      <c r="Y367" s="149" t="s">
        <v>46</v>
      </c>
    </row>
    <row r="368" spans="1:25" ht="24" customHeight="1" x14ac:dyDescent="0.35">
      <c r="A368" s="50" t="s">
        <v>300</v>
      </c>
      <c r="B368" s="50" t="s">
        <v>41</v>
      </c>
      <c r="C368" s="50" t="s">
        <v>996</v>
      </c>
      <c r="D368" s="50" t="s">
        <v>995</v>
      </c>
      <c r="E368" s="50">
        <v>3559911</v>
      </c>
      <c r="F368" s="50">
        <v>1202301</v>
      </c>
      <c r="G368" s="50">
        <v>1033526</v>
      </c>
      <c r="H368" s="50">
        <v>38936</v>
      </c>
      <c r="I368" s="50">
        <v>5834674</v>
      </c>
      <c r="J368" s="50">
        <v>5834674</v>
      </c>
      <c r="K368" s="50">
        <v>0</v>
      </c>
      <c r="L368" s="36">
        <v>2020</v>
      </c>
      <c r="M368" s="50"/>
      <c r="N368" s="50"/>
      <c r="U368" s="145" t="s">
        <v>128</v>
      </c>
      <c r="V368" s="135" t="s">
        <v>128</v>
      </c>
      <c r="W368" s="152" t="s">
        <v>583</v>
      </c>
      <c r="X368" s="145" t="s">
        <v>44</v>
      </c>
      <c r="Y368" s="149" t="s">
        <v>46</v>
      </c>
    </row>
    <row r="369" spans="1:25" ht="24" customHeight="1" x14ac:dyDescent="0.35">
      <c r="A369" s="50" t="s">
        <v>43</v>
      </c>
      <c r="B369" s="50" t="s">
        <v>46</v>
      </c>
      <c r="C369" s="50" t="s">
        <v>996</v>
      </c>
      <c r="D369" s="50" t="s">
        <v>997</v>
      </c>
      <c r="E369" s="50">
        <v>0</v>
      </c>
      <c r="F369" s="50">
        <v>2</v>
      </c>
      <c r="G369" s="50">
        <v>8</v>
      </c>
      <c r="H369" s="50">
        <v>5</v>
      </c>
      <c r="I369" s="50">
        <v>15</v>
      </c>
      <c r="J369" s="50">
        <v>0</v>
      </c>
      <c r="K369" s="50">
        <v>3</v>
      </c>
      <c r="L369" s="36">
        <v>2020</v>
      </c>
      <c r="M369" s="50"/>
      <c r="N369" s="50"/>
      <c r="U369" s="145" t="s">
        <v>128</v>
      </c>
      <c r="V369" s="135" t="s">
        <v>128</v>
      </c>
      <c r="W369" s="152" t="s">
        <v>584</v>
      </c>
      <c r="X369" s="145" t="s">
        <v>44</v>
      </c>
      <c r="Y369" s="149" t="s">
        <v>46</v>
      </c>
    </row>
    <row r="370" spans="1:25" ht="24" customHeight="1" x14ac:dyDescent="0.35">
      <c r="A370" s="50" t="s">
        <v>43</v>
      </c>
      <c r="B370" s="50" t="s">
        <v>46</v>
      </c>
      <c r="C370" s="50" t="s">
        <v>996</v>
      </c>
      <c r="D370" s="50" t="s">
        <v>994</v>
      </c>
      <c r="E370" s="50">
        <v>0</v>
      </c>
      <c r="F370" s="50">
        <v>5</v>
      </c>
      <c r="G370" s="50">
        <v>192</v>
      </c>
      <c r="H370" s="50">
        <v>434</v>
      </c>
      <c r="I370" s="50">
        <v>631</v>
      </c>
      <c r="J370" s="50">
        <v>0</v>
      </c>
      <c r="K370" s="50">
        <v>234</v>
      </c>
      <c r="L370" s="36">
        <v>2020</v>
      </c>
      <c r="M370" s="50"/>
      <c r="N370" s="50"/>
      <c r="U370" s="145" t="s">
        <v>128</v>
      </c>
      <c r="V370" s="135" t="s">
        <v>128</v>
      </c>
      <c r="W370" s="152" t="s">
        <v>585</v>
      </c>
      <c r="X370" s="145" t="s">
        <v>44</v>
      </c>
      <c r="Y370" s="149" t="s">
        <v>46</v>
      </c>
    </row>
    <row r="371" spans="1:25" ht="24" customHeight="1" x14ac:dyDescent="0.35">
      <c r="A371" s="50" t="s">
        <v>43</v>
      </c>
      <c r="B371" s="50" t="s">
        <v>46</v>
      </c>
      <c r="C371" s="50" t="s">
        <v>996</v>
      </c>
      <c r="D371" s="50" t="s">
        <v>995</v>
      </c>
      <c r="E371" s="50">
        <v>0</v>
      </c>
      <c r="F371" s="50">
        <v>192210.78099999999</v>
      </c>
      <c r="G371" s="50">
        <v>751847.897</v>
      </c>
      <c r="H371" s="50">
        <v>723227.51399999997</v>
      </c>
      <c r="I371" s="50">
        <v>1016386192</v>
      </c>
      <c r="J371" s="50">
        <v>0</v>
      </c>
      <c r="K371" s="50">
        <v>291057835</v>
      </c>
      <c r="L371" s="36">
        <v>2020</v>
      </c>
      <c r="M371" s="50"/>
      <c r="N371" s="50"/>
      <c r="U371" s="145" t="s">
        <v>128</v>
      </c>
      <c r="V371" s="135" t="s">
        <v>128</v>
      </c>
      <c r="W371" s="152" t="s">
        <v>586</v>
      </c>
      <c r="X371" s="145" t="s">
        <v>587</v>
      </c>
      <c r="Y371" s="149" t="s">
        <v>46</v>
      </c>
    </row>
    <row r="372" spans="1:25" ht="24" customHeight="1" x14ac:dyDescent="0.35">
      <c r="A372" s="50" t="s">
        <v>43</v>
      </c>
      <c r="B372" s="50" t="s">
        <v>46</v>
      </c>
      <c r="C372" s="50" t="s">
        <v>993</v>
      </c>
      <c r="D372" s="50" t="s">
        <v>997</v>
      </c>
      <c r="E372" s="50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/>
      <c r="L372" s="36">
        <v>2020</v>
      </c>
      <c r="M372" s="50"/>
      <c r="N372" s="50"/>
      <c r="U372" s="145" t="s">
        <v>128</v>
      </c>
      <c r="V372" s="135" t="s">
        <v>128</v>
      </c>
      <c r="W372" s="152" t="s">
        <v>588</v>
      </c>
      <c r="X372" s="149" t="s">
        <v>487</v>
      </c>
      <c r="Y372" s="149" t="s">
        <v>46</v>
      </c>
    </row>
    <row r="373" spans="1:25" ht="24" customHeight="1" x14ac:dyDescent="0.35">
      <c r="A373" s="50" t="s">
        <v>43</v>
      </c>
      <c r="B373" s="50" t="s">
        <v>46</v>
      </c>
      <c r="C373" s="50" t="s">
        <v>993</v>
      </c>
      <c r="D373" s="50" t="s">
        <v>994</v>
      </c>
      <c r="E373" s="50"/>
      <c r="F373" s="50">
        <v>5</v>
      </c>
      <c r="G373" s="50">
        <v>3</v>
      </c>
      <c r="H373" s="50">
        <v>5</v>
      </c>
      <c r="I373" s="50">
        <v>13</v>
      </c>
      <c r="J373" s="50">
        <v>13</v>
      </c>
      <c r="K373" s="50"/>
      <c r="L373" s="36">
        <v>2020</v>
      </c>
      <c r="M373" s="50"/>
      <c r="N373" s="50"/>
      <c r="U373" s="145" t="s">
        <v>128</v>
      </c>
      <c r="V373" s="135" t="s">
        <v>128</v>
      </c>
      <c r="W373" s="152" t="s">
        <v>589</v>
      </c>
      <c r="X373" s="149" t="s">
        <v>487</v>
      </c>
      <c r="Y373" s="149" t="s">
        <v>46</v>
      </c>
    </row>
    <row r="374" spans="1:25" ht="24" customHeight="1" x14ac:dyDescent="0.35">
      <c r="A374" s="50" t="s">
        <v>43</v>
      </c>
      <c r="B374" s="50" t="s">
        <v>46</v>
      </c>
      <c r="C374" s="50" t="s">
        <v>993</v>
      </c>
      <c r="D374" s="50" t="s">
        <v>995</v>
      </c>
      <c r="E374" s="50">
        <v>0</v>
      </c>
      <c r="F374" s="50">
        <v>84213</v>
      </c>
      <c r="G374" s="50">
        <v>15664</v>
      </c>
      <c r="H374" s="50">
        <v>13700.4</v>
      </c>
      <c r="I374" s="50">
        <v>37785705</v>
      </c>
      <c r="J374" s="50">
        <v>0</v>
      </c>
      <c r="K374" s="50"/>
      <c r="L374" s="36">
        <v>2020</v>
      </c>
      <c r="M374" s="50"/>
      <c r="N374" s="50"/>
      <c r="U374" s="146" t="s">
        <v>590</v>
      </c>
      <c r="V374" s="135" t="s">
        <v>590</v>
      </c>
      <c r="W374" s="146" t="s">
        <v>591</v>
      </c>
      <c r="X374" s="146" t="s">
        <v>592</v>
      </c>
      <c r="Y374" s="146" t="s">
        <v>255</v>
      </c>
    </row>
    <row r="375" spans="1:25" ht="24" customHeight="1" x14ac:dyDescent="0.35">
      <c r="A375" s="50" t="s">
        <v>311</v>
      </c>
      <c r="B375" s="50" t="s">
        <v>255</v>
      </c>
      <c r="C375" s="50" t="s">
        <v>996</v>
      </c>
      <c r="D375" s="50" t="s">
        <v>997</v>
      </c>
      <c r="E375" s="50">
        <v>1</v>
      </c>
      <c r="F375" s="50"/>
      <c r="G375" s="50"/>
      <c r="H375" s="50"/>
      <c r="I375" s="50">
        <v>1</v>
      </c>
      <c r="J375" s="50"/>
      <c r="K375" s="50"/>
      <c r="L375" s="36">
        <v>2020</v>
      </c>
      <c r="M375" s="50"/>
      <c r="N375" s="50"/>
      <c r="U375" s="146" t="s">
        <v>590</v>
      </c>
      <c r="V375" s="135" t="s">
        <v>590</v>
      </c>
      <c r="W375" s="146" t="s">
        <v>593</v>
      </c>
      <c r="X375" s="146" t="s">
        <v>594</v>
      </c>
      <c r="Y375" s="146" t="s">
        <v>255</v>
      </c>
    </row>
    <row r="376" spans="1:25" ht="24" customHeight="1" x14ac:dyDescent="0.35">
      <c r="A376" s="50" t="s">
        <v>311</v>
      </c>
      <c r="B376" s="50" t="s">
        <v>255</v>
      </c>
      <c r="C376" s="50" t="s">
        <v>996</v>
      </c>
      <c r="D376" s="50" t="s">
        <v>994</v>
      </c>
      <c r="E376" s="50">
        <v>2</v>
      </c>
      <c r="F376" s="50"/>
      <c r="G376" s="50"/>
      <c r="H376" s="50"/>
      <c r="I376" s="50">
        <v>2</v>
      </c>
      <c r="J376" s="50"/>
      <c r="K376" s="50"/>
      <c r="L376" s="36">
        <v>2020</v>
      </c>
      <c r="M376" s="50"/>
      <c r="N376" s="50"/>
      <c r="U376" s="149" t="s">
        <v>595</v>
      </c>
      <c r="V376" s="135" t="s">
        <v>595</v>
      </c>
      <c r="W376" s="149" t="s">
        <v>596</v>
      </c>
      <c r="X376" s="149" t="s">
        <v>44</v>
      </c>
      <c r="Y376" s="149" t="s">
        <v>46</v>
      </c>
    </row>
    <row r="377" spans="1:25" ht="24" customHeight="1" x14ac:dyDescent="0.35">
      <c r="A377" s="50" t="s">
        <v>311</v>
      </c>
      <c r="B377" s="50" t="s">
        <v>255</v>
      </c>
      <c r="C377" s="50" t="s">
        <v>996</v>
      </c>
      <c r="D377" s="50" t="s">
        <v>995</v>
      </c>
      <c r="E377" s="50">
        <v>5500</v>
      </c>
      <c r="F377" s="50"/>
      <c r="G377" s="50"/>
      <c r="H377" s="50"/>
      <c r="I377" s="50">
        <v>5500</v>
      </c>
      <c r="J377" s="50"/>
      <c r="K377" s="50"/>
      <c r="L377" s="36">
        <v>2020</v>
      </c>
      <c r="M377" s="50"/>
      <c r="N377" s="50"/>
      <c r="U377" s="146" t="s">
        <v>400</v>
      </c>
      <c r="V377" s="135" t="s">
        <v>400</v>
      </c>
      <c r="W377" s="146" t="s">
        <v>401</v>
      </c>
      <c r="X377" s="146" t="s">
        <v>122</v>
      </c>
      <c r="Y377" s="146" t="s">
        <v>255</v>
      </c>
    </row>
    <row r="378" spans="1:25" ht="24" customHeight="1" x14ac:dyDescent="0.35">
      <c r="A378" s="50" t="s">
        <v>311</v>
      </c>
      <c r="B378" s="50" t="s">
        <v>255</v>
      </c>
      <c r="C378" s="50" t="s">
        <v>993</v>
      </c>
      <c r="D378" s="50" t="s">
        <v>997</v>
      </c>
      <c r="E378" s="50">
        <v>1</v>
      </c>
      <c r="F378" s="50"/>
      <c r="G378" s="50"/>
      <c r="H378" s="50"/>
      <c r="I378" s="50">
        <v>1</v>
      </c>
      <c r="J378" s="50"/>
      <c r="K378" s="50"/>
      <c r="L378" s="36">
        <v>2020</v>
      </c>
      <c r="M378" s="50"/>
      <c r="N378" s="50"/>
      <c r="U378" s="135" t="s">
        <v>124</v>
      </c>
      <c r="V378" s="135" t="s">
        <v>124</v>
      </c>
      <c r="W378" s="135" t="s">
        <v>126</v>
      </c>
      <c r="X378" s="135" t="s">
        <v>125</v>
      </c>
      <c r="Y378" s="135" t="s">
        <v>41</v>
      </c>
    </row>
    <row r="379" spans="1:25" ht="24" customHeight="1" x14ac:dyDescent="0.35">
      <c r="A379" s="50" t="s">
        <v>311</v>
      </c>
      <c r="B379" s="50" t="s">
        <v>255</v>
      </c>
      <c r="C379" s="50" t="s">
        <v>993</v>
      </c>
      <c r="D379" s="50" t="s">
        <v>994</v>
      </c>
      <c r="E379" s="50">
        <v>3</v>
      </c>
      <c r="F379" s="50"/>
      <c r="G379" s="50"/>
      <c r="H379" s="50"/>
      <c r="I379" s="50">
        <v>3</v>
      </c>
      <c r="J379" s="50"/>
      <c r="K379" s="50"/>
      <c r="L379" s="36">
        <v>2020</v>
      </c>
      <c r="M379" s="50"/>
      <c r="N379" s="50"/>
      <c r="U379" s="146" t="s">
        <v>600</v>
      </c>
      <c r="V379" s="135" t="s">
        <v>600</v>
      </c>
      <c r="W379" s="151" t="s">
        <v>601</v>
      </c>
      <c r="X379" s="149" t="s">
        <v>602</v>
      </c>
      <c r="Y379" s="146" t="s">
        <v>255</v>
      </c>
    </row>
    <row r="380" spans="1:25" ht="24" customHeight="1" x14ac:dyDescent="0.35">
      <c r="A380" s="50" t="s">
        <v>311</v>
      </c>
      <c r="B380" s="50" t="s">
        <v>255</v>
      </c>
      <c r="C380" s="50" t="s">
        <v>993</v>
      </c>
      <c r="D380" s="50" t="s">
        <v>995</v>
      </c>
      <c r="E380" s="50">
        <v>26000</v>
      </c>
      <c r="F380" s="50"/>
      <c r="G380" s="50"/>
      <c r="H380" s="50"/>
      <c r="I380" s="50">
        <v>26000</v>
      </c>
      <c r="J380" s="50"/>
      <c r="K380" s="50"/>
      <c r="L380" s="36">
        <v>2020</v>
      </c>
      <c r="M380" s="50"/>
      <c r="N380" s="50"/>
      <c r="U380" s="146" t="s">
        <v>648</v>
      </c>
      <c r="V380" s="135" t="s">
        <v>648</v>
      </c>
      <c r="W380" s="146" t="s">
        <v>562</v>
      </c>
      <c r="X380" s="146" t="s">
        <v>563</v>
      </c>
      <c r="Y380" s="146" t="s">
        <v>46</v>
      </c>
    </row>
    <row r="381" spans="1:25" ht="24" customHeight="1" x14ac:dyDescent="0.35">
      <c r="A381" s="50" t="s">
        <v>314</v>
      </c>
      <c r="B381" s="50" t="s">
        <v>255</v>
      </c>
      <c r="C381" s="50" t="s">
        <v>993</v>
      </c>
      <c r="D381" s="50" t="s">
        <v>997</v>
      </c>
      <c r="E381" s="50">
        <v>1</v>
      </c>
      <c r="F381" s="50">
        <v>0</v>
      </c>
      <c r="G381" s="50">
        <v>0</v>
      </c>
      <c r="H381" s="50">
        <v>0</v>
      </c>
      <c r="I381" s="50">
        <v>1</v>
      </c>
      <c r="J381" s="50">
        <v>0</v>
      </c>
      <c r="K381" s="50">
        <v>0</v>
      </c>
      <c r="L381" s="36">
        <v>2020</v>
      </c>
      <c r="M381" s="50"/>
      <c r="N381" s="50"/>
      <c r="U381" s="146" t="s">
        <v>603</v>
      </c>
      <c r="V381" s="135" t="s">
        <v>648</v>
      </c>
      <c r="W381" s="146" t="s">
        <v>604</v>
      </c>
      <c r="X381" s="146" t="s">
        <v>605</v>
      </c>
      <c r="Y381" s="146" t="s">
        <v>46</v>
      </c>
    </row>
    <row r="382" spans="1:25" ht="24" customHeight="1" x14ac:dyDescent="0.35">
      <c r="A382" s="50" t="s">
        <v>314</v>
      </c>
      <c r="B382" s="50" t="s">
        <v>255</v>
      </c>
      <c r="C382" s="50" t="s">
        <v>993</v>
      </c>
      <c r="D382" s="50" t="s">
        <v>994</v>
      </c>
      <c r="E382" s="50">
        <v>2</v>
      </c>
      <c r="F382" s="50">
        <v>0</v>
      </c>
      <c r="G382" s="50">
        <v>0</v>
      </c>
      <c r="H382" s="50">
        <v>0</v>
      </c>
      <c r="I382" s="50">
        <v>2</v>
      </c>
      <c r="J382" s="50">
        <v>0</v>
      </c>
      <c r="K382" s="50">
        <v>0</v>
      </c>
      <c r="L382" s="36">
        <v>2020</v>
      </c>
      <c r="M382" s="50"/>
      <c r="N382" s="50"/>
      <c r="U382" s="146" t="s">
        <v>649</v>
      </c>
      <c r="V382" s="135" t="s">
        <v>649</v>
      </c>
      <c r="W382" s="146" t="s">
        <v>650</v>
      </c>
      <c r="X382" s="146" t="s">
        <v>651</v>
      </c>
      <c r="Y382" s="146" t="s">
        <v>46</v>
      </c>
    </row>
    <row r="383" spans="1:25" ht="24" customHeight="1" x14ac:dyDescent="0.35">
      <c r="A383" s="50" t="s">
        <v>314</v>
      </c>
      <c r="B383" s="50" t="s">
        <v>255</v>
      </c>
      <c r="C383" s="50" t="s">
        <v>993</v>
      </c>
      <c r="D383" s="50" t="s">
        <v>995</v>
      </c>
      <c r="E383" s="50">
        <v>10800</v>
      </c>
      <c r="F383" s="50">
        <v>0</v>
      </c>
      <c r="G383" s="50">
        <v>0</v>
      </c>
      <c r="H383" s="50">
        <v>0</v>
      </c>
      <c r="I383" s="50">
        <v>10800</v>
      </c>
      <c r="J383" s="50"/>
      <c r="K383" s="50"/>
      <c r="L383" s="36">
        <v>2020</v>
      </c>
      <c r="M383" s="50"/>
      <c r="N383" s="50"/>
      <c r="U383" s="146" t="s">
        <v>612</v>
      </c>
      <c r="V383" s="135" t="s">
        <v>411</v>
      </c>
      <c r="W383" s="146" t="s">
        <v>613</v>
      </c>
      <c r="X383" s="146" t="s">
        <v>494</v>
      </c>
      <c r="Y383" s="146" t="s">
        <v>46</v>
      </c>
    </row>
    <row r="384" spans="1:25" ht="24" customHeight="1" x14ac:dyDescent="0.35">
      <c r="A384" s="50" t="s">
        <v>314</v>
      </c>
      <c r="B384" s="50" t="s">
        <v>255</v>
      </c>
      <c r="C384" s="50" t="s">
        <v>996</v>
      </c>
      <c r="D384" s="50" t="s">
        <v>997</v>
      </c>
      <c r="E384" s="50">
        <v>1</v>
      </c>
      <c r="F384" s="50">
        <v>0</v>
      </c>
      <c r="G384" s="50">
        <v>1</v>
      </c>
      <c r="H384" s="50">
        <v>0</v>
      </c>
      <c r="I384" s="50">
        <v>2</v>
      </c>
      <c r="J384" s="50">
        <v>2</v>
      </c>
      <c r="K384" s="50">
        <v>0</v>
      </c>
      <c r="L384" s="36">
        <v>2020</v>
      </c>
      <c r="M384" s="50"/>
      <c r="N384" s="50"/>
      <c r="U384" s="16" t="s">
        <v>614</v>
      </c>
      <c r="V384" s="135" t="s">
        <v>417</v>
      </c>
      <c r="W384" s="146" t="s">
        <v>420</v>
      </c>
      <c r="X384" s="146" t="s">
        <v>421</v>
      </c>
      <c r="Y384" s="146" t="s">
        <v>255</v>
      </c>
    </row>
    <row r="385" spans="1:25" ht="24" customHeight="1" x14ac:dyDescent="0.35">
      <c r="A385" s="50" t="s">
        <v>314</v>
      </c>
      <c r="B385" s="50" t="s">
        <v>255</v>
      </c>
      <c r="C385" s="50" t="s">
        <v>996</v>
      </c>
      <c r="D385" s="50" t="s">
        <v>994</v>
      </c>
      <c r="E385" s="50">
        <v>4</v>
      </c>
      <c r="F385" s="50">
        <v>0</v>
      </c>
      <c r="G385" s="50">
        <v>1</v>
      </c>
      <c r="H385" s="50">
        <v>0</v>
      </c>
      <c r="I385" s="50">
        <v>5</v>
      </c>
      <c r="J385" s="50">
        <v>5</v>
      </c>
      <c r="K385" s="50">
        <v>0</v>
      </c>
      <c r="L385" s="36">
        <v>2020</v>
      </c>
      <c r="M385" s="50"/>
      <c r="N385" s="50"/>
      <c r="U385" s="16" t="s">
        <v>614</v>
      </c>
      <c r="V385" s="135" t="s">
        <v>417</v>
      </c>
      <c r="W385" s="146" t="s">
        <v>418</v>
      </c>
      <c r="X385" s="146" t="s">
        <v>419</v>
      </c>
      <c r="Y385" s="146" t="s">
        <v>255</v>
      </c>
    </row>
    <row r="386" spans="1:25" ht="24" customHeight="1" x14ac:dyDescent="0.35">
      <c r="A386" s="50" t="s">
        <v>314</v>
      </c>
      <c r="B386" s="50" t="s">
        <v>255</v>
      </c>
      <c r="C386" s="50" t="s">
        <v>996</v>
      </c>
      <c r="D386" s="50" t="s">
        <v>995</v>
      </c>
      <c r="E386" s="50">
        <v>26400</v>
      </c>
      <c r="F386" s="50">
        <v>0</v>
      </c>
      <c r="G386" s="50">
        <v>3600</v>
      </c>
      <c r="H386" s="50">
        <v>0</v>
      </c>
      <c r="I386" s="50">
        <v>30000</v>
      </c>
      <c r="J386" s="50">
        <v>0</v>
      </c>
      <c r="K386" s="50">
        <v>0</v>
      </c>
      <c r="L386" s="36">
        <v>2020</v>
      </c>
      <c r="M386" s="50"/>
      <c r="N386" s="50"/>
      <c r="U386" s="146" t="s">
        <v>615</v>
      </c>
      <c r="V386" s="135" t="s">
        <v>615</v>
      </c>
      <c r="W386" s="146" t="s">
        <v>616</v>
      </c>
      <c r="X386" s="146" t="s">
        <v>291</v>
      </c>
      <c r="Y386" s="146" t="s">
        <v>46</v>
      </c>
    </row>
    <row r="387" spans="1:25" ht="24" customHeight="1" x14ac:dyDescent="0.35">
      <c r="A387" s="50" t="s">
        <v>317</v>
      </c>
      <c r="B387" s="50" t="s">
        <v>41</v>
      </c>
      <c r="C387" s="50" t="s">
        <v>993</v>
      </c>
      <c r="D387" s="50" t="s">
        <v>997</v>
      </c>
      <c r="E387" s="50">
        <v>2</v>
      </c>
      <c r="F387" s="50">
        <v>0</v>
      </c>
      <c r="G387" s="50">
        <v>0</v>
      </c>
      <c r="H387" s="50">
        <v>0</v>
      </c>
      <c r="I387" s="50">
        <v>2</v>
      </c>
      <c r="J387" s="50">
        <v>2</v>
      </c>
      <c r="K387" s="50">
        <v>0</v>
      </c>
      <c r="L387" s="36">
        <v>2020</v>
      </c>
      <c r="M387" s="50"/>
      <c r="N387" s="50"/>
    </row>
    <row r="388" spans="1:25" ht="24" customHeight="1" x14ac:dyDescent="0.35">
      <c r="A388" s="50" t="s">
        <v>317</v>
      </c>
      <c r="B388" s="50" t="s">
        <v>41</v>
      </c>
      <c r="C388" s="50" t="s">
        <v>993</v>
      </c>
      <c r="D388" s="50" t="s">
        <v>994</v>
      </c>
      <c r="E388" s="50">
        <v>10</v>
      </c>
      <c r="F388" s="50">
        <v>0</v>
      </c>
      <c r="G388" s="50">
        <v>0</v>
      </c>
      <c r="H388" s="50">
        <v>0</v>
      </c>
      <c r="I388" s="50">
        <v>10</v>
      </c>
      <c r="J388" s="50">
        <v>10</v>
      </c>
      <c r="K388" s="50">
        <v>0</v>
      </c>
      <c r="L388" s="36">
        <v>2020</v>
      </c>
      <c r="M388" s="50"/>
      <c r="N388" s="50"/>
    </row>
    <row r="389" spans="1:25" ht="24" customHeight="1" x14ac:dyDescent="0.35">
      <c r="A389" s="50" t="s">
        <v>317</v>
      </c>
      <c r="B389" s="50" t="s">
        <v>41</v>
      </c>
      <c r="C389" s="50" t="s">
        <v>993</v>
      </c>
      <c r="D389" s="50" t="s">
        <v>995</v>
      </c>
      <c r="E389" s="50">
        <v>1168453</v>
      </c>
      <c r="F389" s="50">
        <v>0</v>
      </c>
      <c r="G389" s="50">
        <v>0</v>
      </c>
      <c r="H389" s="50">
        <v>0</v>
      </c>
      <c r="I389" s="50">
        <v>1168453</v>
      </c>
      <c r="J389" s="50"/>
      <c r="K389" s="50"/>
      <c r="L389" s="36">
        <v>2020</v>
      </c>
      <c r="M389" s="50"/>
      <c r="N389" s="50"/>
    </row>
    <row r="390" spans="1:25" ht="24" customHeight="1" x14ac:dyDescent="0.35">
      <c r="A390" s="50" t="s">
        <v>317</v>
      </c>
      <c r="B390" s="50" t="s">
        <v>41</v>
      </c>
      <c r="C390" s="50" t="s">
        <v>996</v>
      </c>
      <c r="D390" s="50" t="s">
        <v>997</v>
      </c>
      <c r="E390" s="50">
        <v>4</v>
      </c>
      <c r="F390" s="50">
        <v>7</v>
      </c>
      <c r="G390" s="50">
        <v>13</v>
      </c>
      <c r="H390" s="50">
        <v>1</v>
      </c>
      <c r="I390" s="50">
        <v>25</v>
      </c>
      <c r="J390" s="50">
        <v>25</v>
      </c>
      <c r="K390" s="50">
        <v>25</v>
      </c>
      <c r="L390" s="36">
        <v>2020</v>
      </c>
      <c r="M390" s="50"/>
      <c r="N390" s="50"/>
    </row>
    <row r="391" spans="1:25" ht="24" customHeight="1" x14ac:dyDescent="0.35">
      <c r="A391" s="50" t="s">
        <v>317</v>
      </c>
      <c r="B391" s="50" t="s">
        <v>41</v>
      </c>
      <c r="C391" s="50" t="s">
        <v>996</v>
      </c>
      <c r="D391" s="50" t="s">
        <v>994</v>
      </c>
      <c r="E391" s="50">
        <v>36</v>
      </c>
      <c r="F391" s="50">
        <v>80</v>
      </c>
      <c r="G391" s="50">
        <v>50</v>
      </c>
      <c r="H391" s="50">
        <v>54</v>
      </c>
      <c r="I391" s="50">
        <v>220</v>
      </c>
      <c r="J391" s="50">
        <v>220</v>
      </c>
      <c r="K391" s="50">
        <v>755</v>
      </c>
      <c r="L391" s="36">
        <v>2020</v>
      </c>
      <c r="M391" s="50"/>
      <c r="N391" s="50"/>
    </row>
    <row r="392" spans="1:25" ht="24" customHeight="1" x14ac:dyDescent="0.35">
      <c r="A392" s="50" t="s">
        <v>317</v>
      </c>
      <c r="B392" s="50" t="s">
        <v>41</v>
      </c>
      <c r="C392" s="50" t="s">
        <v>996</v>
      </c>
      <c r="D392" s="50" t="s">
        <v>995</v>
      </c>
      <c r="E392" s="50">
        <v>721890</v>
      </c>
      <c r="F392" s="50">
        <v>940338</v>
      </c>
      <c r="G392" s="50">
        <v>318741</v>
      </c>
      <c r="H392" s="50">
        <v>792900</v>
      </c>
      <c r="I392" s="50">
        <v>2773869</v>
      </c>
      <c r="J392" s="50">
        <v>2773869</v>
      </c>
      <c r="K392" s="50">
        <v>2627944</v>
      </c>
      <c r="L392" s="36">
        <v>2020</v>
      </c>
      <c r="M392" s="50"/>
      <c r="N392" s="50"/>
    </row>
    <row r="393" spans="1:25" ht="24" customHeight="1" x14ac:dyDescent="0.35">
      <c r="A393" s="50" t="s">
        <v>495</v>
      </c>
      <c r="B393" s="50" t="s">
        <v>322</v>
      </c>
      <c r="C393" s="50" t="s">
        <v>996</v>
      </c>
      <c r="D393" s="50" t="s">
        <v>997</v>
      </c>
      <c r="E393" s="50">
        <v>1</v>
      </c>
      <c r="F393" s="50"/>
      <c r="G393" s="50"/>
      <c r="H393" s="50">
        <v>1</v>
      </c>
      <c r="I393" s="50">
        <v>2</v>
      </c>
      <c r="J393" s="50"/>
      <c r="K393" s="50"/>
      <c r="L393" s="36">
        <v>2020</v>
      </c>
      <c r="M393" s="50"/>
      <c r="N393" s="50"/>
    </row>
    <row r="394" spans="1:25" ht="24" customHeight="1" x14ac:dyDescent="0.35">
      <c r="A394" s="50" t="s">
        <v>495</v>
      </c>
      <c r="B394" s="50" t="s">
        <v>322</v>
      </c>
      <c r="C394" s="50" t="s">
        <v>996</v>
      </c>
      <c r="D394" s="50" t="s">
        <v>994</v>
      </c>
      <c r="E394" s="50">
        <v>1</v>
      </c>
      <c r="F394" s="50"/>
      <c r="G394" s="50">
        <v>2</v>
      </c>
      <c r="H394" s="50">
        <v>53</v>
      </c>
      <c r="I394" s="50">
        <v>56</v>
      </c>
      <c r="J394" s="50"/>
      <c r="K394" s="50"/>
      <c r="L394" s="36">
        <v>2020</v>
      </c>
      <c r="M394" s="50"/>
      <c r="N394" s="50"/>
    </row>
    <row r="395" spans="1:25" ht="24" customHeight="1" x14ac:dyDescent="0.35">
      <c r="A395" s="50" t="s">
        <v>495</v>
      </c>
      <c r="B395" s="50" t="s">
        <v>322</v>
      </c>
      <c r="C395" s="50" t="s">
        <v>996</v>
      </c>
      <c r="D395" s="50" t="s">
        <v>995</v>
      </c>
      <c r="E395" s="50">
        <v>27505</v>
      </c>
      <c r="F395" s="50"/>
      <c r="G395" s="50">
        <v>12554</v>
      </c>
      <c r="H395" s="50">
        <v>82218</v>
      </c>
      <c r="I395" s="50">
        <v>122277</v>
      </c>
      <c r="J395" s="50"/>
      <c r="K395" s="50"/>
      <c r="L395" s="36">
        <v>2020</v>
      </c>
      <c r="M395" s="50"/>
      <c r="N395" s="50"/>
    </row>
    <row r="396" spans="1:25" ht="24" customHeight="1" x14ac:dyDescent="0.35">
      <c r="A396" s="50" t="s">
        <v>323</v>
      </c>
      <c r="B396" s="50" t="s">
        <v>57</v>
      </c>
      <c r="C396" s="50" t="s">
        <v>993</v>
      </c>
      <c r="D396" s="50" t="s">
        <v>997</v>
      </c>
      <c r="E396" s="50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36">
        <v>2020</v>
      </c>
      <c r="M396" s="50"/>
      <c r="N396" s="50"/>
    </row>
    <row r="397" spans="1:25" ht="24" customHeight="1" x14ac:dyDescent="0.35">
      <c r="A397" s="50" t="s">
        <v>323</v>
      </c>
      <c r="B397" s="50" t="s">
        <v>57</v>
      </c>
      <c r="C397" s="50" t="s">
        <v>993</v>
      </c>
      <c r="D397" s="50" t="s">
        <v>994</v>
      </c>
      <c r="E397" s="50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36">
        <v>2020</v>
      </c>
      <c r="M397" s="50"/>
      <c r="N397" s="50"/>
    </row>
    <row r="398" spans="1:25" ht="24" customHeight="1" x14ac:dyDescent="0.35">
      <c r="A398" s="50" t="s">
        <v>323</v>
      </c>
      <c r="B398" s="50" t="s">
        <v>57</v>
      </c>
      <c r="C398" s="50" t="s">
        <v>993</v>
      </c>
      <c r="D398" s="50" t="s">
        <v>995</v>
      </c>
      <c r="E398" s="50">
        <v>0</v>
      </c>
      <c r="F398" s="50">
        <v>0</v>
      </c>
      <c r="G398" s="50">
        <v>0</v>
      </c>
      <c r="H398" s="50">
        <v>0</v>
      </c>
      <c r="I398" s="50">
        <v>0</v>
      </c>
      <c r="J398" s="50"/>
      <c r="K398" s="50"/>
      <c r="L398" s="36">
        <v>2020</v>
      </c>
      <c r="M398" s="50"/>
      <c r="N398" s="50"/>
    </row>
    <row r="399" spans="1:25" ht="24" customHeight="1" x14ac:dyDescent="0.35">
      <c r="A399" s="50" t="s">
        <v>323</v>
      </c>
      <c r="B399" s="50" t="s">
        <v>57</v>
      </c>
      <c r="C399" s="50" t="s">
        <v>996</v>
      </c>
      <c r="D399" s="50" t="s">
        <v>997</v>
      </c>
      <c r="E399" s="50">
        <v>0</v>
      </c>
      <c r="F399" s="50">
        <v>1</v>
      </c>
      <c r="G399" s="50">
        <v>2</v>
      </c>
      <c r="H399" s="50">
        <v>2</v>
      </c>
      <c r="I399" s="50">
        <v>5</v>
      </c>
      <c r="J399" s="50">
        <v>4</v>
      </c>
      <c r="K399" s="50">
        <v>0</v>
      </c>
      <c r="L399" s="36">
        <v>2020</v>
      </c>
      <c r="M399" s="50"/>
      <c r="N399" s="50"/>
    </row>
    <row r="400" spans="1:25" ht="24" customHeight="1" x14ac:dyDescent="0.35">
      <c r="A400" s="50" t="s">
        <v>323</v>
      </c>
      <c r="B400" s="50" t="s">
        <v>57</v>
      </c>
      <c r="C400" s="50" t="s">
        <v>996</v>
      </c>
      <c r="D400" s="50" t="s">
        <v>994</v>
      </c>
      <c r="E400" s="50">
        <v>2</v>
      </c>
      <c r="F400" s="50">
        <v>1</v>
      </c>
      <c r="G400" s="50">
        <v>7</v>
      </c>
      <c r="H400" s="50">
        <v>247</v>
      </c>
      <c r="I400" s="50">
        <v>257</v>
      </c>
      <c r="J400" s="50">
        <v>21</v>
      </c>
      <c r="K400" s="50">
        <v>236</v>
      </c>
      <c r="L400" s="36">
        <v>2020</v>
      </c>
      <c r="M400" s="50"/>
      <c r="N400" s="50"/>
    </row>
    <row r="401" spans="1:14" ht="24" customHeight="1" x14ac:dyDescent="0.35">
      <c r="A401" s="50" t="s">
        <v>323</v>
      </c>
      <c r="B401" s="50" t="s">
        <v>57</v>
      </c>
      <c r="C401" s="50" t="s">
        <v>996</v>
      </c>
      <c r="D401" s="50" t="s">
        <v>995</v>
      </c>
      <c r="E401" s="50">
        <v>17400</v>
      </c>
      <c r="F401" s="50">
        <v>7200</v>
      </c>
      <c r="G401" s="50">
        <v>19326</v>
      </c>
      <c r="H401" s="50">
        <v>96938</v>
      </c>
      <c r="I401" s="50">
        <v>140864</v>
      </c>
      <c r="J401" s="50">
        <v>56949</v>
      </c>
      <c r="K401" s="50">
        <v>83915</v>
      </c>
      <c r="L401" s="36">
        <v>2020</v>
      </c>
      <c r="M401" s="50"/>
      <c r="N401" s="50"/>
    </row>
    <row r="402" spans="1:14" ht="24" customHeight="1" x14ac:dyDescent="0.35">
      <c r="A402" s="50" t="s">
        <v>38</v>
      </c>
      <c r="B402" s="50" t="s">
        <v>41</v>
      </c>
      <c r="C402" s="50" t="s">
        <v>993</v>
      </c>
      <c r="D402" s="50" t="s">
        <v>997</v>
      </c>
      <c r="E402" s="50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36">
        <v>2020</v>
      </c>
      <c r="M402" s="50"/>
      <c r="N402" s="50"/>
    </row>
    <row r="403" spans="1:14" ht="24" customHeight="1" x14ac:dyDescent="0.35">
      <c r="A403" s="50" t="s">
        <v>38</v>
      </c>
      <c r="B403" s="50" t="s">
        <v>41</v>
      </c>
      <c r="C403" s="50" t="s">
        <v>993</v>
      </c>
      <c r="D403" s="50" t="s">
        <v>994</v>
      </c>
      <c r="E403" s="50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36">
        <v>2020</v>
      </c>
      <c r="M403" s="50"/>
      <c r="N403" s="50"/>
    </row>
    <row r="404" spans="1:14" ht="24" customHeight="1" x14ac:dyDescent="0.35">
      <c r="A404" s="50" t="s">
        <v>38</v>
      </c>
      <c r="B404" s="50" t="s">
        <v>41</v>
      </c>
      <c r="C404" s="50" t="s">
        <v>993</v>
      </c>
      <c r="D404" s="50" t="s">
        <v>995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/>
      <c r="K404" s="50"/>
      <c r="L404" s="36">
        <v>2020</v>
      </c>
      <c r="M404" s="50"/>
      <c r="N404" s="50"/>
    </row>
    <row r="405" spans="1:14" ht="24" customHeight="1" x14ac:dyDescent="0.35">
      <c r="A405" s="50" t="s">
        <v>38</v>
      </c>
      <c r="B405" s="50" t="s">
        <v>41</v>
      </c>
      <c r="C405" s="50" t="s">
        <v>996</v>
      </c>
      <c r="D405" s="50" t="s">
        <v>997</v>
      </c>
      <c r="E405" s="50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36">
        <v>2020</v>
      </c>
      <c r="M405" s="50"/>
      <c r="N405" s="50"/>
    </row>
    <row r="406" spans="1:14" ht="24" customHeight="1" x14ac:dyDescent="0.35">
      <c r="A406" s="50" t="s">
        <v>38</v>
      </c>
      <c r="B406" s="50" t="s">
        <v>41</v>
      </c>
      <c r="C406" s="50" t="s">
        <v>996</v>
      </c>
      <c r="D406" s="50" t="s">
        <v>994</v>
      </c>
      <c r="E406" s="50">
        <v>1</v>
      </c>
      <c r="F406" s="50">
        <v>1</v>
      </c>
      <c r="G406" s="50">
        <v>0</v>
      </c>
      <c r="H406" s="50">
        <v>0</v>
      </c>
      <c r="I406" s="50">
        <v>2</v>
      </c>
      <c r="J406" s="50">
        <v>2</v>
      </c>
      <c r="K406" s="50">
        <v>0</v>
      </c>
      <c r="L406" s="36">
        <v>2020</v>
      </c>
      <c r="M406" s="50"/>
      <c r="N406" s="50"/>
    </row>
    <row r="407" spans="1:14" ht="24" customHeight="1" x14ac:dyDescent="0.35">
      <c r="A407" s="50" t="s">
        <v>38</v>
      </c>
      <c r="B407" s="50" t="s">
        <v>41</v>
      </c>
      <c r="C407" s="50" t="s">
        <v>996</v>
      </c>
      <c r="D407" s="50" t="s">
        <v>995</v>
      </c>
      <c r="E407" s="50">
        <f>-F407+I407</f>
        <v>20107</v>
      </c>
      <c r="F407" s="50">
        <v>8103</v>
      </c>
      <c r="G407" s="50">
        <v>0</v>
      </c>
      <c r="H407" s="50">
        <v>0</v>
      </c>
      <c r="I407" s="50">
        <v>28210</v>
      </c>
      <c r="J407" s="50">
        <v>0</v>
      </c>
      <c r="K407" s="50">
        <v>0</v>
      </c>
      <c r="L407" s="36">
        <v>2020</v>
      </c>
      <c r="M407" s="50"/>
      <c r="N407" s="50"/>
    </row>
    <row r="408" spans="1:14" ht="24" customHeight="1" x14ac:dyDescent="0.35">
      <c r="A408" s="50" t="s">
        <v>62</v>
      </c>
      <c r="B408" s="50" t="s">
        <v>46</v>
      </c>
      <c r="C408" s="50" t="s">
        <v>993</v>
      </c>
      <c r="D408" s="50" t="s">
        <v>997</v>
      </c>
      <c r="E408" s="50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36">
        <v>2020</v>
      </c>
      <c r="M408" s="50"/>
      <c r="N408" s="50"/>
    </row>
    <row r="409" spans="1:14" ht="24" customHeight="1" x14ac:dyDescent="0.35">
      <c r="A409" s="50" t="s">
        <v>62</v>
      </c>
      <c r="B409" s="50" t="s">
        <v>46</v>
      </c>
      <c r="C409" s="50" t="s">
        <v>993</v>
      </c>
      <c r="D409" s="50" t="s">
        <v>994</v>
      </c>
      <c r="E409" s="50">
        <v>7</v>
      </c>
      <c r="F409" s="50">
        <v>2</v>
      </c>
      <c r="G409" s="50">
        <v>0</v>
      </c>
      <c r="H409" s="50">
        <v>0</v>
      </c>
      <c r="I409" s="50">
        <v>9</v>
      </c>
      <c r="J409" s="50">
        <v>0</v>
      </c>
      <c r="K409" s="50">
        <v>0</v>
      </c>
      <c r="L409" s="36">
        <v>2020</v>
      </c>
      <c r="M409" s="50"/>
      <c r="N409" s="50"/>
    </row>
    <row r="410" spans="1:14" ht="24" customHeight="1" x14ac:dyDescent="0.35">
      <c r="A410" s="50" t="s">
        <v>62</v>
      </c>
      <c r="B410" s="50" t="s">
        <v>46</v>
      </c>
      <c r="C410" s="50" t="s">
        <v>993</v>
      </c>
      <c r="D410" s="50" t="s">
        <v>995</v>
      </c>
      <c r="E410" s="50">
        <v>77772.119000000006</v>
      </c>
      <c r="F410" s="50">
        <v>7315.56</v>
      </c>
      <c r="G410" s="50">
        <v>0</v>
      </c>
      <c r="H410" s="50">
        <v>0</v>
      </c>
      <c r="I410" s="50">
        <v>85087.679000000004</v>
      </c>
      <c r="J410" s="50"/>
      <c r="K410" s="50"/>
      <c r="L410" s="36">
        <v>2020</v>
      </c>
      <c r="M410" s="50"/>
      <c r="N410" s="50"/>
    </row>
    <row r="411" spans="1:14" ht="24" customHeight="1" x14ac:dyDescent="0.35">
      <c r="A411" s="50" t="s">
        <v>62</v>
      </c>
      <c r="B411" s="50" t="s">
        <v>46</v>
      </c>
      <c r="C411" s="50" t="s">
        <v>996</v>
      </c>
      <c r="D411" s="50" t="s">
        <v>997</v>
      </c>
      <c r="E411" s="50">
        <v>0</v>
      </c>
      <c r="F411" s="50">
        <v>4</v>
      </c>
      <c r="G411" s="50">
        <v>9</v>
      </c>
      <c r="H411" s="50">
        <v>12</v>
      </c>
      <c r="I411" s="50">
        <v>25</v>
      </c>
      <c r="J411" s="50">
        <v>25</v>
      </c>
      <c r="K411" s="50">
        <v>0</v>
      </c>
      <c r="L411" s="36">
        <v>2020</v>
      </c>
      <c r="M411" s="50"/>
      <c r="N411" s="50"/>
    </row>
    <row r="412" spans="1:14" ht="24" customHeight="1" x14ac:dyDescent="0.35">
      <c r="A412" s="50" t="s">
        <v>62</v>
      </c>
      <c r="B412" s="50" t="s">
        <v>46</v>
      </c>
      <c r="C412" s="50" t="s">
        <v>996</v>
      </c>
      <c r="D412" s="50" t="s">
        <v>994</v>
      </c>
      <c r="E412" s="50">
        <v>1</v>
      </c>
      <c r="F412" s="50">
        <v>6</v>
      </c>
      <c r="G412" s="50">
        <v>24</v>
      </c>
      <c r="H412" s="50">
        <v>236</v>
      </c>
      <c r="I412" s="50">
        <v>267</v>
      </c>
      <c r="J412" s="50">
        <v>267</v>
      </c>
      <c r="K412" s="50">
        <v>0</v>
      </c>
      <c r="L412" s="36">
        <v>2020</v>
      </c>
      <c r="M412" s="50"/>
      <c r="N412" s="50"/>
    </row>
    <row r="413" spans="1:14" ht="24" customHeight="1" x14ac:dyDescent="0.35">
      <c r="A413" s="50" t="s">
        <v>62</v>
      </c>
      <c r="B413" s="50" t="s">
        <v>46</v>
      </c>
      <c r="C413" s="50" t="s">
        <v>996</v>
      </c>
      <c r="D413" s="50" t="s">
        <v>995</v>
      </c>
      <c r="E413" s="50">
        <v>22703</v>
      </c>
      <c r="F413" s="50">
        <v>14742.481</v>
      </c>
      <c r="G413" s="50">
        <v>152946.69699999999</v>
      </c>
      <c r="H413" s="50">
        <v>470105.609</v>
      </c>
      <c r="I413" s="50">
        <v>660497.43000000005</v>
      </c>
      <c r="J413" s="50">
        <v>660497430</v>
      </c>
      <c r="K413" s="50">
        <v>0</v>
      </c>
      <c r="L413" s="36">
        <v>2020</v>
      </c>
      <c r="M413" s="50"/>
      <c r="N413" s="50"/>
    </row>
    <row r="414" spans="1:14" ht="24" customHeight="1" x14ac:dyDescent="0.35">
      <c r="A414" s="50" t="s">
        <v>517</v>
      </c>
      <c r="B414" s="50" t="s">
        <v>46</v>
      </c>
      <c r="C414" s="50" t="s">
        <v>993</v>
      </c>
      <c r="D414" s="50" t="s">
        <v>997</v>
      </c>
      <c r="E414" s="50">
        <v>0</v>
      </c>
      <c r="F414" s="50">
        <v>0</v>
      </c>
      <c r="G414" s="50">
        <v>0</v>
      </c>
      <c r="H414" s="50">
        <v>0</v>
      </c>
      <c r="I414" s="50">
        <v>0</v>
      </c>
      <c r="J414" s="50">
        <v>0</v>
      </c>
      <c r="K414" s="50">
        <v>0</v>
      </c>
      <c r="L414" s="36">
        <v>2020</v>
      </c>
      <c r="M414" s="50"/>
      <c r="N414" s="50"/>
    </row>
    <row r="415" spans="1:14" ht="24" customHeight="1" x14ac:dyDescent="0.35">
      <c r="A415" s="50" t="s">
        <v>517</v>
      </c>
      <c r="B415" s="50" t="s">
        <v>46</v>
      </c>
      <c r="C415" s="50" t="s">
        <v>993</v>
      </c>
      <c r="D415" s="50" t="s">
        <v>994</v>
      </c>
      <c r="E415" s="50">
        <v>0</v>
      </c>
      <c r="F415" s="50">
        <v>0</v>
      </c>
      <c r="G415" s="50">
        <v>0</v>
      </c>
      <c r="H415" s="50">
        <v>0</v>
      </c>
      <c r="I415" s="50">
        <v>0</v>
      </c>
      <c r="J415" s="50">
        <v>0</v>
      </c>
      <c r="K415" s="50">
        <v>0</v>
      </c>
      <c r="L415" s="36">
        <v>2020</v>
      </c>
      <c r="M415" s="50"/>
      <c r="N415" s="50"/>
    </row>
    <row r="416" spans="1:14" ht="24" customHeight="1" x14ac:dyDescent="0.35">
      <c r="A416" s="50" t="s">
        <v>517</v>
      </c>
      <c r="B416" s="50" t="s">
        <v>46</v>
      </c>
      <c r="C416" s="50" t="s">
        <v>993</v>
      </c>
      <c r="D416" s="50" t="s">
        <v>995</v>
      </c>
      <c r="E416" s="50">
        <v>0</v>
      </c>
      <c r="F416" s="50">
        <v>0</v>
      </c>
      <c r="G416" s="50">
        <v>0</v>
      </c>
      <c r="H416" s="50">
        <v>0</v>
      </c>
      <c r="I416" s="50">
        <v>0</v>
      </c>
      <c r="J416" s="50"/>
      <c r="K416" s="50"/>
      <c r="L416" s="36">
        <v>2020</v>
      </c>
      <c r="M416" s="50"/>
      <c r="N416" s="50"/>
    </row>
    <row r="417" spans="1:14" ht="24" customHeight="1" x14ac:dyDescent="0.35">
      <c r="A417" s="50" t="s">
        <v>517</v>
      </c>
      <c r="B417" s="50" t="s">
        <v>46</v>
      </c>
      <c r="C417" s="50" t="s">
        <v>996</v>
      </c>
      <c r="D417" s="50" t="s">
        <v>997</v>
      </c>
      <c r="E417" s="50">
        <v>1</v>
      </c>
      <c r="F417" s="50">
        <v>0</v>
      </c>
      <c r="G417" s="50">
        <v>0</v>
      </c>
      <c r="H417" s="50">
        <v>0</v>
      </c>
      <c r="I417" s="50">
        <v>1</v>
      </c>
      <c r="J417" s="50">
        <v>1</v>
      </c>
      <c r="K417" s="50">
        <v>0</v>
      </c>
      <c r="L417" s="36">
        <v>2020</v>
      </c>
      <c r="M417" s="50"/>
      <c r="N417" s="50"/>
    </row>
    <row r="418" spans="1:14" ht="24" customHeight="1" x14ac:dyDescent="0.35">
      <c r="A418" s="50" t="s">
        <v>517</v>
      </c>
      <c r="B418" s="50" t="s">
        <v>46</v>
      </c>
      <c r="C418" s="50" t="s">
        <v>996</v>
      </c>
      <c r="D418" s="50" t="s">
        <v>994</v>
      </c>
      <c r="E418" s="50">
        <v>1</v>
      </c>
      <c r="F418" s="50">
        <v>2</v>
      </c>
      <c r="G418" s="50">
        <v>1</v>
      </c>
      <c r="H418" s="50">
        <v>14</v>
      </c>
      <c r="I418" s="50">
        <v>18</v>
      </c>
      <c r="J418" s="50">
        <v>2</v>
      </c>
      <c r="K418" s="50">
        <v>15</v>
      </c>
      <c r="L418" s="36">
        <v>2020</v>
      </c>
      <c r="M418" s="50"/>
      <c r="N418" s="50"/>
    </row>
    <row r="419" spans="1:14" ht="24" customHeight="1" x14ac:dyDescent="0.35">
      <c r="A419" s="50" t="s">
        <v>517</v>
      </c>
      <c r="B419" s="50" t="s">
        <v>46</v>
      </c>
      <c r="C419" s="50" t="s">
        <v>996</v>
      </c>
      <c r="D419" s="50" t="s">
        <v>995</v>
      </c>
      <c r="E419" s="50">
        <v>6485</v>
      </c>
      <c r="F419" s="50">
        <v>5200.5410000000002</v>
      </c>
      <c r="G419" s="50">
        <v>826</v>
      </c>
      <c r="H419" s="50">
        <v>24588.268</v>
      </c>
      <c r="I419" s="50">
        <v>37103.512999999999</v>
      </c>
      <c r="J419" s="50">
        <v>7314704</v>
      </c>
      <c r="K419" s="50">
        <v>29788809</v>
      </c>
      <c r="L419" s="36">
        <v>2020</v>
      </c>
      <c r="M419" s="50"/>
      <c r="N419" s="50"/>
    </row>
    <row r="420" spans="1:14" ht="24" customHeight="1" x14ac:dyDescent="0.35">
      <c r="A420" s="50" t="s">
        <v>1003</v>
      </c>
      <c r="B420" s="146" t="s">
        <v>41</v>
      </c>
      <c r="C420" s="50" t="s">
        <v>993</v>
      </c>
      <c r="D420" s="50" t="s">
        <v>997</v>
      </c>
      <c r="E420" s="50">
        <v>0</v>
      </c>
      <c r="F420" s="50">
        <v>0</v>
      </c>
      <c r="G420" s="50" t="s">
        <v>929</v>
      </c>
      <c r="H420" s="50">
        <v>0</v>
      </c>
      <c r="I420" s="50">
        <v>0</v>
      </c>
      <c r="J420" s="50">
        <v>0</v>
      </c>
      <c r="K420" s="50">
        <v>0</v>
      </c>
      <c r="L420" s="36">
        <v>2020</v>
      </c>
      <c r="M420" s="50"/>
      <c r="N420" s="50"/>
    </row>
    <row r="421" spans="1:14" ht="24" customHeight="1" x14ac:dyDescent="0.35">
      <c r="A421" s="50" t="s">
        <v>1003</v>
      </c>
      <c r="B421" s="146" t="s">
        <v>41</v>
      </c>
      <c r="C421" s="50" t="s">
        <v>993</v>
      </c>
      <c r="D421" s="50" t="s">
        <v>994</v>
      </c>
      <c r="E421" s="50">
        <v>50</v>
      </c>
      <c r="F421" s="50">
        <v>0</v>
      </c>
      <c r="G421" s="50">
        <v>0</v>
      </c>
      <c r="H421" s="50">
        <v>0</v>
      </c>
      <c r="I421" s="50">
        <f t="shared" ref="I421:I424" si="0">H421+G421+F421+E421</f>
        <v>50</v>
      </c>
      <c r="J421" s="50">
        <v>50</v>
      </c>
      <c r="K421" s="50">
        <v>0</v>
      </c>
      <c r="L421" s="36">
        <v>2020</v>
      </c>
      <c r="M421" s="50"/>
      <c r="N421" s="50"/>
    </row>
    <row r="422" spans="1:14" ht="24" customHeight="1" x14ac:dyDescent="0.35">
      <c r="A422" s="50" t="s">
        <v>1003</v>
      </c>
      <c r="B422" s="146" t="s">
        <v>41</v>
      </c>
      <c r="C422" s="50" t="s">
        <v>993</v>
      </c>
      <c r="D422" s="50" t="s">
        <v>995</v>
      </c>
      <c r="E422" s="50">
        <v>7863247.2050000001</v>
      </c>
      <c r="F422" s="50">
        <v>0</v>
      </c>
      <c r="G422" s="50">
        <v>0</v>
      </c>
      <c r="H422" s="50">
        <v>0</v>
      </c>
      <c r="I422" s="50">
        <f t="shared" si="0"/>
        <v>7863247.2050000001</v>
      </c>
      <c r="J422" s="114">
        <v>7863247205</v>
      </c>
      <c r="K422" s="50">
        <v>0</v>
      </c>
      <c r="L422" s="36">
        <v>2020</v>
      </c>
      <c r="M422" s="50"/>
      <c r="N422" s="50"/>
    </row>
    <row r="423" spans="1:14" ht="24" customHeight="1" x14ac:dyDescent="0.35">
      <c r="A423" s="50" t="s">
        <v>1003</v>
      </c>
      <c r="B423" s="146" t="s">
        <v>41</v>
      </c>
      <c r="C423" s="50" t="s">
        <v>996</v>
      </c>
      <c r="D423" s="50" t="s">
        <v>997</v>
      </c>
      <c r="E423" s="50">
        <v>17</v>
      </c>
      <c r="F423" s="50">
        <v>8</v>
      </c>
      <c r="G423" s="50">
        <f>40+5</f>
        <v>45</v>
      </c>
      <c r="H423" s="50">
        <f>23+13</f>
        <v>36</v>
      </c>
      <c r="I423" s="50">
        <f t="shared" si="0"/>
        <v>106</v>
      </c>
      <c r="J423" s="50">
        <v>50</v>
      </c>
      <c r="K423" s="50">
        <v>18</v>
      </c>
      <c r="L423" s="36">
        <v>2020</v>
      </c>
      <c r="M423" s="50"/>
      <c r="N423" s="50"/>
    </row>
    <row r="424" spans="1:14" ht="24" customHeight="1" x14ac:dyDescent="0.35">
      <c r="A424" s="50" t="s">
        <v>1003</v>
      </c>
      <c r="B424" s="146" t="s">
        <v>41</v>
      </c>
      <c r="C424" s="50" t="s">
        <v>996</v>
      </c>
      <c r="D424" s="50" t="s">
        <v>994</v>
      </c>
      <c r="E424" s="50">
        <v>64</v>
      </c>
      <c r="F424" s="50">
        <f>43+2</f>
        <v>45</v>
      </c>
      <c r="G424" s="50">
        <f>277+12</f>
        <v>289</v>
      </c>
      <c r="H424" s="50">
        <f>252+96</f>
        <v>348</v>
      </c>
      <c r="I424" s="50">
        <f t="shared" si="0"/>
        <v>746</v>
      </c>
      <c r="J424" s="50">
        <v>0</v>
      </c>
      <c r="K424" s="50">
        <v>110</v>
      </c>
      <c r="L424" s="36">
        <v>2020</v>
      </c>
      <c r="M424" s="50"/>
      <c r="N424" s="50"/>
    </row>
    <row r="425" spans="1:14" ht="24" customHeight="1" x14ac:dyDescent="0.35">
      <c r="A425" s="50" t="s">
        <v>1003</v>
      </c>
      <c r="B425" s="146" t="s">
        <v>41</v>
      </c>
      <c r="C425" s="50" t="s">
        <v>996</v>
      </c>
      <c r="D425" s="50" t="s">
        <v>995</v>
      </c>
      <c r="E425" s="50">
        <v>2418730.8330000001</v>
      </c>
      <c r="F425" s="50">
        <f>2240+956215</f>
        <v>958455</v>
      </c>
      <c r="G425" s="50">
        <f>4178051+90847</f>
        <v>4268898</v>
      </c>
      <c r="H425" s="50">
        <f>2494396+347814</f>
        <v>2842210</v>
      </c>
      <c r="I425" s="50">
        <v>10429622.448000001</v>
      </c>
      <c r="J425" s="114">
        <v>10047392388</v>
      </c>
      <c r="K425" s="114">
        <v>440902377</v>
      </c>
      <c r="L425" s="36">
        <v>2020</v>
      </c>
      <c r="M425" s="50"/>
      <c r="N425" s="50"/>
    </row>
    <row r="426" spans="1:14" ht="24" customHeight="1" x14ac:dyDescent="0.35">
      <c r="A426" s="50" t="s">
        <v>73</v>
      </c>
      <c r="B426" s="50" t="s">
        <v>46</v>
      </c>
      <c r="C426" s="50" t="s">
        <v>993</v>
      </c>
      <c r="D426" s="50" t="s">
        <v>997</v>
      </c>
      <c r="E426" s="50">
        <v>0</v>
      </c>
      <c r="F426" s="50">
        <v>0</v>
      </c>
      <c r="G426" s="50">
        <v>0</v>
      </c>
      <c r="H426" s="50">
        <v>0</v>
      </c>
      <c r="I426" s="50">
        <v>0</v>
      </c>
      <c r="J426" s="50">
        <v>0</v>
      </c>
      <c r="K426" s="50">
        <v>0</v>
      </c>
      <c r="L426" s="36">
        <v>2020</v>
      </c>
      <c r="M426" s="50"/>
      <c r="N426" s="50"/>
    </row>
    <row r="427" spans="1:14" ht="24" customHeight="1" x14ac:dyDescent="0.35">
      <c r="A427" s="50" t="s">
        <v>73</v>
      </c>
      <c r="B427" s="50" t="s">
        <v>46</v>
      </c>
      <c r="C427" s="50" t="s">
        <v>993</v>
      </c>
      <c r="D427" s="50" t="s">
        <v>994</v>
      </c>
      <c r="E427" s="50">
        <v>0</v>
      </c>
      <c r="F427" s="50">
        <v>0</v>
      </c>
      <c r="G427" s="50">
        <v>4</v>
      </c>
      <c r="H427" s="50">
        <v>0</v>
      </c>
      <c r="I427" s="50">
        <v>4</v>
      </c>
      <c r="J427" s="50">
        <v>4</v>
      </c>
      <c r="K427" s="50">
        <v>0</v>
      </c>
      <c r="L427" s="36">
        <v>2020</v>
      </c>
      <c r="M427" s="50"/>
      <c r="N427" s="50"/>
    </row>
    <row r="428" spans="1:14" ht="24" customHeight="1" x14ac:dyDescent="0.35">
      <c r="A428" s="50" t="s">
        <v>73</v>
      </c>
      <c r="B428" s="50" t="s">
        <v>46</v>
      </c>
      <c r="C428" s="50" t="s">
        <v>993</v>
      </c>
      <c r="D428" s="50" t="s">
        <v>995</v>
      </c>
      <c r="E428" s="50">
        <v>0</v>
      </c>
      <c r="F428" s="50">
        <v>0</v>
      </c>
      <c r="G428" s="50">
        <v>40268</v>
      </c>
      <c r="H428" s="50">
        <v>0</v>
      </c>
      <c r="I428" s="50">
        <v>40268</v>
      </c>
      <c r="J428" s="50"/>
      <c r="K428" s="50"/>
      <c r="L428" s="36">
        <v>2020</v>
      </c>
      <c r="M428" s="50"/>
      <c r="N428" s="50"/>
    </row>
    <row r="429" spans="1:14" ht="24" customHeight="1" x14ac:dyDescent="0.35">
      <c r="A429" s="50" t="s">
        <v>73</v>
      </c>
      <c r="B429" s="50" t="s">
        <v>46</v>
      </c>
      <c r="C429" s="50" t="s">
        <v>996</v>
      </c>
      <c r="D429" s="50" t="s">
        <v>997</v>
      </c>
      <c r="E429" s="50">
        <v>0</v>
      </c>
      <c r="F429" s="50">
        <v>0</v>
      </c>
      <c r="G429" s="50">
        <v>0</v>
      </c>
      <c r="H429" s="50">
        <v>0</v>
      </c>
      <c r="I429" s="50">
        <v>0</v>
      </c>
      <c r="J429" s="50">
        <v>0</v>
      </c>
      <c r="K429" s="50">
        <v>0</v>
      </c>
      <c r="L429" s="36">
        <v>2020</v>
      </c>
      <c r="M429" s="50"/>
      <c r="N429" s="50"/>
    </row>
    <row r="430" spans="1:14" ht="24" customHeight="1" x14ac:dyDescent="0.35">
      <c r="A430" s="50" t="s">
        <v>73</v>
      </c>
      <c r="B430" s="50" t="s">
        <v>46</v>
      </c>
      <c r="C430" s="50" t="s">
        <v>996</v>
      </c>
      <c r="D430" s="50" t="s">
        <v>994</v>
      </c>
      <c r="E430" s="50">
        <v>0</v>
      </c>
      <c r="F430" s="50">
        <v>0</v>
      </c>
      <c r="G430" s="50">
        <v>22</v>
      </c>
      <c r="H430" s="50">
        <v>6</v>
      </c>
      <c r="I430" s="50">
        <v>28</v>
      </c>
      <c r="J430" s="50">
        <v>28</v>
      </c>
      <c r="K430" s="50">
        <v>0</v>
      </c>
      <c r="L430" s="36">
        <v>2020</v>
      </c>
      <c r="M430" s="50"/>
      <c r="N430" s="50"/>
    </row>
    <row r="431" spans="1:14" ht="24" customHeight="1" x14ac:dyDescent="0.35">
      <c r="A431" s="50" t="s">
        <v>73</v>
      </c>
      <c r="B431" s="50" t="s">
        <v>46</v>
      </c>
      <c r="C431" s="50" t="s">
        <v>996</v>
      </c>
      <c r="D431" s="50" t="s">
        <v>995</v>
      </c>
      <c r="E431" s="50"/>
      <c r="F431" s="50">
        <v>0</v>
      </c>
      <c r="G431" s="50">
        <v>43805</v>
      </c>
      <c r="H431" s="50">
        <v>3068</v>
      </c>
      <c r="I431" s="50">
        <v>46873</v>
      </c>
      <c r="J431" s="50">
        <v>46873</v>
      </c>
      <c r="K431" s="50">
        <v>0</v>
      </c>
      <c r="L431" s="36">
        <v>2020</v>
      </c>
      <c r="M431" s="50"/>
      <c r="N431" s="50"/>
    </row>
    <row r="432" spans="1:14" ht="24" customHeight="1" x14ac:dyDescent="0.35">
      <c r="A432" s="50" t="s">
        <v>341</v>
      </c>
      <c r="B432" s="50" t="s">
        <v>87</v>
      </c>
      <c r="C432" s="50" t="s">
        <v>993</v>
      </c>
      <c r="D432" s="50" t="s">
        <v>997</v>
      </c>
      <c r="E432" s="50">
        <v>0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36">
        <v>2020</v>
      </c>
      <c r="M432" s="50"/>
      <c r="N432" s="50"/>
    </row>
    <row r="433" spans="1:14" ht="24" customHeight="1" x14ac:dyDescent="0.35">
      <c r="A433" s="50" t="s">
        <v>341</v>
      </c>
      <c r="B433" s="50" t="s">
        <v>87</v>
      </c>
      <c r="C433" s="50" t="s">
        <v>993</v>
      </c>
      <c r="D433" s="50" t="s">
        <v>994</v>
      </c>
      <c r="E433" s="50">
        <v>4</v>
      </c>
      <c r="F433" s="50">
        <v>3</v>
      </c>
      <c r="G433" s="50">
        <v>0</v>
      </c>
      <c r="H433" s="50">
        <v>0</v>
      </c>
      <c r="I433" s="50">
        <v>7</v>
      </c>
      <c r="J433" s="50">
        <v>7</v>
      </c>
      <c r="K433" s="50">
        <v>0</v>
      </c>
      <c r="L433" s="36">
        <v>2020</v>
      </c>
      <c r="M433" s="50"/>
      <c r="N433" s="50"/>
    </row>
    <row r="434" spans="1:14" ht="24" customHeight="1" x14ac:dyDescent="0.35">
      <c r="A434" s="50" t="s">
        <v>341</v>
      </c>
      <c r="B434" s="50" t="s">
        <v>87</v>
      </c>
      <c r="C434" s="50" t="s">
        <v>993</v>
      </c>
      <c r="D434" s="50" t="s">
        <v>995</v>
      </c>
      <c r="E434" s="50">
        <v>82799</v>
      </c>
      <c r="F434" s="50">
        <v>34269</v>
      </c>
      <c r="G434" s="50">
        <v>0</v>
      </c>
      <c r="H434" s="50">
        <v>0</v>
      </c>
      <c r="I434" s="50">
        <v>117068</v>
      </c>
      <c r="J434" s="50"/>
      <c r="K434" s="50"/>
      <c r="L434" s="36">
        <v>2020</v>
      </c>
      <c r="M434" s="50"/>
      <c r="N434" s="50"/>
    </row>
    <row r="435" spans="1:14" ht="24" customHeight="1" x14ac:dyDescent="0.35">
      <c r="A435" s="50" t="s">
        <v>341</v>
      </c>
      <c r="B435" s="50" t="s">
        <v>87</v>
      </c>
      <c r="C435" s="50" t="s">
        <v>996</v>
      </c>
      <c r="D435" s="50" t="s">
        <v>997</v>
      </c>
      <c r="E435" s="50">
        <v>1</v>
      </c>
      <c r="F435" s="50">
        <v>3</v>
      </c>
      <c r="G435" s="50">
        <v>0</v>
      </c>
      <c r="H435" s="50">
        <v>3</v>
      </c>
      <c r="I435" s="50">
        <v>7</v>
      </c>
      <c r="J435" s="50">
        <v>7</v>
      </c>
      <c r="K435" s="50">
        <v>0</v>
      </c>
      <c r="L435" s="36">
        <v>2020</v>
      </c>
      <c r="M435" s="50"/>
      <c r="N435" s="50"/>
    </row>
    <row r="436" spans="1:14" ht="24" customHeight="1" x14ac:dyDescent="0.35">
      <c r="A436" s="50" t="s">
        <v>341</v>
      </c>
      <c r="B436" s="50" t="s">
        <v>87</v>
      </c>
      <c r="C436" s="50" t="s">
        <v>996</v>
      </c>
      <c r="D436" s="50" t="s">
        <v>994</v>
      </c>
      <c r="E436" s="50">
        <v>1</v>
      </c>
      <c r="F436" s="50">
        <v>6</v>
      </c>
      <c r="G436" s="50">
        <v>2</v>
      </c>
      <c r="H436" s="50">
        <v>10</v>
      </c>
      <c r="I436" s="50">
        <v>19</v>
      </c>
      <c r="J436" s="50">
        <v>19</v>
      </c>
      <c r="K436" s="50">
        <v>0</v>
      </c>
      <c r="L436" s="36">
        <v>2020</v>
      </c>
      <c r="M436" s="50"/>
      <c r="N436" s="50"/>
    </row>
    <row r="437" spans="1:14" ht="24" customHeight="1" x14ac:dyDescent="0.35">
      <c r="A437" s="50" t="s">
        <v>341</v>
      </c>
      <c r="B437" s="50" t="s">
        <v>87</v>
      </c>
      <c r="C437" s="50" t="s">
        <v>996</v>
      </c>
      <c r="D437" s="50" t="s">
        <v>995</v>
      </c>
      <c r="E437" s="50">
        <v>53090</v>
      </c>
      <c r="F437" s="50">
        <v>94860</v>
      </c>
      <c r="G437" s="50">
        <v>1502</v>
      </c>
      <c r="H437" s="50">
        <v>11428</v>
      </c>
      <c r="I437" s="50">
        <v>160840</v>
      </c>
      <c r="J437" s="50">
        <v>160840</v>
      </c>
      <c r="K437" s="50">
        <v>0</v>
      </c>
      <c r="L437" s="36">
        <v>2020</v>
      </c>
      <c r="M437" s="50"/>
      <c r="N437" s="50"/>
    </row>
    <row r="438" spans="1:14" ht="24" customHeight="1" x14ac:dyDescent="0.35">
      <c r="A438" s="50" t="s">
        <v>344</v>
      </c>
      <c r="B438" s="50" t="s">
        <v>46</v>
      </c>
      <c r="C438" s="50" t="s">
        <v>993</v>
      </c>
      <c r="D438" s="50" t="s">
        <v>997</v>
      </c>
      <c r="E438" s="50">
        <v>0</v>
      </c>
      <c r="F438" s="50">
        <v>0</v>
      </c>
      <c r="G438" s="50">
        <v>0</v>
      </c>
      <c r="H438" s="50">
        <v>0</v>
      </c>
      <c r="I438" s="50">
        <v>0</v>
      </c>
      <c r="J438" s="50">
        <v>0</v>
      </c>
      <c r="K438" s="50">
        <v>0</v>
      </c>
      <c r="L438" s="36">
        <v>2020</v>
      </c>
      <c r="M438" s="50"/>
      <c r="N438" s="50"/>
    </row>
    <row r="439" spans="1:14" ht="24" customHeight="1" x14ac:dyDescent="0.35">
      <c r="A439" s="50" t="s">
        <v>344</v>
      </c>
      <c r="B439" s="50" t="s">
        <v>46</v>
      </c>
      <c r="C439" s="50" t="s">
        <v>993</v>
      </c>
      <c r="D439" s="50" t="s">
        <v>994</v>
      </c>
      <c r="E439" s="50">
        <v>0</v>
      </c>
      <c r="F439" s="50">
        <v>6</v>
      </c>
      <c r="G439" s="50">
        <v>0</v>
      </c>
      <c r="H439" s="50">
        <v>0</v>
      </c>
      <c r="I439" s="50">
        <v>6</v>
      </c>
      <c r="J439" s="50">
        <v>0</v>
      </c>
      <c r="K439" s="50">
        <v>0</v>
      </c>
      <c r="L439" s="36">
        <v>2020</v>
      </c>
      <c r="M439" s="50"/>
      <c r="N439" s="50"/>
    </row>
    <row r="440" spans="1:14" ht="24" customHeight="1" x14ac:dyDescent="0.35">
      <c r="A440" s="50" t="s">
        <v>344</v>
      </c>
      <c r="B440" s="50" t="s">
        <v>46</v>
      </c>
      <c r="C440" s="50" t="s">
        <v>993</v>
      </c>
      <c r="D440" s="50" t="s">
        <v>995</v>
      </c>
      <c r="E440" s="50">
        <v>0</v>
      </c>
      <c r="F440" s="50">
        <v>35000</v>
      </c>
      <c r="G440" s="50">
        <v>0</v>
      </c>
      <c r="H440" s="50">
        <v>0</v>
      </c>
      <c r="I440" s="50">
        <v>3500</v>
      </c>
      <c r="J440" s="50"/>
      <c r="K440" s="50"/>
      <c r="L440" s="36">
        <v>2020</v>
      </c>
      <c r="M440" s="50"/>
      <c r="N440" s="50"/>
    </row>
    <row r="441" spans="1:14" ht="24" customHeight="1" x14ac:dyDescent="0.35">
      <c r="A441" s="50" t="s">
        <v>344</v>
      </c>
      <c r="B441" s="50" t="s">
        <v>46</v>
      </c>
      <c r="C441" s="50" t="s">
        <v>996</v>
      </c>
      <c r="D441" s="50" t="s">
        <v>997</v>
      </c>
      <c r="E441" s="50">
        <v>0</v>
      </c>
      <c r="F441" s="50">
        <v>0</v>
      </c>
      <c r="G441" s="50">
        <v>2</v>
      </c>
      <c r="H441" s="50">
        <v>7</v>
      </c>
      <c r="I441" s="50">
        <v>9</v>
      </c>
      <c r="J441" s="50">
        <v>4</v>
      </c>
      <c r="K441" s="50">
        <v>5</v>
      </c>
      <c r="L441" s="36">
        <v>2020</v>
      </c>
      <c r="M441" s="50"/>
      <c r="N441" s="50"/>
    </row>
    <row r="442" spans="1:14" ht="24" customHeight="1" x14ac:dyDescent="0.35">
      <c r="A442" s="50" t="s">
        <v>344</v>
      </c>
      <c r="B442" s="50" t="s">
        <v>46</v>
      </c>
      <c r="C442" s="50" t="s">
        <v>996</v>
      </c>
      <c r="D442" s="50" t="s">
        <v>994</v>
      </c>
      <c r="E442" s="50">
        <v>0</v>
      </c>
      <c r="F442" s="50">
        <v>0</v>
      </c>
      <c r="G442" s="50">
        <v>5</v>
      </c>
      <c r="H442" s="50">
        <v>77</v>
      </c>
      <c r="I442" s="50">
        <v>82</v>
      </c>
      <c r="J442" s="50">
        <v>42</v>
      </c>
      <c r="K442" s="50">
        <v>40</v>
      </c>
      <c r="L442" s="36">
        <v>2020</v>
      </c>
      <c r="M442" s="50"/>
      <c r="N442" s="50"/>
    </row>
    <row r="443" spans="1:14" ht="24" customHeight="1" x14ac:dyDescent="0.35">
      <c r="A443" s="50" t="s">
        <v>344</v>
      </c>
      <c r="B443" s="50" t="s">
        <v>46</v>
      </c>
      <c r="C443" s="50" t="s">
        <v>996</v>
      </c>
      <c r="D443" s="50" t="s">
        <v>995</v>
      </c>
      <c r="E443" s="50"/>
      <c r="F443" s="50">
        <v>0</v>
      </c>
      <c r="G443" s="50">
        <v>25960</v>
      </c>
      <c r="H443" s="50">
        <v>103840</v>
      </c>
      <c r="I443" s="50">
        <v>12980</v>
      </c>
      <c r="J443" s="50">
        <v>0</v>
      </c>
      <c r="K443" s="50">
        <v>0</v>
      </c>
      <c r="L443" s="36">
        <v>2020</v>
      </c>
      <c r="M443" s="50"/>
      <c r="N443" s="50"/>
    </row>
    <row r="444" spans="1:14" ht="24" customHeight="1" x14ac:dyDescent="0.35">
      <c r="A444" s="103" t="s">
        <v>75</v>
      </c>
      <c r="B444" s="50" t="s">
        <v>41</v>
      </c>
      <c r="C444" s="50" t="s">
        <v>993</v>
      </c>
      <c r="D444" s="50" t="s">
        <v>997</v>
      </c>
      <c r="E444" s="50">
        <v>0</v>
      </c>
      <c r="F444" s="50">
        <v>0</v>
      </c>
      <c r="G444" s="50">
        <v>0</v>
      </c>
      <c r="H444" s="50">
        <v>0</v>
      </c>
      <c r="I444" s="50">
        <v>0</v>
      </c>
      <c r="J444" s="50">
        <v>0</v>
      </c>
      <c r="K444" s="50">
        <v>0</v>
      </c>
      <c r="L444" s="36">
        <v>2020</v>
      </c>
      <c r="M444" s="50" t="s">
        <v>41</v>
      </c>
      <c r="N444" s="50" t="s">
        <v>1000</v>
      </c>
    </row>
    <row r="445" spans="1:14" ht="24" customHeight="1" x14ac:dyDescent="0.35">
      <c r="A445" s="103" t="s">
        <v>75</v>
      </c>
      <c r="B445" s="50" t="s">
        <v>41</v>
      </c>
      <c r="C445" s="50" t="s">
        <v>993</v>
      </c>
      <c r="D445" s="50" t="s">
        <v>994</v>
      </c>
      <c r="E445" s="50">
        <v>64</v>
      </c>
      <c r="F445" s="50">
        <v>0</v>
      </c>
      <c r="G445" s="50">
        <v>1</v>
      </c>
      <c r="H445" s="50">
        <v>0</v>
      </c>
      <c r="I445" s="50">
        <v>65</v>
      </c>
      <c r="J445" s="50">
        <v>65</v>
      </c>
      <c r="K445" s="50">
        <v>0</v>
      </c>
      <c r="L445" s="36">
        <v>2020</v>
      </c>
      <c r="M445" s="50" t="s">
        <v>41</v>
      </c>
      <c r="N445" s="50" t="s">
        <v>1000</v>
      </c>
    </row>
    <row r="446" spans="1:14" ht="24" customHeight="1" x14ac:dyDescent="0.35">
      <c r="A446" s="103" t="s">
        <v>75</v>
      </c>
      <c r="B446" s="50" t="s">
        <v>41</v>
      </c>
      <c r="C446" s="50" t="s">
        <v>993</v>
      </c>
      <c r="D446" s="50" t="s">
        <v>995</v>
      </c>
      <c r="E446" s="50">
        <v>2443918</v>
      </c>
      <c r="F446" s="50">
        <v>0</v>
      </c>
      <c r="G446" s="50">
        <v>10225</v>
      </c>
      <c r="H446" s="50">
        <v>0</v>
      </c>
      <c r="I446" s="50">
        <v>2454143</v>
      </c>
      <c r="J446" s="50"/>
      <c r="K446" s="50"/>
      <c r="L446" s="36">
        <v>2020</v>
      </c>
      <c r="M446" s="50" t="s">
        <v>41</v>
      </c>
      <c r="N446" s="50" t="s">
        <v>1000</v>
      </c>
    </row>
    <row r="447" spans="1:14" ht="24" customHeight="1" x14ac:dyDescent="0.35">
      <c r="A447" s="103" t="s">
        <v>75</v>
      </c>
      <c r="B447" s="50" t="s">
        <v>41</v>
      </c>
      <c r="C447" s="50" t="s">
        <v>996</v>
      </c>
      <c r="D447" s="50" t="s">
        <v>997</v>
      </c>
      <c r="E447" s="50">
        <v>0</v>
      </c>
      <c r="F447" s="50">
        <v>23</v>
      </c>
      <c r="G447" s="50">
        <v>22</v>
      </c>
      <c r="H447" s="50">
        <v>0</v>
      </c>
      <c r="I447" s="50">
        <v>45</v>
      </c>
      <c r="J447" s="50">
        <v>45</v>
      </c>
      <c r="K447" s="50">
        <v>0</v>
      </c>
      <c r="L447" s="36">
        <v>2020</v>
      </c>
      <c r="M447" s="50" t="s">
        <v>41</v>
      </c>
      <c r="N447" s="50" t="s">
        <v>1000</v>
      </c>
    </row>
    <row r="448" spans="1:14" ht="24" customHeight="1" x14ac:dyDescent="0.35">
      <c r="A448" s="103" t="s">
        <v>75</v>
      </c>
      <c r="B448" s="50" t="s">
        <v>41</v>
      </c>
      <c r="C448" s="50" t="s">
        <v>996</v>
      </c>
      <c r="D448" s="50" t="s">
        <v>994</v>
      </c>
      <c r="E448" s="50">
        <v>11</v>
      </c>
      <c r="F448" s="50">
        <v>180</v>
      </c>
      <c r="G448" s="50">
        <v>1014</v>
      </c>
      <c r="H448" s="50">
        <v>25</v>
      </c>
      <c r="I448" s="50">
        <v>1230</v>
      </c>
      <c r="J448" s="50">
        <v>1230</v>
      </c>
      <c r="K448" s="50">
        <v>0</v>
      </c>
      <c r="L448" s="36">
        <v>2020</v>
      </c>
      <c r="M448" s="50" t="s">
        <v>41</v>
      </c>
      <c r="N448" s="50" t="s">
        <v>1000</v>
      </c>
    </row>
    <row r="449" spans="1:14" ht="24" customHeight="1" x14ac:dyDescent="0.35">
      <c r="A449" s="103" t="s">
        <v>75</v>
      </c>
      <c r="B449" s="50" t="s">
        <v>41</v>
      </c>
      <c r="C449" s="50" t="s">
        <v>996</v>
      </c>
      <c r="D449" s="50" t="s">
        <v>995</v>
      </c>
      <c r="E449" s="50">
        <v>706003</v>
      </c>
      <c r="F449" s="50">
        <v>2933256</v>
      </c>
      <c r="G449" s="50">
        <v>9764087</v>
      </c>
      <c r="H449" s="50">
        <v>178103</v>
      </c>
      <c r="I449" s="50">
        <v>13581449</v>
      </c>
      <c r="J449" s="50">
        <v>13581449</v>
      </c>
      <c r="K449" s="50">
        <v>0</v>
      </c>
      <c r="L449" s="36">
        <v>2020</v>
      </c>
      <c r="M449" s="50" t="s">
        <v>41</v>
      </c>
      <c r="N449" s="50" t="s">
        <v>1000</v>
      </c>
    </row>
    <row r="450" spans="1:14" ht="24" customHeight="1" x14ac:dyDescent="0.35">
      <c r="A450" s="50" t="s">
        <v>348</v>
      </c>
      <c r="B450" s="50" t="s">
        <v>255</v>
      </c>
      <c r="C450" s="50" t="s">
        <v>993</v>
      </c>
      <c r="D450" s="50" t="s">
        <v>997</v>
      </c>
      <c r="E450" s="50">
        <v>0</v>
      </c>
      <c r="F450" s="50">
        <v>0</v>
      </c>
      <c r="G450" s="50">
        <v>0</v>
      </c>
      <c r="H450" s="50">
        <v>0</v>
      </c>
      <c r="I450" s="50">
        <v>0</v>
      </c>
      <c r="J450" s="50">
        <v>0</v>
      </c>
      <c r="K450" s="50">
        <v>0</v>
      </c>
      <c r="L450" s="36">
        <v>2020</v>
      </c>
      <c r="M450" s="50"/>
      <c r="N450" s="50"/>
    </row>
    <row r="451" spans="1:14" ht="24" customHeight="1" x14ac:dyDescent="0.35">
      <c r="A451" s="50" t="s">
        <v>348</v>
      </c>
      <c r="B451" s="50" t="s">
        <v>255</v>
      </c>
      <c r="C451" s="50" t="s">
        <v>993</v>
      </c>
      <c r="D451" s="50" t="s">
        <v>994</v>
      </c>
      <c r="E451" s="50">
        <v>1</v>
      </c>
      <c r="F451" s="50">
        <v>0</v>
      </c>
      <c r="G451" s="50">
        <v>0</v>
      </c>
      <c r="H451" s="50">
        <v>0</v>
      </c>
      <c r="I451" s="50">
        <v>1</v>
      </c>
      <c r="J451" s="50">
        <v>1</v>
      </c>
      <c r="K451" s="50">
        <v>0</v>
      </c>
      <c r="L451" s="36">
        <v>2020</v>
      </c>
      <c r="M451" s="50"/>
      <c r="N451" s="50"/>
    </row>
    <row r="452" spans="1:14" ht="24" customHeight="1" x14ac:dyDescent="0.35">
      <c r="A452" s="50" t="s">
        <v>348</v>
      </c>
      <c r="B452" s="50" t="s">
        <v>255</v>
      </c>
      <c r="C452" s="50" t="s">
        <v>993</v>
      </c>
      <c r="D452" s="50" t="s">
        <v>995</v>
      </c>
      <c r="E452" s="50">
        <v>14908</v>
      </c>
      <c r="F452" s="50">
        <v>0</v>
      </c>
      <c r="G452" s="50">
        <v>0</v>
      </c>
      <c r="H452" s="50">
        <v>0</v>
      </c>
      <c r="I452" s="50">
        <v>14908</v>
      </c>
      <c r="J452" s="50"/>
      <c r="K452" s="50"/>
      <c r="L452" s="36">
        <v>2020</v>
      </c>
      <c r="M452" s="50"/>
      <c r="N452" s="50"/>
    </row>
    <row r="453" spans="1:14" ht="24" customHeight="1" x14ac:dyDescent="0.35">
      <c r="A453" s="50" t="s">
        <v>348</v>
      </c>
      <c r="B453" s="50" t="s">
        <v>255</v>
      </c>
      <c r="C453" s="50" t="s">
        <v>996</v>
      </c>
      <c r="D453" s="50" t="s">
        <v>997</v>
      </c>
      <c r="E453" s="50">
        <v>1</v>
      </c>
      <c r="F453" s="50">
        <v>0</v>
      </c>
      <c r="G453" s="50">
        <v>3</v>
      </c>
      <c r="H453" s="50">
        <v>6</v>
      </c>
      <c r="I453" s="50">
        <v>10</v>
      </c>
      <c r="J453" s="50">
        <v>4</v>
      </c>
      <c r="K453" s="50">
        <v>7</v>
      </c>
      <c r="L453" s="36">
        <v>2020</v>
      </c>
      <c r="M453" s="50"/>
      <c r="N453" s="50"/>
    </row>
    <row r="454" spans="1:14" ht="24" customHeight="1" x14ac:dyDescent="0.35">
      <c r="A454" s="50" t="s">
        <v>348</v>
      </c>
      <c r="B454" s="50" t="s">
        <v>255</v>
      </c>
      <c r="C454" s="50" t="s">
        <v>996</v>
      </c>
      <c r="D454" s="50" t="s">
        <v>994</v>
      </c>
      <c r="E454" s="50">
        <v>4</v>
      </c>
      <c r="F454" s="50">
        <v>0</v>
      </c>
      <c r="G454" s="50">
        <v>14</v>
      </c>
      <c r="H454" s="50">
        <v>13</v>
      </c>
      <c r="I454" s="50">
        <v>31</v>
      </c>
      <c r="J454" s="50">
        <v>18</v>
      </c>
      <c r="K454" s="50">
        <v>13</v>
      </c>
      <c r="L454" s="36">
        <v>2020</v>
      </c>
      <c r="M454" s="50"/>
      <c r="N454" s="50"/>
    </row>
    <row r="455" spans="1:14" ht="24" customHeight="1" x14ac:dyDescent="0.35">
      <c r="A455" s="50" t="s">
        <v>348</v>
      </c>
      <c r="B455" s="50" t="s">
        <v>255</v>
      </c>
      <c r="C455" s="50" t="s">
        <v>996</v>
      </c>
      <c r="D455" s="50" t="s">
        <v>995</v>
      </c>
      <c r="E455" s="50">
        <v>51012</v>
      </c>
      <c r="F455" s="50">
        <v>0</v>
      </c>
      <c r="G455" s="50">
        <v>14003</v>
      </c>
      <c r="H455" s="50">
        <v>7675</v>
      </c>
      <c r="I455" s="50">
        <v>72690</v>
      </c>
      <c r="J455" s="50">
        <v>0</v>
      </c>
      <c r="K455" s="50">
        <v>0</v>
      </c>
      <c r="L455" s="36">
        <v>2020</v>
      </c>
      <c r="M455" s="50"/>
      <c r="N455" s="50"/>
    </row>
    <row r="456" spans="1:14" ht="24" customHeight="1" x14ac:dyDescent="0.35">
      <c r="A456" s="50" t="s">
        <v>540</v>
      </c>
      <c r="B456" s="50" t="s">
        <v>46</v>
      </c>
      <c r="C456" s="50" t="s">
        <v>993</v>
      </c>
      <c r="D456" s="50" t="s">
        <v>997</v>
      </c>
      <c r="E456" s="50">
        <v>0</v>
      </c>
      <c r="F456" s="50">
        <v>0</v>
      </c>
      <c r="G456" s="50">
        <v>0</v>
      </c>
      <c r="H456" s="50">
        <v>0</v>
      </c>
      <c r="I456" s="50">
        <v>0</v>
      </c>
      <c r="J456" s="50">
        <v>0</v>
      </c>
      <c r="K456" s="50">
        <v>0</v>
      </c>
      <c r="L456" s="36">
        <v>2020</v>
      </c>
      <c r="M456" s="50"/>
      <c r="N456" s="50"/>
    </row>
    <row r="457" spans="1:14" ht="24" customHeight="1" x14ac:dyDescent="0.35">
      <c r="A457" s="50" t="s">
        <v>540</v>
      </c>
      <c r="B457" s="50" t="s">
        <v>46</v>
      </c>
      <c r="C457" s="50" t="s">
        <v>993</v>
      </c>
      <c r="D457" s="50" t="s">
        <v>994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50">
        <v>0</v>
      </c>
      <c r="K457" s="50">
        <v>0</v>
      </c>
      <c r="L457" s="36">
        <v>2020</v>
      </c>
      <c r="M457" s="50"/>
      <c r="N457" s="50"/>
    </row>
    <row r="458" spans="1:14" ht="24" customHeight="1" x14ac:dyDescent="0.35">
      <c r="A458" s="50" t="s">
        <v>540</v>
      </c>
      <c r="B458" s="50" t="s">
        <v>46</v>
      </c>
      <c r="C458" s="50" t="s">
        <v>993</v>
      </c>
      <c r="D458" s="50" t="s">
        <v>995</v>
      </c>
      <c r="E458" s="50">
        <v>0</v>
      </c>
      <c r="F458" s="50">
        <v>0</v>
      </c>
      <c r="G458" s="50">
        <v>0</v>
      </c>
      <c r="H458" s="50">
        <v>0</v>
      </c>
      <c r="I458" s="50">
        <v>0</v>
      </c>
      <c r="J458" s="50"/>
      <c r="K458" s="50"/>
      <c r="L458" s="36">
        <v>2020</v>
      </c>
      <c r="M458" s="50"/>
      <c r="N458" s="50"/>
    </row>
    <row r="459" spans="1:14" ht="24" customHeight="1" x14ac:dyDescent="0.35">
      <c r="A459" s="50" t="s">
        <v>540</v>
      </c>
      <c r="B459" s="50" t="s">
        <v>46</v>
      </c>
      <c r="C459" s="50" t="s">
        <v>996</v>
      </c>
      <c r="D459" s="50" t="s">
        <v>997</v>
      </c>
      <c r="E459" s="50">
        <v>1</v>
      </c>
      <c r="F459" s="50">
        <v>0</v>
      </c>
      <c r="G459" s="50">
        <v>0</v>
      </c>
      <c r="H459" s="50">
        <v>0</v>
      </c>
      <c r="I459" s="50">
        <v>1</v>
      </c>
      <c r="J459" s="50">
        <v>1</v>
      </c>
      <c r="K459" s="50">
        <v>0</v>
      </c>
      <c r="L459" s="36">
        <v>2020</v>
      </c>
      <c r="M459" s="50"/>
      <c r="N459" s="50"/>
    </row>
    <row r="460" spans="1:14" ht="24" customHeight="1" x14ac:dyDescent="0.35">
      <c r="A460" s="50" t="s">
        <v>540</v>
      </c>
      <c r="B460" s="50" t="s">
        <v>46</v>
      </c>
      <c r="C460" s="50" t="s">
        <v>996</v>
      </c>
      <c r="D460" s="50" t="s">
        <v>994</v>
      </c>
      <c r="E460" s="50">
        <v>1</v>
      </c>
      <c r="F460" s="50">
        <v>0</v>
      </c>
      <c r="G460" s="50">
        <v>0</v>
      </c>
      <c r="H460" s="50">
        <v>0</v>
      </c>
      <c r="I460" s="50">
        <v>1</v>
      </c>
      <c r="J460" s="50">
        <v>1</v>
      </c>
      <c r="K460" s="50">
        <v>0</v>
      </c>
      <c r="L460" s="36">
        <v>2020</v>
      </c>
      <c r="M460" s="50"/>
      <c r="N460" s="50"/>
    </row>
    <row r="461" spans="1:14" ht="24" customHeight="1" x14ac:dyDescent="0.35">
      <c r="A461" s="50" t="s">
        <v>540</v>
      </c>
      <c r="B461" s="50" t="s">
        <v>46</v>
      </c>
      <c r="C461" s="50" t="s">
        <v>996</v>
      </c>
      <c r="D461" s="50" t="s">
        <v>995</v>
      </c>
      <c r="E461" s="50">
        <v>36000</v>
      </c>
      <c r="F461" s="50">
        <v>0</v>
      </c>
      <c r="G461" s="50">
        <v>0</v>
      </c>
      <c r="H461" s="50">
        <v>0</v>
      </c>
      <c r="I461" s="50">
        <v>36000</v>
      </c>
      <c r="J461" s="50">
        <v>36000</v>
      </c>
      <c r="K461" s="50">
        <v>0</v>
      </c>
      <c r="L461" s="36">
        <v>2020</v>
      </c>
      <c r="M461" s="50"/>
      <c r="N461" s="50"/>
    </row>
    <row r="462" spans="1:14" ht="24" customHeight="1" x14ac:dyDescent="0.35">
      <c r="A462" s="50" t="s">
        <v>360</v>
      </c>
      <c r="B462" s="50" t="s">
        <v>87</v>
      </c>
      <c r="C462" s="50" t="s">
        <v>993</v>
      </c>
      <c r="D462" s="50" t="s">
        <v>997</v>
      </c>
      <c r="E462" s="50">
        <v>0</v>
      </c>
      <c r="F462" s="50">
        <v>0</v>
      </c>
      <c r="G462" s="50">
        <v>0</v>
      </c>
      <c r="H462" s="50">
        <v>0</v>
      </c>
      <c r="I462" s="50">
        <v>0</v>
      </c>
      <c r="J462" s="50">
        <v>0</v>
      </c>
      <c r="K462" s="50">
        <v>0</v>
      </c>
      <c r="L462" s="36">
        <v>2020</v>
      </c>
      <c r="M462" s="50"/>
      <c r="N462" s="50"/>
    </row>
    <row r="463" spans="1:14" ht="24" customHeight="1" x14ac:dyDescent="0.35">
      <c r="A463" s="50" t="s">
        <v>360</v>
      </c>
      <c r="B463" s="50" t="s">
        <v>87</v>
      </c>
      <c r="C463" s="50" t="s">
        <v>993</v>
      </c>
      <c r="D463" s="50" t="s">
        <v>994</v>
      </c>
      <c r="E463" s="50">
        <v>3</v>
      </c>
      <c r="F463" s="50">
        <v>0</v>
      </c>
      <c r="G463" s="50">
        <v>0</v>
      </c>
      <c r="H463" s="50">
        <v>0</v>
      </c>
      <c r="I463" s="50">
        <v>3</v>
      </c>
      <c r="J463" s="50">
        <v>1</v>
      </c>
      <c r="K463" s="50">
        <v>2</v>
      </c>
      <c r="L463" s="36">
        <v>2020</v>
      </c>
      <c r="M463" s="50"/>
      <c r="N463" s="50"/>
    </row>
    <row r="464" spans="1:14" ht="24" customHeight="1" x14ac:dyDescent="0.35">
      <c r="A464" s="50" t="s">
        <v>360</v>
      </c>
      <c r="B464" s="50" t="s">
        <v>87</v>
      </c>
      <c r="C464" s="50" t="s">
        <v>993</v>
      </c>
      <c r="D464" s="50" t="s">
        <v>995</v>
      </c>
      <c r="E464" s="50">
        <v>248835</v>
      </c>
      <c r="F464" s="50"/>
      <c r="G464" s="50">
        <v>0</v>
      </c>
      <c r="H464" s="50">
        <v>0</v>
      </c>
      <c r="I464" s="50">
        <v>248835</v>
      </c>
      <c r="J464" s="50"/>
      <c r="K464" s="50"/>
      <c r="L464" s="36">
        <v>2020</v>
      </c>
      <c r="M464" s="50"/>
      <c r="N464" s="50"/>
    </row>
    <row r="465" spans="1:14" ht="24" customHeight="1" x14ac:dyDescent="0.35">
      <c r="A465" s="50" t="s">
        <v>360</v>
      </c>
      <c r="B465" s="50" t="s">
        <v>87</v>
      </c>
      <c r="C465" s="50" t="s">
        <v>996</v>
      </c>
      <c r="D465" s="50" t="s">
        <v>997</v>
      </c>
      <c r="E465" s="50">
        <v>0</v>
      </c>
      <c r="F465" s="50">
        <v>1</v>
      </c>
      <c r="G465" s="50">
        <v>1</v>
      </c>
      <c r="H465" s="50">
        <v>1</v>
      </c>
      <c r="I465" s="50">
        <v>3</v>
      </c>
      <c r="J465" s="50">
        <v>3</v>
      </c>
      <c r="K465" s="50">
        <v>0</v>
      </c>
      <c r="L465" s="36">
        <v>2020</v>
      </c>
      <c r="M465" s="50"/>
      <c r="N465" s="50"/>
    </row>
    <row r="466" spans="1:14" ht="24" customHeight="1" x14ac:dyDescent="0.35">
      <c r="A466" s="50" t="s">
        <v>360</v>
      </c>
      <c r="B466" s="50" t="s">
        <v>87</v>
      </c>
      <c r="C466" s="50" t="s">
        <v>996</v>
      </c>
      <c r="D466" s="50" t="s">
        <v>994</v>
      </c>
      <c r="E466" s="50">
        <v>2</v>
      </c>
      <c r="F466" s="50">
        <v>15</v>
      </c>
      <c r="G466" s="50">
        <v>12</v>
      </c>
      <c r="H466" s="50">
        <v>50</v>
      </c>
      <c r="I466" s="50">
        <v>79</v>
      </c>
      <c r="J466" s="50">
        <v>79</v>
      </c>
      <c r="K466" s="50">
        <v>0</v>
      </c>
      <c r="L466" s="36">
        <v>2020</v>
      </c>
      <c r="M466" s="50"/>
      <c r="N466" s="50"/>
    </row>
    <row r="467" spans="1:14" ht="24" customHeight="1" x14ac:dyDescent="0.35">
      <c r="A467" s="50" t="s">
        <v>360</v>
      </c>
      <c r="B467" s="50" t="s">
        <v>87</v>
      </c>
      <c r="C467" s="50" t="s">
        <v>996</v>
      </c>
      <c r="D467" s="50" t="s">
        <v>995</v>
      </c>
      <c r="E467" s="50">
        <v>61048</v>
      </c>
      <c r="F467" s="50">
        <v>159357</v>
      </c>
      <c r="G467" s="50">
        <v>55308</v>
      </c>
      <c r="H467" s="50">
        <v>143794</v>
      </c>
      <c r="I467" s="50">
        <v>419507</v>
      </c>
      <c r="J467" s="50">
        <v>36420</v>
      </c>
      <c r="K467" s="50">
        <v>0</v>
      </c>
      <c r="L467" s="36">
        <v>2020</v>
      </c>
      <c r="M467" s="50"/>
      <c r="N467" s="50"/>
    </row>
    <row r="468" spans="1:14" ht="24" customHeight="1" x14ac:dyDescent="0.35">
      <c r="A468" s="50" t="s">
        <v>363</v>
      </c>
      <c r="B468" s="50" t="s">
        <v>255</v>
      </c>
      <c r="C468" s="50" t="s">
        <v>993</v>
      </c>
      <c r="D468" s="50" t="s">
        <v>997</v>
      </c>
      <c r="E468" s="50">
        <v>0</v>
      </c>
      <c r="F468" s="50">
        <v>0</v>
      </c>
      <c r="G468" s="50">
        <v>0</v>
      </c>
      <c r="H468" s="50">
        <v>0</v>
      </c>
      <c r="I468" s="50">
        <v>0</v>
      </c>
      <c r="J468" s="50">
        <v>0</v>
      </c>
      <c r="K468" s="50">
        <v>0</v>
      </c>
      <c r="L468" s="36">
        <v>2020</v>
      </c>
      <c r="M468" s="50"/>
      <c r="N468" s="50"/>
    </row>
    <row r="469" spans="1:14" ht="24" customHeight="1" x14ac:dyDescent="0.35">
      <c r="A469" s="50" t="s">
        <v>363</v>
      </c>
      <c r="B469" s="50" t="s">
        <v>255</v>
      </c>
      <c r="C469" s="50" t="s">
        <v>993</v>
      </c>
      <c r="D469" s="50" t="s">
        <v>994</v>
      </c>
      <c r="E469" s="50">
        <v>0</v>
      </c>
      <c r="F469" s="50">
        <v>0</v>
      </c>
      <c r="G469" s="50">
        <v>0</v>
      </c>
      <c r="H469" s="50">
        <v>0</v>
      </c>
      <c r="I469" s="50">
        <v>0</v>
      </c>
      <c r="J469" s="50">
        <v>0</v>
      </c>
      <c r="K469" s="50">
        <v>0</v>
      </c>
      <c r="L469" s="36">
        <v>2020</v>
      </c>
      <c r="M469" s="50"/>
      <c r="N469" s="50"/>
    </row>
    <row r="470" spans="1:14" ht="24" customHeight="1" x14ac:dyDescent="0.35">
      <c r="A470" s="50" t="s">
        <v>363</v>
      </c>
      <c r="B470" s="50" t="s">
        <v>255</v>
      </c>
      <c r="C470" s="50" t="s">
        <v>993</v>
      </c>
      <c r="D470" s="50" t="s">
        <v>995</v>
      </c>
      <c r="E470" s="50">
        <v>0</v>
      </c>
      <c r="F470" s="50">
        <v>0</v>
      </c>
      <c r="G470" s="50">
        <v>0</v>
      </c>
      <c r="H470" s="50">
        <v>0</v>
      </c>
      <c r="I470" s="50">
        <v>0</v>
      </c>
      <c r="J470" s="50"/>
      <c r="K470" s="50"/>
      <c r="L470" s="36">
        <v>2020</v>
      </c>
      <c r="M470" s="50"/>
      <c r="N470" s="50"/>
    </row>
    <row r="471" spans="1:14" ht="24" customHeight="1" x14ac:dyDescent="0.35">
      <c r="A471" s="50" t="s">
        <v>363</v>
      </c>
      <c r="B471" s="50" t="s">
        <v>255</v>
      </c>
      <c r="C471" s="50" t="s">
        <v>996</v>
      </c>
      <c r="D471" s="50" t="s">
        <v>997</v>
      </c>
      <c r="E471" s="50">
        <v>5</v>
      </c>
      <c r="F471" s="50">
        <v>1</v>
      </c>
      <c r="G471" s="50">
        <v>0</v>
      </c>
      <c r="H471" s="50">
        <v>5</v>
      </c>
      <c r="I471" s="50">
        <v>11</v>
      </c>
      <c r="J471" s="50">
        <v>11</v>
      </c>
      <c r="K471" s="50">
        <v>0</v>
      </c>
      <c r="L471" s="36">
        <v>2020</v>
      </c>
      <c r="M471" s="50"/>
      <c r="N471" s="50"/>
    </row>
    <row r="472" spans="1:14" ht="24" customHeight="1" x14ac:dyDescent="0.35">
      <c r="A472" s="50" t="s">
        <v>363</v>
      </c>
      <c r="B472" s="50" t="s">
        <v>255</v>
      </c>
      <c r="C472" s="50" t="s">
        <v>996</v>
      </c>
      <c r="D472" s="50" t="s">
        <v>994</v>
      </c>
      <c r="E472" s="50">
        <v>16</v>
      </c>
      <c r="F472" s="50">
        <v>12</v>
      </c>
      <c r="G472" s="50">
        <v>17</v>
      </c>
      <c r="H472" s="50">
        <v>24</v>
      </c>
      <c r="I472" s="50">
        <v>69</v>
      </c>
      <c r="J472" s="50">
        <v>69</v>
      </c>
      <c r="K472" s="50">
        <v>0</v>
      </c>
      <c r="L472" s="36">
        <v>2020</v>
      </c>
      <c r="M472" s="50"/>
      <c r="N472" s="50"/>
    </row>
    <row r="473" spans="1:14" ht="24" customHeight="1" x14ac:dyDescent="0.35">
      <c r="A473" s="50" t="s">
        <v>363</v>
      </c>
      <c r="B473" s="50" t="s">
        <v>255</v>
      </c>
      <c r="C473" s="50" t="s">
        <v>996</v>
      </c>
      <c r="D473" s="50" t="s">
        <v>995</v>
      </c>
      <c r="E473" s="50">
        <v>65157</v>
      </c>
      <c r="F473" s="50">
        <v>58141.540999999997</v>
      </c>
      <c r="G473" s="50">
        <v>38153.930999999997</v>
      </c>
      <c r="H473" s="50">
        <v>49903.843999999997</v>
      </c>
      <c r="I473" s="50">
        <v>211356</v>
      </c>
      <c r="J473" s="50">
        <v>477048685</v>
      </c>
      <c r="K473" s="50">
        <v>0</v>
      </c>
      <c r="L473" s="36">
        <v>2020</v>
      </c>
      <c r="M473" s="50"/>
      <c r="N473" s="50"/>
    </row>
    <row r="474" spans="1:14" ht="24" customHeight="1" x14ac:dyDescent="0.35">
      <c r="A474" s="50" t="s">
        <v>547</v>
      </c>
      <c r="B474" s="50" t="s">
        <v>255</v>
      </c>
      <c r="C474" s="50" t="s">
        <v>996</v>
      </c>
      <c r="D474" s="50" t="s">
        <v>994</v>
      </c>
      <c r="E474" s="50">
        <v>1</v>
      </c>
      <c r="F474" s="50">
        <v>2</v>
      </c>
      <c r="G474" s="50">
        <v>3</v>
      </c>
      <c r="H474" s="50">
        <v>2</v>
      </c>
      <c r="I474" s="50">
        <v>8</v>
      </c>
      <c r="J474" s="50"/>
      <c r="K474" s="50"/>
      <c r="L474" s="36">
        <v>2020</v>
      </c>
      <c r="M474" s="50"/>
      <c r="N474" s="50"/>
    </row>
    <row r="475" spans="1:14" ht="24" customHeight="1" x14ac:dyDescent="0.35">
      <c r="A475" s="50" t="s">
        <v>547</v>
      </c>
      <c r="B475" s="50" t="s">
        <v>255</v>
      </c>
      <c r="C475" s="50" t="s">
        <v>996</v>
      </c>
      <c r="D475" s="50" t="s">
        <v>995</v>
      </c>
      <c r="E475" s="50">
        <v>30000</v>
      </c>
      <c r="F475" s="50">
        <v>24000</v>
      </c>
      <c r="G475" s="50">
        <v>14400</v>
      </c>
      <c r="H475" s="50">
        <v>3600</v>
      </c>
      <c r="I475" s="50">
        <v>72000</v>
      </c>
      <c r="J475" s="50"/>
      <c r="K475" s="50"/>
      <c r="L475" s="36">
        <v>2020</v>
      </c>
      <c r="M475" s="50"/>
      <c r="N475" s="50"/>
    </row>
    <row r="476" spans="1:14" ht="24" customHeight="1" x14ac:dyDescent="0.35">
      <c r="A476" s="50" t="s">
        <v>547</v>
      </c>
      <c r="B476" s="50" t="s">
        <v>255</v>
      </c>
      <c r="C476" s="50" t="s">
        <v>993</v>
      </c>
      <c r="D476" s="50" t="s">
        <v>997</v>
      </c>
      <c r="E476" s="50">
        <v>1</v>
      </c>
      <c r="F476" s="50"/>
      <c r="G476" s="50"/>
      <c r="H476" s="50"/>
      <c r="I476" s="50">
        <v>1</v>
      </c>
      <c r="J476" s="50"/>
      <c r="K476" s="50"/>
      <c r="L476" s="36">
        <v>2020</v>
      </c>
      <c r="M476" s="50"/>
      <c r="N476" s="50"/>
    </row>
    <row r="477" spans="1:14" ht="24" customHeight="1" x14ac:dyDescent="0.35">
      <c r="A477" s="50" t="s">
        <v>547</v>
      </c>
      <c r="B477" s="50" t="s">
        <v>255</v>
      </c>
      <c r="C477" s="50" t="s">
        <v>993</v>
      </c>
      <c r="D477" s="50" t="s">
        <v>994</v>
      </c>
      <c r="E477" s="50">
        <v>3</v>
      </c>
      <c r="F477" s="50"/>
      <c r="G477" s="50"/>
      <c r="H477" s="50"/>
      <c r="I477" s="50">
        <v>3</v>
      </c>
      <c r="J477" s="50"/>
      <c r="K477" s="50"/>
      <c r="L477" s="36">
        <v>2020</v>
      </c>
      <c r="M477" s="50"/>
      <c r="N477" s="50"/>
    </row>
    <row r="478" spans="1:14" ht="24" customHeight="1" x14ac:dyDescent="0.35">
      <c r="A478" s="50" t="s">
        <v>547</v>
      </c>
      <c r="B478" s="50" t="s">
        <v>255</v>
      </c>
      <c r="C478" s="50" t="s">
        <v>993</v>
      </c>
      <c r="D478" s="50" t="s">
        <v>995</v>
      </c>
      <c r="E478" s="50">
        <v>114000</v>
      </c>
      <c r="F478" s="50"/>
      <c r="G478" s="50"/>
      <c r="H478" s="50"/>
      <c r="I478" s="50">
        <v>114000</v>
      </c>
      <c r="J478" s="50"/>
      <c r="K478" s="50"/>
      <c r="L478" s="36">
        <v>2020</v>
      </c>
      <c r="M478" s="50"/>
      <c r="N478" s="50"/>
    </row>
    <row r="479" spans="1:14" ht="24" customHeight="1" x14ac:dyDescent="0.35">
      <c r="A479" s="50" t="s">
        <v>373</v>
      </c>
      <c r="B479" s="50" t="s">
        <v>41</v>
      </c>
      <c r="C479" s="50" t="s">
        <v>993</v>
      </c>
      <c r="D479" s="50" t="s">
        <v>997</v>
      </c>
      <c r="E479" s="50">
        <v>0</v>
      </c>
      <c r="F479" s="50">
        <v>3</v>
      </c>
      <c r="G479" s="50">
        <v>0</v>
      </c>
      <c r="H479" s="50">
        <v>0</v>
      </c>
      <c r="I479" s="50">
        <v>3</v>
      </c>
      <c r="J479" s="50">
        <v>3</v>
      </c>
      <c r="K479" s="50">
        <v>0</v>
      </c>
      <c r="L479" s="36">
        <v>2020</v>
      </c>
      <c r="M479" s="50"/>
      <c r="N479" s="50"/>
    </row>
    <row r="480" spans="1:14" ht="24" customHeight="1" x14ac:dyDescent="0.35">
      <c r="A480" s="50" t="s">
        <v>373</v>
      </c>
      <c r="B480" s="50" t="s">
        <v>41</v>
      </c>
      <c r="C480" s="50" t="s">
        <v>993</v>
      </c>
      <c r="D480" s="50" t="s">
        <v>994</v>
      </c>
      <c r="E480" s="50">
        <v>22</v>
      </c>
      <c r="F480" s="50">
        <v>31</v>
      </c>
      <c r="G480" s="50">
        <v>0</v>
      </c>
      <c r="H480" s="50">
        <v>0</v>
      </c>
      <c r="I480" s="50">
        <v>53</v>
      </c>
      <c r="J480" s="50">
        <v>53</v>
      </c>
      <c r="K480" s="50">
        <v>0</v>
      </c>
      <c r="L480" s="36">
        <v>2020</v>
      </c>
      <c r="M480" s="50"/>
      <c r="N480" s="50"/>
    </row>
    <row r="481" spans="1:14" ht="24" customHeight="1" x14ac:dyDescent="0.35">
      <c r="A481" s="50" t="s">
        <v>373</v>
      </c>
      <c r="B481" s="50" t="s">
        <v>41</v>
      </c>
      <c r="C481" s="50" t="s">
        <v>993</v>
      </c>
      <c r="D481" s="50" t="s">
        <v>995</v>
      </c>
      <c r="E481" s="50">
        <v>3215199</v>
      </c>
      <c r="F481" s="50">
        <v>2099180</v>
      </c>
      <c r="G481" s="50">
        <v>0</v>
      </c>
      <c r="H481" s="50">
        <v>0</v>
      </c>
      <c r="I481" s="50">
        <v>5314379</v>
      </c>
      <c r="J481" s="50"/>
      <c r="K481" s="50"/>
      <c r="L481" s="36">
        <v>2020</v>
      </c>
      <c r="M481" s="50"/>
      <c r="N481" s="50"/>
    </row>
    <row r="482" spans="1:14" ht="24" customHeight="1" x14ac:dyDescent="0.35">
      <c r="A482" s="50" t="s">
        <v>373</v>
      </c>
      <c r="B482" s="50" t="s">
        <v>41</v>
      </c>
      <c r="C482" s="50" t="s">
        <v>996</v>
      </c>
      <c r="D482" s="50" t="s">
        <v>997</v>
      </c>
      <c r="E482" s="50">
        <v>1</v>
      </c>
      <c r="F482" s="50">
        <v>0</v>
      </c>
      <c r="G482" s="50">
        <v>14</v>
      </c>
      <c r="H482" s="50">
        <f>3+1</f>
        <v>4</v>
      </c>
      <c r="I482" s="50">
        <v>18</v>
      </c>
      <c r="J482" s="50">
        <v>18</v>
      </c>
      <c r="K482" s="50">
        <v>0</v>
      </c>
      <c r="L482" s="36">
        <v>2020</v>
      </c>
      <c r="M482" s="50"/>
      <c r="N482" s="50"/>
    </row>
    <row r="483" spans="1:14" ht="24" customHeight="1" x14ac:dyDescent="0.35">
      <c r="A483" s="50" t="s">
        <v>373</v>
      </c>
      <c r="B483" s="50" t="s">
        <v>41</v>
      </c>
      <c r="C483" s="50" t="s">
        <v>996</v>
      </c>
      <c r="D483" s="50" t="s">
        <v>994</v>
      </c>
      <c r="E483" s="50">
        <f>3+8</f>
        <v>11</v>
      </c>
      <c r="F483" s="50">
        <v>35</v>
      </c>
      <c r="G483" s="50">
        <v>172</v>
      </c>
      <c r="H483" s="50">
        <f>29+101</f>
        <v>130</v>
      </c>
      <c r="I483" s="50">
        <v>244</v>
      </c>
      <c r="J483" s="50">
        <v>244</v>
      </c>
      <c r="K483" s="50">
        <v>0</v>
      </c>
      <c r="L483" s="36">
        <v>2020</v>
      </c>
      <c r="M483" s="50"/>
      <c r="N483" s="50"/>
    </row>
    <row r="484" spans="1:14" ht="24" customHeight="1" x14ac:dyDescent="0.35">
      <c r="A484" s="50" t="s">
        <v>373</v>
      </c>
      <c r="B484" s="50" t="s">
        <v>41</v>
      </c>
      <c r="C484" s="50" t="s">
        <v>996</v>
      </c>
      <c r="D484" s="50" t="s">
        <v>995</v>
      </c>
      <c r="E484" s="50">
        <f>105000+473873</f>
        <v>578873</v>
      </c>
      <c r="F484" s="50">
        <v>715268</v>
      </c>
      <c r="G484" s="50">
        <v>1366821</v>
      </c>
      <c r="H484" s="50">
        <f>147159+215000</f>
        <v>362159</v>
      </c>
      <c r="I484" s="50">
        <v>2703121</v>
      </c>
      <c r="J484" s="50">
        <v>2703121</v>
      </c>
      <c r="K484" s="50">
        <v>0</v>
      </c>
      <c r="L484" s="36">
        <v>2020</v>
      </c>
      <c r="M484" s="50"/>
      <c r="N484" s="50"/>
    </row>
    <row r="485" spans="1:14" ht="24" customHeight="1" x14ac:dyDescent="0.35">
      <c r="A485" s="50" t="s">
        <v>374</v>
      </c>
      <c r="B485" s="50" t="s">
        <v>41</v>
      </c>
      <c r="C485" s="50" t="s">
        <v>993</v>
      </c>
      <c r="D485" s="50" t="s">
        <v>997</v>
      </c>
      <c r="E485" s="50">
        <v>0</v>
      </c>
      <c r="F485" s="50">
        <v>0</v>
      </c>
      <c r="G485" s="50">
        <v>0</v>
      </c>
      <c r="H485" s="50">
        <v>0</v>
      </c>
      <c r="I485" s="50">
        <v>0</v>
      </c>
      <c r="J485" s="50">
        <v>0</v>
      </c>
      <c r="K485" s="50">
        <v>0</v>
      </c>
      <c r="L485" s="36">
        <v>2020</v>
      </c>
      <c r="M485" s="50"/>
      <c r="N485" s="50"/>
    </row>
    <row r="486" spans="1:14" ht="24" customHeight="1" x14ac:dyDescent="0.35">
      <c r="A486" s="50" t="s">
        <v>374</v>
      </c>
      <c r="B486" s="50" t="s">
        <v>41</v>
      </c>
      <c r="C486" s="50" t="s">
        <v>993</v>
      </c>
      <c r="D486" s="50" t="s">
        <v>994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0</v>
      </c>
      <c r="K486" s="50">
        <v>0</v>
      </c>
      <c r="L486" s="36">
        <v>2020</v>
      </c>
      <c r="M486" s="50"/>
      <c r="N486" s="50"/>
    </row>
    <row r="487" spans="1:14" ht="24" customHeight="1" x14ac:dyDescent="0.35">
      <c r="A487" s="50" t="s">
        <v>374</v>
      </c>
      <c r="B487" s="50" t="s">
        <v>41</v>
      </c>
      <c r="C487" s="50" t="s">
        <v>993</v>
      </c>
      <c r="D487" s="50" t="s">
        <v>995</v>
      </c>
      <c r="E487" s="50">
        <v>0</v>
      </c>
      <c r="F487" s="50">
        <v>0</v>
      </c>
      <c r="G487" s="50">
        <v>0</v>
      </c>
      <c r="H487" s="50">
        <v>0</v>
      </c>
      <c r="I487" s="50">
        <v>0</v>
      </c>
      <c r="J487" s="50"/>
      <c r="K487" s="50"/>
      <c r="L487" s="36">
        <v>2020</v>
      </c>
      <c r="M487" s="50"/>
      <c r="N487" s="50"/>
    </row>
    <row r="488" spans="1:14" ht="24" customHeight="1" x14ac:dyDescent="0.35">
      <c r="A488" s="50" t="s">
        <v>374</v>
      </c>
      <c r="B488" s="50" t="s">
        <v>41</v>
      </c>
      <c r="C488" s="50" t="s">
        <v>996</v>
      </c>
      <c r="D488" s="50" t="s">
        <v>997</v>
      </c>
      <c r="E488" s="50">
        <v>1</v>
      </c>
      <c r="F488" s="50">
        <v>0</v>
      </c>
      <c r="G488" s="50">
        <v>1</v>
      </c>
      <c r="H488" s="50">
        <v>1</v>
      </c>
      <c r="I488" s="50">
        <v>3</v>
      </c>
      <c r="J488" s="50">
        <v>3</v>
      </c>
      <c r="K488" s="50">
        <v>0</v>
      </c>
      <c r="L488" s="36">
        <v>2020</v>
      </c>
      <c r="M488" s="50"/>
      <c r="N488" s="50"/>
    </row>
    <row r="489" spans="1:14" ht="24" customHeight="1" x14ac:dyDescent="0.35">
      <c r="A489" s="50" t="s">
        <v>374</v>
      </c>
      <c r="B489" s="50" t="s">
        <v>41</v>
      </c>
      <c r="C489" s="50" t="s">
        <v>996</v>
      </c>
      <c r="D489" s="50" t="s">
        <v>994</v>
      </c>
      <c r="E489" s="50">
        <v>3</v>
      </c>
      <c r="F489" s="50">
        <v>0</v>
      </c>
      <c r="G489" s="50">
        <v>4</v>
      </c>
      <c r="H489" s="50">
        <v>6</v>
      </c>
      <c r="I489" s="50">
        <v>13</v>
      </c>
      <c r="J489" s="50">
        <v>13</v>
      </c>
      <c r="K489" s="50">
        <v>137</v>
      </c>
      <c r="L489" s="36">
        <v>2020</v>
      </c>
      <c r="M489" s="50"/>
      <c r="N489" s="50"/>
    </row>
    <row r="490" spans="1:14" ht="24" customHeight="1" x14ac:dyDescent="0.35">
      <c r="A490" s="50" t="s">
        <v>374</v>
      </c>
      <c r="B490" s="50" t="s">
        <v>41</v>
      </c>
      <c r="C490" s="50" t="s">
        <v>996</v>
      </c>
      <c r="D490" s="50" t="s">
        <v>995</v>
      </c>
      <c r="E490" s="50">
        <v>129670</v>
      </c>
      <c r="F490" s="50">
        <v>0</v>
      </c>
      <c r="G490" s="50">
        <v>14566</v>
      </c>
      <c r="H490" s="50">
        <v>11308</v>
      </c>
      <c r="I490" s="50">
        <v>155544</v>
      </c>
      <c r="J490" s="50">
        <v>155544</v>
      </c>
      <c r="K490" s="50">
        <v>6728</v>
      </c>
      <c r="L490" s="36">
        <v>2020</v>
      </c>
      <c r="M490" s="50"/>
      <c r="N490" s="50"/>
    </row>
    <row r="491" spans="1:14" ht="24" customHeight="1" x14ac:dyDescent="0.35">
      <c r="A491" s="50" t="s">
        <v>376</v>
      </c>
      <c r="B491" s="50" t="s">
        <v>41</v>
      </c>
      <c r="C491" s="50" t="s">
        <v>993</v>
      </c>
      <c r="D491" s="50" t="s">
        <v>997</v>
      </c>
      <c r="E491" s="50">
        <v>3</v>
      </c>
      <c r="F491" s="50">
        <v>0</v>
      </c>
      <c r="G491" s="50">
        <v>0</v>
      </c>
      <c r="H491" s="50">
        <v>0</v>
      </c>
      <c r="I491" s="50">
        <v>3</v>
      </c>
      <c r="J491" s="50">
        <v>3</v>
      </c>
      <c r="K491" s="50">
        <v>0</v>
      </c>
      <c r="L491" s="36">
        <v>2020</v>
      </c>
      <c r="M491" s="50"/>
      <c r="N491" s="50"/>
    </row>
    <row r="492" spans="1:14" ht="24" customHeight="1" x14ac:dyDescent="0.35">
      <c r="A492" s="50" t="s">
        <v>376</v>
      </c>
      <c r="B492" s="50" t="s">
        <v>41</v>
      </c>
      <c r="C492" s="50" t="s">
        <v>993</v>
      </c>
      <c r="D492" s="50" t="s">
        <v>994</v>
      </c>
      <c r="E492" s="50">
        <v>86</v>
      </c>
      <c r="F492" s="50">
        <v>0</v>
      </c>
      <c r="G492" s="50">
        <v>0</v>
      </c>
      <c r="H492" s="50">
        <v>0</v>
      </c>
      <c r="I492" s="50">
        <v>86</v>
      </c>
      <c r="J492" s="50">
        <v>86</v>
      </c>
      <c r="K492" s="50">
        <v>0</v>
      </c>
      <c r="L492" s="36">
        <v>2020</v>
      </c>
      <c r="M492" s="50"/>
      <c r="N492" s="50"/>
    </row>
    <row r="493" spans="1:14" ht="24" customHeight="1" x14ac:dyDescent="0.35">
      <c r="A493" s="50" t="s">
        <v>376</v>
      </c>
      <c r="B493" s="50" t="s">
        <v>41</v>
      </c>
      <c r="C493" s="50" t="s">
        <v>993</v>
      </c>
      <c r="D493" s="50" t="s">
        <v>995</v>
      </c>
      <c r="E493" s="50">
        <v>2043688</v>
      </c>
      <c r="F493" s="50">
        <v>0</v>
      </c>
      <c r="G493" s="50">
        <v>0</v>
      </c>
      <c r="H493" s="50">
        <v>0</v>
      </c>
      <c r="I493" s="50">
        <v>2043688</v>
      </c>
      <c r="J493" s="50"/>
      <c r="K493" s="50"/>
      <c r="L493" s="36">
        <v>2020</v>
      </c>
      <c r="M493" s="50"/>
      <c r="N493" s="50"/>
    </row>
    <row r="494" spans="1:14" ht="24" customHeight="1" x14ac:dyDescent="0.35">
      <c r="A494" s="50" t="s">
        <v>376</v>
      </c>
      <c r="B494" s="50" t="s">
        <v>41</v>
      </c>
      <c r="C494" s="50" t="s">
        <v>996</v>
      </c>
      <c r="D494" s="50" t="s">
        <v>997</v>
      </c>
      <c r="E494" s="50">
        <v>4</v>
      </c>
      <c r="F494" s="50">
        <v>16</v>
      </c>
      <c r="G494" s="50">
        <v>27</v>
      </c>
      <c r="H494" s="50">
        <v>19</v>
      </c>
      <c r="I494" s="50">
        <v>66</v>
      </c>
      <c r="J494" s="50">
        <v>66</v>
      </c>
      <c r="K494" s="50">
        <v>0</v>
      </c>
      <c r="L494" s="36">
        <v>2020</v>
      </c>
      <c r="M494" s="50"/>
      <c r="N494" s="50"/>
    </row>
    <row r="495" spans="1:14" ht="24" customHeight="1" x14ac:dyDescent="0.35">
      <c r="A495" s="50" t="s">
        <v>376</v>
      </c>
      <c r="B495" s="50" t="s">
        <v>41</v>
      </c>
      <c r="C495" s="50" t="s">
        <v>996</v>
      </c>
      <c r="D495" s="50" t="s">
        <v>994</v>
      </c>
      <c r="E495" s="50">
        <v>51</v>
      </c>
      <c r="F495" s="50">
        <v>98</v>
      </c>
      <c r="G495" s="50">
        <v>341</v>
      </c>
      <c r="H495" s="50">
        <v>399</v>
      </c>
      <c r="I495" s="50">
        <v>889</v>
      </c>
      <c r="J495" s="50">
        <v>889</v>
      </c>
      <c r="K495" s="50">
        <v>0</v>
      </c>
      <c r="L495" s="36">
        <v>2020</v>
      </c>
      <c r="M495" s="50"/>
      <c r="N495" s="50"/>
    </row>
    <row r="496" spans="1:14" ht="24" customHeight="1" x14ac:dyDescent="0.35">
      <c r="A496" s="50" t="s">
        <v>376</v>
      </c>
      <c r="B496" s="50" t="s">
        <v>41</v>
      </c>
      <c r="C496" s="50" t="s">
        <v>996</v>
      </c>
      <c r="D496" s="50" t="s">
        <v>995</v>
      </c>
      <c r="E496" s="50">
        <v>2387134</v>
      </c>
      <c r="F496" s="50">
        <v>2786987</v>
      </c>
      <c r="G496" s="50">
        <v>4584599</v>
      </c>
      <c r="H496" s="50">
        <v>123075</v>
      </c>
      <c r="I496" s="50">
        <v>9881795</v>
      </c>
      <c r="J496" s="50">
        <v>10989473</v>
      </c>
      <c r="K496" s="50">
        <v>0</v>
      </c>
      <c r="L496" s="36">
        <v>2020</v>
      </c>
      <c r="M496" s="50"/>
      <c r="N496" s="50"/>
    </row>
    <row r="497" spans="1:14" ht="24" customHeight="1" x14ac:dyDescent="0.35">
      <c r="A497" s="50" t="s">
        <v>377</v>
      </c>
      <c r="B497" s="50" t="s">
        <v>255</v>
      </c>
      <c r="C497" s="50" t="s">
        <v>993</v>
      </c>
      <c r="D497" s="50" t="s">
        <v>997</v>
      </c>
      <c r="E497" s="50">
        <v>0</v>
      </c>
      <c r="F497" s="50">
        <v>0</v>
      </c>
      <c r="G497" s="50">
        <v>0</v>
      </c>
      <c r="H497" s="50">
        <v>0</v>
      </c>
      <c r="I497" s="50">
        <v>0</v>
      </c>
      <c r="J497" s="50">
        <v>0</v>
      </c>
      <c r="K497" s="50">
        <v>0</v>
      </c>
      <c r="L497" s="36">
        <v>2020</v>
      </c>
      <c r="M497" s="50"/>
      <c r="N497" s="50"/>
    </row>
    <row r="498" spans="1:14" ht="24" customHeight="1" x14ac:dyDescent="0.35">
      <c r="A498" s="50" t="s">
        <v>377</v>
      </c>
      <c r="B498" s="50" t="s">
        <v>255</v>
      </c>
      <c r="C498" s="50" t="s">
        <v>993</v>
      </c>
      <c r="D498" s="50" t="s">
        <v>994</v>
      </c>
      <c r="E498" s="50">
        <v>0</v>
      </c>
      <c r="F498" s="50">
        <v>0</v>
      </c>
      <c r="G498" s="50">
        <v>0</v>
      </c>
      <c r="H498" s="50">
        <v>0</v>
      </c>
      <c r="I498" s="50">
        <v>0</v>
      </c>
      <c r="J498" s="50">
        <v>0</v>
      </c>
      <c r="K498" s="50">
        <v>0</v>
      </c>
      <c r="L498" s="36">
        <v>2020</v>
      </c>
      <c r="M498" s="50"/>
      <c r="N498" s="50"/>
    </row>
    <row r="499" spans="1:14" ht="24" customHeight="1" x14ac:dyDescent="0.35">
      <c r="A499" s="50" t="s">
        <v>377</v>
      </c>
      <c r="B499" s="50" t="s">
        <v>255</v>
      </c>
      <c r="C499" s="50" t="s">
        <v>993</v>
      </c>
      <c r="D499" s="50" t="s">
        <v>995</v>
      </c>
      <c r="E499" s="50">
        <v>0</v>
      </c>
      <c r="F499" s="50">
        <v>0</v>
      </c>
      <c r="G499" s="50">
        <v>0</v>
      </c>
      <c r="H499" s="50">
        <v>0</v>
      </c>
      <c r="I499" s="50">
        <v>0</v>
      </c>
      <c r="J499" s="50"/>
      <c r="K499" s="50"/>
      <c r="L499" s="36">
        <v>2020</v>
      </c>
      <c r="M499" s="50"/>
      <c r="N499" s="50"/>
    </row>
    <row r="500" spans="1:14" ht="24" customHeight="1" x14ac:dyDescent="0.35">
      <c r="A500" s="50" t="s">
        <v>377</v>
      </c>
      <c r="B500" s="50" t="s">
        <v>255</v>
      </c>
      <c r="C500" s="50" t="s">
        <v>996</v>
      </c>
      <c r="D500" s="50" t="s">
        <v>997</v>
      </c>
      <c r="E500" s="50">
        <v>0</v>
      </c>
      <c r="F500" s="50">
        <v>0</v>
      </c>
      <c r="G500" s="50">
        <v>1</v>
      </c>
      <c r="H500" s="50">
        <v>1</v>
      </c>
      <c r="I500" s="50">
        <v>2</v>
      </c>
      <c r="J500" s="50">
        <v>2</v>
      </c>
      <c r="K500" s="50">
        <v>0</v>
      </c>
      <c r="L500" s="36">
        <v>2020</v>
      </c>
      <c r="M500" s="50"/>
      <c r="N500" s="50"/>
    </row>
    <row r="501" spans="1:14" ht="24" customHeight="1" x14ac:dyDescent="0.35">
      <c r="A501" s="50" t="s">
        <v>377</v>
      </c>
      <c r="B501" s="50" t="s">
        <v>255</v>
      </c>
      <c r="C501" s="50" t="s">
        <v>996</v>
      </c>
      <c r="D501" s="50" t="s">
        <v>994</v>
      </c>
      <c r="E501" s="50">
        <v>6</v>
      </c>
      <c r="F501" s="50">
        <v>3</v>
      </c>
      <c r="G501" s="50">
        <v>3</v>
      </c>
      <c r="H501" s="50">
        <v>14</v>
      </c>
      <c r="I501" s="50">
        <v>26</v>
      </c>
      <c r="J501" s="50">
        <v>26</v>
      </c>
      <c r="K501" s="50">
        <v>0</v>
      </c>
      <c r="L501" s="36">
        <v>2020</v>
      </c>
      <c r="M501" s="50"/>
      <c r="N501" s="50"/>
    </row>
    <row r="502" spans="1:14" ht="24" customHeight="1" x14ac:dyDescent="0.35">
      <c r="A502" s="50" t="s">
        <v>377</v>
      </c>
      <c r="B502" s="50" t="s">
        <v>255</v>
      </c>
      <c r="C502" s="50" t="s">
        <v>996</v>
      </c>
      <c r="D502" s="50" t="s">
        <v>995</v>
      </c>
      <c r="E502" s="50">
        <v>177666</v>
      </c>
      <c r="F502" s="50">
        <v>73082</v>
      </c>
      <c r="G502" s="50">
        <v>65688</v>
      </c>
      <c r="H502" s="50">
        <v>71477</v>
      </c>
      <c r="I502" s="50">
        <v>387913</v>
      </c>
      <c r="J502" s="50">
        <v>388635</v>
      </c>
      <c r="K502" s="50">
        <v>0</v>
      </c>
      <c r="L502" s="36">
        <v>2020</v>
      </c>
      <c r="M502" s="50"/>
      <c r="N502" s="50"/>
    </row>
    <row r="503" spans="1:14" ht="24" customHeight="1" x14ac:dyDescent="0.35">
      <c r="A503" s="50" t="s">
        <v>382</v>
      </c>
      <c r="B503" s="50" t="s">
        <v>41</v>
      </c>
      <c r="C503" s="50" t="s">
        <v>993</v>
      </c>
      <c r="D503" s="50" t="s">
        <v>997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36">
        <v>2020</v>
      </c>
      <c r="M503" s="50"/>
      <c r="N503" s="50"/>
    </row>
    <row r="504" spans="1:14" ht="24" customHeight="1" x14ac:dyDescent="0.35">
      <c r="A504" s="50" t="s">
        <v>382</v>
      </c>
      <c r="B504" s="50" t="s">
        <v>41</v>
      </c>
      <c r="C504" s="50" t="s">
        <v>993</v>
      </c>
      <c r="D504" s="50" t="s">
        <v>994</v>
      </c>
      <c r="E504" s="50">
        <v>1</v>
      </c>
      <c r="F504" s="50">
        <v>0</v>
      </c>
      <c r="G504" s="50">
        <v>1</v>
      </c>
      <c r="H504" s="50">
        <v>0</v>
      </c>
      <c r="I504" s="50">
        <v>1</v>
      </c>
      <c r="J504" s="50">
        <v>0</v>
      </c>
      <c r="K504" s="50">
        <v>0</v>
      </c>
      <c r="L504" s="36">
        <v>2020</v>
      </c>
      <c r="M504" s="50"/>
      <c r="N504" s="50"/>
    </row>
    <row r="505" spans="1:14" ht="24" customHeight="1" x14ac:dyDescent="0.35">
      <c r="A505" s="50" t="s">
        <v>382</v>
      </c>
      <c r="B505" s="50" t="s">
        <v>41</v>
      </c>
      <c r="C505" s="50" t="s">
        <v>993</v>
      </c>
      <c r="D505" s="50" t="s">
        <v>995</v>
      </c>
      <c r="E505" s="50">
        <v>24275</v>
      </c>
      <c r="F505" s="50">
        <v>0</v>
      </c>
      <c r="G505" s="50">
        <v>5241</v>
      </c>
      <c r="H505" s="50">
        <v>0</v>
      </c>
      <c r="I505" s="50">
        <v>5042.3069999999998</v>
      </c>
      <c r="J505" s="50"/>
      <c r="K505" s="50"/>
      <c r="L505" s="36">
        <v>2020</v>
      </c>
      <c r="M505" s="50"/>
      <c r="N505" s="50"/>
    </row>
    <row r="506" spans="1:14" ht="24" customHeight="1" x14ac:dyDescent="0.35">
      <c r="A506" s="50" t="s">
        <v>382</v>
      </c>
      <c r="B506" s="50" t="s">
        <v>41</v>
      </c>
      <c r="C506" s="50" t="s">
        <v>996</v>
      </c>
      <c r="D506" s="50" t="s">
        <v>997</v>
      </c>
      <c r="E506" s="50">
        <v>0</v>
      </c>
      <c r="F506" s="50">
        <v>0</v>
      </c>
      <c r="G506" s="50">
        <v>1</v>
      </c>
      <c r="H506" s="50">
        <v>2</v>
      </c>
      <c r="I506" s="50">
        <v>3</v>
      </c>
      <c r="J506" s="50">
        <v>3</v>
      </c>
      <c r="K506" s="50">
        <v>0</v>
      </c>
      <c r="L506" s="36">
        <v>2020</v>
      </c>
      <c r="M506" s="50"/>
      <c r="N506" s="50"/>
    </row>
    <row r="507" spans="1:14" ht="24" customHeight="1" x14ac:dyDescent="0.35">
      <c r="A507" s="50" t="s">
        <v>382</v>
      </c>
      <c r="B507" s="50" t="s">
        <v>41</v>
      </c>
      <c r="C507" s="50" t="s">
        <v>996</v>
      </c>
      <c r="D507" s="50" t="s">
        <v>994</v>
      </c>
      <c r="E507" s="50">
        <v>2</v>
      </c>
      <c r="F507" s="50">
        <v>5</v>
      </c>
      <c r="G507" s="50">
        <v>12</v>
      </c>
      <c r="H507" s="50">
        <v>54</v>
      </c>
      <c r="I507" s="50">
        <v>72</v>
      </c>
      <c r="J507" s="50">
        <v>62</v>
      </c>
      <c r="K507" s="50">
        <v>10</v>
      </c>
      <c r="L507" s="36">
        <v>2020</v>
      </c>
      <c r="M507" s="50"/>
      <c r="N507" s="50"/>
    </row>
    <row r="508" spans="1:14" ht="24" customHeight="1" x14ac:dyDescent="0.35">
      <c r="A508" s="50" t="s">
        <v>382</v>
      </c>
      <c r="B508" s="50" t="s">
        <v>41</v>
      </c>
      <c r="C508" s="50" t="s">
        <v>996</v>
      </c>
      <c r="D508" s="50" t="s">
        <v>995</v>
      </c>
      <c r="E508" s="50">
        <v>34493</v>
      </c>
      <c r="F508" s="50">
        <v>48007</v>
      </c>
      <c r="G508" s="50">
        <f>65382+6654</f>
        <v>72036</v>
      </c>
      <c r="H508" s="50">
        <f>151249+4671</f>
        <v>155920</v>
      </c>
      <c r="I508" s="50">
        <v>1733.8</v>
      </c>
      <c r="J508" s="50">
        <v>0</v>
      </c>
      <c r="K508" s="50">
        <v>4583</v>
      </c>
      <c r="L508" s="36">
        <v>2020</v>
      </c>
      <c r="M508" s="50"/>
      <c r="N508" s="50"/>
    </row>
    <row r="509" spans="1:14" ht="24" customHeight="1" x14ac:dyDescent="0.35">
      <c r="A509" s="50" t="s">
        <v>106</v>
      </c>
      <c r="B509" s="50" t="s">
        <v>57</v>
      </c>
      <c r="C509" s="50" t="s">
        <v>993</v>
      </c>
      <c r="D509" s="50" t="s">
        <v>997</v>
      </c>
      <c r="E509" s="50">
        <v>0</v>
      </c>
      <c r="F509" s="50">
        <v>0</v>
      </c>
      <c r="G509" s="50">
        <v>0</v>
      </c>
      <c r="H509" s="50">
        <v>0</v>
      </c>
      <c r="I509" s="50">
        <v>0</v>
      </c>
      <c r="J509" s="50">
        <v>0</v>
      </c>
      <c r="K509" s="50">
        <v>0</v>
      </c>
      <c r="L509" s="36">
        <v>2020</v>
      </c>
      <c r="M509" s="50"/>
      <c r="N509" s="50"/>
    </row>
    <row r="510" spans="1:14" ht="24" customHeight="1" x14ac:dyDescent="0.35">
      <c r="A510" s="50" t="s">
        <v>106</v>
      </c>
      <c r="B510" s="50" t="s">
        <v>57</v>
      </c>
      <c r="C510" s="50" t="s">
        <v>993</v>
      </c>
      <c r="D510" s="50" t="s">
        <v>994</v>
      </c>
      <c r="E510" s="50">
        <v>0</v>
      </c>
      <c r="F510" s="50">
        <v>1</v>
      </c>
      <c r="G510" s="50">
        <v>0</v>
      </c>
      <c r="H510" s="50">
        <v>0</v>
      </c>
      <c r="I510" s="50">
        <v>0</v>
      </c>
      <c r="J510" s="50">
        <v>0</v>
      </c>
      <c r="K510" s="50">
        <v>0</v>
      </c>
      <c r="L510" s="36">
        <v>2020</v>
      </c>
      <c r="M510" s="50"/>
      <c r="N510" s="50"/>
    </row>
    <row r="511" spans="1:14" ht="24" customHeight="1" x14ac:dyDescent="0.35">
      <c r="A511" s="50" t="s">
        <v>106</v>
      </c>
      <c r="B511" s="50" t="s">
        <v>57</v>
      </c>
      <c r="C511" s="50" t="s">
        <v>993</v>
      </c>
      <c r="D511" s="50" t="s">
        <v>995</v>
      </c>
      <c r="E511" s="50">
        <v>0</v>
      </c>
      <c r="F511" s="50">
        <v>6418</v>
      </c>
      <c r="G511" s="50">
        <v>0</v>
      </c>
      <c r="H511" s="50">
        <v>0</v>
      </c>
      <c r="I511" s="50">
        <v>6418</v>
      </c>
      <c r="J511" s="50"/>
      <c r="K511" s="50"/>
      <c r="L511" s="36">
        <v>2020</v>
      </c>
      <c r="M511" s="50"/>
      <c r="N511" s="50"/>
    </row>
    <row r="512" spans="1:14" ht="24" customHeight="1" x14ac:dyDescent="0.35">
      <c r="A512" s="50" t="s">
        <v>106</v>
      </c>
      <c r="B512" s="50" t="s">
        <v>57</v>
      </c>
      <c r="C512" s="50" t="s">
        <v>996</v>
      </c>
      <c r="D512" s="50" t="s">
        <v>997</v>
      </c>
      <c r="E512" s="50">
        <v>0</v>
      </c>
      <c r="F512" s="50">
        <v>4</v>
      </c>
      <c r="G512" s="50">
        <v>3</v>
      </c>
      <c r="H512" s="50">
        <v>1</v>
      </c>
      <c r="I512" s="50">
        <v>8</v>
      </c>
      <c r="J512" s="50">
        <v>8</v>
      </c>
      <c r="K512" s="50">
        <v>0</v>
      </c>
      <c r="L512" s="36">
        <v>2020</v>
      </c>
      <c r="M512" s="50"/>
      <c r="N512" s="50"/>
    </row>
    <row r="513" spans="1:14" ht="24" customHeight="1" x14ac:dyDescent="0.35">
      <c r="A513" s="50" t="s">
        <v>106</v>
      </c>
      <c r="B513" s="50" t="s">
        <v>57</v>
      </c>
      <c r="C513" s="50" t="s">
        <v>996</v>
      </c>
      <c r="D513" s="50" t="s">
        <v>994</v>
      </c>
      <c r="E513" s="50">
        <v>1</v>
      </c>
      <c r="F513" s="50">
        <v>5</v>
      </c>
      <c r="G513" s="50">
        <v>26</v>
      </c>
      <c r="H513" s="50">
        <v>53</v>
      </c>
      <c r="I513" s="50">
        <v>85</v>
      </c>
      <c r="J513" s="50">
        <v>84</v>
      </c>
      <c r="K513" s="50">
        <v>1</v>
      </c>
      <c r="L513" s="36">
        <v>2020</v>
      </c>
      <c r="M513" s="50"/>
      <c r="N513" s="50"/>
    </row>
    <row r="514" spans="1:14" ht="24" customHeight="1" x14ac:dyDescent="0.35">
      <c r="A514" s="50" t="s">
        <v>106</v>
      </c>
      <c r="B514" s="50" t="s">
        <v>57</v>
      </c>
      <c r="C514" s="50" t="s">
        <v>996</v>
      </c>
      <c r="D514" s="50" t="s">
        <v>995</v>
      </c>
      <c r="E514" s="50">
        <v>11644</v>
      </c>
      <c r="F514" s="50">
        <v>83678</v>
      </c>
      <c r="G514" s="50">
        <v>117448</v>
      </c>
      <c r="H514" s="50">
        <v>121409</v>
      </c>
      <c r="I514" s="50">
        <v>334179</v>
      </c>
      <c r="J514" s="50">
        <v>331188</v>
      </c>
      <c r="K514" s="50">
        <v>2991</v>
      </c>
      <c r="L514" s="36">
        <v>2020</v>
      </c>
      <c r="M514" s="50"/>
      <c r="N514" s="50"/>
    </row>
    <row r="515" spans="1:14" ht="24" customHeight="1" x14ac:dyDescent="0.35">
      <c r="A515" s="50" t="s">
        <v>388</v>
      </c>
      <c r="B515" s="50" t="s">
        <v>255</v>
      </c>
      <c r="C515" s="50" t="s">
        <v>993</v>
      </c>
      <c r="D515" s="50" t="s">
        <v>997</v>
      </c>
      <c r="E515" s="50">
        <v>0</v>
      </c>
      <c r="F515" s="50">
        <v>0</v>
      </c>
      <c r="G515" s="50">
        <v>0</v>
      </c>
      <c r="H515" s="50">
        <v>0</v>
      </c>
      <c r="I515" s="50">
        <v>0</v>
      </c>
      <c r="J515" s="50">
        <v>0</v>
      </c>
      <c r="K515" s="50">
        <v>0</v>
      </c>
      <c r="L515" s="36">
        <v>2020</v>
      </c>
      <c r="M515" s="50"/>
      <c r="N515" s="50"/>
    </row>
    <row r="516" spans="1:14" ht="24" customHeight="1" x14ac:dyDescent="0.35">
      <c r="A516" s="50" t="s">
        <v>388</v>
      </c>
      <c r="B516" s="50" t="s">
        <v>255</v>
      </c>
      <c r="C516" s="50" t="s">
        <v>993</v>
      </c>
      <c r="D516" s="50" t="s">
        <v>994</v>
      </c>
      <c r="E516" s="50">
        <v>0</v>
      </c>
      <c r="F516" s="50">
        <v>0</v>
      </c>
      <c r="G516" s="50">
        <v>0</v>
      </c>
      <c r="H516" s="50">
        <v>0</v>
      </c>
      <c r="I516" s="50">
        <v>0</v>
      </c>
      <c r="J516" s="50">
        <v>0</v>
      </c>
      <c r="K516" s="50">
        <v>0</v>
      </c>
      <c r="L516" s="36">
        <v>2020</v>
      </c>
      <c r="M516" s="50"/>
      <c r="N516" s="50"/>
    </row>
    <row r="517" spans="1:14" ht="24" customHeight="1" x14ac:dyDescent="0.35">
      <c r="A517" s="50" t="s">
        <v>388</v>
      </c>
      <c r="B517" s="50" t="s">
        <v>255</v>
      </c>
      <c r="C517" s="50" t="s">
        <v>993</v>
      </c>
      <c r="D517" s="50" t="s">
        <v>995</v>
      </c>
      <c r="E517" s="50">
        <v>0</v>
      </c>
      <c r="F517" s="50">
        <v>0</v>
      </c>
      <c r="G517" s="50">
        <v>0</v>
      </c>
      <c r="H517" s="50">
        <v>0</v>
      </c>
      <c r="I517" s="50">
        <v>0</v>
      </c>
      <c r="J517" s="50"/>
      <c r="K517" s="50"/>
      <c r="L517" s="36">
        <v>2020</v>
      </c>
      <c r="M517" s="50"/>
      <c r="N517" s="50"/>
    </row>
    <row r="518" spans="1:14" ht="24" customHeight="1" x14ac:dyDescent="0.35">
      <c r="A518" s="50" t="s">
        <v>388</v>
      </c>
      <c r="B518" s="50" t="s">
        <v>255</v>
      </c>
      <c r="C518" s="50" t="s">
        <v>996</v>
      </c>
      <c r="D518" s="50" t="s">
        <v>997</v>
      </c>
      <c r="E518" s="50">
        <v>1</v>
      </c>
      <c r="F518" s="50">
        <v>0</v>
      </c>
      <c r="G518" s="50">
        <v>0</v>
      </c>
      <c r="H518" s="50">
        <v>0</v>
      </c>
      <c r="I518" s="50">
        <v>1</v>
      </c>
      <c r="J518" s="50">
        <v>0</v>
      </c>
      <c r="K518" s="50">
        <v>0</v>
      </c>
      <c r="L518" s="36">
        <v>2020</v>
      </c>
      <c r="M518" s="50"/>
      <c r="N518" s="50"/>
    </row>
    <row r="519" spans="1:14" ht="24" customHeight="1" x14ac:dyDescent="0.35">
      <c r="A519" s="50" t="s">
        <v>388</v>
      </c>
      <c r="B519" s="50" t="s">
        <v>255</v>
      </c>
      <c r="C519" s="50" t="s">
        <v>996</v>
      </c>
      <c r="D519" s="50" t="s">
        <v>994</v>
      </c>
      <c r="E519" s="50">
        <v>3</v>
      </c>
      <c r="F519" s="50">
        <v>0</v>
      </c>
      <c r="G519" s="50">
        <v>0</v>
      </c>
      <c r="H519" s="50">
        <v>1</v>
      </c>
      <c r="I519" s="50">
        <v>4</v>
      </c>
      <c r="J519" s="50">
        <v>4</v>
      </c>
      <c r="K519" s="50">
        <v>0</v>
      </c>
      <c r="L519" s="36">
        <v>2020</v>
      </c>
      <c r="M519" s="50"/>
      <c r="N519" s="50"/>
    </row>
    <row r="520" spans="1:14" ht="24" customHeight="1" x14ac:dyDescent="0.35">
      <c r="A520" s="50" t="s">
        <v>388</v>
      </c>
      <c r="B520" s="50" t="s">
        <v>255</v>
      </c>
      <c r="C520" s="50" t="s">
        <v>996</v>
      </c>
      <c r="D520" s="50" t="s">
        <v>995</v>
      </c>
      <c r="E520" s="50"/>
      <c r="F520" s="50">
        <v>0</v>
      </c>
      <c r="G520" s="50">
        <v>0</v>
      </c>
      <c r="H520" s="50">
        <v>0</v>
      </c>
      <c r="I520" s="50">
        <v>0</v>
      </c>
      <c r="J520" s="50">
        <v>0</v>
      </c>
      <c r="K520" s="50">
        <v>0</v>
      </c>
      <c r="L520" s="36">
        <v>2020</v>
      </c>
      <c r="M520" s="50"/>
      <c r="N520" s="50"/>
    </row>
    <row r="521" spans="1:14" ht="24" customHeight="1" x14ac:dyDescent="0.35">
      <c r="A521" s="50" t="s">
        <v>112</v>
      </c>
      <c r="B521" s="50" t="s">
        <v>46</v>
      </c>
      <c r="C521" s="50" t="s">
        <v>993</v>
      </c>
      <c r="D521" s="50" t="s">
        <v>997</v>
      </c>
      <c r="E521" s="50">
        <v>0</v>
      </c>
      <c r="F521" s="50">
        <v>0</v>
      </c>
      <c r="G521" s="50">
        <v>0</v>
      </c>
      <c r="H521" s="50">
        <v>0</v>
      </c>
      <c r="I521" s="50">
        <v>0</v>
      </c>
      <c r="J521" s="50">
        <v>0</v>
      </c>
      <c r="K521" s="50">
        <v>0</v>
      </c>
      <c r="L521" s="36">
        <v>2020</v>
      </c>
      <c r="M521" s="50"/>
      <c r="N521" s="50"/>
    </row>
    <row r="522" spans="1:14" ht="24" customHeight="1" x14ac:dyDescent="0.35">
      <c r="A522" s="50" t="s">
        <v>112</v>
      </c>
      <c r="B522" s="50" t="s">
        <v>46</v>
      </c>
      <c r="C522" s="50" t="s">
        <v>993</v>
      </c>
      <c r="D522" s="50" t="s">
        <v>994</v>
      </c>
      <c r="E522" s="50">
        <v>1</v>
      </c>
      <c r="F522" s="50">
        <v>0</v>
      </c>
      <c r="G522" s="50">
        <v>0</v>
      </c>
      <c r="H522" s="50">
        <v>0</v>
      </c>
      <c r="I522" s="50">
        <v>0</v>
      </c>
      <c r="J522" s="50">
        <v>0</v>
      </c>
      <c r="K522" s="50">
        <v>0</v>
      </c>
      <c r="L522" s="36">
        <v>2020</v>
      </c>
      <c r="M522" s="50"/>
      <c r="N522" s="50"/>
    </row>
    <row r="523" spans="1:14" ht="24" customHeight="1" x14ac:dyDescent="0.35">
      <c r="A523" s="50" t="s">
        <v>112</v>
      </c>
      <c r="B523" s="50" t="s">
        <v>46</v>
      </c>
      <c r="C523" s="50" t="s">
        <v>993</v>
      </c>
      <c r="D523" s="50" t="s">
        <v>995</v>
      </c>
      <c r="E523" s="50">
        <v>21804</v>
      </c>
      <c r="F523" s="50">
        <v>0</v>
      </c>
      <c r="G523" s="50">
        <v>0</v>
      </c>
      <c r="H523" s="50">
        <v>0</v>
      </c>
      <c r="I523" s="50">
        <v>21804</v>
      </c>
      <c r="J523" s="50"/>
      <c r="K523" s="50"/>
      <c r="L523" s="36">
        <v>2020</v>
      </c>
      <c r="M523" s="50"/>
      <c r="N523" s="50"/>
    </row>
    <row r="524" spans="1:14" ht="24" customHeight="1" x14ac:dyDescent="0.35">
      <c r="A524" s="50" t="s">
        <v>112</v>
      </c>
      <c r="B524" s="50" t="s">
        <v>46</v>
      </c>
      <c r="C524" s="50" t="s">
        <v>996</v>
      </c>
      <c r="D524" s="50" t="s">
        <v>997</v>
      </c>
      <c r="E524" s="50">
        <v>0</v>
      </c>
      <c r="F524" s="50">
        <v>0</v>
      </c>
      <c r="G524" s="50">
        <v>0</v>
      </c>
      <c r="H524" s="50">
        <v>3</v>
      </c>
      <c r="I524" s="50">
        <v>3</v>
      </c>
      <c r="J524" s="50">
        <v>0</v>
      </c>
      <c r="K524" s="50">
        <v>0</v>
      </c>
      <c r="L524" s="36">
        <v>2020</v>
      </c>
      <c r="M524" s="50"/>
      <c r="N524" s="50"/>
    </row>
    <row r="525" spans="1:14" ht="24" customHeight="1" x14ac:dyDescent="0.35">
      <c r="A525" s="50" t="s">
        <v>112</v>
      </c>
      <c r="B525" s="50" t="s">
        <v>46</v>
      </c>
      <c r="C525" s="50" t="s">
        <v>996</v>
      </c>
      <c r="D525" s="50" t="s">
        <v>994</v>
      </c>
      <c r="E525" s="50"/>
      <c r="F525" s="50">
        <v>0</v>
      </c>
      <c r="G525" s="50">
        <v>0</v>
      </c>
      <c r="H525" s="50">
        <v>25</v>
      </c>
      <c r="I525" s="50">
        <v>26</v>
      </c>
      <c r="J525" s="50">
        <v>0</v>
      </c>
      <c r="K525" s="50">
        <v>0</v>
      </c>
      <c r="L525" s="36">
        <v>2020</v>
      </c>
      <c r="M525" s="50"/>
      <c r="N525" s="50"/>
    </row>
    <row r="526" spans="1:14" ht="24" customHeight="1" x14ac:dyDescent="0.35">
      <c r="A526" s="50" t="s">
        <v>112</v>
      </c>
      <c r="B526" s="50" t="s">
        <v>46</v>
      </c>
      <c r="C526" s="50" t="s">
        <v>996</v>
      </c>
      <c r="D526" s="50" t="s">
        <v>995</v>
      </c>
      <c r="E526" s="50"/>
      <c r="F526" s="50">
        <v>0</v>
      </c>
      <c r="G526" s="50">
        <v>0</v>
      </c>
      <c r="H526" s="50">
        <v>68832</v>
      </c>
      <c r="I526" s="50">
        <v>68832</v>
      </c>
      <c r="J526" s="50">
        <v>0</v>
      </c>
      <c r="K526" s="50">
        <v>0</v>
      </c>
      <c r="L526" s="36">
        <v>2020</v>
      </c>
      <c r="M526" s="50"/>
      <c r="N526" s="50"/>
    </row>
    <row r="527" spans="1:14" ht="24" customHeight="1" x14ac:dyDescent="0.35">
      <c r="A527" s="50" t="s">
        <v>118</v>
      </c>
      <c r="B527" s="50" t="s">
        <v>41</v>
      </c>
      <c r="C527" s="50" t="s">
        <v>993</v>
      </c>
      <c r="D527" s="50" t="s">
        <v>997</v>
      </c>
      <c r="E527" s="50">
        <v>1</v>
      </c>
      <c r="F527" s="50">
        <v>0</v>
      </c>
      <c r="G527" s="50">
        <v>0</v>
      </c>
      <c r="H527" s="50">
        <v>0</v>
      </c>
      <c r="I527" s="50">
        <v>1</v>
      </c>
      <c r="J527" s="50">
        <v>0</v>
      </c>
      <c r="K527" s="50">
        <v>0</v>
      </c>
      <c r="L527" s="36">
        <v>2020</v>
      </c>
      <c r="M527" s="50"/>
      <c r="N527" s="50"/>
    </row>
    <row r="528" spans="1:14" ht="24" customHeight="1" x14ac:dyDescent="0.35">
      <c r="A528" s="50" t="s">
        <v>118</v>
      </c>
      <c r="B528" s="50" t="s">
        <v>41</v>
      </c>
      <c r="C528" s="50" t="s">
        <v>993</v>
      </c>
      <c r="D528" s="50" t="s">
        <v>994</v>
      </c>
      <c r="E528" s="50">
        <v>7</v>
      </c>
      <c r="F528" s="50">
        <v>0</v>
      </c>
      <c r="G528" s="50">
        <v>0</v>
      </c>
      <c r="H528" s="50">
        <v>0</v>
      </c>
      <c r="I528" s="50">
        <v>7</v>
      </c>
      <c r="J528" s="50">
        <v>0</v>
      </c>
      <c r="K528" s="50">
        <v>0</v>
      </c>
      <c r="L528" s="36">
        <v>2020</v>
      </c>
      <c r="M528" s="50"/>
      <c r="N528" s="50"/>
    </row>
    <row r="529" spans="1:14" ht="24" customHeight="1" x14ac:dyDescent="0.35">
      <c r="A529" s="50" t="s">
        <v>118</v>
      </c>
      <c r="B529" s="50" t="s">
        <v>41</v>
      </c>
      <c r="C529" s="50" t="s">
        <v>993</v>
      </c>
      <c r="D529" s="50" t="s">
        <v>995</v>
      </c>
      <c r="E529" s="50">
        <v>339344</v>
      </c>
      <c r="F529" s="50">
        <v>0</v>
      </c>
      <c r="G529" s="50">
        <v>0</v>
      </c>
      <c r="H529" s="50">
        <v>0</v>
      </c>
      <c r="I529" s="50">
        <v>339344</v>
      </c>
      <c r="J529" s="50"/>
      <c r="K529" s="50"/>
      <c r="L529" s="36">
        <v>2020</v>
      </c>
      <c r="M529" s="50"/>
      <c r="N529" s="50"/>
    </row>
    <row r="530" spans="1:14" ht="24" customHeight="1" x14ac:dyDescent="0.35">
      <c r="A530" s="50" t="s">
        <v>118</v>
      </c>
      <c r="B530" s="50" t="s">
        <v>41</v>
      </c>
      <c r="C530" s="50" t="s">
        <v>996</v>
      </c>
      <c r="D530" s="50" t="s">
        <v>997</v>
      </c>
      <c r="E530" s="50">
        <v>5</v>
      </c>
      <c r="F530" s="50">
        <v>0</v>
      </c>
      <c r="G530" s="50">
        <f>29+1</f>
        <v>30</v>
      </c>
      <c r="H530" s="50">
        <v>100</v>
      </c>
      <c r="I530" s="50">
        <v>134</v>
      </c>
      <c r="J530" s="50">
        <v>34</v>
      </c>
      <c r="K530" s="50">
        <v>100</v>
      </c>
      <c r="L530" s="36">
        <v>2020</v>
      </c>
      <c r="M530" s="50"/>
      <c r="N530" s="50"/>
    </row>
    <row r="531" spans="1:14" ht="24" customHeight="1" x14ac:dyDescent="0.35">
      <c r="A531" s="50" t="s">
        <v>118</v>
      </c>
      <c r="B531" s="50" t="s">
        <v>41</v>
      </c>
      <c r="C531" s="50" t="s">
        <v>996</v>
      </c>
      <c r="D531" s="50" t="s">
        <v>994</v>
      </c>
      <c r="E531" s="50">
        <v>10</v>
      </c>
      <c r="F531" s="50">
        <v>0</v>
      </c>
      <c r="G531" s="50">
        <f>42+152</f>
        <v>194</v>
      </c>
      <c r="H531" s="50">
        <v>259</v>
      </c>
      <c r="I531" s="50">
        <v>421</v>
      </c>
      <c r="J531" s="50">
        <v>162</v>
      </c>
      <c r="K531" s="50">
        <v>259</v>
      </c>
      <c r="L531" s="36">
        <v>2020</v>
      </c>
      <c r="M531" s="50"/>
      <c r="N531" s="50"/>
    </row>
    <row r="532" spans="1:14" ht="24" customHeight="1" x14ac:dyDescent="0.35">
      <c r="A532" s="50" t="s">
        <v>118</v>
      </c>
      <c r="B532" s="50" t="s">
        <v>41</v>
      </c>
      <c r="C532" s="50" t="s">
        <v>996</v>
      </c>
      <c r="D532" s="50" t="s">
        <v>995</v>
      </c>
      <c r="E532" s="50">
        <v>482920</v>
      </c>
      <c r="F532" s="50">
        <v>0</v>
      </c>
      <c r="G532" s="50">
        <f>281921+884440</f>
        <v>1166361</v>
      </c>
      <c r="H532" s="50">
        <v>60542</v>
      </c>
      <c r="I532" s="50">
        <v>1427902</v>
      </c>
      <c r="J532" s="50">
        <v>1367361</v>
      </c>
      <c r="K532" s="50">
        <v>60542</v>
      </c>
      <c r="L532" s="36">
        <v>2020</v>
      </c>
      <c r="M532" s="50"/>
      <c r="N532" s="50"/>
    </row>
    <row r="533" spans="1:14" ht="24" customHeight="1" x14ac:dyDescent="0.35">
      <c r="A533" s="50" t="s">
        <v>391</v>
      </c>
      <c r="B533" s="50" t="s">
        <v>255</v>
      </c>
      <c r="C533" s="50" t="s">
        <v>993</v>
      </c>
      <c r="D533" s="50" t="s">
        <v>997</v>
      </c>
      <c r="E533" s="50">
        <v>0</v>
      </c>
      <c r="F533" s="50">
        <v>0</v>
      </c>
      <c r="G533" s="50">
        <v>0</v>
      </c>
      <c r="H533" s="50">
        <v>0</v>
      </c>
      <c r="I533" s="50">
        <v>0</v>
      </c>
      <c r="J533" s="50">
        <v>0</v>
      </c>
      <c r="K533" s="50">
        <v>0</v>
      </c>
      <c r="L533" s="36">
        <v>2020</v>
      </c>
      <c r="M533" s="50"/>
      <c r="N533" s="50"/>
    </row>
    <row r="534" spans="1:14" ht="24" customHeight="1" x14ac:dyDescent="0.35">
      <c r="A534" s="50" t="s">
        <v>391</v>
      </c>
      <c r="B534" s="50" t="s">
        <v>255</v>
      </c>
      <c r="C534" s="50" t="s">
        <v>993</v>
      </c>
      <c r="D534" s="50" t="s">
        <v>994</v>
      </c>
      <c r="E534" s="50">
        <v>3</v>
      </c>
      <c r="F534" s="50">
        <v>0</v>
      </c>
      <c r="G534" s="50">
        <v>0</v>
      </c>
      <c r="H534" s="50">
        <v>0</v>
      </c>
      <c r="I534" s="50">
        <v>0</v>
      </c>
      <c r="J534" s="50">
        <v>0</v>
      </c>
      <c r="K534" s="50">
        <v>0</v>
      </c>
      <c r="L534" s="36">
        <v>2020</v>
      </c>
      <c r="M534" s="50"/>
      <c r="N534" s="50"/>
    </row>
    <row r="535" spans="1:14" ht="24" customHeight="1" x14ac:dyDescent="0.35">
      <c r="A535" s="50" t="s">
        <v>391</v>
      </c>
      <c r="B535" s="50" t="s">
        <v>255</v>
      </c>
      <c r="C535" s="50" t="s">
        <v>993</v>
      </c>
      <c r="D535" s="50" t="s">
        <v>995</v>
      </c>
      <c r="E535" s="50">
        <v>68400</v>
      </c>
      <c r="F535" s="50">
        <v>0</v>
      </c>
      <c r="G535" s="50">
        <v>0</v>
      </c>
      <c r="H535" s="50">
        <v>0</v>
      </c>
      <c r="I535" s="50">
        <v>68400</v>
      </c>
      <c r="J535" s="50"/>
      <c r="K535" s="50"/>
      <c r="L535" s="36">
        <v>2020</v>
      </c>
      <c r="M535" s="50"/>
      <c r="N535" s="50"/>
    </row>
    <row r="536" spans="1:14" ht="24" customHeight="1" x14ac:dyDescent="0.35">
      <c r="A536" s="50" t="s">
        <v>391</v>
      </c>
      <c r="B536" s="50" t="s">
        <v>255</v>
      </c>
      <c r="C536" s="50" t="s">
        <v>996</v>
      </c>
      <c r="D536" s="50" t="s">
        <v>997</v>
      </c>
      <c r="E536" s="50">
        <v>0</v>
      </c>
      <c r="F536" s="50">
        <v>2</v>
      </c>
      <c r="G536" s="50">
        <v>0</v>
      </c>
      <c r="H536" s="50">
        <v>4</v>
      </c>
      <c r="I536" s="50">
        <v>6</v>
      </c>
      <c r="J536" s="50">
        <v>2</v>
      </c>
      <c r="K536" s="50">
        <v>4</v>
      </c>
      <c r="L536" s="36">
        <v>2020</v>
      </c>
      <c r="M536" s="50"/>
      <c r="N536" s="50"/>
    </row>
    <row r="537" spans="1:14" ht="24" customHeight="1" x14ac:dyDescent="0.35">
      <c r="A537" s="50" t="s">
        <v>391</v>
      </c>
      <c r="B537" s="50" t="s">
        <v>255</v>
      </c>
      <c r="C537" s="50" t="s">
        <v>996</v>
      </c>
      <c r="D537" s="50" t="s">
        <v>994</v>
      </c>
      <c r="E537" s="50">
        <v>0</v>
      </c>
      <c r="F537" s="50">
        <v>6</v>
      </c>
      <c r="G537" s="50">
        <v>0</v>
      </c>
      <c r="H537" s="50">
        <v>46</v>
      </c>
      <c r="I537" s="50">
        <v>52</v>
      </c>
      <c r="J537" s="50">
        <v>5</v>
      </c>
      <c r="K537" s="50">
        <v>46</v>
      </c>
      <c r="L537" s="36">
        <v>2020</v>
      </c>
      <c r="M537" s="50"/>
      <c r="N537" s="50"/>
    </row>
    <row r="538" spans="1:14" ht="24" customHeight="1" x14ac:dyDescent="0.35">
      <c r="A538" s="50" t="s">
        <v>391</v>
      </c>
      <c r="B538" s="50" t="s">
        <v>255</v>
      </c>
      <c r="C538" s="50" t="s">
        <v>996</v>
      </c>
      <c r="D538" s="50" t="s">
        <v>995</v>
      </c>
      <c r="E538" s="50"/>
      <c r="F538" s="50">
        <v>41360</v>
      </c>
      <c r="G538" s="50">
        <v>0</v>
      </c>
      <c r="H538" s="50">
        <v>15718</v>
      </c>
      <c r="I538" s="50">
        <v>57078</v>
      </c>
      <c r="J538" s="50">
        <v>0</v>
      </c>
      <c r="K538" s="50">
        <v>0</v>
      </c>
      <c r="L538" s="36">
        <v>2020</v>
      </c>
      <c r="M538" s="50"/>
      <c r="N538" s="50"/>
    </row>
    <row r="539" spans="1:14" ht="24" customHeight="1" x14ac:dyDescent="0.35">
      <c r="A539" s="103" t="s">
        <v>128</v>
      </c>
      <c r="B539" s="50" t="s">
        <v>41</v>
      </c>
      <c r="C539" s="50" t="s">
        <v>996</v>
      </c>
      <c r="D539" s="50" t="s">
        <v>995</v>
      </c>
      <c r="E539" s="50">
        <v>551629</v>
      </c>
      <c r="F539" s="50">
        <v>1317296</v>
      </c>
      <c r="G539" s="50">
        <f>1878920+2528548</f>
        <v>4407468</v>
      </c>
      <c r="H539" s="50">
        <v>1482289</v>
      </c>
      <c r="I539" s="50">
        <f>+E539+F539+G539+H539</f>
        <v>7758682</v>
      </c>
      <c r="J539" s="50">
        <v>329</v>
      </c>
      <c r="K539" s="50">
        <v>392</v>
      </c>
      <c r="L539" s="36">
        <v>2020</v>
      </c>
      <c r="M539" s="50"/>
      <c r="N539" s="50"/>
    </row>
    <row r="540" spans="1:14" ht="24" customHeight="1" x14ac:dyDescent="0.35">
      <c r="A540" s="103" t="s">
        <v>128</v>
      </c>
      <c r="B540" s="50" t="s">
        <v>41</v>
      </c>
      <c r="C540" s="50" t="s">
        <v>996</v>
      </c>
      <c r="D540" s="50" t="s">
        <v>997</v>
      </c>
      <c r="E540" s="50">
        <v>1</v>
      </c>
      <c r="F540" s="50">
        <v>11</v>
      </c>
      <c r="G540" s="50">
        <v>9</v>
      </c>
      <c r="H540" s="50">
        <v>6</v>
      </c>
      <c r="I540" s="50">
        <f>+E540+F540+G540+H540</f>
        <v>27</v>
      </c>
      <c r="J540" s="50"/>
      <c r="K540" s="50"/>
      <c r="L540" s="36">
        <v>2020</v>
      </c>
      <c r="M540" s="50"/>
      <c r="N540" s="50"/>
    </row>
    <row r="541" spans="1:14" ht="24" customHeight="1" x14ac:dyDescent="0.35">
      <c r="A541" s="103" t="s">
        <v>128</v>
      </c>
      <c r="B541" s="50" t="s">
        <v>41</v>
      </c>
      <c r="C541" s="50" t="s">
        <v>996</v>
      </c>
      <c r="D541" s="50" t="s">
        <v>994</v>
      </c>
      <c r="E541" s="50">
        <v>8</v>
      </c>
      <c r="F541" s="50">
        <v>35</v>
      </c>
      <c r="G541" s="50">
        <f>392+148</f>
        <v>540</v>
      </c>
      <c r="H541" s="50">
        <v>111</v>
      </c>
      <c r="I541" s="50">
        <f>+E541+F541+G541+H541</f>
        <v>694</v>
      </c>
      <c r="J541" s="50"/>
      <c r="K541" s="50"/>
      <c r="L541" s="36">
        <v>2020</v>
      </c>
      <c r="M541" s="50"/>
      <c r="N541" s="50"/>
    </row>
    <row r="542" spans="1:14" ht="24" customHeight="1" x14ac:dyDescent="0.35">
      <c r="A542" s="103" t="s">
        <v>128</v>
      </c>
      <c r="B542" s="50" t="s">
        <v>41</v>
      </c>
      <c r="C542" s="50" t="s">
        <v>993</v>
      </c>
      <c r="D542" s="50" t="s">
        <v>994</v>
      </c>
      <c r="E542" s="50">
        <v>25</v>
      </c>
      <c r="F542" s="50">
        <v>2</v>
      </c>
      <c r="G542" s="50"/>
      <c r="H542" s="50"/>
      <c r="I542" s="50">
        <f>+E542+F542+G542+H542</f>
        <v>27</v>
      </c>
      <c r="J542" s="50">
        <v>14</v>
      </c>
      <c r="K542" s="50">
        <v>13</v>
      </c>
      <c r="L542" s="36">
        <v>2020</v>
      </c>
      <c r="M542" s="50"/>
      <c r="N542" s="50"/>
    </row>
    <row r="543" spans="1:14" ht="24" customHeight="1" x14ac:dyDescent="0.35">
      <c r="A543" s="103" t="s">
        <v>128</v>
      </c>
      <c r="B543" s="50" t="s">
        <v>41</v>
      </c>
      <c r="C543" s="50" t="s">
        <v>993</v>
      </c>
      <c r="D543" s="50" t="s">
        <v>995</v>
      </c>
      <c r="E543" s="50">
        <f>2716864+275995</f>
        <v>2992859</v>
      </c>
      <c r="F543" s="50">
        <v>24170</v>
      </c>
      <c r="G543" s="50"/>
      <c r="H543" s="50"/>
      <c r="I543" s="50">
        <f>+E543+F543+G543+H543</f>
        <v>3017029</v>
      </c>
      <c r="J543" s="50"/>
      <c r="K543" s="50"/>
      <c r="L543" s="36">
        <v>2020</v>
      </c>
      <c r="M543" s="50"/>
      <c r="N543" s="50"/>
    </row>
    <row r="544" spans="1:14" ht="24" customHeight="1" x14ac:dyDescent="0.35">
      <c r="A544" s="50" t="s">
        <v>116</v>
      </c>
      <c r="B544" s="50" t="s">
        <v>46</v>
      </c>
      <c r="C544" s="50" t="s">
        <v>993</v>
      </c>
      <c r="D544" s="50" t="s">
        <v>997</v>
      </c>
      <c r="E544" s="50">
        <v>0</v>
      </c>
      <c r="F544" s="50">
        <v>0</v>
      </c>
      <c r="G544" s="50">
        <v>0</v>
      </c>
      <c r="H544" s="50">
        <v>0</v>
      </c>
      <c r="I544" s="50">
        <v>0</v>
      </c>
      <c r="J544" s="50">
        <v>0</v>
      </c>
      <c r="K544" s="50">
        <v>0</v>
      </c>
      <c r="L544" s="36">
        <v>2020</v>
      </c>
      <c r="M544" s="50"/>
      <c r="N544" s="50"/>
    </row>
    <row r="545" spans="1:14" ht="24" customHeight="1" x14ac:dyDescent="0.35">
      <c r="A545" s="50" t="s">
        <v>116</v>
      </c>
      <c r="B545" s="50" t="s">
        <v>46</v>
      </c>
      <c r="C545" s="50" t="s">
        <v>993</v>
      </c>
      <c r="D545" s="50" t="s">
        <v>994</v>
      </c>
      <c r="E545" s="50">
        <v>3</v>
      </c>
      <c r="F545" s="50">
        <v>0</v>
      </c>
      <c r="G545" s="50">
        <v>0</v>
      </c>
      <c r="H545" s="50">
        <v>0</v>
      </c>
      <c r="I545" s="50">
        <v>3</v>
      </c>
      <c r="J545" s="50">
        <v>0</v>
      </c>
      <c r="K545" s="50">
        <v>0</v>
      </c>
      <c r="L545" s="36">
        <v>2020</v>
      </c>
      <c r="M545" s="50"/>
      <c r="N545" s="50"/>
    </row>
    <row r="546" spans="1:14" ht="24" customHeight="1" x14ac:dyDescent="0.35">
      <c r="A546" s="50" t="s">
        <v>116</v>
      </c>
      <c r="B546" s="50" t="s">
        <v>46</v>
      </c>
      <c r="C546" s="50" t="s">
        <v>993</v>
      </c>
      <c r="D546" s="50" t="s">
        <v>995</v>
      </c>
      <c r="E546" s="50">
        <v>31351.49</v>
      </c>
      <c r="F546" s="50">
        <v>0</v>
      </c>
      <c r="G546" s="50">
        <v>0</v>
      </c>
      <c r="H546" s="50">
        <v>0</v>
      </c>
      <c r="I546" s="50">
        <v>31351.49</v>
      </c>
      <c r="J546" s="50"/>
      <c r="K546" s="50"/>
      <c r="L546" s="36">
        <v>2020</v>
      </c>
      <c r="M546" s="50"/>
      <c r="N546" s="50"/>
    </row>
    <row r="547" spans="1:14" ht="24" customHeight="1" x14ac:dyDescent="0.35">
      <c r="A547" s="50" t="s">
        <v>116</v>
      </c>
      <c r="B547" s="50" t="s">
        <v>46</v>
      </c>
      <c r="C547" s="50" t="s">
        <v>996</v>
      </c>
      <c r="D547" s="50" t="s">
        <v>997</v>
      </c>
      <c r="E547" s="50">
        <v>0</v>
      </c>
      <c r="F547" s="50">
        <v>0</v>
      </c>
      <c r="G547" s="50">
        <v>3</v>
      </c>
      <c r="H547" s="50">
        <v>5</v>
      </c>
      <c r="I547" s="50">
        <v>8</v>
      </c>
      <c r="J547" s="50">
        <v>8</v>
      </c>
      <c r="K547" s="50">
        <v>0</v>
      </c>
      <c r="L547" s="36">
        <v>2020</v>
      </c>
      <c r="M547" s="50"/>
      <c r="N547" s="50"/>
    </row>
    <row r="548" spans="1:14" ht="24" customHeight="1" x14ac:dyDescent="0.35">
      <c r="A548" s="50" t="s">
        <v>116</v>
      </c>
      <c r="B548" s="50" t="s">
        <v>46</v>
      </c>
      <c r="C548" s="50" t="s">
        <v>996</v>
      </c>
      <c r="D548" s="50" t="s">
        <v>994</v>
      </c>
      <c r="E548" s="50">
        <v>1</v>
      </c>
      <c r="F548" s="50">
        <v>1</v>
      </c>
      <c r="G548" s="50">
        <v>17</v>
      </c>
      <c r="H548" s="50">
        <v>118</v>
      </c>
      <c r="I548" s="50">
        <v>137</v>
      </c>
      <c r="J548" s="50">
        <v>137</v>
      </c>
      <c r="K548" s="50">
        <v>0</v>
      </c>
      <c r="L548" s="36">
        <v>2020</v>
      </c>
      <c r="M548" s="50"/>
      <c r="N548" s="50"/>
    </row>
    <row r="549" spans="1:14" ht="24" customHeight="1" x14ac:dyDescent="0.35">
      <c r="A549" s="50" t="s">
        <v>116</v>
      </c>
      <c r="B549" s="50" t="s">
        <v>46</v>
      </c>
      <c r="C549" s="50" t="s">
        <v>996</v>
      </c>
      <c r="D549" s="50" t="s">
        <v>995</v>
      </c>
      <c r="E549" s="50">
        <v>15215</v>
      </c>
      <c r="F549" s="50">
        <v>12957.013000000001</v>
      </c>
      <c r="G549" s="50">
        <v>100578.796</v>
      </c>
      <c r="H549" s="50">
        <v>227292.20600000001</v>
      </c>
      <c r="I549" s="50">
        <v>356043.35200000001</v>
      </c>
      <c r="J549" s="50">
        <v>356043352</v>
      </c>
      <c r="K549" s="50">
        <v>0</v>
      </c>
      <c r="L549" s="36">
        <v>2020</v>
      </c>
      <c r="M549" s="50"/>
      <c r="N549" s="50"/>
    </row>
    <row r="550" spans="1:14" ht="24" customHeight="1" x14ac:dyDescent="0.35">
      <c r="A550" s="50" t="s">
        <v>124</v>
      </c>
      <c r="B550" s="50" t="s">
        <v>41</v>
      </c>
      <c r="C550" s="50" t="s">
        <v>993</v>
      </c>
      <c r="D550" s="50" t="s">
        <v>997</v>
      </c>
      <c r="E550" s="50">
        <v>0</v>
      </c>
      <c r="F550" s="50">
        <v>0</v>
      </c>
      <c r="G550" s="50">
        <v>0</v>
      </c>
      <c r="H550" s="50">
        <v>0</v>
      </c>
      <c r="I550" s="50">
        <v>0</v>
      </c>
      <c r="J550" s="50">
        <v>0</v>
      </c>
      <c r="K550" s="50">
        <v>0</v>
      </c>
      <c r="L550" s="36">
        <v>2020</v>
      </c>
      <c r="M550" s="50"/>
      <c r="N550" s="50"/>
    </row>
    <row r="551" spans="1:14" ht="24" customHeight="1" x14ac:dyDescent="0.35">
      <c r="A551" s="50" t="s">
        <v>124</v>
      </c>
      <c r="B551" s="50" t="s">
        <v>41</v>
      </c>
      <c r="C551" s="50" t="s">
        <v>993</v>
      </c>
      <c r="D551" s="50" t="s">
        <v>994</v>
      </c>
      <c r="E551" s="50">
        <v>4</v>
      </c>
      <c r="F551" s="50">
        <v>1</v>
      </c>
      <c r="G551" s="50">
        <v>0</v>
      </c>
      <c r="H551" s="50">
        <v>0</v>
      </c>
      <c r="I551" s="50">
        <v>5</v>
      </c>
      <c r="J551" s="50">
        <v>0</v>
      </c>
      <c r="K551" s="50">
        <v>0</v>
      </c>
      <c r="L551" s="36">
        <v>2020</v>
      </c>
      <c r="M551" s="50"/>
      <c r="N551" s="50"/>
    </row>
    <row r="552" spans="1:14" ht="24" customHeight="1" x14ac:dyDescent="0.35">
      <c r="A552" s="50" t="s">
        <v>124</v>
      </c>
      <c r="B552" s="50" t="s">
        <v>41</v>
      </c>
      <c r="C552" s="50" t="s">
        <v>993</v>
      </c>
      <c r="D552" s="50" t="s">
        <v>995</v>
      </c>
      <c r="E552" s="50">
        <v>126216</v>
      </c>
      <c r="F552" s="50">
        <v>8147</v>
      </c>
      <c r="G552" s="50">
        <v>0</v>
      </c>
      <c r="H552" s="50">
        <v>0</v>
      </c>
      <c r="I552" s="50">
        <v>134363</v>
      </c>
      <c r="J552" s="50"/>
      <c r="K552" s="50"/>
      <c r="L552" s="36">
        <v>2020</v>
      </c>
      <c r="M552" s="50"/>
      <c r="N552" s="50"/>
    </row>
    <row r="553" spans="1:14" ht="24" customHeight="1" x14ac:dyDescent="0.35">
      <c r="A553" s="50" t="s">
        <v>124</v>
      </c>
      <c r="B553" s="50" t="s">
        <v>41</v>
      </c>
      <c r="C553" s="50" t="s">
        <v>996</v>
      </c>
      <c r="D553" s="50" t="s">
        <v>997</v>
      </c>
      <c r="E553" s="50">
        <v>0</v>
      </c>
      <c r="F553" s="50">
        <v>0</v>
      </c>
      <c r="G553" s="50">
        <v>0</v>
      </c>
      <c r="H553" s="50">
        <v>0</v>
      </c>
      <c r="I553" s="50">
        <v>0</v>
      </c>
      <c r="J553" s="50">
        <v>0</v>
      </c>
      <c r="K553" s="50">
        <v>0</v>
      </c>
      <c r="L553" s="36">
        <v>2020</v>
      </c>
      <c r="M553" s="50"/>
      <c r="N553" s="50"/>
    </row>
    <row r="554" spans="1:14" ht="24" customHeight="1" x14ac:dyDescent="0.35">
      <c r="A554" s="50" t="s">
        <v>124</v>
      </c>
      <c r="B554" s="50" t="s">
        <v>41</v>
      </c>
      <c r="C554" s="50" t="s">
        <v>996</v>
      </c>
      <c r="D554" s="50" t="s">
        <v>994</v>
      </c>
      <c r="E554" s="50">
        <v>8</v>
      </c>
      <c r="F554" s="50">
        <v>0</v>
      </c>
      <c r="G554" s="50">
        <v>131</v>
      </c>
      <c r="H554" s="50">
        <v>0</v>
      </c>
      <c r="I554" s="50">
        <v>139</v>
      </c>
      <c r="J554" s="50">
        <v>0</v>
      </c>
      <c r="K554" s="50">
        <v>0</v>
      </c>
      <c r="L554" s="36">
        <v>2020</v>
      </c>
      <c r="M554" s="50"/>
      <c r="N554" s="50"/>
    </row>
    <row r="555" spans="1:14" ht="24" customHeight="1" x14ac:dyDescent="0.35">
      <c r="A555" s="50" t="s">
        <v>124</v>
      </c>
      <c r="B555" s="50" t="s">
        <v>41</v>
      </c>
      <c r="C555" s="50" t="s">
        <v>996</v>
      </c>
      <c r="D555" s="50" t="s">
        <v>995</v>
      </c>
      <c r="E555" s="50">
        <v>80503</v>
      </c>
      <c r="F555" s="50">
        <v>0</v>
      </c>
      <c r="G555" s="50">
        <v>345964</v>
      </c>
      <c r="H555" s="50">
        <v>0</v>
      </c>
      <c r="I555" s="50">
        <v>426467</v>
      </c>
      <c r="J555" s="50">
        <v>0</v>
      </c>
      <c r="K555" s="50">
        <v>0</v>
      </c>
      <c r="L555" s="36">
        <v>2020</v>
      </c>
      <c r="M555" s="50"/>
      <c r="N555" s="50"/>
    </row>
    <row r="556" spans="1:14" ht="24" customHeight="1" x14ac:dyDescent="0.35">
      <c r="A556" s="50" t="s">
        <v>402</v>
      </c>
      <c r="B556" s="50" t="s">
        <v>41</v>
      </c>
      <c r="C556" s="50" t="s">
        <v>996</v>
      </c>
      <c r="D556" s="50" t="s">
        <v>997</v>
      </c>
      <c r="E556" s="50">
        <v>1</v>
      </c>
      <c r="F556" s="50">
        <v>1</v>
      </c>
      <c r="G556" s="50">
        <v>2</v>
      </c>
      <c r="H556" s="50">
        <v>6</v>
      </c>
      <c r="I556" s="50">
        <v>10</v>
      </c>
      <c r="J556" s="50">
        <v>0</v>
      </c>
      <c r="K556" s="50">
        <v>0</v>
      </c>
      <c r="L556" s="36">
        <v>2020</v>
      </c>
      <c r="M556" s="50"/>
      <c r="N556" s="50"/>
    </row>
    <row r="557" spans="1:14" ht="24" customHeight="1" x14ac:dyDescent="0.35">
      <c r="A557" s="50" t="s">
        <v>402</v>
      </c>
      <c r="B557" s="50" t="s">
        <v>41</v>
      </c>
      <c r="C557" s="50" t="s">
        <v>996</v>
      </c>
      <c r="D557" s="50" t="s">
        <v>994</v>
      </c>
      <c r="E557" s="50">
        <v>0</v>
      </c>
      <c r="F557" s="50">
        <v>2</v>
      </c>
      <c r="G557" s="50">
        <v>17</v>
      </c>
      <c r="H557" s="50">
        <v>51</v>
      </c>
      <c r="I557" s="50">
        <v>70</v>
      </c>
      <c r="J557" s="50">
        <v>0</v>
      </c>
      <c r="K557" s="50">
        <v>0</v>
      </c>
      <c r="L557" s="36">
        <v>2020</v>
      </c>
      <c r="M557" s="50"/>
      <c r="N557" s="50"/>
    </row>
    <row r="558" spans="1:14" ht="24" customHeight="1" x14ac:dyDescent="0.35">
      <c r="A558" s="50" t="s">
        <v>402</v>
      </c>
      <c r="B558" s="50" t="s">
        <v>41</v>
      </c>
      <c r="C558" s="50" t="s">
        <v>996</v>
      </c>
      <c r="D558" s="50" t="s">
        <v>995</v>
      </c>
      <c r="E558" s="50">
        <v>-451.4</v>
      </c>
      <c r="F558" s="50">
        <v>43261.45</v>
      </c>
      <c r="G558" s="50">
        <v>177391.94</v>
      </c>
      <c r="H558" s="50">
        <v>218106.83</v>
      </c>
      <c r="I558" s="50">
        <v>438308.82</v>
      </c>
      <c r="J558" s="50">
        <v>0</v>
      </c>
      <c r="K558" s="50">
        <v>0</v>
      </c>
      <c r="L558" s="36">
        <v>2020</v>
      </c>
      <c r="M558" s="50"/>
      <c r="N558" s="50"/>
    </row>
    <row r="559" spans="1:14" ht="24" customHeight="1" x14ac:dyDescent="0.35">
      <c r="A559" s="50" t="s">
        <v>402</v>
      </c>
      <c r="B559" s="50" t="s">
        <v>41</v>
      </c>
      <c r="C559" s="50" t="s">
        <v>993</v>
      </c>
      <c r="D559" s="50" t="s">
        <v>997</v>
      </c>
      <c r="E559" s="50">
        <v>1</v>
      </c>
      <c r="F559" s="50">
        <v>0</v>
      </c>
      <c r="G559" s="50">
        <v>1</v>
      </c>
      <c r="H559" s="50">
        <v>0</v>
      </c>
      <c r="I559" s="50">
        <v>2</v>
      </c>
      <c r="J559" s="50">
        <v>0</v>
      </c>
      <c r="K559" s="50">
        <v>0</v>
      </c>
      <c r="L559" s="36">
        <v>2020</v>
      </c>
      <c r="M559" s="50"/>
      <c r="N559" s="50"/>
    </row>
    <row r="560" spans="1:14" ht="24" customHeight="1" x14ac:dyDescent="0.35">
      <c r="A560" s="50" t="s">
        <v>402</v>
      </c>
      <c r="B560" s="50" t="s">
        <v>41</v>
      </c>
      <c r="C560" s="50" t="s">
        <v>993</v>
      </c>
      <c r="D560" s="50" t="s">
        <v>994</v>
      </c>
      <c r="E560" s="50">
        <v>4</v>
      </c>
      <c r="F560" s="50">
        <v>0</v>
      </c>
      <c r="G560" s="50">
        <v>2</v>
      </c>
      <c r="H560" s="50">
        <v>1</v>
      </c>
      <c r="I560" s="50">
        <v>7</v>
      </c>
      <c r="J560" s="50">
        <v>0</v>
      </c>
      <c r="K560" s="50">
        <v>0</v>
      </c>
      <c r="L560" s="36">
        <v>2020</v>
      </c>
      <c r="M560" s="50"/>
      <c r="N560" s="50"/>
    </row>
    <row r="561" spans="1:14" ht="24" customHeight="1" x14ac:dyDescent="0.35">
      <c r="A561" s="50" t="s">
        <v>402</v>
      </c>
      <c r="B561" s="50" t="s">
        <v>41</v>
      </c>
      <c r="C561" s="50" t="s">
        <v>993</v>
      </c>
      <c r="D561" s="50" t="s">
        <v>995</v>
      </c>
      <c r="E561" s="50">
        <v>131069.84</v>
      </c>
      <c r="F561" s="50">
        <v>0</v>
      </c>
      <c r="G561" s="50">
        <v>21523.03</v>
      </c>
      <c r="H561" s="50">
        <v>6229.03</v>
      </c>
      <c r="I561" s="50">
        <v>158821.9</v>
      </c>
      <c r="J561" s="50">
        <v>0</v>
      </c>
      <c r="K561" s="50">
        <v>0</v>
      </c>
      <c r="L561" s="36">
        <v>2020</v>
      </c>
      <c r="M561" s="50"/>
      <c r="N561" s="50"/>
    </row>
    <row r="562" spans="1:14" ht="24" customHeight="1" x14ac:dyDescent="0.35">
      <c r="A562" s="103" t="s">
        <v>411</v>
      </c>
      <c r="B562" s="50" t="s">
        <v>46</v>
      </c>
      <c r="C562" s="50" t="s">
        <v>993</v>
      </c>
      <c r="D562" s="50" t="s">
        <v>997</v>
      </c>
      <c r="E562" s="50"/>
      <c r="F562" s="50"/>
      <c r="G562" s="50"/>
      <c r="H562" s="50"/>
      <c r="I562" s="50"/>
      <c r="J562" s="50"/>
      <c r="K562" s="50"/>
      <c r="L562" s="36">
        <v>2020</v>
      </c>
      <c r="M562" s="50"/>
      <c r="N562" s="50"/>
    </row>
    <row r="563" spans="1:14" ht="24" customHeight="1" x14ac:dyDescent="0.35">
      <c r="A563" s="103" t="s">
        <v>411</v>
      </c>
      <c r="B563" s="50" t="s">
        <v>46</v>
      </c>
      <c r="C563" s="50" t="s">
        <v>993</v>
      </c>
      <c r="D563" s="50" t="s">
        <v>994</v>
      </c>
      <c r="E563" s="50">
        <v>1</v>
      </c>
      <c r="F563" s="50">
        <v>1</v>
      </c>
      <c r="G563" s="50">
        <v>2</v>
      </c>
      <c r="H563" s="50">
        <v>0</v>
      </c>
      <c r="I563" s="50">
        <v>4</v>
      </c>
      <c r="J563" s="50"/>
      <c r="K563" s="50"/>
      <c r="L563" s="36">
        <v>2020</v>
      </c>
      <c r="M563" s="50"/>
      <c r="N563" s="50"/>
    </row>
    <row r="564" spans="1:14" ht="24" customHeight="1" x14ac:dyDescent="0.35">
      <c r="A564" s="103" t="s">
        <v>411</v>
      </c>
      <c r="B564" s="50" t="s">
        <v>46</v>
      </c>
      <c r="C564" s="50" t="s">
        <v>993</v>
      </c>
      <c r="D564" s="50" t="s">
        <v>995</v>
      </c>
      <c r="E564" s="50">
        <v>6315.7920000000004</v>
      </c>
      <c r="F564" s="50">
        <v>4449.473</v>
      </c>
      <c r="G564" s="50">
        <v>247.36799999999999</v>
      </c>
      <c r="H564" s="50">
        <v>0</v>
      </c>
      <c r="I564" s="50">
        <v>11012.633</v>
      </c>
      <c r="J564" s="50"/>
      <c r="K564" s="50"/>
      <c r="L564" s="36">
        <v>2020</v>
      </c>
      <c r="M564" s="50"/>
      <c r="N564" s="50"/>
    </row>
    <row r="565" spans="1:14" ht="24" customHeight="1" x14ac:dyDescent="0.35">
      <c r="A565" s="103" t="s">
        <v>411</v>
      </c>
      <c r="B565" s="50" t="s">
        <v>46</v>
      </c>
      <c r="C565" s="50" t="s">
        <v>996</v>
      </c>
      <c r="D565" s="50" t="s">
        <v>997</v>
      </c>
      <c r="E565" s="50">
        <v>0</v>
      </c>
      <c r="F565" s="50">
        <v>3</v>
      </c>
      <c r="G565" s="50">
        <v>1</v>
      </c>
      <c r="H565" s="50">
        <v>0</v>
      </c>
      <c r="I565" s="50">
        <v>4</v>
      </c>
      <c r="J565" s="50"/>
      <c r="K565" s="50"/>
      <c r="L565" s="36">
        <v>2020</v>
      </c>
      <c r="M565" s="50"/>
      <c r="N565" s="50"/>
    </row>
    <row r="566" spans="1:14" ht="24" customHeight="1" x14ac:dyDescent="0.35">
      <c r="A566" s="103" t="s">
        <v>411</v>
      </c>
      <c r="B566" s="50" t="s">
        <v>46</v>
      </c>
      <c r="C566" s="50" t="s">
        <v>996</v>
      </c>
      <c r="D566" s="50" t="s">
        <v>994</v>
      </c>
      <c r="E566" s="50">
        <v>1</v>
      </c>
      <c r="F566" s="50">
        <v>6</v>
      </c>
      <c r="G566" s="50">
        <v>42</v>
      </c>
      <c r="H566" s="50">
        <v>0</v>
      </c>
      <c r="I566" s="50">
        <v>49</v>
      </c>
      <c r="J566" s="50"/>
      <c r="K566" s="50"/>
      <c r="L566" s="36">
        <v>2020</v>
      </c>
      <c r="M566" s="50"/>
      <c r="N566" s="50"/>
    </row>
    <row r="567" spans="1:14" ht="24" customHeight="1" x14ac:dyDescent="0.35">
      <c r="A567" s="103" t="s">
        <v>411</v>
      </c>
      <c r="B567" s="50" t="s">
        <v>46</v>
      </c>
      <c r="C567" s="50" t="s">
        <v>996</v>
      </c>
      <c r="D567" s="50" t="s">
        <v>995</v>
      </c>
      <c r="E567" s="50">
        <v>12631.575999999999</v>
      </c>
      <c r="F567" s="50">
        <v>23413.655999999999</v>
      </c>
      <c r="G567" s="50">
        <v>40731.139000000003</v>
      </c>
      <c r="H567" s="50">
        <v>0</v>
      </c>
      <c r="I567" s="50">
        <v>76776.370999999999</v>
      </c>
      <c r="J567" s="50"/>
      <c r="K567" s="50"/>
      <c r="L567" s="36">
        <v>2020</v>
      </c>
      <c r="M567" s="50"/>
      <c r="N567" s="50"/>
    </row>
    <row r="568" spans="1:14" ht="24" customHeight="1" x14ac:dyDescent="0.35">
      <c r="A568" s="103" t="s">
        <v>417</v>
      </c>
      <c r="B568" s="50" t="s">
        <v>255</v>
      </c>
      <c r="C568" s="50" t="s">
        <v>993</v>
      </c>
      <c r="D568" s="50" t="s">
        <v>997</v>
      </c>
      <c r="E568" s="50">
        <v>1</v>
      </c>
      <c r="F568" s="50"/>
      <c r="G568" s="50"/>
      <c r="H568" s="50"/>
      <c r="I568" s="50">
        <v>1</v>
      </c>
      <c r="J568" s="50">
        <v>1</v>
      </c>
      <c r="K568" s="50"/>
      <c r="L568" s="36">
        <v>2020</v>
      </c>
      <c r="M568" s="50"/>
      <c r="N568" s="50"/>
    </row>
    <row r="569" spans="1:14" ht="24" customHeight="1" x14ac:dyDescent="0.35">
      <c r="A569" s="103" t="s">
        <v>417</v>
      </c>
      <c r="B569" s="50" t="s">
        <v>255</v>
      </c>
      <c r="C569" s="50" t="s">
        <v>993</v>
      </c>
      <c r="D569" s="50" t="s">
        <v>994</v>
      </c>
      <c r="E569" s="50">
        <v>3</v>
      </c>
      <c r="F569" s="50"/>
      <c r="G569" s="50"/>
      <c r="H569" s="50"/>
      <c r="I569" s="50">
        <v>3</v>
      </c>
      <c r="J569" s="50">
        <v>1</v>
      </c>
      <c r="K569" s="50">
        <v>2</v>
      </c>
      <c r="L569" s="36">
        <v>2020</v>
      </c>
      <c r="M569" s="50"/>
      <c r="N569" s="50"/>
    </row>
    <row r="570" spans="1:14" ht="24" customHeight="1" x14ac:dyDescent="0.35">
      <c r="A570" s="103" t="s">
        <v>417</v>
      </c>
      <c r="B570" s="50" t="s">
        <v>255</v>
      </c>
      <c r="C570" s="50" t="s">
        <v>993</v>
      </c>
      <c r="D570" s="50" t="s">
        <v>995</v>
      </c>
      <c r="E570" s="50">
        <v>114000</v>
      </c>
      <c r="F570" s="50"/>
      <c r="G570" s="50"/>
      <c r="H570" s="50"/>
      <c r="I570" s="50">
        <v>114000</v>
      </c>
      <c r="J570" s="50"/>
      <c r="K570" s="50"/>
      <c r="L570" s="36">
        <v>2020</v>
      </c>
      <c r="M570" s="50"/>
      <c r="N570" s="50"/>
    </row>
    <row r="571" spans="1:14" ht="24" customHeight="1" x14ac:dyDescent="0.35">
      <c r="A571" s="103" t="s">
        <v>417</v>
      </c>
      <c r="B571" s="50" t="s">
        <v>255</v>
      </c>
      <c r="C571" s="50" t="s">
        <v>996</v>
      </c>
      <c r="D571" s="50" t="s">
        <v>997</v>
      </c>
      <c r="E571" s="50"/>
      <c r="F571" s="50"/>
      <c r="G571" s="50"/>
      <c r="H571" s="50"/>
      <c r="I571" s="50"/>
      <c r="J571" s="50"/>
      <c r="K571" s="50"/>
      <c r="L571" s="36">
        <v>2020</v>
      </c>
      <c r="M571" s="50"/>
      <c r="N571" s="50"/>
    </row>
    <row r="572" spans="1:14" ht="24" customHeight="1" x14ac:dyDescent="0.35">
      <c r="A572" s="103" t="s">
        <v>417</v>
      </c>
      <c r="B572" s="50" t="s">
        <v>255</v>
      </c>
      <c r="C572" s="50" t="s">
        <v>996</v>
      </c>
      <c r="D572" s="50" t="s">
        <v>994</v>
      </c>
      <c r="E572" s="50">
        <v>1</v>
      </c>
      <c r="F572" s="50">
        <v>2</v>
      </c>
      <c r="G572" s="50">
        <v>3</v>
      </c>
      <c r="H572" s="50"/>
      <c r="I572" s="50">
        <v>6</v>
      </c>
      <c r="J572" s="50">
        <v>3</v>
      </c>
      <c r="K572" s="50">
        <v>3</v>
      </c>
      <c r="L572" s="36">
        <v>2020</v>
      </c>
      <c r="M572" s="50"/>
      <c r="N572" s="50"/>
    </row>
    <row r="573" spans="1:14" ht="24" customHeight="1" x14ac:dyDescent="0.35">
      <c r="A573" s="103" t="s">
        <v>417</v>
      </c>
      <c r="B573" s="50" t="s">
        <v>255</v>
      </c>
      <c r="C573" s="50" t="s">
        <v>996</v>
      </c>
      <c r="D573" s="50" t="s">
        <v>995</v>
      </c>
      <c r="E573" s="50">
        <v>30000</v>
      </c>
      <c r="F573" s="50">
        <v>24000</v>
      </c>
      <c r="G573" s="50">
        <v>14400</v>
      </c>
      <c r="H573" s="50"/>
      <c r="I573" s="50">
        <v>68400</v>
      </c>
      <c r="J573" s="50">
        <v>58800</v>
      </c>
      <c r="K573" s="50">
        <v>9600</v>
      </c>
      <c r="L573" s="36">
        <v>2020</v>
      </c>
      <c r="M573" s="50"/>
      <c r="N573" s="50"/>
    </row>
    <row r="574" spans="1:14" ht="24" customHeight="1" x14ac:dyDescent="0.35">
      <c r="A574" s="50" t="s">
        <v>422</v>
      </c>
      <c r="B574" s="50" t="s">
        <v>87</v>
      </c>
      <c r="C574" s="50" t="s">
        <v>996</v>
      </c>
      <c r="D574" s="50" t="s">
        <v>997</v>
      </c>
      <c r="E574" s="50"/>
      <c r="F574" s="50"/>
      <c r="G574" s="50"/>
      <c r="H574" s="50"/>
      <c r="I574" s="50"/>
      <c r="J574" s="50"/>
      <c r="K574" s="50"/>
      <c r="L574" s="36">
        <v>2020</v>
      </c>
      <c r="M574" s="50"/>
      <c r="N574" s="50"/>
    </row>
    <row r="575" spans="1:14" ht="24" customHeight="1" x14ac:dyDescent="0.35">
      <c r="A575" s="50" t="s">
        <v>422</v>
      </c>
      <c r="B575" s="50" t="s">
        <v>87</v>
      </c>
      <c r="C575" s="50" t="s">
        <v>996</v>
      </c>
      <c r="D575" s="50" t="s">
        <v>994</v>
      </c>
      <c r="E575" s="50">
        <v>4</v>
      </c>
      <c r="F575" s="50"/>
      <c r="G575" s="50">
        <v>10</v>
      </c>
      <c r="H575" s="50">
        <v>100</v>
      </c>
      <c r="I575" s="50">
        <v>114</v>
      </c>
      <c r="J575" s="50"/>
      <c r="K575" s="50"/>
      <c r="L575" s="36">
        <v>2020</v>
      </c>
      <c r="M575" s="50"/>
      <c r="N575" s="50"/>
    </row>
    <row r="576" spans="1:14" ht="24" customHeight="1" x14ac:dyDescent="0.35">
      <c r="A576" s="50" t="s">
        <v>422</v>
      </c>
      <c r="B576" s="50" t="s">
        <v>87</v>
      </c>
      <c r="C576" s="50" t="s">
        <v>996</v>
      </c>
      <c r="D576" s="50" t="s">
        <v>995</v>
      </c>
      <c r="E576" s="50">
        <v>76792.668999999994</v>
      </c>
      <c r="F576" s="50"/>
      <c r="G576" s="50">
        <v>29527.337</v>
      </c>
      <c r="H576" s="50">
        <v>295273.34999999998</v>
      </c>
      <c r="I576" s="50">
        <v>401593.37</v>
      </c>
      <c r="J576" s="50"/>
      <c r="K576" s="50"/>
      <c r="L576" s="36">
        <v>2020</v>
      </c>
      <c r="M576" s="50"/>
      <c r="N576" s="50"/>
    </row>
    <row r="577" spans="1:14" ht="24" customHeight="1" x14ac:dyDescent="0.35">
      <c r="A577" s="30" t="s">
        <v>248</v>
      </c>
      <c r="B577" s="50" t="s">
        <v>46</v>
      </c>
      <c r="C577" s="50" t="s">
        <v>996</v>
      </c>
      <c r="D577" s="30" t="s">
        <v>1004</v>
      </c>
      <c r="E577" s="30">
        <v>0</v>
      </c>
      <c r="F577" s="30">
        <v>0</v>
      </c>
      <c r="G577" s="30">
        <v>0</v>
      </c>
      <c r="H577" s="30">
        <v>6</v>
      </c>
      <c r="I577" s="50">
        <v>6</v>
      </c>
      <c r="J577" s="50"/>
      <c r="K577" s="50"/>
      <c r="L577" s="36">
        <v>2021</v>
      </c>
      <c r="M577" s="50"/>
      <c r="N577" s="50"/>
    </row>
    <row r="578" spans="1:14" ht="24" customHeight="1" x14ac:dyDescent="0.35">
      <c r="A578" s="30" t="s">
        <v>248</v>
      </c>
      <c r="B578" s="50" t="s">
        <v>46</v>
      </c>
      <c r="C578" s="50" t="s">
        <v>996</v>
      </c>
      <c r="D578" s="30" t="s">
        <v>1005</v>
      </c>
      <c r="E578" s="30">
        <v>0</v>
      </c>
      <c r="F578" s="30">
        <v>0</v>
      </c>
      <c r="G578" s="30">
        <v>0</v>
      </c>
      <c r="H578" s="30">
        <v>43</v>
      </c>
      <c r="I578" s="50">
        <v>43</v>
      </c>
      <c r="J578" s="50"/>
      <c r="K578" s="50"/>
      <c r="L578" s="36">
        <v>2021</v>
      </c>
      <c r="M578" s="50"/>
      <c r="N578" s="50"/>
    </row>
    <row r="579" spans="1:14" ht="24" customHeight="1" x14ac:dyDescent="0.35">
      <c r="A579" s="30" t="s">
        <v>248</v>
      </c>
      <c r="B579" s="50" t="s">
        <v>46</v>
      </c>
      <c r="C579" s="50" t="s">
        <v>993</v>
      </c>
      <c r="D579" s="30" t="s">
        <v>1004</v>
      </c>
      <c r="E579" s="30">
        <v>0</v>
      </c>
      <c r="F579" s="30">
        <v>0</v>
      </c>
      <c r="G579" s="30">
        <v>0</v>
      </c>
      <c r="H579" s="30">
        <v>0</v>
      </c>
      <c r="I579" s="50">
        <v>0</v>
      </c>
      <c r="J579" s="50"/>
      <c r="K579" s="50"/>
      <c r="L579" s="36">
        <v>2021</v>
      </c>
      <c r="M579" s="50"/>
      <c r="N579" s="50"/>
    </row>
    <row r="580" spans="1:14" ht="24" customHeight="1" x14ac:dyDescent="0.35">
      <c r="A580" s="30" t="s">
        <v>248</v>
      </c>
      <c r="B580" s="50" t="s">
        <v>46</v>
      </c>
      <c r="C580" s="50" t="s">
        <v>993</v>
      </c>
      <c r="D580" s="30" t="s">
        <v>1005</v>
      </c>
      <c r="E580" s="30">
        <v>0</v>
      </c>
      <c r="F580" s="30">
        <v>0</v>
      </c>
      <c r="G580" s="30">
        <v>0</v>
      </c>
      <c r="H580" s="30">
        <v>0</v>
      </c>
      <c r="I580" s="50">
        <v>0</v>
      </c>
      <c r="J580" s="50"/>
      <c r="K580" s="50"/>
      <c r="L580" s="36">
        <v>2021</v>
      </c>
      <c r="M580" s="50"/>
      <c r="N580" s="50"/>
    </row>
    <row r="581" spans="1:14" ht="24" customHeight="1" x14ac:dyDescent="0.35">
      <c r="A581" s="30" t="s">
        <v>248</v>
      </c>
      <c r="B581" s="50" t="s">
        <v>46</v>
      </c>
      <c r="C581" s="50" t="s">
        <v>993</v>
      </c>
      <c r="D581" s="30" t="s">
        <v>1006</v>
      </c>
      <c r="E581" s="30">
        <v>0</v>
      </c>
      <c r="F581" s="30">
        <v>0</v>
      </c>
      <c r="G581" s="30">
        <v>0</v>
      </c>
      <c r="H581" s="30">
        <v>0</v>
      </c>
      <c r="I581" s="50">
        <v>0</v>
      </c>
      <c r="J581" s="50"/>
      <c r="K581" s="50"/>
      <c r="L581" s="36">
        <v>2021</v>
      </c>
      <c r="M581" s="50"/>
      <c r="N581" s="50"/>
    </row>
    <row r="582" spans="1:14" ht="24" customHeight="1" x14ac:dyDescent="0.35">
      <c r="A582" s="109" t="s">
        <v>248</v>
      </c>
      <c r="B582" s="50" t="s">
        <v>46</v>
      </c>
      <c r="C582" s="50" t="s">
        <v>996</v>
      </c>
      <c r="D582" s="30" t="s">
        <v>1006</v>
      </c>
      <c r="E582" s="109">
        <v>0</v>
      </c>
      <c r="F582" s="109">
        <v>0</v>
      </c>
      <c r="G582" s="50"/>
      <c r="H582" s="109">
        <v>67737</v>
      </c>
      <c r="I582" s="50">
        <v>67737</v>
      </c>
      <c r="J582" s="50"/>
      <c r="K582" s="50"/>
      <c r="L582" s="36">
        <v>2021</v>
      </c>
      <c r="M582" s="50"/>
      <c r="N582" s="50"/>
    </row>
    <row r="583" spans="1:14" ht="24" customHeight="1" x14ac:dyDescent="0.35">
      <c r="A583" s="30" t="s">
        <v>250</v>
      </c>
      <c r="B583" s="50" t="s">
        <v>4</v>
      </c>
      <c r="C583" s="50" t="s">
        <v>996</v>
      </c>
      <c r="D583" s="30" t="s">
        <v>1004</v>
      </c>
      <c r="E583" s="30">
        <v>0</v>
      </c>
      <c r="F583" s="30">
        <v>0</v>
      </c>
      <c r="G583" s="30">
        <v>0</v>
      </c>
      <c r="H583" s="30">
        <v>0</v>
      </c>
      <c r="I583" s="50">
        <v>0</v>
      </c>
      <c r="J583" s="50"/>
      <c r="K583" s="50"/>
      <c r="L583" s="36">
        <v>2021</v>
      </c>
      <c r="M583" s="50"/>
      <c r="N583" s="50"/>
    </row>
    <row r="584" spans="1:14" ht="24" customHeight="1" x14ac:dyDescent="0.35">
      <c r="A584" s="30" t="s">
        <v>250</v>
      </c>
      <c r="B584" s="50" t="s">
        <v>4</v>
      </c>
      <c r="C584" s="50" t="s">
        <v>996</v>
      </c>
      <c r="D584" s="30" t="s">
        <v>1005</v>
      </c>
      <c r="E584" s="30">
        <v>2</v>
      </c>
      <c r="F584" s="30">
        <v>2</v>
      </c>
      <c r="G584" s="30">
        <v>7</v>
      </c>
      <c r="H584" s="30">
        <v>2</v>
      </c>
      <c r="I584" s="50">
        <v>13</v>
      </c>
      <c r="J584" s="50"/>
      <c r="K584" s="50"/>
      <c r="L584" s="36">
        <v>2021</v>
      </c>
      <c r="M584" s="50"/>
      <c r="N584" s="50"/>
    </row>
    <row r="585" spans="1:14" ht="24" customHeight="1" x14ac:dyDescent="0.35">
      <c r="A585" s="30" t="s">
        <v>250</v>
      </c>
      <c r="B585" s="50" t="s">
        <v>4</v>
      </c>
      <c r="C585" s="50" t="s">
        <v>993</v>
      </c>
      <c r="D585" s="30" t="s">
        <v>1004</v>
      </c>
      <c r="E585" s="30">
        <v>0</v>
      </c>
      <c r="F585" s="30">
        <v>0</v>
      </c>
      <c r="G585" s="30">
        <v>0</v>
      </c>
      <c r="H585" s="30">
        <v>0</v>
      </c>
      <c r="I585" s="50">
        <v>0</v>
      </c>
      <c r="J585" s="50"/>
      <c r="K585" s="50"/>
      <c r="L585" s="36">
        <v>2021</v>
      </c>
      <c r="M585" s="50"/>
      <c r="N585" s="50"/>
    </row>
    <row r="586" spans="1:14" ht="24" customHeight="1" x14ac:dyDescent="0.35">
      <c r="A586" s="30" t="s">
        <v>250</v>
      </c>
      <c r="B586" s="50" t="s">
        <v>4</v>
      </c>
      <c r="C586" s="50" t="s">
        <v>993</v>
      </c>
      <c r="D586" s="30" t="s">
        <v>1005</v>
      </c>
      <c r="E586" s="30">
        <v>0</v>
      </c>
      <c r="F586" s="30">
        <v>0</v>
      </c>
      <c r="G586" s="30">
        <v>0</v>
      </c>
      <c r="H586" s="30">
        <v>0</v>
      </c>
      <c r="I586" s="50">
        <v>0</v>
      </c>
      <c r="J586" s="50"/>
      <c r="K586" s="50"/>
      <c r="L586" s="36">
        <v>2021</v>
      </c>
      <c r="M586" s="50"/>
      <c r="N586" s="50"/>
    </row>
    <row r="587" spans="1:14" ht="24" customHeight="1" x14ac:dyDescent="0.35">
      <c r="A587" s="30" t="s">
        <v>250</v>
      </c>
      <c r="B587" s="50" t="s">
        <v>4</v>
      </c>
      <c r="C587" s="50" t="s">
        <v>993</v>
      </c>
      <c r="D587" s="30" t="s">
        <v>1006</v>
      </c>
      <c r="E587" s="30">
        <v>0</v>
      </c>
      <c r="F587" s="30">
        <v>0</v>
      </c>
      <c r="G587" s="30">
        <v>0</v>
      </c>
      <c r="H587" s="30">
        <v>0</v>
      </c>
      <c r="I587" s="50">
        <v>0</v>
      </c>
      <c r="J587" s="50"/>
      <c r="K587" s="50"/>
      <c r="L587" s="36">
        <v>2021</v>
      </c>
      <c r="M587" s="50"/>
      <c r="N587" s="50"/>
    </row>
    <row r="588" spans="1:14" ht="24" customHeight="1" x14ac:dyDescent="0.35">
      <c r="A588" s="109" t="s">
        <v>250</v>
      </c>
      <c r="B588" s="50" t="s">
        <v>4</v>
      </c>
      <c r="C588" s="50" t="s">
        <v>996</v>
      </c>
      <c r="D588" s="30" t="s">
        <v>1006</v>
      </c>
      <c r="E588" s="50">
        <v>33946</v>
      </c>
      <c r="F588" s="109">
        <v>18609</v>
      </c>
      <c r="G588" s="109">
        <v>23171</v>
      </c>
      <c r="H588" s="50">
        <v>5927</v>
      </c>
      <c r="I588" s="50">
        <v>81653</v>
      </c>
      <c r="J588" s="50"/>
      <c r="K588" s="50"/>
      <c r="L588" s="36">
        <v>2021</v>
      </c>
      <c r="M588" s="50"/>
      <c r="N588" s="50"/>
    </row>
    <row r="589" spans="1:14" ht="24" customHeight="1" x14ac:dyDescent="0.35">
      <c r="A589" s="30" t="s">
        <v>428</v>
      </c>
      <c r="B589" s="50" t="s">
        <v>255</v>
      </c>
      <c r="C589" s="50" t="s">
        <v>996</v>
      </c>
      <c r="D589" s="30" t="s">
        <v>1004</v>
      </c>
      <c r="E589" s="30">
        <v>0</v>
      </c>
      <c r="F589" s="30">
        <v>0</v>
      </c>
      <c r="G589" s="30">
        <v>0</v>
      </c>
      <c r="H589" s="30">
        <v>2</v>
      </c>
      <c r="I589" s="50">
        <v>2</v>
      </c>
      <c r="J589" s="50"/>
      <c r="K589" s="50"/>
      <c r="L589" s="36">
        <v>2021</v>
      </c>
      <c r="M589" s="50"/>
      <c r="N589" s="50"/>
    </row>
    <row r="590" spans="1:14" ht="24" customHeight="1" x14ac:dyDescent="0.35">
      <c r="A590" s="30" t="s">
        <v>428</v>
      </c>
      <c r="B590" s="50" t="s">
        <v>255</v>
      </c>
      <c r="C590" s="50" t="s">
        <v>996</v>
      </c>
      <c r="D590" s="30" t="s">
        <v>1005</v>
      </c>
      <c r="E590" s="30">
        <v>1</v>
      </c>
      <c r="F590" s="30">
        <v>1</v>
      </c>
      <c r="G590" s="30">
        <v>10</v>
      </c>
      <c r="H590" s="30">
        <v>0</v>
      </c>
      <c r="I590" s="50">
        <v>12</v>
      </c>
      <c r="J590" s="50"/>
      <c r="K590" s="50"/>
      <c r="L590" s="36">
        <v>2021</v>
      </c>
      <c r="M590" s="50"/>
      <c r="N590" s="50"/>
    </row>
    <row r="591" spans="1:14" ht="24" customHeight="1" x14ac:dyDescent="0.35">
      <c r="A591" s="30" t="s">
        <v>428</v>
      </c>
      <c r="B591" s="50" t="s">
        <v>255</v>
      </c>
      <c r="C591" s="50" t="s">
        <v>993</v>
      </c>
      <c r="D591" s="30" t="s">
        <v>1004</v>
      </c>
      <c r="E591" s="30">
        <v>0</v>
      </c>
      <c r="F591" s="30">
        <v>0</v>
      </c>
      <c r="G591" s="30">
        <v>0</v>
      </c>
      <c r="H591" s="30">
        <v>0</v>
      </c>
      <c r="I591" s="50">
        <v>0</v>
      </c>
      <c r="J591" s="50"/>
      <c r="K591" s="50"/>
      <c r="L591" s="36">
        <v>2021</v>
      </c>
      <c r="M591" s="50"/>
      <c r="N591" s="50"/>
    </row>
    <row r="592" spans="1:14" ht="24" customHeight="1" x14ac:dyDescent="0.35">
      <c r="A592" s="30" t="s">
        <v>428</v>
      </c>
      <c r="B592" s="50" t="s">
        <v>255</v>
      </c>
      <c r="C592" s="50" t="s">
        <v>993</v>
      </c>
      <c r="D592" s="30" t="s">
        <v>1005</v>
      </c>
      <c r="E592" s="30">
        <v>0</v>
      </c>
      <c r="F592" s="30">
        <v>0</v>
      </c>
      <c r="G592" s="30">
        <v>0</v>
      </c>
      <c r="H592" s="30">
        <v>0</v>
      </c>
      <c r="I592" s="50">
        <v>0</v>
      </c>
      <c r="J592" s="50"/>
      <c r="K592" s="50"/>
      <c r="L592" s="36">
        <v>2021</v>
      </c>
      <c r="M592" s="50"/>
      <c r="N592" s="50"/>
    </row>
    <row r="593" spans="1:14" ht="24" customHeight="1" x14ac:dyDescent="0.35">
      <c r="A593" s="30" t="s">
        <v>428</v>
      </c>
      <c r="B593" s="50" t="s">
        <v>255</v>
      </c>
      <c r="C593" s="50" t="s">
        <v>993</v>
      </c>
      <c r="D593" s="30" t="s">
        <v>1006</v>
      </c>
      <c r="E593" s="30">
        <v>0</v>
      </c>
      <c r="F593" s="30">
        <v>0</v>
      </c>
      <c r="G593" s="30">
        <v>0</v>
      </c>
      <c r="H593" s="30">
        <v>0</v>
      </c>
      <c r="I593" s="50">
        <v>0</v>
      </c>
      <c r="J593" s="50"/>
      <c r="K593" s="50"/>
      <c r="L593" s="36">
        <v>2021</v>
      </c>
      <c r="M593" s="50"/>
      <c r="N593" s="50"/>
    </row>
    <row r="594" spans="1:14" ht="24" customHeight="1" x14ac:dyDescent="0.35">
      <c r="A594" s="109" t="s">
        <v>428</v>
      </c>
      <c r="B594" s="50" t="s">
        <v>255</v>
      </c>
      <c r="C594" s="50" t="s">
        <v>996</v>
      </c>
      <c r="D594" s="30" t="s">
        <v>1006</v>
      </c>
      <c r="E594" s="109">
        <v>6000</v>
      </c>
      <c r="F594" s="109">
        <v>5000</v>
      </c>
      <c r="G594" s="109">
        <v>6953</v>
      </c>
      <c r="H594" s="109">
        <v>1143</v>
      </c>
      <c r="I594" s="50">
        <v>19096</v>
      </c>
      <c r="J594" s="50"/>
      <c r="K594" s="50"/>
      <c r="L594" s="36">
        <v>2021</v>
      </c>
      <c r="M594" s="50"/>
      <c r="N594" s="50"/>
    </row>
    <row r="595" spans="1:14" ht="24" customHeight="1" x14ac:dyDescent="0.35">
      <c r="A595" s="30" t="s">
        <v>434</v>
      </c>
      <c r="B595" s="50" t="s">
        <v>87</v>
      </c>
      <c r="C595" s="50" t="s">
        <v>996</v>
      </c>
      <c r="D595" s="30" t="s">
        <v>1004</v>
      </c>
      <c r="E595" s="30">
        <v>0</v>
      </c>
      <c r="F595" s="30">
        <v>0</v>
      </c>
      <c r="G595" s="30">
        <v>0</v>
      </c>
      <c r="H595" s="30">
        <v>5</v>
      </c>
      <c r="I595" s="50">
        <v>5</v>
      </c>
      <c r="J595" s="50"/>
      <c r="K595" s="50"/>
      <c r="L595" s="36">
        <v>2021</v>
      </c>
      <c r="M595" s="50"/>
      <c r="N595" s="50"/>
    </row>
    <row r="596" spans="1:14" ht="24" customHeight="1" x14ac:dyDescent="0.35">
      <c r="A596" s="30" t="s">
        <v>434</v>
      </c>
      <c r="B596" s="50" t="s">
        <v>87</v>
      </c>
      <c r="C596" s="50" t="s">
        <v>996</v>
      </c>
      <c r="D596" s="30" t="s">
        <v>1005</v>
      </c>
      <c r="E596" s="30">
        <v>1</v>
      </c>
      <c r="F596" s="30">
        <v>8</v>
      </c>
      <c r="G596" s="30">
        <v>14</v>
      </c>
      <c r="H596" s="30">
        <v>21</v>
      </c>
      <c r="I596" s="50">
        <v>44</v>
      </c>
      <c r="J596" s="50"/>
      <c r="K596" s="50"/>
      <c r="L596" s="36">
        <v>2021</v>
      </c>
      <c r="M596" s="50"/>
      <c r="N596" s="50"/>
    </row>
    <row r="597" spans="1:14" ht="24" customHeight="1" x14ac:dyDescent="0.35">
      <c r="A597" s="30" t="s">
        <v>434</v>
      </c>
      <c r="B597" s="50" t="s">
        <v>87</v>
      </c>
      <c r="C597" s="50" t="s">
        <v>993</v>
      </c>
      <c r="D597" s="30" t="s">
        <v>1004</v>
      </c>
      <c r="E597" s="30">
        <v>0</v>
      </c>
      <c r="F597" s="30">
        <v>0</v>
      </c>
      <c r="G597" s="30">
        <v>0</v>
      </c>
      <c r="H597" s="30">
        <v>0</v>
      </c>
      <c r="I597" s="50">
        <v>0</v>
      </c>
      <c r="J597" s="50"/>
      <c r="K597" s="50"/>
      <c r="L597" s="36">
        <v>2021</v>
      </c>
      <c r="M597" s="50"/>
      <c r="N597" s="50"/>
    </row>
    <row r="598" spans="1:14" ht="24" customHeight="1" x14ac:dyDescent="0.35">
      <c r="A598" s="30" t="s">
        <v>434</v>
      </c>
      <c r="B598" s="50" t="s">
        <v>87</v>
      </c>
      <c r="C598" s="50" t="s">
        <v>993</v>
      </c>
      <c r="D598" s="30" t="s">
        <v>1005</v>
      </c>
      <c r="E598" s="30">
        <v>1</v>
      </c>
      <c r="F598" s="30">
        <v>0</v>
      </c>
      <c r="G598" s="30">
        <v>0</v>
      </c>
      <c r="H598" s="30">
        <v>0</v>
      </c>
      <c r="I598" s="50">
        <v>1</v>
      </c>
      <c r="J598" s="50"/>
      <c r="K598" s="50"/>
      <c r="L598" s="36">
        <v>2021</v>
      </c>
      <c r="M598" s="50"/>
      <c r="N598" s="50"/>
    </row>
    <row r="599" spans="1:14" ht="24" customHeight="1" x14ac:dyDescent="0.35">
      <c r="A599" s="30" t="s">
        <v>434</v>
      </c>
      <c r="B599" s="50" t="s">
        <v>87</v>
      </c>
      <c r="C599" s="50" t="s">
        <v>993</v>
      </c>
      <c r="D599" s="30" t="s">
        <v>1006</v>
      </c>
      <c r="E599" s="30">
        <v>12000</v>
      </c>
      <c r="F599" s="30">
        <v>0</v>
      </c>
      <c r="G599" s="30">
        <v>0</v>
      </c>
      <c r="H599" s="30">
        <v>0</v>
      </c>
      <c r="I599" s="50">
        <v>12000</v>
      </c>
      <c r="J599" s="50"/>
      <c r="K599" s="50"/>
      <c r="L599" s="36">
        <v>2021</v>
      </c>
      <c r="M599" s="50"/>
      <c r="N599" s="50"/>
    </row>
    <row r="600" spans="1:14" ht="24" customHeight="1" x14ac:dyDescent="0.35">
      <c r="A600" s="109" t="s">
        <v>434</v>
      </c>
      <c r="B600" s="50" t="s">
        <v>87</v>
      </c>
      <c r="C600" s="50" t="s">
        <v>996</v>
      </c>
      <c r="D600" s="30" t="s">
        <v>1006</v>
      </c>
      <c r="E600" s="50"/>
      <c r="F600" s="109">
        <v>14213</v>
      </c>
      <c r="G600" s="109">
        <v>10295</v>
      </c>
      <c r="H600" s="109">
        <v>10295</v>
      </c>
      <c r="I600" s="50">
        <v>34803</v>
      </c>
      <c r="J600" s="50"/>
      <c r="K600" s="50"/>
      <c r="L600" s="36">
        <v>2021</v>
      </c>
      <c r="M600" s="50"/>
      <c r="N600" s="50"/>
    </row>
    <row r="601" spans="1:14" ht="24" customHeight="1" x14ac:dyDescent="0.35">
      <c r="A601" s="30" t="s">
        <v>14</v>
      </c>
      <c r="B601" s="50" t="s">
        <v>4</v>
      </c>
      <c r="C601" s="50" t="s">
        <v>996</v>
      </c>
      <c r="D601" s="30" t="s">
        <v>1004</v>
      </c>
      <c r="E601" s="30">
        <v>0</v>
      </c>
      <c r="F601" s="30">
        <v>4</v>
      </c>
      <c r="G601" s="30">
        <v>1</v>
      </c>
      <c r="H601" s="30">
        <v>6</v>
      </c>
      <c r="I601" s="50">
        <v>11</v>
      </c>
      <c r="J601" s="50"/>
      <c r="K601" s="50"/>
      <c r="L601" s="36">
        <v>2021</v>
      </c>
      <c r="M601" s="50"/>
      <c r="N601" s="50"/>
    </row>
    <row r="602" spans="1:14" ht="24" customHeight="1" x14ac:dyDescent="0.35">
      <c r="A602" s="30" t="s">
        <v>14</v>
      </c>
      <c r="B602" s="50" t="s">
        <v>4</v>
      </c>
      <c r="C602" s="50" t="s">
        <v>996</v>
      </c>
      <c r="D602" s="30" t="s">
        <v>1005</v>
      </c>
      <c r="E602" s="30">
        <v>1</v>
      </c>
      <c r="F602" s="30">
        <v>7</v>
      </c>
      <c r="G602" s="30">
        <v>13</v>
      </c>
      <c r="H602" s="30">
        <v>388</v>
      </c>
      <c r="I602" s="50">
        <v>409</v>
      </c>
      <c r="J602" s="50"/>
      <c r="K602" s="50"/>
      <c r="L602" s="36">
        <v>2021</v>
      </c>
      <c r="M602" s="50"/>
      <c r="N602" s="50"/>
    </row>
    <row r="603" spans="1:14" ht="24" customHeight="1" x14ac:dyDescent="0.35">
      <c r="A603" s="30" t="s">
        <v>14</v>
      </c>
      <c r="B603" s="50" t="s">
        <v>4</v>
      </c>
      <c r="C603" s="50" t="s">
        <v>993</v>
      </c>
      <c r="D603" s="30" t="s">
        <v>1004</v>
      </c>
      <c r="E603" s="30">
        <v>0</v>
      </c>
      <c r="F603" s="30">
        <v>0</v>
      </c>
      <c r="G603" s="30">
        <v>0</v>
      </c>
      <c r="H603" s="30">
        <v>1</v>
      </c>
      <c r="I603" s="50">
        <v>1</v>
      </c>
      <c r="J603" s="50"/>
      <c r="K603" s="50"/>
      <c r="L603" s="36">
        <v>2021</v>
      </c>
      <c r="M603" s="50"/>
      <c r="N603" s="50"/>
    </row>
    <row r="604" spans="1:14" ht="24" customHeight="1" x14ac:dyDescent="0.35">
      <c r="A604" s="30" t="s">
        <v>14</v>
      </c>
      <c r="B604" s="50" t="s">
        <v>4</v>
      </c>
      <c r="C604" s="50" t="s">
        <v>993</v>
      </c>
      <c r="D604" s="30" t="s">
        <v>1005</v>
      </c>
      <c r="E604" s="30">
        <v>4</v>
      </c>
      <c r="F604" s="30">
        <v>0</v>
      </c>
      <c r="G604" s="30">
        <v>0</v>
      </c>
      <c r="H604" s="30">
        <v>0</v>
      </c>
      <c r="I604" s="50">
        <v>4</v>
      </c>
      <c r="J604" s="50"/>
      <c r="K604" s="50"/>
      <c r="L604" s="36">
        <v>2021</v>
      </c>
      <c r="M604" s="50"/>
      <c r="N604" s="50"/>
    </row>
    <row r="605" spans="1:14" ht="24" customHeight="1" x14ac:dyDescent="0.35">
      <c r="A605" s="30" t="s">
        <v>14</v>
      </c>
      <c r="B605" s="50" t="s">
        <v>4</v>
      </c>
      <c r="C605" s="50" t="s">
        <v>993</v>
      </c>
      <c r="D605" s="30" t="s">
        <v>1006</v>
      </c>
      <c r="E605" s="30">
        <v>568041</v>
      </c>
      <c r="F605" s="30">
        <v>0</v>
      </c>
      <c r="G605" s="30">
        <v>0</v>
      </c>
      <c r="H605" s="30">
        <v>301</v>
      </c>
      <c r="I605" s="50">
        <v>568342</v>
      </c>
      <c r="J605" s="50"/>
      <c r="K605" s="50"/>
      <c r="L605" s="36">
        <v>2021</v>
      </c>
      <c r="M605" s="50"/>
      <c r="N605" s="50"/>
    </row>
    <row r="606" spans="1:14" ht="24" customHeight="1" x14ac:dyDescent="0.35">
      <c r="A606" s="109" t="s">
        <v>14</v>
      </c>
      <c r="B606" s="50" t="s">
        <v>4</v>
      </c>
      <c r="C606" s="50" t="s">
        <v>996</v>
      </c>
      <c r="D606" s="30" t="s">
        <v>1006</v>
      </c>
      <c r="E606" s="109">
        <v>81595</v>
      </c>
      <c r="F606" s="109">
        <v>188877</v>
      </c>
      <c r="G606" s="109">
        <v>45559</v>
      </c>
      <c r="H606" s="109">
        <v>182208</v>
      </c>
      <c r="I606" s="50">
        <v>498239</v>
      </c>
      <c r="J606" s="50"/>
      <c r="K606" s="50"/>
      <c r="L606" s="36">
        <v>2021</v>
      </c>
      <c r="M606" s="50"/>
      <c r="N606" s="50"/>
    </row>
    <row r="607" spans="1:14" ht="24" customHeight="1" x14ac:dyDescent="0.35">
      <c r="A607" s="30" t="s">
        <v>264</v>
      </c>
      <c r="B607" s="50" t="s">
        <v>255</v>
      </c>
      <c r="C607" s="50" t="s">
        <v>996</v>
      </c>
      <c r="D607" s="30" t="s">
        <v>1004</v>
      </c>
      <c r="E607" s="30">
        <v>0</v>
      </c>
      <c r="F607" s="30">
        <v>0</v>
      </c>
      <c r="G607" s="30">
        <v>0</v>
      </c>
      <c r="H607" s="30">
        <v>0</v>
      </c>
      <c r="I607" s="50">
        <v>0</v>
      </c>
      <c r="J607" s="50"/>
      <c r="K607" s="50"/>
      <c r="L607" s="36">
        <v>2021</v>
      </c>
      <c r="M607" s="50"/>
      <c r="N607" s="50"/>
    </row>
    <row r="608" spans="1:14" ht="24" customHeight="1" x14ac:dyDescent="0.35">
      <c r="A608" s="30" t="s">
        <v>264</v>
      </c>
      <c r="B608" s="50" t="s">
        <v>255</v>
      </c>
      <c r="C608" s="50" t="s">
        <v>996</v>
      </c>
      <c r="D608" s="30" t="s">
        <v>1005</v>
      </c>
      <c r="E608" s="30">
        <v>2</v>
      </c>
      <c r="F608" s="30">
        <v>0</v>
      </c>
      <c r="G608" s="30">
        <v>0</v>
      </c>
      <c r="H608" s="30">
        <v>0</v>
      </c>
      <c r="I608" s="50">
        <v>2</v>
      </c>
      <c r="J608" s="50"/>
      <c r="K608" s="50"/>
      <c r="L608" s="36">
        <v>2021</v>
      </c>
      <c r="M608" s="50"/>
      <c r="N608" s="50"/>
    </row>
    <row r="609" spans="1:14" ht="24" customHeight="1" x14ac:dyDescent="0.35">
      <c r="A609" s="30" t="s">
        <v>264</v>
      </c>
      <c r="B609" s="50" t="s">
        <v>255</v>
      </c>
      <c r="C609" s="50" t="s">
        <v>993</v>
      </c>
      <c r="D609" s="30" t="s">
        <v>1004</v>
      </c>
      <c r="E609" s="30">
        <v>0</v>
      </c>
      <c r="F609" s="30">
        <v>0</v>
      </c>
      <c r="G609" s="30">
        <v>0</v>
      </c>
      <c r="H609" s="30">
        <v>0</v>
      </c>
      <c r="I609" s="50">
        <v>0</v>
      </c>
      <c r="J609" s="50"/>
      <c r="K609" s="50"/>
      <c r="L609" s="36">
        <v>2021</v>
      </c>
      <c r="M609" s="50"/>
      <c r="N609" s="50"/>
    </row>
    <row r="610" spans="1:14" ht="24" customHeight="1" x14ac:dyDescent="0.35">
      <c r="A610" s="30" t="s">
        <v>264</v>
      </c>
      <c r="B610" s="50" t="s">
        <v>255</v>
      </c>
      <c r="C610" s="50" t="s">
        <v>993</v>
      </c>
      <c r="D610" s="30" t="s">
        <v>1005</v>
      </c>
      <c r="E610" s="30">
        <v>0</v>
      </c>
      <c r="F610" s="30">
        <v>0</v>
      </c>
      <c r="G610" s="30">
        <v>0</v>
      </c>
      <c r="H610" s="30">
        <v>0</v>
      </c>
      <c r="I610" s="50">
        <v>0</v>
      </c>
      <c r="J610" s="50"/>
      <c r="K610" s="50"/>
      <c r="L610" s="36">
        <v>2021</v>
      </c>
      <c r="M610" s="50"/>
      <c r="N610" s="50"/>
    </row>
    <row r="611" spans="1:14" ht="24" customHeight="1" x14ac:dyDescent="0.35">
      <c r="A611" s="30" t="s">
        <v>264</v>
      </c>
      <c r="B611" s="50" t="s">
        <v>255</v>
      </c>
      <c r="C611" s="50" t="s">
        <v>993</v>
      </c>
      <c r="D611" s="30" t="s">
        <v>1006</v>
      </c>
      <c r="E611" s="50"/>
      <c r="F611" s="30">
        <v>0</v>
      </c>
      <c r="G611" s="30">
        <v>0</v>
      </c>
      <c r="H611" s="30">
        <v>0</v>
      </c>
      <c r="I611" s="50">
        <v>0</v>
      </c>
      <c r="J611" s="50"/>
      <c r="K611" s="50"/>
      <c r="L611" s="36">
        <v>2021</v>
      </c>
      <c r="M611" s="50"/>
      <c r="N611" s="50"/>
    </row>
    <row r="612" spans="1:14" ht="24" customHeight="1" x14ac:dyDescent="0.35">
      <c r="A612" s="109" t="s">
        <v>264</v>
      </c>
      <c r="B612" s="50" t="s">
        <v>255</v>
      </c>
      <c r="C612" s="50" t="s">
        <v>996</v>
      </c>
      <c r="D612" s="30" t="s">
        <v>1006</v>
      </c>
      <c r="E612" s="30">
        <v>36000</v>
      </c>
      <c r="F612" s="109">
        <v>0</v>
      </c>
      <c r="G612" s="109">
        <v>0</v>
      </c>
      <c r="H612" s="109"/>
      <c r="I612" s="50">
        <v>36000</v>
      </c>
      <c r="J612" s="50"/>
      <c r="K612" s="50"/>
      <c r="L612" s="36">
        <v>2021</v>
      </c>
      <c r="M612" s="50"/>
      <c r="N612" s="50"/>
    </row>
    <row r="613" spans="1:14" ht="24" customHeight="1" x14ac:dyDescent="0.35">
      <c r="A613" s="30" t="s">
        <v>444</v>
      </c>
      <c r="B613" s="50" t="s">
        <v>46</v>
      </c>
      <c r="C613" s="50" t="s">
        <v>996</v>
      </c>
      <c r="D613" s="30" t="s">
        <v>1004</v>
      </c>
      <c r="E613" s="30">
        <v>0</v>
      </c>
      <c r="F613" s="30">
        <v>0</v>
      </c>
      <c r="G613" s="30">
        <v>2</v>
      </c>
      <c r="H613" s="30">
        <v>0</v>
      </c>
      <c r="I613" s="50">
        <v>2</v>
      </c>
      <c r="J613" s="50"/>
      <c r="K613" s="50"/>
      <c r="L613" s="36">
        <v>2021</v>
      </c>
      <c r="M613" s="50"/>
      <c r="N613" s="50"/>
    </row>
    <row r="614" spans="1:14" ht="24" customHeight="1" x14ac:dyDescent="0.35">
      <c r="A614" s="30" t="s">
        <v>444</v>
      </c>
      <c r="B614" s="50" t="s">
        <v>46</v>
      </c>
      <c r="C614" s="50" t="s">
        <v>996</v>
      </c>
      <c r="D614" s="30" t="s">
        <v>1005</v>
      </c>
      <c r="E614" s="30">
        <v>0</v>
      </c>
      <c r="F614" s="30">
        <v>0</v>
      </c>
      <c r="G614" s="30">
        <v>1</v>
      </c>
      <c r="H614" s="30">
        <v>13</v>
      </c>
      <c r="I614" s="50">
        <v>14</v>
      </c>
      <c r="J614" s="50"/>
      <c r="K614" s="50"/>
      <c r="L614" s="36">
        <v>2021</v>
      </c>
      <c r="M614" s="50"/>
      <c r="N614" s="50"/>
    </row>
    <row r="615" spans="1:14" ht="24" customHeight="1" x14ac:dyDescent="0.35">
      <c r="A615" s="30" t="s">
        <v>444</v>
      </c>
      <c r="B615" s="50" t="s">
        <v>46</v>
      </c>
      <c r="C615" s="50" t="s">
        <v>993</v>
      </c>
      <c r="D615" s="30" t="s">
        <v>1004</v>
      </c>
      <c r="E615" s="30">
        <v>0</v>
      </c>
      <c r="F615" s="30">
        <v>0</v>
      </c>
      <c r="G615" s="30">
        <v>0</v>
      </c>
      <c r="H615" s="30">
        <v>0</v>
      </c>
      <c r="I615" s="50">
        <v>0</v>
      </c>
      <c r="J615" s="50"/>
      <c r="K615" s="50"/>
      <c r="L615" s="36">
        <v>2021</v>
      </c>
      <c r="M615" s="50"/>
      <c r="N615" s="50"/>
    </row>
    <row r="616" spans="1:14" ht="24" customHeight="1" x14ac:dyDescent="0.35">
      <c r="A616" s="30" t="s">
        <v>444</v>
      </c>
      <c r="B616" s="50" t="s">
        <v>46</v>
      </c>
      <c r="C616" s="50" t="s">
        <v>993</v>
      </c>
      <c r="D616" s="30" t="s">
        <v>1005</v>
      </c>
      <c r="E616" s="30">
        <v>0</v>
      </c>
      <c r="F616" s="30">
        <v>0</v>
      </c>
      <c r="G616" s="30">
        <v>0</v>
      </c>
      <c r="H616" s="30">
        <v>0</v>
      </c>
      <c r="I616" s="50">
        <v>0</v>
      </c>
      <c r="J616" s="50"/>
      <c r="K616" s="50"/>
      <c r="L616" s="36">
        <v>2021</v>
      </c>
      <c r="M616" s="50"/>
      <c r="N616" s="50"/>
    </row>
    <row r="617" spans="1:14" ht="24" customHeight="1" x14ac:dyDescent="0.35">
      <c r="A617" s="30" t="s">
        <v>444</v>
      </c>
      <c r="B617" s="50" t="s">
        <v>46</v>
      </c>
      <c r="C617" s="50" t="s">
        <v>993</v>
      </c>
      <c r="D617" s="30" t="s">
        <v>1006</v>
      </c>
      <c r="E617" s="30">
        <v>0</v>
      </c>
      <c r="F617" s="30">
        <v>0</v>
      </c>
      <c r="G617" s="30">
        <v>0</v>
      </c>
      <c r="H617" s="30">
        <v>0</v>
      </c>
      <c r="I617" s="50">
        <v>0</v>
      </c>
      <c r="J617" s="50"/>
      <c r="K617" s="50"/>
      <c r="L617" s="36">
        <v>2021</v>
      </c>
      <c r="M617" s="50"/>
      <c r="N617" s="50"/>
    </row>
    <row r="618" spans="1:14" ht="24" customHeight="1" x14ac:dyDescent="0.35">
      <c r="A618" s="109" t="s">
        <v>444</v>
      </c>
      <c r="B618" s="50" t="s">
        <v>46</v>
      </c>
      <c r="C618" s="50" t="s">
        <v>996</v>
      </c>
      <c r="D618" s="30" t="s">
        <v>1006</v>
      </c>
      <c r="E618" s="109">
        <v>0</v>
      </c>
      <c r="F618" s="109">
        <v>0</v>
      </c>
      <c r="G618" s="50">
        <v>28825</v>
      </c>
      <c r="H618" s="109">
        <v>0</v>
      </c>
      <c r="I618" s="50">
        <v>28825</v>
      </c>
      <c r="J618" s="50"/>
      <c r="K618" s="50"/>
      <c r="L618" s="36">
        <v>2021</v>
      </c>
      <c r="M618" s="50"/>
      <c r="N618" s="50"/>
    </row>
    <row r="619" spans="1:14" ht="24" customHeight="1" x14ac:dyDescent="0.35">
      <c r="A619" s="30" t="s">
        <v>445</v>
      </c>
      <c r="B619" s="50" t="s">
        <v>4</v>
      </c>
      <c r="C619" s="50" t="s">
        <v>996</v>
      </c>
      <c r="D619" s="30" t="s">
        <v>1004</v>
      </c>
      <c r="E619" s="30">
        <v>1</v>
      </c>
      <c r="F619" s="30">
        <v>0</v>
      </c>
      <c r="G619" s="30">
        <v>0</v>
      </c>
      <c r="H619" s="30">
        <v>0</v>
      </c>
      <c r="I619" s="50">
        <v>1</v>
      </c>
      <c r="J619" s="50"/>
      <c r="K619" s="50"/>
      <c r="L619" s="36">
        <v>2021</v>
      </c>
      <c r="M619" s="50"/>
      <c r="N619" s="50"/>
    </row>
    <row r="620" spans="1:14" ht="24" customHeight="1" x14ac:dyDescent="0.35">
      <c r="A620" s="30" t="s">
        <v>445</v>
      </c>
      <c r="B620" s="50" t="s">
        <v>4</v>
      </c>
      <c r="C620" s="50" t="s">
        <v>996</v>
      </c>
      <c r="D620" s="30" t="s">
        <v>1005</v>
      </c>
      <c r="E620" s="30">
        <v>2</v>
      </c>
      <c r="F620" s="30">
        <v>0</v>
      </c>
      <c r="G620" s="30">
        <v>0</v>
      </c>
      <c r="H620" s="30">
        <v>0</v>
      </c>
      <c r="I620" s="50">
        <v>2</v>
      </c>
      <c r="J620" s="50"/>
      <c r="K620" s="50"/>
      <c r="L620" s="36">
        <v>2021</v>
      </c>
      <c r="M620" s="50"/>
      <c r="N620" s="50"/>
    </row>
    <row r="621" spans="1:14" ht="24" customHeight="1" x14ac:dyDescent="0.35">
      <c r="A621" s="30" t="s">
        <v>445</v>
      </c>
      <c r="B621" s="50" t="s">
        <v>4</v>
      </c>
      <c r="C621" s="50" t="s">
        <v>993</v>
      </c>
      <c r="D621" s="30" t="s">
        <v>1004</v>
      </c>
      <c r="E621" s="30">
        <v>0</v>
      </c>
      <c r="F621" s="30">
        <v>0</v>
      </c>
      <c r="G621" s="30">
        <v>0</v>
      </c>
      <c r="H621" s="30">
        <v>0</v>
      </c>
      <c r="I621" s="50">
        <v>0</v>
      </c>
      <c r="J621" s="50"/>
      <c r="K621" s="50"/>
      <c r="L621" s="36">
        <v>2021</v>
      </c>
      <c r="M621" s="50"/>
      <c r="N621" s="50"/>
    </row>
    <row r="622" spans="1:14" ht="24" customHeight="1" x14ac:dyDescent="0.35">
      <c r="A622" s="30" t="s">
        <v>445</v>
      </c>
      <c r="B622" s="50" t="s">
        <v>4</v>
      </c>
      <c r="C622" s="50" t="s">
        <v>993</v>
      </c>
      <c r="D622" s="30" t="s">
        <v>1005</v>
      </c>
      <c r="E622" s="30">
        <v>0</v>
      </c>
      <c r="F622" s="30">
        <v>0</v>
      </c>
      <c r="G622" s="30">
        <v>0</v>
      </c>
      <c r="H622" s="30">
        <v>0</v>
      </c>
      <c r="I622" s="50">
        <v>0</v>
      </c>
      <c r="J622" s="50"/>
      <c r="K622" s="50"/>
      <c r="L622" s="36">
        <v>2021</v>
      </c>
      <c r="M622" s="50"/>
      <c r="N622" s="50"/>
    </row>
    <row r="623" spans="1:14" ht="24" customHeight="1" x14ac:dyDescent="0.35">
      <c r="A623" s="30" t="s">
        <v>445</v>
      </c>
      <c r="B623" s="50" t="s">
        <v>4</v>
      </c>
      <c r="C623" s="50" t="s">
        <v>993</v>
      </c>
      <c r="D623" s="30" t="s">
        <v>1006</v>
      </c>
      <c r="E623" s="30">
        <v>0</v>
      </c>
      <c r="F623" s="30">
        <v>0</v>
      </c>
      <c r="G623" s="30">
        <v>0</v>
      </c>
      <c r="H623" s="30">
        <v>0</v>
      </c>
      <c r="I623" s="50">
        <v>0</v>
      </c>
      <c r="J623" s="50"/>
      <c r="K623" s="50"/>
      <c r="L623" s="36">
        <v>2021</v>
      </c>
      <c r="M623" s="50"/>
      <c r="N623" s="50"/>
    </row>
    <row r="624" spans="1:14" ht="24" customHeight="1" x14ac:dyDescent="0.35">
      <c r="A624" s="109" t="s">
        <v>445</v>
      </c>
      <c r="B624" s="50" t="s">
        <v>4</v>
      </c>
      <c r="C624" s="50" t="s">
        <v>996</v>
      </c>
      <c r="D624" s="30" t="s">
        <v>1006</v>
      </c>
      <c r="E624" s="109">
        <v>37755</v>
      </c>
      <c r="F624" s="109">
        <v>0</v>
      </c>
      <c r="G624" s="109">
        <v>0</v>
      </c>
      <c r="H624" s="50"/>
      <c r="I624" s="50">
        <v>37755</v>
      </c>
      <c r="J624" s="50"/>
      <c r="K624" s="50"/>
      <c r="L624" s="36">
        <v>2021</v>
      </c>
      <c r="M624" s="50"/>
      <c r="N624" s="50"/>
    </row>
    <row r="625" spans="1:14" ht="24" customHeight="1" x14ac:dyDescent="0.35">
      <c r="A625" s="30" t="s">
        <v>273</v>
      </c>
      <c r="B625" s="50" t="s">
        <v>4</v>
      </c>
      <c r="C625" s="50" t="s">
        <v>996</v>
      </c>
      <c r="D625" s="30" t="s">
        <v>1004</v>
      </c>
      <c r="E625" s="30">
        <v>0</v>
      </c>
      <c r="F625" s="30">
        <v>0</v>
      </c>
      <c r="G625" s="30">
        <v>0</v>
      </c>
      <c r="H625" s="30">
        <v>0</v>
      </c>
      <c r="I625" s="50">
        <v>0</v>
      </c>
      <c r="J625" s="50"/>
      <c r="K625" s="50"/>
      <c r="L625" s="36">
        <v>2021</v>
      </c>
      <c r="M625" s="50"/>
      <c r="N625" s="50"/>
    </row>
    <row r="626" spans="1:14" ht="24" customHeight="1" x14ac:dyDescent="0.35">
      <c r="A626" s="30" t="s">
        <v>273</v>
      </c>
      <c r="B626" s="50" t="s">
        <v>4</v>
      </c>
      <c r="C626" s="50" t="s">
        <v>996</v>
      </c>
      <c r="D626" s="30" t="s">
        <v>1005</v>
      </c>
      <c r="E626" s="30">
        <v>0</v>
      </c>
      <c r="F626" s="30">
        <v>0</v>
      </c>
      <c r="G626" s="30">
        <v>0</v>
      </c>
      <c r="H626" s="30">
        <v>0</v>
      </c>
      <c r="I626" s="50">
        <v>0</v>
      </c>
      <c r="J626" s="50"/>
      <c r="K626" s="50"/>
      <c r="L626" s="36">
        <v>2021</v>
      </c>
      <c r="M626" s="50"/>
      <c r="N626" s="50"/>
    </row>
    <row r="627" spans="1:14" ht="24" customHeight="1" x14ac:dyDescent="0.35">
      <c r="A627" s="30" t="s">
        <v>273</v>
      </c>
      <c r="B627" s="50" t="s">
        <v>4</v>
      </c>
      <c r="C627" s="50" t="s">
        <v>993</v>
      </c>
      <c r="D627" s="30" t="s">
        <v>1004</v>
      </c>
      <c r="E627" s="30">
        <v>0</v>
      </c>
      <c r="F627" s="30">
        <v>0</v>
      </c>
      <c r="G627" s="30">
        <v>0</v>
      </c>
      <c r="H627" s="30">
        <v>0</v>
      </c>
      <c r="I627" s="50">
        <v>0</v>
      </c>
      <c r="J627" s="50"/>
      <c r="K627" s="50"/>
      <c r="L627" s="36">
        <v>2021</v>
      </c>
      <c r="M627" s="50"/>
      <c r="N627" s="50"/>
    </row>
    <row r="628" spans="1:14" ht="24" customHeight="1" x14ac:dyDescent="0.35">
      <c r="A628" s="30" t="s">
        <v>273</v>
      </c>
      <c r="B628" s="50" t="s">
        <v>4</v>
      </c>
      <c r="C628" s="50" t="s">
        <v>993</v>
      </c>
      <c r="D628" s="30" t="s">
        <v>1005</v>
      </c>
      <c r="E628" s="30">
        <v>0</v>
      </c>
      <c r="F628" s="30">
        <v>0</v>
      </c>
      <c r="G628" s="30">
        <v>0</v>
      </c>
      <c r="H628" s="30">
        <v>0</v>
      </c>
      <c r="I628" s="50">
        <v>0</v>
      </c>
      <c r="J628" s="50"/>
      <c r="K628" s="50"/>
      <c r="L628" s="36">
        <v>2021</v>
      </c>
      <c r="M628" s="50"/>
      <c r="N628" s="50"/>
    </row>
    <row r="629" spans="1:14" ht="24" customHeight="1" x14ac:dyDescent="0.35">
      <c r="A629" s="30" t="s">
        <v>273</v>
      </c>
      <c r="B629" s="50" t="s">
        <v>4</v>
      </c>
      <c r="C629" s="50" t="s">
        <v>993</v>
      </c>
      <c r="D629" s="30" t="s">
        <v>1006</v>
      </c>
      <c r="E629" s="30">
        <v>0</v>
      </c>
      <c r="F629" s="30">
        <v>0</v>
      </c>
      <c r="G629" s="30">
        <v>0</v>
      </c>
      <c r="H629" s="30">
        <v>0</v>
      </c>
      <c r="I629" s="50">
        <v>0</v>
      </c>
      <c r="J629" s="50"/>
      <c r="K629" s="50"/>
      <c r="L629" s="36">
        <v>2021</v>
      </c>
      <c r="M629" s="50"/>
      <c r="N629" s="50"/>
    </row>
    <row r="630" spans="1:14" ht="24" customHeight="1" x14ac:dyDescent="0.35">
      <c r="A630" s="109" t="s">
        <v>273</v>
      </c>
      <c r="B630" s="50" t="s">
        <v>4</v>
      </c>
      <c r="C630" s="50" t="s">
        <v>996</v>
      </c>
      <c r="D630" s="30" t="s">
        <v>1006</v>
      </c>
      <c r="E630" s="109">
        <v>0</v>
      </c>
      <c r="F630" s="109">
        <v>0</v>
      </c>
      <c r="G630" s="109">
        <v>0</v>
      </c>
      <c r="H630" s="109">
        <v>0</v>
      </c>
      <c r="I630" s="50">
        <v>0</v>
      </c>
      <c r="J630" s="50"/>
      <c r="K630" s="50"/>
      <c r="L630" s="36">
        <v>2021</v>
      </c>
      <c r="M630" s="50"/>
      <c r="N630" s="50"/>
    </row>
    <row r="631" spans="1:14" ht="24" customHeight="1" x14ac:dyDescent="0.35">
      <c r="A631" s="30" t="s">
        <v>448</v>
      </c>
      <c r="B631" s="50" t="s">
        <v>46</v>
      </c>
      <c r="C631" s="50" t="s">
        <v>996</v>
      </c>
      <c r="D631" s="30" t="s">
        <v>1004</v>
      </c>
      <c r="E631" s="30">
        <v>2</v>
      </c>
      <c r="F631" s="30">
        <v>0</v>
      </c>
      <c r="G631" s="30">
        <v>0</v>
      </c>
      <c r="H631" s="30">
        <v>0</v>
      </c>
      <c r="I631" s="50">
        <v>2</v>
      </c>
      <c r="J631" s="50"/>
      <c r="K631" s="50"/>
      <c r="L631" s="36">
        <v>2021</v>
      </c>
      <c r="M631" s="50"/>
      <c r="N631" s="50"/>
    </row>
    <row r="632" spans="1:14" ht="24" customHeight="1" x14ac:dyDescent="0.35">
      <c r="A632" s="30" t="s">
        <v>448</v>
      </c>
      <c r="B632" s="50" t="s">
        <v>46</v>
      </c>
      <c r="C632" s="50" t="s">
        <v>996</v>
      </c>
      <c r="D632" s="30" t="s">
        <v>1005</v>
      </c>
      <c r="E632" s="30">
        <v>3</v>
      </c>
      <c r="F632" s="30">
        <v>4</v>
      </c>
      <c r="G632" s="30">
        <v>15</v>
      </c>
      <c r="H632" s="30">
        <v>30</v>
      </c>
      <c r="I632" s="50">
        <v>52</v>
      </c>
      <c r="J632" s="50"/>
      <c r="K632" s="50"/>
      <c r="L632" s="36">
        <v>2021</v>
      </c>
      <c r="M632" s="50"/>
      <c r="N632" s="50"/>
    </row>
    <row r="633" spans="1:14" ht="24" customHeight="1" x14ac:dyDescent="0.35">
      <c r="A633" s="30" t="s">
        <v>448</v>
      </c>
      <c r="B633" s="50" t="s">
        <v>46</v>
      </c>
      <c r="C633" s="50" t="s">
        <v>993</v>
      </c>
      <c r="D633" s="30" t="s">
        <v>1004</v>
      </c>
      <c r="E633" s="30">
        <v>0</v>
      </c>
      <c r="F633" s="30">
        <v>0</v>
      </c>
      <c r="G633" s="30">
        <v>0</v>
      </c>
      <c r="H633" s="30">
        <v>0</v>
      </c>
      <c r="I633" s="50">
        <v>0</v>
      </c>
      <c r="J633" s="50"/>
      <c r="K633" s="50"/>
      <c r="L633" s="36">
        <v>2021</v>
      </c>
      <c r="M633" s="50"/>
      <c r="N633" s="50"/>
    </row>
    <row r="634" spans="1:14" ht="24" customHeight="1" x14ac:dyDescent="0.35">
      <c r="A634" s="30" t="s">
        <v>448</v>
      </c>
      <c r="B634" s="50" t="s">
        <v>46</v>
      </c>
      <c r="C634" s="50" t="s">
        <v>993</v>
      </c>
      <c r="D634" s="30" t="s">
        <v>1005</v>
      </c>
      <c r="E634" s="30">
        <v>2</v>
      </c>
      <c r="F634" s="30">
        <v>7</v>
      </c>
      <c r="G634" s="30">
        <v>0</v>
      </c>
      <c r="H634" s="30">
        <v>0</v>
      </c>
      <c r="I634" s="50">
        <v>9</v>
      </c>
      <c r="J634" s="50"/>
      <c r="K634" s="50"/>
      <c r="L634" s="36">
        <v>2021</v>
      </c>
      <c r="M634" s="50"/>
      <c r="N634" s="50"/>
    </row>
    <row r="635" spans="1:14" ht="24" customHeight="1" x14ac:dyDescent="0.35">
      <c r="A635" s="30" t="s">
        <v>448</v>
      </c>
      <c r="B635" s="50" t="s">
        <v>46</v>
      </c>
      <c r="C635" s="50" t="s">
        <v>993</v>
      </c>
      <c r="D635" s="30" t="s">
        <v>1006</v>
      </c>
      <c r="E635" s="30">
        <v>12000</v>
      </c>
      <c r="F635" s="30">
        <v>18000</v>
      </c>
      <c r="G635" s="30">
        <v>0</v>
      </c>
      <c r="H635" s="30">
        <v>0</v>
      </c>
      <c r="I635" s="50">
        <v>30000</v>
      </c>
      <c r="J635" s="50"/>
      <c r="K635" s="50"/>
      <c r="L635" s="36">
        <v>2021</v>
      </c>
      <c r="M635" s="50"/>
      <c r="N635" s="50"/>
    </row>
    <row r="636" spans="1:14" ht="24" customHeight="1" x14ac:dyDescent="0.35">
      <c r="A636" s="109" t="s">
        <v>448</v>
      </c>
      <c r="B636" s="50" t="s">
        <v>46</v>
      </c>
      <c r="C636" s="50" t="s">
        <v>996</v>
      </c>
      <c r="D636" s="30" t="s">
        <v>1006</v>
      </c>
      <c r="E636" s="109">
        <v>18000</v>
      </c>
      <c r="F636" s="109">
        <v>28000</v>
      </c>
      <c r="G636" s="109">
        <v>48000</v>
      </c>
      <c r="H636" s="50">
        <v>14000</v>
      </c>
      <c r="I636" s="50">
        <v>108000</v>
      </c>
      <c r="J636" s="50"/>
      <c r="K636" s="50"/>
      <c r="L636" s="36">
        <v>2021</v>
      </c>
      <c r="M636" s="50"/>
      <c r="N636" s="50"/>
    </row>
    <row r="637" spans="1:14" ht="24" customHeight="1" x14ac:dyDescent="0.35">
      <c r="A637" s="50" t="s">
        <v>276</v>
      </c>
      <c r="B637" s="50" t="s">
        <v>255</v>
      </c>
      <c r="C637" s="50" t="s">
        <v>993</v>
      </c>
      <c r="D637" s="50" t="s">
        <v>997</v>
      </c>
      <c r="E637" s="50">
        <v>0</v>
      </c>
      <c r="F637" s="50">
        <v>0</v>
      </c>
      <c r="G637" s="50">
        <v>0</v>
      </c>
      <c r="H637" s="50">
        <v>0</v>
      </c>
      <c r="I637" s="50">
        <v>0</v>
      </c>
      <c r="J637" s="50"/>
      <c r="K637" s="50"/>
      <c r="L637" s="36">
        <v>2021</v>
      </c>
      <c r="M637" s="50"/>
      <c r="N637" s="50"/>
    </row>
    <row r="638" spans="1:14" ht="24" customHeight="1" x14ac:dyDescent="0.35">
      <c r="A638" s="50" t="s">
        <v>276</v>
      </c>
      <c r="B638" s="50" t="s">
        <v>255</v>
      </c>
      <c r="C638" s="50" t="s">
        <v>993</v>
      </c>
      <c r="D638" s="50" t="s">
        <v>994</v>
      </c>
      <c r="E638" s="50">
        <v>0</v>
      </c>
      <c r="F638" s="50">
        <v>0</v>
      </c>
      <c r="G638" s="50">
        <v>0</v>
      </c>
      <c r="H638" s="50">
        <v>0</v>
      </c>
      <c r="I638" s="110">
        <v>0</v>
      </c>
      <c r="J638" s="50"/>
      <c r="K638" s="50"/>
      <c r="L638" s="36">
        <v>2021</v>
      </c>
      <c r="M638" s="50"/>
      <c r="N638" s="50"/>
    </row>
    <row r="639" spans="1:14" ht="24" customHeight="1" x14ac:dyDescent="0.35">
      <c r="A639" s="50" t="s">
        <v>276</v>
      </c>
      <c r="B639" s="50" t="s">
        <v>255</v>
      </c>
      <c r="C639" s="50" t="s">
        <v>993</v>
      </c>
      <c r="D639" s="50" t="s">
        <v>995</v>
      </c>
      <c r="E639" s="50">
        <v>0</v>
      </c>
      <c r="F639" s="50">
        <v>0</v>
      </c>
      <c r="G639" s="50">
        <v>0</v>
      </c>
      <c r="H639" s="50">
        <v>0</v>
      </c>
      <c r="I639" s="110">
        <v>0</v>
      </c>
      <c r="J639" s="50"/>
      <c r="K639" s="50"/>
      <c r="L639" s="36">
        <v>2021</v>
      </c>
      <c r="M639" s="50"/>
      <c r="N639" s="50"/>
    </row>
    <row r="640" spans="1:14" ht="24" customHeight="1" x14ac:dyDescent="0.35">
      <c r="A640" s="50" t="s">
        <v>276</v>
      </c>
      <c r="B640" s="50" t="s">
        <v>255</v>
      </c>
      <c r="C640" s="50" t="s">
        <v>996</v>
      </c>
      <c r="D640" s="50" t="s">
        <v>997</v>
      </c>
      <c r="E640" s="50">
        <v>1</v>
      </c>
      <c r="F640" s="50">
        <v>1</v>
      </c>
      <c r="G640" s="50">
        <v>1</v>
      </c>
      <c r="H640" s="50">
        <v>0</v>
      </c>
      <c r="I640" s="110">
        <v>3</v>
      </c>
      <c r="J640" s="50"/>
      <c r="K640" s="50"/>
      <c r="L640" s="36">
        <v>2021</v>
      </c>
      <c r="M640" s="50"/>
      <c r="N640" s="50"/>
    </row>
    <row r="641" spans="1:14" ht="24" customHeight="1" x14ac:dyDescent="0.35">
      <c r="A641" s="50" t="s">
        <v>276</v>
      </c>
      <c r="B641" s="50" t="s">
        <v>255</v>
      </c>
      <c r="C641" s="50" t="s">
        <v>996</v>
      </c>
      <c r="D641" s="50" t="s">
        <v>994</v>
      </c>
      <c r="E641" s="50">
        <v>14</v>
      </c>
      <c r="F641" s="50">
        <v>5</v>
      </c>
      <c r="G641" s="50">
        <v>29</v>
      </c>
      <c r="H641" s="50">
        <v>68</v>
      </c>
      <c r="I641" s="110">
        <v>116</v>
      </c>
      <c r="J641" s="50"/>
      <c r="K641" s="50"/>
      <c r="L641" s="36">
        <v>2021</v>
      </c>
      <c r="M641" s="50"/>
      <c r="N641" s="50"/>
    </row>
    <row r="642" spans="1:14" ht="24" customHeight="1" x14ac:dyDescent="0.35">
      <c r="A642" s="50" t="s">
        <v>276</v>
      </c>
      <c r="B642" s="50" t="s">
        <v>255</v>
      </c>
      <c r="C642" s="50" t="s">
        <v>996</v>
      </c>
      <c r="D642" s="50" t="s">
        <v>995</v>
      </c>
      <c r="E642" s="50">
        <v>459064</v>
      </c>
      <c r="F642" s="50">
        <v>53224</v>
      </c>
      <c r="G642" s="50">
        <v>153051</v>
      </c>
      <c r="H642" s="50">
        <v>103161</v>
      </c>
      <c r="I642" s="110">
        <v>768500</v>
      </c>
      <c r="J642" s="50"/>
      <c r="K642" s="50"/>
      <c r="L642" s="36">
        <v>2021</v>
      </c>
      <c r="M642" s="50"/>
      <c r="N642" s="50"/>
    </row>
    <row r="643" spans="1:14" ht="24" customHeight="1" x14ac:dyDescent="0.35">
      <c r="A643" s="30" t="s">
        <v>278</v>
      </c>
      <c r="B643" s="50" t="s">
        <v>255</v>
      </c>
      <c r="C643" s="50" t="s">
        <v>996</v>
      </c>
      <c r="D643" s="30" t="s">
        <v>1004</v>
      </c>
      <c r="E643" s="30">
        <v>0</v>
      </c>
      <c r="F643" s="30">
        <v>0</v>
      </c>
      <c r="G643" s="30">
        <v>0</v>
      </c>
      <c r="H643" s="30">
        <v>1</v>
      </c>
      <c r="I643" s="50">
        <v>1</v>
      </c>
      <c r="J643" s="50"/>
      <c r="K643" s="50"/>
      <c r="L643" s="36">
        <v>2021</v>
      </c>
      <c r="M643" s="50"/>
      <c r="N643" s="50"/>
    </row>
    <row r="644" spans="1:14" ht="24" customHeight="1" x14ac:dyDescent="0.35">
      <c r="A644" s="30" t="s">
        <v>278</v>
      </c>
      <c r="B644" s="50" t="s">
        <v>255</v>
      </c>
      <c r="C644" s="50" t="s">
        <v>996</v>
      </c>
      <c r="D644" s="30" t="s">
        <v>1005</v>
      </c>
      <c r="E644" s="30">
        <v>12</v>
      </c>
      <c r="F644" s="30">
        <v>0</v>
      </c>
      <c r="G644" s="30">
        <v>12</v>
      </c>
      <c r="H644" s="30">
        <v>37</v>
      </c>
      <c r="I644" s="50">
        <v>61</v>
      </c>
      <c r="J644" s="50"/>
      <c r="K644" s="50"/>
      <c r="L644" s="36">
        <v>2021</v>
      </c>
      <c r="M644" s="50"/>
      <c r="N644" s="50"/>
    </row>
    <row r="645" spans="1:14" ht="24" customHeight="1" x14ac:dyDescent="0.35">
      <c r="A645" s="30" t="s">
        <v>278</v>
      </c>
      <c r="B645" s="50" t="s">
        <v>255</v>
      </c>
      <c r="C645" s="50" t="s">
        <v>993</v>
      </c>
      <c r="D645" s="30" t="s">
        <v>1004</v>
      </c>
      <c r="E645" s="30">
        <v>0</v>
      </c>
      <c r="F645" s="30">
        <v>0</v>
      </c>
      <c r="G645" s="30">
        <v>0</v>
      </c>
      <c r="H645" s="30">
        <v>0</v>
      </c>
      <c r="I645" s="50">
        <v>0</v>
      </c>
      <c r="J645" s="50"/>
      <c r="K645" s="50"/>
      <c r="L645" s="36">
        <v>2021</v>
      </c>
      <c r="M645" s="50"/>
      <c r="N645" s="50"/>
    </row>
    <row r="646" spans="1:14" ht="24" customHeight="1" x14ac:dyDescent="0.35">
      <c r="A646" s="30" t="s">
        <v>278</v>
      </c>
      <c r="B646" s="50" t="s">
        <v>255</v>
      </c>
      <c r="C646" s="50" t="s">
        <v>993</v>
      </c>
      <c r="D646" s="30" t="s">
        <v>1005</v>
      </c>
      <c r="E646" s="30">
        <v>1</v>
      </c>
      <c r="F646" s="30">
        <v>0</v>
      </c>
      <c r="G646" s="30">
        <v>0</v>
      </c>
      <c r="H646" s="30">
        <v>0</v>
      </c>
      <c r="I646" s="50">
        <v>1</v>
      </c>
      <c r="J646" s="50"/>
      <c r="K646" s="50"/>
      <c r="L646" s="36">
        <v>2021</v>
      </c>
      <c r="M646" s="50"/>
      <c r="N646" s="50"/>
    </row>
    <row r="647" spans="1:14" ht="24" customHeight="1" x14ac:dyDescent="0.35">
      <c r="A647" s="30" t="s">
        <v>278</v>
      </c>
      <c r="B647" s="50" t="s">
        <v>255</v>
      </c>
      <c r="C647" s="50" t="s">
        <v>993</v>
      </c>
      <c r="D647" s="30" t="s">
        <v>1006</v>
      </c>
      <c r="E647" s="30">
        <v>0</v>
      </c>
      <c r="F647" s="30">
        <v>0</v>
      </c>
      <c r="G647" s="30">
        <v>0</v>
      </c>
      <c r="H647" s="30">
        <v>0</v>
      </c>
      <c r="I647" s="50">
        <v>0</v>
      </c>
      <c r="J647" s="50"/>
      <c r="K647" s="50"/>
      <c r="L647" s="36">
        <v>2021</v>
      </c>
      <c r="M647" s="50"/>
      <c r="N647" s="50"/>
    </row>
    <row r="648" spans="1:14" ht="24" customHeight="1" x14ac:dyDescent="0.35">
      <c r="A648" s="109" t="s">
        <v>278</v>
      </c>
      <c r="B648" s="50" t="s">
        <v>255</v>
      </c>
      <c r="C648" s="50" t="s">
        <v>996</v>
      </c>
      <c r="D648" s="30" t="s">
        <v>1006</v>
      </c>
      <c r="E648" s="109">
        <v>0</v>
      </c>
      <c r="F648" s="109">
        <v>0</v>
      </c>
      <c r="G648" s="50">
        <v>138388.63099999999</v>
      </c>
      <c r="H648" s="109">
        <v>0</v>
      </c>
      <c r="I648" s="50">
        <v>138388.63099999999</v>
      </c>
      <c r="J648" s="50"/>
      <c r="K648" s="50"/>
      <c r="L648" s="36">
        <v>2021</v>
      </c>
      <c r="M648" s="50"/>
      <c r="N648" s="50"/>
    </row>
    <row r="649" spans="1:14" ht="24" customHeight="1" x14ac:dyDescent="0.35">
      <c r="A649" s="30" t="s">
        <v>282</v>
      </c>
      <c r="B649" s="50" t="s">
        <v>255</v>
      </c>
      <c r="C649" s="50" t="s">
        <v>996</v>
      </c>
      <c r="D649" s="30" t="s">
        <v>1004</v>
      </c>
      <c r="E649" s="30">
        <v>0</v>
      </c>
      <c r="F649" s="30">
        <v>0</v>
      </c>
      <c r="G649" s="30">
        <v>0</v>
      </c>
      <c r="H649" s="30">
        <v>7</v>
      </c>
      <c r="I649" s="50">
        <v>7</v>
      </c>
      <c r="J649" s="50"/>
      <c r="K649" s="50"/>
      <c r="L649" s="36">
        <v>2021</v>
      </c>
      <c r="M649" s="50"/>
      <c r="N649" s="50"/>
    </row>
    <row r="650" spans="1:14" ht="24" customHeight="1" x14ac:dyDescent="0.35">
      <c r="A650" s="30" t="s">
        <v>282</v>
      </c>
      <c r="B650" s="50" t="s">
        <v>255</v>
      </c>
      <c r="C650" s="50" t="s">
        <v>996</v>
      </c>
      <c r="D650" s="30" t="s">
        <v>1005</v>
      </c>
      <c r="E650" s="30" t="s">
        <v>929</v>
      </c>
      <c r="F650" s="30">
        <v>1</v>
      </c>
      <c r="G650" s="30">
        <v>4</v>
      </c>
      <c r="H650" s="30">
        <v>24</v>
      </c>
      <c r="I650" s="50">
        <v>29</v>
      </c>
      <c r="J650" s="50"/>
      <c r="K650" s="50"/>
      <c r="L650" s="36">
        <v>2021</v>
      </c>
      <c r="M650" s="50"/>
      <c r="N650" s="50"/>
    </row>
    <row r="651" spans="1:14" ht="24" customHeight="1" x14ac:dyDescent="0.35">
      <c r="A651" s="30" t="s">
        <v>282</v>
      </c>
      <c r="B651" s="50" t="s">
        <v>255</v>
      </c>
      <c r="C651" s="50" t="s">
        <v>993</v>
      </c>
      <c r="D651" s="30" t="s">
        <v>1004</v>
      </c>
      <c r="E651" s="30">
        <v>0</v>
      </c>
      <c r="F651" s="30">
        <v>0</v>
      </c>
      <c r="G651" s="30">
        <v>0</v>
      </c>
      <c r="H651" s="30">
        <v>0</v>
      </c>
      <c r="I651" s="50">
        <v>0</v>
      </c>
      <c r="J651" s="50"/>
      <c r="K651" s="50"/>
      <c r="L651" s="36">
        <v>2021</v>
      </c>
      <c r="M651" s="50"/>
      <c r="N651" s="50"/>
    </row>
    <row r="652" spans="1:14" ht="24" customHeight="1" x14ac:dyDescent="0.35">
      <c r="A652" s="30" t="s">
        <v>282</v>
      </c>
      <c r="B652" s="50" t="s">
        <v>255</v>
      </c>
      <c r="C652" s="50" t="s">
        <v>993</v>
      </c>
      <c r="D652" s="30" t="s">
        <v>1005</v>
      </c>
      <c r="E652" s="30">
        <v>8</v>
      </c>
      <c r="F652" s="30">
        <v>0</v>
      </c>
      <c r="G652" s="30">
        <v>0</v>
      </c>
      <c r="H652" s="30">
        <v>0</v>
      </c>
      <c r="I652" s="50">
        <v>8</v>
      </c>
      <c r="J652" s="50"/>
      <c r="K652" s="50"/>
      <c r="L652" s="36">
        <v>2021</v>
      </c>
      <c r="M652" s="50"/>
      <c r="N652" s="50"/>
    </row>
    <row r="653" spans="1:14" ht="24" customHeight="1" x14ac:dyDescent="0.35">
      <c r="A653" s="30" t="s">
        <v>282</v>
      </c>
      <c r="B653" s="50" t="s">
        <v>255</v>
      </c>
      <c r="C653" s="50" t="s">
        <v>993</v>
      </c>
      <c r="D653" s="30" t="s">
        <v>1006</v>
      </c>
      <c r="E653" s="30">
        <v>11955</v>
      </c>
      <c r="F653" s="30">
        <v>160</v>
      </c>
      <c r="G653" s="30">
        <v>0</v>
      </c>
      <c r="H653" s="30">
        <v>303</v>
      </c>
      <c r="I653" s="50">
        <v>12418</v>
      </c>
      <c r="J653" s="50"/>
      <c r="K653" s="50"/>
      <c r="L653" s="36">
        <v>2021</v>
      </c>
      <c r="M653" s="50"/>
      <c r="N653" s="50"/>
    </row>
    <row r="654" spans="1:14" ht="24" customHeight="1" x14ac:dyDescent="0.35">
      <c r="A654" s="109" t="s">
        <v>282</v>
      </c>
      <c r="B654" s="50" t="s">
        <v>255</v>
      </c>
      <c r="C654" s="50" t="s">
        <v>996</v>
      </c>
      <c r="D654" s="30" t="s">
        <v>1006</v>
      </c>
      <c r="E654" s="109">
        <v>0</v>
      </c>
      <c r="F654" s="50"/>
      <c r="G654" s="109">
        <v>200</v>
      </c>
      <c r="H654" s="109">
        <v>874</v>
      </c>
      <c r="I654" s="50">
        <v>1074</v>
      </c>
      <c r="J654" s="50"/>
      <c r="K654" s="50"/>
      <c r="L654" s="36">
        <v>2021</v>
      </c>
      <c r="M654" s="50"/>
      <c r="N654" s="50"/>
    </row>
    <row r="655" spans="1:14" ht="24" customHeight="1" x14ac:dyDescent="0.35">
      <c r="A655" s="50" t="s">
        <v>38</v>
      </c>
      <c r="B655" s="50" t="s">
        <v>41</v>
      </c>
      <c r="C655" s="50" t="s">
        <v>993</v>
      </c>
      <c r="D655" s="50" t="s">
        <v>997</v>
      </c>
      <c r="E655" s="50">
        <v>0</v>
      </c>
      <c r="F655" s="50">
        <v>0</v>
      </c>
      <c r="G655" s="50">
        <v>0</v>
      </c>
      <c r="H655" s="50">
        <v>0</v>
      </c>
      <c r="I655" s="50">
        <v>0</v>
      </c>
      <c r="J655" s="50"/>
      <c r="K655" s="50"/>
      <c r="L655" s="36">
        <v>2021</v>
      </c>
      <c r="M655" s="50"/>
      <c r="N655" s="50"/>
    </row>
    <row r="656" spans="1:14" ht="24" customHeight="1" x14ac:dyDescent="0.35">
      <c r="A656" s="50" t="s">
        <v>38</v>
      </c>
      <c r="B656" s="50" t="s">
        <v>41</v>
      </c>
      <c r="C656" s="50" t="s">
        <v>993</v>
      </c>
      <c r="D656" s="50" t="s">
        <v>994</v>
      </c>
      <c r="E656" s="50">
        <v>1</v>
      </c>
      <c r="F656" s="50">
        <v>0</v>
      </c>
      <c r="G656" s="50">
        <v>0</v>
      </c>
      <c r="H656" s="50">
        <v>0</v>
      </c>
      <c r="I656" s="50">
        <v>1</v>
      </c>
      <c r="J656" s="50"/>
      <c r="K656" s="50"/>
      <c r="L656" s="36">
        <v>2021</v>
      </c>
      <c r="M656" s="50"/>
      <c r="N656" s="50"/>
    </row>
    <row r="657" spans="1:14" ht="24" customHeight="1" x14ac:dyDescent="0.35">
      <c r="A657" s="50" t="s">
        <v>38</v>
      </c>
      <c r="B657" s="50" t="s">
        <v>41</v>
      </c>
      <c r="C657" s="50" t="s">
        <v>993</v>
      </c>
      <c r="D657" s="50" t="s">
        <v>995</v>
      </c>
      <c r="E657" s="50">
        <v>17182</v>
      </c>
      <c r="F657" s="50">
        <v>0</v>
      </c>
      <c r="G657" s="50">
        <v>0</v>
      </c>
      <c r="H657" s="50">
        <v>0</v>
      </c>
      <c r="I657" s="50">
        <v>17182</v>
      </c>
      <c r="J657" s="50"/>
      <c r="K657" s="50"/>
      <c r="L657" s="36">
        <v>2021</v>
      </c>
      <c r="M657" s="50"/>
      <c r="N657" s="50"/>
    </row>
    <row r="658" spans="1:14" ht="24" customHeight="1" x14ac:dyDescent="0.35">
      <c r="A658" s="50" t="s">
        <v>38</v>
      </c>
      <c r="B658" s="50" t="s">
        <v>41</v>
      </c>
      <c r="C658" s="50" t="s">
        <v>996</v>
      </c>
      <c r="D658" s="50" t="s">
        <v>997</v>
      </c>
      <c r="E658" s="50">
        <v>1</v>
      </c>
      <c r="F658" s="50">
        <v>0</v>
      </c>
      <c r="G658" s="50">
        <v>0</v>
      </c>
      <c r="H658" s="50">
        <v>0</v>
      </c>
      <c r="I658" s="50">
        <v>1</v>
      </c>
      <c r="J658" s="50"/>
      <c r="K658" s="50"/>
      <c r="L658" s="36">
        <v>2021</v>
      </c>
      <c r="M658" s="50"/>
      <c r="N658" s="50"/>
    </row>
    <row r="659" spans="1:14" ht="24" customHeight="1" x14ac:dyDescent="0.35">
      <c r="A659" s="50" t="s">
        <v>38</v>
      </c>
      <c r="B659" s="50" t="s">
        <v>41</v>
      </c>
      <c r="C659" s="50" t="s">
        <v>996</v>
      </c>
      <c r="D659" s="50" t="s">
        <v>994</v>
      </c>
      <c r="E659" s="50">
        <v>5</v>
      </c>
      <c r="F659" s="50">
        <v>1</v>
      </c>
      <c r="G659" s="50">
        <v>2</v>
      </c>
      <c r="H659" s="50">
        <v>0</v>
      </c>
      <c r="I659" s="50">
        <v>8</v>
      </c>
      <c r="J659" s="50"/>
      <c r="K659" s="50"/>
      <c r="L659" s="36">
        <v>2021</v>
      </c>
      <c r="M659" s="50"/>
      <c r="N659" s="50"/>
    </row>
    <row r="660" spans="1:14" ht="24" customHeight="1" x14ac:dyDescent="0.35">
      <c r="A660" s="50" t="s">
        <v>38</v>
      </c>
      <c r="B660" s="50" t="s">
        <v>41</v>
      </c>
      <c r="C660" s="50" t="s">
        <v>996</v>
      </c>
      <c r="D660" s="50" t="s">
        <v>995</v>
      </c>
      <c r="E660" s="50">
        <v>144674</v>
      </c>
      <c r="F660" s="50">
        <v>2817</v>
      </c>
      <c r="G660" s="50">
        <v>8874</v>
      </c>
      <c r="H660" s="50">
        <v>0</v>
      </c>
      <c r="I660" s="50">
        <v>156365</v>
      </c>
      <c r="J660" s="50"/>
      <c r="K660" s="50"/>
      <c r="L660" s="36">
        <v>2021</v>
      </c>
      <c r="M660" s="50"/>
      <c r="N660" s="50"/>
    </row>
    <row r="661" spans="1:14" ht="24" customHeight="1" x14ac:dyDescent="0.35">
      <c r="A661" s="30" t="s">
        <v>151</v>
      </c>
      <c r="B661" s="50" t="s">
        <v>46</v>
      </c>
      <c r="C661" s="50" t="s">
        <v>996</v>
      </c>
      <c r="D661" s="30" t="s">
        <v>1004</v>
      </c>
      <c r="E661" s="30">
        <v>0</v>
      </c>
      <c r="F661" s="30">
        <v>0</v>
      </c>
      <c r="G661" s="30">
        <v>0</v>
      </c>
      <c r="H661" s="30">
        <v>3</v>
      </c>
      <c r="I661" s="50">
        <v>3</v>
      </c>
      <c r="J661" s="50"/>
      <c r="K661" s="50"/>
      <c r="L661" s="36">
        <v>2021</v>
      </c>
      <c r="M661" s="50"/>
      <c r="N661" s="50"/>
    </row>
    <row r="662" spans="1:14" ht="24" customHeight="1" x14ac:dyDescent="0.35">
      <c r="A662" s="30" t="s">
        <v>151</v>
      </c>
      <c r="B662" s="50" t="s">
        <v>46</v>
      </c>
      <c r="C662" s="50" t="s">
        <v>996</v>
      </c>
      <c r="D662" s="30" t="s">
        <v>1005</v>
      </c>
      <c r="E662" s="30">
        <v>0</v>
      </c>
      <c r="F662" s="30">
        <v>0</v>
      </c>
      <c r="G662" s="30">
        <v>0</v>
      </c>
      <c r="H662" s="30">
        <v>46</v>
      </c>
      <c r="I662" s="50">
        <v>46</v>
      </c>
      <c r="J662" s="50"/>
      <c r="K662" s="50"/>
      <c r="L662" s="36">
        <v>2021</v>
      </c>
      <c r="M662" s="50"/>
      <c r="N662" s="50"/>
    </row>
    <row r="663" spans="1:14" ht="24" customHeight="1" x14ac:dyDescent="0.35">
      <c r="A663" s="30" t="s">
        <v>151</v>
      </c>
      <c r="B663" s="50" t="s">
        <v>46</v>
      </c>
      <c r="C663" s="50" t="s">
        <v>993</v>
      </c>
      <c r="D663" s="30" t="s">
        <v>1004</v>
      </c>
      <c r="E663" s="30">
        <v>0</v>
      </c>
      <c r="F663" s="30">
        <v>0</v>
      </c>
      <c r="G663" s="30">
        <v>0</v>
      </c>
      <c r="H663" s="30">
        <v>0</v>
      </c>
      <c r="I663" s="50">
        <v>0</v>
      </c>
      <c r="J663" s="50"/>
      <c r="K663" s="50"/>
      <c r="L663" s="36">
        <v>2021</v>
      </c>
      <c r="M663" s="50"/>
      <c r="N663" s="50"/>
    </row>
    <row r="664" spans="1:14" ht="24" customHeight="1" x14ac:dyDescent="0.35">
      <c r="A664" s="30" t="s">
        <v>151</v>
      </c>
      <c r="B664" s="50" t="s">
        <v>46</v>
      </c>
      <c r="C664" s="50" t="s">
        <v>993</v>
      </c>
      <c r="D664" s="30" t="s">
        <v>1005</v>
      </c>
      <c r="E664" s="30">
        <v>9</v>
      </c>
      <c r="F664" s="30">
        <v>0</v>
      </c>
      <c r="G664" s="30">
        <v>0</v>
      </c>
      <c r="H664" s="30">
        <v>0</v>
      </c>
      <c r="I664" s="50">
        <v>9</v>
      </c>
      <c r="J664" s="50"/>
      <c r="K664" s="50"/>
      <c r="L664" s="36">
        <v>2021</v>
      </c>
      <c r="M664" s="50"/>
      <c r="N664" s="50"/>
    </row>
    <row r="665" spans="1:14" ht="24" customHeight="1" x14ac:dyDescent="0.35">
      <c r="A665" s="30" t="s">
        <v>151</v>
      </c>
      <c r="B665" s="50" t="s">
        <v>46</v>
      </c>
      <c r="C665" s="50" t="s">
        <v>993</v>
      </c>
      <c r="D665" s="30" t="s">
        <v>1006</v>
      </c>
      <c r="E665" s="30">
        <v>54180</v>
      </c>
      <c r="F665" s="30">
        <v>0</v>
      </c>
      <c r="G665" s="30">
        <v>0</v>
      </c>
      <c r="H665" s="30">
        <v>0</v>
      </c>
      <c r="I665" s="50">
        <v>54180</v>
      </c>
      <c r="J665" s="50"/>
      <c r="K665" s="50"/>
      <c r="L665" s="36">
        <v>2021</v>
      </c>
      <c r="M665" s="50"/>
      <c r="N665" s="50"/>
    </row>
    <row r="666" spans="1:14" ht="24" customHeight="1" x14ac:dyDescent="0.35">
      <c r="A666" s="109" t="s">
        <v>151</v>
      </c>
      <c r="B666" s="50" t="s">
        <v>46</v>
      </c>
      <c r="C666" s="50" t="s">
        <v>996</v>
      </c>
      <c r="D666" s="30" t="s">
        <v>1006</v>
      </c>
      <c r="E666" s="109">
        <v>0</v>
      </c>
      <c r="F666" s="109">
        <v>0</v>
      </c>
      <c r="G666" s="50"/>
      <c r="H666" s="109">
        <v>116899</v>
      </c>
      <c r="I666" s="50">
        <v>116899</v>
      </c>
      <c r="J666" s="50"/>
      <c r="K666" s="50"/>
      <c r="L666" s="36">
        <v>2021</v>
      </c>
      <c r="M666" s="50"/>
      <c r="N666" s="50"/>
    </row>
    <row r="667" spans="1:14" ht="24" customHeight="1" x14ac:dyDescent="0.35">
      <c r="A667" s="30" t="s">
        <v>292</v>
      </c>
      <c r="B667" s="50" t="s">
        <v>255</v>
      </c>
      <c r="C667" s="50" t="s">
        <v>996</v>
      </c>
      <c r="D667" s="30" t="s">
        <v>1004</v>
      </c>
      <c r="E667" s="30">
        <v>1</v>
      </c>
      <c r="F667" s="30">
        <v>2</v>
      </c>
      <c r="G667" s="30">
        <v>2</v>
      </c>
      <c r="H667" s="30">
        <v>12</v>
      </c>
      <c r="I667" s="50">
        <v>17</v>
      </c>
      <c r="J667" s="50"/>
      <c r="K667" s="50"/>
      <c r="L667" s="36">
        <v>2021</v>
      </c>
      <c r="M667" s="50"/>
      <c r="N667" s="50"/>
    </row>
    <row r="668" spans="1:14" ht="24" customHeight="1" x14ac:dyDescent="0.35">
      <c r="A668" s="30" t="s">
        <v>292</v>
      </c>
      <c r="B668" s="50" t="s">
        <v>255</v>
      </c>
      <c r="C668" s="50" t="s">
        <v>996</v>
      </c>
      <c r="D668" s="30" t="s">
        <v>1005</v>
      </c>
      <c r="E668" s="30">
        <v>2</v>
      </c>
      <c r="F668" s="30">
        <v>2</v>
      </c>
      <c r="G668" s="30">
        <v>18</v>
      </c>
      <c r="H668" s="30">
        <v>72</v>
      </c>
      <c r="I668" s="50">
        <v>94</v>
      </c>
      <c r="J668" s="50"/>
      <c r="K668" s="50"/>
      <c r="L668" s="36">
        <v>2021</v>
      </c>
      <c r="M668" s="50"/>
      <c r="N668" s="50"/>
    </row>
    <row r="669" spans="1:14" ht="24" customHeight="1" x14ac:dyDescent="0.35">
      <c r="A669" s="30" t="s">
        <v>292</v>
      </c>
      <c r="B669" s="50" t="s">
        <v>255</v>
      </c>
      <c r="C669" s="50" t="s">
        <v>993</v>
      </c>
      <c r="D669" s="30" t="s">
        <v>1004</v>
      </c>
      <c r="E669" s="30">
        <v>0</v>
      </c>
      <c r="F669" s="30">
        <v>0</v>
      </c>
      <c r="G669" s="30">
        <v>0</v>
      </c>
      <c r="H669" s="30">
        <v>0</v>
      </c>
      <c r="I669" s="50">
        <v>0</v>
      </c>
      <c r="J669" s="50"/>
      <c r="K669" s="50"/>
      <c r="L669" s="36">
        <v>2021</v>
      </c>
      <c r="M669" s="50"/>
      <c r="N669" s="50"/>
    </row>
    <row r="670" spans="1:14" ht="24" customHeight="1" x14ac:dyDescent="0.35">
      <c r="A670" s="30" t="s">
        <v>292</v>
      </c>
      <c r="B670" s="50" t="s">
        <v>255</v>
      </c>
      <c r="C670" s="50" t="s">
        <v>993</v>
      </c>
      <c r="D670" s="30" t="s">
        <v>1005</v>
      </c>
      <c r="E670" s="30">
        <v>4</v>
      </c>
      <c r="F670" s="30">
        <v>0</v>
      </c>
      <c r="G670" s="30">
        <v>0</v>
      </c>
      <c r="H670" s="30">
        <v>0</v>
      </c>
      <c r="I670" s="50">
        <v>4</v>
      </c>
      <c r="J670" s="50"/>
      <c r="K670" s="50"/>
      <c r="L670" s="36">
        <v>2021</v>
      </c>
      <c r="M670" s="50"/>
      <c r="N670" s="50"/>
    </row>
    <row r="671" spans="1:14" ht="24" customHeight="1" x14ac:dyDescent="0.35">
      <c r="A671" s="30" t="s">
        <v>292</v>
      </c>
      <c r="B671" s="50" t="s">
        <v>255</v>
      </c>
      <c r="C671" s="50" t="s">
        <v>993</v>
      </c>
      <c r="D671" s="30" t="s">
        <v>1006</v>
      </c>
      <c r="E671" s="30">
        <v>111640</v>
      </c>
      <c r="F671" s="30">
        <v>0</v>
      </c>
      <c r="G671" s="30">
        <v>0</v>
      </c>
      <c r="H671" s="30">
        <v>0</v>
      </c>
      <c r="I671" s="50">
        <v>111640</v>
      </c>
      <c r="J671" s="50"/>
      <c r="K671" s="50"/>
      <c r="L671" s="36">
        <v>2021</v>
      </c>
      <c r="M671" s="50"/>
      <c r="N671" s="50"/>
    </row>
    <row r="672" spans="1:14" ht="24" customHeight="1" x14ac:dyDescent="0.35">
      <c r="A672" s="109" t="s">
        <v>292</v>
      </c>
      <c r="B672" s="50" t="s">
        <v>255</v>
      </c>
      <c r="C672" s="50" t="s">
        <v>996</v>
      </c>
      <c r="D672" s="30" t="s">
        <v>1006</v>
      </c>
      <c r="E672" s="109">
        <v>58127</v>
      </c>
      <c r="F672" s="109">
        <v>19990</v>
      </c>
      <c r="G672" s="109"/>
      <c r="H672" s="109">
        <v>111760</v>
      </c>
      <c r="I672" s="50">
        <v>189877</v>
      </c>
      <c r="J672" s="50"/>
      <c r="K672" s="50"/>
      <c r="L672" s="36">
        <v>2021</v>
      </c>
      <c r="M672" s="50"/>
      <c r="N672" s="50"/>
    </row>
    <row r="673" spans="1:14" ht="24" customHeight="1" x14ac:dyDescent="0.35">
      <c r="A673" s="30" t="s">
        <v>459</v>
      </c>
      <c r="B673" s="50" t="s">
        <v>255</v>
      </c>
      <c r="C673" s="50" t="s">
        <v>996</v>
      </c>
      <c r="D673" s="30" t="s">
        <v>1004</v>
      </c>
      <c r="E673" s="30">
        <v>0</v>
      </c>
      <c r="F673" s="30">
        <v>0</v>
      </c>
      <c r="G673" s="30">
        <v>0</v>
      </c>
      <c r="H673" s="30">
        <v>0</v>
      </c>
      <c r="I673" s="50">
        <v>0</v>
      </c>
      <c r="J673" s="50"/>
      <c r="K673" s="50"/>
      <c r="L673" s="36">
        <v>2021</v>
      </c>
      <c r="M673" s="50"/>
      <c r="N673" s="50"/>
    </row>
    <row r="674" spans="1:14" ht="24" customHeight="1" x14ac:dyDescent="0.35">
      <c r="A674" s="30" t="s">
        <v>459</v>
      </c>
      <c r="B674" s="50" t="s">
        <v>255</v>
      </c>
      <c r="C674" s="50" t="s">
        <v>996</v>
      </c>
      <c r="D674" s="30" t="s">
        <v>1005</v>
      </c>
      <c r="E674" s="30">
        <v>1</v>
      </c>
      <c r="F674" s="30">
        <v>0</v>
      </c>
      <c r="G674" s="30">
        <v>0</v>
      </c>
      <c r="H674" s="30">
        <v>0</v>
      </c>
      <c r="I674" s="50">
        <v>1</v>
      </c>
      <c r="J674" s="50"/>
      <c r="K674" s="50"/>
      <c r="L674" s="36">
        <v>2021</v>
      </c>
      <c r="M674" s="50"/>
      <c r="N674" s="50"/>
    </row>
    <row r="675" spans="1:14" ht="24" customHeight="1" x14ac:dyDescent="0.35">
      <c r="A675" s="30" t="s">
        <v>459</v>
      </c>
      <c r="B675" s="50" t="s">
        <v>255</v>
      </c>
      <c r="C675" s="50" t="s">
        <v>993</v>
      </c>
      <c r="D675" s="30" t="s">
        <v>1004</v>
      </c>
      <c r="E675" s="30">
        <v>0</v>
      </c>
      <c r="F675" s="30">
        <v>0</v>
      </c>
      <c r="G675" s="30">
        <v>0</v>
      </c>
      <c r="H675" s="30">
        <v>0</v>
      </c>
      <c r="I675" s="50">
        <v>0</v>
      </c>
      <c r="J675" s="50"/>
      <c r="K675" s="50"/>
      <c r="L675" s="36">
        <v>2021</v>
      </c>
      <c r="M675" s="50"/>
      <c r="N675" s="50"/>
    </row>
    <row r="676" spans="1:14" ht="24" customHeight="1" x14ac:dyDescent="0.35">
      <c r="A676" s="30" t="s">
        <v>459</v>
      </c>
      <c r="B676" s="50" t="s">
        <v>255</v>
      </c>
      <c r="C676" s="50" t="s">
        <v>993</v>
      </c>
      <c r="D676" s="30" t="s">
        <v>1005</v>
      </c>
      <c r="E676" s="30">
        <v>0</v>
      </c>
      <c r="F676" s="30">
        <v>0</v>
      </c>
      <c r="G676" s="30">
        <v>0</v>
      </c>
      <c r="H676" s="30">
        <v>0</v>
      </c>
      <c r="I676" s="50">
        <v>0</v>
      </c>
      <c r="J676" s="50"/>
      <c r="K676" s="50"/>
      <c r="L676" s="36">
        <v>2021</v>
      </c>
      <c r="M676" s="50"/>
      <c r="N676" s="50"/>
    </row>
    <row r="677" spans="1:14" ht="24" customHeight="1" x14ac:dyDescent="0.35">
      <c r="A677" s="30" t="s">
        <v>459</v>
      </c>
      <c r="B677" s="50" t="s">
        <v>255</v>
      </c>
      <c r="C677" s="50" t="s">
        <v>993</v>
      </c>
      <c r="D677" s="30" t="s">
        <v>1006</v>
      </c>
      <c r="E677" s="30">
        <v>0</v>
      </c>
      <c r="F677" s="30">
        <v>0</v>
      </c>
      <c r="G677" s="30">
        <v>0</v>
      </c>
      <c r="H677" s="30">
        <v>0</v>
      </c>
      <c r="I677" s="50">
        <v>0</v>
      </c>
      <c r="J677" s="50"/>
      <c r="K677" s="50"/>
      <c r="L677" s="36">
        <v>2021</v>
      </c>
      <c r="M677" s="50"/>
      <c r="N677" s="50"/>
    </row>
    <row r="678" spans="1:14" ht="24" customHeight="1" x14ac:dyDescent="0.35">
      <c r="A678" s="109" t="s">
        <v>459</v>
      </c>
      <c r="B678" s="50" t="s">
        <v>255</v>
      </c>
      <c r="C678" s="50" t="s">
        <v>996</v>
      </c>
      <c r="D678" s="30" t="s">
        <v>1006</v>
      </c>
      <c r="E678" s="109">
        <v>6000</v>
      </c>
      <c r="F678" s="109">
        <v>0</v>
      </c>
      <c r="G678" s="109">
        <v>0</v>
      </c>
      <c r="H678" s="50"/>
      <c r="I678" s="50">
        <v>6000</v>
      </c>
      <c r="J678" s="50"/>
      <c r="K678" s="50"/>
      <c r="L678" s="36">
        <v>2021</v>
      </c>
      <c r="M678" s="50"/>
      <c r="N678" s="50"/>
    </row>
    <row r="679" spans="1:14" ht="24" customHeight="1" x14ac:dyDescent="0.35">
      <c r="A679" s="30" t="s">
        <v>463</v>
      </c>
      <c r="B679" s="50" t="s">
        <v>87</v>
      </c>
      <c r="C679" s="50" t="s">
        <v>996</v>
      </c>
      <c r="D679" s="30" t="s">
        <v>1004</v>
      </c>
      <c r="E679" s="30">
        <v>0</v>
      </c>
      <c r="F679" s="30">
        <v>0</v>
      </c>
      <c r="G679" s="30">
        <v>0</v>
      </c>
      <c r="H679" s="30">
        <v>0</v>
      </c>
      <c r="I679" s="50">
        <v>0</v>
      </c>
      <c r="J679" s="50"/>
      <c r="K679" s="50"/>
      <c r="L679" s="36">
        <v>2021</v>
      </c>
      <c r="M679" s="50"/>
      <c r="N679" s="50"/>
    </row>
    <row r="680" spans="1:14" ht="24" customHeight="1" x14ac:dyDescent="0.35">
      <c r="A680" s="30" t="s">
        <v>463</v>
      </c>
      <c r="B680" s="50" t="s">
        <v>87</v>
      </c>
      <c r="C680" s="50" t="s">
        <v>996</v>
      </c>
      <c r="D680" s="30" t="s">
        <v>1005</v>
      </c>
      <c r="E680" s="30">
        <v>0</v>
      </c>
      <c r="F680" s="30">
        <v>0</v>
      </c>
      <c r="G680" s="30">
        <v>0</v>
      </c>
      <c r="H680" s="30">
        <v>0</v>
      </c>
      <c r="I680" s="50">
        <v>0</v>
      </c>
      <c r="J680" s="50"/>
      <c r="K680" s="50"/>
      <c r="L680" s="36">
        <v>2021</v>
      </c>
      <c r="M680" s="50"/>
      <c r="N680" s="50"/>
    </row>
    <row r="681" spans="1:14" ht="24" customHeight="1" x14ac:dyDescent="0.35">
      <c r="A681" s="30" t="s">
        <v>463</v>
      </c>
      <c r="B681" s="50" t="s">
        <v>87</v>
      </c>
      <c r="C681" s="50" t="s">
        <v>993</v>
      </c>
      <c r="D681" s="30" t="s">
        <v>1004</v>
      </c>
      <c r="E681" s="30">
        <v>0</v>
      </c>
      <c r="F681" s="30">
        <v>0</v>
      </c>
      <c r="G681" s="30">
        <v>0</v>
      </c>
      <c r="H681" s="30">
        <v>0</v>
      </c>
      <c r="I681" s="50">
        <v>0</v>
      </c>
      <c r="J681" s="50"/>
      <c r="K681" s="50"/>
      <c r="L681" s="36">
        <v>2021</v>
      </c>
      <c r="M681" s="50"/>
      <c r="N681" s="50"/>
    </row>
    <row r="682" spans="1:14" ht="24" customHeight="1" x14ac:dyDescent="0.35">
      <c r="A682" s="30" t="s">
        <v>463</v>
      </c>
      <c r="B682" s="50" t="s">
        <v>87</v>
      </c>
      <c r="C682" s="50" t="s">
        <v>993</v>
      </c>
      <c r="D682" s="30" t="s">
        <v>1005</v>
      </c>
      <c r="E682" s="30">
        <v>0</v>
      </c>
      <c r="F682" s="30">
        <v>0</v>
      </c>
      <c r="G682" s="30">
        <v>0</v>
      </c>
      <c r="H682" s="30">
        <v>0</v>
      </c>
      <c r="I682" s="50">
        <v>0</v>
      </c>
      <c r="J682" s="50"/>
      <c r="K682" s="50"/>
      <c r="L682" s="36">
        <v>2021</v>
      </c>
      <c r="M682" s="50"/>
      <c r="N682" s="50"/>
    </row>
    <row r="683" spans="1:14" ht="24" customHeight="1" x14ac:dyDescent="0.35">
      <c r="A683" s="30" t="s">
        <v>463</v>
      </c>
      <c r="B683" s="50" t="s">
        <v>87</v>
      </c>
      <c r="C683" s="50" t="s">
        <v>993</v>
      </c>
      <c r="D683" s="30" t="s">
        <v>1006</v>
      </c>
      <c r="E683" s="30">
        <v>0</v>
      </c>
      <c r="F683" s="30">
        <v>0</v>
      </c>
      <c r="G683" s="30">
        <v>0</v>
      </c>
      <c r="H683" s="30">
        <v>0</v>
      </c>
      <c r="I683" s="50">
        <v>0</v>
      </c>
      <c r="J683" s="50"/>
      <c r="K683" s="50"/>
      <c r="L683" s="36">
        <v>2021</v>
      </c>
      <c r="M683" s="50"/>
      <c r="N683" s="50"/>
    </row>
    <row r="684" spans="1:14" ht="24" customHeight="1" x14ac:dyDescent="0.35">
      <c r="A684" s="109" t="s">
        <v>463</v>
      </c>
      <c r="B684" s="50" t="s">
        <v>87</v>
      </c>
      <c r="C684" s="50" t="s">
        <v>996</v>
      </c>
      <c r="D684" s="30" t="s">
        <v>1006</v>
      </c>
      <c r="E684" s="109">
        <v>0</v>
      </c>
      <c r="F684" s="109">
        <v>0</v>
      </c>
      <c r="G684" s="109">
        <v>0</v>
      </c>
      <c r="H684" s="109">
        <v>0</v>
      </c>
      <c r="I684" s="50">
        <v>0</v>
      </c>
      <c r="J684" s="50"/>
      <c r="K684" s="50"/>
      <c r="L684" s="36">
        <v>2021</v>
      </c>
      <c r="M684" s="50"/>
      <c r="N684" s="50"/>
    </row>
    <row r="685" spans="1:14" ht="24" customHeight="1" x14ac:dyDescent="0.35">
      <c r="A685" s="30" t="s">
        <v>300</v>
      </c>
      <c r="B685" s="50" t="s">
        <v>41</v>
      </c>
      <c r="C685" s="50" t="s">
        <v>996</v>
      </c>
      <c r="D685" s="30" t="s">
        <v>1004</v>
      </c>
      <c r="E685" s="30">
        <v>13</v>
      </c>
      <c r="F685" s="30">
        <v>46</v>
      </c>
      <c r="G685" s="30">
        <v>24</v>
      </c>
      <c r="H685" s="30">
        <v>3</v>
      </c>
      <c r="I685" s="50">
        <v>86</v>
      </c>
      <c r="J685" s="50"/>
      <c r="K685" s="50"/>
      <c r="L685" s="36">
        <v>2021</v>
      </c>
      <c r="M685" s="50"/>
      <c r="N685" s="50"/>
    </row>
    <row r="686" spans="1:14" ht="24" customHeight="1" x14ac:dyDescent="0.35">
      <c r="A686" s="30" t="s">
        <v>300</v>
      </c>
      <c r="B686" s="50" t="s">
        <v>41</v>
      </c>
      <c r="C686" s="50" t="s">
        <v>996</v>
      </c>
      <c r="D686" s="30" t="s">
        <v>1005</v>
      </c>
      <c r="E686" s="30">
        <v>121</v>
      </c>
      <c r="F686" s="30">
        <v>229</v>
      </c>
      <c r="G686" s="30">
        <v>449</v>
      </c>
      <c r="H686" s="30">
        <v>17</v>
      </c>
      <c r="I686" s="50">
        <v>816</v>
      </c>
      <c r="J686" s="50"/>
      <c r="K686" s="50"/>
      <c r="L686" s="36">
        <v>2021</v>
      </c>
      <c r="M686" s="50"/>
      <c r="N686" s="50"/>
    </row>
    <row r="687" spans="1:14" ht="24" customHeight="1" x14ac:dyDescent="0.35">
      <c r="A687" s="30" t="s">
        <v>300</v>
      </c>
      <c r="B687" s="50" t="s">
        <v>41</v>
      </c>
      <c r="C687" s="50" t="s">
        <v>993</v>
      </c>
      <c r="D687" s="30" t="s">
        <v>1004</v>
      </c>
      <c r="E687" s="30">
        <v>1</v>
      </c>
      <c r="F687" s="30">
        <v>0</v>
      </c>
      <c r="G687" s="30">
        <v>0</v>
      </c>
      <c r="H687" s="30">
        <v>0</v>
      </c>
      <c r="I687" s="50">
        <v>1</v>
      </c>
      <c r="J687" s="50"/>
      <c r="K687" s="50"/>
      <c r="L687" s="36">
        <v>2021</v>
      </c>
      <c r="M687" s="50"/>
      <c r="N687" s="50"/>
    </row>
    <row r="688" spans="1:14" ht="24" customHeight="1" x14ac:dyDescent="0.35">
      <c r="A688" s="30" t="s">
        <v>300</v>
      </c>
      <c r="B688" s="50" t="s">
        <v>41</v>
      </c>
      <c r="C688" s="50" t="s">
        <v>993</v>
      </c>
      <c r="D688" s="30" t="s">
        <v>1005</v>
      </c>
      <c r="E688" s="30">
        <v>18</v>
      </c>
      <c r="F688" s="30">
        <v>0</v>
      </c>
      <c r="G688" s="30">
        <v>0</v>
      </c>
      <c r="H688" s="30">
        <v>0</v>
      </c>
      <c r="I688" s="50">
        <v>18</v>
      </c>
      <c r="J688" s="50"/>
      <c r="K688" s="50"/>
      <c r="L688" s="36">
        <v>2021</v>
      </c>
      <c r="M688" s="50"/>
      <c r="N688" s="50"/>
    </row>
    <row r="689" spans="1:14" ht="24" customHeight="1" x14ac:dyDescent="0.35">
      <c r="A689" s="30" t="s">
        <v>300</v>
      </c>
      <c r="B689" s="50" t="s">
        <v>41</v>
      </c>
      <c r="C689" s="50" t="s">
        <v>993</v>
      </c>
      <c r="D689" s="30" t="s">
        <v>1006</v>
      </c>
      <c r="E689" s="30">
        <v>319525</v>
      </c>
      <c r="F689" s="30">
        <v>0</v>
      </c>
      <c r="G689" s="30">
        <v>0</v>
      </c>
      <c r="H689" s="30">
        <v>0</v>
      </c>
      <c r="I689" s="50">
        <v>319525</v>
      </c>
      <c r="J689" s="50"/>
      <c r="K689" s="50"/>
      <c r="L689" s="36">
        <v>2021</v>
      </c>
      <c r="M689" s="50"/>
      <c r="N689" s="50"/>
    </row>
    <row r="690" spans="1:14" ht="24" customHeight="1" x14ac:dyDescent="0.35">
      <c r="A690" s="109" t="s">
        <v>300</v>
      </c>
      <c r="B690" s="50" t="s">
        <v>41</v>
      </c>
      <c r="C690" s="50" t="s">
        <v>996</v>
      </c>
      <c r="D690" s="30" t="s">
        <v>1006</v>
      </c>
      <c r="E690" s="109">
        <v>3906993</v>
      </c>
      <c r="F690" s="109">
        <v>1356821</v>
      </c>
      <c r="G690" s="109">
        <v>1085874</v>
      </c>
      <c r="H690" s="109">
        <v>33245</v>
      </c>
      <c r="I690" s="50">
        <v>6382933</v>
      </c>
      <c r="J690" s="50"/>
      <c r="K690" s="50"/>
      <c r="L690" s="36">
        <v>2021</v>
      </c>
      <c r="M690" s="50"/>
      <c r="N690" s="50"/>
    </row>
    <row r="691" spans="1:14" ht="24" customHeight="1" x14ac:dyDescent="0.35">
      <c r="A691" s="30" t="s">
        <v>470</v>
      </c>
      <c r="B691" s="50" t="s">
        <v>46</v>
      </c>
      <c r="C691" s="50" t="s">
        <v>996</v>
      </c>
      <c r="D691" s="30" t="s">
        <v>1004</v>
      </c>
      <c r="E691" s="30">
        <v>0</v>
      </c>
      <c r="F691" s="30">
        <v>1</v>
      </c>
      <c r="G691" s="30">
        <v>9</v>
      </c>
      <c r="H691" s="30">
        <v>10</v>
      </c>
      <c r="I691" s="50">
        <v>20</v>
      </c>
      <c r="J691" s="50"/>
      <c r="K691" s="50"/>
      <c r="L691" s="36">
        <v>2021</v>
      </c>
      <c r="M691" s="50"/>
      <c r="N691" s="50"/>
    </row>
    <row r="692" spans="1:14" ht="24" customHeight="1" x14ac:dyDescent="0.35">
      <c r="A692" s="30" t="s">
        <v>470</v>
      </c>
      <c r="B692" s="50" t="s">
        <v>46</v>
      </c>
      <c r="C692" s="50" t="s">
        <v>996</v>
      </c>
      <c r="D692" s="30" t="s">
        <v>1005</v>
      </c>
      <c r="E692" s="30">
        <v>1</v>
      </c>
      <c r="F692" s="30">
        <v>9</v>
      </c>
      <c r="G692" s="30">
        <v>201</v>
      </c>
      <c r="H692" s="30">
        <v>483</v>
      </c>
      <c r="I692" s="50">
        <v>694</v>
      </c>
      <c r="J692" s="50"/>
      <c r="K692" s="50"/>
      <c r="L692" s="36">
        <v>2021</v>
      </c>
      <c r="M692" s="50"/>
      <c r="N692" s="50"/>
    </row>
    <row r="693" spans="1:14" ht="24" customHeight="1" x14ac:dyDescent="0.35">
      <c r="A693" s="30" t="s">
        <v>470</v>
      </c>
      <c r="B693" s="50" t="s">
        <v>46</v>
      </c>
      <c r="C693" s="50" t="s">
        <v>993</v>
      </c>
      <c r="D693" s="30" t="s">
        <v>1004</v>
      </c>
      <c r="E693" s="30">
        <v>0</v>
      </c>
      <c r="F693" s="30">
        <v>0</v>
      </c>
      <c r="G693" s="30">
        <v>0</v>
      </c>
      <c r="H693" s="30">
        <v>0</v>
      </c>
      <c r="I693" s="50">
        <v>0</v>
      </c>
      <c r="J693" s="50"/>
      <c r="K693" s="50"/>
      <c r="L693" s="36">
        <v>2021</v>
      </c>
      <c r="M693" s="50"/>
      <c r="N693" s="50"/>
    </row>
    <row r="694" spans="1:14" ht="24" customHeight="1" x14ac:dyDescent="0.35">
      <c r="A694" s="30" t="s">
        <v>470</v>
      </c>
      <c r="B694" s="50" t="s">
        <v>46</v>
      </c>
      <c r="C694" s="50" t="s">
        <v>993</v>
      </c>
      <c r="D694" s="30" t="s">
        <v>1005</v>
      </c>
      <c r="E694" s="30">
        <v>0</v>
      </c>
      <c r="F694" s="30">
        <v>4</v>
      </c>
      <c r="G694" s="30">
        <v>4</v>
      </c>
      <c r="H694" s="30">
        <v>7</v>
      </c>
      <c r="I694" s="50">
        <v>15</v>
      </c>
      <c r="J694" s="50"/>
      <c r="K694" s="50"/>
      <c r="L694" s="36">
        <v>2021</v>
      </c>
      <c r="M694" s="50"/>
      <c r="N694" s="50"/>
    </row>
    <row r="695" spans="1:14" ht="24" customHeight="1" x14ac:dyDescent="0.35">
      <c r="A695" s="30" t="s">
        <v>470</v>
      </c>
      <c r="B695" s="50" t="s">
        <v>46</v>
      </c>
      <c r="C695" s="50" t="s">
        <v>993</v>
      </c>
      <c r="D695" s="30" t="s">
        <v>1006</v>
      </c>
      <c r="E695" s="30">
        <v>0</v>
      </c>
      <c r="F695" s="30">
        <v>124615</v>
      </c>
      <c r="G695" s="30">
        <v>20562</v>
      </c>
      <c r="H695" s="30">
        <v>22485</v>
      </c>
      <c r="I695" s="50">
        <v>167662</v>
      </c>
      <c r="J695" s="50"/>
      <c r="K695" s="50"/>
      <c r="L695" s="36">
        <v>2021</v>
      </c>
      <c r="M695" s="50"/>
      <c r="N695" s="50"/>
    </row>
    <row r="696" spans="1:14" ht="24" customHeight="1" x14ac:dyDescent="0.35">
      <c r="A696" s="109" t="s">
        <v>470</v>
      </c>
      <c r="B696" s="50" t="s">
        <v>46</v>
      </c>
      <c r="C696" s="50" t="s">
        <v>996</v>
      </c>
      <c r="D696" s="30" t="s">
        <v>1006</v>
      </c>
      <c r="E696" s="109">
        <v>54351</v>
      </c>
      <c r="F696" s="109">
        <v>164501</v>
      </c>
      <c r="G696" s="109">
        <v>771795</v>
      </c>
      <c r="H696" s="109">
        <v>769032</v>
      </c>
      <c r="I696" s="50">
        <v>1759679</v>
      </c>
      <c r="J696" s="50"/>
      <c r="K696" s="50"/>
      <c r="L696" s="36">
        <v>2021</v>
      </c>
      <c r="M696" s="50"/>
      <c r="N696" s="50"/>
    </row>
    <row r="697" spans="1:14" ht="24" customHeight="1" x14ac:dyDescent="0.35">
      <c r="A697" s="30" t="s">
        <v>479</v>
      </c>
      <c r="B697" s="50" t="s">
        <v>255</v>
      </c>
      <c r="C697" s="50" t="s">
        <v>996</v>
      </c>
      <c r="D697" s="30" t="s">
        <v>1004</v>
      </c>
      <c r="E697" s="30">
        <v>0</v>
      </c>
      <c r="F697" s="30">
        <v>0</v>
      </c>
      <c r="G697" s="30">
        <v>0</v>
      </c>
      <c r="H697" s="30">
        <v>0</v>
      </c>
      <c r="I697" s="50">
        <v>0</v>
      </c>
      <c r="J697" s="50"/>
      <c r="K697" s="50"/>
      <c r="L697" s="36">
        <v>2021</v>
      </c>
      <c r="M697" s="50"/>
      <c r="N697" s="50"/>
    </row>
    <row r="698" spans="1:14" ht="24" customHeight="1" x14ac:dyDescent="0.35">
      <c r="A698" s="30" t="s">
        <v>479</v>
      </c>
      <c r="B698" s="50" t="s">
        <v>255</v>
      </c>
      <c r="C698" s="50" t="s">
        <v>996</v>
      </c>
      <c r="D698" s="30" t="s">
        <v>1005</v>
      </c>
      <c r="E698" s="30">
        <v>2</v>
      </c>
      <c r="F698" s="30">
        <v>2</v>
      </c>
      <c r="G698" s="30">
        <v>0</v>
      </c>
      <c r="H698" s="30">
        <v>5</v>
      </c>
      <c r="I698" s="50">
        <v>9</v>
      </c>
      <c r="J698" s="50"/>
      <c r="K698" s="50"/>
      <c r="L698" s="36">
        <v>2021</v>
      </c>
      <c r="M698" s="50"/>
      <c r="N698" s="50"/>
    </row>
    <row r="699" spans="1:14" ht="24" customHeight="1" x14ac:dyDescent="0.35">
      <c r="A699" s="30" t="s">
        <v>479</v>
      </c>
      <c r="B699" s="50" t="s">
        <v>255</v>
      </c>
      <c r="C699" s="50" t="s">
        <v>993</v>
      </c>
      <c r="D699" s="30" t="s">
        <v>1004</v>
      </c>
      <c r="E699" s="30">
        <v>1</v>
      </c>
      <c r="F699" s="30">
        <v>0</v>
      </c>
      <c r="G699" s="30">
        <v>0</v>
      </c>
      <c r="H699" s="30">
        <v>0</v>
      </c>
      <c r="I699" s="50">
        <v>1</v>
      </c>
      <c r="J699" s="50"/>
      <c r="K699" s="50"/>
      <c r="L699" s="36">
        <v>2021</v>
      </c>
      <c r="M699" s="50"/>
      <c r="N699" s="50"/>
    </row>
    <row r="700" spans="1:14" ht="24" customHeight="1" x14ac:dyDescent="0.35">
      <c r="A700" s="30" t="s">
        <v>479</v>
      </c>
      <c r="B700" s="50" t="s">
        <v>255</v>
      </c>
      <c r="C700" s="50" t="s">
        <v>993</v>
      </c>
      <c r="D700" s="30" t="s">
        <v>1005</v>
      </c>
      <c r="E700" s="30">
        <v>1</v>
      </c>
      <c r="F700" s="30">
        <v>0</v>
      </c>
      <c r="G700" s="30">
        <v>0</v>
      </c>
      <c r="H700" s="30">
        <v>0</v>
      </c>
      <c r="I700" s="50">
        <v>1</v>
      </c>
      <c r="J700" s="50"/>
      <c r="K700" s="50"/>
      <c r="L700" s="36">
        <v>2021</v>
      </c>
      <c r="M700" s="50"/>
      <c r="N700" s="50"/>
    </row>
    <row r="701" spans="1:14" ht="24" customHeight="1" x14ac:dyDescent="0.35">
      <c r="A701" s="30" t="s">
        <v>479</v>
      </c>
      <c r="B701" s="50" t="s">
        <v>255</v>
      </c>
      <c r="C701" s="50" t="s">
        <v>993</v>
      </c>
      <c r="D701" s="30" t="s">
        <v>1006</v>
      </c>
      <c r="E701" s="30">
        <v>48000</v>
      </c>
      <c r="F701" s="30">
        <v>0</v>
      </c>
      <c r="G701" s="30">
        <v>0</v>
      </c>
      <c r="H701" s="30">
        <v>0</v>
      </c>
      <c r="I701" s="50">
        <v>48000</v>
      </c>
      <c r="J701" s="50"/>
      <c r="K701" s="50"/>
      <c r="L701" s="36">
        <v>2021</v>
      </c>
      <c r="M701" s="50"/>
      <c r="N701" s="50"/>
    </row>
    <row r="702" spans="1:14" ht="24" customHeight="1" x14ac:dyDescent="0.35">
      <c r="A702" s="109" t="s">
        <v>479</v>
      </c>
      <c r="B702" s="50" t="s">
        <v>255</v>
      </c>
      <c r="C702" s="50" t="s">
        <v>996</v>
      </c>
      <c r="D702" s="30" t="s">
        <v>1006</v>
      </c>
      <c r="E702" s="109">
        <v>12000</v>
      </c>
      <c r="F702" s="109">
        <v>7200</v>
      </c>
      <c r="G702" s="109">
        <v>0</v>
      </c>
      <c r="H702" s="109">
        <v>9000</v>
      </c>
      <c r="I702" s="50">
        <v>28200</v>
      </c>
      <c r="J702" s="50"/>
      <c r="K702" s="50"/>
      <c r="L702" s="36">
        <v>2021</v>
      </c>
      <c r="M702" s="50"/>
      <c r="N702" s="50"/>
    </row>
    <row r="703" spans="1:14" ht="24" customHeight="1" x14ac:dyDescent="0.35">
      <c r="A703" s="30" t="s">
        <v>422</v>
      </c>
      <c r="B703" s="50" t="s">
        <v>87</v>
      </c>
      <c r="C703" s="50" t="s">
        <v>996</v>
      </c>
      <c r="D703" s="30" t="s">
        <v>1004</v>
      </c>
      <c r="E703" s="30">
        <v>2</v>
      </c>
      <c r="F703" s="30">
        <v>0</v>
      </c>
      <c r="G703" s="30">
        <v>2</v>
      </c>
      <c r="H703" s="30">
        <v>0</v>
      </c>
      <c r="I703" s="50">
        <v>4</v>
      </c>
      <c r="J703" s="50"/>
      <c r="K703" s="50"/>
      <c r="L703" s="36">
        <v>2021</v>
      </c>
      <c r="M703" s="50"/>
      <c r="N703" s="50"/>
    </row>
    <row r="704" spans="1:14" ht="24" customHeight="1" x14ac:dyDescent="0.35">
      <c r="A704" s="30" t="s">
        <v>422</v>
      </c>
      <c r="B704" s="50" t="s">
        <v>87</v>
      </c>
      <c r="C704" s="50" t="s">
        <v>996</v>
      </c>
      <c r="D704" s="30" t="s">
        <v>1005</v>
      </c>
      <c r="E704" s="30">
        <v>9</v>
      </c>
      <c r="F704" s="30">
        <v>0</v>
      </c>
      <c r="G704" s="30">
        <v>260</v>
      </c>
      <c r="H704" s="30">
        <v>0</v>
      </c>
      <c r="I704" s="50">
        <v>269</v>
      </c>
      <c r="J704" s="50"/>
      <c r="K704" s="50"/>
      <c r="L704" s="36">
        <v>2021</v>
      </c>
      <c r="M704" s="50"/>
      <c r="N704" s="50"/>
    </row>
    <row r="705" spans="1:14" ht="24" customHeight="1" x14ac:dyDescent="0.35">
      <c r="A705" s="30" t="s">
        <v>422</v>
      </c>
      <c r="B705" s="50" t="s">
        <v>87</v>
      </c>
      <c r="C705" s="50" t="s">
        <v>993</v>
      </c>
      <c r="D705" s="30" t="s">
        <v>1004</v>
      </c>
      <c r="E705" s="30">
        <v>0</v>
      </c>
      <c r="F705" s="30">
        <v>0</v>
      </c>
      <c r="G705" s="30">
        <v>0</v>
      </c>
      <c r="H705" s="30">
        <v>0</v>
      </c>
      <c r="I705" s="50">
        <v>0</v>
      </c>
      <c r="J705" s="50"/>
      <c r="K705" s="50"/>
      <c r="L705" s="36">
        <v>2021</v>
      </c>
      <c r="M705" s="50"/>
      <c r="N705" s="50"/>
    </row>
    <row r="706" spans="1:14" ht="24" customHeight="1" x14ac:dyDescent="0.35">
      <c r="A706" s="30" t="s">
        <v>422</v>
      </c>
      <c r="B706" s="50" t="s">
        <v>87</v>
      </c>
      <c r="C706" s="50" t="s">
        <v>993</v>
      </c>
      <c r="D706" s="30" t="s">
        <v>1005</v>
      </c>
      <c r="E706" s="30">
        <v>0</v>
      </c>
      <c r="F706" s="30">
        <v>0</v>
      </c>
      <c r="G706" s="30">
        <v>0</v>
      </c>
      <c r="H706" s="30">
        <v>0</v>
      </c>
      <c r="I706" s="50">
        <v>0</v>
      </c>
      <c r="J706" s="50"/>
      <c r="K706" s="50"/>
      <c r="L706" s="36">
        <v>2021</v>
      </c>
      <c r="M706" s="50"/>
      <c r="N706" s="50"/>
    </row>
    <row r="707" spans="1:14" ht="24" customHeight="1" x14ac:dyDescent="0.35">
      <c r="A707" s="30" t="s">
        <v>422</v>
      </c>
      <c r="B707" s="50" t="s">
        <v>87</v>
      </c>
      <c r="C707" s="50" t="s">
        <v>993</v>
      </c>
      <c r="D707" s="30" t="s">
        <v>1006</v>
      </c>
      <c r="E707" s="30">
        <v>0</v>
      </c>
      <c r="F707" s="30">
        <v>0</v>
      </c>
      <c r="G707" s="30">
        <v>0</v>
      </c>
      <c r="H707" s="30">
        <v>0</v>
      </c>
      <c r="I707" s="50">
        <v>0</v>
      </c>
      <c r="J707" s="50"/>
      <c r="K707" s="50"/>
      <c r="L707" s="36">
        <v>2021</v>
      </c>
      <c r="M707" s="50"/>
      <c r="N707" s="50"/>
    </row>
    <row r="708" spans="1:14" ht="24" customHeight="1" x14ac:dyDescent="0.35">
      <c r="A708" s="109" t="s">
        <v>422</v>
      </c>
      <c r="B708" s="50" t="s">
        <v>87</v>
      </c>
      <c r="C708" s="50" t="s">
        <v>996</v>
      </c>
      <c r="D708" s="30" t="s">
        <v>1006</v>
      </c>
      <c r="E708" s="109">
        <v>190817</v>
      </c>
      <c r="F708" s="50"/>
      <c r="G708" s="109">
        <v>738229</v>
      </c>
      <c r="H708" s="109">
        <v>0</v>
      </c>
      <c r="I708" s="50">
        <v>929046</v>
      </c>
      <c r="J708" s="50"/>
      <c r="K708" s="50"/>
      <c r="L708" s="36">
        <v>2021</v>
      </c>
      <c r="M708" s="50"/>
      <c r="N708" s="50"/>
    </row>
    <row r="709" spans="1:14" ht="24" customHeight="1" x14ac:dyDescent="0.35">
      <c r="A709" s="30" t="s">
        <v>314</v>
      </c>
      <c r="B709" s="50" t="s">
        <v>255</v>
      </c>
      <c r="C709" s="50" t="s">
        <v>996</v>
      </c>
      <c r="D709" s="30" t="s">
        <v>1004</v>
      </c>
      <c r="E709" s="30">
        <v>1</v>
      </c>
      <c r="F709" s="30">
        <v>0</v>
      </c>
      <c r="G709" s="30">
        <v>1</v>
      </c>
      <c r="H709" s="30">
        <v>0</v>
      </c>
      <c r="I709" s="50">
        <v>2</v>
      </c>
      <c r="J709" s="50"/>
      <c r="K709" s="50"/>
      <c r="L709" s="36">
        <v>2021</v>
      </c>
      <c r="M709" s="50"/>
      <c r="N709" s="50"/>
    </row>
    <row r="710" spans="1:14" ht="24" customHeight="1" x14ac:dyDescent="0.35">
      <c r="A710" s="30" t="s">
        <v>314</v>
      </c>
      <c r="B710" s="50" t="s">
        <v>255</v>
      </c>
      <c r="C710" s="50" t="s">
        <v>996</v>
      </c>
      <c r="D710" s="30" t="s">
        <v>1005</v>
      </c>
      <c r="E710" s="30">
        <v>3</v>
      </c>
      <c r="F710" s="30">
        <v>0</v>
      </c>
      <c r="G710" s="30">
        <v>1</v>
      </c>
      <c r="H710" s="30">
        <v>0</v>
      </c>
      <c r="I710" s="50">
        <v>4</v>
      </c>
      <c r="J710" s="50"/>
      <c r="K710" s="50"/>
      <c r="L710" s="36">
        <v>2021</v>
      </c>
      <c r="M710" s="50"/>
      <c r="N710" s="50"/>
    </row>
    <row r="711" spans="1:14" ht="24" customHeight="1" x14ac:dyDescent="0.35">
      <c r="A711" s="30" t="s">
        <v>314</v>
      </c>
      <c r="B711" s="50" t="s">
        <v>255</v>
      </c>
      <c r="C711" s="50" t="s">
        <v>993</v>
      </c>
      <c r="D711" s="30" t="s">
        <v>1004</v>
      </c>
      <c r="E711" s="30">
        <v>1</v>
      </c>
      <c r="F711" s="30">
        <v>0</v>
      </c>
      <c r="G711" s="30">
        <v>0</v>
      </c>
      <c r="H711" s="30">
        <v>0</v>
      </c>
      <c r="I711" s="50">
        <v>1</v>
      </c>
      <c r="J711" s="50"/>
      <c r="K711" s="50"/>
      <c r="L711" s="36">
        <v>2021</v>
      </c>
      <c r="M711" s="50"/>
      <c r="N711" s="50"/>
    </row>
    <row r="712" spans="1:14" ht="24" customHeight="1" x14ac:dyDescent="0.35">
      <c r="A712" s="30" t="s">
        <v>314</v>
      </c>
      <c r="B712" s="50" t="s">
        <v>255</v>
      </c>
      <c r="C712" s="50" t="s">
        <v>993</v>
      </c>
      <c r="D712" s="30" t="s">
        <v>1005</v>
      </c>
      <c r="E712" s="30">
        <v>1</v>
      </c>
      <c r="F712" s="30">
        <v>0</v>
      </c>
      <c r="G712" s="30">
        <v>0</v>
      </c>
      <c r="H712" s="30">
        <v>0</v>
      </c>
      <c r="I712" s="50">
        <v>1</v>
      </c>
      <c r="J712" s="50"/>
      <c r="K712" s="50"/>
      <c r="L712" s="36">
        <v>2021</v>
      </c>
      <c r="M712" s="50"/>
      <c r="N712" s="50"/>
    </row>
    <row r="713" spans="1:14" ht="24" customHeight="1" x14ac:dyDescent="0.35">
      <c r="A713" s="30" t="s">
        <v>314</v>
      </c>
      <c r="B713" s="50" t="s">
        <v>255</v>
      </c>
      <c r="C713" s="50" t="s">
        <v>993</v>
      </c>
      <c r="D713" s="30" t="s">
        <v>1006</v>
      </c>
      <c r="E713" s="30">
        <v>8800</v>
      </c>
      <c r="F713" s="30">
        <v>0</v>
      </c>
      <c r="G713" s="30">
        <v>0</v>
      </c>
      <c r="H713" s="30">
        <v>0</v>
      </c>
      <c r="I713" s="50">
        <v>8800</v>
      </c>
      <c r="J713" s="50"/>
      <c r="K713" s="50"/>
      <c r="L713" s="36">
        <v>2021</v>
      </c>
      <c r="M713" s="50"/>
      <c r="N713" s="50"/>
    </row>
    <row r="714" spans="1:14" ht="24" customHeight="1" x14ac:dyDescent="0.35">
      <c r="A714" s="109" t="s">
        <v>314</v>
      </c>
      <c r="B714" s="50" t="s">
        <v>255</v>
      </c>
      <c r="C714" s="50" t="s">
        <v>996</v>
      </c>
      <c r="D714" s="30" t="s">
        <v>1006</v>
      </c>
      <c r="E714" s="109">
        <v>20400</v>
      </c>
      <c r="F714" s="50"/>
      <c r="G714" s="109">
        <v>3600</v>
      </c>
      <c r="H714" s="50"/>
      <c r="I714" s="50">
        <v>24000</v>
      </c>
      <c r="J714" s="50"/>
      <c r="K714" s="50"/>
      <c r="L714" s="36">
        <v>2021</v>
      </c>
      <c r="M714" s="50"/>
      <c r="N714" s="50"/>
    </row>
    <row r="715" spans="1:14" ht="24" customHeight="1" x14ac:dyDescent="0.35">
      <c r="A715" s="30" t="s">
        <v>317</v>
      </c>
      <c r="B715" s="50" t="s">
        <v>41</v>
      </c>
      <c r="C715" s="50" t="s">
        <v>996</v>
      </c>
      <c r="D715" s="30" t="s">
        <v>1004</v>
      </c>
      <c r="E715" s="30">
        <v>1</v>
      </c>
      <c r="F715" s="30">
        <v>3</v>
      </c>
      <c r="G715" s="30">
        <v>23</v>
      </c>
      <c r="H715" s="30">
        <v>1</v>
      </c>
      <c r="I715" s="50">
        <v>28</v>
      </c>
      <c r="J715" s="50"/>
      <c r="K715" s="50"/>
      <c r="L715" s="36">
        <v>2021</v>
      </c>
      <c r="M715" s="50"/>
      <c r="N715" s="50"/>
    </row>
    <row r="716" spans="1:14" ht="24" customHeight="1" x14ac:dyDescent="0.35">
      <c r="A716" s="30" t="s">
        <v>317</v>
      </c>
      <c r="B716" s="50" t="s">
        <v>41</v>
      </c>
      <c r="C716" s="50" t="s">
        <v>996</v>
      </c>
      <c r="D716" s="30" t="s">
        <v>1005</v>
      </c>
      <c r="E716" s="30">
        <v>14</v>
      </c>
      <c r="F716" s="30">
        <v>12</v>
      </c>
      <c r="G716" s="30">
        <v>134</v>
      </c>
      <c r="H716" s="30">
        <v>78</v>
      </c>
      <c r="I716" s="50">
        <v>238</v>
      </c>
      <c r="J716" s="50"/>
      <c r="K716" s="50"/>
      <c r="L716" s="36">
        <v>2021</v>
      </c>
      <c r="M716" s="50"/>
      <c r="N716" s="50"/>
    </row>
    <row r="717" spans="1:14" ht="24" customHeight="1" x14ac:dyDescent="0.35">
      <c r="A717" s="30" t="s">
        <v>317</v>
      </c>
      <c r="B717" s="50" t="s">
        <v>41</v>
      </c>
      <c r="C717" s="50" t="s">
        <v>993</v>
      </c>
      <c r="D717" s="30" t="s">
        <v>1004</v>
      </c>
      <c r="E717" s="30">
        <v>2</v>
      </c>
      <c r="F717" s="30">
        <v>0</v>
      </c>
      <c r="G717" s="30">
        <v>0</v>
      </c>
      <c r="H717" s="30">
        <v>0</v>
      </c>
      <c r="I717" s="50">
        <v>2</v>
      </c>
      <c r="J717" s="50"/>
      <c r="K717" s="50"/>
      <c r="L717" s="36">
        <v>2021</v>
      </c>
      <c r="M717" s="50"/>
      <c r="N717" s="50"/>
    </row>
    <row r="718" spans="1:14" ht="24" customHeight="1" x14ac:dyDescent="0.35">
      <c r="A718" s="30" t="s">
        <v>317</v>
      </c>
      <c r="B718" s="50" t="s">
        <v>41</v>
      </c>
      <c r="C718" s="50" t="s">
        <v>993</v>
      </c>
      <c r="D718" s="30" t="s">
        <v>1005</v>
      </c>
      <c r="E718" s="30">
        <v>9</v>
      </c>
      <c r="F718" s="30">
        <v>0</v>
      </c>
      <c r="G718" s="30">
        <v>0</v>
      </c>
      <c r="H718" s="30">
        <v>0</v>
      </c>
      <c r="I718" s="50">
        <v>9</v>
      </c>
      <c r="J718" s="50"/>
      <c r="K718" s="50"/>
      <c r="L718" s="36">
        <v>2021</v>
      </c>
      <c r="M718" s="50"/>
      <c r="N718" s="50"/>
    </row>
    <row r="719" spans="1:14" ht="24" customHeight="1" x14ac:dyDescent="0.35">
      <c r="A719" s="30" t="s">
        <v>317</v>
      </c>
      <c r="B719" s="50" t="s">
        <v>41</v>
      </c>
      <c r="C719" s="50" t="s">
        <v>993</v>
      </c>
      <c r="D719" s="30" t="s">
        <v>1006</v>
      </c>
      <c r="E719" s="30">
        <v>1071639</v>
      </c>
      <c r="F719" s="30">
        <v>0</v>
      </c>
      <c r="G719" s="30">
        <v>0</v>
      </c>
      <c r="H719" s="30">
        <v>0</v>
      </c>
      <c r="I719" s="50">
        <v>1071639</v>
      </c>
      <c r="J719" s="50"/>
      <c r="K719" s="50"/>
      <c r="L719" s="36">
        <v>2021</v>
      </c>
      <c r="M719" s="50"/>
      <c r="N719" s="50"/>
    </row>
    <row r="720" spans="1:14" ht="24" customHeight="1" x14ac:dyDescent="0.35">
      <c r="A720" s="109" t="s">
        <v>317</v>
      </c>
      <c r="B720" s="50" t="s">
        <v>41</v>
      </c>
      <c r="C720" s="50" t="s">
        <v>996</v>
      </c>
      <c r="D720" s="30" t="s">
        <v>1006</v>
      </c>
      <c r="E720" s="109">
        <v>491580</v>
      </c>
      <c r="F720" s="109">
        <v>758868</v>
      </c>
      <c r="G720" s="109">
        <v>1567681</v>
      </c>
      <c r="H720" s="109">
        <v>384161</v>
      </c>
      <c r="I720" s="50">
        <v>3202290</v>
      </c>
      <c r="J720" s="50"/>
      <c r="K720" s="50"/>
      <c r="L720" s="36">
        <v>2021</v>
      </c>
      <c r="M720" s="50"/>
      <c r="N720" s="50"/>
    </row>
    <row r="721" spans="1:14" ht="24" customHeight="1" x14ac:dyDescent="0.35">
      <c r="A721" s="30" t="s">
        <v>501</v>
      </c>
      <c r="B721" s="50" t="s">
        <v>46</v>
      </c>
      <c r="C721" s="50" t="s">
        <v>996</v>
      </c>
      <c r="D721" s="30" t="s">
        <v>1004</v>
      </c>
      <c r="E721" s="30">
        <v>0</v>
      </c>
      <c r="F721" s="30">
        <v>1</v>
      </c>
      <c r="G721" s="30">
        <v>0</v>
      </c>
      <c r="H721" s="30">
        <v>1</v>
      </c>
      <c r="I721" s="50">
        <v>2</v>
      </c>
      <c r="J721" s="50"/>
      <c r="K721" s="50"/>
      <c r="L721" s="36">
        <v>2021</v>
      </c>
      <c r="M721" s="50"/>
      <c r="N721" s="50"/>
    </row>
    <row r="722" spans="1:14" ht="24" customHeight="1" x14ac:dyDescent="0.35">
      <c r="A722" s="30" t="s">
        <v>501</v>
      </c>
      <c r="B722" s="50" t="s">
        <v>46</v>
      </c>
      <c r="C722" s="50" t="s">
        <v>996</v>
      </c>
      <c r="D722" s="30" t="s">
        <v>1005</v>
      </c>
      <c r="E722" s="30">
        <v>2</v>
      </c>
      <c r="F722" s="30">
        <v>4</v>
      </c>
      <c r="G722" s="30">
        <v>14</v>
      </c>
      <c r="H722" s="30">
        <v>7</v>
      </c>
      <c r="I722" s="50">
        <v>27</v>
      </c>
      <c r="J722" s="50"/>
      <c r="K722" s="50"/>
      <c r="L722" s="36">
        <v>2021</v>
      </c>
      <c r="M722" s="50"/>
      <c r="N722" s="50"/>
    </row>
    <row r="723" spans="1:14" ht="24" customHeight="1" x14ac:dyDescent="0.35">
      <c r="A723" s="30" t="s">
        <v>501</v>
      </c>
      <c r="B723" s="50" t="s">
        <v>46</v>
      </c>
      <c r="C723" s="50" t="s">
        <v>993</v>
      </c>
      <c r="D723" s="30" t="s">
        <v>1004</v>
      </c>
      <c r="E723" s="30">
        <v>0</v>
      </c>
      <c r="F723" s="30">
        <v>0</v>
      </c>
      <c r="G723" s="30">
        <v>0</v>
      </c>
      <c r="H723" s="30">
        <v>0</v>
      </c>
      <c r="I723" s="50">
        <v>0</v>
      </c>
      <c r="J723" s="50"/>
      <c r="K723" s="50"/>
      <c r="L723" s="36">
        <v>2021</v>
      </c>
      <c r="M723" s="50"/>
      <c r="N723" s="50"/>
    </row>
    <row r="724" spans="1:14" ht="24" customHeight="1" x14ac:dyDescent="0.35">
      <c r="A724" s="30" t="s">
        <v>501</v>
      </c>
      <c r="B724" s="50" t="s">
        <v>46</v>
      </c>
      <c r="C724" s="50" t="s">
        <v>993</v>
      </c>
      <c r="D724" s="30" t="s">
        <v>1005</v>
      </c>
      <c r="E724" s="30">
        <v>0</v>
      </c>
      <c r="F724" s="30">
        <v>0</v>
      </c>
      <c r="G724" s="30">
        <v>0</v>
      </c>
      <c r="H724" s="30">
        <v>0</v>
      </c>
      <c r="I724" s="50">
        <v>0</v>
      </c>
      <c r="J724" s="50"/>
      <c r="K724" s="50"/>
      <c r="L724" s="36">
        <v>2021</v>
      </c>
      <c r="M724" s="50"/>
      <c r="N724" s="50"/>
    </row>
    <row r="725" spans="1:14" ht="24" customHeight="1" x14ac:dyDescent="0.35">
      <c r="A725" s="30" t="s">
        <v>501</v>
      </c>
      <c r="B725" s="50" t="s">
        <v>46</v>
      </c>
      <c r="C725" s="50" t="s">
        <v>993</v>
      </c>
      <c r="D725" s="30" t="s">
        <v>1006</v>
      </c>
      <c r="E725" s="30">
        <v>0</v>
      </c>
      <c r="F725" s="30">
        <v>0</v>
      </c>
      <c r="G725" s="30">
        <v>0</v>
      </c>
      <c r="H725" s="30">
        <v>0</v>
      </c>
      <c r="I725" s="50">
        <v>0</v>
      </c>
      <c r="J725" s="50"/>
      <c r="K725" s="50"/>
      <c r="L725" s="36">
        <v>2021</v>
      </c>
      <c r="M725" s="50"/>
      <c r="N725" s="50"/>
    </row>
    <row r="726" spans="1:14" ht="24" customHeight="1" x14ac:dyDescent="0.35">
      <c r="A726" s="109" t="s">
        <v>501</v>
      </c>
      <c r="B726" s="50" t="s">
        <v>46</v>
      </c>
      <c r="C726" s="50" t="s">
        <v>996</v>
      </c>
      <c r="D726" s="30" t="s">
        <v>1006</v>
      </c>
      <c r="E726" s="109">
        <v>500</v>
      </c>
      <c r="F726" s="109">
        <v>692</v>
      </c>
      <c r="G726" s="109">
        <v>930</v>
      </c>
      <c r="H726" s="109">
        <v>530</v>
      </c>
      <c r="I726" s="50">
        <f>SUM(E726:H726)</f>
        <v>2652</v>
      </c>
      <c r="J726" s="50"/>
      <c r="K726" s="50"/>
      <c r="L726" s="36">
        <v>2021</v>
      </c>
      <c r="M726" s="50"/>
      <c r="N726" s="50"/>
    </row>
    <row r="727" spans="1:14" ht="24" customHeight="1" x14ac:dyDescent="0.35">
      <c r="A727" s="30" t="s">
        <v>323</v>
      </c>
      <c r="B727" s="50" t="s">
        <v>57</v>
      </c>
      <c r="C727" s="50" t="s">
        <v>996</v>
      </c>
      <c r="D727" s="30" t="s">
        <v>1004</v>
      </c>
      <c r="E727" s="30">
        <v>0</v>
      </c>
      <c r="F727" s="30">
        <v>1</v>
      </c>
      <c r="G727" s="30">
        <v>2</v>
      </c>
      <c r="H727" s="30">
        <v>2</v>
      </c>
      <c r="I727" s="50">
        <v>5</v>
      </c>
      <c r="J727" s="50"/>
      <c r="K727" s="50"/>
      <c r="L727" s="36">
        <v>2021</v>
      </c>
      <c r="M727" s="50"/>
      <c r="N727" s="50"/>
    </row>
    <row r="728" spans="1:14" ht="24" customHeight="1" x14ac:dyDescent="0.35">
      <c r="A728" s="30" t="s">
        <v>323</v>
      </c>
      <c r="B728" s="50" t="s">
        <v>57</v>
      </c>
      <c r="C728" s="50" t="s">
        <v>996</v>
      </c>
      <c r="D728" s="30" t="s">
        <v>1005</v>
      </c>
      <c r="E728" s="30">
        <v>2</v>
      </c>
      <c r="F728" s="30">
        <v>1</v>
      </c>
      <c r="G728" s="30">
        <v>8</v>
      </c>
      <c r="H728" s="30">
        <v>275</v>
      </c>
      <c r="I728" s="50">
        <v>286</v>
      </c>
      <c r="J728" s="50"/>
      <c r="K728" s="50"/>
      <c r="L728" s="36">
        <v>2021</v>
      </c>
      <c r="M728" s="50"/>
      <c r="N728" s="50"/>
    </row>
    <row r="729" spans="1:14" ht="24" customHeight="1" x14ac:dyDescent="0.35">
      <c r="A729" s="30" t="s">
        <v>323</v>
      </c>
      <c r="B729" s="50" t="s">
        <v>57</v>
      </c>
      <c r="C729" s="50" t="s">
        <v>993</v>
      </c>
      <c r="D729" s="30" t="s">
        <v>1004</v>
      </c>
      <c r="E729" s="30">
        <v>0</v>
      </c>
      <c r="F729" s="30">
        <v>0</v>
      </c>
      <c r="G729" s="30">
        <v>0</v>
      </c>
      <c r="H729" s="30">
        <v>0</v>
      </c>
      <c r="I729" s="50">
        <v>0</v>
      </c>
      <c r="J729" s="50"/>
      <c r="K729" s="50"/>
      <c r="L729" s="36">
        <v>2021</v>
      </c>
      <c r="M729" s="50"/>
      <c r="N729" s="50"/>
    </row>
    <row r="730" spans="1:14" ht="24" customHeight="1" x14ac:dyDescent="0.35">
      <c r="A730" s="30" t="s">
        <v>323</v>
      </c>
      <c r="B730" s="50" t="s">
        <v>57</v>
      </c>
      <c r="C730" s="50" t="s">
        <v>993</v>
      </c>
      <c r="D730" s="30" t="s">
        <v>1005</v>
      </c>
      <c r="E730" s="30">
        <v>0</v>
      </c>
      <c r="F730" s="30">
        <v>0</v>
      </c>
      <c r="G730" s="30">
        <v>0</v>
      </c>
      <c r="H730" s="30">
        <v>0</v>
      </c>
      <c r="I730" s="50">
        <v>0</v>
      </c>
      <c r="J730" s="50"/>
      <c r="K730" s="50"/>
      <c r="L730" s="36">
        <v>2021</v>
      </c>
      <c r="M730" s="50"/>
      <c r="N730" s="50"/>
    </row>
    <row r="731" spans="1:14" ht="24" customHeight="1" x14ac:dyDescent="0.35">
      <c r="A731" s="30" t="s">
        <v>323</v>
      </c>
      <c r="B731" s="50" t="s">
        <v>57</v>
      </c>
      <c r="C731" s="50" t="s">
        <v>993</v>
      </c>
      <c r="D731" s="30" t="s">
        <v>1006</v>
      </c>
      <c r="E731" s="30">
        <v>0</v>
      </c>
      <c r="F731" s="30">
        <v>0</v>
      </c>
      <c r="G731" s="30">
        <v>0</v>
      </c>
      <c r="H731" s="30">
        <v>0</v>
      </c>
      <c r="I731" s="50">
        <v>0</v>
      </c>
      <c r="J731" s="50"/>
      <c r="K731" s="50"/>
      <c r="L731" s="36">
        <v>2021</v>
      </c>
      <c r="M731" s="50"/>
      <c r="N731" s="50"/>
    </row>
    <row r="732" spans="1:14" ht="24" customHeight="1" x14ac:dyDescent="0.35">
      <c r="A732" s="109" t="s">
        <v>323</v>
      </c>
      <c r="B732" s="50" t="s">
        <v>57</v>
      </c>
      <c r="C732" s="50" t="s">
        <v>996</v>
      </c>
      <c r="D732" s="30" t="s">
        <v>1006</v>
      </c>
      <c r="E732" s="109">
        <v>17400</v>
      </c>
      <c r="F732" s="109">
        <v>8700</v>
      </c>
      <c r="G732" s="109">
        <v>26419</v>
      </c>
      <c r="H732" s="109">
        <v>163840</v>
      </c>
      <c r="I732" s="50">
        <v>216359</v>
      </c>
      <c r="J732" s="50"/>
      <c r="K732" s="50"/>
      <c r="L732" s="36">
        <v>2021</v>
      </c>
      <c r="M732" s="50"/>
      <c r="N732" s="50"/>
    </row>
    <row r="733" spans="1:14" ht="24" customHeight="1" x14ac:dyDescent="0.35">
      <c r="A733" s="30" t="s">
        <v>62</v>
      </c>
      <c r="B733" s="50" t="s">
        <v>46</v>
      </c>
      <c r="C733" s="50" t="s">
        <v>996</v>
      </c>
      <c r="D733" s="30" t="s">
        <v>1004</v>
      </c>
      <c r="E733" s="30">
        <v>0</v>
      </c>
      <c r="F733" s="30">
        <v>4</v>
      </c>
      <c r="G733" s="30">
        <v>12</v>
      </c>
      <c r="H733" s="30">
        <v>19</v>
      </c>
      <c r="I733" s="50">
        <v>35</v>
      </c>
      <c r="J733" s="50"/>
      <c r="K733" s="50"/>
      <c r="L733" s="36">
        <v>2021</v>
      </c>
      <c r="M733" s="50"/>
      <c r="N733" s="50"/>
    </row>
    <row r="734" spans="1:14" ht="24" customHeight="1" x14ac:dyDescent="0.35">
      <c r="A734" s="30" t="s">
        <v>62</v>
      </c>
      <c r="B734" s="50" t="s">
        <v>46</v>
      </c>
      <c r="C734" s="50" t="s">
        <v>996</v>
      </c>
      <c r="D734" s="30" t="s">
        <v>1005</v>
      </c>
      <c r="E734" s="30">
        <v>2</v>
      </c>
      <c r="F734" s="30">
        <v>8</v>
      </c>
      <c r="G734" s="30">
        <v>42</v>
      </c>
      <c r="H734" s="30">
        <v>350</v>
      </c>
      <c r="I734" s="50">
        <v>402</v>
      </c>
      <c r="J734" s="50"/>
      <c r="K734" s="50"/>
      <c r="L734" s="36">
        <v>2021</v>
      </c>
      <c r="M734" s="50"/>
      <c r="N734" s="50"/>
    </row>
    <row r="735" spans="1:14" ht="24" customHeight="1" x14ac:dyDescent="0.35">
      <c r="A735" s="30" t="s">
        <v>62</v>
      </c>
      <c r="B735" s="50" t="s">
        <v>46</v>
      </c>
      <c r="C735" s="50" t="s">
        <v>993</v>
      </c>
      <c r="D735" s="30" t="s">
        <v>1004</v>
      </c>
      <c r="E735" s="30">
        <v>0</v>
      </c>
      <c r="F735" s="30">
        <v>0</v>
      </c>
      <c r="G735" s="30">
        <v>0</v>
      </c>
      <c r="H735" s="30">
        <v>0</v>
      </c>
      <c r="I735" s="50">
        <v>0</v>
      </c>
      <c r="J735" s="50"/>
      <c r="K735" s="50"/>
      <c r="L735" s="36">
        <v>2021</v>
      </c>
      <c r="M735" s="50"/>
      <c r="N735" s="50"/>
    </row>
    <row r="736" spans="1:14" ht="24" customHeight="1" x14ac:dyDescent="0.35">
      <c r="A736" s="30" t="s">
        <v>62</v>
      </c>
      <c r="B736" s="50" t="s">
        <v>46</v>
      </c>
      <c r="C736" s="50" t="s">
        <v>993</v>
      </c>
      <c r="D736" s="30" t="s">
        <v>1005</v>
      </c>
      <c r="E736" s="30">
        <v>9</v>
      </c>
      <c r="F736" s="30">
        <v>1</v>
      </c>
      <c r="G736" s="30">
        <v>0</v>
      </c>
      <c r="H736" s="30">
        <v>0</v>
      </c>
      <c r="I736" s="50">
        <v>10</v>
      </c>
      <c r="J736" s="50"/>
      <c r="K736" s="50"/>
      <c r="L736" s="36">
        <v>2021</v>
      </c>
      <c r="M736" s="50"/>
      <c r="N736" s="50"/>
    </row>
    <row r="737" spans="1:14" ht="24" customHeight="1" x14ac:dyDescent="0.35">
      <c r="A737" s="30" t="s">
        <v>62</v>
      </c>
      <c r="B737" s="50" t="s">
        <v>46</v>
      </c>
      <c r="C737" s="50" t="s">
        <v>993</v>
      </c>
      <c r="D737" s="30" t="s">
        <v>1006</v>
      </c>
      <c r="E737" s="30">
        <v>904446</v>
      </c>
      <c r="F737" s="30">
        <v>5857</v>
      </c>
      <c r="G737" s="30">
        <v>0</v>
      </c>
      <c r="H737" s="30">
        <v>0</v>
      </c>
      <c r="I737" s="50">
        <v>910303</v>
      </c>
      <c r="J737" s="50"/>
      <c r="K737" s="50"/>
      <c r="L737" s="36">
        <v>2021</v>
      </c>
      <c r="M737" s="50"/>
      <c r="N737" s="50"/>
    </row>
    <row r="738" spans="1:14" ht="24" customHeight="1" x14ac:dyDescent="0.35">
      <c r="A738" s="109" t="s">
        <v>62</v>
      </c>
      <c r="B738" s="50" t="s">
        <v>46</v>
      </c>
      <c r="C738" s="50" t="s">
        <v>996</v>
      </c>
      <c r="D738" s="30" t="s">
        <v>1006</v>
      </c>
      <c r="E738" s="109">
        <v>36149</v>
      </c>
      <c r="F738" s="109">
        <v>185138</v>
      </c>
      <c r="G738" s="109">
        <v>26751</v>
      </c>
      <c r="H738" s="109">
        <v>750980</v>
      </c>
      <c r="I738" s="50">
        <v>999018</v>
      </c>
      <c r="J738" s="50"/>
      <c r="K738" s="50"/>
      <c r="L738" s="36">
        <v>2021</v>
      </c>
      <c r="M738" s="50"/>
      <c r="N738" s="50"/>
    </row>
    <row r="739" spans="1:14" ht="24" customHeight="1" x14ac:dyDescent="0.35">
      <c r="A739" s="30" t="s">
        <v>517</v>
      </c>
      <c r="B739" s="50" t="s">
        <v>46</v>
      </c>
      <c r="C739" s="50" t="s">
        <v>996</v>
      </c>
      <c r="D739" s="30" t="s">
        <v>1004</v>
      </c>
      <c r="E739" s="30">
        <v>0</v>
      </c>
      <c r="F739" s="30">
        <v>0</v>
      </c>
      <c r="G739" s="30">
        <v>1</v>
      </c>
      <c r="H739" s="30">
        <v>0</v>
      </c>
      <c r="I739" s="50">
        <v>1</v>
      </c>
      <c r="J739" s="50"/>
      <c r="K739" s="50"/>
      <c r="L739" s="36">
        <v>2021</v>
      </c>
      <c r="M739" s="50"/>
      <c r="N739" s="50"/>
    </row>
    <row r="740" spans="1:14" ht="24" customHeight="1" x14ac:dyDescent="0.35">
      <c r="A740" s="30" t="s">
        <v>517</v>
      </c>
      <c r="B740" s="50" t="s">
        <v>46</v>
      </c>
      <c r="C740" s="50" t="s">
        <v>996</v>
      </c>
      <c r="D740" s="30" t="s">
        <v>1005</v>
      </c>
      <c r="E740" s="30">
        <v>0</v>
      </c>
      <c r="F740" s="30">
        <v>0</v>
      </c>
      <c r="G740" s="30">
        <v>46</v>
      </c>
      <c r="H740" s="30">
        <v>0</v>
      </c>
      <c r="I740" s="50">
        <v>46</v>
      </c>
      <c r="J740" s="50"/>
      <c r="K740" s="50"/>
      <c r="L740" s="36">
        <v>2021</v>
      </c>
      <c r="M740" s="50"/>
      <c r="N740" s="50"/>
    </row>
    <row r="741" spans="1:14" ht="24" customHeight="1" x14ac:dyDescent="0.35">
      <c r="A741" s="30" t="s">
        <v>517</v>
      </c>
      <c r="B741" s="50" t="s">
        <v>46</v>
      </c>
      <c r="C741" s="50" t="s">
        <v>993</v>
      </c>
      <c r="D741" s="30" t="s">
        <v>1004</v>
      </c>
      <c r="E741" s="30">
        <v>0</v>
      </c>
      <c r="F741" s="30">
        <v>0</v>
      </c>
      <c r="G741" s="30">
        <v>0</v>
      </c>
      <c r="H741" s="30">
        <v>0</v>
      </c>
      <c r="I741" s="50">
        <v>0</v>
      </c>
      <c r="J741" s="50"/>
      <c r="K741" s="50"/>
      <c r="L741" s="36">
        <v>2021</v>
      </c>
      <c r="M741" s="50"/>
      <c r="N741" s="50"/>
    </row>
    <row r="742" spans="1:14" ht="24" customHeight="1" x14ac:dyDescent="0.35">
      <c r="A742" s="30" t="s">
        <v>517</v>
      </c>
      <c r="B742" s="50" t="s">
        <v>46</v>
      </c>
      <c r="C742" s="50" t="s">
        <v>993</v>
      </c>
      <c r="D742" s="30" t="s">
        <v>1005</v>
      </c>
      <c r="E742" s="30">
        <v>0</v>
      </c>
      <c r="F742" s="30">
        <v>0</v>
      </c>
      <c r="G742" s="30">
        <v>0</v>
      </c>
      <c r="H742" s="30">
        <v>0</v>
      </c>
      <c r="I742" s="50">
        <v>0</v>
      </c>
      <c r="J742" s="50"/>
      <c r="K742" s="50"/>
      <c r="L742" s="36">
        <v>2021</v>
      </c>
      <c r="M742" s="50"/>
      <c r="N742" s="50"/>
    </row>
    <row r="743" spans="1:14" ht="24" customHeight="1" x14ac:dyDescent="0.35">
      <c r="A743" s="30" t="s">
        <v>517</v>
      </c>
      <c r="B743" s="50" t="s">
        <v>46</v>
      </c>
      <c r="C743" s="50" t="s">
        <v>993</v>
      </c>
      <c r="D743" s="30" t="s">
        <v>1006</v>
      </c>
      <c r="E743" s="30">
        <v>0</v>
      </c>
      <c r="F743" s="30">
        <v>0</v>
      </c>
      <c r="G743" s="30">
        <v>0</v>
      </c>
      <c r="H743" s="30">
        <v>0</v>
      </c>
      <c r="I743" s="50">
        <v>0</v>
      </c>
      <c r="J743" s="50"/>
      <c r="K743" s="50"/>
      <c r="L743" s="36">
        <v>2021</v>
      </c>
      <c r="M743" s="50"/>
      <c r="N743" s="50"/>
    </row>
    <row r="744" spans="1:14" ht="24" customHeight="1" x14ac:dyDescent="0.35">
      <c r="A744" s="109" t="s">
        <v>517</v>
      </c>
      <c r="B744" s="50" t="s">
        <v>46</v>
      </c>
      <c r="C744" s="50" t="s">
        <v>996</v>
      </c>
      <c r="D744" s="30" t="s">
        <v>1006</v>
      </c>
      <c r="E744" s="109">
        <v>0</v>
      </c>
      <c r="F744" s="109">
        <v>0</v>
      </c>
      <c r="G744" s="50">
        <v>131072.601</v>
      </c>
      <c r="H744" s="109">
        <v>0</v>
      </c>
      <c r="I744" s="50">
        <v>131072.601</v>
      </c>
      <c r="J744" s="50"/>
      <c r="K744" s="50"/>
      <c r="L744" s="36">
        <v>2021</v>
      </c>
      <c r="M744" s="50"/>
      <c r="N744" s="50"/>
    </row>
    <row r="745" spans="1:14" ht="24" customHeight="1" x14ac:dyDescent="0.35">
      <c r="A745" s="30" t="s">
        <v>522</v>
      </c>
      <c r="B745" s="50" t="s">
        <v>41</v>
      </c>
      <c r="C745" s="50" t="s">
        <v>996</v>
      </c>
      <c r="D745" s="30" t="s">
        <v>1004</v>
      </c>
      <c r="E745" s="30">
        <v>20</v>
      </c>
      <c r="F745" s="30">
        <v>13</v>
      </c>
      <c r="G745" s="30">
        <v>44</v>
      </c>
      <c r="H745" s="30">
        <v>32</v>
      </c>
      <c r="I745" s="50">
        <f>+SUM(E745:H745)</f>
        <v>109</v>
      </c>
      <c r="J745" s="50"/>
      <c r="K745" s="50"/>
      <c r="L745" s="36">
        <v>2021</v>
      </c>
      <c r="M745" s="50"/>
      <c r="N745" s="50"/>
    </row>
    <row r="746" spans="1:14" ht="24" customHeight="1" x14ac:dyDescent="0.35">
      <c r="A746" s="30" t="s">
        <v>522</v>
      </c>
      <c r="B746" s="50" t="s">
        <v>41</v>
      </c>
      <c r="C746" s="50" t="s">
        <v>996</v>
      </c>
      <c r="D746" s="30" t="s">
        <v>1005</v>
      </c>
      <c r="E746" s="30">
        <v>75</v>
      </c>
      <c r="F746" s="30">
        <v>50</v>
      </c>
      <c r="G746" s="30">
        <v>305</v>
      </c>
      <c r="H746" s="30">
        <f>355</f>
        <v>355</v>
      </c>
      <c r="I746" s="50">
        <f t="shared" ref="I746:I748" si="1">+SUM(E746:H746)</f>
        <v>785</v>
      </c>
      <c r="J746" s="50"/>
      <c r="K746" s="50"/>
      <c r="L746" s="36">
        <v>2021</v>
      </c>
      <c r="M746" s="50"/>
      <c r="N746" s="50"/>
    </row>
    <row r="747" spans="1:14" ht="24" customHeight="1" x14ac:dyDescent="0.35">
      <c r="A747" s="30" t="s">
        <v>522</v>
      </c>
      <c r="B747" s="50" t="s">
        <v>41</v>
      </c>
      <c r="C747" s="50" t="s">
        <v>993</v>
      </c>
      <c r="D747" s="30" t="s">
        <v>1004</v>
      </c>
      <c r="E747" s="30">
        <v>0</v>
      </c>
      <c r="F747" s="30">
        <v>0</v>
      </c>
      <c r="G747" s="30">
        <v>0</v>
      </c>
      <c r="H747" s="30">
        <v>0</v>
      </c>
      <c r="I747" s="50">
        <f t="shared" si="1"/>
        <v>0</v>
      </c>
      <c r="J747" s="50"/>
      <c r="K747" s="50"/>
      <c r="L747" s="36">
        <v>2021</v>
      </c>
      <c r="M747" s="50"/>
      <c r="N747" s="50"/>
    </row>
    <row r="748" spans="1:14" ht="24" customHeight="1" x14ac:dyDescent="0.35">
      <c r="A748" s="30" t="s">
        <v>522</v>
      </c>
      <c r="B748" s="50" t="s">
        <v>41</v>
      </c>
      <c r="C748" s="50" t="s">
        <v>993</v>
      </c>
      <c r="D748" s="30" t="s">
        <v>1005</v>
      </c>
      <c r="E748" s="30">
        <v>51</v>
      </c>
      <c r="F748" s="30">
        <v>0</v>
      </c>
      <c r="G748" s="30">
        <v>0</v>
      </c>
      <c r="H748" s="30">
        <v>0</v>
      </c>
      <c r="I748" s="50">
        <f t="shared" si="1"/>
        <v>51</v>
      </c>
      <c r="J748" s="50"/>
      <c r="K748" s="50"/>
      <c r="L748" s="36">
        <v>2021</v>
      </c>
      <c r="M748" s="50"/>
      <c r="N748" s="50"/>
    </row>
    <row r="749" spans="1:14" ht="24" customHeight="1" x14ac:dyDescent="0.35">
      <c r="A749" s="30" t="s">
        <v>522</v>
      </c>
      <c r="B749" s="50" t="s">
        <v>41</v>
      </c>
      <c r="C749" s="50" t="s">
        <v>993</v>
      </c>
      <c r="D749" s="30" t="s">
        <v>1006</v>
      </c>
      <c r="E749" s="30">
        <v>8299401</v>
      </c>
      <c r="F749" s="30">
        <v>0</v>
      </c>
      <c r="G749" s="30">
        <v>0</v>
      </c>
      <c r="H749" s="30">
        <v>0</v>
      </c>
      <c r="I749" s="50">
        <v>8299401</v>
      </c>
      <c r="J749" s="50"/>
      <c r="K749" s="50"/>
      <c r="L749" s="36">
        <v>2021</v>
      </c>
      <c r="M749" s="50"/>
      <c r="N749" s="50"/>
    </row>
    <row r="750" spans="1:14" ht="24" customHeight="1" x14ac:dyDescent="0.35">
      <c r="A750" s="109" t="s">
        <v>522</v>
      </c>
      <c r="B750" s="50" t="s">
        <v>41</v>
      </c>
      <c r="C750" s="50" t="s">
        <v>996</v>
      </c>
      <c r="D750" s="30" t="s">
        <v>1006</v>
      </c>
      <c r="E750" s="109">
        <v>2748879</v>
      </c>
      <c r="F750" s="109">
        <v>1034328</v>
      </c>
      <c r="G750" s="109">
        <v>4111919</v>
      </c>
      <c r="H750" s="109">
        <v>2597042</v>
      </c>
      <c r="I750" s="50">
        <v>10492168</v>
      </c>
      <c r="J750" s="50"/>
      <c r="K750" s="50"/>
      <c r="L750" s="36">
        <v>2021</v>
      </c>
      <c r="M750" s="50"/>
      <c r="N750" s="50"/>
    </row>
    <row r="751" spans="1:14" ht="24" customHeight="1" x14ac:dyDescent="0.35">
      <c r="A751" s="30" t="s">
        <v>73</v>
      </c>
      <c r="B751" s="50" t="s">
        <v>46</v>
      </c>
      <c r="C751" s="50" t="s">
        <v>996</v>
      </c>
      <c r="D751" s="30" t="s">
        <v>1004</v>
      </c>
      <c r="E751" s="30">
        <v>0</v>
      </c>
      <c r="F751" s="30">
        <v>0</v>
      </c>
      <c r="G751" s="30">
        <v>0</v>
      </c>
      <c r="H751" s="30">
        <v>0</v>
      </c>
      <c r="I751" s="50">
        <v>0</v>
      </c>
      <c r="J751" s="50"/>
      <c r="K751" s="50"/>
      <c r="L751" s="36">
        <v>2021</v>
      </c>
      <c r="M751" s="50"/>
      <c r="N751" s="50"/>
    </row>
    <row r="752" spans="1:14" ht="24" customHeight="1" x14ac:dyDescent="0.35">
      <c r="A752" s="30" t="s">
        <v>73</v>
      </c>
      <c r="B752" s="50" t="s">
        <v>46</v>
      </c>
      <c r="C752" s="50" t="s">
        <v>996</v>
      </c>
      <c r="D752" s="30" t="s">
        <v>1005</v>
      </c>
      <c r="E752" s="30">
        <v>0</v>
      </c>
      <c r="F752" s="30">
        <v>0</v>
      </c>
      <c r="G752" s="30">
        <v>22</v>
      </c>
      <c r="H752" s="30">
        <v>6</v>
      </c>
      <c r="I752" s="50">
        <v>28</v>
      </c>
      <c r="J752" s="50"/>
      <c r="K752" s="50"/>
      <c r="L752" s="36">
        <v>2021</v>
      </c>
      <c r="M752" s="50"/>
      <c r="N752" s="50"/>
    </row>
    <row r="753" spans="1:14" ht="24" customHeight="1" x14ac:dyDescent="0.35">
      <c r="A753" s="30" t="s">
        <v>73</v>
      </c>
      <c r="B753" s="50" t="s">
        <v>46</v>
      </c>
      <c r="C753" s="50" t="s">
        <v>993</v>
      </c>
      <c r="D753" s="30" t="s">
        <v>1004</v>
      </c>
      <c r="E753" s="30">
        <v>0</v>
      </c>
      <c r="F753" s="30">
        <v>0</v>
      </c>
      <c r="G753" s="30">
        <v>0</v>
      </c>
      <c r="H753" s="30">
        <v>0</v>
      </c>
      <c r="I753" s="50">
        <v>0</v>
      </c>
      <c r="J753" s="50"/>
      <c r="K753" s="50"/>
      <c r="L753" s="36">
        <v>2021</v>
      </c>
      <c r="M753" s="50"/>
      <c r="N753" s="50"/>
    </row>
    <row r="754" spans="1:14" ht="24" customHeight="1" x14ac:dyDescent="0.35">
      <c r="A754" s="30" t="s">
        <v>73</v>
      </c>
      <c r="B754" s="50" t="s">
        <v>46</v>
      </c>
      <c r="C754" s="50" t="s">
        <v>993</v>
      </c>
      <c r="D754" s="30" t="s">
        <v>1005</v>
      </c>
      <c r="E754" s="30">
        <v>0</v>
      </c>
      <c r="F754" s="30">
        <v>0</v>
      </c>
      <c r="G754" s="30">
        <v>5</v>
      </c>
      <c r="H754" s="30">
        <v>0</v>
      </c>
      <c r="I754" s="50">
        <v>5</v>
      </c>
      <c r="J754" s="50"/>
      <c r="K754" s="50"/>
      <c r="L754" s="36">
        <v>2021</v>
      </c>
      <c r="M754" s="50"/>
      <c r="N754" s="50"/>
    </row>
    <row r="755" spans="1:14" ht="24" customHeight="1" x14ac:dyDescent="0.35">
      <c r="A755" s="30" t="s">
        <v>73</v>
      </c>
      <c r="B755" s="50" t="s">
        <v>46</v>
      </c>
      <c r="C755" s="50" t="s">
        <v>993</v>
      </c>
      <c r="D755" s="30" t="s">
        <v>1006</v>
      </c>
      <c r="E755" s="30">
        <v>0</v>
      </c>
      <c r="F755" s="30">
        <v>0</v>
      </c>
      <c r="G755" s="30">
        <v>58511</v>
      </c>
      <c r="H755" s="30"/>
      <c r="I755" s="50">
        <v>58511</v>
      </c>
      <c r="J755" s="50"/>
      <c r="K755" s="50"/>
      <c r="L755" s="36">
        <v>2021</v>
      </c>
      <c r="M755" s="50"/>
      <c r="N755" s="50"/>
    </row>
    <row r="756" spans="1:14" ht="24" customHeight="1" x14ac:dyDescent="0.35">
      <c r="A756" s="109" t="s">
        <v>73</v>
      </c>
      <c r="B756" s="50" t="s">
        <v>46</v>
      </c>
      <c r="C756" s="50" t="s">
        <v>996</v>
      </c>
      <c r="D756" s="30" t="s">
        <v>1006</v>
      </c>
      <c r="E756" s="109">
        <v>0</v>
      </c>
      <c r="F756" s="50"/>
      <c r="G756" s="109">
        <v>40270</v>
      </c>
      <c r="H756" s="109">
        <v>7942</v>
      </c>
      <c r="I756" s="50">
        <v>48212</v>
      </c>
      <c r="J756" s="50"/>
      <c r="K756" s="50"/>
      <c r="L756" s="36">
        <v>2021</v>
      </c>
      <c r="M756" s="50"/>
      <c r="N756" s="50"/>
    </row>
    <row r="757" spans="1:14" ht="24" customHeight="1" x14ac:dyDescent="0.35">
      <c r="A757" s="30" t="s">
        <v>525</v>
      </c>
      <c r="B757" s="50" t="s">
        <v>255</v>
      </c>
      <c r="C757" s="50" t="s">
        <v>996</v>
      </c>
      <c r="D757" s="30" t="s">
        <v>1004</v>
      </c>
      <c r="E757" s="30">
        <v>0</v>
      </c>
      <c r="F757" s="30">
        <v>0</v>
      </c>
      <c r="G757" s="30">
        <v>0</v>
      </c>
      <c r="H757" s="30">
        <v>0</v>
      </c>
      <c r="I757" s="50">
        <v>0</v>
      </c>
      <c r="J757" s="50"/>
      <c r="K757" s="50"/>
      <c r="L757" s="36">
        <v>2021</v>
      </c>
      <c r="M757" s="50"/>
      <c r="N757" s="50"/>
    </row>
    <row r="758" spans="1:14" ht="24" customHeight="1" x14ac:dyDescent="0.35">
      <c r="A758" s="30" t="s">
        <v>525</v>
      </c>
      <c r="B758" s="50" t="s">
        <v>255</v>
      </c>
      <c r="C758" s="50" t="s">
        <v>996</v>
      </c>
      <c r="D758" s="30" t="s">
        <v>1005</v>
      </c>
      <c r="E758" s="30">
        <v>3</v>
      </c>
      <c r="F758" s="30">
        <v>1</v>
      </c>
      <c r="G758" s="30">
        <v>1</v>
      </c>
      <c r="H758" s="30">
        <v>3</v>
      </c>
      <c r="I758" s="50">
        <v>8</v>
      </c>
      <c r="J758" s="50"/>
      <c r="K758" s="50"/>
      <c r="L758" s="36">
        <v>2021</v>
      </c>
      <c r="M758" s="50"/>
      <c r="N758" s="50"/>
    </row>
    <row r="759" spans="1:14" ht="24" customHeight="1" x14ac:dyDescent="0.35">
      <c r="A759" s="30" t="s">
        <v>525</v>
      </c>
      <c r="B759" s="50" t="s">
        <v>255</v>
      </c>
      <c r="C759" s="50" t="s">
        <v>993</v>
      </c>
      <c r="D759" s="30" t="s">
        <v>1004</v>
      </c>
      <c r="E759" s="30">
        <v>0</v>
      </c>
      <c r="F759" s="30">
        <v>0</v>
      </c>
      <c r="G759" s="30">
        <v>0</v>
      </c>
      <c r="H759" s="30">
        <v>0</v>
      </c>
      <c r="I759" s="50">
        <v>0</v>
      </c>
      <c r="J759" s="50"/>
      <c r="K759" s="50"/>
      <c r="L759" s="36">
        <v>2021</v>
      </c>
      <c r="M759" s="50"/>
      <c r="N759" s="50"/>
    </row>
    <row r="760" spans="1:14" ht="24" customHeight="1" x14ac:dyDescent="0.35">
      <c r="A760" s="30" t="s">
        <v>525</v>
      </c>
      <c r="B760" s="50" t="s">
        <v>255</v>
      </c>
      <c r="C760" s="50" t="s">
        <v>993</v>
      </c>
      <c r="D760" s="30" t="s">
        <v>1005</v>
      </c>
      <c r="E760" s="30">
        <v>0</v>
      </c>
      <c r="F760" s="30">
        <v>0</v>
      </c>
      <c r="G760" s="30">
        <v>0</v>
      </c>
      <c r="H760" s="30">
        <v>0</v>
      </c>
      <c r="I760" s="50">
        <v>0</v>
      </c>
      <c r="J760" s="50"/>
      <c r="K760" s="50"/>
      <c r="L760" s="36">
        <v>2021</v>
      </c>
      <c r="M760" s="50"/>
      <c r="N760" s="50"/>
    </row>
    <row r="761" spans="1:14" ht="24" customHeight="1" x14ac:dyDescent="0.35">
      <c r="A761" s="30" t="s">
        <v>525</v>
      </c>
      <c r="B761" s="50" t="s">
        <v>255</v>
      </c>
      <c r="C761" s="50" t="s">
        <v>993</v>
      </c>
      <c r="D761" s="30" t="s">
        <v>1006</v>
      </c>
      <c r="E761" s="30">
        <v>0</v>
      </c>
      <c r="F761" s="30">
        <v>0</v>
      </c>
      <c r="G761" s="30">
        <v>0</v>
      </c>
      <c r="H761" s="30">
        <v>0</v>
      </c>
      <c r="I761" s="50">
        <v>0</v>
      </c>
      <c r="J761" s="50"/>
      <c r="K761" s="50"/>
      <c r="L761" s="36">
        <v>2021</v>
      </c>
      <c r="M761" s="50"/>
      <c r="N761" s="50"/>
    </row>
    <row r="762" spans="1:14" ht="24" customHeight="1" x14ac:dyDescent="0.35">
      <c r="A762" s="109" t="s">
        <v>525</v>
      </c>
      <c r="B762" s="50" t="s">
        <v>255</v>
      </c>
      <c r="C762" s="50" t="s">
        <v>996</v>
      </c>
      <c r="D762" s="30" t="s">
        <v>1006</v>
      </c>
      <c r="E762" s="109">
        <v>15350</v>
      </c>
      <c r="F762" s="109">
        <v>3500</v>
      </c>
      <c r="G762" s="109">
        <v>1600</v>
      </c>
      <c r="H762" s="109">
        <v>1260</v>
      </c>
      <c r="I762" s="50">
        <v>21710</v>
      </c>
      <c r="J762" s="50"/>
      <c r="K762" s="50"/>
      <c r="L762" s="36">
        <v>2021</v>
      </c>
      <c r="M762" s="50"/>
      <c r="N762" s="50"/>
    </row>
    <row r="763" spans="1:14" ht="24" customHeight="1" x14ac:dyDescent="0.35">
      <c r="A763" s="30" t="s">
        <v>341</v>
      </c>
      <c r="B763" s="50" t="s">
        <v>87</v>
      </c>
      <c r="C763" s="50" t="s">
        <v>996</v>
      </c>
      <c r="D763" s="30" t="s">
        <v>1004</v>
      </c>
      <c r="E763" s="30">
        <v>1</v>
      </c>
      <c r="F763" s="30">
        <v>3</v>
      </c>
      <c r="G763" s="30">
        <v>0</v>
      </c>
      <c r="H763" s="30">
        <v>4</v>
      </c>
      <c r="I763" s="50">
        <v>8</v>
      </c>
      <c r="J763" s="50"/>
      <c r="K763" s="50"/>
      <c r="L763" s="36">
        <v>2021</v>
      </c>
      <c r="M763" s="50"/>
      <c r="N763" s="50"/>
    </row>
    <row r="764" spans="1:14" ht="24" customHeight="1" x14ac:dyDescent="0.35">
      <c r="A764" s="30" t="s">
        <v>341</v>
      </c>
      <c r="B764" s="50" t="s">
        <v>87</v>
      </c>
      <c r="C764" s="50" t="s">
        <v>996</v>
      </c>
      <c r="D764" s="30" t="s">
        <v>1005</v>
      </c>
      <c r="E764" s="30">
        <v>2</v>
      </c>
      <c r="F764" s="30">
        <v>11</v>
      </c>
      <c r="G764" s="30">
        <v>2</v>
      </c>
      <c r="H764" s="30">
        <v>23</v>
      </c>
      <c r="I764" s="50">
        <v>38</v>
      </c>
      <c r="J764" s="50"/>
      <c r="K764" s="50"/>
      <c r="L764" s="36">
        <v>2021</v>
      </c>
      <c r="M764" s="50"/>
      <c r="N764" s="50"/>
    </row>
    <row r="765" spans="1:14" ht="24" customHeight="1" x14ac:dyDescent="0.35">
      <c r="A765" s="30" t="s">
        <v>341</v>
      </c>
      <c r="B765" s="50" t="s">
        <v>87</v>
      </c>
      <c r="C765" s="50" t="s">
        <v>993</v>
      </c>
      <c r="D765" s="30" t="s">
        <v>1004</v>
      </c>
      <c r="E765" s="30">
        <v>0</v>
      </c>
      <c r="F765" s="30">
        <v>0</v>
      </c>
      <c r="G765" s="30">
        <v>0</v>
      </c>
      <c r="H765" s="30">
        <v>0</v>
      </c>
      <c r="I765" s="50">
        <v>0</v>
      </c>
      <c r="J765" s="50"/>
      <c r="K765" s="50"/>
      <c r="L765" s="36">
        <v>2021</v>
      </c>
      <c r="M765" s="50"/>
      <c r="N765" s="50"/>
    </row>
    <row r="766" spans="1:14" ht="24" customHeight="1" x14ac:dyDescent="0.35">
      <c r="A766" s="30" t="s">
        <v>341</v>
      </c>
      <c r="B766" s="50" t="s">
        <v>87</v>
      </c>
      <c r="C766" s="50" t="s">
        <v>993</v>
      </c>
      <c r="D766" s="30" t="s">
        <v>1005</v>
      </c>
      <c r="E766" s="30">
        <v>4</v>
      </c>
      <c r="F766" s="30">
        <v>2</v>
      </c>
      <c r="G766" s="30">
        <v>0</v>
      </c>
      <c r="H766" s="30">
        <v>0</v>
      </c>
      <c r="I766" s="50">
        <v>6</v>
      </c>
      <c r="J766" s="50"/>
      <c r="K766" s="50"/>
      <c r="L766" s="36">
        <v>2021</v>
      </c>
      <c r="M766" s="50"/>
      <c r="N766" s="50"/>
    </row>
    <row r="767" spans="1:14" ht="24" customHeight="1" x14ac:dyDescent="0.35">
      <c r="A767" s="30" t="s">
        <v>341</v>
      </c>
      <c r="B767" s="50" t="s">
        <v>87</v>
      </c>
      <c r="C767" s="50" t="s">
        <v>993</v>
      </c>
      <c r="D767" s="30" t="s">
        <v>1006</v>
      </c>
      <c r="E767" s="30">
        <v>403535</v>
      </c>
      <c r="F767" s="30">
        <v>123839</v>
      </c>
      <c r="G767" s="30">
        <v>0</v>
      </c>
      <c r="H767" s="30">
        <v>0</v>
      </c>
      <c r="I767" s="50">
        <v>527374</v>
      </c>
      <c r="J767" s="50"/>
      <c r="K767" s="50"/>
      <c r="L767" s="36">
        <v>2021</v>
      </c>
      <c r="M767" s="50"/>
      <c r="N767" s="50"/>
    </row>
    <row r="768" spans="1:14" ht="24" customHeight="1" x14ac:dyDescent="0.35">
      <c r="A768" s="109" t="s">
        <v>341</v>
      </c>
      <c r="B768" s="50" t="s">
        <v>87</v>
      </c>
      <c r="C768" s="50" t="s">
        <v>996</v>
      </c>
      <c r="D768" s="30" t="s">
        <v>1006</v>
      </c>
      <c r="E768" s="109">
        <v>134081</v>
      </c>
      <c r="F768" s="109">
        <v>333705</v>
      </c>
      <c r="G768" s="109">
        <v>5232</v>
      </c>
      <c r="H768" s="109">
        <v>83539</v>
      </c>
      <c r="I768" s="50">
        <v>556557</v>
      </c>
      <c r="J768" s="50"/>
      <c r="K768" s="50"/>
      <c r="L768" s="36">
        <v>2021</v>
      </c>
      <c r="M768" s="50"/>
      <c r="N768" s="50"/>
    </row>
    <row r="769" spans="1:14" ht="24" customHeight="1" x14ac:dyDescent="0.35">
      <c r="A769" s="30" t="s">
        <v>344</v>
      </c>
      <c r="B769" s="50" t="s">
        <v>46</v>
      </c>
      <c r="C769" s="50" t="s">
        <v>996</v>
      </c>
      <c r="D769" s="30" t="s">
        <v>1004</v>
      </c>
      <c r="E769" s="30">
        <v>1</v>
      </c>
      <c r="F769" s="30">
        <v>0</v>
      </c>
      <c r="G769" s="30">
        <v>0</v>
      </c>
      <c r="H769" s="30">
        <v>6</v>
      </c>
      <c r="I769" s="50">
        <v>7</v>
      </c>
      <c r="J769" s="50"/>
      <c r="K769" s="50"/>
      <c r="L769" s="36">
        <v>2021</v>
      </c>
      <c r="M769" s="50"/>
      <c r="N769" s="50"/>
    </row>
    <row r="770" spans="1:14" ht="24" customHeight="1" x14ac:dyDescent="0.35">
      <c r="A770" s="30" t="s">
        <v>344</v>
      </c>
      <c r="B770" s="50" t="s">
        <v>46</v>
      </c>
      <c r="C770" s="50" t="s">
        <v>996</v>
      </c>
      <c r="D770" s="30" t="s">
        <v>1005</v>
      </c>
      <c r="E770" s="30">
        <v>1</v>
      </c>
      <c r="F770" s="30">
        <v>0</v>
      </c>
      <c r="G770" s="30">
        <v>0</v>
      </c>
      <c r="H770" s="30">
        <v>60</v>
      </c>
      <c r="I770" s="50">
        <v>61</v>
      </c>
      <c r="J770" s="50"/>
      <c r="K770" s="50"/>
      <c r="L770" s="36">
        <v>2021</v>
      </c>
      <c r="M770" s="50"/>
      <c r="N770" s="50"/>
    </row>
    <row r="771" spans="1:14" ht="24" customHeight="1" x14ac:dyDescent="0.35">
      <c r="A771" s="30" t="s">
        <v>344</v>
      </c>
      <c r="B771" s="50" t="s">
        <v>46</v>
      </c>
      <c r="C771" s="50" t="s">
        <v>993</v>
      </c>
      <c r="D771" s="30" t="s">
        <v>1004</v>
      </c>
      <c r="E771" s="30">
        <v>0</v>
      </c>
      <c r="F771" s="30">
        <v>0</v>
      </c>
      <c r="G771" s="30">
        <v>0</v>
      </c>
      <c r="H771" s="30">
        <v>1</v>
      </c>
      <c r="I771" s="50">
        <v>1</v>
      </c>
      <c r="J771" s="50"/>
      <c r="K771" s="50"/>
      <c r="L771" s="36">
        <v>2021</v>
      </c>
      <c r="M771" s="50"/>
      <c r="N771" s="50"/>
    </row>
    <row r="772" spans="1:14" ht="24" customHeight="1" x14ac:dyDescent="0.35">
      <c r="A772" s="30" t="s">
        <v>344</v>
      </c>
      <c r="B772" s="50" t="s">
        <v>46</v>
      </c>
      <c r="C772" s="50" t="s">
        <v>993</v>
      </c>
      <c r="D772" s="30" t="s">
        <v>1005</v>
      </c>
      <c r="E772" s="30">
        <v>1</v>
      </c>
      <c r="F772" s="30">
        <v>5</v>
      </c>
      <c r="G772" s="30">
        <v>5</v>
      </c>
      <c r="H772" s="30">
        <v>0</v>
      </c>
      <c r="I772" s="50">
        <v>11</v>
      </c>
      <c r="J772" s="50"/>
      <c r="K772" s="50"/>
      <c r="L772" s="36">
        <v>2021</v>
      </c>
      <c r="M772" s="50"/>
      <c r="N772" s="50"/>
    </row>
    <row r="773" spans="1:14" ht="24" customHeight="1" x14ac:dyDescent="0.35">
      <c r="A773" s="30" t="s">
        <v>344</v>
      </c>
      <c r="B773" s="50" t="s">
        <v>46</v>
      </c>
      <c r="C773" s="50" t="s">
        <v>993</v>
      </c>
      <c r="D773" s="30" t="s">
        <v>1006</v>
      </c>
      <c r="E773" s="30">
        <v>7209</v>
      </c>
      <c r="F773" s="30">
        <v>22316</v>
      </c>
      <c r="G773" s="30">
        <f>2694</f>
        <v>2694</v>
      </c>
      <c r="H773" s="30">
        <v>0</v>
      </c>
      <c r="I773" s="30">
        <v>32219</v>
      </c>
      <c r="J773" s="50"/>
      <c r="K773" s="50"/>
      <c r="L773" s="36">
        <v>2021</v>
      </c>
      <c r="M773" s="50"/>
      <c r="N773" s="50"/>
    </row>
    <row r="774" spans="1:14" ht="24" customHeight="1" x14ac:dyDescent="0.35">
      <c r="A774" s="109" t="s">
        <v>344</v>
      </c>
      <c r="B774" s="50" t="s">
        <v>46</v>
      </c>
      <c r="C774" s="50" t="s">
        <v>996</v>
      </c>
      <c r="D774" s="30" t="s">
        <v>1006</v>
      </c>
      <c r="E774" s="109">
        <v>6392</v>
      </c>
      <c r="F774" s="109">
        <v>0</v>
      </c>
      <c r="G774" s="50"/>
      <c r="H774" s="109">
        <v>153686</v>
      </c>
      <c r="I774" s="30">
        <v>160078</v>
      </c>
      <c r="J774" s="50"/>
      <c r="K774" s="50"/>
      <c r="L774" s="36">
        <v>2021</v>
      </c>
      <c r="M774" s="50"/>
      <c r="N774" s="50"/>
    </row>
    <row r="775" spans="1:14" ht="24" customHeight="1" x14ac:dyDescent="0.35">
      <c r="A775" s="103" t="s">
        <v>75</v>
      </c>
      <c r="B775" s="50" t="s">
        <v>41</v>
      </c>
      <c r="C775" s="50" t="s">
        <v>996</v>
      </c>
      <c r="D775" s="30" t="s">
        <v>1004</v>
      </c>
      <c r="E775" s="30">
        <v>0</v>
      </c>
      <c r="F775" s="30">
        <v>23</v>
      </c>
      <c r="G775" s="30">
        <v>19</v>
      </c>
      <c r="H775" s="30">
        <v>0</v>
      </c>
      <c r="I775" s="50">
        <v>42</v>
      </c>
      <c r="J775" s="50"/>
      <c r="K775" s="50"/>
      <c r="L775" s="36">
        <v>2021</v>
      </c>
      <c r="M775" s="50" t="s">
        <v>41</v>
      </c>
      <c r="N775" s="50" t="s">
        <v>1000</v>
      </c>
    </row>
    <row r="776" spans="1:14" ht="24" customHeight="1" x14ac:dyDescent="0.35">
      <c r="A776" s="103" t="s">
        <v>75</v>
      </c>
      <c r="B776" s="50" t="s">
        <v>41</v>
      </c>
      <c r="C776" s="50" t="s">
        <v>996</v>
      </c>
      <c r="D776" s="30" t="s">
        <v>1005</v>
      </c>
      <c r="E776" s="30">
        <v>10</v>
      </c>
      <c r="F776" s="30">
        <v>178</v>
      </c>
      <c r="G776" s="30">
        <v>978</v>
      </c>
      <c r="H776" s="30">
        <v>10</v>
      </c>
      <c r="I776" s="50">
        <v>1176</v>
      </c>
      <c r="J776" s="50"/>
      <c r="K776" s="50"/>
      <c r="L776" s="36">
        <v>2021</v>
      </c>
      <c r="M776" s="50" t="s">
        <v>41</v>
      </c>
      <c r="N776" s="50" t="s">
        <v>1000</v>
      </c>
    </row>
    <row r="777" spans="1:14" ht="24" customHeight="1" x14ac:dyDescent="0.35">
      <c r="A777" s="103" t="s">
        <v>75</v>
      </c>
      <c r="B777" s="50" t="s">
        <v>41</v>
      </c>
      <c r="C777" s="50" t="s">
        <v>993</v>
      </c>
      <c r="D777" s="30" t="s">
        <v>1004</v>
      </c>
      <c r="E777" s="30">
        <v>0</v>
      </c>
      <c r="F777" s="30">
        <v>0</v>
      </c>
      <c r="G777" s="30">
        <v>0</v>
      </c>
      <c r="H777" s="30">
        <v>0</v>
      </c>
      <c r="I777" s="50">
        <v>0</v>
      </c>
      <c r="J777" s="50"/>
      <c r="K777" s="50"/>
      <c r="L777" s="36">
        <v>2021</v>
      </c>
      <c r="M777" s="50" t="s">
        <v>41</v>
      </c>
      <c r="N777" s="50" t="s">
        <v>1000</v>
      </c>
    </row>
    <row r="778" spans="1:14" ht="24" customHeight="1" x14ac:dyDescent="0.35">
      <c r="A778" s="103" t="s">
        <v>75</v>
      </c>
      <c r="B778" s="50" t="s">
        <v>41</v>
      </c>
      <c r="C778" s="50" t="s">
        <v>993</v>
      </c>
      <c r="D778" s="30" t="s">
        <v>1005</v>
      </c>
      <c r="E778" s="30">
        <v>62</v>
      </c>
      <c r="F778" s="30">
        <v>0</v>
      </c>
      <c r="G778" s="30">
        <v>1</v>
      </c>
      <c r="H778" s="30">
        <v>0</v>
      </c>
      <c r="I778" s="50">
        <v>63</v>
      </c>
      <c r="J778" s="50"/>
      <c r="K778" s="50"/>
      <c r="L778" s="36">
        <v>2021</v>
      </c>
      <c r="M778" s="50" t="s">
        <v>41</v>
      </c>
      <c r="N778" s="50" t="s">
        <v>1000</v>
      </c>
    </row>
    <row r="779" spans="1:14" ht="24" customHeight="1" x14ac:dyDescent="0.35">
      <c r="A779" s="103" t="s">
        <v>75</v>
      </c>
      <c r="B779" s="50" t="s">
        <v>41</v>
      </c>
      <c r="C779" s="50" t="s">
        <v>993</v>
      </c>
      <c r="D779" s="30" t="s">
        <v>1006</v>
      </c>
      <c r="E779" s="30">
        <v>2632599</v>
      </c>
      <c r="F779" s="30">
        <v>0</v>
      </c>
      <c r="G779" s="30">
        <v>11394</v>
      </c>
      <c r="H779" s="30">
        <v>0</v>
      </c>
      <c r="I779" s="50">
        <v>2643993</v>
      </c>
      <c r="J779" s="50"/>
      <c r="K779" s="50"/>
      <c r="L779" s="36">
        <v>2021</v>
      </c>
      <c r="M779" s="50" t="s">
        <v>41</v>
      </c>
      <c r="N779" s="50" t="s">
        <v>1000</v>
      </c>
    </row>
    <row r="780" spans="1:14" ht="24" customHeight="1" x14ac:dyDescent="0.35">
      <c r="A780" s="103" t="s">
        <v>75</v>
      </c>
      <c r="B780" s="50" t="s">
        <v>41</v>
      </c>
      <c r="C780" s="50" t="s">
        <v>996</v>
      </c>
      <c r="D780" s="30" t="s">
        <v>1006</v>
      </c>
      <c r="E780" s="109">
        <v>624852</v>
      </c>
      <c r="F780" s="109">
        <v>3022166</v>
      </c>
      <c r="G780" s="109">
        <v>9985330</v>
      </c>
      <c r="H780" s="109">
        <v>90220</v>
      </c>
      <c r="I780" s="50">
        <v>13722568</v>
      </c>
      <c r="J780" s="50"/>
      <c r="K780" s="50"/>
      <c r="L780" s="36">
        <v>2021</v>
      </c>
      <c r="M780" s="50" t="s">
        <v>41</v>
      </c>
      <c r="N780" s="50" t="s">
        <v>1000</v>
      </c>
    </row>
    <row r="781" spans="1:14" ht="24" customHeight="1" x14ac:dyDescent="0.35">
      <c r="A781" s="30" t="s">
        <v>348</v>
      </c>
      <c r="B781" s="50" t="s">
        <v>255</v>
      </c>
      <c r="C781" s="50" t="s">
        <v>996</v>
      </c>
      <c r="D781" s="30" t="s">
        <v>1004</v>
      </c>
      <c r="E781" s="30">
        <v>0</v>
      </c>
      <c r="F781" s="30">
        <v>1</v>
      </c>
      <c r="G781" s="30">
        <v>0</v>
      </c>
      <c r="H781" s="30">
        <v>7</v>
      </c>
      <c r="I781" s="50">
        <f>+SUM(E781:H781)</f>
        <v>8</v>
      </c>
      <c r="J781" s="50"/>
      <c r="K781" s="50"/>
      <c r="L781" s="36">
        <v>2021</v>
      </c>
      <c r="M781" s="50"/>
      <c r="N781" s="50"/>
    </row>
    <row r="782" spans="1:14" ht="24" customHeight="1" x14ac:dyDescent="0.35">
      <c r="A782" s="30" t="s">
        <v>348</v>
      </c>
      <c r="B782" s="50" t="s">
        <v>255</v>
      </c>
      <c r="C782" s="50" t="s">
        <v>996</v>
      </c>
      <c r="D782" s="30" t="s">
        <v>1005</v>
      </c>
      <c r="E782" s="30">
        <v>2</v>
      </c>
      <c r="F782" s="30">
        <v>2</v>
      </c>
      <c r="G782" s="30">
        <v>20</v>
      </c>
      <c r="H782" s="30">
        <v>13</v>
      </c>
      <c r="I782" s="50">
        <f t="shared" ref="I782:I785" si="2">+SUM(E782:H782)</f>
        <v>37</v>
      </c>
      <c r="J782" s="50"/>
      <c r="K782" s="50"/>
      <c r="L782" s="36">
        <v>2021</v>
      </c>
      <c r="M782" s="50"/>
      <c r="N782" s="50"/>
    </row>
    <row r="783" spans="1:14" ht="24" customHeight="1" x14ac:dyDescent="0.35">
      <c r="A783" s="30" t="s">
        <v>348</v>
      </c>
      <c r="B783" s="50" t="s">
        <v>255</v>
      </c>
      <c r="C783" s="50" t="s">
        <v>993</v>
      </c>
      <c r="D783" s="30" t="s">
        <v>1004</v>
      </c>
      <c r="E783" s="30">
        <v>0</v>
      </c>
      <c r="F783" s="30">
        <v>0</v>
      </c>
      <c r="G783" s="30">
        <v>0</v>
      </c>
      <c r="H783" s="30">
        <v>0</v>
      </c>
      <c r="I783" s="50">
        <f t="shared" si="2"/>
        <v>0</v>
      </c>
      <c r="J783" s="50"/>
      <c r="K783" s="50"/>
      <c r="L783" s="36">
        <v>2021</v>
      </c>
      <c r="M783" s="50"/>
      <c r="N783" s="50"/>
    </row>
    <row r="784" spans="1:14" ht="24" customHeight="1" x14ac:dyDescent="0.35">
      <c r="A784" s="30" t="s">
        <v>348</v>
      </c>
      <c r="B784" s="50" t="s">
        <v>255</v>
      </c>
      <c r="C784" s="50" t="s">
        <v>993</v>
      </c>
      <c r="D784" s="30" t="s">
        <v>1005</v>
      </c>
      <c r="E784" s="30">
        <v>0</v>
      </c>
      <c r="F784" s="30">
        <v>0</v>
      </c>
      <c r="G784" s="30">
        <v>0</v>
      </c>
      <c r="H784" s="30">
        <v>0</v>
      </c>
      <c r="I784" s="50">
        <f t="shared" si="2"/>
        <v>0</v>
      </c>
      <c r="J784" s="50"/>
      <c r="K784" s="50"/>
      <c r="L784" s="36">
        <v>2021</v>
      </c>
      <c r="M784" s="50"/>
      <c r="N784" s="50"/>
    </row>
    <row r="785" spans="1:14" ht="24" customHeight="1" x14ac:dyDescent="0.35">
      <c r="A785" s="30" t="s">
        <v>348</v>
      </c>
      <c r="B785" s="50" t="s">
        <v>255</v>
      </c>
      <c r="C785" s="50" t="s">
        <v>993</v>
      </c>
      <c r="D785" s="30" t="s">
        <v>1006</v>
      </c>
      <c r="E785" s="30">
        <v>0</v>
      </c>
      <c r="F785" s="30">
        <v>0</v>
      </c>
      <c r="G785" s="30">
        <v>0</v>
      </c>
      <c r="H785" s="30">
        <v>0</v>
      </c>
      <c r="I785" s="50">
        <f t="shared" si="2"/>
        <v>0</v>
      </c>
      <c r="J785" s="50"/>
      <c r="K785" s="50"/>
      <c r="L785" s="36">
        <v>2021</v>
      </c>
      <c r="M785" s="50"/>
      <c r="N785" s="50"/>
    </row>
    <row r="786" spans="1:14" ht="24" customHeight="1" x14ac:dyDescent="0.35">
      <c r="A786" s="109" t="s">
        <v>348</v>
      </c>
      <c r="B786" s="50" t="s">
        <v>255</v>
      </c>
      <c r="C786" s="50" t="s">
        <v>996</v>
      </c>
      <c r="D786" s="30" t="s">
        <v>1006</v>
      </c>
      <c r="E786" s="109">
        <v>73884.593999999997</v>
      </c>
      <c r="F786" s="109">
        <v>34874.800000000003</v>
      </c>
      <c r="G786" s="109">
        <v>73277.634000000005</v>
      </c>
      <c r="H786" s="109">
        <v>7125</v>
      </c>
      <c r="I786" s="109">
        <f>+SUM(E786:H786)</f>
        <v>189162.02799999999</v>
      </c>
      <c r="J786" s="50"/>
      <c r="K786" s="50"/>
      <c r="L786" s="36">
        <v>2021</v>
      </c>
      <c r="M786" s="50"/>
      <c r="N786" s="50"/>
    </row>
    <row r="787" spans="1:14" ht="24" customHeight="1" x14ac:dyDescent="0.35">
      <c r="A787" s="30" t="s">
        <v>537</v>
      </c>
      <c r="B787" s="50" t="s">
        <v>255</v>
      </c>
      <c r="C787" s="50" t="s">
        <v>996</v>
      </c>
      <c r="D787" s="30" t="s">
        <v>1004</v>
      </c>
      <c r="E787" s="30">
        <v>0</v>
      </c>
      <c r="F787" s="30">
        <v>0</v>
      </c>
      <c r="G787" s="30">
        <v>0</v>
      </c>
      <c r="H787" s="30">
        <v>0</v>
      </c>
      <c r="I787" s="50">
        <v>0</v>
      </c>
      <c r="J787" s="50"/>
      <c r="K787" s="50"/>
      <c r="L787" s="36">
        <v>2021</v>
      </c>
      <c r="M787" s="50"/>
      <c r="N787" s="50"/>
    </row>
    <row r="788" spans="1:14" ht="24" customHeight="1" x14ac:dyDescent="0.35">
      <c r="A788" s="30" t="s">
        <v>537</v>
      </c>
      <c r="B788" s="50" t="s">
        <v>255</v>
      </c>
      <c r="C788" s="50" t="s">
        <v>996</v>
      </c>
      <c r="D788" s="30" t="s">
        <v>1005</v>
      </c>
      <c r="E788" s="30">
        <v>1</v>
      </c>
      <c r="F788" s="30">
        <v>0</v>
      </c>
      <c r="G788" s="30">
        <v>0</v>
      </c>
      <c r="H788" s="30">
        <v>0</v>
      </c>
      <c r="I788" s="50">
        <v>1</v>
      </c>
      <c r="J788" s="50"/>
      <c r="K788" s="50"/>
      <c r="L788" s="36">
        <v>2021</v>
      </c>
      <c r="M788" s="50"/>
      <c r="N788" s="50"/>
    </row>
    <row r="789" spans="1:14" ht="24" customHeight="1" x14ac:dyDescent="0.35">
      <c r="A789" s="30" t="s">
        <v>537</v>
      </c>
      <c r="B789" s="50" t="s">
        <v>255</v>
      </c>
      <c r="C789" s="50" t="s">
        <v>993</v>
      </c>
      <c r="D789" s="30" t="s">
        <v>1004</v>
      </c>
      <c r="E789" s="30">
        <v>0</v>
      </c>
      <c r="F789" s="30">
        <v>0</v>
      </c>
      <c r="G789" s="30">
        <v>0</v>
      </c>
      <c r="H789" s="30">
        <v>0</v>
      </c>
      <c r="I789" s="50">
        <v>0</v>
      </c>
      <c r="J789" s="50"/>
      <c r="K789" s="50"/>
      <c r="L789" s="36">
        <v>2021</v>
      </c>
      <c r="M789" s="50"/>
      <c r="N789" s="50"/>
    </row>
    <row r="790" spans="1:14" ht="24" customHeight="1" x14ac:dyDescent="0.35">
      <c r="A790" s="30" t="s">
        <v>537</v>
      </c>
      <c r="B790" s="50" t="s">
        <v>255</v>
      </c>
      <c r="C790" s="50" t="s">
        <v>993</v>
      </c>
      <c r="D790" s="30" t="s">
        <v>1005</v>
      </c>
      <c r="E790" s="30">
        <v>0</v>
      </c>
      <c r="F790" s="30">
        <v>0</v>
      </c>
      <c r="G790" s="30">
        <v>0</v>
      </c>
      <c r="H790" s="30">
        <v>0</v>
      </c>
      <c r="I790" s="50">
        <v>0</v>
      </c>
      <c r="J790" s="50"/>
      <c r="K790" s="50"/>
      <c r="L790" s="36">
        <v>2021</v>
      </c>
      <c r="M790" s="50"/>
      <c r="N790" s="50"/>
    </row>
    <row r="791" spans="1:14" ht="24" customHeight="1" x14ac:dyDescent="0.35">
      <c r="A791" s="30" t="s">
        <v>537</v>
      </c>
      <c r="B791" s="50" t="s">
        <v>255</v>
      </c>
      <c r="C791" s="50" t="s">
        <v>993</v>
      </c>
      <c r="D791" s="30" t="s">
        <v>1006</v>
      </c>
      <c r="E791" s="30">
        <v>0</v>
      </c>
      <c r="F791" s="30">
        <v>0</v>
      </c>
      <c r="G791" s="30">
        <v>0</v>
      </c>
      <c r="H791" s="30">
        <v>0</v>
      </c>
      <c r="I791" s="50">
        <v>0</v>
      </c>
      <c r="J791" s="50"/>
      <c r="K791" s="50"/>
      <c r="L791" s="36">
        <v>2021</v>
      </c>
      <c r="M791" s="50"/>
      <c r="N791" s="50"/>
    </row>
    <row r="792" spans="1:14" ht="24" customHeight="1" x14ac:dyDescent="0.35">
      <c r="A792" s="109" t="s">
        <v>537</v>
      </c>
      <c r="B792" s="50" t="s">
        <v>255</v>
      </c>
      <c r="C792" s="50" t="s">
        <v>996</v>
      </c>
      <c r="D792" s="30" t="s">
        <v>1006</v>
      </c>
      <c r="E792" s="109">
        <v>6486</v>
      </c>
      <c r="F792" s="109">
        <v>0</v>
      </c>
      <c r="G792" s="109">
        <v>0</v>
      </c>
      <c r="H792" s="50"/>
      <c r="I792" s="50">
        <v>6486</v>
      </c>
      <c r="J792" s="50"/>
      <c r="K792" s="50"/>
      <c r="L792" s="36">
        <v>2021</v>
      </c>
      <c r="M792" s="50"/>
      <c r="N792" s="50"/>
    </row>
    <row r="793" spans="1:14" ht="24" customHeight="1" x14ac:dyDescent="0.35">
      <c r="A793" s="30" t="s">
        <v>354</v>
      </c>
      <c r="B793" s="50" t="s">
        <v>46</v>
      </c>
      <c r="C793" s="50" t="s">
        <v>996</v>
      </c>
      <c r="D793" s="30" t="s">
        <v>1004</v>
      </c>
      <c r="E793" s="30">
        <v>4</v>
      </c>
      <c r="F793" s="30">
        <v>4</v>
      </c>
      <c r="G793" s="30">
        <v>3</v>
      </c>
      <c r="H793" s="30">
        <v>0</v>
      </c>
      <c r="I793" s="50">
        <v>11</v>
      </c>
      <c r="J793" s="50"/>
      <c r="K793" s="50"/>
      <c r="L793" s="36">
        <v>2021</v>
      </c>
      <c r="M793" s="50"/>
      <c r="N793" s="50"/>
    </row>
    <row r="794" spans="1:14" ht="24" customHeight="1" x14ac:dyDescent="0.35">
      <c r="A794" s="30" t="s">
        <v>354</v>
      </c>
      <c r="B794" s="50" t="s">
        <v>46</v>
      </c>
      <c r="C794" s="50" t="s">
        <v>996</v>
      </c>
      <c r="D794" s="30" t="s">
        <v>1005</v>
      </c>
      <c r="E794" s="30">
        <v>0</v>
      </c>
      <c r="F794" s="30">
        <v>0</v>
      </c>
      <c r="G794" s="30">
        <v>51</v>
      </c>
      <c r="H794" s="30">
        <v>176</v>
      </c>
      <c r="I794" s="50">
        <v>227</v>
      </c>
      <c r="J794" s="50"/>
      <c r="K794" s="50"/>
      <c r="L794" s="36">
        <v>2021</v>
      </c>
      <c r="M794" s="50"/>
      <c r="N794" s="50"/>
    </row>
    <row r="795" spans="1:14" ht="24" customHeight="1" x14ac:dyDescent="0.35">
      <c r="A795" s="30" t="s">
        <v>354</v>
      </c>
      <c r="B795" s="50" t="s">
        <v>46</v>
      </c>
      <c r="C795" s="50" t="s">
        <v>993</v>
      </c>
      <c r="D795" s="30" t="s">
        <v>1004</v>
      </c>
      <c r="E795" s="30">
        <v>0</v>
      </c>
      <c r="F795" s="30">
        <v>0</v>
      </c>
      <c r="G795" s="30">
        <v>0</v>
      </c>
      <c r="H795" s="30">
        <v>0</v>
      </c>
      <c r="I795" s="50">
        <v>0</v>
      </c>
      <c r="J795" s="50"/>
      <c r="K795" s="50"/>
      <c r="L795" s="36">
        <v>2021</v>
      </c>
      <c r="M795" s="50"/>
      <c r="N795" s="50"/>
    </row>
    <row r="796" spans="1:14" ht="24" customHeight="1" x14ac:dyDescent="0.35">
      <c r="A796" s="30" t="s">
        <v>354</v>
      </c>
      <c r="B796" s="50" t="s">
        <v>46</v>
      </c>
      <c r="C796" s="50" t="s">
        <v>993</v>
      </c>
      <c r="D796" s="30" t="s">
        <v>1005</v>
      </c>
      <c r="E796" s="30">
        <v>0</v>
      </c>
      <c r="F796" s="30">
        <v>0</v>
      </c>
      <c r="G796" s="30">
        <v>0</v>
      </c>
      <c r="H796" s="30">
        <v>0</v>
      </c>
      <c r="I796" s="50">
        <v>0</v>
      </c>
      <c r="J796" s="50"/>
      <c r="K796" s="50"/>
      <c r="L796" s="36">
        <v>2021</v>
      </c>
      <c r="M796" s="50"/>
      <c r="N796" s="50"/>
    </row>
    <row r="797" spans="1:14" ht="24" customHeight="1" x14ac:dyDescent="0.35">
      <c r="A797" s="30" t="s">
        <v>354</v>
      </c>
      <c r="B797" s="50" t="s">
        <v>46</v>
      </c>
      <c r="C797" s="50" t="s">
        <v>993</v>
      </c>
      <c r="D797" s="30" t="s">
        <v>1006</v>
      </c>
      <c r="E797" s="30">
        <v>0</v>
      </c>
      <c r="F797" s="30">
        <v>0</v>
      </c>
      <c r="G797" s="30">
        <v>0</v>
      </c>
      <c r="H797" s="30">
        <v>0</v>
      </c>
      <c r="I797" s="50">
        <v>0</v>
      </c>
      <c r="J797" s="50"/>
      <c r="K797" s="50"/>
      <c r="L797" s="36">
        <v>2021</v>
      </c>
      <c r="M797" s="50"/>
      <c r="N797" s="50"/>
    </row>
    <row r="798" spans="1:14" ht="24" customHeight="1" x14ac:dyDescent="0.35">
      <c r="A798" s="109" t="s">
        <v>354</v>
      </c>
      <c r="B798" s="50" t="s">
        <v>46</v>
      </c>
      <c r="C798" s="50" t="s">
        <v>996</v>
      </c>
      <c r="D798" s="30" t="s">
        <v>1006</v>
      </c>
      <c r="E798" s="109">
        <v>4800</v>
      </c>
      <c r="F798" s="30">
        <v>2400</v>
      </c>
      <c r="G798" s="30">
        <v>25750</v>
      </c>
      <c r="H798" s="30">
        <v>70112</v>
      </c>
      <c r="I798" s="50">
        <v>103062</v>
      </c>
      <c r="J798" s="50"/>
      <c r="K798" s="50"/>
      <c r="L798" s="36">
        <v>2021</v>
      </c>
      <c r="M798" s="50"/>
      <c r="N798" s="50"/>
    </row>
    <row r="799" spans="1:14" ht="24" customHeight="1" x14ac:dyDescent="0.35">
      <c r="A799" s="30" t="s">
        <v>540</v>
      </c>
      <c r="B799" s="50" t="s">
        <v>46</v>
      </c>
      <c r="C799" s="50" t="s">
        <v>996</v>
      </c>
      <c r="D799" s="30" t="s">
        <v>1004</v>
      </c>
      <c r="E799" s="30">
        <v>0</v>
      </c>
      <c r="F799" s="30">
        <v>0</v>
      </c>
      <c r="G799" s="30">
        <v>0</v>
      </c>
      <c r="H799" s="30">
        <v>0</v>
      </c>
      <c r="I799" s="50">
        <v>0</v>
      </c>
      <c r="J799" s="50"/>
      <c r="K799" s="50"/>
      <c r="L799" s="36">
        <v>2021</v>
      </c>
      <c r="M799" s="50"/>
      <c r="N799" s="50"/>
    </row>
    <row r="800" spans="1:14" ht="24" customHeight="1" x14ac:dyDescent="0.35">
      <c r="A800" s="30" t="s">
        <v>540</v>
      </c>
      <c r="B800" s="50" t="s">
        <v>46</v>
      </c>
      <c r="C800" s="50" t="s">
        <v>996</v>
      </c>
      <c r="D800" s="30" t="s">
        <v>1005</v>
      </c>
      <c r="E800" s="30">
        <v>1</v>
      </c>
      <c r="F800" s="30">
        <v>0</v>
      </c>
      <c r="G800" s="30">
        <v>0</v>
      </c>
      <c r="H800" s="30">
        <v>0</v>
      </c>
      <c r="I800" s="50">
        <v>1</v>
      </c>
      <c r="J800" s="50"/>
      <c r="K800" s="50"/>
      <c r="L800" s="36">
        <v>2021</v>
      </c>
      <c r="M800" s="50"/>
      <c r="N800" s="50"/>
    </row>
    <row r="801" spans="1:14" ht="24" customHeight="1" x14ac:dyDescent="0.35">
      <c r="A801" s="30" t="s">
        <v>540</v>
      </c>
      <c r="B801" s="50" t="s">
        <v>46</v>
      </c>
      <c r="C801" s="50" t="s">
        <v>993</v>
      </c>
      <c r="D801" s="30" t="s">
        <v>1004</v>
      </c>
      <c r="E801" s="30">
        <v>0</v>
      </c>
      <c r="F801" s="30">
        <v>0</v>
      </c>
      <c r="G801" s="30">
        <v>0</v>
      </c>
      <c r="H801" s="30">
        <v>0</v>
      </c>
      <c r="I801" s="50">
        <v>0</v>
      </c>
      <c r="J801" s="50"/>
      <c r="K801" s="50"/>
      <c r="L801" s="36">
        <v>2021</v>
      </c>
      <c r="M801" s="50"/>
      <c r="N801" s="50"/>
    </row>
    <row r="802" spans="1:14" ht="24" customHeight="1" x14ac:dyDescent="0.35">
      <c r="A802" s="30" t="s">
        <v>540</v>
      </c>
      <c r="B802" s="50" t="s">
        <v>46</v>
      </c>
      <c r="C802" s="50" t="s">
        <v>993</v>
      </c>
      <c r="D802" s="30" t="s">
        <v>1005</v>
      </c>
      <c r="E802" s="30">
        <v>0</v>
      </c>
      <c r="F802" s="30">
        <v>0</v>
      </c>
      <c r="G802" s="30">
        <v>0</v>
      </c>
      <c r="H802" s="30">
        <v>0</v>
      </c>
      <c r="I802" s="50">
        <v>0</v>
      </c>
      <c r="J802" s="50"/>
      <c r="K802" s="50"/>
      <c r="L802" s="36">
        <v>2021</v>
      </c>
      <c r="M802" s="50"/>
      <c r="N802" s="50"/>
    </row>
    <row r="803" spans="1:14" ht="24" customHeight="1" x14ac:dyDescent="0.35">
      <c r="A803" s="30" t="s">
        <v>540</v>
      </c>
      <c r="B803" s="50" t="s">
        <v>46</v>
      </c>
      <c r="C803" s="50" t="s">
        <v>993</v>
      </c>
      <c r="D803" s="30" t="s">
        <v>1006</v>
      </c>
      <c r="E803" s="30">
        <v>0</v>
      </c>
      <c r="F803" s="30">
        <v>0</v>
      </c>
      <c r="G803" s="30">
        <v>0</v>
      </c>
      <c r="H803" s="30">
        <v>0</v>
      </c>
      <c r="I803" s="50">
        <v>0</v>
      </c>
      <c r="J803" s="50"/>
      <c r="K803" s="50"/>
      <c r="L803" s="36">
        <v>2021</v>
      </c>
      <c r="M803" s="50"/>
      <c r="N803" s="50"/>
    </row>
    <row r="804" spans="1:14" ht="24" customHeight="1" x14ac:dyDescent="0.35">
      <c r="A804" s="109" t="s">
        <v>540</v>
      </c>
      <c r="B804" s="50" t="s">
        <v>46</v>
      </c>
      <c r="C804" s="50" t="s">
        <v>996</v>
      </c>
      <c r="D804" s="30" t="s">
        <v>1006</v>
      </c>
      <c r="E804" s="109">
        <v>36000</v>
      </c>
      <c r="F804" s="109">
        <v>0</v>
      </c>
      <c r="G804" s="109">
        <v>0</v>
      </c>
      <c r="H804" s="50"/>
      <c r="I804" s="50">
        <v>36000</v>
      </c>
      <c r="J804" s="50"/>
      <c r="K804" s="50"/>
      <c r="L804" s="36">
        <v>2021</v>
      </c>
      <c r="M804" s="50"/>
      <c r="N804" s="50"/>
    </row>
    <row r="805" spans="1:14" ht="24" customHeight="1" x14ac:dyDescent="0.35">
      <c r="A805" s="30" t="s">
        <v>360</v>
      </c>
      <c r="B805" s="50" t="s">
        <v>87</v>
      </c>
      <c r="C805" s="50" t="s">
        <v>996</v>
      </c>
      <c r="D805" s="30" t="s">
        <v>1004</v>
      </c>
      <c r="E805" s="30">
        <v>0</v>
      </c>
      <c r="F805" s="30">
        <v>1</v>
      </c>
      <c r="G805" s="30">
        <v>1</v>
      </c>
      <c r="H805" s="30">
        <v>1</v>
      </c>
      <c r="I805" s="50">
        <v>3</v>
      </c>
      <c r="J805" s="50"/>
      <c r="K805" s="50"/>
      <c r="L805" s="36">
        <v>2021</v>
      </c>
      <c r="M805" s="50"/>
      <c r="N805" s="50"/>
    </row>
    <row r="806" spans="1:14" ht="24" customHeight="1" x14ac:dyDescent="0.35">
      <c r="A806" s="30" t="s">
        <v>360</v>
      </c>
      <c r="B806" s="50" t="s">
        <v>87</v>
      </c>
      <c r="C806" s="50" t="s">
        <v>996</v>
      </c>
      <c r="D806" s="30" t="s">
        <v>1005</v>
      </c>
      <c r="E806" s="30">
        <v>2</v>
      </c>
      <c r="F806" s="30">
        <v>15</v>
      </c>
      <c r="G806" s="30">
        <v>12</v>
      </c>
      <c r="H806" s="30">
        <v>50</v>
      </c>
      <c r="I806" s="50">
        <v>79</v>
      </c>
      <c r="J806" s="50"/>
      <c r="K806" s="50"/>
      <c r="L806" s="36">
        <v>2021</v>
      </c>
      <c r="M806" s="50"/>
      <c r="N806" s="50"/>
    </row>
    <row r="807" spans="1:14" ht="24" customHeight="1" x14ac:dyDescent="0.35">
      <c r="A807" s="30" t="s">
        <v>360</v>
      </c>
      <c r="B807" s="50" t="s">
        <v>87</v>
      </c>
      <c r="C807" s="50" t="s">
        <v>993</v>
      </c>
      <c r="D807" s="30" t="s">
        <v>1004</v>
      </c>
      <c r="E807" s="30">
        <v>0</v>
      </c>
      <c r="F807" s="30">
        <v>0</v>
      </c>
      <c r="G807" s="30">
        <v>0</v>
      </c>
      <c r="H807" s="30">
        <v>0</v>
      </c>
      <c r="I807" s="50">
        <v>0</v>
      </c>
      <c r="J807" s="50"/>
      <c r="K807" s="50"/>
      <c r="L807" s="36">
        <v>2021</v>
      </c>
      <c r="M807" s="50"/>
      <c r="N807" s="50"/>
    </row>
    <row r="808" spans="1:14" ht="24" customHeight="1" x14ac:dyDescent="0.35">
      <c r="A808" s="30" t="s">
        <v>360</v>
      </c>
      <c r="B808" s="50" t="s">
        <v>87</v>
      </c>
      <c r="C808" s="50" t="s">
        <v>993</v>
      </c>
      <c r="D808" s="30" t="s">
        <v>1005</v>
      </c>
      <c r="E808" s="30">
        <v>3</v>
      </c>
      <c r="F808" s="30">
        <v>0</v>
      </c>
      <c r="G808" s="30">
        <v>0</v>
      </c>
      <c r="H808" s="30">
        <v>0</v>
      </c>
      <c r="I808" s="50">
        <v>3</v>
      </c>
      <c r="J808" s="50"/>
      <c r="K808" s="50"/>
      <c r="L808" s="36">
        <v>2021</v>
      </c>
      <c r="M808" s="50"/>
      <c r="N808" s="50"/>
    </row>
    <row r="809" spans="1:14" ht="24" customHeight="1" x14ac:dyDescent="0.35">
      <c r="A809" s="30" t="s">
        <v>360</v>
      </c>
      <c r="B809" s="50" t="s">
        <v>87</v>
      </c>
      <c r="C809" s="50" t="s">
        <v>993</v>
      </c>
      <c r="D809" s="30" t="s">
        <v>1006</v>
      </c>
      <c r="E809" s="30">
        <v>278908</v>
      </c>
      <c r="F809" s="30">
        <v>0</v>
      </c>
      <c r="G809" s="30">
        <v>0</v>
      </c>
      <c r="H809" s="30">
        <v>0</v>
      </c>
      <c r="I809" s="50">
        <v>278908</v>
      </c>
      <c r="J809" s="50"/>
      <c r="K809" s="50"/>
      <c r="L809" s="36">
        <v>2021</v>
      </c>
      <c r="M809" s="50"/>
      <c r="N809" s="50"/>
    </row>
    <row r="810" spans="1:14" ht="24" customHeight="1" x14ac:dyDescent="0.35">
      <c r="A810" s="109" t="s">
        <v>360</v>
      </c>
      <c r="B810" s="50" t="s">
        <v>87</v>
      </c>
      <c r="C810" s="50" t="s">
        <v>996</v>
      </c>
      <c r="D810" s="30" t="s">
        <v>1006</v>
      </c>
      <c r="E810" s="109">
        <v>116615</v>
      </c>
      <c r="F810" s="109">
        <v>337966</v>
      </c>
      <c r="G810" s="109">
        <v>180053</v>
      </c>
      <c r="H810" s="109">
        <v>165782</v>
      </c>
      <c r="I810" s="50">
        <v>800416</v>
      </c>
      <c r="J810" s="50"/>
      <c r="K810" s="50"/>
      <c r="L810" s="36">
        <v>2021</v>
      </c>
      <c r="M810" s="50"/>
      <c r="N810" s="50"/>
    </row>
    <row r="811" spans="1:14" ht="24" customHeight="1" x14ac:dyDescent="0.35">
      <c r="A811" s="30" t="s">
        <v>547</v>
      </c>
      <c r="B811" s="50" t="s">
        <v>255</v>
      </c>
      <c r="C811" s="50" t="s">
        <v>996</v>
      </c>
      <c r="D811" s="30" t="s">
        <v>1004</v>
      </c>
      <c r="E811" s="30">
        <v>0</v>
      </c>
      <c r="F811" s="30">
        <v>0</v>
      </c>
      <c r="G811" s="30">
        <v>0</v>
      </c>
      <c r="H811" s="30">
        <v>2</v>
      </c>
      <c r="I811" s="50">
        <v>2</v>
      </c>
      <c r="J811" s="50"/>
      <c r="K811" s="50"/>
      <c r="L811" s="36">
        <v>2021</v>
      </c>
      <c r="M811" s="50"/>
      <c r="N811" s="50"/>
    </row>
    <row r="812" spans="1:14" ht="24" customHeight="1" x14ac:dyDescent="0.35">
      <c r="A812" s="30" t="s">
        <v>547</v>
      </c>
      <c r="B812" s="50" t="s">
        <v>255</v>
      </c>
      <c r="C812" s="50" t="s">
        <v>996</v>
      </c>
      <c r="D812" s="30" t="s">
        <v>1005</v>
      </c>
      <c r="E812" s="30">
        <v>2</v>
      </c>
      <c r="F812" s="30">
        <v>3</v>
      </c>
      <c r="G812" s="30">
        <v>6</v>
      </c>
      <c r="H812" s="30">
        <v>15</v>
      </c>
      <c r="I812" s="50">
        <v>26</v>
      </c>
      <c r="J812" s="50"/>
      <c r="K812" s="50"/>
      <c r="L812" s="36">
        <v>2021</v>
      </c>
      <c r="M812" s="50"/>
      <c r="N812" s="50"/>
    </row>
    <row r="813" spans="1:14" ht="24" customHeight="1" x14ac:dyDescent="0.35">
      <c r="A813" s="30" t="s">
        <v>547</v>
      </c>
      <c r="B813" s="50" t="s">
        <v>255</v>
      </c>
      <c r="C813" s="50" t="s">
        <v>993</v>
      </c>
      <c r="D813" s="30" t="s">
        <v>1004</v>
      </c>
      <c r="E813" s="30">
        <v>1</v>
      </c>
      <c r="F813" s="30">
        <v>0</v>
      </c>
      <c r="G813" s="30">
        <v>0</v>
      </c>
      <c r="H813" s="30">
        <v>0</v>
      </c>
      <c r="I813" s="50">
        <v>1</v>
      </c>
      <c r="J813" s="50"/>
      <c r="K813" s="50"/>
      <c r="L813" s="36">
        <v>2021</v>
      </c>
      <c r="M813" s="50"/>
      <c r="N813" s="50"/>
    </row>
    <row r="814" spans="1:14" ht="24" customHeight="1" x14ac:dyDescent="0.35">
      <c r="A814" s="30" t="s">
        <v>547</v>
      </c>
      <c r="B814" s="50" t="s">
        <v>255</v>
      </c>
      <c r="C814" s="50" t="s">
        <v>993</v>
      </c>
      <c r="D814" s="30" t="s">
        <v>1005</v>
      </c>
      <c r="E814" s="30">
        <v>3</v>
      </c>
      <c r="F814" s="30">
        <v>0</v>
      </c>
      <c r="G814" s="30">
        <v>0</v>
      </c>
      <c r="H814" s="30">
        <v>0</v>
      </c>
      <c r="I814" s="50">
        <v>3</v>
      </c>
      <c r="J814" s="50"/>
      <c r="K814" s="50"/>
      <c r="L814" s="36">
        <v>2021</v>
      </c>
      <c r="M814" s="50"/>
      <c r="N814" s="50"/>
    </row>
    <row r="815" spans="1:14" ht="24" customHeight="1" x14ac:dyDescent="0.35">
      <c r="A815" s="30" t="s">
        <v>547</v>
      </c>
      <c r="B815" s="50" t="s">
        <v>255</v>
      </c>
      <c r="C815" s="50" t="s">
        <v>993</v>
      </c>
      <c r="D815" s="30" t="s">
        <v>1006</v>
      </c>
      <c r="E815" s="30">
        <v>114000</v>
      </c>
      <c r="F815" s="30">
        <v>0</v>
      </c>
      <c r="G815" s="30">
        <v>0</v>
      </c>
      <c r="H815" s="30">
        <v>0</v>
      </c>
      <c r="I815" s="50">
        <v>114000</v>
      </c>
      <c r="J815" s="50"/>
      <c r="K815" s="50"/>
      <c r="L815" s="36">
        <v>2021</v>
      </c>
      <c r="M815" s="50"/>
      <c r="N815" s="50"/>
    </row>
    <row r="816" spans="1:14" ht="24" customHeight="1" x14ac:dyDescent="0.35">
      <c r="A816" s="109" t="s">
        <v>547</v>
      </c>
      <c r="B816" s="50" t="s">
        <v>255</v>
      </c>
      <c r="C816" s="50" t="s">
        <v>996</v>
      </c>
      <c r="D816" s="30" t="s">
        <v>1006</v>
      </c>
      <c r="E816" s="109">
        <v>52500</v>
      </c>
      <c r="F816" s="109">
        <v>48000</v>
      </c>
      <c r="G816" s="109">
        <v>27000</v>
      </c>
      <c r="H816" s="109">
        <v>18900</v>
      </c>
      <c r="I816" s="50">
        <v>146400</v>
      </c>
      <c r="J816" s="50"/>
      <c r="K816" s="50"/>
      <c r="L816" s="36">
        <v>2021</v>
      </c>
      <c r="M816" s="50"/>
      <c r="N816" s="50"/>
    </row>
    <row r="817" spans="1:14" ht="24" customHeight="1" x14ac:dyDescent="0.35">
      <c r="A817" s="30" t="s">
        <v>551</v>
      </c>
      <c r="B817" s="50" t="s">
        <v>255</v>
      </c>
      <c r="C817" s="50" t="s">
        <v>996</v>
      </c>
      <c r="D817" s="30" t="s">
        <v>1004</v>
      </c>
      <c r="E817" s="30">
        <v>0</v>
      </c>
      <c r="F817" s="30">
        <v>0</v>
      </c>
      <c r="G817" s="30">
        <v>0</v>
      </c>
      <c r="H817" s="30">
        <v>0</v>
      </c>
      <c r="I817" s="50">
        <v>0</v>
      </c>
      <c r="J817" s="50"/>
      <c r="K817" s="50"/>
      <c r="L817" s="36">
        <v>2021</v>
      </c>
      <c r="M817" s="50"/>
      <c r="N817" s="50"/>
    </row>
    <row r="818" spans="1:14" ht="24" customHeight="1" x14ac:dyDescent="0.35">
      <c r="A818" s="30" t="s">
        <v>551</v>
      </c>
      <c r="B818" s="50" t="s">
        <v>255</v>
      </c>
      <c r="C818" s="50" t="s">
        <v>996</v>
      </c>
      <c r="D818" s="30" t="s">
        <v>1005</v>
      </c>
      <c r="E818" s="30">
        <v>0</v>
      </c>
      <c r="F818" s="30">
        <v>0</v>
      </c>
      <c r="G818" s="30">
        <v>0</v>
      </c>
      <c r="H818" s="30">
        <v>4</v>
      </c>
      <c r="I818" s="50">
        <v>4</v>
      </c>
      <c r="J818" s="50"/>
      <c r="K818" s="50"/>
      <c r="L818" s="36">
        <v>2021</v>
      </c>
      <c r="M818" s="50"/>
      <c r="N818" s="50"/>
    </row>
    <row r="819" spans="1:14" ht="24" customHeight="1" x14ac:dyDescent="0.35">
      <c r="A819" s="30" t="s">
        <v>551</v>
      </c>
      <c r="B819" s="50" t="s">
        <v>255</v>
      </c>
      <c r="C819" s="50" t="s">
        <v>993</v>
      </c>
      <c r="D819" s="30" t="s">
        <v>1004</v>
      </c>
      <c r="E819" s="30">
        <v>0</v>
      </c>
      <c r="F819" s="30">
        <v>0</v>
      </c>
      <c r="G819" s="30">
        <v>0</v>
      </c>
      <c r="H819" s="30">
        <v>0</v>
      </c>
      <c r="I819" s="50">
        <v>0</v>
      </c>
      <c r="J819" s="50"/>
      <c r="K819" s="50"/>
      <c r="L819" s="36">
        <v>2021</v>
      </c>
      <c r="M819" s="50"/>
      <c r="N819" s="50"/>
    </row>
    <row r="820" spans="1:14" ht="24" customHeight="1" x14ac:dyDescent="0.35">
      <c r="A820" s="30" t="s">
        <v>551</v>
      </c>
      <c r="B820" s="50" t="s">
        <v>255</v>
      </c>
      <c r="C820" s="50" t="s">
        <v>993</v>
      </c>
      <c r="D820" s="30" t="s">
        <v>1005</v>
      </c>
      <c r="E820" s="30">
        <v>0</v>
      </c>
      <c r="F820" s="30">
        <v>0</v>
      </c>
      <c r="G820" s="30">
        <v>0</v>
      </c>
      <c r="H820" s="30">
        <v>0</v>
      </c>
      <c r="I820" s="50">
        <v>0</v>
      </c>
      <c r="J820" s="50"/>
      <c r="K820" s="50"/>
      <c r="L820" s="36">
        <v>2021</v>
      </c>
      <c r="M820" s="50"/>
      <c r="N820" s="50"/>
    </row>
    <row r="821" spans="1:14" ht="24" customHeight="1" x14ac:dyDescent="0.35">
      <c r="A821" s="30" t="s">
        <v>551</v>
      </c>
      <c r="B821" s="50" t="s">
        <v>255</v>
      </c>
      <c r="C821" s="50" t="s">
        <v>993</v>
      </c>
      <c r="D821" s="30" t="s">
        <v>1006</v>
      </c>
      <c r="E821" s="30">
        <v>0</v>
      </c>
      <c r="F821" s="30">
        <v>0</v>
      </c>
      <c r="G821" s="30">
        <v>0</v>
      </c>
      <c r="H821" s="30">
        <v>0</v>
      </c>
      <c r="I821" s="50">
        <v>0</v>
      </c>
      <c r="J821" s="50"/>
      <c r="K821" s="50"/>
      <c r="L821" s="36">
        <v>2021</v>
      </c>
      <c r="M821" s="50"/>
      <c r="N821" s="50"/>
    </row>
    <row r="822" spans="1:14" ht="24" customHeight="1" x14ac:dyDescent="0.35">
      <c r="A822" s="109" t="s">
        <v>551</v>
      </c>
      <c r="B822" s="50" t="s">
        <v>255</v>
      </c>
      <c r="C822" s="50" t="s">
        <v>996</v>
      </c>
      <c r="D822" s="30" t="s">
        <v>1006</v>
      </c>
      <c r="E822" s="109">
        <v>0</v>
      </c>
      <c r="F822" s="109">
        <v>0</v>
      </c>
      <c r="G822" s="109"/>
      <c r="H822" s="109">
        <v>28438</v>
      </c>
      <c r="I822" s="50">
        <v>28438</v>
      </c>
      <c r="J822" s="50"/>
      <c r="K822" s="50"/>
      <c r="L822" s="36">
        <v>2021</v>
      </c>
      <c r="M822" s="50"/>
      <c r="N822" s="50"/>
    </row>
    <row r="823" spans="1:14" ht="24" customHeight="1" x14ac:dyDescent="0.35">
      <c r="A823" s="30" t="s">
        <v>373</v>
      </c>
      <c r="B823" s="50" t="s">
        <v>41</v>
      </c>
      <c r="C823" s="50" t="s">
        <v>996</v>
      </c>
      <c r="D823" s="30" t="s">
        <v>1004</v>
      </c>
      <c r="E823" s="30">
        <v>3</v>
      </c>
      <c r="F823" s="30">
        <v>0</v>
      </c>
      <c r="G823" s="30">
        <v>14</v>
      </c>
      <c r="H823" s="30">
        <v>9</v>
      </c>
      <c r="I823" s="50">
        <v>26</v>
      </c>
      <c r="J823" s="50"/>
      <c r="K823" s="50"/>
      <c r="L823" s="36">
        <v>2021</v>
      </c>
      <c r="M823" s="50"/>
      <c r="N823" s="50"/>
    </row>
    <row r="824" spans="1:14" ht="24" customHeight="1" x14ac:dyDescent="0.35">
      <c r="A824" s="30" t="s">
        <v>373</v>
      </c>
      <c r="B824" s="50" t="s">
        <v>41</v>
      </c>
      <c r="C824" s="50" t="s">
        <v>996</v>
      </c>
      <c r="D824" s="30" t="s">
        <v>1005</v>
      </c>
      <c r="E824" s="30">
        <v>44</v>
      </c>
      <c r="F824" s="30">
        <v>6</v>
      </c>
      <c r="G824" s="30">
        <v>67</v>
      </c>
      <c r="H824" s="30">
        <v>123</v>
      </c>
      <c r="I824" s="50">
        <v>240</v>
      </c>
      <c r="J824" s="50"/>
      <c r="K824" s="50"/>
      <c r="L824" s="36">
        <v>2021</v>
      </c>
      <c r="M824" s="50"/>
      <c r="N824" s="50"/>
    </row>
    <row r="825" spans="1:14" ht="24" customHeight="1" x14ac:dyDescent="0.35">
      <c r="A825" s="30" t="s">
        <v>373</v>
      </c>
      <c r="B825" s="50" t="s">
        <v>41</v>
      </c>
      <c r="C825" s="50" t="s">
        <v>993</v>
      </c>
      <c r="D825" s="30" t="s">
        <v>1004</v>
      </c>
      <c r="E825" s="30">
        <v>3</v>
      </c>
      <c r="F825" s="30">
        <v>0</v>
      </c>
      <c r="G825" s="30">
        <v>0</v>
      </c>
      <c r="H825" s="30">
        <v>0</v>
      </c>
      <c r="I825" s="50">
        <v>3</v>
      </c>
      <c r="J825" s="50"/>
      <c r="K825" s="50"/>
      <c r="L825" s="36">
        <v>2021</v>
      </c>
      <c r="M825" s="50"/>
      <c r="N825" s="50"/>
    </row>
    <row r="826" spans="1:14" ht="24" customHeight="1" x14ac:dyDescent="0.35">
      <c r="A826" s="30" t="s">
        <v>373</v>
      </c>
      <c r="B826" s="50" t="s">
        <v>41</v>
      </c>
      <c r="C826" s="50" t="s">
        <v>993</v>
      </c>
      <c r="D826" s="30" t="s">
        <v>1005</v>
      </c>
      <c r="E826" s="30">
        <v>46</v>
      </c>
      <c r="F826" s="30">
        <v>0</v>
      </c>
      <c r="G826" s="30">
        <v>0</v>
      </c>
      <c r="H826" s="30">
        <v>0</v>
      </c>
      <c r="I826" s="50">
        <v>46</v>
      </c>
      <c r="J826" s="50"/>
      <c r="K826" s="50"/>
      <c r="L826" s="36">
        <v>2021</v>
      </c>
      <c r="M826" s="50"/>
      <c r="N826" s="50"/>
    </row>
    <row r="827" spans="1:14" ht="24" customHeight="1" x14ac:dyDescent="0.35">
      <c r="A827" s="30" t="s">
        <v>373</v>
      </c>
      <c r="B827" s="50" t="s">
        <v>41</v>
      </c>
      <c r="C827" s="50" t="s">
        <v>993</v>
      </c>
      <c r="D827" s="30" t="s">
        <v>1006</v>
      </c>
      <c r="E827" s="30">
        <v>4442000</v>
      </c>
      <c r="F827" s="30">
        <v>0</v>
      </c>
      <c r="G827" s="30">
        <v>0</v>
      </c>
      <c r="H827" s="30">
        <v>0</v>
      </c>
      <c r="I827" s="50">
        <v>4442000</v>
      </c>
      <c r="J827" s="50"/>
      <c r="K827" s="50"/>
      <c r="L827" s="36">
        <v>2021</v>
      </c>
      <c r="M827" s="50"/>
      <c r="N827" s="50"/>
    </row>
    <row r="828" spans="1:14" ht="24" customHeight="1" x14ac:dyDescent="0.35">
      <c r="A828" s="109" t="s">
        <v>373</v>
      </c>
      <c r="B828" s="50" t="s">
        <v>41</v>
      </c>
      <c r="C828" s="50" t="s">
        <v>996</v>
      </c>
      <c r="D828" s="30" t="s">
        <v>1006</v>
      </c>
      <c r="E828" s="109">
        <v>1422470</v>
      </c>
      <c r="F828" s="109">
        <v>88422</v>
      </c>
      <c r="G828" s="109">
        <v>995000</v>
      </c>
      <c r="H828" s="109">
        <v>620000</v>
      </c>
      <c r="I828" s="50">
        <v>3125892</v>
      </c>
      <c r="J828" s="50"/>
      <c r="K828" s="50"/>
      <c r="L828" s="36">
        <v>2021</v>
      </c>
      <c r="M828" s="50"/>
      <c r="N828" s="50"/>
    </row>
    <row r="829" spans="1:14" ht="24" customHeight="1" x14ac:dyDescent="0.35">
      <c r="A829" s="30" t="s">
        <v>374</v>
      </c>
      <c r="B829" s="50" t="s">
        <v>41</v>
      </c>
      <c r="C829" s="50" t="s">
        <v>996</v>
      </c>
      <c r="D829" s="30" t="s">
        <v>1004</v>
      </c>
      <c r="E829" s="30">
        <v>1</v>
      </c>
      <c r="F829" s="30">
        <v>0</v>
      </c>
      <c r="G829" s="30">
        <v>1</v>
      </c>
      <c r="H829" s="30">
        <v>1</v>
      </c>
      <c r="I829" s="50">
        <v>3</v>
      </c>
      <c r="J829" s="50"/>
      <c r="K829" s="50"/>
      <c r="L829" s="36">
        <v>2021</v>
      </c>
      <c r="M829" s="50"/>
      <c r="N829" s="50"/>
    </row>
    <row r="830" spans="1:14" ht="24" customHeight="1" x14ac:dyDescent="0.35">
      <c r="A830" s="30" t="s">
        <v>374</v>
      </c>
      <c r="B830" s="50" t="s">
        <v>41</v>
      </c>
      <c r="C830" s="50" t="s">
        <v>996</v>
      </c>
      <c r="D830" s="30" t="s">
        <v>1005</v>
      </c>
      <c r="E830" s="30">
        <v>3</v>
      </c>
      <c r="F830" s="30">
        <v>0</v>
      </c>
      <c r="G830" s="30">
        <v>4</v>
      </c>
      <c r="H830" s="30">
        <v>6</v>
      </c>
      <c r="I830" s="50">
        <v>13</v>
      </c>
      <c r="J830" s="50"/>
      <c r="K830" s="50"/>
      <c r="L830" s="36">
        <v>2021</v>
      </c>
      <c r="M830" s="50"/>
      <c r="N830" s="50"/>
    </row>
    <row r="831" spans="1:14" ht="24" customHeight="1" x14ac:dyDescent="0.35">
      <c r="A831" s="30" t="s">
        <v>374</v>
      </c>
      <c r="B831" s="50" t="s">
        <v>41</v>
      </c>
      <c r="C831" s="50" t="s">
        <v>993</v>
      </c>
      <c r="D831" s="30" t="s">
        <v>1004</v>
      </c>
      <c r="E831" s="30">
        <v>0</v>
      </c>
      <c r="F831" s="30">
        <v>0</v>
      </c>
      <c r="G831" s="30">
        <v>0</v>
      </c>
      <c r="H831" s="30">
        <v>0</v>
      </c>
      <c r="I831" s="50">
        <v>0</v>
      </c>
      <c r="J831" s="50"/>
      <c r="K831" s="50"/>
      <c r="L831" s="36">
        <v>2021</v>
      </c>
      <c r="M831" s="50"/>
      <c r="N831" s="50"/>
    </row>
    <row r="832" spans="1:14" ht="24" customHeight="1" x14ac:dyDescent="0.35">
      <c r="A832" s="30" t="s">
        <v>374</v>
      </c>
      <c r="B832" s="50" t="s">
        <v>41</v>
      </c>
      <c r="C832" s="50" t="s">
        <v>993</v>
      </c>
      <c r="D832" s="30" t="s">
        <v>1005</v>
      </c>
      <c r="E832" s="30">
        <v>0</v>
      </c>
      <c r="F832" s="30">
        <v>0</v>
      </c>
      <c r="G832" s="30">
        <v>0</v>
      </c>
      <c r="H832" s="30">
        <v>0</v>
      </c>
      <c r="I832" s="50">
        <v>0</v>
      </c>
      <c r="J832" s="50"/>
      <c r="K832" s="50"/>
      <c r="L832" s="36">
        <v>2021</v>
      </c>
      <c r="M832" s="50"/>
      <c r="N832" s="50"/>
    </row>
    <row r="833" spans="1:14" ht="24" customHeight="1" x14ac:dyDescent="0.35">
      <c r="A833" s="30" t="s">
        <v>374</v>
      </c>
      <c r="B833" s="50" t="s">
        <v>41</v>
      </c>
      <c r="C833" s="50" t="s">
        <v>993</v>
      </c>
      <c r="D833" s="30" t="s">
        <v>1006</v>
      </c>
      <c r="E833" s="30">
        <v>0</v>
      </c>
      <c r="F833" s="30">
        <v>0</v>
      </c>
      <c r="G833" s="30">
        <v>0</v>
      </c>
      <c r="H833" s="30">
        <v>0</v>
      </c>
      <c r="I833" s="50">
        <v>0</v>
      </c>
      <c r="J833" s="50"/>
      <c r="K833" s="50"/>
      <c r="L833" s="36">
        <v>2021</v>
      </c>
      <c r="M833" s="50"/>
      <c r="N833" s="50"/>
    </row>
    <row r="834" spans="1:14" ht="24" customHeight="1" x14ac:dyDescent="0.35">
      <c r="A834" s="109" t="s">
        <v>374</v>
      </c>
      <c r="B834" s="50" t="s">
        <v>41</v>
      </c>
      <c r="C834" s="50" t="s">
        <v>996</v>
      </c>
      <c r="D834" s="30" t="s">
        <v>1006</v>
      </c>
      <c r="E834" s="109">
        <v>129670</v>
      </c>
      <c r="F834" s="50"/>
      <c r="G834" s="109">
        <v>14565</v>
      </c>
      <c r="H834" s="109">
        <v>11308</v>
      </c>
      <c r="I834" s="50">
        <v>155543</v>
      </c>
      <c r="J834" s="50"/>
      <c r="K834" s="50"/>
      <c r="L834" s="36">
        <v>2021</v>
      </c>
      <c r="M834" s="50"/>
      <c r="N834" s="50"/>
    </row>
    <row r="835" spans="1:14" ht="24" customHeight="1" x14ac:dyDescent="0.35">
      <c r="A835" s="30" t="s">
        <v>376</v>
      </c>
      <c r="B835" s="50" t="s">
        <v>41</v>
      </c>
      <c r="C835" s="50" t="s">
        <v>996</v>
      </c>
      <c r="D835" s="30" t="s">
        <v>1004</v>
      </c>
      <c r="E835" s="30">
        <v>7</v>
      </c>
      <c r="F835" s="30">
        <f>15+1</f>
        <v>16</v>
      </c>
      <c r="G835" s="30">
        <f>35+10</f>
        <v>45</v>
      </c>
      <c r="H835" s="30">
        <f>25+54</f>
        <v>79</v>
      </c>
      <c r="I835" s="50">
        <f>+SUM(E835:H835)</f>
        <v>147</v>
      </c>
      <c r="J835" s="50"/>
      <c r="K835" s="50"/>
      <c r="L835" s="36">
        <v>2021</v>
      </c>
      <c r="M835" s="50"/>
      <c r="N835" s="50"/>
    </row>
    <row r="836" spans="1:14" ht="24" customHeight="1" x14ac:dyDescent="0.35">
      <c r="A836" s="30" t="s">
        <v>376</v>
      </c>
      <c r="B836" s="50" t="s">
        <v>41</v>
      </c>
      <c r="C836" s="50" t="s">
        <v>996</v>
      </c>
      <c r="D836" s="30" t="s">
        <v>1005</v>
      </c>
      <c r="E836" s="30">
        <v>59</v>
      </c>
      <c r="F836" s="30">
        <f>104+32</f>
        <v>136</v>
      </c>
      <c r="G836" s="30">
        <f>399+46</f>
        <v>445</v>
      </c>
      <c r="H836" s="30">
        <f>382+494</f>
        <v>876</v>
      </c>
      <c r="I836" s="50">
        <f t="shared" ref="I836:I840" si="3">+SUM(E836:H836)</f>
        <v>1516</v>
      </c>
      <c r="J836" s="50"/>
      <c r="K836" s="50"/>
      <c r="L836" s="36">
        <v>2021</v>
      </c>
      <c r="M836" s="50"/>
      <c r="N836" s="50"/>
    </row>
    <row r="837" spans="1:14" ht="24" customHeight="1" x14ac:dyDescent="0.35">
      <c r="A837" s="30" t="s">
        <v>376</v>
      </c>
      <c r="B837" s="50" t="s">
        <v>41</v>
      </c>
      <c r="C837" s="50" t="s">
        <v>993</v>
      </c>
      <c r="D837" s="30" t="s">
        <v>1004</v>
      </c>
      <c r="E837" s="30">
        <v>3</v>
      </c>
      <c r="F837" s="30">
        <v>0</v>
      </c>
      <c r="G837" s="30">
        <v>0</v>
      </c>
      <c r="H837" s="30">
        <v>0</v>
      </c>
      <c r="I837" s="50">
        <f t="shared" si="3"/>
        <v>3</v>
      </c>
      <c r="J837" s="50"/>
      <c r="K837" s="50"/>
      <c r="L837" s="36">
        <v>2021</v>
      </c>
      <c r="M837" s="50"/>
      <c r="N837" s="50"/>
    </row>
    <row r="838" spans="1:14" ht="24" customHeight="1" x14ac:dyDescent="0.35">
      <c r="A838" s="30" t="s">
        <v>376</v>
      </c>
      <c r="B838" s="50" t="s">
        <v>41</v>
      </c>
      <c r="C838" s="50" t="s">
        <v>993</v>
      </c>
      <c r="D838" s="30" t="s">
        <v>1005</v>
      </c>
      <c r="E838" s="30">
        <v>86</v>
      </c>
      <c r="F838" s="30"/>
      <c r="G838" s="30">
        <v>0</v>
      </c>
      <c r="H838" s="30">
        <v>0</v>
      </c>
      <c r="I838" s="50">
        <f t="shared" si="3"/>
        <v>86</v>
      </c>
      <c r="J838" s="50"/>
      <c r="K838" s="50"/>
      <c r="L838" s="36">
        <v>2021</v>
      </c>
      <c r="M838" s="50"/>
      <c r="N838" s="50"/>
    </row>
    <row r="839" spans="1:14" ht="24" customHeight="1" x14ac:dyDescent="0.35">
      <c r="A839" s="30" t="s">
        <v>376</v>
      </c>
      <c r="B839" s="50" t="s">
        <v>41</v>
      </c>
      <c r="C839" s="50" t="s">
        <v>993</v>
      </c>
      <c r="D839" s="30" t="s">
        <v>1006</v>
      </c>
      <c r="E839" s="30">
        <f>9362+1811741+78533</f>
        <v>1899636</v>
      </c>
      <c r="F839" s="30"/>
      <c r="G839" s="30">
        <v>0</v>
      </c>
      <c r="H839" s="30">
        <v>0</v>
      </c>
      <c r="I839" s="50">
        <f t="shared" si="3"/>
        <v>1899636</v>
      </c>
      <c r="J839" s="50"/>
      <c r="K839" s="50"/>
      <c r="L839" s="36">
        <v>2021</v>
      </c>
      <c r="M839" s="50"/>
      <c r="N839" s="50"/>
    </row>
    <row r="840" spans="1:14" ht="24" customHeight="1" x14ac:dyDescent="0.35">
      <c r="A840" s="109" t="s">
        <v>376</v>
      </c>
      <c r="B840" s="50" t="s">
        <v>41</v>
      </c>
      <c r="C840" s="50" t="s">
        <v>996</v>
      </c>
      <c r="D840" s="30" t="s">
        <v>1006</v>
      </c>
      <c r="E840" s="109">
        <v>2858771</v>
      </c>
      <c r="F840" s="109">
        <v>3295949</v>
      </c>
      <c r="G840" s="109">
        <v>8285864</v>
      </c>
      <c r="H840" s="109">
        <v>5076662</v>
      </c>
      <c r="I840" s="50">
        <f t="shared" si="3"/>
        <v>19517246</v>
      </c>
      <c r="J840" s="50"/>
      <c r="K840" s="50"/>
      <c r="L840" s="36">
        <v>2021</v>
      </c>
      <c r="M840" s="50"/>
      <c r="N840" s="50"/>
    </row>
    <row r="841" spans="1:14" ht="24" customHeight="1" x14ac:dyDescent="0.35">
      <c r="A841" s="30" t="s">
        <v>377</v>
      </c>
      <c r="B841" s="50" t="s">
        <v>255</v>
      </c>
      <c r="C841" s="50" t="s">
        <v>996</v>
      </c>
      <c r="D841" s="30" t="s">
        <v>1004</v>
      </c>
      <c r="E841" s="30">
        <v>0</v>
      </c>
      <c r="F841" s="30">
        <v>1</v>
      </c>
      <c r="G841" s="30">
        <v>0</v>
      </c>
      <c r="H841" s="30">
        <v>1</v>
      </c>
      <c r="I841" s="50">
        <v>2</v>
      </c>
      <c r="J841" s="50"/>
      <c r="K841" s="50"/>
      <c r="L841" s="36">
        <v>2021</v>
      </c>
      <c r="M841" s="50"/>
      <c r="N841" s="50"/>
    </row>
    <row r="842" spans="1:14" ht="24" customHeight="1" x14ac:dyDescent="0.35">
      <c r="A842" s="30" t="s">
        <v>377</v>
      </c>
      <c r="B842" s="50" t="s">
        <v>255</v>
      </c>
      <c r="C842" s="50" t="s">
        <v>996</v>
      </c>
      <c r="D842" s="30" t="s">
        <v>1005</v>
      </c>
      <c r="E842" s="30">
        <v>8</v>
      </c>
      <c r="F842" s="30">
        <v>5</v>
      </c>
      <c r="G842" s="30">
        <v>8</v>
      </c>
      <c r="H842" s="30">
        <v>16</v>
      </c>
      <c r="I842" s="50">
        <v>37</v>
      </c>
      <c r="J842" s="50"/>
      <c r="K842" s="50"/>
      <c r="L842" s="36">
        <v>2021</v>
      </c>
      <c r="M842" s="50"/>
      <c r="N842" s="50"/>
    </row>
    <row r="843" spans="1:14" ht="24" customHeight="1" x14ac:dyDescent="0.35">
      <c r="A843" s="30" t="s">
        <v>377</v>
      </c>
      <c r="B843" s="50" t="s">
        <v>255</v>
      </c>
      <c r="C843" s="50" t="s">
        <v>993</v>
      </c>
      <c r="D843" s="30" t="s">
        <v>1004</v>
      </c>
      <c r="E843" s="30">
        <v>0</v>
      </c>
      <c r="F843" s="30">
        <v>0</v>
      </c>
      <c r="G843" s="30">
        <v>0</v>
      </c>
      <c r="H843" s="30">
        <v>0</v>
      </c>
      <c r="I843" s="50">
        <v>0</v>
      </c>
      <c r="J843" s="50"/>
      <c r="K843" s="50"/>
      <c r="L843" s="36">
        <v>2021</v>
      </c>
      <c r="M843" s="50"/>
      <c r="N843" s="50"/>
    </row>
    <row r="844" spans="1:14" ht="24" customHeight="1" x14ac:dyDescent="0.35">
      <c r="A844" s="30" t="s">
        <v>377</v>
      </c>
      <c r="B844" s="50" t="s">
        <v>255</v>
      </c>
      <c r="C844" s="50" t="s">
        <v>993</v>
      </c>
      <c r="D844" s="30" t="s">
        <v>1005</v>
      </c>
      <c r="E844" s="30">
        <v>0</v>
      </c>
      <c r="F844" s="30">
        <v>0</v>
      </c>
      <c r="G844" s="30">
        <v>0</v>
      </c>
      <c r="H844" s="30">
        <v>0</v>
      </c>
      <c r="I844" s="50">
        <v>0</v>
      </c>
      <c r="J844" s="50"/>
      <c r="K844" s="50"/>
      <c r="L844" s="36">
        <v>2021</v>
      </c>
      <c r="M844" s="50"/>
      <c r="N844" s="50"/>
    </row>
    <row r="845" spans="1:14" ht="24" customHeight="1" x14ac:dyDescent="0.35">
      <c r="A845" s="30" t="s">
        <v>377</v>
      </c>
      <c r="B845" s="50" t="s">
        <v>255</v>
      </c>
      <c r="C845" s="50" t="s">
        <v>993</v>
      </c>
      <c r="D845" s="30" t="s">
        <v>1006</v>
      </c>
      <c r="E845" s="30">
        <v>0</v>
      </c>
      <c r="F845" s="30">
        <v>0</v>
      </c>
      <c r="G845" s="30">
        <v>0</v>
      </c>
      <c r="H845" s="30">
        <v>0</v>
      </c>
      <c r="I845" s="50">
        <v>0</v>
      </c>
      <c r="J845" s="50"/>
      <c r="K845" s="50"/>
      <c r="L845" s="36">
        <v>2021</v>
      </c>
      <c r="M845" s="50"/>
      <c r="N845" s="50"/>
    </row>
    <row r="846" spans="1:14" ht="24" customHeight="1" x14ac:dyDescent="0.35">
      <c r="A846" s="109" t="s">
        <v>377</v>
      </c>
      <c r="B846" s="50" t="s">
        <v>255</v>
      </c>
      <c r="C846" s="50" t="s">
        <v>996</v>
      </c>
      <c r="D846" s="30" t="s">
        <v>1006</v>
      </c>
      <c r="E846" s="109">
        <v>66035</v>
      </c>
      <c r="F846" s="109">
        <v>40514</v>
      </c>
      <c r="G846" s="109">
        <v>36949</v>
      </c>
      <c r="H846" s="109">
        <v>39280</v>
      </c>
      <c r="I846" s="50">
        <v>182778</v>
      </c>
      <c r="J846" s="50"/>
      <c r="K846" s="50"/>
      <c r="L846" s="36">
        <v>2021</v>
      </c>
      <c r="M846" s="50"/>
      <c r="N846" s="50"/>
    </row>
    <row r="847" spans="1:14" ht="24" customHeight="1" x14ac:dyDescent="0.35">
      <c r="A847" s="30" t="s">
        <v>382</v>
      </c>
      <c r="B847" s="50" t="s">
        <v>41</v>
      </c>
      <c r="C847" s="50" t="s">
        <v>996</v>
      </c>
      <c r="D847" s="30" t="s">
        <v>1004</v>
      </c>
      <c r="E847" s="30">
        <v>0</v>
      </c>
      <c r="F847" s="30">
        <v>0</v>
      </c>
      <c r="G847" s="30">
        <v>1</v>
      </c>
      <c r="H847" s="30">
        <v>2</v>
      </c>
      <c r="I847" s="50">
        <v>3</v>
      </c>
      <c r="J847" s="50"/>
      <c r="K847" s="50"/>
      <c r="L847" s="36">
        <v>2021</v>
      </c>
      <c r="M847" s="50"/>
      <c r="N847" s="50"/>
    </row>
    <row r="848" spans="1:14" ht="24" customHeight="1" x14ac:dyDescent="0.35">
      <c r="A848" s="30" t="s">
        <v>382</v>
      </c>
      <c r="B848" s="50" t="s">
        <v>41</v>
      </c>
      <c r="C848" s="50" t="s">
        <v>996</v>
      </c>
      <c r="D848" s="30" t="s">
        <v>1005</v>
      </c>
      <c r="E848" s="30">
        <v>2</v>
      </c>
      <c r="F848" s="30">
        <v>6</v>
      </c>
      <c r="G848" s="30">
        <v>14</v>
      </c>
      <c r="H848" s="30">
        <v>51</v>
      </c>
      <c r="I848" s="50">
        <v>73</v>
      </c>
      <c r="J848" s="50"/>
      <c r="K848" s="50"/>
      <c r="L848" s="36">
        <v>2021</v>
      </c>
      <c r="M848" s="50"/>
      <c r="N848" s="50"/>
    </row>
    <row r="849" spans="1:14" ht="24" customHeight="1" x14ac:dyDescent="0.35">
      <c r="A849" s="30" t="s">
        <v>382</v>
      </c>
      <c r="B849" s="50" t="s">
        <v>41</v>
      </c>
      <c r="C849" s="50" t="s">
        <v>993</v>
      </c>
      <c r="D849" s="30" t="s">
        <v>1004</v>
      </c>
      <c r="E849" s="30">
        <v>0</v>
      </c>
      <c r="F849" s="30">
        <v>0</v>
      </c>
      <c r="G849" s="30">
        <v>0</v>
      </c>
      <c r="H849" s="30">
        <v>0</v>
      </c>
      <c r="I849" s="50">
        <v>0</v>
      </c>
      <c r="J849" s="50"/>
      <c r="K849" s="50"/>
      <c r="L849" s="36">
        <v>2021</v>
      </c>
      <c r="M849" s="50"/>
      <c r="N849" s="50"/>
    </row>
    <row r="850" spans="1:14" ht="24" customHeight="1" x14ac:dyDescent="0.35">
      <c r="A850" s="30" t="s">
        <v>382</v>
      </c>
      <c r="B850" s="50" t="s">
        <v>41</v>
      </c>
      <c r="C850" s="50" t="s">
        <v>993</v>
      </c>
      <c r="D850" s="30" t="s">
        <v>1005</v>
      </c>
      <c r="E850" s="30">
        <v>1</v>
      </c>
      <c r="F850" s="30">
        <v>0</v>
      </c>
      <c r="G850" s="30">
        <v>1</v>
      </c>
      <c r="H850" s="30">
        <v>0</v>
      </c>
      <c r="I850" s="50">
        <v>2</v>
      </c>
      <c r="J850" s="50"/>
      <c r="K850" s="50"/>
      <c r="L850" s="36">
        <v>2021</v>
      </c>
      <c r="M850" s="50"/>
      <c r="N850" s="50"/>
    </row>
    <row r="851" spans="1:14" ht="24" customHeight="1" x14ac:dyDescent="0.35">
      <c r="A851" s="30" t="s">
        <v>382</v>
      </c>
      <c r="B851" s="50" t="s">
        <v>41</v>
      </c>
      <c r="C851" s="50" t="s">
        <v>993</v>
      </c>
      <c r="D851" s="30" t="s">
        <v>1006</v>
      </c>
      <c r="E851" s="30">
        <v>23365</v>
      </c>
      <c r="F851" s="30">
        <v>0</v>
      </c>
      <c r="G851" s="30">
        <v>5067</v>
      </c>
      <c r="H851" s="30">
        <v>0</v>
      </c>
      <c r="I851" s="50">
        <v>28432</v>
      </c>
      <c r="J851" s="50"/>
      <c r="K851" s="50"/>
      <c r="L851" s="36">
        <v>2021</v>
      </c>
      <c r="M851" s="50"/>
      <c r="N851" s="50"/>
    </row>
    <row r="852" spans="1:14" ht="24" customHeight="1" x14ac:dyDescent="0.35">
      <c r="A852" s="109" t="s">
        <v>382</v>
      </c>
      <c r="B852" s="50" t="s">
        <v>41</v>
      </c>
      <c r="C852" s="50" t="s">
        <v>996</v>
      </c>
      <c r="D852" s="30" t="s">
        <v>1006</v>
      </c>
      <c r="E852" s="109">
        <v>35950</v>
      </c>
      <c r="F852" s="109">
        <v>54262</v>
      </c>
      <c r="G852" s="109">
        <v>79424</v>
      </c>
      <c r="H852" s="109">
        <v>149180</v>
      </c>
      <c r="I852" s="50">
        <v>318816</v>
      </c>
      <c r="J852" s="50"/>
      <c r="K852" s="50"/>
      <c r="L852" s="36">
        <v>2021</v>
      </c>
      <c r="M852" s="50"/>
      <c r="N852" s="50"/>
    </row>
    <row r="853" spans="1:14" ht="24" customHeight="1" x14ac:dyDescent="0.35">
      <c r="A853" s="30" t="s">
        <v>384</v>
      </c>
      <c r="B853" s="50" t="s">
        <v>46</v>
      </c>
      <c r="C853" s="50" t="s">
        <v>996</v>
      </c>
      <c r="D853" s="30" t="s">
        <v>1004</v>
      </c>
      <c r="E853" s="30">
        <v>0</v>
      </c>
      <c r="F853" s="30">
        <v>0</v>
      </c>
      <c r="G853" s="30">
        <v>0</v>
      </c>
      <c r="H853" s="30">
        <v>0</v>
      </c>
      <c r="I853" s="50">
        <v>0</v>
      </c>
      <c r="J853" s="50"/>
      <c r="K853" s="50"/>
      <c r="L853" s="36">
        <v>2021</v>
      </c>
      <c r="M853" s="50"/>
      <c r="N853" s="50"/>
    </row>
    <row r="854" spans="1:14" ht="24" customHeight="1" x14ac:dyDescent="0.35">
      <c r="A854" s="30" t="s">
        <v>384</v>
      </c>
      <c r="B854" s="50" t="s">
        <v>46</v>
      </c>
      <c r="C854" s="50" t="s">
        <v>996</v>
      </c>
      <c r="D854" s="30" t="s">
        <v>1005</v>
      </c>
      <c r="E854" s="30">
        <v>0</v>
      </c>
      <c r="F854" s="30">
        <v>0</v>
      </c>
      <c r="G854" s="30">
        <v>4</v>
      </c>
      <c r="H854" s="30">
        <v>25</v>
      </c>
      <c r="I854" s="50">
        <v>29</v>
      </c>
      <c r="J854" s="50"/>
      <c r="K854" s="50"/>
      <c r="L854" s="36">
        <v>2021</v>
      </c>
      <c r="M854" s="50"/>
      <c r="N854" s="50"/>
    </row>
    <row r="855" spans="1:14" ht="24" customHeight="1" x14ac:dyDescent="0.35">
      <c r="A855" s="30" t="s">
        <v>384</v>
      </c>
      <c r="B855" s="50" t="s">
        <v>46</v>
      </c>
      <c r="C855" s="50" t="s">
        <v>993</v>
      </c>
      <c r="D855" s="30" t="s">
        <v>1004</v>
      </c>
      <c r="E855" s="30">
        <v>0</v>
      </c>
      <c r="F855" s="30">
        <v>0</v>
      </c>
      <c r="G855" s="30">
        <v>0</v>
      </c>
      <c r="H855" s="30">
        <v>0</v>
      </c>
      <c r="I855" s="50">
        <v>0</v>
      </c>
      <c r="J855" s="50"/>
      <c r="K855" s="50"/>
      <c r="L855" s="36">
        <v>2021</v>
      </c>
      <c r="M855" s="50"/>
      <c r="N855" s="50"/>
    </row>
    <row r="856" spans="1:14" ht="24" customHeight="1" x14ac:dyDescent="0.35">
      <c r="A856" s="30" t="s">
        <v>384</v>
      </c>
      <c r="B856" s="50" t="s">
        <v>46</v>
      </c>
      <c r="C856" s="50" t="s">
        <v>993</v>
      </c>
      <c r="D856" s="30" t="s">
        <v>1005</v>
      </c>
      <c r="E856" s="30">
        <v>0</v>
      </c>
      <c r="F856" s="30">
        <v>0</v>
      </c>
      <c r="G856" s="30">
        <v>0</v>
      </c>
      <c r="H856" s="30">
        <v>0</v>
      </c>
      <c r="I856" s="50">
        <v>0</v>
      </c>
      <c r="J856" s="50"/>
      <c r="K856" s="50"/>
      <c r="L856" s="36">
        <v>2021</v>
      </c>
      <c r="M856" s="50"/>
      <c r="N856" s="50"/>
    </row>
    <row r="857" spans="1:14" ht="24" customHeight="1" x14ac:dyDescent="0.35">
      <c r="A857" s="30" t="s">
        <v>384</v>
      </c>
      <c r="B857" s="50" t="s">
        <v>46</v>
      </c>
      <c r="C857" s="50" t="s">
        <v>993</v>
      </c>
      <c r="D857" s="30" t="s">
        <v>1006</v>
      </c>
      <c r="E857" s="30">
        <v>0</v>
      </c>
      <c r="F857" s="30">
        <v>0</v>
      </c>
      <c r="G857" s="30">
        <v>0</v>
      </c>
      <c r="H857" s="30">
        <v>0</v>
      </c>
      <c r="I857" s="50">
        <v>0</v>
      </c>
      <c r="J857" s="50"/>
      <c r="K857" s="50"/>
      <c r="L857" s="36">
        <v>2021</v>
      </c>
      <c r="M857" s="50"/>
      <c r="N857" s="50"/>
    </row>
    <row r="858" spans="1:14" ht="24" customHeight="1" x14ac:dyDescent="0.35">
      <c r="A858" s="109" t="s">
        <v>384</v>
      </c>
      <c r="B858" s="50" t="s">
        <v>46</v>
      </c>
      <c r="C858" s="50" t="s">
        <v>996</v>
      </c>
      <c r="D858" s="30" t="s">
        <v>1006</v>
      </c>
      <c r="E858" s="109">
        <v>0</v>
      </c>
      <c r="F858" s="109">
        <v>0</v>
      </c>
      <c r="G858" s="109">
        <v>7805.473</v>
      </c>
      <c r="H858" s="109">
        <v>5934.134</v>
      </c>
      <c r="I858" s="50">
        <v>0</v>
      </c>
      <c r="J858" s="50"/>
      <c r="K858" s="50"/>
      <c r="L858" s="36">
        <v>2021</v>
      </c>
      <c r="M858" s="50"/>
      <c r="N858" s="50"/>
    </row>
    <row r="859" spans="1:14" ht="24" customHeight="1" x14ac:dyDescent="0.35">
      <c r="A859" s="30" t="s">
        <v>106</v>
      </c>
      <c r="B859" s="50" t="s">
        <v>57</v>
      </c>
      <c r="C859" s="50" t="s">
        <v>996</v>
      </c>
      <c r="D859" s="30" t="s">
        <v>1004</v>
      </c>
      <c r="E859" s="30">
        <v>1</v>
      </c>
      <c r="F859" s="30">
        <v>3</v>
      </c>
      <c r="G859" s="30">
        <v>3</v>
      </c>
      <c r="H859" s="30">
        <v>2</v>
      </c>
      <c r="I859" s="50">
        <f>SUM(E859:H859)</f>
        <v>9</v>
      </c>
      <c r="J859" s="50"/>
      <c r="K859" s="50"/>
      <c r="L859" s="36">
        <v>2021</v>
      </c>
      <c r="M859" s="50"/>
      <c r="N859" s="50"/>
    </row>
    <row r="860" spans="1:14" ht="24" customHeight="1" x14ac:dyDescent="0.35">
      <c r="A860" s="30" t="s">
        <v>106</v>
      </c>
      <c r="B860" s="50" t="s">
        <v>57</v>
      </c>
      <c r="C860" s="50" t="s">
        <v>996</v>
      </c>
      <c r="D860" s="30" t="s">
        <v>1005</v>
      </c>
      <c r="E860" s="30">
        <v>0</v>
      </c>
      <c r="F860" s="30">
        <v>6</v>
      </c>
      <c r="G860" s="30">
        <v>18</v>
      </c>
      <c r="H860" s="30">
        <v>20</v>
      </c>
      <c r="I860" s="50">
        <f t="shared" ref="I860:I864" si="4">SUM(E860:H860)</f>
        <v>44</v>
      </c>
      <c r="J860" s="50"/>
      <c r="K860" s="50"/>
      <c r="L860" s="36">
        <v>2021</v>
      </c>
      <c r="M860" s="50"/>
      <c r="N860" s="50"/>
    </row>
    <row r="861" spans="1:14" ht="24" customHeight="1" x14ac:dyDescent="0.35">
      <c r="A861" s="30" t="s">
        <v>106</v>
      </c>
      <c r="B861" s="50" t="s">
        <v>57</v>
      </c>
      <c r="C861" s="50" t="s">
        <v>993</v>
      </c>
      <c r="D861" s="30" t="s">
        <v>1004</v>
      </c>
      <c r="E861" s="30">
        <v>0</v>
      </c>
      <c r="F861" s="30">
        <v>0</v>
      </c>
      <c r="G861" s="30">
        <v>0</v>
      </c>
      <c r="H861" s="30">
        <v>0</v>
      </c>
      <c r="I861" s="50">
        <f t="shared" si="4"/>
        <v>0</v>
      </c>
      <c r="J861" s="50"/>
      <c r="K861" s="50"/>
      <c r="L861" s="36">
        <v>2021</v>
      </c>
      <c r="M861" s="50"/>
      <c r="N861" s="50"/>
    </row>
    <row r="862" spans="1:14" ht="24" customHeight="1" x14ac:dyDescent="0.35">
      <c r="A862" s="30" t="s">
        <v>106</v>
      </c>
      <c r="B862" s="50" t="s">
        <v>57</v>
      </c>
      <c r="C862" s="50" t="s">
        <v>993</v>
      </c>
      <c r="D862" s="30" t="s">
        <v>1005</v>
      </c>
      <c r="E862" s="30">
        <v>0</v>
      </c>
      <c r="F862" s="30">
        <v>0</v>
      </c>
      <c r="G862" s="30">
        <v>0</v>
      </c>
      <c r="H862" s="30">
        <v>0</v>
      </c>
      <c r="I862" s="50">
        <f t="shared" si="4"/>
        <v>0</v>
      </c>
      <c r="J862" s="50"/>
      <c r="K862" s="50"/>
      <c r="L862" s="36">
        <v>2021</v>
      </c>
      <c r="M862" s="50"/>
      <c r="N862" s="50"/>
    </row>
    <row r="863" spans="1:14" ht="24" customHeight="1" x14ac:dyDescent="0.35">
      <c r="A863" s="30" t="s">
        <v>106</v>
      </c>
      <c r="B863" s="50" t="s">
        <v>57</v>
      </c>
      <c r="C863" s="50" t="s">
        <v>993</v>
      </c>
      <c r="D863" s="30" t="s">
        <v>1006</v>
      </c>
      <c r="E863" s="50"/>
      <c r="F863" s="30">
        <v>0</v>
      </c>
      <c r="G863" s="30">
        <v>0</v>
      </c>
      <c r="H863" s="30">
        <v>0</v>
      </c>
      <c r="I863" s="50">
        <f t="shared" si="4"/>
        <v>0</v>
      </c>
      <c r="J863" s="50"/>
      <c r="K863" s="50"/>
      <c r="L863" s="36">
        <v>2021</v>
      </c>
      <c r="M863" s="50"/>
      <c r="N863" s="50"/>
    </row>
    <row r="864" spans="1:14" ht="24" customHeight="1" x14ac:dyDescent="0.35">
      <c r="A864" s="109" t="s">
        <v>106</v>
      </c>
      <c r="B864" s="50" t="s">
        <v>57</v>
      </c>
      <c r="C864" s="50" t="s">
        <v>996</v>
      </c>
      <c r="D864" s="30" t="s">
        <v>1006</v>
      </c>
      <c r="E864" s="30">
        <v>20231</v>
      </c>
      <c r="F864" s="109">
        <v>105397</v>
      </c>
      <c r="G864" s="109">
        <v>136101</v>
      </c>
      <c r="H864" s="109">
        <v>138394</v>
      </c>
      <c r="I864" s="50">
        <f t="shared" si="4"/>
        <v>400123</v>
      </c>
      <c r="J864" s="50"/>
      <c r="K864" s="50"/>
      <c r="L864" s="36">
        <v>2021</v>
      </c>
      <c r="M864" s="50"/>
      <c r="N864" s="50"/>
    </row>
    <row r="865" spans="1:14" ht="24" customHeight="1" x14ac:dyDescent="0.35">
      <c r="A865" s="30" t="s">
        <v>388</v>
      </c>
      <c r="B865" s="50" t="s">
        <v>255</v>
      </c>
      <c r="C865" s="50" t="s">
        <v>996</v>
      </c>
      <c r="D865" s="30" t="s">
        <v>1004</v>
      </c>
      <c r="E865" s="30">
        <v>1</v>
      </c>
      <c r="F865" s="30">
        <v>1</v>
      </c>
      <c r="G865" s="30">
        <v>0</v>
      </c>
      <c r="H865" s="30">
        <v>2</v>
      </c>
      <c r="I865" s="50">
        <v>4</v>
      </c>
      <c r="J865" s="50"/>
      <c r="K865" s="50"/>
      <c r="L865" s="36">
        <v>2021</v>
      </c>
      <c r="M865" s="50"/>
      <c r="N865" s="50"/>
    </row>
    <row r="866" spans="1:14" ht="24" customHeight="1" x14ac:dyDescent="0.35">
      <c r="A866" s="30" t="s">
        <v>388</v>
      </c>
      <c r="B866" s="50" t="s">
        <v>255</v>
      </c>
      <c r="C866" s="50" t="s">
        <v>996</v>
      </c>
      <c r="D866" s="30" t="s">
        <v>1005</v>
      </c>
      <c r="E866" s="30">
        <v>4</v>
      </c>
      <c r="F866" s="30">
        <v>0</v>
      </c>
      <c r="G866" s="30">
        <v>0</v>
      </c>
      <c r="H866" s="30">
        <v>8</v>
      </c>
      <c r="I866" s="50">
        <v>12</v>
      </c>
      <c r="J866" s="50"/>
      <c r="K866" s="50"/>
      <c r="L866" s="36">
        <v>2021</v>
      </c>
      <c r="M866" s="50"/>
      <c r="N866" s="50"/>
    </row>
    <row r="867" spans="1:14" ht="24" customHeight="1" x14ac:dyDescent="0.35">
      <c r="A867" s="30" t="s">
        <v>388</v>
      </c>
      <c r="B867" s="50" t="s">
        <v>255</v>
      </c>
      <c r="C867" s="50" t="s">
        <v>993</v>
      </c>
      <c r="D867" s="30" t="s">
        <v>1004</v>
      </c>
      <c r="E867" s="30">
        <v>0</v>
      </c>
      <c r="F867" s="30">
        <v>0</v>
      </c>
      <c r="G867" s="30">
        <v>0</v>
      </c>
      <c r="H867" s="30">
        <v>0</v>
      </c>
      <c r="I867" s="50">
        <v>0</v>
      </c>
      <c r="J867" s="50"/>
      <c r="K867" s="50"/>
      <c r="L867" s="36">
        <v>2021</v>
      </c>
      <c r="M867" s="50"/>
      <c r="N867" s="50"/>
    </row>
    <row r="868" spans="1:14" ht="24" customHeight="1" x14ac:dyDescent="0.35">
      <c r="A868" s="30" t="s">
        <v>388</v>
      </c>
      <c r="B868" s="50" t="s">
        <v>255</v>
      </c>
      <c r="C868" s="50" t="s">
        <v>993</v>
      </c>
      <c r="D868" s="30" t="s">
        <v>1005</v>
      </c>
      <c r="E868" s="30">
        <v>0</v>
      </c>
      <c r="F868" s="30">
        <v>0</v>
      </c>
      <c r="G868" s="30">
        <v>0</v>
      </c>
      <c r="H868" s="30">
        <v>0</v>
      </c>
      <c r="I868" s="50">
        <v>0</v>
      </c>
      <c r="J868" s="50"/>
      <c r="K868" s="50"/>
      <c r="L868" s="36">
        <v>2021</v>
      </c>
      <c r="M868" s="50"/>
      <c r="N868" s="50"/>
    </row>
    <row r="869" spans="1:14" ht="24" customHeight="1" x14ac:dyDescent="0.35">
      <c r="A869" s="30" t="s">
        <v>388</v>
      </c>
      <c r="B869" s="50" t="s">
        <v>255</v>
      </c>
      <c r="C869" s="50" t="s">
        <v>993</v>
      </c>
      <c r="D869" s="30" t="s">
        <v>1006</v>
      </c>
      <c r="E869" s="30">
        <v>0</v>
      </c>
      <c r="F869" s="30">
        <v>0</v>
      </c>
      <c r="G869" s="30">
        <v>0</v>
      </c>
      <c r="H869" s="30">
        <v>0</v>
      </c>
      <c r="I869" s="50">
        <v>0</v>
      </c>
      <c r="J869" s="50"/>
      <c r="K869" s="50"/>
      <c r="L869" s="36">
        <v>2021</v>
      </c>
      <c r="M869" s="50"/>
      <c r="N869" s="50"/>
    </row>
    <row r="870" spans="1:14" ht="24" customHeight="1" x14ac:dyDescent="0.35">
      <c r="A870" s="109" t="s">
        <v>388</v>
      </c>
      <c r="B870" s="50" t="s">
        <v>255</v>
      </c>
      <c r="C870" s="50" t="s">
        <v>996</v>
      </c>
      <c r="D870" s="30" t="s">
        <v>1006</v>
      </c>
      <c r="E870" s="109">
        <v>0</v>
      </c>
      <c r="F870" s="109">
        <v>0</v>
      </c>
      <c r="G870" s="50">
        <v>97225</v>
      </c>
      <c r="H870" s="109">
        <v>0</v>
      </c>
      <c r="I870" s="50">
        <v>97225</v>
      </c>
      <c r="J870" s="50"/>
      <c r="K870" s="50"/>
      <c r="L870" s="36">
        <v>2021</v>
      </c>
      <c r="M870" s="50"/>
      <c r="N870" s="50"/>
    </row>
    <row r="871" spans="1:14" ht="24" customHeight="1" x14ac:dyDescent="0.35">
      <c r="A871" s="30" t="s">
        <v>975</v>
      </c>
      <c r="B871" s="50" t="s">
        <v>46</v>
      </c>
      <c r="C871" s="50" t="s">
        <v>996</v>
      </c>
      <c r="D871" s="30" t="s">
        <v>1004</v>
      </c>
      <c r="E871" s="30">
        <v>0</v>
      </c>
      <c r="F871" s="30">
        <v>0</v>
      </c>
      <c r="G871" s="30">
        <v>1</v>
      </c>
      <c r="H871" s="30">
        <v>1</v>
      </c>
      <c r="I871" s="50">
        <v>2</v>
      </c>
      <c r="J871" s="50"/>
      <c r="K871" s="50"/>
      <c r="L871" s="36">
        <v>2021</v>
      </c>
      <c r="M871" s="50"/>
      <c r="N871" s="50"/>
    </row>
    <row r="872" spans="1:14" ht="24" customHeight="1" x14ac:dyDescent="0.35">
      <c r="A872" s="30" t="s">
        <v>975</v>
      </c>
      <c r="B872" s="50" t="s">
        <v>46</v>
      </c>
      <c r="C872" s="50" t="s">
        <v>996</v>
      </c>
      <c r="D872" s="30" t="s">
        <v>1005</v>
      </c>
      <c r="E872" s="30">
        <v>1</v>
      </c>
      <c r="F872" s="30">
        <v>0</v>
      </c>
      <c r="G872" s="30">
        <v>9</v>
      </c>
      <c r="H872" s="30">
        <v>17</v>
      </c>
      <c r="I872" s="50">
        <v>27</v>
      </c>
      <c r="J872" s="50"/>
      <c r="K872" s="50"/>
      <c r="L872" s="36">
        <v>2021</v>
      </c>
      <c r="M872" s="50"/>
      <c r="N872" s="50"/>
    </row>
    <row r="873" spans="1:14" ht="24" customHeight="1" x14ac:dyDescent="0.35">
      <c r="A873" s="30" t="s">
        <v>975</v>
      </c>
      <c r="B873" s="50" t="s">
        <v>46</v>
      </c>
      <c r="C873" s="50" t="s">
        <v>993</v>
      </c>
      <c r="D873" s="30" t="s">
        <v>1004</v>
      </c>
      <c r="E873" s="30">
        <v>0</v>
      </c>
      <c r="F873" s="30">
        <v>0</v>
      </c>
      <c r="G873" s="30">
        <v>0</v>
      </c>
      <c r="H873" s="30">
        <v>0</v>
      </c>
      <c r="I873" s="50">
        <v>0</v>
      </c>
      <c r="J873" s="50"/>
      <c r="K873" s="50"/>
      <c r="L873" s="36">
        <v>2021</v>
      </c>
      <c r="M873" s="50"/>
      <c r="N873" s="50"/>
    </row>
    <row r="874" spans="1:14" ht="24" customHeight="1" x14ac:dyDescent="0.35">
      <c r="A874" s="30" t="s">
        <v>975</v>
      </c>
      <c r="B874" s="50" t="s">
        <v>46</v>
      </c>
      <c r="C874" s="50" t="s">
        <v>993</v>
      </c>
      <c r="D874" s="30" t="s">
        <v>1005</v>
      </c>
      <c r="E874" s="30">
        <v>0</v>
      </c>
      <c r="F874" s="30">
        <v>0</v>
      </c>
      <c r="G874" s="30">
        <v>0</v>
      </c>
      <c r="H874" s="30">
        <v>0</v>
      </c>
      <c r="I874" s="50">
        <v>0</v>
      </c>
      <c r="J874" s="50"/>
      <c r="K874" s="50"/>
      <c r="L874" s="36">
        <v>2021</v>
      </c>
      <c r="M874" s="50"/>
      <c r="N874" s="50"/>
    </row>
    <row r="875" spans="1:14" ht="24" customHeight="1" x14ac:dyDescent="0.35">
      <c r="A875" s="30" t="s">
        <v>975</v>
      </c>
      <c r="B875" s="50" t="s">
        <v>46</v>
      </c>
      <c r="C875" s="50" t="s">
        <v>993</v>
      </c>
      <c r="D875" s="30" t="s">
        <v>1006</v>
      </c>
      <c r="E875" s="30">
        <v>11507</v>
      </c>
      <c r="F875" s="30">
        <v>0</v>
      </c>
      <c r="G875" s="30">
        <v>0</v>
      </c>
      <c r="H875" s="30">
        <v>0</v>
      </c>
      <c r="I875" s="50">
        <v>11507</v>
      </c>
      <c r="J875" s="50"/>
      <c r="K875" s="50"/>
      <c r="L875" s="36">
        <v>2021</v>
      </c>
      <c r="M875" s="50"/>
      <c r="N875" s="50"/>
    </row>
    <row r="876" spans="1:14" ht="24" customHeight="1" x14ac:dyDescent="0.35">
      <c r="A876" s="109" t="s">
        <v>975</v>
      </c>
      <c r="B876" s="50" t="s">
        <v>46</v>
      </c>
      <c r="C876" s="50" t="s">
        <v>996</v>
      </c>
      <c r="D876" s="30" t="s">
        <v>1006</v>
      </c>
      <c r="E876" s="50"/>
      <c r="F876" s="50"/>
      <c r="G876" s="109">
        <v>60550</v>
      </c>
      <c r="H876" s="109">
        <v>43254</v>
      </c>
      <c r="I876" s="50">
        <v>103804</v>
      </c>
      <c r="J876" s="50"/>
      <c r="K876" s="50"/>
      <c r="L876" s="36">
        <v>2021</v>
      </c>
      <c r="M876" s="50"/>
      <c r="N876" s="50"/>
    </row>
    <row r="877" spans="1:14" ht="24" customHeight="1" x14ac:dyDescent="0.35">
      <c r="A877" s="30" t="s">
        <v>569</v>
      </c>
      <c r="B877" s="50" t="s">
        <v>41</v>
      </c>
      <c r="C877" s="50" t="s">
        <v>996</v>
      </c>
      <c r="D877" s="30" t="s">
        <v>1004</v>
      </c>
      <c r="E877" s="30">
        <v>6</v>
      </c>
      <c r="F877" s="30">
        <v>0</v>
      </c>
      <c r="G877" s="30">
        <v>4</v>
      </c>
      <c r="H877" s="30">
        <v>26</v>
      </c>
      <c r="I877" s="50">
        <v>36</v>
      </c>
      <c r="J877" s="50"/>
      <c r="K877" s="50"/>
      <c r="L877" s="36">
        <v>2021</v>
      </c>
      <c r="M877" s="50"/>
      <c r="N877" s="50"/>
    </row>
    <row r="878" spans="1:14" ht="24" customHeight="1" x14ac:dyDescent="0.35">
      <c r="A878" s="30" t="s">
        <v>569</v>
      </c>
      <c r="B878" s="50" t="s">
        <v>41</v>
      </c>
      <c r="C878" s="50" t="s">
        <v>996</v>
      </c>
      <c r="D878" s="30" t="s">
        <v>1005</v>
      </c>
      <c r="E878" s="30">
        <v>6</v>
      </c>
      <c r="F878" s="30">
        <v>0</v>
      </c>
      <c r="G878" s="30">
        <v>29</v>
      </c>
      <c r="H878" s="30">
        <v>125</v>
      </c>
      <c r="I878" s="50">
        <v>160</v>
      </c>
      <c r="J878" s="50"/>
      <c r="K878" s="50"/>
      <c r="L878" s="36">
        <v>2021</v>
      </c>
      <c r="M878" s="50"/>
      <c r="N878" s="50"/>
    </row>
    <row r="879" spans="1:14" ht="24" customHeight="1" x14ac:dyDescent="0.35">
      <c r="A879" s="30" t="s">
        <v>569</v>
      </c>
      <c r="B879" s="50" t="s">
        <v>41</v>
      </c>
      <c r="C879" s="50" t="s">
        <v>993</v>
      </c>
      <c r="D879" s="30" t="s">
        <v>1004</v>
      </c>
      <c r="E879" s="30">
        <v>1</v>
      </c>
      <c r="F879" s="30">
        <v>0</v>
      </c>
      <c r="G879" s="30">
        <v>0</v>
      </c>
      <c r="H879" s="30">
        <v>0</v>
      </c>
      <c r="I879" s="50">
        <v>1</v>
      </c>
      <c r="J879" s="50"/>
      <c r="K879" s="50"/>
      <c r="L879" s="36">
        <v>2021</v>
      </c>
      <c r="M879" s="50"/>
      <c r="N879" s="50"/>
    </row>
    <row r="880" spans="1:14" ht="24" customHeight="1" x14ac:dyDescent="0.35">
      <c r="A880" s="30" t="s">
        <v>569</v>
      </c>
      <c r="B880" s="50" t="s">
        <v>41</v>
      </c>
      <c r="C880" s="50" t="s">
        <v>993</v>
      </c>
      <c r="D880" s="30" t="s">
        <v>1005</v>
      </c>
      <c r="E880" s="30">
        <v>7</v>
      </c>
      <c r="F880" s="30">
        <v>0</v>
      </c>
      <c r="G880" s="30">
        <v>0</v>
      </c>
      <c r="H880" s="30">
        <v>0</v>
      </c>
      <c r="I880" s="50">
        <v>7</v>
      </c>
      <c r="J880" s="50"/>
      <c r="K880" s="50"/>
      <c r="L880" s="36">
        <v>2021</v>
      </c>
      <c r="M880" s="50"/>
      <c r="N880" s="50"/>
    </row>
    <row r="881" spans="1:14" ht="24" customHeight="1" x14ac:dyDescent="0.35">
      <c r="A881" s="30" t="s">
        <v>569</v>
      </c>
      <c r="B881" s="50" t="s">
        <v>41</v>
      </c>
      <c r="C881" s="50" t="s">
        <v>993</v>
      </c>
      <c r="D881" s="30" t="s">
        <v>1006</v>
      </c>
      <c r="E881" s="30">
        <v>431002</v>
      </c>
      <c r="F881" s="30">
        <v>0</v>
      </c>
      <c r="G881" s="30">
        <v>0</v>
      </c>
      <c r="H881" s="30">
        <v>0</v>
      </c>
      <c r="I881" s="50">
        <v>431002</v>
      </c>
      <c r="J881" s="50"/>
      <c r="K881" s="50"/>
      <c r="L881" s="36">
        <v>2021</v>
      </c>
      <c r="M881" s="50"/>
      <c r="N881" s="50"/>
    </row>
    <row r="882" spans="1:14" ht="24" customHeight="1" x14ac:dyDescent="0.35">
      <c r="A882" s="109" t="s">
        <v>569</v>
      </c>
      <c r="B882" s="50" t="s">
        <v>41</v>
      </c>
      <c r="C882" s="50" t="s">
        <v>996</v>
      </c>
      <c r="D882" s="30" t="s">
        <v>1006</v>
      </c>
      <c r="E882" s="109">
        <v>85974</v>
      </c>
      <c r="F882" s="50"/>
      <c r="G882" s="109">
        <v>211593</v>
      </c>
      <c r="H882" s="109">
        <v>799609</v>
      </c>
      <c r="I882" s="50">
        <v>1097176</v>
      </c>
      <c r="J882" s="50"/>
      <c r="K882" s="50"/>
      <c r="L882" s="36">
        <v>2021</v>
      </c>
      <c r="M882" s="50"/>
      <c r="N882" s="50"/>
    </row>
    <row r="883" spans="1:14" ht="24" customHeight="1" x14ac:dyDescent="0.35">
      <c r="A883" s="30" t="s">
        <v>391</v>
      </c>
      <c r="B883" s="50" t="s">
        <v>255</v>
      </c>
      <c r="C883" s="50" t="s">
        <v>996</v>
      </c>
      <c r="D883" s="30" t="s">
        <v>1004</v>
      </c>
      <c r="E883" s="30">
        <v>0</v>
      </c>
      <c r="F883" s="30">
        <v>0</v>
      </c>
      <c r="G883" s="30">
        <v>2</v>
      </c>
      <c r="H883" s="30">
        <v>11</v>
      </c>
      <c r="I883" s="50">
        <v>13</v>
      </c>
      <c r="J883" s="50"/>
      <c r="K883" s="50"/>
      <c r="L883" s="36">
        <v>2021</v>
      </c>
      <c r="M883" s="50"/>
      <c r="N883" s="50"/>
    </row>
    <row r="884" spans="1:14" ht="24" customHeight="1" x14ac:dyDescent="0.35">
      <c r="A884" s="30" t="s">
        <v>391</v>
      </c>
      <c r="B884" s="50" t="s">
        <v>255</v>
      </c>
      <c r="C884" s="50" t="s">
        <v>996</v>
      </c>
      <c r="D884" s="30" t="s">
        <v>1005</v>
      </c>
      <c r="E884" s="30">
        <v>0</v>
      </c>
      <c r="F884" s="30">
        <v>0</v>
      </c>
      <c r="G884" s="30">
        <v>7</v>
      </c>
      <c r="H884" s="30">
        <v>66</v>
      </c>
      <c r="I884" s="50">
        <v>73</v>
      </c>
      <c r="J884" s="50"/>
      <c r="K884" s="50"/>
      <c r="L884" s="36">
        <v>2021</v>
      </c>
      <c r="M884" s="50"/>
      <c r="N884" s="50"/>
    </row>
    <row r="885" spans="1:14" ht="24" customHeight="1" x14ac:dyDescent="0.35">
      <c r="A885" s="30" t="s">
        <v>391</v>
      </c>
      <c r="B885" s="50" t="s">
        <v>255</v>
      </c>
      <c r="C885" s="50" t="s">
        <v>993</v>
      </c>
      <c r="D885" s="30" t="s">
        <v>1004</v>
      </c>
      <c r="E885" s="30">
        <v>0</v>
      </c>
      <c r="F885" s="30">
        <v>0</v>
      </c>
      <c r="G885" s="30">
        <v>0</v>
      </c>
      <c r="H885" s="30">
        <v>0</v>
      </c>
      <c r="I885" s="50">
        <v>0</v>
      </c>
      <c r="J885" s="50"/>
      <c r="K885" s="50"/>
      <c r="L885" s="36">
        <v>2021</v>
      </c>
      <c r="M885" s="50"/>
      <c r="N885" s="50"/>
    </row>
    <row r="886" spans="1:14" ht="24" customHeight="1" x14ac:dyDescent="0.35">
      <c r="A886" s="30" t="s">
        <v>391</v>
      </c>
      <c r="B886" s="50" t="s">
        <v>255</v>
      </c>
      <c r="C886" s="50" t="s">
        <v>993</v>
      </c>
      <c r="D886" s="30" t="s">
        <v>1005</v>
      </c>
      <c r="E886" s="30">
        <v>2</v>
      </c>
      <c r="F886" s="30">
        <v>0</v>
      </c>
      <c r="G886" s="30">
        <v>0</v>
      </c>
      <c r="H886" s="30">
        <v>0</v>
      </c>
      <c r="I886" s="50">
        <v>2</v>
      </c>
      <c r="J886" s="50"/>
      <c r="K886" s="50"/>
      <c r="L886" s="36">
        <v>2021</v>
      </c>
      <c r="M886" s="50"/>
      <c r="N886" s="50"/>
    </row>
    <row r="887" spans="1:14" ht="24" customHeight="1" x14ac:dyDescent="0.35">
      <c r="A887" s="30" t="s">
        <v>391</v>
      </c>
      <c r="B887" s="50" t="s">
        <v>255</v>
      </c>
      <c r="C887" s="50" t="s">
        <v>993</v>
      </c>
      <c r="D887" s="30" t="s">
        <v>1006</v>
      </c>
      <c r="E887" s="30">
        <v>4400</v>
      </c>
      <c r="F887" s="30">
        <v>0</v>
      </c>
      <c r="G887" s="30">
        <v>0</v>
      </c>
      <c r="H887" s="30">
        <v>0</v>
      </c>
      <c r="I887" s="50">
        <v>4400</v>
      </c>
      <c r="J887" s="50"/>
      <c r="K887" s="50"/>
      <c r="L887" s="36">
        <v>2021</v>
      </c>
      <c r="M887" s="50"/>
      <c r="N887" s="50"/>
    </row>
    <row r="888" spans="1:14" ht="24" customHeight="1" x14ac:dyDescent="0.35">
      <c r="A888" s="109" t="s">
        <v>391</v>
      </c>
      <c r="B888" s="50" t="s">
        <v>255</v>
      </c>
      <c r="C888" s="50" t="s">
        <v>996</v>
      </c>
      <c r="D888" s="30" t="s">
        <v>1006</v>
      </c>
      <c r="E888" s="109">
        <v>0</v>
      </c>
      <c r="F888" s="50"/>
      <c r="G888" s="109">
        <v>38255</v>
      </c>
      <c r="H888" s="109">
        <v>12439</v>
      </c>
      <c r="I888" s="50">
        <v>50694</v>
      </c>
      <c r="J888" s="50"/>
      <c r="K888" s="50"/>
      <c r="L888" s="36">
        <v>2021</v>
      </c>
      <c r="M888" s="50"/>
      <c r="N888" s="50"/>
    </row>
    <row r="889" spans="1:14" ht="24" customHeight="1" x14ac:dyDescent="0.35">
      <c r="A889" s="109" t="s">
        <v>572</v>
      </c>
      <c r="B889" s="50" t="s">
        <v>41</v>
      </c>
      <c r="C889" s="50" t="s">
        <v>996</v>
      </c>
      <c r="D889" s="30" t="s">
        <v>1004</v>
      </c>
      <c r="E889" s="30">
        <v>1</v>
      </c>
      <c r="F889" s="30">
        <v>0</v>
      </c>
      <c r="G889" s="30">
        <v>3</v>
      </c>
      <c r="H889" s="30">
        <v>2</v>
      </c>
      <c r="I889" s="50">
        <v>6</v>
      </c>
      <c r="J889" s="50"/>
      <c r="K889" s="50"/>
      <c r="L889" s="36">
        <v>2021</v>
      </c>
      <c r="M889" s="50"/>
      <c r="N889" s="50"/>
    </row>
    <row r="890" spans="1:14" ht="24" customHeight="1" x14ac:dyDescent="0.35">
      <c r="A890" s="109" t="s">
        <v>572</v>
      </c>
      <c r="B890" s="50" t="s">
        <v>41</v>
      </c>
      <c r="C890" s="50" t="s">
        <v>996</v>
      </c>
      <c r="D890" s="30" t="s">
        <v>1005</v>
      </c>
      <c r="E890" s="30">
        <v>2</v>
      </c>
      <c r="F890" s="30">
        <v>3</v>
      </c>
      <c r="G890" s="30">
        <v>17</v>
      </c>
      <c r="H890" s="30">
        <v>111</v>
      </c>
      <c r="I890" s="50">
        <v>133</v>
      </c>
      <c r="J890" s="50"/>
      <c r="K890" s="50"/>
      <c r="L890" s="36">
        <v>2021</v>
      </c>
      <c r="M890" s="50"/>
      <c r="N890" s="50"/>
    </row>
    <row r="891" spans="1:14" ht="24" customHeight="1" x14ac:dyDescent="0.35">
      <c r="A891" s="109" t="s">
        <v>572</v>
      </c>
      <c r="B891" s="50" t="s">
        <v>41</v>
      </c>
      <c r="C891" s="50" t="s">
        <v>993</v>
      </c>
      <c r="D891" s="30" t="s">
        <v>1004</v>
      </c>
      <c r="E891" s="30">
        <v>1</v>
      </c>
      <c r="F891" s="30">
        <v>1</v>
      </c>
      <c r="G891" s="30">
        <v>0</v>
      </c>
      <c r="H891" s="30">
        <v>0</v>
      </c>
      <c r="I891" s="50">
        <v>2</v>
      </c>
      <c r="J891" s="50"/>
      <c r="K891" s="50"/>
      <c r="L891" s="36">
        <v>2021</v>
      </c>
      <c r="M891" s="50"/>
      <c r="N891" s="50"/>
    </row>
    <row r="892" spans="1:14" ht="24" customHeight="1" x14ac:dyDescent="0.35">
      <c r="A892" s="109" t="s">
        <v>572</v>
      </c>
      <c r="B892" s="50" t="s">
        <v>41</v>
      </c>
      <c r="C892" s="50" t="s">
        <v>993</v>
      </c>
      <c r="D892" s="30" t="s">
        <v>1005</v>
      </c>
      <c r="E892" s="30">
        <v>3</v>
      </c>
      <c r="F892" s="30">
        <v>0</v>
      </c>
      <c r="G892" s="30">
        <v>1</v>
      </c>
      <c r="H892" s="30">
        <v>0</v>
      </c>
      <c r="I892" s="50">
        <v>4</v>
      </c>
      <c r="J892" s="50"/>
      <c r="K892" s="50"/>
      <c r="L892" s="36">
        <v>2021</v>
      </c>
      <c r="M892" s="50"/>
      <c r="N892" s="50"/>
    </row>
    <row r="893" spans="1:14" ht="24" customHeight="1" x14ac:dyDescent="0.35">
      <c r="A893" s="109" t="s">
        <v>572</v>
      </c>
      <c r="B893" s="50" t="s">
        <v>41</v>
      </c>
      <c r="C893" s="50" t="s">
        <v>993</v>
      </c>
      <c r="D893" s="30" t="s">
        <v>1006</v>
      </c>
      <c r="E893" s="30">
        <v>130637</v>
      </c>
      <c r="F893" s="30">
        <v>9825</v>
      </c>
      <c r="G893" s="30">
        <v>5091</v>
      </c>
      <c r="H893" s="30">
        <v>0</v>
      </c>
      <c r="I893" s="50">
        <v>145553</v>
      </c>
      <c r="J893" s="50"/>
      <c r="K893" s="50"/>
      <c r="L893" s="36">
        <v>2021</v>
      </c>
      <c r="M893" s="50"/>
      <c r="N893" s="50"/>
    </row>
    <row r="894" spans="1:14" ht="24" customHeight="1" x14ac:dyDescent="0.35">
      <c r="A894" s="109" t="s">
        <v>572</v>
      </c>
      <c r="B894" s="50" t="s">
        <v>41</v>
      </c>
      <c r="C894" s="50" t="s">
        <v>996</v>
      </c>
      <c r="D894" s="30" t="s">
        <v>1006</v>
      </c>
      <c r="E894" s="109">
        <v>60186</v>
      </c>
      <c r="F894" s="30">
        <v>44737</v>
      </c>
      <c r="G894" s="109">
        <v>129227</v>
      </c>
      <c r="H894" s="109">
        <v>219146</v>
      </c>
      <c r="I894" s="50">
        <v>453296</v>
      </c>
      <c r="J894" s="50"/>
      <c r="K894" s="50"/>
      <c r="L894" s="36">
        <v>2021</v>
      </c>
      <c r="M894" s="50"/>
      <c r="N894" s="50"/>
    </row>
    <row r="895" spans="1:14" ht="24" customHeight="1" x14ac:dyDescent="0.35">
      <c r="A895" s="30" t="s">
        <v>590</v>
      </c>
      <c r="B895" s="50" t="s">
        <v>255</v>
      </c>
      <c r="C895" s="50" t="s">
        <v>996</v>
      </c>
      <c r="D895" s="30" t="s">
        <v>1004</v>
      </c>
      <c r="E895" s="30">
        <v>0</v>
      </c>
      <c r="F895" s="30">
        <v>0</v>
      </c>
      <c r="G895" s="30">
        <v>2</v>
      </c>
      <c r="H895" s="30">
        <v>0</v>
      </c>
      <c r="I895" s="50">
        <v>2</v>
      </c>
      <c r="J895" s="50"/>
      <c r="K895" s="50"/>
      <c r="L895" s="36">
        <v>2021</v>
      </c>
      <c r="M895" s="50"/>
      <c r="N895" s="50"/>
    </row>
    <row r="896" spans="1:14" ht="24" customHeight="1" x14ac:dyDescent="0.35">
      <c r="A896" s="30" t="s">
        <v>590</v>
      </c>
      <c r="B896" s="50" t="s">
        <v>255</v>
      </c>
      <c r="C896" s="50" t="s">
        <v>996</v>
      </c>
      <c r="D896" s="30" t="s">
        <v>1005</v>
      </c>
      <c r="E896" s="30">
        <v>1</v>
      </c>
      <c r="F896" s="30">
        <v>2</v>
      </c>
      <c r="G896" s="30">
        <v>3</v>
      </c>
      <c r="H896" s="30">
        <v>15</v>
      </c>
      <c r="I896" s="50">
        <v>21</v>
      </c>
      <c r="J896" s="50"/>
      <c r="K896" s="50"/>
      <c r="L896" s="36">
        <v>2021</v>
      </c>
      <c r="M896" s="50"/>
      <c r="N896" s="50"/>
    </row>
    <row r="897" spans="1:14" ht="24" customHeight="1" x14ac:dyDescent="0.35">
      <c r="A897" s="30" t="s">
        <v>590</v>
      </c>
      <c r="B897" s="50" t="s">
        <v>255</v>
      </c>
      <c r="C897" s="50" t="s">
        <v>993</v>
      </c>
      <c r="D897" s="30" t="s">
        <v>1004</v>
      </c>
      <c r="E897" s="30">
        <v>0</v>
      </c>
      <c r="F897" s="30">
        <v>0</v>
      </c>
      <c r="G897" s="30">
        <v>0</v>
      </c>
      <c r="H897" s="30">
        <v>0</v>
      </c>
      <c r="I897" s="50">
        <v>0</v>
      </c>
      <c r="J897" s="50"/>
      <c r="K897" s="50"/>
      <c r="L897" s="36">
        <v>2021</v>
      </c>
      <c r="M897" s="50"/>
      <c r="N897" s="50"/>
    </row>
    <row r="898" spans="1:14" ht="24" customHeight="1" x14ac:dyDescent="0.35">
      <c r="A898" s="30" t="s">
        <v>590</v>
      </c>
      <c r="B898" s="50" t="s">
        <v>255</v>
      </c>
      <c r="C898" s="50" t="s">
        <v>993</v>
      </c>
      <c r="D898" s="30" t="s">
        <v>1005</v>
      </c>
      <c r="E898" s="30">
        <v>0</v>
      </c>
      <c r="F898" s="30">
        <v>0</v>
      </c>
      <c r="G898" s="30">
        <v>0</v>
      </c>
      <c r="H898" s="30">
        <v>0</v>
      </c>
      <c r="I898" s="50">
        <v>0</v>
      </c>
      <c r="J898" s="50"/>
      <c r="K898" s="50"/>
      <c r="L898" s="36">
        <v>2021</v>
      </c>
      <c r="M898" s="50"/>
      <c r="N898" s="50"/>
    </row>
    <row r="899" spans="1:14" ht="24" customHeight="1" x14ac:dyDescent="0.35">
      <c r="A899" s="30" t="s">
        <v>590</v>
      </c>
      <c r="B899" s="50" t="s">
        <v>255</v>
      </c>
      <c r="C899" s="50" t="s">
        <v>993</v>
      </c>
      <c r="D899" s="30" t="s">
        <v>1006</v>
      </c>
      <c r="E899" s="30">
        <v>0</v>
      </c>
      <c r="F899" s="30">
        <v>0</v>
      </c>
      <c r="G899" s="30">
        <v>0</v>
      </c>
      <c r="H899" s="30">
        <v>0</v>
      </c>
      <c r="I899" s="50">
        <v>0</v>
      </c>
      <c r="J899" s="50"/>
      <c r="K899" s="50"/>
      <c r="L899" s="36">
        <v>2021</v>
      </c>
      <c r="M899" s="50"/>
      <c r="N899" s="50"/>
    </row>
    <row r="900" spans="1:14" ht="24" customHeight="1" x14ac:dyDescent="0.35">
      <c r="A900" s="109" t="s">
        <v>590</v>
      </c>
      <c r="B900" s="50" t="s">
        <v>255</v>
      </c>
      <c r="C900" s="50" t="s">
        <v>996</v>
      </c>
      <c r="D900" s="30" t="s">
        <v>1006</v>
      </c>
      <c r="E900" s="109">
        <v>5200</v>
      </c>
      <c r="F900" s="109">
        <v>5200</v>
      </c>
      <c r="G900" s="109">
        <v>7200</v>
      </c>
      <c r="H900" s="109">
        <v>180000</v>
      </c>
      <c r="I900" s="50">
        <v>197600</v>
      </c>
      <c r="J900" s="50"/>
      <c r="K900" s="50"/>
      <c r="L900" s="36">
        <v>2021</v>
      </c>
      <c r="M900" s="50"/>
      <c r="N900" s="50"/>
    </row>
    <row r="901" spans="1:14" ht="24" customHeight="1" x14ac:dyDescent="0.35">
      <c r="A901" s="30" t="s">
        <v>400</v>
      </c>
      <c r="B901" s="50" t="s">
        <v>255</v>
      </c>
      <c r="C901" s="50" t="s">
        <v>996</v>
      </c>
      <c r="D901" s="30" t="s">
        <v>1004</v>
      </c>
      <c r="E901" s="30">
        <v>1</v>
      </c>
      <c r="F901" s="30">
        <v>0</v>
      </c>
      <c r="G901" s="30">
        <v>0</v>
      </c>
      <c r="H901" s="30">
        <v>1</v>
      </c>
      <c r="I901" s="50">
        <v>2</v>
      </c>
      <c r="J901" s="50"/>
      <c r="K901" s="50"/>
      <c r="L901" s="36">
        <v>2021</v>
      </c>
      <c r="M901" s="50"/>
      <c r="N901" s="50"/>
    </row>
    <row r="902" spans="1:14" ht="24" customHeight="1" x14ac:dyDescent="0.35">
      <c r="A902" s="30" t="s">
        <v>400</v>
      </c>
      <c r="B902" s="50" t="s">
        <v>255</v>
      </c>
      <c r="C902" s="50" t="s">
        <v>996</v>
      </c>
      <c r="D902" s="30" t="s">
        <v>1005</v>
      </c>
      <c r="E902" s="30">
        <v>8</v>
      </c>
      <c r="F902" s="30">
        <v>0</v>
      </c>
      <c r="G902" s="30">
        <v>8</v>
      </c>
      <c r="H902" s="30">
        <v>16</v>
      </c>
      <c r="I902" s="50">
        <v>32</v>
      </c>
      <c r="J902" s="50"/>
      <c r="K902" s="50"/>
      <c r="L902" s="36">
        <v>2021</v>
      </c>
      <c r="M902" s="50"/>
      <c r="N902" s="50"/>
    </row>
    <row r="903" spans="1:14" ht="24" customHeight="1" x14ac:dyDescent="0.35">
      <c r="A903" s="30" t="s">
        <v>400</v>
      </c>
      <c r="B903" s="50" t="s">
        <v>255</v>
      </c>
      <c r="C903" s="50" t="s">
        <v>993</v>
      </c>
      <c r="D903" s="30" t="s">
        <v>1004</v>
      </c>
      <c r="E903" s="30">
        <v>0</v>
      </c>
      <c r="F903" s="30">
        <v>0</v>
      </c>
      <c r="G903" s="30">
        <v>0</v>
      </c>
      <c r="H903" s="30">
        <v>0</v>
      </c>
      <c r="I903" s="50">
        <v>0</v>
      </c>
      <c r="J903" s="50"/>
      <c r="K903" s="50"/>
      <c r="L903" s="36">
        <v>2021</v>
      </c>
      <c r="M903" s="50"/>
      <c r="N903" s="50"/>
    </row>
    <row r="904" spans="1:14" ht="24" customHeight="1" x14ac:dyDescent="0.35">
      <c r="A904" s="30" t="s">
        <v>400</v>
      </c>
      <c r="B904" s="50" t="s">
        <v>255</v>
      </c>
      <c r="C904" s="50" t="s">
        <v>993</v>
      </c>
      <c r="D904" s="30" t="s">
        <v>1005</v>
      </c>
      <c r="E904" s="30">
        <v>0</v>
      </c>
      <c r="F904" s="30">
        <v>0</v>
      </c>
      <c r="G904" s="30">
        <v>0</v>
      </c>
      <c r="H904" s="30">
        <v>0</v>
      </c>
      <c r="I904" s="50">
        <v>0</v>
      </c>
      <c r="J904" s="50"/>
      <c r="K904" s="50"/>
      <c r="L904" s="36">
        <v>2021</v>
      </c>
      <c r="M904" s="50"/>
      <c r="N904" s="50"/>
    </row>
    <row r="905" spans="1:14" ht="24" customHeight="1" x14ac:dyDescent="0.35">
      <c r="A905" s="30" t="s">
        <v>400</v>
      </c>
      <c r="B905" s="50" t="s">
        <v>255</v>
      </c>
      <c r="C905" s="50" t="s">
        <v>993</v>
      </c>
      <c r="D905" s="30" t="s">
        <v>1006</v>
      </c>
      <c r="E905" s="30">
        <v>0</v>
      </c>
      <c r="F905" s="30">
        <v>0</v>
      </c>
      <c r="G905" s="30">
        <v>0</v>
      </c>
      <c r="H905" s="30">
        <v>0</v>
      </c>
      <c r="I905" s="50">
        <v>0</v>
      </c>
      <c r="J905" s="50"/>
      <c r="K905" s="50"/>
      <c r="L905" s="36">
        <v>2021</v>
      </c>
      <c r="M905" s="50"/>
      <c r="N905" s="50"/>
    </row>
    <row r="906" spans="1:14" ht="24" customHeight="1" x14ac:dyDescent="0.35">
      <c r="A906" s="109" t="s">
        <v>400</v>
      </c>
      <c r="B906" s="50" t="s">
        <v>255</v>
      </c>
      <c r="C906" s="50" t="s">
        <v>996</v>
      </c>
      <c r="D906" s="30" t="s">
        <v>1006</v>
      </c>
      <c r="E906" s="109">
        <v>0</v>
      </c>
      <c r="F906" s="109">
        <v>0</v>
      </c>
      <c r="G906" s="109">
        <v>0</v>
      </c>
      <c r="H906" s="109">
        <v>0</v>
      </c>
      <c r="I906" s="50">
        <v>0</v>
      </c>
      <c r="J906" s="50"/>
      <c r="K906" s="50"/>
      <c r="L906" s="36">
        <v>2021</v>
      </c>
      <c r="M906" s="50"/>
      <c r="N906" s="50"/>
    </row>
    <row r="907" spans="1:14" ht="24" customHeight="1" x14ac:dyDescent="0.35">
      <c r="A907" s="50" t="s">
        <v>124</v>
      </c>
      <c r="B907" s="50" t="s">
        <v>41</v>
      </c>
      <c r="C907" s="50" t="s">
        <v>993</v>
      </c>
      <c r="D907" s="50" t="s">
        <v>997</v>
      </c>
      <c r="E907" s="50">
        <v>0</v>
      </c>
      <c r="F907" s="50">
        <v>0</v>
      </c>
      <c r="G907" s="50">
        <v>0</v>
      </c>
      <c r="H907" s="50">
        <v>0</v>
      </c>
      <c r="I907" s="50">
        <v>0</v>
      </c>
      <c r="J907" s="50"/>
      <c r="K907" s="50"/>
      <c r="L907" s="36">
        <v>2021</v>
      </c>
      <c r="M907" s="50"/>
      <c r="N907" s="50"/>
    </row>
    <row r="908" spans="1:14" ht="24" customHeight="1" x14ac:dyDescent="0.35">
      <c r="A908" s="50" t="s">
        <v>124</v>
      </c>
      <c r="B908" s="50" t="s">
        <v>41</v>
      </c>
      <c r="C908" s="50" t="s">
        <v>993</v>
      </c>
      <c r="D908" s="50" t="s">
        <v>994</v>
      </c>
      <c r="E908" s="50">
        <v>3</v>
      </c>
      <c r="F908" s="50">
        <v>1</v>
      </c>
      <c r="G908" s="50">
        <v>0</v>
      </c>
      <c r="H908" s="50">
        <v>0</v>
      </c>
      <c r="I908" s="50">
        <v>4</v>
      </c>
      <c r="J908" s="50"/>
      <c r="K908" s="50"/>
      <c r="L908" s="36">
        <v>2021</v>
      </c>
      <c r="M908" s="50"/>
      <c r="N908" s="50"/>
    </row>
    <row r="909" spans="1:14" ht="24" customHeight="1" x14ac:dyDescent="0.35">
      <c r="A909" s="50" t="s">
        <v>124</v>
      </c>
      <c r="B909" s="50" t="s">
        <v>41</v>
      </c>
      <c r="C909" s="50" t="s">
        <v>993</v>
      </c>
      <c r="D909" s="50" t="s">
        <v>995</v>
      </c>
      <c r="E909" s="50">
        <v>114305</v>
      </c>
      <c r="F909" s="50">
        <v>9821</v>
      </c>
      <c r="G909" s="50">
        <v>0</v>
      </c>
      <c r="H909" s="50">
        <v>0</v>
      </c>
      <c r="I909" s="50">
        <v>124126</v>
      </c>
      <c r="J909" s="50"/>
      <c r="K909" s="50"/>
      <c r="L909" s="36">
        <v>2021</v>
      </c>
      <c r="M909" s="50"/>
      <c r="N909" s="50"/>
    </row>
    <row r="910" spans="1:14" ht="24" customHeight="1" x14ac:dyDescent="0.35">
      <c r="A910" s="50" t="s">
        <v>124</v>
      </c>
      <c r="B910" s="50" t="s">
        <v>41</v>
      </c>
      <c r="C910" s="50" t="s">
        <v>996</v>
      </c>
      <c r="D910" s="50" t="s">
        <v>997</v>
      </c>
      <c r="E910" s="50">
        <v>0</v>
      </c>
      <c r="F910" s="50">
        <v>0</v>
      </c>
      <c r="G910" s="50">
        <v>0</v>
      </c>
      <c r="H910" s="50">
        <v>0</v>
      </c>
      <c r="I910" s="50">
        <v>0</v>
      </c>
      <c r="J910" s="50"/>
      <c r="K910" s="50"/>
      <c r="L910" s="36">
        <v>2021</v>
      </c>
      <c r="M910" s="50"/>
      <c r="N910" s="50"/>
    </row>
    <row r="911" spans="1:14" ht="24" customHeight="1" x14ac:dyDescent="0.35">
      <c r="A911" s="50" t="s">
        <v>124</v>
      </c>
      <c r="B911" s="50" t="s">
        <v>41</v>
      </c>
      <c r="C911" s="50" t="s">
        <v>996</v>
      </c>
      <c r="D911" s="50" t="s">
        <v>994</v>
      </c>
      <c r="E911" s="50">
        <v>4</v>
      </c>
      <c r="F911" s="50">
        <v>0</v>
      </c>
      <c r="G911" s="50">
        <v>63</v>
      </c>
      <c r="H911" s="50">
        <v>4</v>
      </c>
      <c r="I911" s="50">
        <v>71</v>
      </c>
      <c r="J911" s="50"/>
      <c r="K911" s="50"/>
      <c r="L911" s="36">
        <v>2021</v>
      </c>
      <c r="M911" s="50"/>
      <c r="N911" s="50"/>
    </row>
    <row r="912" spans="1:14" ht="24" customHeight="1" x14ac:dyDescent="0.35">
      <c r="A912" s="50" t="s">
        <v>124</v>
      </c>
      <c r="B912" s="50" t="s">
        <v>41</v>
      </c>
      <c r="C912" s="50" t="s">
        <v>996</v>
      </c>
      <c r="D912" s="50" t="s">
        <v>995</v>
      </c>
      <c r="E912" s="50">
        <v>35324</v>
      </c>
      <c r="F912" s="50">
        <v>0</v>
      </c>
      <c r="G912" s="50">
        <v>440835</v>
      </c>
      <c r="H912" s="50">
        <v>6475</v>
      </c>
      <c r="I912" s="50">
        <v>482634</v>
      </c>
      <c r="J912" s="50"/>
      <c r="K912" s="50"/>
      <c r="L912" s="36">
        <v>2021</v>
      </c>
      <c r="M912" s="50"/>
      <c r="N912" s="50"/>
    </row>
    <row r="913" spans="1:14" ht="24" customHeight="1" x14ac:dyDescent="0.35">
      <c r="A913" s="30" t="s">
        <v>600</v>
      </c>
      <c r="B913" s="50" t="s">
        <v>255</v>
      </c>
      <c r="C913" s="50" t="s">
        <v>996</v>
      </c>
      <c r="D913" s="30" t="s">
        <v>1004</v>
      </c>
      <c r="E913" s="30"/>
      <c r="F913" s="30"/>
      <c r="G913" s="30"/>
      <c r="H913" s="30"/>
      <c r="I913" s="50">
        <v>0</v>
      </c>
      <c r="J913" s="50"/>
      <c r="K913" s="50"/>
      <c r="L913" s="36">
        <v>2021</v>
      </c>
      <c r="M913" s="50"/>
      <c r="N913" s="50"/>
    </row>
    <row r="914" spans="1:14" ht="24" customHeight="1" x14ac:dyDescent="0.35">
      <c r="A914" s="30" t="s">
        <v>600</v>
      </c>
      <c r="B914" s="50" t="s">
        <v>255</v>
      </c>
      <c r="C914" s="50" t="s">
        <v>996</v>
      </c>
      <c r="D914" s="30" t="s">
        <v>1005</v>
      </c>
      <c r="E914" s="30"/>
      <c r="F914" s="30"/>
      <c r="G914" s="30"/>
      <c r="H914" s="30"/>
      <c r="I914" s="50">
        <v>0</v>
      </c>
      <c r="J914" s="50"/>
      <c r="K914" s="50"/>
      <c r="L914" s="36">
        <v>2021</v>
      </c>
      <c r="M914" s="50"/>
      <c r="N914" s="50"/>
    </row>
    <row r="915" spans="1:14" ht="24" customHeight="1" x14ac:dyDescent="0.35">
      <c r="A915" s="30" t="s">
        <v>600</v>
      </c>
      <c r="B915" s="50" t="s">
        <v>255</v>
      </c>
      <c r="C915" s="50" t="s">
        <v>993</v>
      </c>
      <c r="D915" s="30" t="s">
        <v>1004</v>
      </c>
      <c r="E915" s="30"/>
      <c r="F915" s="30"/>
      <c r="G915" s="30"/>
      <c r="H915" s="30"/>
      <c r="I915" s="50">
        <v>0</v>
      </c>
      <c r="J915" s="50"/>
      <c r="K915" s="50"/>
      <c r="L915" s="36">
        <v>2021</v>
      </c>
      <c r="M915" s="50"/>
      <c r="N915" s="50"/>
    </row>
    <row r="916" spans="1:14" ht="24" customHeight="1" x14ac:dyDescent="0.35">
      <c r="A916" s="30" t="s">
        <v>600</v>
      </c>
      <c r="B916" s="50" t="s">
        <v>255</v>
      </c>
      <c r="C916" s="50" t="s">
        <v>993</v>
      </c>
      <c r="D916" s="30" t="s">
        <v>1005</v>
      </c>
      <c r="E916" s="30"/>
      <c r="F916" s="30"/>
      <c r="G916" s="30"/>
      <c r="H916" s="30"/>
      <c r="I916" s="50">
        <v>0</v>
      </c>
      <c r="J916" s="50"/>
      <c r="K916" s="50"/>
      <c r="L916" s="36">
        <v>2021</v>
      </c>
      <c r="M916" s="50"/>
      <c r="N916" s="50"/>
    </row>
    <row r="917" spans="1:14" ht="24" customHeight="1" x14ac:dyDescent="0.35">
      <c r="A917" s="30" t="s">
        <v>600</v>
      </c>
      <c r="B917" s="50" t="s">
        <v>255</v>
      </c>
      <c r="C917" s="50" t="s">
        <v>993</v>
      </c>
      <c r="D917" s="30" t="s">
        <v>1006</v>
      </c>
      <c r="E917" s="30"/>
      <c r="F917" s="30"/>
      <c r="G917" s="30"/>
      <c r="H917" s="30"/>
      <c r="I917" s="50">
        <v>0</v>
      </c>
      <c r="J917" s="50"/>
      <c r="K917" s="50"/>
      <c r="L917" s="36">
        <v>2021</v>
      </c>
      <c r="M917" s="50"/>
      <c r="N917" s="50"/>
    </row>
    <row r="918" spans="1:14" ht="24" customHeight="1" x14ac:dyDescent="0.35">
      <c r="A918" s="109" t="s">
        <v>600</v>
      </c>
      <c r="B918" s="50" t="s">
        <v>255</v>
      </c>
      <c r="C918" s="50" t="s">
        <v>996</v>
      </c>
      <c r="D918" s="30" t="s">
        <v>1006</v>
      </c>
      <c r="E918" s="109"/>
      <c r="F918" s="109"/>
      <c r="G918" s="109"/>
      <c r="H918" s="109"/>
      <c r="I918" s="50">
        <v>0</v>
      </c>
      <c r="J918" s="50"/>
      <c r="K918" s="50"/>
      <c r="L918" s="36">
        <v>2021</v>
      </c>
      <c r="M918" s="50"/>
      <c r="N918" s="50"/>
    </row>
    <row r="919" spans="1:14" ht="24" customHeight="1" x14ac:dyDescent="0.35">
      <c r="A919" s="30" t="s">
        <v>603</v>
      </c>
      <c r="B919" s="50" t="s">
        <v>46</v>
      </c>
      <c r="C919" s="50" t="s">
        <v>996</v>
      </c>
      <c r="D919" s="30" t="s">
        <v>1004</v>
      </c>
      <c r="E919" s="30">
        <v>0</v>
      </c>
      <c r="F919" s="30">
        <v>0</v>
      </c>
      <c r="G919" s="30">
        <v>0</v>
      </c>
      <c r="H919" s="30">
        <v>0</v>
      </c>
      <c r="I919" s="50">
        <v>0</v>
      </c>
      <c r="J919" s="50"/>
      <c r="K919" s="50"/>
      <c r="L919" s="36">
        <v>2021</v>
      </c>
      <c r="M919" s="50"/>
      <c r="N919" s="50"/>
    </row>
    <row r="920" spans="1:14" ht="24" customHeight="1" x14ac:dyDescent="0.35">
      <c r="A920" s="30" t="s">
        <v>603</v>
      </c>
      <c r="B920" s="50" t="s">
        <v>46</v>
      </c>
      <c r="C920" s="50" t="s">
        <v>996</v>
      </c>
      <c r="D920" s="30" t="s">
        <v>1005</v>
      </c>
      <c r="E920" s="30">
        <v>3</v>
      </c>
      <c r="F920" s="30">
        <v>0</v>
      </c>
      <c r="G920" s="30">
        <v>67</v>
      </c>
      <c r="H920" s="30">
        <v>86</v>
      </c>
      <c r="I920" s="50">
        <v>156</v>
      </c>
      <c r="J920" s="50"/>
      <c r="K920" s="50"/>
      <c r="L920" s="36">
        <v>2021</v>
      </c>
      <c r="M920" s="50"/>
      <c r="N920" s="50"/>
    </row>
    <row r="921" spans="1:14" ht="24" customHeight="1" x14ac:dyDescent="0.35">
      <c r="A921" s="30" t="s">
        <v>603</v>
      </c>
      <c r="B921" s="50" t="s">
        <v>46</v>
      </c>
      <c r="C921" s="50" t="s">
        <v>993</v>
      </c>
      <c r="D921" s="30" t="s">
        <v>1004</v>
      </c>
      <c r="E921" s="30">
        <v>0</v>
      </c>
      <c r="F921" s="30">
        <v>0</v>
      </c>
      <c r="G921" s="30">
        <v>0</v>
      </c>
      <c r="H921" s="30">
        <v>0</v>
      </c>
      <c r="I921" s="50">
        <v>0</v>
      </c>
      <c r="J921" s="50"/>
      <c r="K921" s="50"/>
      <c r="L921" s="36">
        <v>2021</v>
      </c>
      <c r="M921" s="50"/>
      <c r="N921" s="50"/>
    </row>
    <row r="922" spans="1:14" ht="24" customHeight="1" x14ac:dyDescent="0.35">
      <c r="A922" s="30" t="s">
        <v>603</v>
      </c>
      <c r="B922" s="50" t="s">
        <v>46</v>
      </c>
      <c r="C922" s="50" t="s">
        <v>993</v>
      </c>
      <c r="D922" s="30" t="s">
        <v>1005</v>
      </c>
      <c r="E922" s="30">
        <v>0</v>
      </c>
      <c r="F922" s="30">
        <v>0</v>
      </c>
      <c r="G922" s="30">
        <v>0</v>
      </c>
      <c r="H922" s="30">
        <v>0</v>
      </c>
      <c r="I922" s="50">
        <v>0</v>
      </c>
      <c r="J922" s="50"/>
      <c r="K922" s="50"/>
      <c r="L922" s="36">
        <v>2021</v>
      </c>
      <c r="M922" s="50"/>
      <c r="N922" s="50"/>
    </row>
    <row r="923" spans="1:14" ht="24" customHeight="1" x14ac:dyDescent="0.35">
      <c r="A923" s="30" t="s">
        <v>603</v>
      </c>
      <c r="B923" s="50" t="s">
        <v>46</v>
      </c>
      <c r="C923" s="50" t="s">
        <v>993</v>
      </c>
      <c r="D923" s="30" t="s">
        <v>1006</v>
      </c>
      <c r="E923" s="30">
        <v>0</v>
      </c>
      <c r="F923" s="30">
        <v>0</v>
      </c>
      <c r="G923" s="30">
        <v>0</v>
      </c>
      <c r="H923" s="30">
        <v>0</v>
      </c>
      <c r="I923" s="50">
        <v>0</v>
      </c>
      <c r="J923" s="50"/>
      <c r="K923" s="50"/>
      <c r="L923" s="36">
        <v>2021</v>
      </c>
      <c r="M923" s="50"/>
      <c r="N923" s="50"/>
    </row>
    <row r="924" spans="1:14" ht="24" customHeight="1" x14ac:dyDescent="0.35">
      <c r="A924" s="109" t="s">
        <v>603</v>
      </c>
      <c r="B924" s="50" t="s">
        <v>46</v>
      </c>
      <c r="C924" s="50" t="s">
        <v>996</v>
      </c>
      <c r="D924" s="30" t="s">
        <v>1006</v>
      </c>
      <c r="E924" s="109">
        <v>30870</v>
      </c>
      <c r="F924" s="109">
        <v>0</v>
      </c>
      <c r="G924" s="109">
        <v>182898</v>
      </c>
      <c r="H924" s="109">
        <v>35556</v>
      </c>
      <c r="I924" s="50">
        <v>249324</v>
      </c>
      <c r="J924" s="50"/>
      <c r="K924" s="50"/>
      <c r="L924" s="36">
        <v>2021</v>
      </c>
      <c r="M924" s="50"/>
      <c r="N924" s="50"/>
    </row>
    <row r="925" spans="1:14" ht="24" customHeight="1" x14ac:dyDescent="0.35">
      <c r="A925" s="30" t="s">
        <v>612</v>
      </c>
      <c r="B925" s="50" t="s">
        <v>46</v>
      </c>
      <c r="C925" s="50" t="s">
        <v>996</v>
      </c>
      <c r="D925" s="30" t="s">
        <v>1004</v>
      </c>
      <c r="E925" s="30">
        <v>0</v>
      </c>
      <c r="F925" s="30">
        <v>1</v>
      </c>
      <c r="G925" s="30">
        <v>1</v>
      </c>
      <c r="H925" s="30">
        <v>0</v>
      </c>
      <c r="I925" s="50">
        <v>2</v>
      </c>
      <c r="J925" s="50"/>
      <c r="K925" s="50"/>
      <c r="L925" s="36">
        <v>2021</v>
      </c>
      <c r="M925" s="50"/>
      <c r="N925" s="50"/>
    </row>
    <row r="926" spans="1:14" ht="24" customHeight="1" x14ac:dyDescent="0.35">
      <c r="A926" s="30" t="s">
        <v>612</v>
      </c>
      <c r="B926" s="50" t="s">
        <v>46</v>
      </c>
      <c r="C926" s="50" t="s">
        <v>996</v>
      </c>
      <c r="D926" s="30" t="s">
        <v>1005</v>
      </c>
      <c r="E926" s="30">
        <v>1</v>
      </c>
      <c r="F926" s="30">
        <v>6</v>
      </c>
      <c r="G926" s="30">
        <v>24</v>
      </c>
      <c r="H926" s="30">
        <v>13</v>
      </c>
      <c r="I926" s="50">
        <v>44</v>
      </c>
      <c r="J926" s="50"/>
      <c r="K926" s="50"/>
      <c r="L926" s="36">
        <v>2021</v>
      </c>
      <c r="M926" s="50"/>
      <c r="N926" s="50"/>
    </row>
    <row r="927" spans="1:14" ht="24" customHeight="1" x14ac:dyDescent="0.35">
      <c r="A927" s="30" t="s">
        <v>612</v>
      </c>
      <c r="B927" s="50" t="s">
        <v>46</v>
      </c>
      <c r="C927" s="50" t="s">
        <v>993</v>
      </c>
      <c r="D927" s="30" t="s">
        <v>1004</v>
      </c>
      <c r="E927" s="30">
        <v>0</v>
      </c>
      <c r="F927" s="30">
        <v>0</v>
      </c>
      <c r="G927" s="30">
        <v>0</v>
      </c>
      <c r="H927" s="30">
        <v>0</v>
      </c>
      <c r="I927" s="50">
        <v>0</v>
      </c>
      <c r="J927" s="50"/>
      <c r="K927" s="50"/>
      <c r="L927" s="36">
        <v>2021</v>
      </c>
      <c r="M927" s="50"/>
      <c r="N927" s="50"/>
    </row>
    <row r="928" spans="1:14" ht="24" customHeight="1" x14ac:dyDescent="0.35">
      <c r="A928" s="30" t="s">
        <v>612</v>
      </c>
      <c r="B928" s="50" t="s">
        <v>46</v>
      </c>
      <c r="C928" s="50" t="s">
        <v>993</v>
      </c>
      <c r="D928" s="30" t="s">
        <v>1005</v>
      </c>
      <c r="E928" s="30">
        <v>1</v>
      </c>
      <c r="F928" s="30">
        <v>1</v>
      </c>
      <c r="G928" s="30">
        <v>2</v>
      </c>
      <c r="H928" s="30">
        <v>0</v>
      </c>
      <c r="I928" s="50">
        <v>4</v>
      </c>
      <c r="J928" s="50"/>
      <c r="K928" s="50"/>
      <c r="L928" s="36">
        <v>2021</v>
      </c>
      <c r="M928" s="50"/>
      <c r="N928" s="50"/>
    </row>
    <row r="929" spans="1:14" ht="24" customHeight="1" x14ac:dyDescent="0.35">
      <c r="A929" s="30" t="s">
        <v>612</v>
      </c>
      <c r="B929" s="50" t="s">
        <v>46</v>
      </c>
      <c r="C929" s="50" t="s">
        <v>993</v>
      </c>
      <c r="D929" s="30" t="s">
        <v>1006</v>
      </c>
      <c r="E929" s="30">
        <v>7798</v>
      </c>
      <c r="F929" s="30">
        <v>5512</v>
      </c>
      <c r="G929" s="30">
        <v>2105</v>
      </c>
      <c r="H929" s="30">
        <v>1263</v>
      </c>
      <c r="I929" s="50">
        <v>16678</v>
      </c>
      <c r="J929" s="50"/>
      <c r="K929" s="50"/>
      <c r="L929" s="36">
        <v>2021</v>
      </c>
      <c r="M929" s="50"/>
      <c r="N929" s="50"/>
    </row>
    <row r="930" spans="1:14" ht="24" customHeight="1" x14ac:dyDescent="0.35">
      <c r="A930" s="109" t="s">
        <v>612</v>
      </c>
      <c r="B930" s="50" t="s">
        <v>46</v>
      </c>
      <c r="C930" s="50" t="s">
        <v>996</v>
      </c>
      <c r="D930" s="30" t="s">
        <v>1006</v>
      </c>
      <c r="E930" s="109">
        <v>24490</v>
      </c>
      <c r="F930" s="109">
        <v>23285</v>
      </c>
      <c r="G930" s="109">
        <v>35447</v>
      </c>
      <c r="H930" s="109">
        <v>15303</v>
      </c>
      <c r="I930" s="50">
        <v>98525</v>
      </c>
      <c r="J930" s="50"/>
      <c r="K930" s="50"/>
      <c r="L930" s="36">
        <v>2021</v>
      </c>
      <c r="M930" s="50"/>
      <c r="N930" s="50"/>
    </row>
    <row r="931" spans="1:14" ht="24" customHeight="1" x14ac:dyDescent="0.35">
      <c r="A931" s="30" t="s">
        <v>614</v>
      </c>
      <c r="B931" s="50" t="s">
        <v>255</v>
      </c>
      <c r="C931" s="50" t="s">
        <v>996</v>
      </c>
      <c r="D931" s="30" t="s">
        <v>1004</v>
      </c>
      <c r="E931" s="30">
        <v>0</v>
      </c>
      <c r="F931" s="30">
        <v>0</v>
      </c>
      <c r="G931" s="30">
        <v>0</v>
      </c>
      <c r="H931" s="30">
        <v>1</v>
      </c>
      <c r="I931" s="50">
        <v>1</v>
      </c>
      <c r="J931" s="50"/>
      <c r="K931" s="50"/>
      <c r="L931" s="36">
        <v>2021</v>
      </c>
      <c r="M931" s="50"/>
      <c r="N931" s="50"/>
    </row>
    <row r="932" spans="1:14" ht="24" customHeight="1" x14ac:dyDescent="0.35">
      <c r="A932" s="30" t="s">
        <v>614</v>
      </c>
      <c r="B932" s="50" t="s">
        <v>255</v>
      </c>
      <c r="C932" s="50" t="s">
        <v>996</v>
      </c>
      <c r="D932" s="30" t="s">
        <v>1005</v>
      </c>
      <c r="E932" s="30">
        <v>1</v>
      </c>
      <c r="F932" s="30">
        <v>1</v>
      </c>
      <c r="G932" s="30">
        <v>2</v>
      </c>
      <c r="H932" s="30">
        <v>2</v>
      </c>
      <c r="I932" s="50">
        <v>6</v>
      </c>
      <c r="J932" s="50"/>
      <c r="K932" s="50"/>
      <c r="L932" s="36">
        <v>2021</v>
      </c>
      <c r="M932" s="50"/>
      <c r="N932" s="50"/>
    </row>
    <row r="933" spans="1:14" ht="24" customHeight="1" x14ac:dyDescent="0.35">
      <c r="A933" s="30" t="s">
        <v>614</v>
      </c>
      <c r="B933" s="50" t="s">
        <v>255</v>
      </c>
      <c r="C933" s="50" t="s">
        <v>993</v>
      </c>
      <c r="D933" s="30" t="s">
        <v>1004</v>
      </c>
      <c r="E933" s="30">
        <v>1</v>
      </c>
      <c r="F933" s="30">
        <v>0</v>
      </c>
      <c r="G933" s="30">
        <v>0</v>
      </c>
      <c r="H933" s="30">
        <v>0</v>
      </c>
      <c r="I933" s="50">
        <v>1</v>
      </c>
      <c r="J933" s="50"/>
      <c r="K933" s="50"/>
      <c r="L933" s="36">
        <v>2021</v>
      </c>
      <c r="M933" s="50"/>
      <c r="N933" s="50"/>
    </row>
    <row r="934" spans="1:14" ht="24" customHeight="1" x14ac:dyDescent="0.35">
      <c r="A934" s="30" t="s">
        <v>614</v>
      </c>
      <c r="B934" s="50" t="s">
        <v>255</v>
      </c>
      <c r="C934" s="50" t="s">
        <v>993</v>
      </c>
      <c r="D934" s="30" t="s">
        <v>1005</v>
      </c>
      <c r="E934" s="30">
        <v>3</v>
      </c>
      <c r="F934" s="30">
        <v>0</v>
      </c>
      <c r="G934" s="30">
        <v>0</v>
      </c>
      <c r="H934" s="30">
        <v>0</v>
      </c>
      <c r="I934" s="50">
        <v>3</v>
      </c>
      <c r="J934" s="50"/>
      <c r="K934" s="50"/>
      <c r="L934" s="36">
        <v>2021</v>
      </c>
      <c r="M934" s="50"/>
      <c r="N934" s="50"/>
    </row>
    <row r="935" spans="1:14" ht="24" customHeight="1" x14ac:dyDescent="0.35">
      <c r="A935" s="30" t="s">
        <v>614</v>
      </c>
      <c r="B935" s="50" t="s">
        <v>255</v>
      </c>
      <c r="C935" s="50" t="s">
        <v>993</v>
      </c>
      <c r="D935" s="30" t="s">
        <v>1006</v>
      </c>
      <c r="E935" s="30">
        <v>114000</v>
      </c>
      <c r="F935" s="30">
        <v>0</v>
      </c>
      <c r="G935" s="30">
        <v>0</v>
      </c>
      <c r="H935" s="30">
        <v>0</v>
      </c>
      <c r="I935" s="50">
        <v>114000</v>
      </c>
      <c r="J935" s="50"/>
      <c r="K935" s="50"/>
      <c r="L935" s="36">
        <v>2021</v>
      </c>
      <c r="M935" s="50"/>
      <c r="N935" s="50"/>
    </row>
    <row r="936" spans="1:14" ht="24" customHeight="1" x14ac:dyDescent="0.35">
      <c r="A936" s="109" t="s">
        <v>614</v>
      </c>
      <c r="B936" s="50" t="s">
        <v>255</v>
      </c>
      <c r="C936" s="50" t="s">
        <v>996</v>
      </c>
      <c r="D936" s="30" t="s">
        <v>1006</v>
      </c>
      <c r="E936" s="109">
        <v>22500</v>
      </c>
      <c r="F936" s="109">
        <v>14400</v>
      </c>
      <c r="G936" s="109">
        <v>19200</v>
      </c>
      <c r="H936" s="109">
        <v>9000</v>
      </c>
      <c r="I936" s="50">
        <v>65100</v>
      </c>
      <c r="J936" s="50"/>
      <c r="K936" s="50"/>
      <c r="L936" s="36">
        <v>2021</v>
      </c>
      <c r="M936" s="50"/>
      <c r="N936" s="50"/>
    </row>
    <row r="937" spans="1:14" ht="24" customHeight="1" x14ac:dyDescent="0.35">
      <c r="A937" s="30" t="s">
        <v>615</v>
      </c>
      <c r="B937" s="50" t="s">
        <v>46</v>
      </c>
      <c r="C937" s="50" t="s">
        <v>996</v>
      </c>
      <c r="D937" s="30" t="s">
        <v>1004</v>
      </c>
      <c r="E937" s="30">
        <v>1</v>
      </c>
      <c r="F937" s="30">
        <v>0</v>
      </c>
      <c r="G937" s="30">
        <v>0</v>
      </c>
      <c r="H937" s="30">
        <v>0</v>
      </c>
      <c r="I937" s="50">
        <v>1</v>
      </c>
      <c r="J937" s="50"/>
      <c r="K937" s="50"/>
      <c r="L937" s="36">
        <v>2021</v>
      </c>
      <c r="M937" s="50"/>
      <c r="N937" s="50"/>
    </row>
    <row r="938" spans="1:14" ht="24" customHeight="1" x14ac:dyDescent="0.35">
      <c r="A938" s="30" t="s">
        <v>615</v>
      </c>
      <c r="B938" s="50" t="s">
        <v>46</v>
      </c>
      <c r="C938" s="50" t="s">
        <v>996</v>
      </c>
      <c r="D938" s="30" t="s">
        <v>1005</v>
      </c>
      <c r="E938" s="30">
        <v>2</v>
      </c>
      <c r="F938" s="30">
        <v>0</v>
      </c>
      <c r="G938" s="30">
        <v>0</v>
      </c>
      <c r="H938" s="30">
        <v>5</v>
      </c>
      <c r="I938" s="50">
        <v>7</v>
      </c>
      <c r="J938" s="50"/>
      <c r="K938" s="50"/>
      <c r="L938" s="36">
        <v>2021</v>
      </c>
      <c r="M938" s="50"/>
      <c r="N938" s="50"/>
    </row>
    <row r="939" spans="1:14" ht="24" customHeight="1" x14ac:dyDescent="0.35">
      <c r="A939" s="30" t="s">
        <v>615</v>
      </c>
      <c r="B939" s="50" t="s">
        <v>46</v>
      </c>
      <c r="C939" s="50" t="s">
        <v>993</v>
      </c>
      <c r="D939" s="30" t="s">
        <v>1004</v>
      </c>
      <c r="E939" s="30">
        <v>0</v>
      </c>
      <c r="F939" s="30">
        <v>0</v>
      </c>
      <c r="G939" s="30">
        <v>0</v>
      </c>
      <c r="H939" s="30">
        <v>0</v>
      </c>
      <c r="I939" s="50">
        <v>0</v>
      </c>
      <c r="J939" s="50"/>
      <c r="K939" s="50"/>
      <c r="L939" s="36">
        <v>2021</v>
      </c>
      <c r="M939" s="50"/>
      <c r="N939" s="50"/>
    </row>
    <row r="940" spans="1:14" ht="24" customHeight="1" x14ac:dyDescent="0.35">
      <c r="A940" s="30" t="s">
        <v>615</v>
      </c>
      <c r="B940" s="50" t="s">
        <v>46</v>
      </c>
      <c r="C940" s="50" t="s">
        <v>993</v>
      </c>
      <c r="D940" s="30" t="s">
        <v>1005</v>
      </c>
      <c r="E940" s="30">
        <v>0</v>
      </c>
      <c r="F940" s="30">
        <v>0</v>
      </c>
      <c r="G940" s="30">
        <v>0</v>
      </c>
      <c r="H940" s="30">
        <v>0</v>
      </c>
      <c r="I940" s="50">
        <v>0</v>
      </c>
      <c r="J940" s="50"/>
      <c r="K940" s="50"/>
      <c r="L940" s="36">
        <v>2021</v>
      </c>
      <c r="M940" s="50"/>
      <c r="N940" s="50"/>
    </row>
    <row r="941" spans="1:14" ht="24" customHeight="1" x14ac:dyDescent="0.35">
      <c r="A941" s="30" t="s">
        <v>615</v>
      </c>
      <c r="B941" s="50" t="s">
        <v>46</v>
      </c>
      <c r="C941" s="50" t="s">
        <v>993</v>
      </c>
      <c r="D941" s="30" t="s">
        <v>1006</v>
      </c>
      <c r="E941" s="30">
        <v>0</v>
      </c>
      <c r="F941" s="30">
        <v>0</v>
      </c>
      <c r="G941" s="30">
        <v>0</v>
      </c>
      <c r="H941" s="30">
        <v>0</v>
      </c>
      <c r="I941" s="50">
        <v>0</v>
      </c>
      <c r="J941" s="50"/>
      <c r="K941" s="50"/>
      <c r="L941" s="36">
        <v>2021</v>
      </c>
      <c r="M941" s="50"/>
      <c r="N941" s="50"/>
    </row>
    <row r="942" spans="1:14" ht="24" customHeight="1" x14ac:dyDescent="0.35">
      <c r="A942" s="109" t="s">
        <v>615</v>
      </c>
      <c r="B942" s="50" t="s">
        <v>46</v>
      </c>
      <c r="C942" s="50" t="s">
        <v>996</v>
      </c>
      <c r="D942" s="30" t="s">
        <v>1006</v>
      </c>
      <c r="E942" s="109">
        <v>33629</v>
      </c>
      <c r="F942" s="109">
        <v>0</v>
      </c>
      <c r="G942" s="30"/>
      <c r="H942" s="109">
        <v>9546</v>
      </c>
      <c r="I942" s="50">
        <v>43175</v>
      </c>
      <c r="J942" s="50"/>
      <c r="K942" s="50"/>
      <c r="L942" s="36">
        <v>2021</v>
      </c>
      <c r="M942" s="50"/>
      <c r="N942" s="50"/>
    </row>
    <row r="943" spans="1:14" ht="24" customHeight="1" x14ac:dyDescent="0.35">
      <c r="A943" s="50" t="s">
        <v>495</v>
      </c>
      <c r="B943" s="50" t="s">
        <v>322</v>
      </c>
      <c r="C943" s="50" t="s">
        <v>996</v>
      </c>
      <c r="D943" s="30" t="s">
        <v>1004</v>
      </c>
      <c r="E943" s="50">
        <v>0</v>
      </c>
      <c r="F943" s="50">
        <v>1</v>
      </c>
      <c r="G943" s="50">
        <v>0</v>
      </c>
      <c r="H943" s="50">
        <v>1</v>
      </c>
      <c r="I943" s="50">
        <v>2</v>
      </c>
      <c r="J943" s="50"/>
      <c r="K943" s="50"/>
      <c r="L943" s="36">
        <v>2021</v>
      </c>
      <c r="M943" s="50"/>
      <c r="N943" s="50"/>
    </row>
    <row r="944" spans="1:14" ht="24" customHeight="1" x14ac:dyDescent="0.35">
      <c r="A944" s="50" t="s">
        <v>495</v>
      </c>
      <c r="B944" s="50" t="s">
        <v>322</v>
      </c>
      <c r="C944" s="50" t="s">
        <v>996</v>
      </c>
      <c r="D944" s="30" t="s">
        <v>1005</v>
      </c>
      <c r="E944" s="50">
        <v>0</v>
      </c>
      <c r="F944" s="50">
        <v>3</v>
      </c>
      <c r="G944" s="50">
        <v>1</v>
      </c>
      <c r="H944" s="50">
        <v>77</v>
      </c>
      <c r="I944" s="50">
        <v>81</v>
      </c>
      <c r="J944" s="50"/>
      <c r="K944" s="50"/>
      <c r="L944" s="36">
        <v>2021</v>
      </c>
      <c r="M944" s="50"/>
      <c r="N944" s="50"/>
    </row>
    <row r="945" spans="1:14" ht="24" customHeight="1" x14ac:dyDescent="0.35">
      <c r="A945" s="50" t="s">
        <v>495</v>
      </c>
      <c r="B945" s="50" t="s">
        <v>322</v>
      </c>
      <c r="C945" s="50" t="s">
        <v>993</v>
      </c>
      <c r="D945" s="30" t="s">
        <v>1004</v>
      </c>
      <c r="E945" s="50">
        <v>0</v>
      </c>
      <c r="F945" s="50">
        <v>0</v>
      </c>
      <c r="G945" s="50">
        <v>0</v>
      </c>
      <c r="H945" s="50">
        <v>0</v>
      </c>
      <c r="I945" s="50">
        <v>0</v>
      </c>
      <c r="J945" s="50"/>
      <c r="K945" s="50"/>
      <c r="L945" s="36">
        <v>2021</v>
      </c>
      <c r="M945" s="50"/>
      <c r="N945" s="50"/>
    </row>
    <row r="946" spans="1:14" ht="24" customHeight="1" x14ac:dyDescent="0.35">
      <c r="A946" s="50" t="s">
        <v>495</v>
      </c>
      <c r="B946" s="50" t="s">
        <v>322</v>
      </c>
      <c r="C946" s="50" t="s">
        <v>993</v>
      </c>
      <c r="D946" s="30" t="s">
        <v>1005</v>
      </c>
      <c r="E946" s="50">
        <v>0</v>
      </c>
      <c r="F946" s="50">
        <v>0</v>
      </c>
      <c r="G946" s="50">
        <v>0</v>
      </c>
      <c r="H946" s="50">
        <v>0</v>
      </c>
      <c r="I946" s="50">
        <v>0</v>
      </c>
      <c r="J946" s="50"/>
      <c r="K946" s="50"/>
      <c r="L946" s="36">
        <v>2021</v>
      </c>
      <c r="M946" s="50"/>
      <c r="N946" s="50"/>
    </row>
    <row r="947" spans="1:14" ht="24" customHeight="1" x14ac:dyDescent="0.35">
      <c r="A947" s="50" t="s">
        <v>495</v>
      </c>
      <c r="B947" s="50" t="s">
        <v>322</v>
      </c>
      <c r="C947" s="50" t="s">
        <v>993</v>
      </c>
      <c r="D947" s="30" t="s">
        <v>1006</v>
      </c>
      <c r="E947" s="50">
        <v>0</v>
      </c>
      <c r="F947" s="50">
        <v>0</v>
      </c>
      <c r="G947" s="50">
        <v>0</v>
      </c>
      <c r="H947" s="50">
        <v>0</v>
      </c>
      <c r="I947" s="50">
        <v>0</v>
      </c>
      <c r="J947" s="50"/>
      <c r="K947" s="50"/>
      <c r="L947" s="36">
        <v>2021</v>
      </c>
      <c r="M947" s="50"/>
      <c r="N947" s="50"/>
    </row>
    <row r="948" spans="1:14" ht="24" customHeight="1" x14ac:dyDescent="0.35">
      <c r="A948" s="50" t="s">
        <v>495</v>
      </c>
      <c r="B948" s="50" t="s">
        <v>322</v>
      </c>
      <c r="C948" s="50" t="s">
        <v>996</v>
      </c>
      <c r="D948" s="30" t="s">
        <v>1006</v>
      </c>
      <c r="E948" s="50">
        <v>0</v>
      </c>
      <c r="F948" s="50">
        <v>24040</v>
      </c>
      <c r="G948" s="50">
        <v>842</v>
      </c>
      <c r="H948" s="50">
        <v>243832</v>
      </c>
      <c r="I948" s="50">
        <v>268714</v>
      </c>
      <c r="J948" s="50"/>
      <c r="K948" s="50"/>
      <c r="L948" s="36">
        <v>2021</v>
      </c>
      <c r="M948" s="50"/>
      <c r="N948" s="50"/>
    </row>
    <row r="949" spans="1:14" ht="24" customHeight="1" x14ac:dyDescent="0.35">
      <c r="A949" s="50" t="s">
        <v>558</v>
      </c>
      <c r="B949" s="50" t="s">
        <v>46</v>
      </c>
      <c r="C949" s="50" t="s">
        <v>996</v>
      </c>
      <c r="D949" s="30" t="s">
        <v>1004</v>
      </c>
      <c r="E949" s="50">
        <v>0</v>
      </c>
      <c r="F949" s="50">
        <v>0</v>
      </c>
      <c r="G949" s="50"/>
      <c r="H949" s="50">
        <v>4</v>
      </c>
      <c r="I949" s="50">
        <v>4</v>
      </c>
      <c r="J949" s="50"/>
      <c r="K949" s="50"/>
      <c r="L949" s="36">
        <v>2021</v>
      </c>
      <c r="M949" s="50"/>
      <c r="N949" s="50"/>
    </row>
    <row r="950" spans="1:14" ht="24" customHeight="1" x14ac:dyDescent="0.35">
      <c r="A950" s="50" t="s">
        <v>558</v>
      </c>
      <c r="B950" s="50" t="s">
        <v>46</v>
      </c>
      <c r="C950" s="50" t="s">
        <v>996</v>
      </c>
      <c r="D950" s="30" t="s">
        <v>1005</v>
      </c>
      <c r="E950" s="50">
        <v>0</v>
      </c>
      <c r="F950" s="50">
        <v>0</v>
      </c>
      <c r="G950" s="50">
        <v>2</v>
      </c>
      <c r="H950" s="50">
        <v>42</v>
      </c>
      <c r="I950" s="50">
        <v>44</v>
      </c>
      <c r="J950" s="50"/>
      <c r="K950" s="50"/>
      <c r="L950" s="36">
        <v>2021</v>
      </c>
      <c r="M950" s="50"/>
      <c r="N950" s="50"/>
    </row>
    <row r="951" spans="1:14" ht="24" customHeight="1" x14ac:dyDescent="0.35">
      <c r="A951" s="50" t="s">
        <v>558</v>
      </c>
      <c r="B951" s="50" t="s">
        <v>46</v>
      </c>
      <c r="C951" s="50" t="s">
        <v>993</v>
      </c>
      <c r="D951" s="30" t="s">
        <v>1004</v>
      </c>
      <c r="E951" s="50">
        <v>0</v>
      </c>
      <c r="F951" s="50"/>
      <c r="G951" s="50"/>
      <c r="H951" s="50"/>
      <c r="I951" s="50">
        <v>0</v>
      </c>
      <c r="J951" s="50"/>
      <c r="K951" s="50"/>
      <c r="L951" s="36">
        <v>2021</v>
      </c>
      <c r="M951" s="50"/>
      <c r="N951" s="50"/>
    </row>
    <row r="952" spans="1:14" ht="24" customHeight="1" x14ac:dyDescent="0.35">
      <c r="A952" s="50" t="s">
        <v>558</v>
      </c>
      <c r="B952" s="50" t="s">
        <v>46</v>
      </c>
      <c r="C952" s="50" t="s">
        <v>993</v>
      </c>
      <c r="D952" s="30" t="s">
        <v>1005</v>
      </c>
      <c r="E952" s="50">
        <v>2</v>
      </c>
      <c r="F952" s="50">
        <v>1</v>
      </c>
      <c r="G952" s="50"/>
      <c r="H952" s="50"/>
      <c r="I952" s="50">
        <v>3</v>
      </c>
      <c r="J952" s="50"/>
      <c r="K952" s="50"/>
      <c r="L952" s="36">
        <v>2021</v>
      </c>
      <c r="M952" s="50"/>
      <c r="N952" s="50"/>
    </row>
    <row r="953" spans="1:14" ht="24" customHeight="1" x14ac:dyDescent="0.35">
      <c r="A953" s="50" t="s">
        <v>558</v>
      </c>
      <c r="B953" s="50" t="s">
        <v>46</v>
      </c>
      <c r="C953" s="50" t="s">
        <v>993</v>
      </c>
      <c r="D953" s="30" t="s">
        <v>1006</v>
      </c>
      <c r="E953" s="50">
        <v>48000</v>
      </c>
      <c r="F953" s="50">
        <v>12000</v>
      </c>
      <c r="G953" s="50"/>
      <c r="H953" s="50"/>
      <c r="I953" s="50">
        <v>60000</v>
      </c>
      <c r="J953" s="50"/>
      <c r="K953" s="50"/>
      <c r="L953" s="36">
        <v>2021</v>
      </c>
      <c r="M953" s="50"/>
      <c r="N953" s="50"/>
    </row>
    <row r="954" spans="1:14" ht="24" customHeight="1" x14ac:dyDescent="0.35">
      <c r="A954" s="50" t="s">
        <v>558</v>
      </c>
      <c r="B954" s="50" t="s">
        <v>46</v>
      </c>
      <c r="C954" s="50" t="s">
        <v>996</v>
      </c>
      <c r="D954" s="30" t="s">
        <v>1006</v>
      </c>
      <c r="E954" s="50">
        <v>0</v>
      </c>
      <c r="F954" s="50"/>
      <c r="G954" s="50">
        <v>4704</v>
      </c>
      <c r="H954" s="50">
        <v>65959</v>
      </c>
      <c r="I954" s="50">
        <v>70663</v>
      </c>
      <c r="J954" s="50"/>
      <c r="K954" s="50"/>
      <c r="L954" s="36">
        <v>2021</v>
      </c>
      <c r="M954" s="50"/>
      <c r="N954" s="50"/>
    </row>
    <row r="955" spans="1:14" ht="24" customHeight="1" x14ac:dyDescent="0.35">
      <c r="A955" s="50" t="s">
        <v>505</v>
      </c>
      <c r="B955" s="50" t="s">
        <v>46</v>
      </c>
      <c r="C955" s="50" t="s">
        <v>996</v>
      </c>
      <c r="D955" s="30" t="s">
        <v>1004</v>
      </c>
      <c r="E955" s="50">
        <v>0</v>
      </c>
      <c r="F955" s="50">
        <v>0</v>
      </c>
      <c r="G955" s="50"/>
      <c r="H955" s="50">
        <v>0</v>
      </c>
      <c r="I955" s="50">
        <v>0</v>
      </c>
      <c r="J955" s="50"/>
      <c r="K955" s="50"/>
      <c r="L955" s="36">
        <v>2021</v>
      </c>
      <c r="M955" s="50"/>
      <c r="N955" s="50"/>
    </row>
    <row r="956" spans="1:14" ht="24" customHeight="1" x14ac:dyDescent="0.35">
      <c r="A956" s="50" t="s">
        <v>505</v>
      </c>
      <c r="B956" s="50" t="s">
        <v>46</v>
      </c>
      <c r="C956" s="50" t="s">
        <v>996</v>
      </c>
      <c r="D956" s="30" t="s">
        <v>1005</v>
      </c>
      <c r="E956" s="50">
        <v>0</v>
      </c>
      <c r="F956" s="50">
        <v>1</v>
      </c>
      <c r="G956" s="50">
        <v>0</v>
      </c>
      <c r="H956" s="50">
        <v>47</v>
      </c>
      <c r="I956" s="50">
        <v>48</v>
      </c>
      <c r="J956" s="50"/>
      <c r="K956" s="50"/>
      <c r="L956" s="36">
        <v>2021</v>
      </c>
      <c r="M956" s="50"/>
      <c r="N956" s="50"/>
    </row>
    <row r="957" spans="1:14" ht="24" customHeight="1" x14ac:dyDescent="0.35">
      <c r="A957" s="50" t="s">
        <v>505</v>
      </c>
      <c r="B957" s="50" t="s">
        <v>46</v>
      </c>
      <c r="C957" s="50" t="s">
        <v>993</v>
      </c>
      <c r="D957" s="30" t="s">
        <v>1004</v>
      </c>
      <c r="E957" s="50">
        <v>0</v>
      </c>
      <c r="F957" s="50">
        <v>0</v>
      </c>
      <c r="G957" s="50">
        <v>0</v>
      </c>
      <c r="H957" s="50">
        <v>0</v>
      </c>
      <c r="I957" s="50">
        <v>0</v>
      </c>
      <c r="J957" s="50"/>
      <c r="K957" s="50"/>
      <c r="L957" s="36">
        <v>2021</v>
      </c>
      <c r="M957" s="50"/>
      <c r="N957" s="50"/>
    </row>
    <row r="958" spans="1:14" ht="24" customHeight="1" x14ac:dyDescent="0.35">
      <c r="A958" s="50" t="s">
        <v>505</v>
      </c>
      <c r="B958" s="50" t="s">
        <v>46</v>
      </c>
      <c r="C958" s="50" t="s">
        <v>993</v>
      </c>
      <c r="D958" s="30" t="s">
        <v>1005</v>
      </c>
      <c r="E958" s="50">
        <v>1</v>
      </c>
      <c r="F958" s="50">
        <v>0</v>
      </c>
      <c r="G958" s="50">
        <v>0</v>
      </c>
      <c r="H958" s="50"/>
      <c r="I958" s="50">
        <v>1</v>
      </c>
      <c r="J958" s="50"/>
      <c r="K958" s="50"/>
      <c r="L958" s="36">
        <v>2021</v>
      </c>
      <c r="M958" s="50"/>
      <c r="N958" s="50"/>
    </row>
    <row r="959" spans="1:14" ht="24" customHeight="1" x14ac:dyDescent="0.35">
      <c r="A959" s="50" t="s">
        <v>505</v>
      </c>
      <c r="B959" s="50" t="s">
        <v>46</v>
      </c>
      <c r="C959" s="50" t="s">
        <v>993</v>
      </c>
      <c r="D959" s="30" t="s">
        <v>1006</v>
      </c>
      <c r="E959" s="50">
        <v>24000</v>
      </c>
      <c r="F959" s="50">
        <v>0</v>
      </c>
      <c r="G959" s="50">
        <v>0</v>
      </c>
      <c r="H959" s="50">
        <v>0</v>
      </c>
      <c r="I959" s="50">
        <v>24000</v>
      </c>
      <c r="J959" s="50"/>
      <c r="K959" s="50"/>
      <c r="L959" s="36">
        <v>2021</v>
      </c>
      <c r="M959" s="50"/>
      <c r="N959" s="50"/>
    </row>
    <row r="960" spans="1:14" ht="24" customHeight="1" x14ac:dyDescent="0.35">
      <c r="A960" s="50" t="s">
        <v>505</v>
      </c>
      <c r="B960" s="50" t="s">
        <v>46</v>
      </c>
      <c r="C960" s="50" t="s">
        <v>996</v>
      </c>
      <c r="D960" s="30" t="s">
        <v>1006</v>
      </c>
      <c r="E960" s="50">
        <v>0</v>
      </c>
      <c r="F960" s="50">
        <v>10800</v>
      </c>
      <c r="G960" s="50">
        <v>0</v>
      </c>
      <c r="H960" s="50">
        <v>51784</v>
      </c>
      <c r="I960" s="50">
        <v>62584</v>
      </c>
      <c r="J960" s="50"/>
      <c r="K960" s="50"/>
      <c r="L960" s="36">
        <v>2021</v>
      </c>
      <c r="M960" s="50"/>
      <c r="N960" s="50"/>
    </row>
    <row r="961" spans="1:14" ht="24" customHeight="1" x14ac:dyDescent="0.35">
      <c r="A961" s="50" t="s">
        <v>595</v>
      </c>
      <c r="B961" s="50" t="s">
        <v>46</v>
      </c>
      <c r="C961" s="50" t="s">
        <v>996</v>
      </c>
      <c r="D961" s="30" t="s">
        <v>1004</v>
      </c>
      <c r="E961" s="50">
        <v>0</v>
      </c>
      <c r="F961" s="50">
        <v>1</v>
      </c>
      <c r="G961" s="50"/>
      <c r="H961" s="50">
        <v>3</v>
      </c>
      <c r="I961" s="50">
        <v>4</v>
      </c>
      <c r="J961" s="50"/>
      <c r="K961" s="50"/>
      <c r="L961" s="36">
        <v>2021</v>
      </c>
      <c r="M961" s="50"/>
      <c r="N961" s="50"/>
    </row>
    <row r="962" spans="1:14" ht="24" customHeight="1" x14ac:dyDescent="0.35">
      <c r="A962" s="50" t="s">
        <v>595</v>
      </c>
      <c r="B962" s="50" t="s">
        <v>46</v>
      </c>
      <c r="C962" s="50" t="s">
        <v>996</v>
      </c>
      <c r="D962" s="30" t="s">
        <v>1005</v>
      </c>
      <c r="E962" s="50">
        <v>0</v>
      </c>
      <c r="F962" s="50">
        <v>1</v>
      </c>
      <c r="G962" s="50">
        <v>2</v>
      </c>
      <c r="H962" s="50">
        <v>44</v>
      </c>
      <c r="I962" s="50">
        <v>47</v>
      </c>
      <c r="J962" s="50"/>
      <c r="K962" s="50"/>
      <c r="L962" s="36">
        <v>2021</v>
      </c>
      <c r="M962" s="50"/>
      <c r="N962" s="50"/>
    </row>
    <row r="963" spans="1:14" ht="24" customHeight="1" x14ac:dyDescent="0.35">
      <c r="A963" s="50" t="s">
        <v>595</v>
      </c>
      <c r="B963" s="50" t="s">
        <v>46</v>
      </c>
      <c r="C963" s="50" t="s">
        <v>993</v>
      </c>
      <c r="D963" s="30" t="s">
        <v>1004</v>
      </c>
      <c r="E963" s="50">
        <v>0</v>
      </c>
      <c r="F963" s="50">
        <v>0</v>
      </c>
      <c r="G963" s="50">
        <v>0</v>
      </c>
      <c r="H963" s="50">
        <v>0</v>
      </c>
      <c r="I963" s="50">
        <v>0</v>
      </c>
      <c r="J963" s="50"/>
      <c r="K963" s="50"/>
      <c r="L963" s="36">
        <v>2021</v>
      </c>
      <c r="M963" s="50"/>
      <c r="N963" s="50"/>
    </row>
    <row r="964" spans="1:14" ht="24" customHeight="1" x14ac:dyDescent="0.35">
      <c r="A964" s="50" t="s">
        <v>595</v>
      </c>
      <c r="B964" s="50" t="s">
        <v>46</v>
      </c>
      <c r="C964" s="50" t="s">
        <v>993</v>
      </c>
      <c r="D964" s="30" t="s">
        <v>1005</v>
      </c>
      <c r="E964" s="50">
        <v>3</v>
      </c>
      <c r="F964" s="50">
        <v>0</v>
      </c>
      <c r="G964" s="50">
        <v>0</v>
      </c>
      <c r="H964" s="50">
        <v>0</v>
      </c>
      <c r="I964" s="50">
        <v>3</v>
      </c>
      <c r="J964" s="50"/>
      <c r="K964" s="50"/>
      <c r="L964" s="36">
        <v>2021</v>
      </c>
      <c r="M964" s="50"/>
      <c r="N964" s="50"/>
    </row>
    <row r="965" spans="1:14" ht="24" customHeight="1" x14ac:dyDescent="0.35">
      <c r="A965" s="50" t="s">
        <v>595</v>
      </c>
      <c r="B965" s="50" t="s">
        <v>46</v>
      </c>
      <c r="C965" s="50" t="s">
        <v>993</v>
      </c>
      <c r="D965" s="30" t="s">
        <v>1006</v>
      </c>
      <c r="E965" s="50">
        <v>72000</v>
      </c>
      <c r="F965" s="50">
        <v>0</v>
      </c>
      <c r="G965" s="50">
        <v>0</v>
      </c>
      <c r="H965" s="50">
        <v>0</v>
      </c>
      <c r="I965" s="50">
        <f>+SUM(E965:H965)</f>
        <v>72000</v>
      </c>
      <c r="J965" s="50"/>
      <c r="K965" s="50"/>
      <c r="L965" s="36">
        <v>2021</v>
      </c>
      <c r="M965" s="50"/>
      <c r="N965" s="50"/>
    </row>
    <row r="966" spans="1:14" ht="24" customHeight="1" x14ac:dyDescent="0.35">
      <c r="A966" s="50" t="s">
        <v>595</v>
      </c>
      <c r="B966" s="50" t="s">
        <v>46</v>
      </c>
      <c r="C966" s="50" t="s">
        <v>996</v>
      </c>
      <c r="D966" s="30" t="s">
        <v>1006</v>
      </c>
      <c r="E966" s="50"/>
      <c r="F966" s="50">
        <v>21600</v>
      </c>
      <c r="G966" s="50">
        <v>4320</v>
      </c>
      <c r="H966" s="50">
        <v>48479</v>
      </c>
      <c r="I966" s="50">
        <f>+SUM(E966:H966)</f>
        <v>74399</v>
      </c>
      <c r="J966" s="50"/>
      <c r="K966" s="50"/>
      <c r="L966" s="36">
        <v>2021</v>
      </c>
      <c r="M966" s="50"/>
      <c r="N966" s="50"/>
    </row>
    <row r="967" spans="1:14" ht="24" customHeight="1" x14ac:dyDescent="0.35">
      <c r="A967" s="50" t="s">
        <v>492</v>
      </c>
      <c r="B967" s="50" t="s">
        <v>46</v>
      </c>
      <c r="C967" s="50" t="s">
        <v>996</v>
      </c>
      <c r="D967" s="30" t="s">
        <v>1005</v>
      </c>
      <c r="E967" s="50">
        <v>0</v>
      </c>
      <c r="F967" s="50">
        <v>0</v>
      </c>
      <c r="G967" s="50">
        <v>6</v>
      </c>
      <c r="H967" s="50">
        <v>12</v>
      </c>
      <c r="I967" s="50">
        <v>18</v>
      </c>
      <c r="J967" s="50"/>
      <c r="K967" s="50"/>
      <c r="L967" s="36">
        <v>2021</v>
      </c>
      <c r="M967" s="50"/>
      <c r="N967" s="50"/>
    </row>
    <row r="968" spans="1:14" ht="24" customHeight="1" x14ac:dyDescent="0.35">
      <c r="A968" s="50" t="s">
        <v>492</v>
      </c>
      <c r="B968" s="50" t="s">
        <v>46</v>
      </c>
      <c r="C968" s="50" t="s">
        <v>996</v>
      </c>
      <c r="D968" s="30" t="s">
        <v>1004</v>
      </c>
      <c r="E968" s="50">
        <v>0</v>
      </c>
      <c r="F968" s="50">
        <v>0</v>
      </c>
      <c r="G968" s="50">
        <v>0</v>
      </c>
      <c r="H968" s="50">
        <v>0</v>
      </c>
      <c r="I968" s="50">
        <v>0</v>
      </c>
      <c r="J968" s="50"/>
      <c r="K968" s="50"/>
      <c r="L968" s="36">
        <v>2021</v>
      </c>
      <c r="M968" s="50"/>
      <c r="N968" s="50"/>
    </row>
    <row r="969" spans="1:14" ht="24" customHeight="1" x14ac:dyDescent="0.35">
      <c r="A969" s="50" t="s">
        <v>492</v>
      </c>
      <c r="B969" s="50" t="s">
        <v>46</v>
      </c>
      <c r="C969" s="50" t="s">
        <v>996</v>
      </c>
      <c r="D969" s="30" t="s">
        <v>1006</v>
      </c>
      <c r="E969" s="50">
        <v>0</v>
      </c>
      <c r="F969" s="50">
        <v>0</v>
      </c>
      <c r="G969" s="50"/>
      <c r="H969" s="50"/>
      <c r="I969" s="50">
        <v>3200</v>
      </c>
      <c r="J969" s="50"/>
      <c r="K969" s="50"/>
      <c r="L969" s="36">
        <v>2021</v>
      </c>
      <c r="M969" s="50"/>
      <c r="N969" s="50"/>
    </row>
    <row r="970" spans="1:14" ht="24" customHeight="1" x14ac:dyDescent="0.35">
      <c r="A970" s="50" t="s">
        <v>841</v>
      </c>
      <c r="B970" s="50" t="s">
        <v>46</v>
      </c>
      <c r="C970" s="50" t="s">
        <v>996</v>
      </c>
      <c r="D970" s="30" t="s">
        <v>1005</v>
      </c>
      <c r="E970" s="50">
        <v>9</v>
      </c>
      <c r="F970" s="50">
        <v>38</v>
      </c>
      <c r="G970" s="50">
        <v>758</v>
      </c>
      <c r="H970" s="50">
        <v>107</v>
      </c>
      <c r="I970" s="50">
        <f>+SUM(E970:H970)</f>
        <v>912</v>
      </c>
      <c r="J970" s="50"/>
      <c r="K970" s="50"/>
      <c r="L970" s="36">
        <v>2021</v>
      </c>
      <c r="M970" s="50"/>
      <c r="N970" s="50"/>
    </row>
    <row r="971" spans="1:14" ht="24" customHeight="1" x14ac:dyDescent="0.35">
      <c r="A971" s="50" t="s">
        <v>841</v>
      </c>
      <c r="B971" s="50" t="s">
        <v>46</v>
      </c>
      <c r="C971" s="50" t="s">
        <v>996</v>
      </c>
      <c r="D971" s="30" t="s">
        <v>1004</v>
      </c>
      <c r="E971" s="50">
        <v>3</v>
      </c>
      <c r="F971" s="50">
        <v>11</v>
      </c>
      <c r="G971" s="50">
        <v>10</v>
      </c>
      <c r="H971" s="50">
        <v>5</v>
      </c>
      <c r="I971" s="50">
        <f t="shared" ref="I971:I974" si="5">+SUM(E971:H971)</f>
        <v>29</v>
      </c>
      <c r="J971" s="50"/>
      <c r="K971" s="50"/>
      <c r="L971" s="36">
        <v>2021</v>
      </c>
      <c r="M971" s="50"/>
      <c r="N971" s="50"/>
    </row>
    <row r="972" spans="1:14" ht="24" customHeight="1" x14ac:dyDescent="0.35">
      <c r="A972" s="50" t="s">
        <v>841</v>
      </c>
      <c r="B972" s="50" t="s">
        <v>46</v>
      </c>
      <c r="C972" s="50" t="s">
        <v>996</v>
      </c>
      <c r="D972" s="30" t="s">
        <v>1006</v>
      </c>
      <c r="E972" s="50">
        <v>762571.74</v>
      </c>
      <c r="F972" s="50">
        <v>1451621</v>
      </c>
      <c r="G972" s="50">
        <v>4829395.4749999996</v>
      </c>
      <c r="H972" s="50">
        <v>1575833.1610000001</v>
      </c>
      <c r="I972" s="50">
        <f t="shared" si="5"/>
        <v>8619421.3760000002</v>
      </c>
      <c r="J972" s="50"/>
      <c r="K972" s="50"/>
      <c r="L972" s="36">
        <v>2021</v>
      </c>
      <c r="M972" s="50"/>
      <c r="N972" s="50"/>
    </row>
    <row r="973" spans="1:14" ht="24" customHeight="1" x14ac:dyDescent="0.35">
      <c r="A973" s="50" t="s">
        <v>841</v>
      </c>
      <c r="B973" s="50" t="s">
        <v>46</v>
      </c>
      <c r="C973" s="50" t="s">
        <v>993</v>
      </c>
      <c r="D973" s="30" t="s">
        <v>1005</v>
      </c>
      <c r="E973" s="50">
        <v>12</v>
      </c>
      <c r="F973" s="50">
        <v>1</v>
      </c>
      <c r="G973" s="50">
        <v>0</v>
      </c>
      <c r="H973" s="50">
        <v>0</v>
      </c>
      <c r="I973" s="50">
        <f t="shared" si="5"/>
        <v>13</v>
      </c>
      <c r="J973" s="50"/>
      <c r="K973" s="50"/>
      <c r="L973" s="36">
        <v>2021</v>
      </c>
      <c r="M973" s="50"/>
      <c r="N973" s="50"/>
    </row>
    <row r="974" spans="1:14" ht="24" customHeight="1" x14ac:dyDescent="0.35">
      <c r="A974" s="50" t="s">
        <v>841</v>
      </c>
      <c r="B974" s="50" t="s">
        <v>46</v>
      </c>
      <c r="C974" s="50" t="s">
        <v>993</v>
      </c>
      <c r="D974" s="30" t="s">
        <v>1004</v>
      </c>
      <c r="E974" s="50">
        <v>0</v>
      </c>
      <c r="F974" s="50">
        <v>0</v>
      </c>
      <c r="G974" s="50">
        <v>0</v>
      </c>
      <c r="H974" s="50">
        <v>0</v>
      </c>
      <c r="I974" s="50">
        <f t="shared" si="5"/>
        <v>0</v>
      </c>
      <c r="J974" s="50"/>
      <c r="K974" s="50"/>
      <c r="L974" s="36">
        <v>2021</v>
      </c>
      <c r="M974" s="50"/>
      <c r="N974" s="50"/>
    </row>
    <row r="975" spans="1:14" ht="24" customHeight="1" x14ac:dyDescent="0.35">
      <c r="A975" s="50" t="s">
        <v>841</v>
      </c>
      <c r="B975" s="50" t="s">
        <v>46</v>
      </c>
      <c r="C975" s="50" t="s">
        <v>993</v>
      </c>
      <c r="D975" s="30" t="s">
        <v>1006</v>
      </c>
      <c r="E975" s="50">
        <v>336790</v>
      </c>
      <c r="F975" s="50">
        <v>21361</v>
      </c>
      <c r="G975" s="50">
        <v>0</v>
      </c>
      <c r="H975" s="50">
        <v>0</v>
      </c>
      <c r="I975" s="50">
        <f>+SUM(E975:H975)</f>
        <v>358151</v>
      </c>
      <c r="J975" s="50"/>
      <c r="K975" s="50"/>
      <c r="L975" s="36">
        <v>2021</v>
      </c>
      <c r="M975" s="50"/>
      <c r="N975" s="50"/>
    </row>
    <row r="976" spans="1:14" ht="24" customHeight="1" x14ac:dyDescent="0.35">
      <c r="A976" s="22" t="s">
        <v>248</v>
      </c>
      <c r="B976" s="50" t="s">
        <v>46</v>
      </c>
      <c r="C976" s="50" t="s">
        <v>996</v>
      </c>
      <c r="D976" s="20" t="s">
        <v>1004</v>
      </c>
      <c r="E976" s="20">
        <v>1</v>
      </c>
      <c r="F976" s="20">
        <v>0</v>
      </c>
      <c r="G976" s="20">
        <v>0</v>
      </c>
      <c r="H976" s="20">
        <v>6</v>
      </c>
      <c r="I976" s="50">
        <f>SUM(E976:H976)</f>
        <v>7</v>
      </c>
      <c r="J976" s="50"/>
      <c r="K976" s="50"/>
      <c r="L976" s="36">
        <v>2022</v>
      </c>
      <c r="M976" s="20" t="s">
        <v>46</v>
      </c>
      <c r="N976" s="22" t="s">
        <v>424</v>
      </c>
    </row>
    <row r="977" spans="1:14" ht="24" customHeight="1" x14ac:dyDescent="0.35">
      <c r="A977" s="22" t="s">
        <v>248</v>
      </c>
      <c r="B977" s="50" t="s">
        <v>46</v>
      </c>
      <c r="C977" s="50" t="s">
        <v>996</v>
      </c>
      <c r="D977" s="20" t="s">
        <v>1005</v>
      </c>
      <c r="E977" s="20">
        <v>0</v>
      </c>
      <c r="F977" s="20">
        <v>0</v>
      </c>
      <c r="G977" s="20">
        <v>0</v>
      </c>
      <c r="H977" s="20">
        <v>43</v>
      </c>
      <c r="I977" s="50">
        <f t="shared" ref="I977:I1040" si="6">SUM(E977:H977)</f>
        <v>43</v>
      </c>
      <c r="J977" s="50"/>
      <c r="K977" s="50"/>
      <c r="L977" s="36">
        <v>2022</v>
      </c>
      <c r="M977" s="20" t="s">
        <v>46</v>
      </c>
      <c r="N977" s="22" t="s">
        <v>424</v>
      </c>
    </row>
    <row r="978" spans="1:14" ht="24" customHeight="1" x14ac:dyDescent="0.35">
      <c r="A978" s="22" t="s">
        <v>248</v>
      </c>
      <c r="B978" s="50" t="s">
        <v>46</v>
      </c>
      <c r="C978" s="50" t="s">
        <v>996</v>
      </c>
      <c r="D978" s="20" t="s">
        <v>1006</v>
      </c>
      <c r="E978" s="20">
        <v>2084</v>
      </c>
      <c r="F978" s="20">
        <v>0</v>
      </c>
      <c r="G978" s="20">
        <v>0</v>
      </c>
      <c r="H978" s="20">
        <v>67737</v>
      </c>
      <c r="I978" s="50">
        <f t="shared" si="6"/>
        <v>69821</v>
      </c>
      <c r="J978" s="50"/>
      <c r="K978" s="50"/>
      <c r="L978" s="36">
        <v>2022</v>
      </c>
      <c r="M978" s="20" t="s">
        <v>46</v>
      </c>
      <c r="N978" s="22" t="s">
        <v>424</v>
      </c>
    </row>
    <row r="979" spans="1:14" ht="24" customHeight="1" x14ac:dyDescent="0.35">
      <c r="A979" s="22" t="s">
        <v>248</v>
      </c>
      <c r="B979" s="50" t="s">
        <v>46</v>
      </c>
      <c r="C979" s="50" t="s">
        <v>993</v>
      </c>
      <c r="D979" s="20" t="s">
        <v>1004</v>
      </c>
      <c r="E979" s="20">
        <v>0</v>
      </c>
      <c r="F979" s="20">
        <v>0</v>
      </c>
      <c r="G979" s="20">
        <v>0</v>
      </c>
      <c r="H979" s="20">
        <v>0</v>
      </c>
      <c r="I979" s="50">
        <f t="shared" si="6"/>
        <v>0</v>
      </c>
      <c r="J979" s="50"/>
      <c r="K979" s="50"/>
      <c r="L979" s="36">
        <v>2022</v>
      </c>
      <c r="M979" s="20" t="s">
        <v>46</v>
      </c>
      <c r="N979" s="22" t="s">
        <v>424</v>
      </c>
    </row>
    <row r="980" spans="1:14" ht="24" customHeight="1" x14ac:dyDescent="0.35">
      <c r="A980" s="22" t="s">
        <v>248</v>
      </c>
      <c r="B980" s="50" t="s">
        <v>46</v>
      </c>
      <c r="C980" s="50" t="s">
        <v>993</v>
      </c>
      <c r="D980" s="20" t="s">
        <v>1005</v>
      </c>
      <c r="E980" s="20">
        <v>0</v>
      </c>
      <c r="F980" s="20">
        <v>0</v>
      </c>
      <c r="G980" s="20">
        <v>0</v>
      </c>
      <c r="H980" s="20">
        <v>0</v>
      </c>
      <c r="I980" s="50">
        <f t="shared" si="6"/>
        <v>0</v>
      </c>
      <c r="J980" s="50"/>
      <c r="K980" s="50"/>
      <c r="L980" s="36">
        <v>2022</v>
      </c>
      <c r="M980" s="20" t="s">
        <v>46</v>
      </c>
      <c r="N980" s="22" t="s">
        <v>424</v>
      </c>
    </row>
    <row r="981" spans="1:14" ht="24" customHeight="1" x14ac:dyDescent="0.35">
      <c r="A981" s="22" t="s">
        <v>248</v>
      </c>
      <c r="B981" s="50" t="s">
        <v>46</v>
      </c>
      <c r="C981" s="50" t="s">
        <v>993</v>
      </c>
      <c r="D981" s="20" t="s">
        <v>1006</v>
      </c>
      <c r="E981" s="20">
        <v>0</v>
      </c>
      <c r="F981" s="20">
        <v>0</v>
      </c>
      <c r="G981" s="20">
        <v>0</v>
      </c>
      <c r="H981" s="20">
        <v>0</v>
      </c>
      <c r="I981" s="50">
        <f t="shared" si="6"/>
        <v>0</v>
      </c>
      <c r="J981" s="50"/>
      <c r="K981" s="50"/>
      <c r="L981" s="36">
        <v>2022</v>
      </c>
      <c r="M981" s="20" t="s">
        <v>46</v>
      </c>
      <c r="N981" s="22" t="s">
        <v>424</v>
      </c>
    </row>
    <row r="982" spans="1:14" ht="24" customHeight="1" x14ac:dyDescent="0.35">
      <c r="A982" s="50" t="s">
        <v>428</v>
      </c>
      <c r="B982" s="50" t="s">
        <v>255</v>
      </c>
      <c r="C982" s="50" t="s">
        <v>996</v>
      </c>
      <c r="D982" s="20" t="s">
        <v>1004</v>
      </c>
      <c r="E982" s="20">
        <v>0</v>
      </c>
      <c r="F982" s="20">
        <v>0</v>
      </c>
      <c r="G982" s="20">
        <v>0</v>
      </c>
      <c r="H982" s="20">
        <v>3</v>
      </c>
      <c r="I982" s="50">
        <f t="shared" si="6"/>
        <v>3</v>
      </c>
      <c r="J982" s="50"/>
      <c r="K982" s="50"/>
      <c r="L982" s="36">
        <v>2022</v>
      </c>
      <c r="M982" s="20" t="s">
        <v>255</v>
      </c>
      <c r="N982" s="22" t="s">
        <v>431</v>
      </c>
    </row>
    <row r="983" spans="1:14" ht="24" customHeight="1" x14ac:dyDescent="0.35">
      <c r="A983" s="50" t="s">
        <v>428</v>
      </c>
      <c r="B983" s="50" t="s">
        <v>255</v>
      </c>
      <c r="C983" s="50" t="s">
        <v>996</v>
      </c>
      <c r="D983" s="20" t="s">
        <v>1005</v>
      </c>
      <c r="E983" s="20">
        <v>1</v>
      </c>
      <c r="F983" s="20">
        <v>2</v>
      </c>
      <c r="G983" s="20">
        <v>12</v>
      </c>
      <c r="H983" s="20">
        <v>3</v>
      </c>
      <c r="I983" s="50">
        <f t="shared" si="6"/>
        <v>18</v>
      </c>
      <c r="J983" s="50"/>
      <c r="K983" s="50"/>
      <c r="L983" s="36">
        <v>2022</v>
      </c>
      <c r="M983" s="20" t="s">
        <v>255</v>
      </c>
      <c r="N983" s="22" t="s">
        <v>431</v>
      </c>
    </row>
    <row r="984" spans="1:14" ht="24" customHeight="1" x14ac:dyDescent="0.35">
      <c r="A984" s="50" t="s">
        <v>428</v>
      </c>
      <c r="B984" s="50" t="s">
        <v>255</v>
      </c>
      <c r="C984" s="50" t="s">
        <v>996</v>
      </c>
      <c r="D984" s="20" t="s">
        <v>1006</v>
      </c>
      <c r="E984" s="20">
        <v>6000</v>
      </c>
      <c r="F984" s="20">
        <v>3100</v>
      </c>
      <c r="G984" s="20">
        <v>32504</v>
      </c>
      <c r="H984" s="20">
        <v>3604</v>
      </c>
      <c r="I984" s="50">
        <f t="shared" si="6"/>
        <v>45208</v>
      </c>
      <c r="J984" s="50"/>
      <c r="K984" s="50"/>
      <c r="L984" s="36">
        <v>2022</v>
      </c>
      <c r="M984" s="20" t="s">
        <v>255</v>
      </c>
      <c r="N984" s="22" t="s">
        <v>431</v>
      </c>
    </row>
    <row r="985" spans="1:14" ht="24" customHeight="1" x14ac:dyDescent="0.35">
      <c r="A985" s="50" t="s">
        <v>428</v>
      </c>
      <c r="B985" s="50" t="s">
        <v>255</v>
      </c>
      <c r="C985" s="50" t="s">
        <v>993</v>
      </c>
      <c r="D985" s="20" t="s">
        <v>1004</v>
      </c>
      <c r="E985" s="20">
        <v>0</v>
      </c>
      <c r="F985" s="20">
        <v>0</v>
      </c>
      <c r="G985" s="20">
        <v>0</v>
      </c>
      <c r="H985" s="20">
        <v>0</v>
      </c>
      <c r="I985" s="50">
        <f t="shared" si="6"/>
        <v>0</v>
      </c>
      <c r="J985" s="50"/>
      <c r="K985" s="50"/>
      <c r="L985" s="36">
        <v>2022</v>
      </c>
      <c r="M985" s="20" t="s">
        <v>255</v>
      </c>
      <c r="N985" s="22" t="s">
        <v>431</v>
      </c>
    </row>
    <row r="986" spans="1:14" ht="24" customHeight="1" x14ac:dyDescent="0.35">
      <c r="A986" s="50" t="s">
        <v>428</v>
      </c>
      <c r="B986" s="50" t="s">
        <v>255</v>
      </c>
      <c r="C986" s="50" t="s">
        <v>993</v>
      </c>
      <c r="D986" s="20" t="s">
        <v>1005</v>
      </c>
      <c r="E986" s="20">
        <v>0</v>
      </c>
      <c r="F986" s="20">
        <v>0</v>
      </c>
      <c r="G986" s="20">
        <v>0</v>
      </c>
      <c r="H986" s="20">
        <v>0</v>
      </c>
      <c r="I986" s="50">
        <f t="shared" si="6"/>
        <v>0</v>
      </c>
      <c r="J986" s="50"/>
      <c r="K986" s="50"/>
      <c r="L986" s="36">
        <v>2022</v>
      </c>
      <c r="M986" s="20" t="s">
        <v>255</v>
      </c>
      <c r="N986" s="22" t="s">
        <v>431</v>
      </c>
    </row>
    <row r="987" spans="1:14" ht="24" customHeight="1" x14ac:dyDescent="0.35">
      <c r="A987" s="50" t="s">
        <v>428</v>
      </c>
      <c r="B987" s="50" t="s">
        <v>255</v>
      </c>
      <c r="C987" s="50" t="s">
        <v>993</v>
      </c>
      <c r="D987" s="20" t="s">
        <v>1006</v>
      </c>
      <c r="E987" s="20">
        <v>0</v>
      </c>
      <c r="F987" s="20">
        <v>0</v>
      </c>
      <c r="G987" s="20">
        <v>0</v>
      </c>
      <c r="H987" s="20">
        <v>0</v>
      </c>
      <c r="I987" s="50">
        <f t="shared" si="6"/>
        <v>0</v>
      </c>
      <c r="J987" s="50"/>
      <c r="K987" s="50"/>
      <c r="L987" s="36">
        <v>2022</v>
      </c>
      <c r="M987" s="20" t="s">
        <v>255</v>
      </c>
      <c r="N987" s="22" t="s">
        <v>431</v>
      </c>
    </row>
    <row r="988" spans="1:14" ht="24" customHeight="1" x14ac:dyDescent="0.35">
      <c r="A988" s="20" t="s">
        <v>133</v>
      </c>
      <c r="B988" s="50" t="s">
        <v>87</v>
      </c>
      <c r="C988" s="50" t="s">
        <v>996</v>
      </c>
      <c r="D988" s="20" t="s">
        <v>1004</v>
      </c>
      <c r="E988" s="20">
        <v>0</v>
      </c>
      <c r="F988" s="20">
        <v>0</v>
      </c>
      <c r="G988" s="20">
        <v>0</v>
      </c>
      <c r="H988" s="20">
        <v>5</v>
      </c>
      <c r="I988" s="50">
        <f t="shared" si="6"/>
        <v>5</v>
      </c>
      <c r="J988" s="50"/>
      <c r="K988" s="50"/>
      <c r="L988" s="36">
        <v>2022</v>
      </c>
      <c r="M988" s="20" t="s">
        <v>87</v>
      </c>
      <c r="N988" s="22" t="s">
        <v>431</v>
      </c>
    </row>
    <row r="989" spans="1:14" ht="24" customHeight="1" x14ac:dyDescent="0.35">
      <c r="A989" s="20" t="s">
        <v>133</v>
      </c>
      <c r="B989" s="50" t="s">
        <v>87</v>
      </c>
      <c r="C989" s="50" t="s">
        <v>996</v>
      </c>
      <c r="D989" s="20" t="s">
        <v>1005</v>
      </c>
      <c r="E989" s="20">
        <v>1</v>
      </c>
      <c r="F989" s="20">
        <v>8</v>
      </c>
      <c r="G989" s="20">
        <f>15+2</f>
        <v>17</v>
      </c>
      <c r="H989" s="20">
        <v>71</v>
      </c>
      <c r="I989" s="50">
        <f t="shared" si="6"/>
        <v>97</v>
      </c>
      <c r="J989" s="50"/>
      <c r="K989" s="50"/>
      <c r="L989" s="36">
        <v>2022</v>
      </c>
      <c r="M989" s="20" t="s">
        <v>87</v>
      </c>
      <c r="N989" s="22" t="s">
        <v>431</v>
      </c>
    </row>
    <row r="990" spans="1:14" ht="24" customHeight="1" x14ac:dyDescent="0.35">
      <c r="A990" s="20" t="s">
        <v>133</v>
      </c>
      <c r="B990" s="50" t="s">
        <v>87</v>
      </c>
      <c r="C990" s="50" t="s">
        <v>996</v>
      </c>
      <c r="D990" s="20" t="s">
        <v>1006</v>
      </c>
      <c r="E990" s="20">
        <v>12000</v>
      </c>
      <c r="F990" s="20">
        <v>26000</v>
      </c>
      <c r="G990" s="20">
        <f>12295+1638</f>
        <v>13933</v>
      </c>
      <c r="H990" s="20">
        <v>49281</v>
      </c>
      <c r="I990" s="50">
        <f t="shared" si="6"/>
        <v>101214</v>
      </c>
      <c r="J990" s="50"/>
      <c r="K990" s="50"/>
      <c r="L990" s="36">
        <v>2022</v>
      </c>
      <c r="M990" s="20" t="s">
        <v>87</v>
      </c>
      <c r="N990" s="22" t="s">
        <v>431</v>
      </c>
    </row>
    <row r="991" spans="1:14" ht="24" customHeight="1" x14ac:dyDescent="0.35">
      <c r="A991" s="20" t="s">
        <v>133</v>
      </c>
      <c r="B991" s="50" t="s">
        <v>87</v>
      </c>
      <c r="C991" s="50" t="s">
        <v>993</v>
      </c>
      <c r="D991" s="20" t="s">
        <v>1004</v>
      </c>
      <c r="E991" s="20">
        <v>0</v>
      </c>
      <c r="F991" s="20">
        <v>0</v>
      </c>
      <c r="G991" s="20">
        <v>0</v>
      </c>
      <c r="H991" s="20">
        <v>0</v>
      </c>
      <c r="I991" s="50">
        <f t="shared" si="6"/>
        <v>0</v>
      </c>
      <c r="J991" s="50"/>
      <c r="K991" s="50"/>
      <c r="L991" s="36">
        <v>2022</v>
      </c>
      <c r="M991" s="20" t="s">
        <v>87</v>
      </c>
      <c r="N991" s="22" t="s">
        <v>431</v>
      </c>
    </row>
    <row r="992" spans="1:14" ht="24" customHeight="1" x14ac:dyDescent="0.35">
      <c r="A992" s="20" t="s">
        <v>133</v>
      </c>
      <c r="B992" s="50" t="s">
        <v>87</v>
      </c>
      <c r="C992" s="50" t="s">
        <v>993</v>
      </c>
      <c r="D992" s="20" t="s">
        <v>1005</v>
      </c>
      <c r="E992" s="20">
        <v>1</v>
      </c>
      <c r="F992" s="20">
        <v>0</v>
      </c>
      <c r="G992" s="20">
        <v>0</v>
      </c>
      <c r="H992" s="20">
        <v>0</v>
      </c>
      <c r="I992" s="50">
        <f t="shared" si="6"/>
        <v>1</v>
      </c>
      <c r="J992" s="50"/>
      <c r="K992" s="50"/>
      <c r="L992" s="36">
        <v>2022</v>
      </c>
      <c r="M992" s="20" t="s">
        <v>87</v>
      </c>
      <c r="N992" s="22" t="s">
        <v>431</v>
      </c>
    </row>
    <row r="993" spans="1:14" ht="24" customHeight="1" x14ac:dyDescent="0.35">
      <c r="A993" s="20" t="s">
        <v>133</v>
      </c>
      <c r="B993" s="50" t="s">
        <v>87</v>
      </c>
      <c r="C993" s="50" t="s">
        <v>993</v>
      </c>
      <c r="D993" s="20" t="s">
        <v>1006</v>
      </c>
      <c r="E993" s="20">
        <f>6000</f>
        <v>6000</v>
      </c>
      <c r="F993" s="20">
        <v>0</v>
      </c>
      <c r="G993" s="20">
        <v>0</v>
      </c>
      <c r="H993" s="20">
        <v>0</v>
      </c>
      <c r="I993" s="50">
        <f t="shared" si="6"/>
        <v>6000</v>
      </c>
      <c r="J993" s="50"/>
      <c r="K993" s="50"/>
      <c r="L993" s="36">
        <v>2022</v>
      </c>
      <c r="M993" s="20" t="s">
        <v>87</v>
      </c>
      <c r="N993" s="22" t="s">
        <v>431</v>
      </c>
    </row>
    <row r="994" spans="1:14" ht="24" customHeight="1" x14ac:dyDescent="0.35">
      <c r="A994" s="20" t="s">
        <v>14</v>
      </c>
      <c r="B994" s="50" t="s">
        <v>4</v>
      </c>
      <c r="C994" s="20" t="s">
        <v>996</v>
      </c>
      <c r="D994" s="20" t="s">
        <v>1004</v>
      </c>
      <c r="E994" s="20">
        <v>0</v>
      </c>
      <c r="F994" s="20">
        <v>4</v>
      </c>
      <c r="G994" s="20">
        <v>1</v>
      </c>
      <c r="H994" s="20">
        <v>35</v>
      </c>
      <c r="I994" s="50">
        <f t="shared" si="6"/>
        <v>40</v>
      </c>
      <c r="J994" s="50"/>
      <c r="K994" s="50"/>
      <c r="L994" s="36">
        <v>2022</v>
      </c>
      <c r="M994" s="20" t="s">
        <v>255</v>
      </c>
      <c r="N994" s="22" t="s">
        <v>431</v>
      </c>
    </row>
    <row r="995" spans="1:14" ht="24" customHeight="1" x14ac:dyDescent="0.35">
      <c r="A995" s="20" t="s">
        <v>14</v>
      </c>
      <c r="B995" s="50" t="s">
        <v>4</v>
      </c>
      <c r="C995" s="20" t="s">
        <v>996</v>
      </c>
      <c r="D995" s="20" t="s">
        <v>1005</v>
      </c>
      <c r="E995" s="20">
        <v>2</v>
      </c>
      <c r="F995" s="20">
        <v>7</v>
      </c>
      <c r="G995" s="20">
        <v>6</v>
      </c>
      <c r="H995" s="20">
        <v>256</v>
      </c>
      <c r="I995" s="50">
        <f t="shared" si="6"/>
        <v>271</v>
      </c>
      <c r="J995" s="50"/>
      <c r="K995" s="50"/>
      <c r="L995" s="36">
        <v>2022</v>
      </c>
      <c r="M995" s="20" t="s">
        <v>255</v>
      </c>
      <c r="N995" s="22" t="s">
        <v>431</v>
      </c>
    </row>
    <row r="996" spans="1:14" ht="24" customHeight="1" x14ac:dyDescent="0.35">
      <c r="A996" s="20" t="s">
        <v>14</v>
      </c>
      <c r="B996" s="50" t="s">
        <v>4</v>
      </c>
      <c r="C996" s="20" t="s">
        <v>996</v>
      </c>
      <c r="D996" s="20" t="s">
        <v>1006</v>
      </c>
      <c r="E996" s="20">
        <v>121266</v>
      </c>
      <c r="F996" s="20">
        <v>158768</v>
      </c>
      <c r="G996" s="20">
        <v>33825</v>
      </c>
      <c r="H996" s="20">
        <v>138118</v>
      </c>
      <c r="I996" s="50">
        <f t="shared" si="6"/>
        <v>451977</v>
      </c>
      <c r="J996" s="50"/>
      <c r="K996" s="50"/>
      <c r="L996" s="36">
        <v>2022</v>
      </c>
      <c r="M996" s="20" t="s">
        <v>255</v>
      </c>
      <c r="N996" s="22" t="s">
        <v>431</v>
      </c>
    </row>
    <row r="997" spans="1:14" ht="24" customHeight="1" x14ac:dyDescent="0.35">
      <c r="A997" s="20" t="s">
        <v>14</v>
      </c>
      <c r="B997" s="50" t="s">
        <v>4</v>
      </c>
      <c r="C997" s="20" t="s">
        <v>993</v>
      </c>
      <c r="D997" s="20" t="s">
        <v>1004</v>
      </c>
      <c r="E997" s="20">
        <v>0</v>
      </c>
      <c r="F997" s="20">
        <v>0</v>
      </c>
      <c r="G997" s="20">
        <v>0</v>
      </c>
      <c r="H997" s="20">
        <v>0</v>
      </c>
      <c r="I997" s="50">
        <f t="shared" si="6"/>
        <v>0</v>
      </c>
      <c r="J997" s="50"/>
      <c r="K997" s="50"/>
      <c r="L997" s="36">
        <v>2022</v>
      </c>
      <c r="M997" s="20" t="s">
        <v>255</v>
      </c>
      <c r="N997" s="22" t="s">
        <v>431</v>
      </c>
    </row>
    <row r="998" spans="1:14" ht="24" customHeight="1" x14ac:dyDescent="0.35">
      <c r="A998" s="20" t="s">
        <v>14</v>
      </c>
      <c r="B998" s="50" t="s">
        <v>4</v>
      </c>
      <c r="C998" s="20" t="s">
        <v>993</v>
      </c>
      <c r="D998" s="20" t="s">
        <v>1005</v>
      </c>
      <c r="E998" s="20">
        <v>4</v>
      </c>
      <c r="F998" s="20">
        <v>0</v>
      </c>
      <c r="G998" s="20">
        <v>0</v>
      </c>
      <c r="H998" s="20">
        <v>1</v>
      </c>
      <c r="I998" s="50">
        <f t="shared" si="6"/>
        <v>5</v>
      </c>
      <c r="J998" s="50"/>
      <c r="K998" s="50"/>
      <c r="L998" s="36">
        <v>2022</v>
      </c>
      <c r="M998" s="20" t="s">
        <v>255</v>
      </c>
      <c r="N998" s="22" t="s">
        <v>431</v>
      </c>
    </row>
    <row r="999" spans="1:14" ht="24" customHeight="1" x14ac:dyDescent="0.35">
      <c r="A999" s="20" t="s">
        <v>14</v>
      </c>
      <c r="B999" s="50" t="s">
        <v>4</v>
      </c>
      <c r="C999" s="20" t="s">
        <v>993</v>
      </c>
      <c r="D999" s="20" t="s">
        <v>1006</v>
      </c>
      <c r="E999" s="20">
        <v>680168</v>
      </c>
      <c r="F999" s="20">
        <v>0</v>
      </c>
      <c r="G999" s="20">
        <v>0</v>
      </c>
      <c r="H999" s="20">
        <v>211</v>
      </c>
      <c r="I999" s="50">
        <f t="shared" si="6"/>
        <v>680379</v>
      </c>
      <c r="J999" s="50"/>
      <c r="K999" s="50"/>
      <c r="L999" s="36">
        <v>2022</v>
      </c>
      <c r="M999" s="20" t="s">
        <v>255</v>
      </c>
      <c r="N999" s="22" t="s">
        <v>431</v>
      </c>
    </row>
    <row r="1000" spans="1:14" ht="24" customHeight="1" x14ac:dyDescent="0.35">
      <c r="A1000" s="20" t="s">
        <v>264</v>
      </c>
      <c r="B1000" s="50" t="s">
        <v>255</v>
      </c>
      <c r="C1000" s="20" t="s">
        <v>996</v>
      </c>
      <c r="D1000" s="20" t="s">
        <v>1004</v>
      </c>
      <c r="E1000" s="20">
        <v>3</v>
      </c>
      <c r="F1000" s="20">
        <v>0</v>
      </c>
      <c r="G1000" s="20">
        <v>0</v>
      </c>
      <c r="H1000" s="20">
        <v>3</v>
      </c>
      <c r="I1000" s="50">
        <f t="shared" si="6"/>
        <v>6</v>
      </c>
      <c r="J1000" s="50"/>
      <c r="K1000" s="50"/>
      <c r="L1000" s="36">
        <v>2022</v>
      </c>
      <c r="M1000" s="20" t="s">
        <v>255</v>
      </c>
      <c r="N1000" s="22" t="s">
        <v>441</v>
      </c>
    </row>
    <row r="1001" spans="1:14" ht="24" customHeight="1" x14ac:dyDescent="0.35">
      <c r="A1001" s="20" t="s">
        <v>264</v>
      </c>
      <c r="B1001" s="50" t="s">
        <v>255</v>
      </c>
      <c r="C1001" s="20" t="s">
        <v>996</v>
      </c>
      <c r="D1001" s="20" t="s">
        <v>1005</v>
      </c>
      <c r="E1001" s="20">
        <f>4+2</f>
        <v>6</v>
      </c>
      <c r="F1001" s="20">
        <v>2</v>
      </c>
      <c r="G1001" s="20">
        <f>3+4</f>
        <v>7</v>
      </c>
      <c r="H1001" s="20">
        <v>11</v>
      </c>
      <c r="I1001" s="50">
        <f t="shared" si="6"/>
        <v>26</v>
      </c>
      <c r="J1001" s="50"/>
      <c r="K1001" s="50"/>
      <c r="L1001" s="36">
        <v>2022</v>
      </c>
      <c r="M1001" s="20" t="s">
        <v>255</v>
      </c>
      <c r="N1001" s="22" t="s">
        <v>441</v>
      </c>
    </row>
    <row r="1002" spans="1:14" ht="24" customHeight="1" x14ac:dyDescent="0.35">
      <c r="A1002" s="20" t="s">
        <v>264</v>
      </c>
      <c r="B1002" s="50" t="s">
        <v>255</v>
      </c>
      <c r="C1002" s="20" t="s">
        <v>996</v>
      </c>
      <c r="D1002" s="20" t="s">
        <v>1006</v>
      </c>
      <c r="E1002" s="20">
        <f>132000+36000</f>
        <v>168000</v>
      </c>
      <c r="F1002" s="20">
        <v>10800</v>
      </c>
      <c r="G1002" s="20">
        <f>10800+22500</f>
        <v>33300</v>
      </c>
      <c r="H1002" s="20">
        <v>12600</v>
      </c>
      <c r="I1002" s="50">
        <f t="shared" si="6"/>
        <v>224700</v>
      </c>
      <c r="J1002" s="50"/>
      <c r="K1002" s="50"/>
      <c r="L1002" s="36">
        <v>2022</v>
      </c>
      <c r="M1002" s="20" t="s">
        <v>255</v>
      </c>
      <c r="N1002" s="22" t="s">
        <v>441</v>
      </c>
    </row>
    <row r="1003" spans="1:14" ht="24" customHeight="1" x14ac:dyDescent="0.35">
      <c r="A1003" s="20" t="s">
        <v>264</v>
      </c>
      <c r="B1003" s="50" t="s">
        <v>255</v>
      </c>
      <c r="C1003" s="20" t="s">
        <v>993</v>
      </c>
      <c r="D1003" s="20" t="s">
        <v>1004</v>
      </c>
      <c r="E1003" s="20">
        <v>0</v>
      </c>
      <c r="F1003" s="20">
        <v>0</v>
      </c>
      <c r="G1003" s="20">
        <v>0</v>
      </c>
      <c r="H1003" s="20">
        <v>0</v>
      </c>
      <c r="I1003" s="50">
        <f t="shared" si="6"/>
        <v>0</v>
      </c>
      <c r="J1003" s="50"/>
      <c r="K1003" s="50"/>
      <c r="L1003" s="36">
        <v>2022</v>
      </c>
      <c r="M1003" s="20" t="s">
        <v>255</v>
      </c>
      <c r="N1003" s="22" t="s">
        <v>441</v>
      </c>
    </row>
    <row r="1004" spans="1:14" ht="24" customHeight="1" x14ac:dyDescent="0.35">
      <c r="A1004" s="20" t="s">
        <v>264</v>
      </c>
      <c r="B1004" s="50" t="s">
        <v>255</v>
      </c>
      <c r="C1004" s="20" t="s">
        <v>993</v>
      </c>
      <c r="D1004" s="20" t="s">
        <v>1005</v>
      </c>
      <c r="E1004" s="20">
        <v>0</v>
      </c>
      <c r="F1004" s="20">
        <v>0</v>
      </c>
      <c r="G1004" s="20">
        <v>0</v>
      </c>
      <c r="H1004" s="20">
        <v>0</v>
      </c>
      <c r="I1004" s="50">
        <f t="shared" si="6"/>
        <v>0</v>
      </c>
      <c r="J1004" s="50"/>
      <c r="K1004" s="50"/>
      <c r="L1004" s="36">
        <v>2022</v>
      </c>
      <c r="M1004" s="20" t="s">
        <v>255</v>
      </c>
      <c r="N1004" s="22" t="s">
        <v>441</v>
      </c>
    </row>
    <row r="1005" spans="1:14" ht="24" customHeight="1" x14ac:dyDescent="0.35">
      <c r="A1005" s="20" t="s">
        <v>264</v>
      </c>
      <c r="B1005" s="50" t="s">
        <v>255</v>
      </c>
      <c r="C1005" s="20" t="s">
        <v>993</v>
      </c>
      <c r="D1005" s="20" t="s">
        <v>1006</v>
      </c>
      <c r="E1005" s="20">
        <v>0</v>
      </c>
      <c r="F1005" s="20">
        <v>0</v>
      </c>
      <c r="G1005" s="20">
        <v>0</v>
      </c>
      <c r="H1005" s="20">
        <v>0</v>
      </c>
      <c r="I1005" s="50">
        <f t="shared" si="6"/>
        <v>0</v>
      </c>
      <c r="J1005" s="50"/>
      <c r="K1005" s="50"/>
      <c r="L1005" s="36">
        <v>2022</v>
      </c>
      <c r="M1005" s="20" t="s">
        <v>255</v>
      </c>
      <c r="N1005" s="22" t="s">
        <v>441</v>
      </c>
    </row>
    <row r="1006" spans="1:14" ht="24" customHeight="1" x14ac:dyDescent="0.35">
      <c r="A1006" s="20" t="s">
        <v>444</v>
      </c>
      <c r="B1006" s="50" t="s">
        <v>46</v>
      </c>
      <c r="C1006" s="20" t="s">
        <v>996</v>
      </c>
      <c r="D1006" s="20" t="s">
        <v>1004</v>
      </c>
      <c r="E1006" s="20">
        <v>0</v>
      </c>
      <c r="F1006" s="20">
        <v>0</v>
      </c>
      <c r="G1006" s="20">
        <v>1</v>
      </c>
      <c r="H1006" s="20">
        <v>0</v>
      </c>
      <c r="I1006" s="50">
        <f t="shared" si="6"/>
        <v>1</v>
      </c>
      <c r="J1006" s="50"/>
      <c r="K1006" s="50"/>
      <c r="L1006" s="36">
        <v>2022</v>
      </c>
      <c r="M1006" s="20" t="s">
        <v>46</v>
      </c>
      <c r="N1006" s="22" t="s">
        <v>424</v>
      </c>
    </row>
    <row r="1007" spans="1:14" ht="24" customHeight="1" x14ac:dyDescent="0.35">
      <c r="A1007" s="20" t="s">
        <v>444</v>
      </c>
      <c r="B1007" s="50" t="s">
        <v>46</v>
      </c>
      <c r="C1007" s="20" t="s">
        <v>996</v>
      </c>
      <c r="D1007" s="20" t="s">
        <v>1005</v>
      </c>
      <c r="E1007" s="20">
        <v>0</v>
      </c>
      <c r="F1007" s="20">
        <v>0</v>
      </c>
      <c r="G1007" s="20">
        <v>2</v>
      </c>
      <c r="H1007" s="20">
        <v>30</v>
      </c>
      <c r="I1007" s="50">
        <f t="shared" si="6"/>
        <v>32</v>
      </c>
      <c r="J1007" s="50"/>
      <c r="K1007" s="50"/>
      <c r="L1007" s="36">
        <v>2022</v>
      </c>
      <c r="M1007" s="20" t="s">
        <v>46</v>
      </c>
      <c r="N1007" s="22" t="s">
        <v>424</v>
      </c>
    </row>
    <row r="1008" spans="1:14" ht="24" customHeight="1" x14ac:dyDescent="0.35">
      <c r="A1008" s="20" t="s">
        <v>444</v>
      </c>
      <c r="B1008" s="50" t="s">
        <v>46</v>
      </c>
      <c r="C1008" s="20" t="s">
        <v>996</v>
      </c>
      <c r="D1008" s="20" t="s">
        <v>1006</v>
      </c>
      <c r="E1008" s="20">
        <v>0</v>
      </c>
      <c r="F1008" s="20">
        <v>0</v>
      </c>
      <c r="G1008" s="20">
        <v>3518.6039999999998</v>
      </c>
      <c r="H1008" s="20">
        <v>23650.2</v>
      </c>
      <c r="I1008" s="50">
        <f t="shared" si="6"/>
        <v>27168.804</v>
      </c>
      <c r="J1008" s="50"/>
      <c r="K1008" s="50"/>
      <c r="L1008" s="36">
        <v>2022</v>
      </c>
      <c r="M1008" s="20" t="s">
        <v>46</v>
      </c>
      <c r="N1008" s="22" t="s">
        <v>424</v>
      </c>
    </row>
    <row r="1009" spans="1:14" ht="24" customHeight="1" x14ac:dyDescent="0.35">
      <c r="A1009" s="20" t="s">
        <v>444</v>
      </c>
      <c r="B1009" s="50" t="s">
        <v>46</v>
      </c>
      <c r="C1009" s="20" t="s">
        <v>993</v>
      </c>
      <c r="D1009" s="20" t="s">
        <v>1004</v>
      </c>
      <c r="E1009" s="20">
        <v>0</v>
      </c>
      <c r="F1009" s="20">
        <v>0</v>
      </c>
      <c r="G1009" s="20">
        <v>0</v>
      </c>
      <c r="H1009" s="20">
        <v>0</v>
      </c>
      <c r="I1009" s="50">
        <f t="shared" si="6"/>
        <v>0</v>
      </c>
      <c r="J1009" s="50"/>
      <c r="K1009" s="50"/>
      <c r="L1009" s="36">
        <v>2022</v>
      </c>
      <c r="M1009" s="20" t="s">
        <v>46</v>
      </c>
      <c r="N1009" s="22" t="s">
        <v>424</v>
      </c>
    </row>
    <row r="1010" spans="1:14" ht="24" customHeight="1" x14ac:dyDescent="0.35">
      <c r="A1010" s="20" t="s">
        <v>444</v>
      </c>
      <c r="B1010" s="50" t="s">
        <v>46</v>
      </c>
      <c r="C1010" s="20" t="s">
        <v>993</v>
      </c>
      <c r="D1010" s="20" t="s">
        <v>1005</v>
      </c>
      <c r="E1010" s="20">
        <v>0</v>
      </c>
      <c r="F1010" s="20">
        <v>0</v>
      </c>
      <c r="G1010" s="20">
        <v>0</v>
      </c>
      <c r="H1010" s="20">
        <v>0</v>
      </c>
      <c r="I1010" s="50">
        <f t="shared" si="6"/>
        <v>0</v>
      </c>
      <c r="J1010" s="50"/>
      <c r="K1010" s="50"/>
      <c r="L1010" s="36">
        <v>2022</v>
      </c>
      <c r="M1010" s="20" t="s">
        <v>46</v>
      </c>
      <c r="N1010" s="22" t="s">
        <v>424</v>
      </c>
    </row>
    <row r="1011" spans="1:14" ht="24" customHeight="1" x14ac:dyDescent="0.35">
      <c r="A1011" s="20" t="s">
        <v>444</v>
      </c>
      <c r="B1011" s="50" t="s">
        <v>46</v>
      </c>
      <c r="C1011" s="20" t="s">
        <v>993</v>
      </c>
      <c r="D1011" s="20" t="s">
        <v>1006</v>
      </c>
      <c r="E1011" s="20">
        <v>0</v>
      </c>
      <c r="F1011" s="20">
        <v>0</v>
      </c>
      <c r="G1011" s="20">
        <v>0</v>
      </c>
      <c r="H1011" s="20">
        <v>0</v>
      </c>
      <c r="I1011" s="50">
        <f t="shared" si="6"/>
        <v>0</v>
      </c>
      <c r="J1011" s="50"/>
      <c r="K1011" s="50"/>
      <c r="L1011" s="36">
        <v>2022</v>
      </c>
      <c r="M1011" s="20" t="s">
        <v>46</v>
      </c>
      <c r="N1011" s="22" t="s">
        <v>424</v>
      </c>
    </row>
    <row r="1012" spans="1:14" ht="24" customHeight="1" x14ac:dyDescent="0.35">
      <c r="A1012" s="20" t="s">
        <v>445</v>
      </c>
      <c r="B1012" s="50" t="s">
        <v>4</v>
      </c>
      <c r="C1012" s="20" t="s">
        <v>996</v>
      </c>
      <c r="D1012" s="20" t="s">
        <v>1004</v>
      </c>
      <c r="E1012" s="20">
        <v>1</v>
      </c>
      <c r="F1012" s="20">
        <v>0</v>
      </c>
      <c r="G1012" s="20">
        <v>0</v>
      </c>
      <c r="H1012" s="20">
        <v>0</v>
      </c>
      <c r="I1012" s="50">
        <f t="shared" si="6"/>
        <v>1</v>
      </c>
      <c r="J1012" s="50"/>
      <c r="K1012" s="50"/>
      <c r="L1012" s="36">
        <v>2022</v>
      </c>
      <c r="M1012" s="20" t="s">
        <v>255</v>
      </c>
      <c r="N1012" s="22" t="s">
        <v>441</v>
      </c>
    </row>
    <row r="1013" spans="1:14" ht="24" customHeight="1" x14ac:dyDescent="0.35">
      <c r="A1013" s="20" t="s">
        <v>445</v>
      </c>
      <c r="B1013" s="50" t="s">
        <v>4</v>
      </c>
      <c r="C1013" s="20" t="s">
        <v>996</v>
      </c>
      <c r="D1013" s="20" t="s">
        <v>1005</v>
      </c>
      <c r="E1013" s="20">
        <v>2</v>
      </c>
      <c r="F1013" s="20">
        <v>0</v>
      </c>
      <c r="G1013" s="20">
        <v>2</v>
      </c>
      <c r="H1013" s="20">
        <v>0</v>
      </c>
      <c r="I1013" s="50">
        <f t="shared" si="6"/>
        <v>4</v>
      </c>
      <c r="J1013" s="50"/>
      <c r="K1013" s="50"/>
      <c r="L1013" s="36">
        <v>2022</v>
      </c>
      <c r="M1013" s="20" t="s">
        <v>255</v>
      </c>
      <c r="N1013" s="22" t="s">
        <v>441</v>
      </c>
    </row>
    <row r="1014" spans="1:14" ht="24" customHeight="1" x14ac:dyDescent="0.35">
      <c r="A1014" s="20" t="s">
        <v>445</v>
      </c>
      <c r="B1014" s="50" t="s">
        <v>4</v>
      </c>
      <c r="C1014" s="20" t="s">
        <v>996</v>
      </c>
      <c r="D1014" s="20" t="s">
        <v>1006</v>
      </c>
      <c r="E1014" s="20">
        <v>37754.724000000002</v>
      </c>
      <c r="F1014" s="20">
        <v>0</v>
      </c>
      <c r="G1014" s="20">
        <v>6526</v>
      </c>
      <c r="H1014" s="20">
        <v>0</v>
      </c>
      <c r="I1014" s="50">
        <f t="shared" si="6"/>
        <v>44280.724000000002</v>
      </c>
      <c r="J1014" s="50"/>
      <c r="K1014" s="50"/>
      <c r="L1014" s="36">
        <v>2022</v>
      </c>
      <c r="M1014" s="20" t="s">
        <v>255</v>
      </c>
      <c r="N1014" s="22" t="s">
        <v>441</v>
      </c>
    </row>
    <row r="1015" spans="1:14" ht="24" customHeight="1" x14ac:dyDescent="0.35">
      <c r="A1015" s="20" t="s">
        <v>445</v>
      </c>
      <c r="B1015" s="50" t="s">
        <v>4</v>
      </c>
      <c r="C1015" s="20" t="s">
        <v>993</v>
      </c>
      <c r="D1015" s="20" t="s">
        <v>1004</v>
      </c>
      <c r="E1015" s="20">
        <v>0</v>
      </c>
      <c r="F1015" s="20">
        <v>0</v>
      </c>
      <c r="G1015" s="20">
        <v>0</v>
      </c>
      <c r="H1015" s="20">
        <v>0</v>
      </c>
      <c r="I1015" s="50">
        <f t="shared" si="6"/>
        <v>0</v>
      </c>
      <c r="J1015" s="50"/>
      <c r="K1015" s="50"/>
      <c r="L1015" s="36">
        <v>2022</v>
      </c>
      <c r="M1015" s="20" t="s">
        <v>255</v>
      </c>
      <c r="N1015" s="22" t="s">
        <v>441</v>
      </c>
    </row>
    <row r="1016" spans="1:14" ht="24" customHeight="1" x14ac:dyDescent="0.35">
      <c r="A1016" s="20" t="s">
        <v>445</v>
      </c>
      <c r="B1016" s="50" t="s">
        <v>4</v>
      </c>
      <c r="C1016" s="20" t="s">
        <v>993</v>
      </c>
      <c r="D1016" s="20" t="s">
        <v>1005</v>
      </c>
      <c r="E1016" s="20">
        <v>0</v>
      </c>
      <c r="F1016" s="20">
        <v>0</v>
      </c>
      <c r="G1016" s="20">
        <v>0</v>
      </c>
      <c r="H1016" s="20">
        <v>0</v>
      </c>
      <c r="I1016" s="50">
        <f t="shared" si="6"/>
        <v>0</v>
      </c>
      <c r="J1016" s="50"/>
      <c r="K1016" s="50"/>
      <c r="L1016" s="36">
        <v>2022</v>
      </c>
      <c r="M1016" s="20" t="s">
        <v>255</v>
      </c>
      <c r="N1016" s="22" t="s">
        <v>441</v>
      </c>
    </row>
    <row r="1017" spans="1:14" ht="24" customHeight="1" x14ac:dyDescent="0.35">
      <c r="A1017" s="20" t="s">
        <v>445</v>
      </c>
      <c r="B1017" s="50" t="s">
        <v>4</v>
      </c>
      <c r="C1017" s="20" t="s">
        <v>993</v>
      </c>
      <c r="D1017" s="20" t="s">
        <v>1006</v>
      </c>
      <c r="E1017" s="20">
        <v>0</v>
      </c>
      <c r="F1017" s="20">
        <v>0</v>
      </c>
      <c r="G1017" s="20">
        <v>0</v>
      </c>
      <c r="H1017" s="20">
        <v>0</v>
      </c>
      <c r="I1017" s="50">
        <f t="shared" si="6"/>
        <v>0</v>
      </c>
      <c r="J1017" s="50"/>
      <c r="K1017" s="50"/>
      <c r="L1017" s="36">
        <v>2022</v>
      </c>
      <c r="M1017" s="20" t="s">
        <v>255</v>
      </c>
      <c r="N1017" s="22" t="s">
        <v>441</v>
      </c>
    </row>
    <row r="1018" spans="1:14" ht="24" customHeight="1" x14ac:dyDescent="0.35">
      <c r="A1018" s="20" t="s">
        <v>273</v>
      </c>
      <c r="B1018" s="50" t="s">
        <v>4</v>
      </c>
      <c r="C1018" s="20" t="s">
        <v>996</v>
      </c>
      <c r="D1018" s="20" t="s">
        <v>1004</v>
      </c>
      <c r="E1018" s="20">
        <f>1+2</f>
        <v>3</v>
      </c>
      <c r="F1018" s="20">
        <v>2</v>
      </c>
      <c r="G1018" s="20">
        <v>1</v>
      </c>
      <c r="H1018" s="20">
        <v>0</v>
      </c>
      <c r="I1018" s="50">
        <f t="shared" si="6"/>
        <v>6</v>
      </c>
      <c r="J1018" s="50"/>
      <c r="K1018" s="50"/>
      <c r="L1018" s="36">
        <v>2022</v>
      </c>
      <c r="M1018" s="20" t="s">
        <v>255</v>
      </c>
      <c r="N1018" s="22" t="s">
        <v>431</v>
      </c>
    </row>
    <row r="1019" spans="1:14" ht="24" customHeight="1" x14ac:dyDescent="0.35">
      <c r="A1019" s="20" t="s">
        <v>273</v>
      </c>
      <c r="B1019" s="50" t="s">
        <v>4</v>
      </c>
      <c r="C1019" s="20" t="s">
        <v>996</v>
      </c>
      <c r="D1019" s="20" t="s">
        <v>1005</v>
      </c>
      <c r="E1019" s="20">
        <f>2+2</f>
        <v>4</v>
      </c>
      <c r="F1019" s="20">
        <v>2</v>
      </c>
      <c r="G1019" s="20">
        <v>3</v>
      </c>
      <c r="H1019" s="20">
        <v>15</v>
      </c>
      <c r="I1019" s="50">
        <f t="shared" si="6"/>
        <v>24</v>
      </c>
      <c r="J1019" s="50"/>
      <c r="K1019" s="50"/>
      <c r="L1019" s="36">
        <v>2022</v>
      </c>
      <c r="M1019" s="20" t="s">
        <v>255</v>
      </c>
      <c r="N1019" s="22" t="s">
        <v>431</v>
      </c>
    </row>
    <row r="1020" spans="1:14" ht="24" customHeight="1" x14ac:dyDescent="0.35">
      <c r="A1020" s="20" t="s">
        <v>273</v>
      </c>
      <c r="B1020" s="50" t="s">
        <v>4</v>
      </c>
      <c r="C1020" s="20" t="s">
        <v>996</v>
      </c>
      <c r="D1020" s="20" t="s">
        <v>1006</v>
      </c>
      <c r="E1020" s="20">
        <f>10000+9000</f>
        <v>19000</v>
      </c>
      <c r="F1020" s="20">
        <v>3000</v>
      </c>
      <c r="G1020" s="20">
        <v>2700</v>
      </c>
      <c r="H1020" s="20">
        <v>2300</v>
      </c>
      <c r="I1020" s="50">
        <f t="shared" si="6"/>
        <v>27000</v>
      </c>
      <c r="J1020" s="50"/>
      <c r="K1020" s="50"/>
      <c r="L1020" s="36">
        <v>2022</v>
      </c>
      <c r="M1020" s="20" t="s">
        <v>255</v>
      </c>
      <c r="N1020" s="22" t="s">
        <v>431</v>
      </c>
    </row>
    <row r="1021" spans="1:14" ht="24" customHeight="1" x14ac:dyDescent="0.35">
      <c r="A1021" s="20" t="s">
        <v>273</v>
      </c>
      <c r="B1021" s="50" t="s">
        <v>4</v>
      </c>
      <c r="C1021" s="20" t="s">
        <v>993</v>
      </c>
      <c r="D1021" s="20" t="s">
        <v>1004</v>
      </c>
      <c r="E1021" s="20">
        <v>1</v>
      </c>
      <c r="F1021" s="20">
        <v>0</v>
      </c>
      <c r="G1021" s="20">
        <v>0</v>
      </c>
      <c r="H1021" s="20">
        <v>0</v>
      </c>
      <c r="I1021" s="50">
        <f t="shared" si="6"/>
        <v>1</v>
      </c>
      <c r="J1021" s="50"/>
      <c r="K1021" s="50"/>
      <c r="L1021" s="36">
        <v>2022</v>
      </c>
      <c r="M1021" s="20" t="s">
        <v>255</v>
      </c>
      <c r="N1021" s="22" t="s">
        <v>431</v>
      </c>
    </row>
    <row r="1022" spans="1:14" ht="24" customHeight="1" x14ac:dyDescent="0.35">
      <c r="A1022" s="20" t="s">
        <v>273</v>
      </c>
      <c r="B1022" s="50" t="s">
        <v>4</v>
      </c>
      <c r="C1022" s="20" t="s">
        <v>993</v>
      </c>
      <c r="D1022" s="20" t="s">
        <v>1005</v>
      </c>
      <c r="E1022" s="20">
        <f>3+3</f>
        <v>6</v>
      </c>
      <c r="F1022" s="20">
        <v>0</v>
      </c>
      <c r="G1022" s="20">
        <v>2</v>
      </c>
      <c r="H1022" s="20">
        <v>0</v>
      </c>
      <c r="I1022" s="50">
        <f t="shared" si="6"/>
        <v>8</v>
      </c>
      <c r="J1022" s="50"/>
      <c r="K1022" s="50"/>
      <c r="L1022" s="36">
        <v>2022</v>
      </c>
      <c r="M1022" s="20" t="s">
        <v>255</v>
      </c>
      <c r="N1022" s="22" t="s">
        <v>431</v>
      </c>
    </row>
    <row r="1023" spans="1:14" ht="24" customHeight="1" x14ac:dyDescent="0.35">
      <c r="A1023" s="20" t="s">
        <v>273</v>
      </c>
      <c r="B1023" s="50" t="s">
        <v>4</v>
      </c>
      <c r="C1023" s="20" t="s">
        <v>993</v>
      </c>
      <c r="D1023" s="20" t="s">
        <v>1006</v>
      </c>
      <c r="E1023" s="20">
        <f>5000+6000</f>
        <v>11000</v>
      </c>
      <c r="F1023" s="20">
        <v>0</v>
      </c>
      <c r="G1023" s="20">
        <v>400</v>
      </c>
      <c r="H1023" s="20">
        <v>0</v>
      </c>
      <c r="I1023" s="50">
        <f t="shared" si="6"/>
        <v>11400</v>
      </c>
      <c r="J1023" s="50"/>
      <c r="K1023" s="50"/>
      <c r="L1023" s="36">
        <v>2022</v>
      </c>
      <c r="M1023" s="20" t="s">
        <v>255</v>
      </c>
      <c r="N1023" s="22" t="s">
        <v>431</v>
      </c>
    </row>
    <row r="1024" spans="1:14" ht="24" customHeight="1" x14ac:dyDescent="0.35">
      <c r="A1024" s="20" t="s">
        <v>448</v>
      </c>
      <c r="B1024" s="50" t="s">
        <v>46</v>
      </c>
      <c r="C1024" s="50" t="s">
        <v>996</v>
      </c>
      <c r="D1024" s="20" t="s">
        <v>1004</v>
      </c>
      <c r="E1024" s="20">
        <v>2</v>
      </c>
      <c r="F1024" s="20">
        <v>0</v>
      </c>
      <c r="G1024" s="20">
        <v>0</v>
      </c>
      <c r="H1024" s="20">
        <v>0</v>
      </c>
      <c r="I1024" s="50">
        <f t="shared" si="6"/>
        <v>2</v>
      </c>
      <c r="J1024" s="50"/>
      <c r="K1024" s="50"/>
      <c r="L1024" s="36">
        <v>2022</v>
      </c>
      <c r="M1024" s="20" t="s">
        <v>46</v>
      </c>
      <c r="N1024" s="22" t="s">
        <v>451</v>
      </c>
    </row>
    <row r="1025" spans="1:14" ht="24" customHeight="1" x14ac:dyDescent="0.35">
      <c r="A1025" s="20" t="s">
        <v>448</v>
      </c>
      <c r="B1025" s="50" t="s">
        <v>46</v>
      </c>
      <c r="C1025" s="50" t="s">
        <v>996</v>
      </c>
      <c r="D1025" s="20" t="s">
        <v>1005</v>
      </c>
      <c r="E1025" s="20">
        <v>3</v>
      </c>
      <c r="F1025" s="20">
        <v>4</v>
      </c>
      <c r="G1025" s="20">
        <v>15</v>
      </c>
      <c r="H1025" s="20">
        <v>30</v>
      </c>
      <c r="I1025" s="50">
        <f t="shared" si="6"/>
        <v>52</v>
      </c>
      <c r="J1025" s="50"/>
      <c r="K1025" s="50"/>
      <c r="L1025" s="36">
        <v>2022</v>
      </c>
      <c r="M1025" s="20" t="s">
        <v>46</v>
      </c>
      <c r="N1025" s="22" t="s">
        <v>451</v>
      </c>
    </row>
    <row r="1026" spans="1:14" ht="24" customHeight="1" x14ac:dyDescent="0.35">
      <c r="A1026" s="20" t="s">
        <v>448</v>
      </c>
      <c r="B1026" s="50" t="s">
        <v>46</v>
      </c>
      <c r="C1026" s="50" t="s">
        <v>996</v>
      </c>
      <c r="D1026" s="20" t="s">
        <v>1006</v>
      </c>
      <c r="E1026" s="20">
        <v>18000</v>
      </c>
      <c r="F1026" s="20">
        <v>28000</v>
      </c>
      <c r="G1026" s="20">
        <v>48000</v>
      </c>
      <c r="H1026" s="20">
        <v>14000</v>
      </c>
      <c r="I1026" s="50">
        <f t="shared" si="6"/>
        <v>108000</v>
      </c>
      <c r="J1026" s="50"/>
      <c r="K1026" s="50"/>
      <c r="L1026" s="36">
        <v>2022</v>
      </c>
      <c r="M1026" s="20" t="s">
        <v>46</v>
      </c>
      <c r="N1026" s="22" t="s">
        <v>451</v>
      </c>
    </row>
    <row r="1027" spans="1:14" ht="24" customHeight="1" x14ac:dyDescent="0.35">
      <c r="A1027" s="20" t="s">
        <v>448</v>
      </c>
      <c r="B1027" s="50" t="s">
        <v>46</v>
      </c>
      <c r="C1027" s="50" t="s">
        <v>993</v>
      </c>
      <c r="D1027" s="20" t="s">
        <v>1004</v>
      </c>
      <c r="E1027" s="20">
        <v>0</v>
      </c>
      <c r="F1027" s="20">
        <v>0</v>
      </c>
      <c r="G1027" s="20">
        <v>0</v>
      </c>
      <c r="H1027" s="20">
        <v>0</v>
      </c>
      <c r="I1027" s="50">
        <f t="shared" si="6"/>
        <v>0</v>
      </c>
      <c r="J1027" s="50"/>
      <c r="K1027" s="50"/>
      <c r="L1027" s="36">
        <v>2022</v>
      </c>
      <c r="M1027" s="20" t="s">
        <v>46</v>
      </c>
      <c r="N1027" s="22" t="s">
        <v>451</v>
      </c>
    </row>
    <row r="1028" spans="1:14" ht="24" customHeight="1" x14ac:dyDescent="0.35">
      <c r="A1028" s="20" t="s">
        <v>448</v>
      </c>
      <c r="B1028" s="50" t="s">
        <v>46</v>
      </c>
      <c r="C1028" s="50" t="s">
        <v>993</v>
      </c>
      <c r="D1028" s="20" t="s">
        <v>1005</v>
      </c>
      <c r="E1028" s="20">
        <v>2</v>
      </c>
      <c r="F1028" s="20">
        <v>7</v>
      </c>
      <c r="G1028" s="20">
        <v>0</v>
      </c>
      <c r="H1028" s="20">
        <v>0</v>
      </c>
      <c r="I1028" s="50">
        <f t="shared" si="6"/>
        <v>9</v>
      </c>
      <c r="J1028" s="50"/>
      <c r="K1028" s="50"/>
      <c r="L1028" s="36">
        <v>2022</v>
      </c>
      <c r="M1028" s="20" t="s">
        <v>46</v>
      </c>
      <c r="N1028" s="22" t="s">
        <v>451</v>
      </c>
    </row>
    <row r="1029" spans="1:14" ht="24" customHeight="1" x14ac:dyDescent="0.35">
      <c r="A1029" s="20" t="s">
        <v>448</v>
      </c>
      <c r="B1029" s="50" t="s">
        <v>46</v>
      </c>
      <c r="C1029" s="50" t="s">
        <v>993</v>
      </c>
      <c r="D1029" s="20" t="s">
        <v>1006</v>
      </c>
      <c r="E1029" s="20">
        <v>12000</v>
      </c>
      <c r="F1029" s="20">
        <v>18000</v>
      </c>
      <c r="G1029" s="20">
        <v>0</v>
      </c>
      <c r="H1029" s="20">
        <v>0</v>
      </c>
      <c r="I1029" s="50">
        <f t="shared" si="6"/>
        <v>30000</v>
      </c>
      <c r="J1029" s="50"/>
      <c r="K1029" s="50"/>
      <c r="L1029" s="36">
        <v>2022</v>
      </c>
      <c r="M1029" s="20" t="s">
        <v>46</v>
      </c>
      <c r="N1029" s="22" t="s">
        <v>451</v>
      </c>
    </row>
    <row r="1030" spans="1:14" ht="24" customHeight="1" x14ac:dyDescent="0.35">
      <c r="A1030" s="56" t="s">
        <v>276</v>
      </c>
      <c r="B1030" s="50" t="s">
        <v>255</v>
      </c>
      <c r="C1030" s="50" t="s">
        <v>996</v>
      </c>
      <c r="D1030" s="20" t="s">
        <v>1004</v>
      </c>
      <c r="E1030" s="20">
        <v>0</v>
      </c>
      <c r="F1030" s="20">
        <v>1</v>
      </c>
      <c r="G1030" s="20">
        <v>1</v>
      </c>
      <c r="H1030" s="20">
        <v>0</v>
      </c>
      <c r="I1030" s="50">
        <f t="shared" si="6"/>
        <v>2</v>
      </c>
      <c r="J1030" s="50"/>
      <c r="K1030" s="50"/>
      <c r="L1030" s="36">
        <v>2022</v>
      </c>
      <c r="M1030" s="20" t="s">
        <v>255</v>
      </c>
      <c r="N1030" s="22" t="s">
        <v>431</v>
      </c>
    </row>
    <row r="1031" spans="1:14" ht="24" customHeight="1" x14ac:dyDescent="0.35">
      <c r="A1031" s="56" t="s">
        <v>276</v>
      </c>
      <c r="B1031" s="50" t="s">
        <v>255</v>
      </c>
      <c r="C1031" s="50" t="s">
        <v>996</v>
      </c>
      <c r="D1031" s="20" t="s">
        <v>1005</v>
      </c>
      <c r="E1031" s="20">
        <v>5</v>
      </c>
      <c r="F1031" s="20">
        <v>3</v>
      </c>
      <c r="G1031" s="20">
        <v>20</v>
      </c>
      <c r="H1031" s="20">
        <v>83</v>
      </c>
      <c r="I1031" s="50">
        <f t="shared" si="6"/>
        <v>111</v>
      </c>
      <c r="J1031" s="50"/>
      <c r="K1031" s="50"/>
      <c r="L1031" s="36">
        <v>2022</v>
      </c>
      <c r="M1031" s="20" t="s">
        <v>255</v>
      </c>
      <c r="N1031" s="22" t="s">
        <v>431</v>
      </c>
    </row>
    <row r="1032" spans="1:14" ht="24" customHeight="1" x14ac:dyDescent="0.35">
      <c r="A1032" s="56" t="s">
        <v>276</v>
      </c>
      <c r="B1032" s="50" t="s">
        <v>255</v>
      </c>
      <c r="C1032" s="50" t="s">
        <v>996</v>
      </c>
      <c r="D1032" s="20" t="s">
        <v>1006</v>
      </c>
      <c r="E1032" s="20">
        <v>275963</v>
      </c>
      <c r="F1032" s="20">
        <v>42137.2</v>
      </c>
      <c r="G1032" s="20">
        <v>111977.5</v>
      </c>
      <c r="H1032" s="20">
        <v>114811.1</v>
      </c>
      <c r="I1032" s="50">
        <f t="shared" si="6"/>
        <v>544888.80000000005</v>
      </c>
      <c r="J1032" s="50"/>
      <c r="K1032" s="50"/>
      <c r="L1032" s="36">
        <v>2022</v>
      </c>
      <c r="M1032" s="20" t="s">
        <v>255</v>
      </c>
      <c r="N1032" s="22" t="s">
        <v>431</v>
      </c>
    </row>
    <row r="1033" spans="1:14" ht="24" customHeight="1" x14ac:dyDescent="0.35">
      <c r="A1033" s="56" t="s">
        <v>276</v>
      </c>
      <c r="B1033" s="50" t="s">
        <v>255</v>
      </c>
      <c r="C1033" s="50" t="s">
        <v>993</v>
      </c>
      <c r="D1033" s="20" t="s">
        <v>1004</v>
      </c>
      <c r="E1033" s="20">
        <v>0</v>
      </c>
      <c r="F1033" s="20">
        <v>0</v>
      </c>
      <c r="G1033" s="20">
        <v>0</v>
      </c>
      <c r="H1033" s="20">
        <v>0</v>
      </c>
      <c r="I1033" s="50">
        <f t="shared" si="6"/>
        <v>0</v>
      </c>
      <c r="J1033" s="50"/>
      <c r="K1033" s="50"/>
      <c r="L1033" s="36">
        <v>2022</v>
      </c>
      <c r="M1033" s="20" t="s">
        <v>255</v>
      </c>
      <c r="N1033" s="22" t="s">
        <v>431</v>
      </c>
    </row>
    <row r="1034" spans="1:14" ht="24" customHeight="1" x14ac:dyDescent="0.35">
      <c r="A1034" s="56" t="s">
        <v>276</v>
      </c>
      <c r="B1034" s="50" t="s">
        <v>255</v>
      </c>
      <c r="C1034" s="50" t="s">
        <v>993</v>
      </c>
      <c r="D1034" s="20" t="s">
        <v>1005</v>
      </c>
      <c r="E1034" s="20">
        <v>0</v>
      </c>
      <c r="F1034" s="20">
        <v>0</v>
      </c>
      <c r="G1034" s="20">
        <v>0</v>
      </c>
      <c r="H1034" s="20">
        <v>0</v>
      </c>
      <c r="I1034" s="50">
        <f t="shared" si="6"/>
        <v>0</v>
      </c>
      <c r="J1034" s="50"/>
      <c r="K1034" s="50"/>
      <c r="L1034" s="36">
        <v>2022</v>
      </c>
      <c r="M1034" s="20" t="s">
        <v>255</v>
      </c>
      <c r="N1034" s="22" t="s">
        <v>431</v>
      </c>
    </row>
    <row r="1035" spans="1:14" ht="24" customHeight="1" x14ac:dyDescent="0.35">
      <c r="A1035" s="56" t="s">
        <v>276</v>
      </c>
      <c r="B1035" s="50" t="s">
        <v>255</v>
      </c>
      <c r="C1035" s="50" t="s">
        <v>993</v>
      </c>
      <c r="D1035" s="20" t="s">
        <v>1006</v>
      </c>
      <c r="E1035" s="20">
        <v>0</v>
      </c>
      <c r="F1035" s="20">
        <v>0</v>
      </c>
      <c r="G1035" s="20">
        <v>0</v>
      </c>
      <c r="H1035" s="20">
        <v>0</v>
      </c>
      <c r="I1035" s="50">
        <f t="shared" si="6"/>
        <v>0</v>
      </c>
      <c r="J1035" s="50"/>
      <c r="K1035" s="50"/>
      <c r="L1035" s="36">
        <v>2022</v>
      </c>
      <c r="M1035" s="20" t="s">
        <v>255</v>
      </c>
      <c r="N1035" s="22" t="s">
        <v>431</v>
      </c>
    </row>
    <row r="1036" spans="1:14" ht="24" customHeight="1" x14ac:dyDescent="0.35">
      <c r="A1036" s="56" t="s">
        <v>278</v>
      </c>
      <c r="B1036" s="50" t="s">
        <v>255</v>
      </c>
      <c r="C1036" s="50" t="s">
        <v>996</v>
      </c>
      <c r="D1036" s="56" t="s">
        <v>1004</v>
      </c>
      <c r="E1036" s="20">
        <v>1</v>
      </c>
      <c r="F1036" s="20">
        <v>1</v>
      </c>
      <c r="G1036" s="20">
        <v>0</v>
      </c>
      <c r="H1036" s="20">
        <f>1+0</f>
        <v>1</v>
      </c>
      <c r="I1036" s="50">
        <f t="shared" si="6"/>
        <v>3</v>
      </c>
      <c r="J1036" s="50"/>
      <c r="K1036" s="50"/>
      <c r="L1036" s="36">
        <v>2022</v>
      </c>
      <c r="M1036" s="20" t="s">
        <v>255</v>
      </c>
      <c r="N1036" s="22" t="s">
        <v>431</v>
      </c>
    </row>
    <row r="1037" spans="1:14" ht="24" customHeight="1" x14ac:dyDescent="0.35">
      <c r="A1037" s="56" t="s">
        <v>278</v>
      </c>
      <c r="B1037" s="50" t="s">
        <v>255</v>
      </c>
      <c r="C1037" s="50" t="s">
        <v>996</v>
      </c>
      <c r="D1037" s="56" t="s">
        <v>1005</v>
      </c>
      <c r="E1037" s="20">
        <v>7</v>
      </c>
      <c r="F1037" s="20">
        <v>10</v>
      </c>
      <c r="G1037" s="20">
        <f>3+8</f>
        <v>11</v>
      </c>
      <c r="H1037" s="20">
        <f>15+18</f>
        <v>33</v>
      </c>
      <c r="I1037" s="50">
        <f t="shared" si="6"/>
        <v>61</v>
      </c>
      <c r="J1037" s="50"/>
      <c r="K1037" s="50"/>
      <c r="L1037" s="36">
        <v>2022</v>
      </c>
      <c r="M1037" s="20" t="s">
        <v>255</v>
      </c>
      <c r="N1037" s="22" t="s">
        <v>431</v>
      </c>
    </row>
    <row r="1038" spans="1:14" ht="24" customHeight="1" x14ac:dyDescent="0.35">
      <c r="A1038" s="56" t="s">
        <v>278</v>
      </c>
      <c r="B1038" s="50" t="s">
        <v>255</v>
      </c>
      <c r="C1038" s="50" t="s">
        <v>996</v>
      </c>
      <c r="D1038" s="56" t="s">
        <v>1006</v>
      </c>
      <c r="E1038" s="20">
        <v>30440</v>
      </c>
      <c r="F1038" s="20">
        <v>8153</v>
      </c>
      <c r="G1038" s="20">
        <f>11978+5590</f>
        <v>17568</v>
      </c>
      <c r="H1038" s="20">
        <f>24225+20699</f>
        <v>44924</v>
      </c>
      <c r="I1038" s="50">
        <f t="shared" si="6"/>
        <v>101085</v>
      </c>
      <c r="J1038" s="50"/>
      <c r="K1038" s="50"/>
      <c r="L1038" s="36">
        <v>2022</v>
      </c>
      <c r="M1038" s="20" t="s">
        <v>255</v>
      </c>
      <c r="N1038" s="22" t="s">
        <v>431</v>
      </c>
    </row>
    <row r="1039" spans="1:14" ht="24" customHeight="1" x14ac:dyDescent="0.35">
      <c r="A1039" s="56" t="s">
        <v>278</v>
      </c>
      <c r="B1039" s="50" t="s">
        <v>255</v>
      </c>
      <c r="C1039" s="50" t="s">
        <v>993</v>
      </c>
      <c r="D1039" s="56" t="s">
        <v>1004</v>
      </c>
      <c r="E1039" s="20">
        <v>1</v>
      </c>
      <c r="F1039" s="20">
        <v>0</v>
      </c>
      <c r="G1039" s="20">
        <v>0</v>
      </c>
      <c r="H1039" s="20">
        <v>0</v>
      </c>
      <c r="I1039" s="50">
        <f t="shared" si="6"/>
        <v>1</v>
      </c>
      <c r="J1039" s="50"/>
      <c r="K1039" s="50"/>
      <c r="L1039" s="36">
        <v>2022</v>
      </c>
      <c r="M1039" s="20" t="s">
        <v>255</v>
      </c>
      <c r="N1039" s="22" t="s">
        <v>431</v>
      </c>
    </row>
    <row r="1040" spans="1:14" ht="24" customHeight="1" x14ac:dyDescent="0.35">
      <c r="A1040" s="56" t="s">
        <v>278</v>
      </c>
      <c r="B1040" s="50" t="s">
        <v>255</v>
      </c>
      <c r="C1040" s="50" t="s">
        <v>993</v>
      </c>
      <c r="D1040" s="56" t="s">
        <v>1005</v>
      </c>
      <c r="E1040" s="20">
        <f>1+3</f>
        <v>4</v>
      </c>
      <c r="F1040" s="20">
        <v>3</v>
      </c>
      <c r="G1040" s="20">
        <v>3</v>
      </c>
      <c r="H1040" s="20">
        <v>0</v>
      </c>
      <c r="I1040" s="50">
        <f t="shared" si="6"/>
        <v>10</v>
      </c>
      <c r="J1040" s="50"/>
      <c r="K1040" s="50"/>
      <c r="L1040" s="36">
        <v>2022</v>
      </c>
      <c r="M1040" s="20" t="s">
        <v>255</v>
      </c>
      <c r="N1040" s="22" t="s">
        <v>431</v>
      </c>
    </row>
    <row r="1041" spans="1:14" ht="24" customHeight="1" x14ac:dyDescent="0.35">
      <c r="A1041" s="56" t="s">
        <v>278</v>
      </c>
      <c r="B1041" s="50" t="s">
        <v>255</v>
      </c>
      <c r="C1041" s="50" t="s">
        <v>993</v>
      </c>
      <c r="D1041" s="56" t="s">
        <v>1006</v>
      </c>
      <c r="E1041" s="20">
        <v>0</v>
      </c>
      <c r="F1041" s="20">
        <v>0</v>
      </c>
      <c r="G1041" s="20">
        <v>0</v>
      </c>
      <c r="H1041" s="20">
        <v>0</v>
      </c>
      <c r="I1041" s="50">
        <f t="shared" ref="I1041:I1104" si="7">SUM(E1041:H1041)</f>
        <v>0</v>
      </c>
      <c r="J1041" s="50"/>
      <c r="K1041" s="50"/>
      <c r="L1041" s="36">
        <v>2022</v>
      </c>
      <c r="M1041" s="20" t="s">
        <v>255</v>
      </c>
      <c r="N1041" s="22" t="s">
        <v>431</v>
      </c>
    </row>
    <row r="1042" spans="1:14" ht="24" customHeight="1" x14ac:dyDescent="0.35">
      <c r="A1042" s="56" t="s">
        <v>282</v>
      </c>
      <c r="B1042" s="50" t="s">
        <v>255</v>
      </c>
      <c r="C1042" s="56" t="s">
        <v>996</v>
      </c>
      <c r="D1042" s="56" t="s">
        <v>1004</v>
      </c>
      <c r="E1042" s="50">
        <v>0</v>
      </c>
      <c r="F1042" s="50">
        <v>0</v>
      </c>
      <c r="G1042" s="50">
        <v>0</v>
      </c>
      <c r="H1042" s="50">
        <v>0</v>
      </c>
      <c r="I1042" s="50">
        <f t="shared" si="7"/>
        <v>0</v>
      </c>
      <c r="J1042" s="50"/>
      <c r="K1042" s="50"/>
      <c r="L1042" s="36">
        <v>2022</v>
      </c>
      <c r="M1042" s="20" t="s">
        <v>255</v>
      </c>
      <c r="N1042" s="22" t="s">
        <v>431</v>
      </c>
    </row>
    <row r="1043" spans="1:14" ht="24" customHeight="1" x14ac:dyDescent="0.35">
      <c r="A1043" s="56" t="s">
        <v>282</v>
      </c>
      <c r="B1043" s="50" t="s">
        <v>255</v>
      </c>
      <c r="C1043" s="56" t="s">
        <v>996</v>
      </c>
      <c r="D1043" s="56" t="s">
        <v>1005</v>
      </c>
      <c r="E1043" s="50">
        <v>0</v>
      </c>
      <c r="F1043" s="50">
        <v>0</v>
      </c>
      <c r="G1043" s="50">
        <v>0</v>
      </c>
      <c r="H1043" s="50">
        <v>0</v>
      </c>
      <c r="I1043" s="50">
        <f t="shared" si="7"/>
        <v>0</v>
      </c>
      <c r="J1043" s="50"/>
      <c r="K1043" s="50"/>
      <c r="L1043" s="36">
        <v>2022</v>
      </c>
      <c r="M1043" s="20" t="s">
        <v>255</v>
      </c>
      <c r="N1043" s="22" t="s">
        <v>431</v>
      </c>
    </row>
    <row r="1044" spans="1:14" ht="24" customHeight="1" x14ac:dyDescent="0.35">
      <c r="A1044" s="56" t="s">
        <v>282</v>
      </c>
      <c r="B1044" s="50" t="s">
        <v>255</v>
      </c>
      <c r="C1044" s="56" t="s">
        <v>996</v>
      </c>
      <c r="D1044" s="56" t="s">
        <v>1006</v>
      </c>
      <c r="E1044" s="50">
        <v>0</v>
      </c>
      <c r="F1044" s="50">
        <v>0</v>
      </c>
      <c r="G1044" s="50">
        <v>0</v>
      </c>
      <c r="H1044" s="50">
        <v>0</v>
      </c>
      <c r="I1044" s="50">
        <f t="shared" si="7"/>
        <v>0</v>
      </c>
      <c r="J1044" s="50"/>
      <c r="K1044" s="50"/>
      <c r="L1044" s="36">
        <v>2022</v>
      </c>
      <c r="M1044" s="20" t="s">
        <v>255</v>
      </c>
      <c r="N1044" s="22" t="s">
        <v>431</v>
      </c>
    </row>
    <row r="1045" spans="1:14" ht="24" customHeight="1" x14ac:dyDescent="0.35">
      <c r="A1045" s="56" t="s">
        <v>282</v>
      </c>
      <c r="B1045" s="50" t="s">
        <v>255</v>
      </c>
      <c r="C1045" s="56" t="s">
        <v>993</v>
      </c>
      <c r="D1045" s="56" t="s">
        <v>1004</v>
      </c>
      <c r="E1045" s="50">
        <v>0</v>
      </c>
      <c r="F1045" s="50">
        <v>0</v>
      </c>
      <c r="G1045" s="50">
        <v>0</v>
      </c>
      <c r="H1045" s="50">
        <v>0</v>
      </c>
      <c r="I1045" s="50">
        <f t="shared" si="7"/>
        <v>0</v>
      </c>
      <c r="J1045" s="50"/>
      <c r="K1045" s="50"/>
      <c r="L1045" s="36">
        <v>2022</v>
      </c>
      <c r="M1045" s="20" t="s">
        <v>255</v>
      </c>
      <c r="N1045" s="22" t="s">
        <v>431</v>
      </c>
    </row>
    <row r="1046" spans="1:14" ht="24" customHeight="1" x14ac:dyDescent="0.35">
      <c r="A1046" s="56" t="s">
        <v>282</v>
      </c>
      <c r="B1046" s="50" t="s">
        <v>255</v>
      </c>
      <c r="C1046" s="56" t="s">
        <v>993</v>
      </c>
      <c r="D1046" s="56" t="s">
        <v>1005</v>
      </c>
      <c r="E1046" s="50">
        <v>0</v>
      </c>
      <c r="F1046" s="50">
        <v>0</v>
      </c>
      <c r="G1046" s="50">
        <v>0</v>
      </c>
      <c r="H1046" s="50">
        <v>0</v>
      </c>
      <c r="I1046" s="50">
        <f t="shared" si="7"/>
        <v>0</v>
      </c>
      <c r="J1046" s="50"/>
      <c r="K1046" s="50"/>
      <c r="L1046" s="36">
        <v>2022</v>
      </c>
      <c r="M1046" s="20" t="s">
        <v>255</v>
      </c>
      <c r="N1046" s="22" t="s">
        <v>431</v>
      </c>
    </row>
    <row r="1047" spans="1:14" ht="24" customHeight="1" x14ac:dyDescent="0.35">
      <c r="A1047" s="56" t="s">
        <v>282</v>
      </c>
      <c r="B1047" s="50" t="s">
        <v>255</v>
      </c>
      <c r="C1047" s="56" t="s">
        <v>993</v>
      </c>
      <c r="D1047" s="56" t="s">
        <v>1006</v>
      </c>
      <c r="E1047" s="50">
        <v>0</v>
      </c>
      <c r="F1047" s="50">
        <v>0</v>
      </c>
      <c r="G1047" s="50">
        <v>0</v>
      </c>
      <c r="H1047" s="50">
        <v>0</v>
      </c>
      <c r="I1047" s="50">
        <f t="shared" si="7"/>
        <v>0</v>
      </c>
      <c r="J1047" s="50"/>
      <c r="K1047" s="50"/>
      <c r="L1047" s="36">
        <v>2022</v>
      </c>
      <c r="M1047" s="20" t="s">
        <v>255</v>
      </c>
      <c r="N1047" s="22" t="s">
        <v>431</v>
      </c>
    </row>
    <row r="1048" spans="1:14" ht="24" customHeight="1" x14ac:dyDescent="0.35">
      <c r="A1048" s="32" t="s">
        <v>621</v>
      </c>
      <c r="B1048" s="50" t="s">
        <v>255</v>
      </c>
      <c r="C1048" s="32" t="s">
        <v>996</v>
      </c>
      <c r="D1048" s="32" t="s">
        <v>1004</v>
      </c>
      <c r="E1048" s="20">
        <v>0</v>
      </c>
      <c r="F1048" s="20"/>
      <c r="G1048" s="20">
        <v>0</v>
      </c>
      <c r="H1048" s="20"/>
      <c r="I1048" s="50">
        <f t="shared" si="7"/>
        <v>0</v>
      </c>
      <c r="J1048" s="50"/>
      <c r="K1048" s="50"/>
      <c r="L1048" s="36">
        <v>2022</v>
      </c>
      <c r="M1048" s="20" t="s">
        <v>255</v>
      </c>
      <c r="N1048" s="22" t="s">
        <v>431</v>
      </c>
    </row>
    <row r="1049" spans="1:14" ht="24" customHeight="1" x14ac:dyDescent="0.35">
      <c r="A1049" s="32" t="s">
        <v>621</v>
      </c>
      <c r="B1049" s="50" t="s">
        <v>255</v>
      </c>
      <c r="C1049" s="32" t="s">
        <v>996</v>
      </c>
      <c r="D1049" s="32" t="s">
        <v>1005</v>
      </c>
      <c r="E1049" s="20">
        <v>0</v>
      </c>
      <c r="F1049" s="20"/>
      <c r="G1049" s="20">
        <v>2</v>
      </c>
      <c r="H1049" s="20">
        <v>10</v>
      </c>
      <c r="I1049" s="50">
        <f t="shared" si="7"/>
        <v>12</v>
      </c>
      <c r="J1049" s="50"/>
      <c r="K1049" s="50"/>
      <c r="L1049" s="36">
        <v>2022</v>
      </c>
      <c r="M1049" s="20" t="s">
        <v>255</v>
      </c>
      <c r="N1049" s="22" t="s">
        <v>431</v>
      </c>
    </row>
    <row r="1050" spans="1:14" ht="24" customHeight="1" x14ac:dyDescent="0.35">
      <c r="A1050" s="32" t="s">
        <v>621</v>
      </c>
      <c r="B1050" s="50" t="s">
        <v>255</v>
      </c>
      <c r="C1050" s="32" t="s">
        <v>996</v>
      </c>
      <c r="D1050" s="32" t="s">
        <v>1006</v>
      </c>
      <c r="E1050" s="20">
        <v>0</v>
      </c>
      <c r="F1050" s="20"/>
      <c r="G1050" s="20">
        <v>17984</v>
      </c>
      <c r="H1050" s="20">
        <v>9458</v>
      </c>
      <c r="I1050" s="50">
        <f t="shared" si="7"/>
        <v>27442</v>
      </c>
      <c r="J1050" s="50"/>
      <c r="K1050" s="50"/>
      <c r="L1050" s="36">
        <v>2022</v>
      </c>
      <c r="M1050" s="20" t="s">
        <v>255</v>
      </c>
      <c r="N1050" s="22" t="s">
        <v>431</v>
      </c>
    </row>
    <row r="1051" spans="1:14" ht="24" customHeight="1" x14ac:dyDescent="0.35">
      <c r="A1051" s="32" t="s">
        <v>621</v>
      </c>
      <c r="B1051" s="50" t="s">
        <v>255</v>
      </c>
      <c r="C1051" s="32" t="s">
        <v>993</v>
      </c>
      <c r="D1051" s="32" t="s">
        <v>1004</v>
      </c>
      <c r="E1051" s="20">
        <v>0</v>
      </c>
      <c r="F1051" s="20"/>
      <c r="G1051" s="20"/>
      <c r="H1051" s="20"/>
      <c r="I1051" s="50">
        <f t="shared" si="7"/>
        <v>0</v>
      </c>
      <c r="J1051" s="50"/>
      <c r="K1051" s="50"/>
      <c r="L1051" s="36">
        <v>2022</v>
      </c>
      <c r="M1051" s="20" t="s">
        <v>255</v>
      </c>
      <c r="N1051" s="22" t="s">
        <v>431</v>
      </c>
    </row>
    <row r="1052" spans="1:14" ht="24" customHeight="1" x14ac:dyDescent="0.35">
      <c r="A1052" s="32" t="s">
        <v>621</v>
      </c>
      <c r="B1052" s="50" t="s">
        <v>255</v>
      </c>
      <c r="C1052" s="32" t="s">
        <v>993</v>
      </c>
      <c r="D1052" s="32" t="s">
        <v>1005</v>
      </c>
      <c r="E1052" s="20">
        <v>2</v>
      </c>
      <c r="F1052" s="20"/>
      <c r="G1052" s="20"/>
      <c r="H1052" s="20"/>
      <c r="I1052" s="50">
        <f>SUM(E1052:H1052)</f>
        <v>2</v>
      </c>
      <c r="J1052" s="50"/>
      <c r="K1052" s="50"/>
      <c r="L1052" s="36">
        <v>2022</v>
      </c>
      <c r="M1052" s="20" t="s">
        <v>255</v>
      </c>
      <c r="N1052" s="22" t="s">
        <v>431</v>
      </c>
    </row>
    <row r="1053" spans="1:14" ht="24" customHeight="1" x14ac:dyDescent="0.35">
      <c r="A1053" s="32" t="s">
        <v>621</v>
      </c>
      <c r="B1053" s="50" t="s">
        <v>255</v>
      </c>
      <c r="C1053" s="32" t="s">
        <v>993</v>
      </c>
      <c r="D1053" s="32" t="s">
        <v>1006</v>
      </c>
      <c r="E1053" s="20">
        <v>7200</v>
      </c>
      <c r="F1053" s="20"/>
      <c r="G1053" s="20"/>
      <c r="H1053" s="20"/>
      <c r="I1053" s="50">
        <f t="shared" si="7"/>
        <v>7200</v>
      </c>
      <c r="J1053" s="50"/>
      <c r="K1053" s="50"/>
      <c r="L1053" s="36">
        <v>2022</v>
      </c>
      <c r="M1053" s="20" t="s">
        <v>255</v>
      </c>
      <c r="N1053" s="22" t="s">
        <v>431</v>
      </c>
    </row>
    <row r="1054" spans="1:14" ht="24" customHeight="1" x14ac:dyDescent="0.35">
      <c r="A1054" s="20" t="s">
        <v>38</v>
      </c>
      <c r="B1054" s="50" t="s">
        <v>41</v>
      </c>
      <c r="C1054" s="50" t="s">
        <v>996</v>
      </c>
      <c r="D1054" s="20" t="s">
        <v>1004</v>
      </c>
      <c r="E1054" s="20">
        <v>1</v>
      </c>
      <c r="F1054" s="20">
        <v>2</v>
      </c>
      <c r="G1054" s="20">
        <v>0</v>
      </c>
      <c r="H1054" s="20">
        <v>0</v>
      </c>
      <c r="I1054" s="50">
        <f t="shared" si="7"/>
        <v>3</v>
      </c>
      <c r="J1054" s="50"/>
      <c r="K1054" s="50"/>
      <c r="L1054" s="36">
        <v>2022</v>
      </c>
      <c r="M1054" s="20" t="s">
        <v>87</v>
      </c>
      <c r="N1054" s="22" t="s">
        <v>610</v>
      </c>
    </row>
    <row r="1055" spans="1:14" ht="24" customHeight="1" x14ac:dyDescent="0.35">
      <c r="A1055" s="20" t="s">
        <v>38</v>
      </c>
      <c r="B1055" s="50" t="s">
        <v>41</v>
      </c>
      <c r="C1055" s="50" t="s">
        <v>996</v>
      </c>
      <c r="D1055" s="20" t="s">
        <v>1005</v>
      </c>
      <c r="E1055" s="20">
        <v>0</v>
      </c>
      <c r="F1055" s="20">
        <v>3</v>
      </c>
      <c r="G1055" s="20">
        <v>2</v>
      </c>
      <c r="H1055" s="20">
        <v>2</v>
      </c>
      <c r="I1055" s="50">
        <f t="shared" si="7"/>
        <v>7</v>
      </c>
      <c r="J1055" s="50"/>
      <c r="K1055" s="50"/>
      <c r="L1055" s="36">
        <v>2022</v>
      </c>
      <c r="M1055" s="20" t="s">
        <v>87</v>
      </c>
      <c r="N1055" s="22" t="s">
        <v>610</v>
      </c>
    </row>
    <row r="1056" spans="1:14" ht="24" customHeight="1" x14ac:dyDescent="0.35">
      <c r="A1056" s="20" t="s">
        <v>38</v>
      </c>
      <c r="B1056" s="50" t="s">
        <v>41</v>
      </c>
      <c r="C1056" s="50" t="s">
        <v>996</v>
      </c>
      <c r="D1056" s="20" t="s">
        <v>1006</v>
      </c>
      <c r="E1056" s="20">
        <v>107607</v>
      </c>
      <c r="F1056" s="20">
        <v>52302</v>
      </c>
      <c r="G1056" s="20">
        <v>9734</v>
      </c>
      <c r="H1056" s="20">
        <v>7590</v>
      </c>
      <c r="I1056" s="50">
        <f t="shared" si="7"/>
        <v>177233</v>
      </c>
      <c r="J1056" s="50"/>
      <c r="K1056" s="50"/>
      <c r="L1056" s="36">
        <v>2022</v>
      </c>
      <c r="M1056" s="20" t="s">
        <v>87</v>
      </c>
      <c r="N1056" s="22" t="s">
        <v>610</v>
      </c>
    </row>
    <row r="1057" spans="1:14" ht="24" customHeight="1" x14ac:dyDescent="0.35">
      <c r="A1057" s="20" t="s">
        <v>38</v>
      </c>
      <c r="B1057" s="50" t="s">
        <v>41</v>
      </c>
      <c r="C1057" s="50" t="s">
        <v>993</v>
      </c>
      <c r="D1057" s="20" t="s">
        <v>1004</v>
      </c>
      <c r="E1057" s="20">
        <v>0</v>
      </c>
      <c r="F1057" s="20">
        <v>0</v>
      </c>
      <c r="G1057" s="20">
        <v>0</v>
      </c>
      <c r="H1057" s="20">
        <v>0</v>
      </c>
      <c r="I1057" s="50">
        <f t="shared" si="7"/>
        <v>0</v>
      </c>
      <c r="J1057" s="50"/>
      <c r="K1057" s="50"/>
      <c r="L1057" s="36">
        <v>2022</v>
      </c>
      <c r="M1057" s="20" t="s">
        <v>87</v>
      </c>
      <c r="N1057" s="22" t="s">
        <v>610</v>
      </c>
    </row>
    <row r="1058" spans="1:14" ht="24" customHeight="1" x14ac:dyDescent="0.35">
      <c r="A1058" s="20" t="s">
        <v>38</v>
      </c>
      <c r="B1058" s="50" t="s">
        <v>41</v>
      </c>
      <c r="C1058" s="50" t="s">
        <v>993</v>
      </c>
      <c r="D1058" s="20" t="s">
        <v>1005</v>
      </c>
      <c r="E1058" s="20">
        <v>0</v>
      </c>
      <c r="F1058" s="20">
        <v>0</v>
      </c>
      <c r="G1058" s="20">
        <v>0</v>
      </c>
      <c r="H1058" s="20">
        <v>0</v>
      </c>
      <c r="I1058" s="50">
        <f t="shared" si="7"/>
        <v>0</v>
      </c>
      <c r="J1058" s="50"/>
      <c r="K1058" s="50"/>
      <c r="L1058" s="36">
        <v>2022</v>
      </c>
      <c r="M1058" s="20" t="s">
        <v>87</v>
      </c>
      <c r="N1058" s="22" t="s">
        <v>610</v>
      </c>
    </row>
    <row r="1059" spans="1:14" ht="24" customHeight="1" x14ac:dyDescent="0.35">
      <c r="A1059" s="20" t="s">
        <v>38</v>
      </c>
      <c r="B1059" s="50" t="s">
        <v>41</v>
      </c>
      <c r="C1059" s="50" t="s">
        <v>993</v>
      </c>
      <c r="D1059" s="20" t="s">
        <v>1006</v>
      </c>
      <c r="E1059" s="20">
        <v>0</v>
      </c>
      <c r="F1059" s="20">
        <v>0</v>
      </c>
      <c r="G1059" s="20">
        <v>0</v>
      </c>
      <c r="H1059" s="20">
        <v>0</v>
      </c>
      <c r="I1059" s="50">
        <f t="shared" si="7"/>
        <v>0</v>
      </c>
      <c r="J1059" s="50"/>
      <c r="K1059" s="50"/>
      <c r="L1059" s="36">
        <v>2022</v>
      </c>
      <c r="M1059" s="20" t="s">
        <v>87</v>
      </c>
      <c r="N1059" s="22" t="s">
        <v>610</v>
      </c>
    </row>
    <row r="1060" spans="1:14" ht="24" customHeight="1" x14ac:dyDescent="0.35">
      <c r="A1060" s="20" t="s">
        <v>151</v>
      </c>
      <c r="B1060" s="50" t="s">
        <v>46</v>
      </c>
      <c r="C1060" s="50" t="s">
        <v>996</v>
      </c>
      <c r="D1060" s="20" t="s">
        <v>1004</v>
      </c>
      <c r="E1060" s="20">
        <v>0</v>
      </c>
      <c r="F1060" s="20">
        <v>0</v>
      </c>
      <c r="G1060" s="20">
        <v>0</v>
      </c>
      <c r="H1060" s="20">
        <v>2</v>
      </c>
      <c r="I1060" s="50">
        <f t="shared" si="7"/>
        <v>2</v>
      </c>
      <c r="J1060" s="50"/>
      <c r="K1060" s="50"/>
      <c r="L1060" s="36">
        <v>2022</v>
      </c>
      <c r="M1060" s="20" t="s">
        <v>46</v>
      </c>
      <c r="N1060" s="22" t="s">
        <v>424</v>
      </c>
    </row>
    <row r="1061" spans="1:14" ht="24" customHeight="1" x14ac:dyDescent="0.35">
      <c r="A1061" s="20" t="s">
        <v>151</v>
      </c>
      <c r="B1061" s="50" t="s">
        <v>46</v>
      </c>
      <c r="C1061" s="50" t="s">
        <v>996</v>
      </c>
      <c r="D1061" s="20" t="s">
        <v>1005</v>
      </c>
      <c r="E1061" s="20">
        <v>0</v>
      </c>
      <c r="F1061" s="20">
        <v>0</v>
      </c>
      <c r="G1061" s="20">
        <v>0</v>
      </c>
      <c r="H1061" s="20">
        <v>69</v>
      </c>
      <c r="I1061" s="50">
        <f t="shared" si="7"/>
        <v>69</v>
      </c>
      <c r="J1061" s="50"/>
      <c r="K1061" s="50"/>
      <c r="L1061" s="36">
        <v>2022</v>
      </c>
      <c r="M1061" s="20" t="s">
        <v>46</v>
      </c>
      <c r="N1061" s="22" t="s">
        <v>424</v>
      </c>
    </row>
    <row r="1062" spans="1:14" ht="24" customHeight="1" x14ac:dyDescent="0.35">
      <c r="A1062" s="20" t="s">
        <v>151</v>
      </c>
      <c r="B1062" s="50" t="s">
        <v>46</v>
      </c>
      <c r="C1062" s="50" t="s">
        <v>996</v>
      </c>
      <c r="D1062" s="20" t="s">
        <v>1006</v>
      </c>
      <c r="E1062" s="20">
        <v>0</v>
      </c>
      <c r="F1062" s="20">
        <v>0</v>
      </c>
      <c r="G1062" s="20">
        <v>0</v>
      </c>
      <c r="H1062" s="20">
        <v>132571</v>
      </c>
      <c r="I1062" s="50">
        <f t="shared" si="7"/>
        <v>132571</v>
      </c>
      <c r="J1062" s="50"/>
      <c r="K1062" s="50"/>
      <c r="L1062" s="36">
        <v>2022</v>
      </c>
      <c r="M1062" s="20" t="s">
        <v>46</v>
      </c>
      <c r="N1062" s="22" t="s">
        <v>424</v>
      </c>
    </row>
    <row r="1063" spans="1:14" ht="24" customHeight="1" x14ac:dyDescent="0.35">
      <c r="A1063" s="20" t="s">
        <v>151</v>
      </c>
      <c r="B1063" s="50" t="s">
        <v>46</v>
      </c>
      <c r="C1063" s="50" t="s">
        <v>993</v>
      </c>
      <c r="D1063" s="20" t="s">
        <v>1004</v>
      </c>
      <c r="E1063" s="20">
        <v>0</v>
      </c>
      <c r="F1063" s="20">
        <v>0</v>
      </c>
      <c r="G1063" s="20">
        <v>0</v>
      </c>
      <c r="H1063" s="20">
        <v>0</v>
      </c>
      <c r="I1063" s="50">
        <f t="shared" si="7"/>
        <v>0</v>
      </c>
      <c r="J1063" s="50"/>
      <c r="K1063" s="50"/>
      <c r="L1063" s="36">
        <v>2022</v>
      </c>
      <c r="M1063" s="20" t="s">
        <v>46</v>
      </c>
      <c r="N1063" s="22" t="s">
        <v>424</v>
      </c>
    </row>
    <row r="1064" spans="1:14" ht="24" customHeight="1" x14ac:dyDescent="0.35">
      <c r="A1064" s="20" t="s">
        <v>151</v>
      </c>
      <c r="B1064" s="50" t="s">
        <v>46</v>
      </c>
      <c r="C1064" s="50" t="s">
        <v>993</v>
      </c>
      <c r="D1064" s="20" t="s">
        <v>1005</v>
      </c>
      <c r="E1064" s="20">
        <v>11</v>
      </c>
      <c r="F1064" s="20">
        <v>0</v>
      </c>
      <c r="G1064" s="20">
        <v>0</v>
      </c>
      <c r="H1064" s="20">
        <v>0</v>
      </c>
      <c r="I1064" s="50">
        <f t="shared" si="7"/>
        <v>11</v>
      </c>
      <c r="J1064" s="50"/>
      <c r="K1064" s="50"/>
      <c r="L1064" s="36">
        <v>2022</v>
      </c>
      <c r="M1064" s="20" t="s">
        <v>46</v>
      </c>
      <c r="N1064" s="22" t="s">
        <v>424</v>
      </c>
    </row>
    <row r="1065" spans="1:14" ht="24" customHeight="1" x14ac:dyDescent="0.35">
      <c r="A1065" s="20" t="s">
        <v>151</v>
      </c>
      <c r="B1065" s="50" t="s">
        <v>46</v>
      </c>
      <c r="C1065" s="50" t="s">
        <v>993</v>
      </c>
      <c r="D1065" s="20" t="s">
        <v>1006</v>
      </c>
      <c r="E1065" s="20">
        <v>74969</v>
      </c>
      <c r="F1065" s="20">
        <v>0</v>
      </c>
      <c r="G1065" s="20">
        <v>0</v>
      </c>
      <c r="H1065" s="20">
        <v>0</v>
      </c>
      <c r="I1065" s="50">
        <f t="shared" si="7"/>
        <v>74969</v>
      </c>
      <c r="J1065" s="50"/>
      <c r="K1065" s="50"/>
      <c r="L1065" s="36">
        <v>2022</v>
      </c>
      <c r="M1065" s="20" t="s">
        <v>46</v>
      </c>
      <c r="N1065" s="22" t="s">
        <v>424</v>
      </c>
    </row>
    <row r="1066" spans="1:14" ht="24" customHeight="1" x14ac:dyDescent="0.35">
      <c r="A1066" s="20" t="s">
        <v>292</v>
      </c>
      <c r="B1066" s="50" t="s">
        <v>255</v>
      </c>
      <c r="C1066" s="50" t="s">
        <v>996</v>
      </c>
      <c r="D1066" s="20" t="s">
        <v>1004</v>
      </c>
      <c r="E1066" s="20">
        <v>3</v>
      </c>
      <c r="F1066" s="20"/>
      <c r="G1066" s="20">
        <v>1</v>
      </c>
      <c r="H1066" s="20">
        <v>2</v>
      </c>
      <c r="I1066" s="50">
        <f t="shared" si="7"/>
        <v>6</v>
      </c>
      <c r="J1066" s="50"/>
      <c r="K1066" s="50"/>
      <c r="L1066" s="36">
        <v>2022</v>
      </c>
      <c r="M1066" s="20" t="s">
        <v>255</v>
      </c>
      <c r="N1066" s="22" t="s">
        <v>431</v>
      </c>
    </row>
    <row r="1067" spans="1:14" ht="24" customHeight="1" x14ac:dyDescent="0.35">
      <c r="A1067" s="20" t="s">
        <v>292</v>
      </c>
      <c r="B1067" s="50" t="s">
        <v>255</v>
      </c>
      <c r="C1067" s="50" t="s">
        <v>996</v>
      </c>
      <c r="D1067" s="20" t="s">
        <v>1005</v>
      </c>
      <c r="E1067" s="20">
        <v>5</v>
      </c>
      <c r="F1067" s="20"/>
      <c r="G1067" s="20">
        <v>3</v>
      </c>
      <c r="H1067" s="20">
        <v>31</v>
      </c>
      <c r="I1067" s="50">
        <f t="shared" si="7"/>
        <v>39</v>
      </c>
      <c r="J1067" s="50"/>
      <c r="K1067" s="50"/>
      <c r="L1067" s="36">
        <v>2022</v>
      </c>
      <c r="M1067" s="20" t="s">
        <v>255</v>
      </c>
      <c r="N1067" s="22" t="s">
        <v>431</v>
      </c>
    </row>
    <row r="1068" spans="1:14" ht="24" customHeight="1" x14ac:dyDescent="0.35">
      <c r="A1068" s="20" t="s">
        <v>292</v>
      </c>
      <c r="B1068" s="50" t="s">
        <v>255</v>
      </c>
      <c r="C1068" s="50" t="s">
        <v>996</v>
      </c>
      <c r="D1068" s="20" t="s">
        <v>1006</v>
      </c>
      <c r="E1068" s="20">
        <v>245362</v>
      </c>
      <c r="F1068" s="20"/>
      <c r="G1068" s="20">
        <v>42217</v>
      </c>
      <c r="H1068" s="20">
        <v>149055</v>
      </c>
      <c r="I1068" s="50">
        <f t="shared" si="7"/>
        <v>436634</v>
      </c>
      <c r="J1068" s="50"/>
      <c r="K1068" s="50"/>
      <c r="L1068" s="36">
        <v>2022</v>
      </c>
      <c r="M1068" s="20" t="s">
        <v>255</v>
      </c>
      <c r="N1068" s="22" t="s">
        <v>431</v>
      </c>
    </row>
    <row r="1069" spans="1:14" ht="24" customHeight="1" x14ac:dyDescent="0.35">
      <c r="A1069" s="20" t="s">
        <v>292</v>
      </c>
      <c r="B1069" s="50" t="s">
        <v>255</v>
      </c>
      <c r="C1069" s="50" t="s">
        <v>993</v>
      </c>
      <c r="D1069" s="20" t="s">
        <v>1004</v>
      </c>
      <c r="E1069" s="20">
        <v>0</v>
      </c>
      <c r="F1069" s="20"/>
      <c r="G1069" s="20">
        <v>0</v>
      </c>
      <c r="H1069" s="20"/>
      <c r="I1069" s="50">
        <f t="shared" si="7"/>
        <v>0</v>
      </c>
      <c r="J1069" s="50"/>
      <c r="K1069" s="50"/>
      <c r="L1069" s="36">
        <v>2022</v>
      </c>
      <c r="M1069" s="20" t="s">
        <v>255</v>
      </c>
      <c r="N1069" s="22" t="s">
        <v>431</v>
      </c>
    </row>
    <row r="1070" spans="1:14" ht="24" customHeight="1" x14ac:dyDescent="0.35">
      <c r="A1070" s="20" t="s">
        <v>292</v>
      </c>
      <c r="B1070" s="50" t="s">
        <v>255</v>
      </c>
      <c r="C1070" s="50" t="s">
        <v>993</v>
      </c>
      <c r="D1070" s="20" t="s">
        <v>1005</v>
      </c>
      <c r="E1070" s="20">
        <v>6</v>
      </c>
      <c r="F1070" s="20"/>
      <c r="G1070" s="20">
        <v>0</v>
      </c>
      <c r="H1070" s="20"/>
      <c r="I1070" s="50">
        <f t="shared" si="7"/>
        <v>6</v>
      </c>
      <c r="J1070" s="50"/>
      <c r="K1070" s="50"/>
      <c r="L1070" s="36">
        <v>2022</v>
      </c>
      <c r="M1070" s="20" t="s">
        <v>255</v>
      </c>
      <c r="N1070" s="22" t="s">
        <v>431</v>
      </c>
    </row>
    <row r="1071" spans="1:14" ht="24" customHeight="1" x14ac:dyDescent="0.35">
      <c r="A1071" s="20" t="s">
        <v>292</v>
      </c>
      <c r="B1071" s="50" t="s">
        <v>255</v>
      </c>
      <c r="C1071" s="50" t="s">
        <v>993</v>
      </c>
      <c r="D1071" s="20" t="s">
        <v>1006</v>
      </c>
      <c r="E1071" s="20">
        <v>371043</v>
      </c>
      <c r="F1071" s="20"/>
      <c r="G1071" s="20">
        <v>0</v>
      </c>
      <c r="H1071" s="20"/>
      <c r="I1071" s="50">
        <f t="shared" si="7"/>
        <v>371043</v>
      </c>
      <c r="J1071" s="50"/>
      <c r="K1071" s="50"/>
      <c r="L1071" s="36">
        <v>2022</v>
      </c>
      <c r="M1071" s="20" t="s">
        <v>255</v>
      </c>
      <c r="N1071" s="22" t="s">
        <v>431</v>
      </c>
    </row>
    <row r="1072" spans="1:14" ht="24" customHeight="1" x14ac:dyDescent="0.35">
      <c r="A1072" s="56" t="s">
        <v>607</v>
      </c>
      <c r="B1072" s="50" t="s">
        <v>255</v>
      </c>
      <c r="C1072" s="50" t="s">
        <v>996</v>
      </c>
      <c r="D1072" s="20" t="s">
        <v>1004</v>
      </c>
      <c r="E1072" s="50">
        <v>0</v>
      </c>
      <c r="F1072" s="50">
        <v>0</v>
      </c>
      <c r="G1072" s="50">
        <v>0</v>
      </c>
      <c r="H1072" s="50">
        <v>0</v>
      </c>
      <c r="I1072" s="50">
        <f t="shared" si="7"/>
        <v>0</v>
      </c>
      <c r="J1072" s="50"/>
      <c r="K1072" s="50"/>
      <c r="L1072" s="36">
        <v>2022</v>
      </c>
      <c r="M1072" s="20" t="s">
        <v>255</v>
      </c>
      <c r="N1072" s="22" t="s">
        <v>610</v>
      </c>
    </row>
    <row r="1073" spans="1:14" ht="24" customHeight="1" x14ac:dyDescent="0.35">
      <c r="A1073" s="56" t="s">
        <v>607</v>
      </c>
      <c r="B1073" s="50" t="s">
        <v>255</v>
      </c>
      <c r="C1073" s="50" t="s">
        <v>996</v>
      </c>
      <c r="D1073" s="20" t="s">
        <v>1005</v>
      </c>
      <c r="E1073" s="50">
        <v>0</v>
      </c>
      <c r="F1073" s="50">
        <v>0</v>
      </c>
      <c r="G1073" s="50">
        <v>0</v>
      </c>
      <c r="H1073" s="50">
        <v>0</v>
      </c>
      <c r="I1073" s="50">
        <f t="shared" si="7"/>
        <v>0</v>
      </c>
      <c r="J1073" s="50"/>
      <c r="K1073" s="50"/>
      <c r="L1073" s="36">
        <v>2022</v>
      </c>
      <c r="M1073" s="20" t="s">
        <v>255</v>
      </c>
      <c r="N1073" s="22" t="s">
        <v>610</v>
      </c>
    </row>
    <row r="1074" spans="1:14" ht="24" customHeight="1" x14ac:dyDescent="0.35">
      <c r="A1074" s="56" t="s">
        <v>607</v>
      </c>
      <c r="B1074" s="50" t="s">
        <v>255</v>
      </c>
      <c r="C1074" s="50" t="s">
        <v>996</v>
      </c>
      <c r="D1074" s="20" t="s">
        <v>1006</v>
      </c>
      <c r="E1074" s="50">
        <v>0</v>
      </c>
      <c r="F1074" s="50">
        <v>0</v>
      </c>
      <c r="G1074" s="50">
        <v>0</v>
      </c>
      <c r="H1074" s="50">
        <v>0</v>
      </c>
      <c r="I1074" s="50">
        <f t="shared" si="7"/>
        <v>0</v>
      </c>
      <c r="J1074" s="50"/>
      <c r="K1074" s="50"/>
      <c r="L1074" s="36">
        <v>2022</v>
      </c>
      <c r="M1074" s="20" t="s">
        <v>255</v>
      </c>
      <c r="N1074" s="22" t="s">
        <v>610</v>
      </c>
    </row>
    <row r="1075" spans="1:14" ht="24" customHeight="1" x14ac:dyDescent="0.35">
      <c r="A1075" s="56" t="s">
        <v>607</v>
      </c>
      <c r="B1075" s="50" t="s">
        <v>255</v>
      </c>
      <c r="C1075" s="50" t="s">
        <v>993</v>
      </c>
      <c r="D1075" s="20" t="s">
        <v>1004</v>
      </c>
      <c r="E1075" s="50">
        <v>0</v>
      </c>
      <c r="F1075" s="50">
        <v>0</v>
      </c>
      <c r="G1075" s="50">
        <v>0</v>
      </c>
      <c r="H1075" s="50">
        <v>0</v>
      </c>
      <c r="I1075" s="50">
        <f t="shared" si="7"/>
        <v>0</v>
      </c>
      <c r="J1075" s="50"/>
      <c r="K1075" s="50"/>
      <c r="L1075" s="36">
        <v>2022</v>
      </c>
      <c r="M1075" s="20" t="s">
        <v>255</v>
      </c>
      <c r="N1075" s="22" t="s">
        <v>610</v>
      </c>
    </row>
    <row r="1076" spans="1:14" ht="24" customHeight="1" x14ac:dyDescent="0.35">
      <c r="A1076" s="56" t="s">
        <v>607</v>
      </c>
      <c r="B1076" s="50" t="s">
        <v>255</v>
      </c>
      <c r="C1076" s="50" t="s">
        <v>993</v>
      </c>
      <c r="D1076" s="20" t="s">
        <v>1005</v>
      </c>
      <c r="E1076" s="50">
        <v>0</v>
      </c>
      <c r="F1076" s="50">
        <v>0</v>
      </c>
      <c r="G1076" s="50">
        <v>0</v>
      </c>
      <c r="H1076" s="50">
        <v>0</v>
      </c>
      <c r="I1076" s="50">
        <f t="shared" si="7"/>
        <v>0</v>
      </c>
      <c r="J1076" s="50"/>
      <c r="K1076" s="50"/>
      <c r="L1076" s="36">
        <v>2022</v>
      </c>
      <c r="M1076" s="20" t="s">
        <v>255</v>
      </c>
      <c r="N1076" s="22" t="s">
        <v>610</v>
      </c>
    </row>
    <row r="1077" spans="1:14" ht="24" customHeight="1" x14ac:dyDescent="0.35">
      <c r="A1077" s="56" t="s">
        <v>607</v>
      </c>
      <c r="B1077" s="50" t="s">
        <v>255</v>
      </c>
      <c r="C1077" s="50" t="s">
        <v>993</v>
      </c>
      <c r="D1077" s="20" t="s">
        <v>1006</v>
      </c>
      <c r="E1077" s="50">
        <v>0</v>
      </c>
      <c r="F1077" s="50">
        <v>0</v>
      </c>
      <c r="G1077" s="50">
        <v>0</v>
      </c>
      <c r="H1077" s="50">
        <v>0</v>
      </c>
      <c r="I1077" s="50">
        <f t="shared" si="7"/>
        <v>0</v>
      </c>
      <c r="J1077" s="50"/>
      <c r="K1077" s="50"/>
      <c r="L1077" s="36">
        <v>2022</v>
      </c>
      <c r="M1077" s="20" t="s">
        <v>255</v>
      </c>
      <c r="N1077" s="22" t="s">
        <v>610</v>
      </c>
    </row>
    <row r="1078" spans="1:14" ht="24" customHeight="1" x14ac:dyDescent="0.35">
      <c r="A1078" s="20" t="s">
        <v>459</v>
      </c>
      <c r="B1078" s="50" t="s">
        <v>255</v>
      </c>
      <c r="C1078" s="50" t="s">
        <v>996</v>
      </c>
      <c r="D1078" s="20" t="s">
        <v>1004</v>
      </c>
      <c r="E1078" s="20">
        <v>0</v>
      </c>
      <c r="F1078" s="20">
        <v>0</v>
      </c>
      <c r="G1078" s="20">
        <v>0</v>
      </c>
      <c r="H1078" s="20">
        <v>0</v>
      </c>
      <c r="I1078" s="50">
        <f t="shared" si="7"/>
        <v>0</v>
      </c>
      <c r="J1078" s="50"/>
      <c r="K1078" s="50"/>
      <c r="L1078" s="36">
        <v>2022</v>
      </c>
      <c r="M1078" s="20" t="s">
        <v>255</v>
      </c>
      <c r="N1078" s="22" t="s">
        <v>441</v>
      </c>
    </row>
    <row r="1079" spans="1:14" ht="24" customHeight="1" x14ac:dyDescent="0.35">
      <c r="A1079" s="20" t="s">
        <v>459</v>
      </c>
      <c r="B1079" s="50" t="s">
        <v>255</v>
      </c>
      <c r="C1079" s="50" t="s">
        <v>996</v>
      </c>
      <c r="D1079" s="20" t="s">
        <v>1005</v>
      </c>
      <c r="E1079" s="20">
        <v>1</v>
      </c>
      <c r="F1079" s="20">
        <v>0</v>
      </c>
      <c r="G1079" s="20">
        <v>0</v>
      </c>
      <c r="H1079" s="20">
        <v>0</v>
      </c>
      <c r="I1079" s="50">
        <f t="shared" si="7"/>
        <v>1</v>
      </c>
      <c r="J1079" s="50"/>
      <c r="K1079" s="50"/>
      <c r="L1079" s="36">
        <v>2022</v>
      </c>
      <c r="M1079" s="20" t="s">
        <v>255</v>
      </c>
      <c r="N1079" s="22" t="s">
        <v>441</v>
      </c>
    </row>
    <row r="1080" spans="1:14" ht="24" customHeight="1" x14ac:dyDescent="0.35">
      <c r="A1080" s="20" t="s">
        <v>459</v>
      </c>
      <c r="B1080" s="50" t="s">
        <v>255</v>
      </c>
      <c r="C1080" s="50" t="s">
        <v>996</v>
      </c>
      <c r="D1080" s="20" t="s">
        <v>1006</v>
      </c>
      <c r="E1080" s="20">
        <v>6000</v>
      </c>
      <c r="F1080" s="20">
        <v>0</v>
      </c>
      <c r="G1080" s="20">
        <v>0</v>
      </c>
      <c r="H1080" s="20">
        <v>0</v>
      </c>
      <c r="I1080" s="50">
        <f t="shared" si="7"/>
        <v>6000</v>
      </c>
      <c r="J1080" s="50"/>
      <c r="K1080" s="50"/>
      <c r="L1080" s="36">
        <v>2022</v>
      </c>
      <c r="M1080" s="20" t="s">
        <v>255</v>
      </c>
      <c r="N1080" s="22" t="s">
        <v>441</v>
      </c>
    </row>
    <row r="1081" spans="1:14" ht="24" customHeight="1" x14ac:dyDescent="0.35">
      <c r="A1081" s="20" t="s">
        <v>459</v>
      </c>
      <c r="B1081" s="50" t="s">
        <v>255</v>
      </c>
      <c r="C1081" s="50" t="s">
        <v>993</v>
      </c>
      <c r="D1081" s="20" t="s">
        <v>1004</v>
      </c>
      <c r="E1081" s="20">
        <v>0</v>
      </c>
      <c r="F1081" s="20">
        <v>0</v>
      </c>
      <c r="G1081" s="20">
        <v>0</v>
      </c>
      <c r="H1081" s="20">
        <v>0</v>
      </c>
      <c r="I1081" s="50">
        <f t="shared" si="7"/>
        <v>0</v>
      </c>
      <c r="J1081" s="50"/>
      <c r="K1081" s="50"/>
      <c r="L1081" s="36">
        <v>2022</v>
      </c>
      <c r="M1081" s="20" t="s">
        <v>255</v>
      </c>
      <c r="N1081" s="22" t="s">
        <v>441</v>
      </c>
    </row>
    <row r="1082" spans="1:14" ht="24" customHeight="1" x14ac:dyDescent="0.35">
      <c r="A1082" s="20" t="s">
        <v>459</v>
      </c>
      <c r="B1082" s="50" t="s">
        <v>255</v>
      </c>
      <c r="C1082" s="50" t="s">
        <v>993</v>
      </c>
      <c r="D1082" s="20" t="s">
        <v>1005</v>
      </c>
      <c r="E1082" s="20">
        <v>0</v>
      </c>
      <c r="F1082" s="20">
        <v>0</v>
      </c>
      <c r="G1082" s="20">
        <v>0</v>
      </c>
      <c r="H1082" s="20">
        <v>0</v>
      </c>
      <c r="I1082" s="50">
        <f t="shared" si="7"/>
        <v>0</v>
      </c>
      <c r="J1082" s="50"/>
      <c r="K1082" s="50"/>
      <c r="L1082" s="36">
        <v>2022</v>
      </c>
      <c r="M1082" s="20" t="s">
        <v>255</v>
      </c>
      <c r="N1082" s="22" t="s">
        <v>441</v>
      </c>
    </row>
    <row r="1083" spans="1:14" ht="24" customHeight="1" x14ac:dyDescent="0.35">
      <c r="A1083" s="20" t="s">
        <v>459</v>
      </c>
      <c r="B1083" s="50" t="s">
        <v>255</v>
      </c>
      <c r="C1083" s="50" t="s">
        <v>993</v>
      </c>
      <c r="D1083" s="20" t="s">
        <v>1006</v>
      </c>
      <c r="E1083" s="20">
        <v>0</v>
      </c>
      <c r="F1083" s="20">
        <v>0</v>
      </c>
      <c r="G1083" s="20">
        <v>0</v>
      </c>
      <c r="H1083" s="20">
        <v>0</v>
      </c>
      <c r="I1083" s="50">
        <f t="shared" si="7"/>
        <v>0</v>
      </c>
      <c r="J1083" s="50"/>
      <c r="K1083" s="50"/>
      <c r="L1083" s="36">
        <v>2022</v>
      </c>
      <c r="M1083" s="20" t="s">
        <v>255</v>
      </c>
      <c r="N1083" s="22" t="s">
        <v>441</v>
      </c>
    </row>
    <row r="1084" spans="1:14" ht="24" customHeight="1" x14ac:dyDescent="0.35">
      <c r="A1084" s="20" t="s">
        <v>625</v>
      </c>
      <c r="B1084" s="50" t="s">
        <v>255</v>
      </c>
      <c r="C1084" s="20" t="s">
        <v>996</v>
      </c>
      <c r="D1084" s="20" t="s">
        <v>1004</v>
      </c>
      <c r="E1084" s="20">
        <v>0</v>
      </c>
      <c r="F1084" s="20">
        <v>0</v>
      </c>
      <c r="G1084" s="20">
        <v>0</v>
      </c>
      <c r="H1084" s="20">
        <v>0</v>
      </c>
      <c r="I1084" s="50">
        <f t="shared" si="7"/>
        <v>0</v>
      </c>
      <c r="J1084" s="50"/>
      <c r="K1084" s="50"/>
      <c r="L1084" s="36">
        <v>2022</v>
      </c>
      <c r="M1084" s="20" t="s">
        <v>255</v>
      </c>
      <c r="N1084" s="22" t="s">
        <v>431</v>
      </c>
    </row>
    <row r="1085" spans="1:14" ht="24" customHeight="1" x14ac:dyDescent="0.35">
      <c r="A1085" s="20" t="s">
        <v>625</v>
      </c>
      <c r="B1085" s="50" t="s">
        <v>255</v>
      </c>
      <c r="C1085" s="20" t="s">
        <v>996</v>
      </c>
      <c r="D1085" s="20" t="s">
        <v>1005</v>
      </c>
      <c r="E1085" s="20">
        <v>3</v>
      </c>
      <c r="F1085" s="20">
        <v>1</v>
      </c>
      <c r="G1085" s="20">
        <v>11</v>
      </c>
      <c r="H1085" s="20">
        <v>1</v>
      </c>
      <c r="I1085" s="50">
        <f t="shared" si="7"/>
        <v>16</v>
      </c>
      <c r="J1085" s="50"/>
      <c r="K1085" s="50"/>
      <c r="L1085" s="36">
        <v>2022</v>
      </c>
      <c r="M1085" s="20" t="s">
        <v>255</v>
      </c>
      <c r="N1085" s="22" t="s">
        <v>431</v>
      </c>
    </row>
    <row r="1086" spans="1:14" ht="24" customHeight="1" x14ac:dyDescent="0.35">
      <c r="A1086" s="20" t="s">
        <v>625</v>
      </c>
      <c r="B1086" s="50" t="s">
        <v>255</v>
      </c>
      <c r="C1086" s="20" t="s">
        <v>996</v>
      </c>
      <c r="D1086" s="20" t="s">
        <v>1006</v>
      </c>
      <c r="E1086" s="20">
        <v>6196</v>
      </c>
      <c r="F1086" s="20">
        <v>886</v>
      </c>
      <c r="G1086" s="20">
        <v>1051</v>
      </c>
      <c r="H1086" s="20">
        <v>680</v>
      </c>
      <c r="I1086" s="50">
        <f t="shared" si="7"/>
        <v>8813</v>
      </c>
      <c r="J1086" s="50"/>
      <c r="K1086" s="50"/>
      <c r="L1086" s="36">
        <v>2022</v>
      </c>
      <c r="M1086" s="20" t="s">
        <v>255</v>
      </c>
      <c r="N1086" s="22" t="s">
        <v>431</v>
      </c>
    </row>
    <row r="1087" spans="1:14" ht="24" customHeight="1" x14ac:dyDescent="0.35">
      <c r="A1087" s="20" t="s">
        <v>625</v>
      </c>
      <c r="B1087" s="50" t="s">
        <v>255</v>
      </c>
      <c r="C1087" s="20" t="s">
        <v>993</v>
      </c>
      <c r="D1087" s="20" t="s">
        <v>1004</v>
      </c>
      <c r="E1087" s="20">
        <v>0</v>
      </c>
      <c r="F1087" s="20">
        <v>0</v>
      </c>
      <c r="G1087" s="20">
        <v>0</v>
      </c>
      <c r="H1087" s="20">
        <v>0</v>
      </c>
      <c r="I1087" s="50">
        <f t="shared" si="7"/>
        <v>0</v>
      </c>
      <c r="J1087" s="50"/>
      <c r="K1087" s="50"/>
      <c r="L1087" s="36">
        <v>2022</v>
      </c>
      <c r="M1087" s="20" t="s">
        <v>255</v>
      </c>
      <c r="N1087" s="22" t="s">
        <v>431</v>
      </c>
    </row>
    <row r="1088" spans="1:14" ht="24" customHeight="1" x14ac:dyDescent="0.35">
      <c r="A1088" s="20" t="s">
        <v>625</v>
      </c>
      <c r="B1088" s="50" t="s">
        <v>255</v>
      </c>
      <c r="C1088" s="20" t="s">
        <v>993</v>
      </c>
      <c r="D1088" s="20" t="s">
        <v>1005</v>
      </c>
      <c r="E1088" s="20">
        <v>0</v>
      </c>
      <c r="F1088" s="20">
        <v>0</v>
      </c>
      <c r="G1088" s="20">
        <v>0</v>
      </c>
      <c r="H1088" s="20">
        <v>0</v>
      </c>
      <c r="I1088" s="50">
        <f t="shared" si="7"/>
        <v>0</v>
      </c>
      <c r="J1088" s="50"/>
      <c r="K1088" s="50"/>
      <c r="L1088" s="36">
        <v>2022</v>
      </c>
      <c r="M1088" s="20" t="s">
        <v>255</v>
      </c>
      <c r="N1088" s="22" t="s">
        <v>431</v>
      </c>
    </row>
    <row r="1089" spans="1:14" ht="24" customHeight="1" x14ac:dyDescent="0.35">
      <c r="A1089" s="20" t="s">
        <v>625</v>
      </c>
      <c r="B1089" s="50" t="s">
        <v>255</v>
      </c>
      <c r="C1089" s="20" t="s">
        <v>993</v>
      </c>
      <c r="D1089" s="20" t="s">
        <v>1006</v>
      </c>
      <c r="E1089" s="20">
        <v>0</v>
      </c>
      <c r="F1089" s="20">
        <v>0</v>
      </c>
      <c r="G1089" s="20">
        <v>0</v>
      </c>
      <c r="H1089" s="20">
        <v>0</v>
      </c>
      <c r="I1089" s="50">
        <f t="shared" si="7"/>
        <v>0</v>
      </c>
      <c r="J1089" s="50"/>
      <c r="K1089" s="50"/>
      <c r="L1089" s="36">
        <v>2022</v>
      </c>
      <c r="M1089" s="20" t="s">
        <v>255</v>
      </c>
      <c r="N1089" s="22" t="s">
        <v>431</v>
      </c>
    </row>
    <row r="1090" spans="1:14" ht="24" customHeight="1" x14ac:dyDescent="0.35">
      <c r="A1090" s="56" t="s">
        <v>463</v>
      </c>
      <c r="B1090" s="50" t="s">
        <v>87</v>
      </c>
      <c r="C1090" s="56" t="s">
        <v>996</v>
      </c>
      <c r="D1090" s="56" t="s">
        <v>1004</v>
      </c>
      <c r="E1090" s="50"/>
      <c r="F1090" s="50"/>
      <c r="G1090" s="50"/>
      <c r="H1090" s="50"/>
      <c r="I1090" s="50">
        <f t="shared" si="7"/>
        <v>0</v>
      </c>
      <c r="J1090" s="50"/>
      <c r="K1090" s="50"/>
      <c r="L1090" s="36">
        <v>2022</v>
      </c>
      <c r="M1090" s="20" t="s">
        <v>87</v>
      </c>
      <c r="N1090" s="22" t="s">
        <v>424</v>
      </c>
    </row>
    <row r="1091" spans="1:14" ht="24" customHeight="1" x14ac:dyDescent="0.35">
      <c r="A1091" s="56" t="s">
        <v>463</v>
      </c>
      <c r="B1091" s="50" t="s">
        <v>87</v>
      </c>
      <c r="C1091" s="56" t="s">
        <v>996</v>
      </c>
      <c r="D1091" s="56" t="s">
        <v>1005</v>
      </c>
      <c r="E1091" s="50"/>
      <c r="F1091" s="50"/>
      <c r="G1091" s="50"/>
      <c r="H1091" s="50"/>
      <c r="I1091" s="50">
        <f t="shared" si="7"/>
        <v>0</v>
      </c>
      <c r="J1091" s="50"/>
      <c r="K1091" s="50"/>
      <c r="L1091" s="36">
        <v>2022</v>
      </c>
      <c r="M1091" s="20" t="s">
        <v>87</v>
      </c>
      <c r="N1091" s="22" t="s">
        <v>424</v>
      </c>
    </row>
    <row r="1092" spans="1:14" ht="24" customHeight="1" x14ac:dyDescent="0.35">
      <c r="A1092" s="56" t="s">
        <v>463</v>
      </c>
      <c r="B1092" s="50" t="s">
        <v>87</v>
      </c>
      <c r="C1092" s="56" t="s">
        <v>996</v>
      </c>
      <c r="D1092" s="56" t="s">
        <v>1006</v>
      </c>
      <c r="E1092" s="50"/>
      <c r="F1092" s="50"/>
      <c r="G1092" s="50"/>
      <c r="H1092" s="50"/>
      <c r="I1092" s="50">
        <f t="shared" si="7"/>
        <v>0</v>
      </c>
      <c r="J1092" s="50"/>
      <c r="K1092" s="50"/>
      <c r="L1092" s="36">
        <v>2022</v>
      </c>
      <c r="M1092" s="20" t="s">
        <v>87</v>
      </c>
      <c r="N1092" s="22" t="s">
        <v>424</v>
      </c>
    </row>
    <row r="1093" spans="1:14" ht="24" customHeight="1" x14ac:dyDescent="0.35">
      <c r="A1093" s="56" t="s">
        <v>463</v>
      </c>
      <c r="B1093" s="50" t="s">
        <v>87</v>
      </c>
      <c r="C1093" s="56" t="s">
        <v>993</v>
      </c>
      <c r="D1093" s="56" t="s">
        <v>1004</v>
      </c>
      <c r="E1093" s="50"/>
      <c r="F1093" s="50"/>
      <c r="G1093" s="50"/>
      <c r="H1093" s="50"/>
      <c r="I1093" s="50">
        <f t="shared" si="7"/>
        <v>0</v>
      </c>
      <c r="J1093" s="50"/>
      <c r="K1093" s="50"/>
      <c r="L1093" s="36">
        <v>2022</v>
      </c>
      <c r="M1093" s="20" t="s">
        <v>87</v>
      </c>
      <c r="N1093" s="22" t="s">
        <v>424</v>
      </c>
    </row>
    <row r="1094" spans="1:14" ht="24" customHeight="1" x14ac:dyDescent="0.35">
      <c r="A1094" s="56" t="s">
        <v>463</v>
      </c>
      <c r="B1094" s="50" t="s">
        <v>87</v>
      </c>
      <c r="C1094" s="56" t="s">
        <v>993</v>
      </c>
      <c r="D1094" s="56" t="s">
        <v>1005</v>
      </c>
      <c r="E1094" s="50"/>
      <c r="F1094" s="50"/>
      <c r="G1094" s="50"/>
      <c r="H1094" s="50"/>
      <c r="I1094" s="50">
        <f t="shared" si="7"/>
        <v>0</v>
      </c>
      <c r="J1094" s="50"/>
      <c r="K1094" s="50"/>
      <c r="L1094" s="36">
        <v>2022</v>
      </c>
      <c r="M1094" s="20" t="s">
        <v>87</v>
      </c>
      <c r="N1094" s="22" t="s">
        <v>424</v>
      </c>
    </row>
    <row r="1095" spans="1:14" ht="24" customHeight="1" x14ac:dyDescent="0.35">
      <c r="A1095" s="56" t="s">
        <v>463</v>
      </c>
      <c r="B1095" s="50" t="s">
        <v>87</v>
      </c>
      <c r="C1095" s="56" t="s">
        <v>993</v>
      </c>
      <c r="D1095" s="56" t="s">
        <v>1006</v>
      </c>
      <c r="E1095" s="50"/>
      <c r="F1095" s="50"/>
      <c r="G1095" s="50"/>
      <c r="H1095" s="50"/>
      <c r="I1095" s="50">
        <f t="shared" si="7"/>
        <v>0</v>
      </c>
      <c r="J1095" s="50"/>
      <c r="K1095" s="50"/>
      <c r="L1095" s="36">
        <v>2022</v>
      </c>
      <c r="M1095" s="20" t="s">
        <v>87</v>
      </c>
      <c r="N1095" s="22" t="s">
        <v>424</v>
      </c>
    </row>
    <row r="1096" spans="1:14" ht="24" customHeight="1" x14ac:dyDescent="0.35">
      <c r="A1096" s="20" t="s">
        <v>300</v>
      </c>
      <c r="B1096" s="50" t="s">
        <v>41</v>
      </c>
      <c r="C1096" s="50" t="s">
        <v>996</v>
      </c>
      <c r="D1096" s="20" t="s">
        <v>1004</v>
      </c>
      <c r="E1096" s="20">
        <v>13</v>
      </c>
      <c r="F1096" s="20">
        <v>50</v>
      </c>
      <c r="G1096" s="20">
        <v>26</v>
      </c>
      <c r="H1096" s="20">
        <v>3</v>
      </c>
      <c r="I1096" s="50">
        <f t="shared" si="7"/>
        <v>92</v>
      </c>
      <c r="J1096" s="50"/>
      <c r="K1096" s="50"/>
      <c r="L1096" s="36">
        <v>2022</v>
      </c>
      <c r="M1096" s="20" t="s">
        <v>41</v>
      </c>
      <c r="N1096" s="22" t="s">
        <v>467</v>
      </c>
    </row>
    <row r="1097" spans="1:14" ht="24" customHeight="1" x14ac:dyDescent="0.35">
      <c r="A1097" s="20" t="s">
        <v>300</v>
      </c>
      <c r="B1097" s="50" t="s">
        <v>41</v>
      </c>
      <c r="C1097" s="50" t="s">
        <v>996</v>
      </c>
      <c r="D1097" s="20" t="s">
        <v>1005</v>
      </c>
      <c r="E1097" s="20">
        <v>127</v>
      </c>
      <c r="F1097" s="20">
        <v>282</v>
      </c>
      <c r="G1097" s="20">
        <v>576</v>
      </c>
      <c r="H1097" s="20">
        <v>20</v>
      </c>
      <c r="I1097" s="50">
        <f t="shared" si="7"/>
        <v>1005</v>
      </c>
      <c r="J1097" s="50"/>
      <c r="K1097" s="50"/>
      <c r="L1097" s="36">
        <v>2022</v>
      </c>
      <c r="M1097" s="20" t="s">
        <v>41</v>
      </c>
      <c r="N1097" s="22" t="s">
        <v>467</v>
      </c>
    </row>
    <row r="1098" spans="1:14" ht="24" customHeight="1" x14ac:dyDescent="0.35">
      <c r="A1098" s="20" t="s">
        <v>300</v>
      </c>
      <c r="B1098" s="50" t="s">
        <v>41</v>
      </c>
      <c r="C1098" s="50" t="s">
        <v>996</v>
      </c>
      <c r="D1098" s="20" t="s">
        <v>1006</v>
      </c>
      <c r="E1098" s="20">
        <v>4267769</v>
      </c>
      <c r="F1098" s="20">
        <v>1614276</v>
      </c>
      <c r="G1098" s="20">
        <v>1289388</v>
      </c>
      <c r="H1098" s="20">
        <v>38856</v>
      </c>
      <c r="I1098" s="50">
        <f t="shared" si="7"/>
        <v>7210289</v>
      </c>
      <c r="J1098" s="50"/>
      <c r="K1098" s="50"/>
      <c r="L1098" s="36">
        <v>2022</v>
      </c>
      <c r="M1098" s="20" t="s">
        <v>41</v>
      </c>
      <c r="N1098" s="22" t="s">
        <v>467</v>
      </c>
    </row>
    <row r="1099" spans="1:14" ht="24" customHeight="1" x14ac:dyDescent="0.35">
      <c r="A1099" s="20" t="s">
        <v>300</v>
      </c>
      <c r="B1099" s="50" t="s">
        <v>41</v>
      </c>
      <c r="C1099" s="50" t="s">
        <v>993</v>
      </c>
      <c r="D1099" s="20" t="s">
        <v>1004</v>
      </c>
      <c r="E1099" s="20">
        <v>1</v>
      </c>
      <c r="F1099" s="20">
        <v>0</v>
      </c>
      <c r="G1099" s="20">
        <v>0</v>
      </c>
      <c r="H1099" s="20">
        <v>0</v>
      </c>
      <c r="I1099" s="50">
        <f t="shared" si="7"/>
        <v>1</v>
      </c>
      <c r="J1099" s="50"/>
      <c r="K1099" s="50"/>
      <c r="L1099" s="36">
        <v>2022</v>
      </c>
      <c r="M1099" s="20" t="s">
        <v>41</v>
      </c>
      <c r="N1099" s="22" t="s">
        <v>467</v>
      </c>
    </row>
    <row r="1100" spans="1:14" ht="24" customHeight="1" x14ac:dyDescent="0.35">
      <c r="A1100" s="20" t="s">
        <v>300</v>
      </c>
      <c r="B1100" s="50" t="s">
        <v>41</v>
      </c>
      <c r="C1100" s="50" t="s">
        <v>993</v>
      </c>
      <c r="D1100" s="20" t="s">
        <v>1005</v>
      </c>
      <c r="E1100" s="20">
        <v>20</v>
      </c>
      <c r="F1100" s="20">
        <v>0</v>
      </c>
      <c r="G1100" s="20">
        <v>0</v>
      </c>
      <c r="H1100" s="20">
        <v>0</v>
      </c>
      <c r="I1100" s="50">
        <f t="shared" si="7"/>
        <v>20</v>
      </c>
      <c r="J1100" s="50"/>
      <c r="K1100" s="50"/>
      <c r="L1100" s="36">
        <v>2022</v>
      </c>
      <c r="M1100" s="20" t="s">
        <v>41</v>
      </c>
      <c r="N1100" s="22" t="s">
        <v>467</v>
      </c>
    </row>
    <row r="1101" spans="1:14" ht="24" customHeight="1" x14ac:dyDescent="0.35">
      <c r="A1101" s="20" t="s">
        <v>300</v>
      </c>
      <c r="B1101" s="50" t="s">
        <v>41</v>
      </c>
      <c r="C1101" s="50" t="s">
        <v>993</v>
      </c>
      <c r="D1101" s="20" t="s">
        <v>1006</v>
      </c>
      <c r="E1101" s="20">
        <v>326325</v>
      </c>
      <c r="F1101" s="20">
        <v>0</v>
      </c>
      <c r="G1101" s="20">
        <v>0</v>
      </c>
      <c r="H1101" s="20">
        <v>0</v>
      </c>
      <c r="I1101" s="50">
        <f t="shared" si="7"/>
        <v>326325</v>
      </c>
      <c r="J1101" s="50"/>
      <c r="K1101" s="50"/>
      <c r="L1101" s="36">
        <v>2022</v>
      </c>
      <c r="M1101" s="20" t="s">
        <v>41</v>
      </c>
      <c r="N1101" s="22" t="s">
        <v>467</v>
      </c>
    </row>
    <row r="1102" spans="1:14" ht="24" customHeight="1" x14ac:dyDescent="0.35">
      <c r="A1102" s="20" t="s">
        <v>470</v>
      </c>
      <c r="B1102" s="50" t="s">
        <v>46</v>
      </c>
      <c r="C1102" s="20" t="s">
        <v>996</v>
      </c>
      <c r="D1102" s="20" t="s">
        <v>1004</v>
      </c>
      <c r="E1102" s="20">
        <v>0</v>
      </c>
      <c r="F1102" s="20">
        <v>1</v>
      </c>
      <c r="G1102" s="20">
        <v>12</v>
      </c>
      <c r="H1102" s="20">
        <v>4</v>
      </c>
      <c r="I1102" s="50">
        <f t="shared" si="7"/>
        <v>17</v>
      </c>
      <c r="J1102" s="50"/>
      <c r="K1102" s="50"/>
      <c r="L1102" s="36">
        <v>2022</v>
      </c>
      <c r="M1102" s="20" t="s">
        <v>46</v>
      </c>
      <c r="N1102" s="22" t="s">
        <v>424</v>
      </c>
    </row>
    <row r="1103" spans="1:14" ht="24" customHeight="1" x14ac:dyDescent="0.35">
      <c r="A1103" s="20" t="s">
        <v>470</v>
      </c>
      <c r="B1103" s="50" t="s">
        <v>46</v>
      </c>
      <c r="C1103" s="20" t="s">
        <v>996</v>
      </c>
      <c r="D1103" s="20" t="s">
        <v>1005</v>
      </c>
      <c r="E1103" s="20">
        <v>0</v>
      </c>
      <c r="F1103" s="20">
        <v>5</v>
      </c>
      <c r="G1103" s="20">
        <v>89</v>
      </c>
      <c r="H1103" s="20">
        <v>575</v>
      </c>
      <c r="I1103" s="50">
        <f t="shared" si="7"/>
        <v>669</v>
      </c>
      <c r="J1103" s="50"/>
      <c r="K1103" s="50"/>
      <c r="L1103" s="36">
        <v>2022</v>
      </c>
      <c r="M1103" s="20" t="s">
        <v>46</v>
      </c>
      <c r="N1103" s="22" t="s">
        <v>424</v>
      </c>
    </row>
    <row r="1104" spans="1:14" ht="24" customHeight="1" x14ac:dyDescent="0.35">
      <c r="A1104" s="20" t="s">
        <v>470</v>
      </c>
      <c r="B1104" s="50" t="s">
        <v>46</v>
      </c>
      <c r="C1104" s="20" t="s">
        <v>996</v>
      </c>
      <c r="D1104" s="20" t="s">
        <v>1006</v>
      </c>
      <c r="E1104" s="20">
        <v>0</v>
      </c>
      <c r="F1104" s="20">
        <v>142442</v>
      </c>
      <c r="G1104" s="20">
        <v>543654</v>
      </c>
      <c r="H1104" s="20">
        <v>1214034</v>
      </c>
      <c r="I1104" s="50">
        <f t="shared" si="7"/>
        <v>1900130</v>
      </c>
      <c r="J1104" s="50"/>
      <c r="K1104" s="50"/>
      <c r="L1104" s="36">
        <v>2022</v>
      </c>
      <c r="M1104" s="20" t="s">
        <v>46</v>
      </c>
      <c r="N1104" s="22" t="s">
        <v>424</v>
      </c>
    </row>
    <row r="1105" spans="1:14" ht="24" customHeight="1" x14ac:dyDescent="0.35">
      <c r="A1105" s="20" t="s">
        <v>470</v>
      </c>
      <c r="B1105" s="50" t="s">
        <v>46</v>
      </c>
      <c r="C1105" s="20" t="s">
        <v>993</v>
      </c>
      <c r="D1105" s="20" t="s">
        <v>1004</v>
      </c>
      <c r="E1105" s="20">
        <v>0</v>
      </c>
      <c r="F1105" s="20">
        <v>0</v>
      </c>
      <c r="G1105" s="20">
        <v>0</v>
      </c>
      <c r="H1105" s="20">
        <v>0</v>
      </c>
      <c r="I1105" s="50">
        <f t="shared" ref="I1105:I1168" si="8">SUM(E1105:H1105)</f>
        <v>0</v>
      </c>
      <c r="J1105" s="50"/>
      <c r="K1105" s="50"/>
      <c r="L1105" s="36">
        <v>2022</v>
      </c>
      <c r="M1105" s="20" t="s">
        <v>46</v>
      </c>
      <c r="N1105" s="22" t="s">
        <v>424</v>
      </c>
    </row>
    <row r="1106" spans="1:14" ht="24" customHeight="1" x14ac:dyDescent="0.35">
      <c r="A1106" s="20" t="s">
        <v>470</v>
      </c>
      <c r="B1106" s="50" t="s">
        <v>46</v>
      </c>
      <c r="C1106" s="20" t="s">
        <v>993</v>
      </c>
      <c r="D1106" s="20" t="s">
        <v>1005</v>
      </c>
      <c r="E1106" s="20">
        <v>0</v>
      </c>
      <c r="F1106" s="20">
        <v>5</v>
      </c>
      <c r="G1106" s="20">
        <v>6</v>
      </c>
      <c r="H1106" s="20">
        <v>5</v>
      </c>
      <c r="I1106" s="50">
        <f t="shared" si="8"/>
        <v>16</v>
      </c>
      <c r="J1106" s="50"/>
      <c r="K1106" s="50"/>
      <c r="L1106" s="36">
        <v>2022</v>
      </c>
      <c r="M1106" s="20" t="s">
        <v>46</v>
      </c>
      <c r="N1106" s="22" t="s">
        <v>424</v>
      </c>
    </row>
    <row r="1107" spans="1:14" ht="24" customHeight="1" x14ac:dyDescent="0.35">
      <c r="A1107" s="20" t="s">
        <v>470</v>
      </c>
      <c r="B1107" s="50" t="s">
        <v>46</v>
      </c>
      <c r="C1107" s="20" t="s">
        <v>993</v>
      </c>
      <c r="D1107" s="20" t="s">
        <v>1006</v>
      </c>
      <c r="E1107" s="20">
        <v>0</v>
      </c>
      <c r="F1107" s="20">
        <v>99376</v>
      </c>
      <c r="G1107" s="20">
        <v>30652</v>
      </c>
      <c r="H1107" s="20">
        <v>12882</v>
      </c>
      <c r="I1107" s="50">
        <f t="shared" si="8"/>
        <v>142910</v>
      </c>
      <c r="J1107" s="50"/>
      <c r="K1107" s="50"/>
      <c r="L1107" s="36">
        <v>2022</v>
      </c>
      <c r="M1107" s="20" t="s">
        <v>46</v>
      </c>
      <c r="N1107" s="22" t="s">
        <v>424</v>
      </c>
    </row>
    <row r="1108" spans="1:14" ht="24" customHeight="1" x14ac:dyDescent="0.35">
      <c r="A1108" s="56" t="s">
        <v>479</v>
      </c>
      <c r="B1108" s="50" t="s">
        <v>255</v>
      </c>
      <c r="C1108" s="56" t="s">
        <v>996</v>
      </c>
      <c r="D1108" s="56" t="s">
        <v>1004</v>
      </c>
      <c r="E1108" s="50"/>
      <c r="F1108" s="50"/>
      <c r="G1108" s="50"/>
      <c r="H1108" s="50"/>
      <c r="I1108" s="50">
        <f t="shared" si="8"/>
        <v>0</v>
      </c>
      <c r="J1108" s="50"/>
      <c r="K1108" s="50"/>
      <c r="L1108" s="36">
        <v>2022</v>
      </c>
      <c r="M1108" s="56" t="s">
        <v>255</v>
      </c>
      <c r="N1108" s="22" t="s">
        <v>431</v>
      </c>
    </row>
    <row r="1109" spans="1:14" ht="24" customHeight="1" x14ac:dyDescent="0.35">
      <c r="A1109" s="56" t="s">
        <v>479</v>
      </c>
      <c r="B1109" s="50" t="s">
        <v>255</v>
      </c>
      <c r="C1109" s="56" t="s">
        <v>996</v>
      </c>
      <c r="D1109" s="56" t="s">
        <v>1005</v>
      </c>
      <c r="E1109" s="50"/>
      <c r="F1109" s="50"/>
      <c r="G1109" s="50"/>
      <c r="H1109" s="50"/>
      <c r="I1109" s="50">
        <f t="shared" si="8"/>
        <v>0</v>
      </c>
      <c r="J1109" s="50"/>
      <c r="K1109" s="50"/>
      <c r="L1109" s="36">
        <v>2022</v>
      </c>
      <c r="M1109" s="56" t="s">
        <v>255</v>
      </c>
      <c r="N1109" s="22" t="s">
        <v>431</v>
      </c>
    </row>
    <row r="1110" spans="1:14" ht="24" customHeight="1" x14ac:dyDescent="0.35">
      <c r="A1110" s="56" t="s">
        <v>479</v>
      </c>
      <c r="B1110" s="50" t="s">
        <v>255</v>
      </c>
      <c r="C1110" s="56" t="s">
        <v>996</v>
      </c>
      <c r="D1110" s="56" t="s">
        <v>1006</v>
      </c>
      <c r="E1110" s="50"/>
      <c r="F1110" s="50"/>
      <c r="G1110" s="50"/>
      <c r="H1110" s="50"/>
      <c r="I1110" s="50">
        <f t="shared" si="8"/>
        <v>0</v>
      </c>
      <c r="J1110" s="50"/>
      <c r="K1110" s="50"/>
      <c r="L1110" s="36">
        <v>2022</v>
      </c>
      <c r="M1110" s="56" t="s">
        <v>255</v>
      </c>
      <c r="N1110" s="22" t="s">
        <v>431</v>
      </c>
    </row>
    <row r="1111" spans="1:14" ht="24" customHeight="1" x14ac:dyDescent="0.35">
      <c r="A1111" s="56" t="s">
        <v>479</v>
      </c>
      <c r="B1111" s="50" t="s">
        <v>255</v>
      </c>
      <c r="C1111" s="56" t="s">
        <v>993</v>
      </c>
      <c r="D1111" s="56" t="s">
        <v>1004</v>
      </c>
      <c r="E1111" s="50"/>
      <c r="F1111" s="50"/>
      <c r="G1111" s="50"/>
      <c r="H1111" s="50"/>
      <c r="I1111" s="50">
        <f t="shared" si="8"/>
        <v>0</v>
      </c>
      <c r="J1111" s="50"/>
      <c r="K1111" s="50"/>
      <c r="L1111" s="36">
        <v>2022</v>
      </c>
      <c r="M1111" s="56" t="s">
        <v>255</v>
      </c>
      <c r="N1111" s="22" t="s">
        <v>431</v>
      </c>
    </row>
    <row r="1112" spans="1:14" ht="24" customHeight="1" x14ac:dyDescent="0.35">
      <c r="A1112" s="56" t="s">
        <v>479</v>
      </c>
      <c r="B1112" s="50" t="s">
        <v>255</v>
      </c>
      <c r="C1112" s="56" t="s">
        <v>993</v>
      </c>
      <c r="D1112" s="56" t="s">
        <v>1005</v>
      </c>
      <c r="E1112" s="50"/>
      <c r="F1112" s="50"/>
      <c r="G1112" s="50"/>
      <c r="H1112" s="50"/>
      <c r="I1112" s="50">
        <f t="shared" si="8"/>
        <v>0</v>
      </c>
      <c r="J1112" s="50"/>
      <c r="K1112" s="50"/>
      <c r="L1112" s="36">
        <v>2022</v>
      </c>
      <c r="M1112" s="56" t="s">
        <v>255</v>
      </c>
      <c r="N1112" s="22" t="s">
        <v>431</v>
      </c>
    </row>
    <row r="1113" spans="1:14" ht="24" customHeight="1" x14ac:dyDescent="0.35">
      <c r="A1113" s="56" t="s">
        <v>479</v>
      </c>
      <c r="B1113" s="50" t="s">
        <v>255</v>
      </c>
      <c r="C1113" s="56" t="s">
        <v>993</v>
      </c>
      <c r="D1113" s="56" t="s">
        <v>1006</v>
      </c>
      <c r="E1113" s="50"/>
      <c r="F1113" s="50"/>
      <c r="G1113" s="50"/>
      <c r="H1113" s="50"/>
      <c r="I1113" s="50">
        <f t="shared" si="8"/>
        <v>0</v>
      </c>
      <c r="J1113" s="50"/>
      <c r="K1113" s="50"/>
      <c r="L1113" s="36">
        <v>2022</v>
      </c>
      <c r="M1113" s="56" t="s">
        <v>255</v>
      </c>
      <c r="N1113" s="22" t="s">
        <v>431</v>
      </c>
    </row>
    <row r="1114" spans="1:14" ht="24" customHeight="1" x14ac:dyDescent="0.35">
      <c r="A1114" s="20" t="s">
        <v>422</v>
      </c>
      <c r="B1114" s="50" t="s">
        <v>87</v>
      </c>
      <c r="C1114" s="20" t="s">
        <v>996</v>
      </c>
      <c r="D1114" s="20" t="s">
        <v>1004</v>
      </c>
      <c r="E1114" s="20">
        <v>3</v>
      </c>
      <c r="F1114" s="20">
        <v>0</v>
      </c>
      <c r="G1114" s="20">
        <v>2</v>
      </c>
      <c r="H1114" s="20">
        <v>0</v>
      </c>
      <c r="I1114" s="50">
        <f t="shared" si="8"/>
        <v>5</v>
      </c>
      <c r="J1114" s="50"/>
      <c r="K1114" s="50"/>
      <c r="L1114" s="36">
        <v>2022</v>
      </c>
      <c r="M1114" s="20" t="s">
        <v>46</v>
      </c>
      <c r="N1114" s="22" t="s">
        <v>442</v>
      </c>
    </row>
    <row r="1115" spans="1:14" ht="24" customHeight="1" x14ac:dyDescent="0.35">
      <c r="A1115" s="20" t="s">
        <v>422</v>
      </c>
      <c r="B1115" s="50" t="s">
        <v>87</v>
      </c>
      <c r="C1115" s="20" t="s">
        <v>996</v>
      </c>
      <c r="D1115" s="20" t="s">
        <v>1005</v>
      </c>
      <c r="E1115" s="20">
        <v>8</v>
      </c>
      <c r="F1115" s="20">
        <v>0</v>
      </c>
      <c r="G1115" s="20">
        <v>294</v>
      </c>
      <c r="H1115" s="20">
        <v>0</v>
      </c>
      <c r="I1115" s="50">
        <f t="shared" si="8"/>
        <v>302</v>
      </c>
      <c r="J1115" s="50"/>
      <c r="K1115" s="50"/>
      <c r="L1115" s="36">
        <v>2022</v>
      </c>
      <c r="M1115" s="20" t="s">
        <v>46</v>
      </c>
      <c r="N1115" s="22" t="s">
        <v>442</v>
      </c>
    </row>
    <row r="1116" spans="1:14" ht="24" customHeight="1" x14ac:dyDescent="0.35">
      <c r="A1116" s="20" t="s">
        <v>422</v>
      </c>
      <c r="B1116" s="50" t="s">
        <v>87</v>
      </c>
      <c r="C1116" s="20" t="s">
        <v>996</v>
      </c>
      <c r="D1116" s="20" t="s">
        <v>1006</v>
      </c>
      <c r="E1116" s="33">
        <v>215735</v>
      </c>
      <c r="F1116" s="20">
        <v>0</v>
      </c>
      <c r="G1116" s="20">
        <v>955836</v>
      </c>
      <c r="H1116" s="20">
        <v>0</v>
      </c>
      <c r="I1116" s="50">
        <f t="shared" si="8"/>
        <v>1171571</v>
      </c>
      <c r="J1116" s="50"/>
      <c r="K1116" s="50"/>
      <c r="L1116" s="36">
        <v>2022</v>
      </c>
      <c r="M1116" s="20" t="s">
        <v>46</v>
      </c>
      <c r="N1116" s="22" t="s">
        <v>442</v>
      </c>
    </row>
    <row r="1117" spans="1:14" ht="24" customHeight="1" x14ac:dyDescent="0.35">
      <c r="A1117" s="20" t="s">
        <v>422</v>
      </c>
      <c r="B1117" s="50" t="s">
        <v>87</v>
      </c>
      <c r="C1117" s="20" t="s">
        <v>993</v>
      </c>
      <c r="D1117" s="20" t="s">
        <v>1004</v>
      </c>
      <c r="E1117" s="20">
        <v>0</v>
      </c>
      <c r="F1117" s="20">
        <v>0</v>
      </c>
      <c r="G1117" s="20">
        <v>0</v>
      </c>
      <c r="H1117" s="20">
        <v>0</v>
      </c>
      <c r="I1117" s="50">
        <f t="shared" si="8"/>
        <v>0</v>
      </c>
      <c r="J1117" s="50"/>
      <c r="K1117" s="50"/>
      <c r="L1117" s="36">
        <v>2022</v>
      </c>
      <c r="M1117" s="20" t="s">
        <v>46</v>
      </c>
      <c r="N1117" s="22" t="s">
        <v>442</v>
      </c>
    </row>
    <row r="1118" spans="1:14" ht="24" customHeight="1" x14ac:dyDescent="0.35">
      <c r="A1118" s="20" t="s">
        <v>422</v>
      </c>
      <c r="B1118" s="50" t="s">
        <v>87</v>
      </c>
      <c r="C1118" s="20" t="s">
        <v>993</v>
      </c>
      <c r="D1118" s="20" t="s">
        <v>1005</v>
      </c>
      <c r="E1118" s="20">
        <v>0</v>
      </c>
      <c r="F1118" s="20">
        <v>0</v>
      </c>
      <c r="G1118" s="20">
        <v>0</v>
      </c>
      <c r="H1118" s="20">
        <v>0</v>
      </c>
      <c r="I1118" s="50">
        <f t="shared" si="8"/>
        <v>0</v>
      </c>
      <c r="J1118" s="50"/>
      <c r="K1118" s="50"/>
      <c r="L1118" s="36">
        <v>2022</v>
      </c>
      <c r="M1118" s="20" t="s">
        <v>46</v>
      </c>
      <c r="N1118" s="22" t="s">
        <v>442</v>
      </c>
    </row>
    <row r="1119" spans="1:14" ht="24" customHeight="1" x14ac:dyDescent="0.35">
      <c r="A1119" s="20" t="s">
        <v>422</v>
      </c>
      <c r="B1119" s="50" t="s">
        <v>87</v>
      </c>
      <c r="C1119" s="20" t="s">
        <v>993</v>
      </c>
      <c r="D1119" s="20" t="s">
        <v>1006</v>
      </c>
      <c r="E1119" s="20">
        <v>0</v>
      </c>
      <c r="F1119" s="20">
        <v>0</v>
      </c>
      <c r="G1119" s="20">
        <v>0</v>
      </c>
      <c r="H1119" s="20">
        <v>0</v>
      </c>
      <c r="I1119" s="50">
        <f t="shared" si="8"/>
        <v>0</v>
      </c>
      <c r="J1119" s="50"/>
      <c r="K1119" s="50"/>
      <c r="L1119" s="36">
        <v>2022</v>
      </c>
      <c r="M1119" s="20" t="s">
        <v>46</v>
      </c>
      <c r="N1119" s="22" t="s">
        <v>442</v>
      </c>
    </row>
    <row r="1120" spans="1:14" ht="24" customHeight="1" x14ac:dyDescent="0.35">
      <c r="A1120" s="20" t="s">
        <v>634</v>
      </c>
      <c r="B1120" s="50" t="s">
        <v>255</v>
      </c>
      <c r="C1120" s="50" t="s">
        <v>996</v>
      </c>
      <c r="D1120" s="20" t="s">
        <v>1004</v>
      </c>
      <c r="E1120" s="20">
        <v>1</v>
      </c>
      <c r="F1120" s="20">
        <v>0</v>
      </c>
      <c r="G1120" s="20">
        <v>0</v>
      </c>
      <c r="H1120" s="20">
        <v>0</v>
      </c>
      <c r="I1120" s="50">
        <f t="shared" si="8"/>
        <v>1</v>
      </c>
      <c r="J1120" s="50"/>
      <c r="K1120" s="50"/>
      <c r="L1120" s="36">
        <v>2022</v>
      </c>
      <c r="M1120" s="20" t="s">
        <v>255</v>
      </c>
      <c r="N1120" s="22" t="s">
        <v>431</v>
      </c>
    </row>
    <row r="1121" spans="1:14" ht="24" customHeight="1" x14ac:dyDescent="0.35">
      <c r="A1121" s="20" t="s">
        <v>634</v>
      </c>
      <c r="B1121" s="50" t="s">
        <v>255</v>
      </c>
      <c r="C1121" s="50" t="s">
        <v>996</v>
      </c>
      <c r="D1121" s="20" t="s">
        <v>1005</v>
      </c>
      <c r="E1121" s="20">
        <v>4</v>
      </c>
      <c r="F1121" s="20">
        <v>1</v>
      </c>
      <c r="G1121" s="20">
        <v>6</v>
      </c>
      <c r="H1121" s="20">
        <v>34</v>
      </c>
      <c r="I1121" s="50">
        <f t="shared" si="8"/>
        <v>45</v>
      </c>
      <c r="J1121" s="50"/>
      <c r="K1121" s="50"/>
      <c r="L1121" s="36">
        <v>2022</v>
      </c>
      <c r="M1121" s="20" t="s">
        <v>255</v>
      </c>
      <c r="N1121" s="22" t="s">
        <v>431</v>
      </c>
    </row>
    <row r="1122" spans="1:14" ht="24" customHeight="1" x14ac:dyDescent="0.35">
      <c r="A1122" s="20" t="s">
        <v>634</v>
      </c>
      <c r="B1122" s="50" t="s">
        <v>255</v>
      </c>
      <c r="C1122" s="50" t="s">
        <v>996</v>
      </c>
      <c r="D1122" s="20" t="s">
        <v>1006</v>
      </c>
      <c r="E1122" s="20">
        <v>78364</v>
      </c>
      <c r="F1122" s="20">
        <v>12112</v>
      </c>
      <c r="G1122" s="20">
        <v>30446.407999999999</v>
      </c>
      <c r="H1122" s="20">
        <v>38272.163999999997</v>
      </c>
      <c r="I1122" s="50">
        <f t="shared" si="8"/>
        <v>159194.57199999999</v>
      </c>
      <c r="J1122" s="50"/>
      <c r="K1122" s="50"/>
      <c r="L1122" s="36">
        <v>2022</v>
      </c>
      <c r="M1122" s="20" t="s">
        <v>255</v>
      </c>
      <c r="N1122" s="22" t="s">
        <v>431</v>
      </c>
    </row>
    <row r="1123" spans="1:14" ht="24" customHeight="1" x14ac:dyDescent="0.35">
      <c r="A1123" s="20" t="s">
        <v>634</v>
      </c>
      <c r="B1123" s="50" t="s">
        <v>255</v>
      </c>
      <c r="C1123" s="50" t="s">
        <v>993</v>
      </c>
      <c r="D1123" s="20" t="s">
        <v>1004</v>
      </c>
      <c r="E1123" s="20">
        <v>0</v>
      </c>
      <c r="F1123" s="20">
        <v>0</v>
      </c>
      <c r="G1123" s="20">
        <v>0</v>
      </c>
      <c r="H1123" s="20">
        <v>0</v>
      </c>
      <c r="I1123" s="50">
        <f t="shared" si="8"/>
        <v>0</v>
      </c>
      <c r="J1123" s="50"/>
      <c r="K1123" s="50"/>
      <c r="L1123" s="36">
        <v>2022</v>
      </c>
      <c r="M1123" s="20" t="s">
        <v>255</v>
      </c>
      <c r="N1123" s="22" t="s">
        <v>431</v>
      </c>
    </row>
    <row r="1124" spans="1:14" ht="24" customHeight="1" x14ac:dyDescent="0.35">
      <c r="A1124" s="20" t="s">
        <v>634</v>
      </c>
      <c r="B1124" s="50" t="s">
        <v>255</v>
      </c>
      <c r="C1124" s="50" t="s">
        <v>993</v>
      </c>
      <c r="D1124" s="20" t="s">
        <v>1005</v>
      </c>
      <c r="E1124" s="20">
        <v>0</v>
      </c>
      <c r="F1124" s="20">
        <v>0</v>
      </c>
      <c r="G1124" s="20">
        <v>0</v>
      </c>
      <c r="H1124" s="20">
        <v>0</v>
      </c>
      <c r="I1124" s="50">
        <f t="shared" si="8"/>
        <v>0</v>
      </c>
      <c r="J1124" s="50"/>
      <c r="K1124" s="50"/>
      <c r="L1124" s="36">
        <v>2022</v>
      </c>
      <c r="M1124" s="20" t="s">
        <v>255</v>
      </c>
      <c r="N1124" s="22" t="s">
        <v>431</v>
      </c>
    </row>
    <row r="1125" spans="1:14" ht="24" customHeight="1" x14ac:dyDescent="0.35">
      <c r="A1125" s="20" t="s">
        <v>634</v>
      </c>
      <c r="B1125" s="50" t="s">
        <v>255</v>
      </c>
      <c r="C1125" s="50" t="s">
        <v>993</v>
      </c>
      <c r="D1125" s="20" t="s">
        <v>1006</v>
      </c>
      <c r="E1125" s="20">
        <v>0</v>
      </c>
      <c r="F1125" s="20">
        <v>0</v>
      </c>
      <c r="G1125" s="20">
        <v>0</v>
      </c>
      <c r="H1125" s="20">
        <v>0</v>
      </c>
      <c r="I1125" s="50">
        <f t="shared" si="8"/>
        <v>0</v>
      </c>
      <c r="J1125" s="50"/>
      <c r="K1125" s="50"/>
      <c r="L1125" s="36">
        <v>2022</v>
      </c>
      <c r="M1125" s="20" t="s">
        <v>255</v>
      </c>
      <c r="N1125" s="22" t="s">
        <v>431</v>
      </c>
    </row>
    <row r="1126" spans="1:14" ht="24" customHeight="1" x14ac:dyDescent="0.35">
      <c r="A1126" s="20" t="s">
        <v>314</v>
      </c>
      <c r="B1126" s="50" t="s">
        <v>255</v>
      </c>
      <c r="C1126" s="50" t="s">
        <v>996</v>
      </c>
      <c r="D1126" s="20" t="s">
        <v>1004</v>
      </c>
      <c r="E1126" s="20">
        <v>1</v>
      </c>
      <c r="F1126" s="20">
        <v>0</v>
      </c>
      <c r="G1126" s="20">
        <v>2</v>
      </c>
      <c r="H1126" s="20">
        <v>0</v>
      </c>
      <c r="I1126" s="50">
        <f t="shared" si="8"/>
        <v>3</v>
      </c>
      <c r="J1126" s="50"/>
      <c r="K1126" s="50"/>
      <c r="L1126" s="36">
        <v>2022</v>
      </c>
      <c r="M1126" s="20" t="s">
        <v>255</v>
      </c>
      <c r="N1126" s="22" t="s">
        <v>441</v>
      </c>
    </row>
    <row r="1127" spans="1:14" ht="24" customHeight="1" x14ac:dyDescent="0.35">
      <c r="A1127" s="20" t="s">
        <v>314</v>
      </c>
      <c r="B1127" s="50" t="s">
        <v>255</v>
      </c>
      <c r="C1127" s="50" t="s">
        <v>996</v>
      </c>
      <c r="D1127" s="20" t="s">
        <v>1005</v>
      </c>
      <c r="E1127" s="20">
        <v>3</v>
      </c>
      <c r="F1127" s="20">
        <v>0</v>
      </c>
      <c r="G1127" s="20">
        <v>1</v>
      </c>
      <c r="H1127" s="20">
        <v>0</v>
      </c>
      <c r="I1127" s="50">
        <f t="shared" si="8"/>
        <v>4</v>
      </c>
      <c r="J1127" s="50"/>
      <c r="K1127" s="50"/>
      <c r="L1127" s="36">
        <v>2022</v>
      </c>
      <c r="M1127" s="20" t="s">
        <v>255</v>
      </c>
      <c r="N1127" s="22" t="s">
        <v>441</v>
      </c>
    </row>
    <row r="1128" spans="1:14" ht="24" customHeight="1" x14ac:dyDescent="0.35">
      <c r="A1128" s="20" t="s">
        <v>314</v>
      </c>
      <c r="B1128" s="50" t="s">
        <v>255</v>
      </c>
      <c r="C1128" s="50" t="s">
        <v>996</v>
      </c>
      <c r="D1128" s="20" t="s">
        <v>1006</v>
      </c>
      <c r="E1128" s="20">
        <v>20400</v>
      </c>
      <c r="F1128" s="20">
        <v>0</v>
      </c>
      <c r="G1128" s="20">
        <v>5400</v>
      </c>
      <c r="H1128" s="20">
        <v>0</v>
      </c>
      <c r="I1128" s="50">
        <f t="shared" si="8"/>
        <v>25800</v>
      </c>
      <c r="J1128" s="50"/>
      <c r="K1128" s="50"/>
      <c r="L1128" s="36">
        <v>2022</v>
      </c>
      <c r="M1128" s="20" t="s">
        <v>255</v>
      </c>
      <c r="N1128" s="22" t="s">
        <v>441</v>
      </c>
    </row>
    <row r="1129" spans="1:14" ht="24" customHeight="1" x14ac:dyDescent="0.35">
      <c r="A1129" s="20" t="s">
        <v>314</v>
      </c>
      <c r="B1129" s="50" t="s">
        <v>255</v>
      </c>
      <c r="C1129" s="50" t="s">
        <v>993</v>
      </c>
      <c r="D1129" s="20" t="s">
        <v>1004</v>
      </c>
      <c r="E1129" s="20">
        <v>1</v>
      </c>
      <c r="F1129" s="20">
        <v>0</v>
      </c>
      <c r="G1129" s="20">
        <v>0</v>
      </c>
      <c r="H1129" s="20">
        <v>0</v>
      </c>
      <c r="I1129" s="50">
        <f t="shared" si="8"/>
        <v>1</v>
      </c>
      <c r="J1129" s="50"/>
      <c r="K1129" s="50"/>
      <c r="L1129" s="36">
        <v>2022</v>
      </c>
      <c r="M1129" s="20" t="s">
        <v>255</v>
      </c>
      <c r="N1129" s="22" t="s">
        <v>441</v>
      </c>
    </row>
    <row r="1130" spans="1:14" ht="24" customHeight="1" x14ac:dyDescent="0.35">
      <c r="A1130" s="20" t="s">
        <v>314</v>
      </c>
      <c r="B1130" s="50" t="s">
        <v>255</v>
      </c>
      <c r="C1130" s="50" t="s">
        <v>993</v>
      </c>
      <c r="D1130" s="20" t="s">
        <v>1005</v>
      </c>
      <c r="E1130" s="20">
        <v>1</v>
      </c>
      <c r="F1130" s="20">
        <v>0</v>
      </c>
      <c r="G1130" s="20">
        <v>0</v>
      </c>
      <c r="H1130" s="20">
        <v>0</v>
      </c>
      <c r="I1130" s="50">
        <f t="shared" si="8"/>
        <v>1</v>
      </c>
      <c r="J1130" s="50"/>
      <c r="K1130" s="50"/>
      <c r="L1130" s="36">
        <v>2022</v>
      </c>
      <c r="M1130" s="20" t="s">
        <v>255</v>
      </c>
      <c r="N1130" s="22" t="s">
        <v>441</v>
      </c>
    </row>
    <row r="1131" spans="1:14" ht="24" customHeight="1" x14ac:dyDescent="0.35">
      <c r="A1131" s="20" t="s">
        <v>314</v>
      </c>
      <c r="B1131" s="50" t="s">
        <v>255</v>
      </c>
      <c r="C1131" s="50" t="s">
        <v>993</v>
      </c>
      <c r="D1131" s="20" t="s">
        <v>1006</v>
      </c>
      <c r="E1131" s="20">
        <v>8800</v>
      </c>
      <c r="F1131" s="20">
        <v>0</v>
      </c>
      <c r="G1131" s="20">
        <v>0</v>
      </c>
      <c r="H1131" s="20">
        <v>0</v>
      </c>
      <c r="I1131" s="50">
        <f t="shared" si="8"/>
        <v>8800</v>
      </c>
      <c r="J1131" s="50"/>
      <c r="K1131" s="50"/>
      <c r="L1131" s="36">
        <v>2022</v>
      </c>
      <c r="M1131" s="20" t="s">
        <v>255</v>
      </c>
      <c r="N1131" s="22" t="s">
        <v>441</v>
      </c>
    </row>
    <row r="1132" spans="1:14" ht="24" customHeight="1" x14ac:dyDescent="0.35">
      <c r="A1132" s="20" t="s">
        <v>317</v>
      </c>
      <c r="B1132" s="50" t="s">
        <v>41</v>
      </c>
      <c r="C1132" s="50" t="s">
        <v>996</v>
      </c>
      <c r="D1132" s="20" t="s">
        <v>1004</v>
      </c>
      <c r="E1132" s="20">
        <v>1</v>
      </c>
      <c r="F1132" s="20">
        <v>2</v>
      </c>
      <c r="G1132" s="20">
        <v>30</v>
      </c>
      <c r="H1132" s="20">
        <v>1</v>
      </c>
      <c r="I1132" s="50">
        <f t="shared" si="8"/>
        <v>34</v>
      </c>
      <c r="J1132" s="50"/>
      <c r="K1132" s="50"/>
      <c r="L1132" s="36">
        <v>2022</v>
      </c>
      <c r="M1132" s="20" t="s">
        <v>41</v>
      </c>
      <c r="N1132" s="22" t="s">
        <v>424</v>
      </c>
    </row>
    <row r="1133" spans="1:14" ht="24" customHeight="1" x14ac:dyDescent="0.35">
      <c r="A1133" s="20" t="s">
        <v>317</v>
      </c>
      <c r="B1133" s="50" t="s">
        <v>41</v>
      </c>
      <c r="C1133" s="50" t="s">
        <v>996</v>
      </c>
      <c r="D1133" s="20" t="s">
        <v>1005</v>
      </c>
      <c r="E1133" s="20">
        <v>15</v>
      </c>
      <c r="F1133" s="20">
        <v>38</v>
      </c>
      <c r="G1133" s="20">
        <v>194</v>
      </c>
      <c r="H1133" s="20">
        <v>113</v>
      </c>
      <c r="I1133" s="50">
        <f t="shared" si="8"/>
        <v>360</v>
      </c>
      <c r="J1133" s="50"/>
      <c r="K1133" s="50"/>
      <c r="L1133" s="36">
        <v>2022</v>
      </c>
      <c r="M1133" s="20" t="s">
        <v>41</v>
      </c>
      <c r="N1133" s="22" t="s">
        <v>424</v>
      </c>
    </row>
    <row r="1134" spans="1:14" ht="24" customHeight="1" x14ac:dyDescent="0.35">
      <c r="A1134" s="20" t="s">
        <v>317</v>
      </c>
      <c r="B1134" s="50" t="s">
        <v>41</v>
      </c>
      <c r="C1134" s="50" t="s">
        <v>996</v>
      </c>
      <c r="D1134" s="20" t="s">
        <v>1006</v>
      </c>
      <c r="E1134" s="20">
        <v>542708</v>
      </c>
      <c r="F1134" s="20">
        <v>723644</v>
      </c>
      <c r="G1134" s="20">
        <v>1868939</v>
      </c>
      <c r="H1134" s="20">
        <v>675170</v>
      </c>
      <c r="I1134" s="50">
        <f t="shared" si="8"/>
        <v>3810461</v>
      </c>
      <c r="J1134" s="50"/>
      <c r="K1134" s="50"/>
      <c r="L1134" s="36">
        <v>2022</v>
      </c>
      <c r="M1134" s="20" t="s">
        <v>41</v>
      </c>
      <c r="N1134" s="22" t="s">
        <v>424</v>
      </c>
    </row>
    <row r="1135" spans="1:14" ht="24" customHeight="1" x14ac:dyDescent="0.35">
      <c r="A1135" s="20" t="s">
        <v>317</v>
      </c>
      <c r="B1135" s="50" t="s">
        <v>41</v>
      </c>
      <c r="C1135" s="50" t="s">
        <v>993</v>
      </c>
      <c r="D1135" s="20" t="s">
        <v>1004</v>
      </c>
      <c r="E1135" s="20">
        <v>2</v>
      </c>
      <c r="F1135" s="20">
        <v>0</v>
      </c>
      <c r="G1135" s="20">
        <v>0</v>
      </c>
      <c r="H1135" s="20">
        <v>0</v>
      </c>
      <c r="I1135" s="50">
        <f t="shared" si="8"/>
        <v>2</v>
      </c>
      <c r="J1135" s="50"/>
      <c r="K1135" s="50"/>
      <c r="L1135" s="36">
        <v>2022</v>
      </c>
      <c r="M1135" s="20" t="s">
        <v>41</v>
      </c>
      <c r="N1135" s="22" t="s">
        <v>424</v>
      </c>
    </row>
    <row r="1136" spans="1:14" ht="24" customHeight="1" x14ac:dyDescent="0.35">
      <c r="A1136" s="20" t="s">
        <v>317</v>
      </c>
      <c r="B1136" s="50" t="s">
        <v>41</v>
      </c>
      <c r="C1136" s="50" t="s">
        <v>993</v>
      </c>
      <c r="D1136" s="20" t="s">
        <v>1005</v>
      </c>
      <c r="E1136" s="20">
        <v>9</v>
      </c>
      <c r="F1136" s="20">
        <v>0</v>
      </c>
      <c r="G1136" s="20">
        <v>0</v>
      </c>
      <c r="H1136" s="20">
        <v>0</v>
      </c>
      <c r="I1136" s="50">
        <f t="shared" si="8"/>
        <v>9</v>
      </c>
      <c r="J1136" s="50"/>
      <c r="K1136" s="50"/>
      <c r="L1136" s="36">
        <v>2022</v>
      </c>
      <c r="M1136" s="20" t="s">
        <v>41</v>
      </c>
      <c r="N1136" s="22" t="s">
        <v>424</v>
      </c>
    </row>
    <row r="1137" spans="1:14" ht="24" customHeight="1" x14ac:dyDescent="0.35">
      <c r="A1137" s="20" t="s">
        <v>317</v>
      </c>
      <c r="B1137" s="50" t="s">
        <v>41</v>
      </c>
      <c r="C1137" s="50" t="s">
        <v>993</v>
      </c>
      <c r="D1137" s="20" t="s">
        <v>1006</v>
      </c>
      <c r="E1137" s="20">
        <v>1023282</v>
      </c>
      <c r="F1137" s="20">
        <v>0</v>
      </c>
      <c r="G1137" s="20">
        <v>0</v>
      </c>
      <c r="H1137" s="20">
        <v>0</v>
      </c>
      <c r="I1137" s="50">
        <f t="shared" si="8"/>
        <v>1023282</v>
      </c>
      <c r="J1137" s="50"/>
      <c r="K1137" s="50"/>
      <c r="L1137" s="36">
        <v>2022</v>
      </c>
      <c r="M1137" s="20" t="s">
        <v>41</v>
      </c>
      <c r="N1137" s="22" t="s">
        <v>424</v>
      </c>
    </row>
    <row r="1138" spans="1:14" ht="24" customHeight="1" x14ac:dyDescent="0.35">
      <c r="A1138" s="56" t="s">
        <v>492</v>
      </c>
      <c r="B1138" s="50" t="s">
        <v>46</v>
      </c>
      <c r="C1138" s="56" t="s">
        <v>996</v>
      </c>
      <c r="D1138" s="56" t="s">
        <v>1004</v>
      </c>
      <c r="E1138" s="50"/>
      <c r="F1138" s="50"/>
      <c r="G1138" s="50"/>
      <c r="H1138" s="50"/>
      <c r="I1138" s="50">
        <f t="shared" si="8"/>
        <v>0</v>
      </c>
      <c r="J1138" s="50"/>
      <c r="K1138" s="50"/>
      <c r="L1138" s="36">
        <v>2022</v>
      </c>
      <c r="M1138" s="20" t="s">
        <v>46</v>
      </c>
      <c r="N1138" s="22" t="s">
        <v>451</v>
      </c>
    </row>
    <row r="1139" spans="1:14" ht="24" customHeight="1" x14ac:dyDescent="0.35">
      <c r="A1139" s="56" t="s">
        <v>492</v>
      </c>
      <c r="B1139" s="50" t="s">
        <v>46</v>
      </c>
      <c r="C1139" s="56" t="s">
        <v>996</v>
      </c>
      <c r="D1139" s="56" t="s">
        <v>1005</v>
      </c>
      <c r="E1139" s="50"/>
      <c r="F1139" s="50"/>
      <c r="G1139" s="50"/>
      <c r="H1139" s="50"/>
      <c r="I1139" s="50">
        <f t="shared" si="8"/>
        <v>0</v>
      </c>
      <c r="J1139" s="50"/>
      <c r="K1139" s="50"/>
      <c r="L1139" s="36">
        <v>2022</v>
      </c>
      <c r="M1139" s="20" t="s">
        <v>46</v>
      </c>
      <c r="N1139" s="22" t="s">
        <v>451</v>
      </c>
    </row>
    <row r="1140" spans="1:14" ht="24" customHeight="1" x14ac:dyDescent="0.35">
      <c r="A1140" s="56" t="s">
        <v>492</v>
      </c>
      <c r="B1140" s="50" t="s">
        <v>46</v>
      </c>
      <c r="C1140" s="56" t="s">
        <v>996</v>
      </c>
      <c r="D1140" s="56" t="s">
        <v>1006</v>
      </c>
      <c r="E1140" s="50"/>
      <c r="F1140" s="50"/>
      <c r="G1140" s="50"/>
      <c r="H1140" s="50"/>
      <c r="I1140" s="50">
        <f t="shared" si="8"/>
        <v>0</v>
      </c>
      <c r="J1140" s="50"/>
      <c r="K1140" s="50"/>
      <c r="L1140" s="36">
        <v>2022</v>
      </c>
      <c r="M1140" s="20" t="s">
        <v>46</v>
      </c>
      <c r="N1140" s="22" t="s">
        <v>451</v>
      </c>
    </row>
    <row r="1141" spans="1:14" ht="24" customHeight="1" x14ac:dyDescent="0.35">
      <c r="A1141" s="56" t="s">
        <v>492</v>
      </c>
      <c r="B1141" s="50" t="s">
        <v>46</v>
      </c>
      <c r="C1141" s="56" t="s">
        <v>993</v>
      </c>
      <c r="D1141" s="56" t="s">
        <v>1004</v>
      </c>
      <c r="E1141" s="50"/>
      <c r="F1141" s="50"/>
      <c r="G1141" s="50"/>
      <c r="H1141" s="50"/>
      <c r="I1141" s="50">
        <f t="shared" si="8"/>
        <v>0</v>
      </c>
      <c r="J1141" s="50"/>
      <c r="K1141" s="50"/>
      <c r="L1141" s="36">
        <v>2022</v>
      </c>
      <c r="M1141" s="20" t="s">
        <v>46</v>
      </c>
      <c r="N1141" s="22" t="s">
        <v>451</v>
      </c>
    </row>
    <row r="1142" spans="1:14" ht="24" customHeight="1" x14ac:dyDescent="0.35">
      <c r="A1142" s="56" t="s">
        <v>492</v>
      </c>
      <c r="B1142" s="50" t="s">
        <v>46</v>
      </c>
      <c r="C1142" s="56" t="s">
        <v>993</v>
      </c>
      <c r="D1142" s="56" t="s">
        <v>1005</v>
      </c>
      <c r="E1142" s="50"/>
      <c r="F1142" s="50"/>
      <c r="G1142" s="50"/>
      <c r="H1142" s="50"/>
      <c r="I1142" s="50">
        <f t="shared" si="8"/>
        <v>0</v>
      </c>
      <c r="J1142" s="50"/>
      <c r="K1142" s="50"/>
      <c r="L1142" s="36">
        <v>2022</v>
      </c>
      <c r="M1142" s="20" t="s">
        <v>46</v>
      </c>
      <c r="N1142" s="22" t="s">
        <v>451</v>
      </c>
    </row>
    <row r="1143" spans="1:14" ht="24" customHeight="1" x14ac:dyDescent="0.35">
      <c r="A1143" s="56" t="s">
        <v>492</v>
      </c>
      <c r="B1143" s="50" t="s">
        <v>46</v>
      </c>
      <c r="C1143" s="56" t="s">
        <v>993</v>
      </c>
      <c r="D1143" s="56" t="s">
        <v>1006</v>
      </c>
      <c r="E1143" s="50"/>
      <c r="F1143" s="50"/>
      <c r="G1143" s="50"/>
      <c r="H1143" s="50"/>
      <c r="I1143" s="50">
        <f t="shared" si="8"/>
        <v>0</v>
      </c>
      <c r="J1143" s="50"/>
      <c r="K1143" s="50"/>
      <c r="L1143" s="36">
        <v>2022</v>
      </c>
      <c r="M1143" s="20" t="s">
        <v>46</v>
      </c>
      <c r="N1143" s="22" t="s">
        <v>451</v>
      </c>
    </row>
    <row r="1144" spans="1:14" ht="24" customHeight="1" x14ac:dyDescent="0.35">
      <c r="A1144" s="56" t="s">
        <v>495</v>
      </c>
      <c r="B1144" s="50" t="s">
        <v>322</v>
      </c>
      <c r="C1144" s="56" t="s">
        <v>996</v>
      </c>
      <c r="D1144" s="56" t="s">
        <v>1004</v>
      </c>
      <c r="E1144" s="50">
        <v>0</v>
      </c>
      <c r="F1144" s="50">
        <v>1</v>
      </c>
      <c r="G1144" s="50">
        <v>0</v>
      </c>
      <c r="H1144" s="50">
        <v>1</v>
      </c>
      <c r="I1144" s="50">
        <f t="shared" si="8"/>
        <v>2</v>
      </c>
      <c r="J1144" s="50"/>
      <c r="K1144" s="50"/>
      <c r="L1144" s="36">
        <v>2022</v>
      </c>
      <c r="M1144" s="20" t="s">
        <v>322</v>
      </c>
      <c r="N1144" s="22" t="s">
        <v>498</v>
      </c>
    </row>
    <row r="1145" spans="1:14" ht="24" customHeight="1" x14ac:dyDescent="0.35">
      <c r="A1145" s="56" t="s">
        <v>495</v>
      </c>
      <c r="B1145" s="50" t="s">
        <v>322</v>
      </c>
      <c r="C1145" s="56" t="s">
        <v>996</v>
      </c>
      <c r="D1145" s="56" t="s">
        <v>1005</v>
      </c>
      <c r="E1145" s="50">
        <v>0</v>
      </c>
      <c r="F1145" s="50">
        <v>1</v>
      </c>
      <c r="G1145" s="50">
        <v>2</v>
      </c>
      <c r="H1145" s="50">
        <v>41</v>
      </c>
      <c r="I1145" s="50">
        <f t="shared" si="8"/>
        <v>44</v>
      </c>
      <c r="J1145" s="50"/>
      <c r="K1145" s="50"/>
      <c r="L1145" s="36">
        <v>2022</v>
      </c>
      <c r="M1145" s="20" t="s">
        <v>322</v>
      </c>
      <c r="N1145" s="22" t="s">
        <v>498</v>
      </c>
    </row>
    <row r="1146" spans="1:14" ht="24" customHeight="1" x14ac:dyDescent="0.35">
      <c r="A1146" s="56" t="s">
        <v>495</v>
      </c>
      <c r="B1146" s="50" t="s">
        <v>322</v>
      </c>
      <c r="C1146" s="56" t="s">
        <v>996</v>
      </c>
      <c r="D1146" s="56" t="s">
        <v>1006</v>
      </c>
      <c r="E1146" s="50">
        <v>0</v>
      </c>
      <c r="F1146" s="50">
        <v>1685.2619999999999</v>
      </c>
      <c r="G1146" s="50">
        <v>1685.2619999999999</v>
      </c>
      <c r="H1146" s="50">
        <v>117344.034</v>
      </c>
      <c r="I1146" s="50">
        <f t="shared" si="8"/>
        <v>120714.558</v>
      </c>
      <c r="J1146" s="50"/>
      <c r="K1146" s="50"/>
      <c r="L1146" s="36">
        <v>2022</v>
      </c>
      <c r="M1146" s="20" t="s">
        <v>322</v>
      </c>
      <c r="N1146" s="22" t="s">
        <v>498</v>
      </c>
    </row>
    <row r="1147" spans="1:14" ht="24" customHeight="1" x14ac:dyDescent="0.35">
      <c r="A1147" s="56" t="s">
        <v>495</v>
      </c>
      <c r="B1147" s="50" t="s">
        <v>322</v>
      </c>
      <c r="C1147" s="56" t="s">
        <v>993</v>
      </c>
      <c r="D1147" s="56" t="s">
        <v>1004</v>
      </c>
      <c r="E1147" s="50">
        <v>0</v>
      </c>
      <c r="F1147" s="50">
        <v>0</v>
      </c>
      <c r="G1147" s="50">
        <v>0</v>
      </c>
      <c r="H1147" s="50">
        <v>0</v>
      </c>
      <c r="I1147" s="50">
        <f t="shared" si="8"/>
        <v>0</v>
      </c>
      <c r="J1147" s="50"/>
      <c r="K1147" s="50"/>
      <c r="L1147" s="36">
        <v>2022</v>
      </c>
      <c r="M1147" s="20" t="s">
        <v>322</v>
      </c>
      <c r="N1147" s="22" t="s">
        <v>498</v>
      </c>
    </row>
    <row r="1148" spans="1:14" ht="24" customHeight="1" x14ac:dyDescent="0.35">
      <c r="A1148" s="56" t="s">
        <v>495</v>
      </c>
      <c r="B1148" s="50" t="s">
        <v>322</v>
      </c>
      <c r="C1148" s="56" t="s">
        <v>993</v>
      </c>
      <c r="D1148" s="56" t="s">
        <v>1005</v>
      </c>
      <c r="E1148" s="50">
        <v>0</v>
      </c>
      <c r="F1148" s="50">
        <v>0</v>
      </c>
      <c r="G1148" s="50">
        <v>0</v>
      </c>
      <c r="H1148" s="50">
        <v>0</v>
      </c>
      <c r="I1148" s="50">
        <f t="shared" si="8"/>
        <v>0</v>
      </c>
      <c r="J1148" s="50"/>
      <c r="K1148" s="50"/>
      <c r="L1148" s="36">
        <v>2022</v>
      </c>
      <c r="M1148" s="20" t="s">
        <v>322</v>
      </c>
      <c r="N1148" s="22" t="s">
        <v>498</v>
      </c>
    </row>
    <row r="1149" spans="1:14" ht="24" customHeight="1" x14ac:dyDescent="0.35">
      <c r="A1149" s="56" t="s">
        <v>495</v>
      </c>
      <c r="B1149" s="50" t="s">
        <v>322</v>
      </c>
      <c r="C1149" s="56" t="s">
        <v>993</v>
      </c>
      <c r="D1149" s="56" t="s">
        <v>1006</v>
      </c>
      <c r="E1149" s="50">
        <v>0</v>
      </c>
      <c r="F1149" s="50">
        <v>0</v>
      </c>
      <c r="G1149" s="50">
        <v>0</v>
      </c>
      <c r="H1149" s="50">
        <v>0</v>
      </c>
      <c r="I1149" s="50">
        <f t="shared" si="8"/>
        <v>0</v>
      </c>
      <c r="J1149" s="50"/>
      <c r="K1149" s="50"/>
      <c r="L1149" s="36">
        <v>2022</v>
      </c>
      <c r="M1149" s="20" t="s">
        <v>322</v>
      </c>
      <c r="N1149" s="22" t="s">
        <v>498</v>
      </c>
    </row>
    <row r="1150" spans="1:14" ht="24" customHeight="1" x14ac:dyDescent="0.35">
      <c r="A1150" s="56" t="s">
        <v>501</v>
      </c>
      <c r="B1150" s="50" t="s">
        <v>46</v>
      </c>
      <c r="C1150" s="56" t="s">
        <v>996</v>
      </c>
      <c r="D1150" s="56" t="s">
        <v>1004</v>
      </c>
      <c r="E1150" s="50">
        <v>0</v>
      </c>
      <c r="F1150" s="50"/>
      <c r="G1150" s="50">
        <v>0</v>
      </c>
      <c r="H1150" s="50">
        <v>0</v>
      </c>
      <c r="I1150" s="50">
        <f t="shared" si="8"/>
        <v>0</v>
      </c>
      <c r="J1150" s="50"/>
      <c r="K1150" s="50"/>
      <c r="L1150" s="36">
        <v>2022</v>
      </c>
      <c r="M1150" s="20" t="s">
        <v>46</v>
      </c>
      <c r="N1150" s="22" t="s">
        <v>498</v>
      </c>
    </row>
    <row r="1151" spans="1:14" ht="24" customHeight="1" x14ac:dyDescent="0.35">
      <c r="A1151" s="56" t="s">
        <v>501</v>
      </c>
      <c r="B1151" s="50" t="s">
        <v>46</v>
      </c>
      <c r="C1151" s="56" t="s">
        <v>996</v>
      </c>
      <c r="D1151" s="56" t="s">
        <v>1005</v>
      </c>
      <c r="E1151" s="50">
        <v>0</v>
      </c>
      <c r="F1151" s="50"/>
      <c r="G1151" s="50">
        <v>4</v>
      </c>
      <c r="H1151" s="50">
        <f>9+9</f>
        <v>18</v>
      </c>
      <c r="I1151" s="50">
        <f t="shared" si="8"/>
        <v>22</v>
      </c>
      <c r="J1151" s="50"/>
      <c r="K1151" s="50"/>
      <c r="L1151" s="36">
        <v>2022</v>
      </c>
      <c r="M1151" s="20" t="s">
        <v>46</v>
      </c>
      <c r="N1151" s="22" t="s">
        <v>498</v>
      </c>
    </row>
    <row r="1152" spans="1:14" ht="24" customHeight="1" x14ac:dyDescent="0.35">
      <c r="A1152" s="56" t="s">
        <v>501</v>
      </c>
      <c r="B1152" s="50" t="s">
        <v>46</v>
      </c>
      <c r="C1152" s="56" t="s">
        <v>996</v>
      </c>
      <c r="D1152" s="56" t="s">
        <v>1006</v>
      </c>
      <c r="E1152" s="50">
        <v>0</v>
      </c>
      <c r="F1152" s="50"/>
      <c r="G1152" s="50">
        <f>1540*12</f>
        <v>18480</v>
      </c>
      <c r="H1152" s="50">
        <f>(680+4111.532)*12</f>
        <v>57498.384000000005</v>
      </c>
      <c r="I1152" s="50">
        <f t="shared" si="8"/>
        <v>75978.384000000005</v>
      </c>
      <c r="J1152" s="50"/>
      <c r="K1152" s="50"/>
      <c r="L1152" s="36">
        <v>2022</v>
      </c>
      <c r="M1152" s="20" t="s">
        <v>46</v>
      </c>
      <c r="N1152" s="22" t="s">
        <v>498</v>
      </c>
    </row>
    <row r="1153" spans="1:14" ht="24" customHeight="1" x14ac:dyDescent="0.35">
      <c r="A1153" s="56" t="s">
        <v>501</v>
      </c>
      <c r="B1153" s="50" t="s">
        <v>46</v>
      </c>
      <c r="C1153" s="56" t="s">
        <v>993</v>
      </c>
      <c r="D1153" s="56" t="s">
        <v>1004</v>
      </c>
      <c r="E1153" s="50">
        <v>0</v>
      </c>
      <c r="F1153" s="50"/>
      <c r="G1153" s="50">
        <v>0</v>
      </c>
      <c r="H1153" s="50"/>
      <c r="I1153" s="50">
        <f t="shared" si="8"/>
        <v>0</v>
      </c>
      <c r="J1153" s="50"/>
      <c r="K1153" s="50"/>
      <c r="L1153" s="36">
        <v>2022</v>
      </c>
      <c r="M1153" s="20" t="s">
        <v>46</v>
      </c>
      <c r="N1153" s="22" t="s">
        <v>498</v>
      </c>
    </row>
    <row r="1154" spans="1:14" ht="24" customHeight="1" x14ac:dyDescent="0.35">
      <c r="A1154" s="56" t="s">
        <v>501</v>
      </c>
      <c r="B1154" s="50" t="s">
        <v>46</v>
      </c>
      <c r="C1154" s="56" t="s">
        <v>993</v>
      </c>
      <c r="D1154" s="56" t="s">
        <v>1005</v>
      </c>
      <c r="E1154" s="50">
        <v>0</v>
      </c>
      <c r="F1154" s="50"/>
      <c r="G1154" s="50">
        <v>0</v>
      </c>
      <c r="H1154" s="50"/>
      <c r="I1154" s="50">
        <f t="shared" si="8"/>
        <v>0</v>
      </c>
      <c r="J1154" s="50"/>
      <c r="K1154" s="50"/>
      <c r="L1154" s="36">
        <v>2022</v>
      </c>
      <c r="M1154" s="20" t="s">
        <v>46</v>
      </c>
      <c r="N1154" s="22" t="s">
        <v>498</v>
      </c>
    </row>
    <row r="1155" spans="1:14" ht="24" customHeight="1" x14ac:dyDescent="0.35">
      <c r="A1155" s="56" t="s">
        <v>501</v>
      </c>
      <c r="B1155" s="50" t="s">
        <v>46</v>
      </c>
      <c r="C1155" s="56" t="s">
        <v>993</v>
      </c>
      <c r="D1155" s="56" t="s">
        <v>1006</v>
      </c>
      <c r="E1155" s="50">
        <v>0</v>
      </c>
      <c r="F1155" s="50"/>
      <c r="G1155" s="50">
        <v>0</v>
      </c>
      <c r="H1155" s="50"/>
      <c r="I1155" s="50">
        <f t="shared" si="8"/>
        <v>0</v>
      </c>
      <c r="J1155" s="50"/>
      <c r="K1155" s="50"/>
      <c r="L1155" s="36">
        <v>2022</v>
      </c>
      <c r="M1155" s="20" t="s">
        <v>46</v>
      </c>
      <c r="N1155" s="22" t="s">
        <v>498</v>
      </c>
    </row>
    <row r="1156" spans="1:14" ht="24" customHeight="1" x14ac:dyDescent="0.35">
      <c r="A1156" s="20" t="s">
        <v>323</v>
      </c>
      <c r="B1156" s="50" t="s">
        <v>57</v>
      </c>
      <c r="C1156" s="50" t="s">
        <v>996</v>
      </c>
      <c r="D1156" s="20" t="s">
        <v>1004</v>
      </c>
      <c r="E1156" s="20">
        <v>0</v>
      </c>
      <c r="F1156" s="20">
        <v>1</v>
      </c>
      <c r="G1156" s="20">
        <v>1</v>
      </c>
      <c r="H1156" s="20">
        <v>1</v>
      </c>
      <c r="I1156" s="50">
        <f t="shared" si="8"/>
        <v>3</v>
      </c>
      <c r="J1156" s="50"/>
      <c r="K1156" s="50"/>
      <c r="L1156" s="36">
        <v>2022</v>
      </c>
      <c r="M1156" s="20" t="s">
        <v>57</v>
      </c>
      <c r="N1156" s="22" t="s">
        <v>504</v>
      </c>
    </row>
    <row r="1157" spans="1:14" ht="24" customHeight="1" x14ac:dyDescent="0.35">
      <c r="A1157" s="20" t="s">
        <v>323</v>
      </c>
      <c r="B1157" s="50" t="s">
        <v>57</v>
      </c>
      <c r="C1157" s="50" t="s">
        <v>996</v>
      </c>
      <c r="D1157" s="20" t="s">
        <v>1005</v>
      </c>
      <c r="E1157" s="20">
        <v>2</v>
      </c>
      <c r="F1157" s="20">
        <v>2</v>
      </c>
      <c r="G1157" s="20">
        <v>25</v>
      </c>
      <c r="H1157" s="20">
        <v>93</v>
      </c>
      <c r="I1157" s="50">
        <f t="shared" si="8"/>
        <v>122</v>
      </c>
      <c r="J1157" s="50"/>
      <c r="K1157" s="50"/>
      <c r="L1157" s="36">
        <v>2022</v>
      </c>
      <c r="M1157" s="20" t="s">
        <v>57</v>
      </c>
      <c r="N1157" s="22" t="s">
        <v>504</v>
      </c>
    </row>
    <row r="1158" spans="1:14" ht="24" customHeight="1" x14ac:dyDescent="0.35">
      <c r="A1158" s="20" t="s">
        <v>323</v>
      </c>
      <c r="B1158" s="50" t="s">
        <v>57</v>
      </c>
      <c r="C1158" s="50" t="s">
        <v>996</v>
      </c>
      <c r="D1158" s="20" t="s">
        <v>1006</v>
      </c>
      <c r="E1158" s="20">
        <v>14985</v>
      </c>
      <c r="F1158" s="20">
        <v>8912</v>
      </c>
      <c r="G1158" s="20">
        <v>68962</v>
      </c>
      <c r="H1158" s="20">
        <v>116009</v>
      </c>
      <c r="I1158" s="50">
        <f t="shared" si="8"/>
        <v>208868</v>
      </c>
      <c r="J1158" s="50"/>
      <c r="K1158" s="50"/>
      <c r="L1158" s="36">
        <v>2022</v>
      </c>
      <c r="M1158" s="20" t="s">
        <v>57</v>
      </c>
      <c r="N1158" s="22" t="s">
        <v>504</v>
      </c>
    </row>
    <row r="1159" spans="1:14" ht="24" customHeight="1" x14ac:dyDescent="0.35">
      <c r="A1159" s="20" t="s">
        <v>323</v>
      </c>
      <c r="B1159" s="50" t="s">
        <v>57</v>
      </c>
      <c r="C1159" s="50" t="s">
        <v>993</v>
      </c>
      <c r="D1159" s="20" t="s">
        <v>1004</v>
      </c>
      <c r="E1159" s="20">
        <v>0</v>
      </c>
      <c r="F1159" s="20">
        <v>0</v>
      </c>
      <c r="G1159" s="20">
        <v>0</v>
      </c>
      <c r="H1159" s="20">
        <v>0</v>
      </c>
      <c r="I1159" s="50">
        <f t="shared" si="8"/>
        <v>0</v>
      </c>
      <c r="J1159" s="50"/>
      <c r="K1159" s="50"/>
      <c r="L1159" s="36">
        <v>2022</v>
      </c>
      <c r="M1159" s="20" t="s">
        <v>57</v>
      </c>
      <c r="N1159" s="22" t="s">
        <v>504</v>
      </c>
    </row>
    <row r="1160" spans="1:14" ht="24" customHeight="1" x14ac:dyDescent="0.35">
      <c r="A1160" s="20" t="s">
        <v>323</v>
      </c>
      <c r="B1160" s="50" t="s">
        <v>57</v>
      </c>
      <c r="C1160" s="50" t="s">
        <v>993</v>
      </c>
      <c r="D1160" s="20" t="s">
        <v>1005</v>
      </c>
      <c r="E1160" s="20">
        <v>0</v>
      </c>
      <c r="F1160" s="20">
        <v>0</v>
      </c>
      <c r="G1160" s="20">
        <v>0</v>
      </c>
      <c r="H1160" s="20">
        <v>0</v>
      </c>
      <c r="I1160" s="50">
        <f t="shared" si="8"/>
        <v>0</v>
      </c>
      <c r="J1160" s="50"/>
      <c r="K1160" s="50"/>
      <c r="L1160" s="36">
        <v>2022</v>
      </c>
      <c r="M1160" s="20" t="s">
        <v>57</v>
      </c>
      <c r="N1160" s="22" t="s">
        <v>504</v>
      </c>
    </row>
    <row r="1161" spans="1:14" ht="24" customHeight="1" x14ac:dyDescent="0.35">
      <c r="A1161" s="20" t="s">
        <v>323</v>
      </c>
      <c r="B1161" s="50" t="s">
        <v>57</v>
      </c>
      <c r="C1161" s="50" t="s">
        <v>993</v>
      </c>
      <c r="D1161" s="20" t="s">
        <v>1006</v>
      </c>
      <c r="E1161" s="20">
        <v>0</v>
      </c>
      <c r="F1161" s="20">
        <v>0</v>
      </c>
      <c r="G1161" s="20">
        <v>0</v>
      </c>
      <c r="H1161" s="20">
        <v>0</v>
      </c>
      <c r="I1161" s="50">
        <f t="shared" si="8"/>
        <v>0</v>
      </c>
      <c r="J1161" s="50"/>
      <c r="K1161" s="50"/>
      <c r="L1161" s="36">
        <v>2022</v>
      </c>
      <c r="M1161" s="20" t="s">
        <v>57</v>
      </c>
      <c r="N1161" s="22" t="s">
        <v>504</v>
      </c>
    </row>
    <row r="1162" spans="1:14" ht="24" customHeight="1" x14ac:dyDescent="0.35">
      <c r="A1162" s="20" t="s">
        <v>726</v>
      </c>
      <c r="B1162" s="50" t="s">
        <v>46</v>
      </c>
      <c r="C1162" s="50" t="s">
        <v>996</v>
      </c>
      <c r="D1162" s="20" t="s">
        <v>1004</v>
      </c>
      <c r="E1162" s="20">
        <v>0</v>
      </c>
      <c r="F1162" s="20">
        <v>0</v>
      </c>
      <c r="G1162" s="20">
        <v>0</v>
      </c>
      <c r="H1162" s="20">
        <v>0</v>
      </c>
      <c r="I1162" s="50">
        <f t="shared" si="8"/>
        <v>0</v>
      </c>
      <c r="J1162" s="50"/>
      <c r="K1162" s="50"/>
      <c r="L1162" s="36">
        <v>2022</v>
      </c>
      <c r="M1162" s="50" t="s">
        <v>46</v>
      </c>
      <c r="N1162" s="22" t="s">
        <v>424</v>
      </c>
    </row>
    <row r="1163" spans="1:14" ht="24" customHeight="1" x14ac:dyDescent="0.35">
      <c r="A1163" s="20" t="s">
        <v>726</v>
      </c>
      <c r="B1163" s="50" t="s">
        <v>46</v>
      </c>
      <c r="C1163" s="50" t="s">
        <v>996</v>
      </c>
      <c r="D1163" s="20" t="s">
        <v>1005</v>
      </c>
      <c r="E1163" s="20">
        <v>0</v>
      </c>
      <c r="F1163" s="20">
        <v>1</v>
      </c>
      <c r="G1163" s="20">
        <v>0</v>
      </c>
      <c r="H1163" s="20">
        <v>47</v>
      </c>
      <c r="I1163" s="50">
        <f t="shared" si="8"/>
        <v>48</v>
      </c>
      <c r="J1163" s="50"/>
      <c r="K1163" s="50"/>
      <c r="L1163" s="36">
        <v>2022</v>
      </c>
      <c r="M1163" s="50" t="s">
        <v>46</v>
      </c>
      <c r="N1163" s="22" t="s">
        <v>424</v>
      </c>
    </row>
    <row r="1164" spans="1:14" ht="24" customHeight="1" x14ac:dyDescent="0.35">
      <c r="A1164" s="20" t="s">
        <v>726</v>
      </c>
      <c r="B1164" s="50" t="s">
        <v>46</v>
      </c>
      <c r="C1164" s="50" t="s">
        <v>996</v>
      </c>
      <c r="D1164" s="20" t="s">
        <v>1006</v>
      </c>
      <c r="E1164" s="20">
        <v>0</v>
      </c>
      <c r="F1164" s="20">
        <v>10800</v>
      </c>
      <c r="G1164" s="20">
        <v>0</v>
      </c>
      <c r="H1164" s="20">
        <v>51905</v>
      </c>
      <c r="I1164" s="50">
        <f t="shared" si="8"/>
        <v>62705</v>
      </c>
      <c r="J1164" s="50"/>
      <c r="K1164" s="50"/>
      <c r="L1164" s="36">
        <v>2022</v>
      </c>
      <c r="M1164" s="50" t="s">
        <v>46</v>
      </c>
      <c r="N1164" s="22" t="s">
        <v>424</v>
      </c>
    </row>
    <row r="1165" spans="1:14" ht="24" customHeight="1" x14ac:dyDescent="0.35">
      <c r="A1165" s="20" t="s">
        <v>726</v>
      </c>
      <c r="B1165" s="50" t="s">
        <v>46</v>
      </c>
      <c r="C1165" s="50" t="s">
        <v>993</v>
      </c>
      <c r="D1165" s="20" t="s">
        <v>1004</v>
      </c>
      <c r="E1165" s="20">
        <v>0</v>
      </c>
      <c r="F1165" s="20">
        <v>0</v>
      </c>
      <c r="G1165" s="20">
        <v>0</v>
      </c>
      <c r="H1165" s="20">
        <v>0</v>
      </c>
      <c r="I1165" s="50">
        <f t="shared" si="8"/>
        <v>0</v>
      </c>
      <c r="J1165" s="50"/>
      <c r="K1165" s="50"/>
      <c r="L1165" s="36">
        <v>2022</v>
      </c>
      <c r="M1165" s="50" t="s">
        <v>46</v>
      </c>
      <c r="N1165" s="22" t="s">
        <v>424</v>
      </c>
    </row>
    <row r="1166" spans="1:14" ht="24" customHeight="1" x14ac:dyDescent="0.35">
      <c r="A1166" s="20" t="s">
        <v>726</v>
      </c>
      <c r="B1166" s="50" t="s">
        <v>46</v>
      </c>
      <c r="C1166" s="50" t="s">
        <v>993</v>
      </c>
      <c r="D1166" s="20" t="s">
        <v>1005</v>
      </c>
      <c r="E1166" s="20">
        <v>1</v>
      </c>
      <c r="F1166" s="20">
        <v>0</v>
      </c>
      <c r="G1166" s="20">
        <v>0</v>
      </c>
      <c r="H1166" s="20">
        <v>0</v>
      </c>
      <c r="I1166" s="50">
        <f t="shared" si="8"/>
        <v>1</v>
      </c>
      <c r="J1166" s="50"/>
      <c r="K1166" s="50"/>
      <c r="L1166" s="36">
        <v>2022</v>
      </c>
      <c r="M1166" s="50" t="s">
        <v>46</v>
      </c>
      <c r="N1166" s="22" t="s">
        <v>424</v>
      </c>
    </row>
    <row r="1167" spans="1:14" ht="24" customHeight="1" x14ac:dyDescent="0.35">
      <c r="A1167" s="20" t="s">
        <v>726</v>
      </c>
      <c r="B1167" s="50" t="s">
        <v>46</v>
      </c>
      <c r="C1167" s="50" t="s">
        <v>993</v>
      </c>
      <c r="D1167" s="20" t="s">
        <v>1006</v>
      </c>
      <c r="E1167" s="20">
        <v>24000</v>
      </c>
      <c r="F1167" s="20">
        <v>0</v>
      </c>
      <c r="G1167" s="20">
        <v>0</v>
      </c>
      <c r="H1167" s="20">
        <v>0</v>
      </c>
      <c r="I1167" s="50">
        <f t="shared" si="8"/>
        <v>24000</v>
      </c>
      <c r="J1167" s="50"/>
      <c r="K1167" s="50"/>
      <c r="L1167" s="36">
        <v>2022</v>
      </c>
      <c r="M1167" s="50" t="s">
        <v>46</v>
      </c>
      <c r="N1167" s="22" t="s">
        <v>424</v>
      </c>
    </row>
    <row r="1168" spans="1:14" ht="24" customHeight="1" x14ac:dyDescent="0.35">
      <c r="A1168" s="20" t="s">
        <v>62</v>
      </c>
      <c r="B1168" s="50" t="s">
        <v>46</v>
      </c>
      <c r="C1168" s="50" t="s">
        <v>996</v>
      </c>
      <c r="D1168" s="20" t="s">
        <v>1004</v>
      </c>
      <c r="E1168" s="20">
        <v>1</v>
      </c>
      <c r="F1168" s="50">
        <v>3</v>
      </c>
      <c r="G1168" s="20">
        <v>13</v>
      </c>
      <c r="H1168" s="20">
        <v>29</v>
      </c>
      <c r="I1168" s="50">
        <f t="shared" si="8"/>
        <v>46</v>
      </c>
      <c r="J1168" s="50"/>
      <c r="K1168" s="50"/>
      <c r="L1168" s="36">
        <v>2022</v>
      </c>
      <c r="M1168" s="20" t="s">
        <v>46</v>
      </c>
      <c r="N1168" s="22" t="s">
        <v>442</v>
      </c>
    </row>
    <row r="1169" spans="1:14" ht="24" customHeight="1" x14ac:dyDescent="0.35">
      <c r="A1169" s="20" t="s">
        <v>62</v>
      </c>
      <c r="B1169" s="50" t="s">
        <v>46</v>
      </c>
      <c r="C1169" s="50" t="s">
        <v>996</v>
      </c>
      <c r="D1169" s="20" t="s">
        <v>1005</v>
      </c>
      <c r="E1169" s="50">
        <v>3</v>
      </c>
      <c r="F1169" s="50">
        <v>10</v>
      </c>
      <c r="G1169" s="20">
        <v>45</v>
      </c>
      <c r="H1169" s="20">
        <f>366+1</f>
        <v>367</v>
      </c>
      <c r="I1169" s="50">
        <f t="shared" ref="I1169:I1232" si="9">SUM(E1169:H1169)</f>
        <v>425</v>
      </c>
      <c r="J1169" s="50"/>
      <c r="K1169" s="50"/>
      <c r="L1169" s="36">
        <v>2022</v>
      </c>
      <c r="M1169" s="20" t="s">
        <v>46</v>
      </c>
      <c r="N1169" s="22" t="s">
        <v>442</v>
      </c>
    </row>
    <row r="1170" spans="1:14" ht="24" customHeight="1" x14ac:dyDescent="0.35">
      <c r="A1170" s="20" t="s">
        <v>62</v>
      </c>
      <c r="B1170" s="50" t="s">
        <v>46</v>
      </c>
      <c r="C1170" s="50" t="s">
        <v>996</v>
      </c>
      <c r="D1170" s="20" t="s">
        <v>1006</v>
      </c>
      <c r="E1170" s="50">
        <v>78032</v>
      </c>
      <c r="F1170" s="50">
        <v>162615</v>
      </c>
      <c r="G1170" s="20">
        <v>284115</v>
      </c>
      <c r="H1170" s="20">
        <f>843594+604</f>
        <v>844198</v>
      </c>
      <c r="I1170" s="50">
        <f t="shared" si="9"/>
        <v>1368960</v>
      </c>
      <c r="J1170" s="50"/>
      <c r="K1170" s="50"/>
      <c r="L1170" s="36">
        <v>2022</v>
      </c>
      <c r="M1170" s="20" t="s">
        <v>46</v>
      </c>
      <c r="N1170" s="22" t="s">
        <v>442</v>
      </c>
    </row>
    <row r="1171" spans="1:14" ht="24" customHeight="1" x14ac:dyDescent="0.35">
      <c r="A1171" s="20" t="s">
        <v>62</v>
      </c>
      <c r="B1171" s="50" t="s">
        <v>46</v>
      </c>
      <c r="C1171" s="50" t="s">
        <v>993</v>
      </c>
      <c r="D1171" s="20" t="s">
        <v>1004</v>
      </c>
      <c r="E1171" s="50">
        <v>1</v>
      </c>
      <c r="F1171" s="20">
        <v>0</v>
      </c>
      <c r="G1171" s="20">
        <v>0</v>
      </c>
      <c r="H1171" s="20"/>
      <c r="I1171" s="50">
        <f t="shared" si="9"/>
        <v>1</v>
      </c>
      <c r="J1171" s="50"/>
      <c r="K1171" s="50"/>
      <c r="L1171" s="36">
        <v>2022</v>
      </c>
      <c r="M1171" s="20" t="s">
        <v>46</v>
      </c>
      <c r="N1171" s="22" t="s">
        <v>442</v>
      </c>
    </row>
    <row r="1172" spans="1:14" ht="24" customHeight="1" x14ac:dyDescent="0.35">
      <c r="A1172" s="20" t="s">
        <v>62</v>
      </c>
      <c r="B1172" s="50" t="s">
        <v>46</v>
      </c>
      <c r="C1172" s="50" t="s">
        <v>993</v>
      </c>
      <c r="D1172" s="20" t="s">
        <v>1005</v>
      </c>
      <c r="E1172" s="20">
        <v>12</v>
      </c>
      <c r="F1172" s="50">
        <v>1</v>
      </c>
      <c r="G1172" s="20">
        <v>1</v>
      </c>
      <c r="H1172" s="20"/>
      <c r="I1172" s="50">
        <f t="shared" si="9"/>
        <v>14</v>
      </c>
      <c r="J1172" s="50"/>
      <c r="K1172" s="50"/>
      <c r="L1172" s="36">
        <v>2022</v>
      </c>
      <c r="M1172" s="20" t="s">
        <v>46</v>
      </c>
      <c r="N1172" s="22" t="s">
        <v>442</v>
      </c>
    </row>
    <row r="1173" spans="1:14" ht="24" customHeight="1" x14ac:dyDescent="0.35">
      <c r="A1173" s="20" t="s">
        <v>62</v>
      </c>
      <c r="B1173" s="50" t="s">
        <v>46</v>
      </c>
      <c r="C1173" s="50" t="s">
        <v>993</v>
      </c>
      <c r="D1173" s="20" t="s">
        <v>1006</v>
      </c>
      <c r="E1173" s="20">
        <v>136314</v>
      </c>
      <c r="F1173" s="50">
        <v>6033</v>
      </c>
      <c r="G1173" s="50">
        <v>876</v>
      </c>
      <c r="H1173" s="50"/>
      <c r="I1173" s="50">
        <f t="shared" si="9"/>
        <v>143223</v>
      </c>
      <c r="J1173" s="50"/>
      <c r="K1173" s="50"/>
      <c r="L1173" s="36">
        <v>2022</v>
      </c>
      <c r="M1173" s="20" t="s">
        <v>46</v>
      </c>
      <c r="N1173" s="22" t="s">
        <v>442</v>
      </c>
    </row>
    <row r="1174" spans="1:14" ht="24" customHeight="1" x14ac:dyDescent="0.35">
      <c r="A1174" s="20" t="s">
        <v>517</v>
      </c>
      <c r="B1174" s="50" t="s">
        <v>46</v>
      </c>
      <c r="C1174" s="50" t="s">
        <v>996</v>
      </c>
      <c r="D1174" s="20" t="s">
        <v>1004</v>
      </c>
      <c r="E1174" s="20">
        <v>1</v>
      </c>
      <c r="F1174" s="20">
        <v>0</v>
      </c>
      <c r="G1174" s="20">
        <v>0</v>
      </c>
      <c r="H1174" s="20">
        <v>4</v>
      </c>
      <c r="I1174" s="50">
        <f t="shared" si="9"/>
        <v>5</v>
      </c>
      <c r="J1174" s="50"/>
      <c r="K1174" s="50"/>
      <c r="L1174" s="36">
        <v>2022</v>
      </c>
      <c r="M1174" s="20" t="s">
        <v>46</v>
      </c>
      <c r="N1174" s="22" t="s">
        <v>451</v>
      </c>
    </row>
    <row r="1175" spans="1:14" ht="24" customHeight="1" x14ac:dyDescent="0.35">
      <c r="A1175" s="20" t="s">
        <v>517</v>
      </c>
      <c r="B1175" s="50" t="s">
        <v>46</v>
      </c>
      <c r="C1175" s="50" t="s">
        <v>996</v>
      </c>
      <c r="D1175" s="20" t="s">
        <v>1005</v>
      </c>
      <c r="E1175" s="20">
        <v>4</v>
      </c>
      <c r="F1175" s="20">
        <v>5</v>
      </c>
      <c r="G1175" s="20">
        <v>42</v>
      </c>
      <c r="H1175" s="20">
        <f>11+11</f>
        <v>22</v>
      </c>
      <c r="I1175" s="50">
        <f t="shared" si="9"/>
        <v>73</v>
      </c>
      <c r="J1175" s="50"/>
      <c r="K1175" s="50"/>
      <c r="L1175" s="36">
        <v>2022</v>
      </c>
      <c r="M1175" s="20" t="s">
        <v>46</v>
      </c>
      <c r="N1175" s="22" t="s">
        <v>451</v>
      </c>
    </row>
    <row r="1176" spans="1:14" ht="24" customHeight="1" x14ac:dyDescent="0.35">
      <c r="A1176" s="20" t="s">
        <v>517</v>
      </c>
      <c r="B1176" s="50" t="s">
        <v>46</v>
      </c>
      <c r="C1176" s="50" t="s">
        <v>996</v>
      </c>
      <c r="D1176" s="20" t="s">
        <v>1006</v>
      </c>
      <c r="E1176" s="20">
        <v>64944.57</v>
      </c>
      <c r="F1176" s="20">
        <v>32994.637000000002</v>
      </c>
      <c r="G1176" s="20">
        <v>159827.48000000001</v>
      </c>
      <c r="H1176" s="20">
        <f>25815.636+25815.636</f>
        <v>51631.271999999997</v>
      </c>
      <c r="I1176" s="50">
        <f t="shared" si="9"/>
        <v>309397.95900000003</v>
      </c>
      <c r="J1176" s="50"/>
      <c r="K1176" s="50"/>
      <c r="L1176" s="36">
        <v>2022</v>
      </c>
      <c r="M1176" s="20" t="s">
        <v>46</v>
      </c>
      <c r="N1176" s="22" t="s">
        <v>451</v>
      </c>
    </row>
    <row r="1177" spans="1:14" ht="24" customHeight="1" x14ac:dyDescent="0.35">
      <c r="A1177" s="20" t="s">
        <v>517</v>
      </c>
      <c r="B1177" s="50" t="s">
        <v>46</v>
      </c>
      <c r="C1177" s="50" t="s">
        <v>993</v>
      </c>
      <c r="D1177" s="20" t="s">
        <v>1004</v>
      </c>
      <c r="E1177" s="20">
        <v>0</v>
      </c>
      <c r="F1177" s="20">
        <v>0</v>
      </c>
      <c r="G1177" s="20">
        <v>0</v>
      </c>
      <c r="H1177" s="20">
        <v>0</v>
      </c>
      <c r="I1177" s="50">
        <f t="shared" si="9"/>
        <v>0</v>
      </c>
      <c r="J1177" s="50"/>
      <c r="K1177" s="50"/>
      <c r="L1177" s="36">
        <v>2022</v>
      </c>
      <c r="M1177" s="20" t="s">
        <v>46</v>
      </c>
      <c r="N1177" s="22" t="s">
        <v>451</v>
      </c>
    </row>
    <row r="1178" spans="1:14" ht="24" customHeight="1" x14ac:dyDescent="0.35">
      <c r="A1178" s="20" t="s">
        <v>517</v>
      </c>
      <c r="B1178" s="50" t="s">
        <v>46</v>
      </c>
      <c r="C1178" s="50" t="s">
        <v>993</v>
      </c>
      <c r="D1178" s="20" t="s">
        <v>1005</v>
      </c>
      <c r="E1178" s="20">
        <v>0</v>
      </c>
      <c r="F1178" s="20">
        <v>0</v>
      </c>
      <c r="G1178" s="20">
        <v>0</v>
      </c>
      <c r="H1178" s="20">
        <v>0</v>
      </c>
      <c r="I1178" s="50">
        <f t="shared" si="9"/>
        <v>0</v>
      </c>
      <c r="J1178" s="50"/>
      <c r="K1178" s="50"/>
      <c r="L1178" s="36">
        <v>2022</v>
      </c>
      <c r="M1178" s="20" t="s">
        <v>46</v>
      </c>
      <c r="N1178" s="22" t="s">
        <v>451</v>
      </c>
    </row>
    <row r="1179" spans="1:14" ht="24" customHeight="1" x14ac:dyDescent="0.35">
      <c r="A1179" s="20" t="s">
        <v>517</v>
      </c>
      <c r="B1179" s="50" t="s">
        <v>46</v>
      </c>
      <c r="C1179" s="50" t="s">
        <v>993</v>
      </c>
      <c r="D1179" s="20" t="s">
        <v>1006</v>
      </c>
      <c r="E1179" s="20">
        <v>0</v>
      </c>
      <c r="F1179" s="20">
        <v>0</v>
      </c>
      <c r="G1179" s="20">
        <v>0</v>
      </c>
      <c r="H1179" s="20">
        <v>0</v>
      </c>
      <c r="I1179" s="50">
        <f t="shared" si="9"/>
        <v>0</v>
      </c>
      <c r="J1179" s="50"/>
      <c r="K1179" s="50"/>
      <c r="L1179" s="36">
        <v>2022</v>
      </c>
      <c r="M1179" s="20" t="s">
        <v>46</v>
      </c>
      <c r="N1179" s="22" t="s">
        <v>451</v>
      </c>
    </row>
    <row r="1180" spans="1:14" ht="24" customHeight="1" x14ac:dyDescent="0.35">
      <c r="A1180" s="56" t="s">
        <v>519</v>
      </c>
      <c r="B1180" s="50" t="s">
        <v>255</v>
      </c>
      <c r="C1180" s="50" t="s">
        <v>996</v>
      </c>
      <c r="D1180" s="20" t="s">
        <v>1004</v>
      </c>
      <c r="E1180" s="50">
        <v>0</v>
      </c>
      <c r="F1180" s="50">
        <v>0</v>
      </c>
      <c r="G1180" s="50">
        <v>0</v>
      </c>
      <c r="H1180" s="50">
        <v>0</v>
      </c>
      <c r="I1180" s="50">
        <f t="shared" si="9"/>
        <v>0</v>
      </c>
      <c r="J1180" s="50"/>
      <c r="K1180" s="50"/>
      <c r="L1180" s="36">
        <v>2022</v>
      </c>
      <c r="M1180" s="20" t="s">
        <v>262</v>
      </c>
      <c r="N1180" s="22" t="s">
        <v>441</v>
      </c>
    </row>
    <row r="1181" spans="1:14" ht="24" customHeight="1" x14ac:dyDescent="0.35">
      <c r="A1181" s="56" t="s">
        <v>519</v>
      </c>
      <c r="B1181" s="50" t="s">
        <v>255</v>
      </c>
      <c r="C1181" s="50" t="s">
        <v>996</v>
      </c>
      <c r="D1181" s="20" t="s">
        <v>1005</v>
      </c>
      <c r="E1181" s="50">
        <v>0</v>
      </c>
      <c r="F1181" s="50">
        <v>0</v>
      </c>
      <c r="G1181" s="50">
        <v>0</v>
      </c>
      <c r="H1181" s="50">
        <v>0</v>
      </c>
      <c r="I1181" s="50">
        <f t="shared" si="9"/>
        <v>0</v>
      </c>
      <c r="J1181" s="50"/>
      <c r="K1181" s="50"/>
      <c r="L1181" s="36">
        <v>2022</v>
      </c>
      <c r="M1181" s="20" t="s">
        <v>262</v>
      </c>
      <c r="N1181" s="22" t="s">
        <v>441</v>
      </c>
    </row>
    <row r="1182" spans="1:14" ht="24" customHeight="1" x14ac:dyDescent="0.35">
      <c r="A1182" s="56" t="s">
        <v>519</v>
      </c>
      <c r="B1182" s="50" t="s">
        <v>255</v>
      </c>
      <c r="C1182" s="50" t="s">
        <v>996</v>
      </c>
      <c r="D1182" s="20" t="s">
        <v>1006</v>
      </c>
      <c r="E1182" s="50">
        <v>0</v>
      </c>
      <c r="F1182" s="50">
        <v>0</v>
      </c>
      <c r="G1182" s="50">
        <v>0</v>
      </c>
      <c r="H1182" s="50">
        <v>0</v>
      </c>
      <c r="I1182" s="50">
        <f t="shared" si="9"/>
        <v>0</v>
      </c>
      <c r="J1182" s="50"/>
      <c r="K1182" s="50"/>
      <c r="L1182" s="36">
        <v>2022</v>
      </c>
      <c r="M1182" s="20" t="s">
        <v>262</v>
      </c>
      <c r="N1182" s="22" t="s">
        <v>441</v>
      </c>
    </row>
    <row r="1183" spans="1:14" ht="24" customHeight="1" x14ac:dyDescent="0.35">
      <c r="A1183" s="56" t="s">
        <v>519</v>
      </c>
      <c r="B1183" s="50" t="s">
        <v>255</v>
      </c>
      <c r="C1183" s="50" t="s">
        <v>993</v>
      </c>
      <c r="D1183" s="20" t="s">
        <v>1004</v>
      </c>
      <c r="E1183" s="50">
        <v>0</v>
      </c>
      <c r="F1183" s="50">
        <v>0</v>
      </c>
      <c r="G1183" s="50">
        <v>0</v>
      </c>
      <c r="H1183" s="50">
        <v>0</v>
      </c>
      <c r="I1183" s="50">
        <f t="shared" si="9"/>
        <v>0</v>
      </c>
      <c r="J1183" s="50"/>
      <c r="K1183" s="50"/>
      <c r="L1183" s="36">
        <v>2022</v>
      </c>
      <c r="M1183" s="20" t="s">
        <v>262</v>
      </c>
      <c r="N1183" s="22" t="s">
        <v>441</v>
      </c>
    </row>
    <row r="1184" spans="1:14" ht="24" customHeight="1" x14ac:dyDescent="0.35">
      <c r="A1184" s="56" t="s">
        <v>519</v>
      </c>
      <c r="B1184" s="50" t="s">
        <v>255</v>
      </c>
      <c r="C1184" s="50" t="s">
        <v>993</v>
      </c>
      <c r="D1184" s="20" t="s">
        <v>1005</v>
      </c>
      <c r="E1184" s="50">
        <v>0</v>
      </c>
      <c r="F1184" s="50">
        <v>0</v>
      </c>
      <c r="G1184" s="50">
        <v>0</v>
      </c>
      <c r="H1184" s="50">
        <v>0</v>
      </c>
      <c r="I1184" s="50">
        <f t="shared" si="9"/>
        <v>0</v>
      </c>
      <c r="J1184" s="50"/>
      <c r="K1184" s="50"/>
      <c r="L1184" s="36">
        <v>2022</v>
      </c>
      <c r="M1184" s="20" t="s">
        <v>262</v>
      </c>
      <c r="N1184" s="22" t="s">
        <v>441</v>
      </c>
    </row>
    <row r="1185" spans="1:14" ht="24" customHeight="1" x14ac:dyDescent="0.35">
      <c r="A1185" s="56" t="s">
        <v>519</v>
      </c>
      <c r="B1185" s="50" t="s">
        <v>255</v>
      </c>
      <c r="C1185" s="50" t="s">
        <v>993</v>
      </c>
      <c r="D1185" s="20" t="s">
        <v>1006</v>
      </c>
      <c r="E1185" s="50">
        <v>0</v>
      </c>
      <c r="F1185" s="50">
        <v>0</v>
      </c>
      <c r="G1185" s="50">
        <v>0</v>
      </c>
      <c r="H1185" s="50">
        <v>0</v>
      </c>
      <c r="I1185" s="50">
        <f t="shared" si="9"/>
        <v>0</v>
      </c>
      <c r="J1185" s="50"/>
      <c r="K1185" s="50"/>
      <c r="L1185" s="36">
        <v>2022</v>
      </c>
      <c r="M1185" s="20" t="s">
        <v>262</v>
      </c>
      <c r="N1185" s="22" t="s">
        <v>441</v>
      </c>
    </row>
    <row r="1186" spans="1:14" ht="24" customHeight="1" x14ac:dyDescent="0.35">
      <c r="A1186" s="20" t="s">
        <v>522</v>
      </c>
      <c r="B1186" s="50" t="s">
        <v>41</v>
      </c>
      <c r="C1186" s="50" t="s">
        <v>996</v>
      </c>
      <c r="D1186" s="20" t="s">
        <v>1004</v>
      </c>
      <c r="E1186" s="20">
        <v>8</v>
      </c>
      <c r="F1186" s="20">
        <f>30+1</f>
        <v>31</v>
      </c>
      <c r="G1186" s="20">
        <f>4+42</f>
        <v>46</v>
      </c>
      <c r="H1186" s="20">
        <f>19+25</f>
        <v>44</v>
      </c>
      <c r="I1186" s="50">
        <f t="shared" si="9"/>
        <v>129</v>
      </c>
      <c r="J1186" s="50"/>
      <c r="K1186" s="50"/>
      <c r="L1186" s="36">
        <v>2022</v>
      </c>
      <c r="M1186" s="20" t="s">
        <v>41</v>
      </c>
      <c r="N1186" s="22" t="s">
        <v>524</v>
      </c>
    </row>
    <row r="1187" spans="1:14" ht="24" customHeight="1" x14ac:dyDescent="0.35">
      <c r="A1187" s="20" t="s">
        <v>522</v>
      </c>
      <c r="B1187" s="50" t="s">
        <v>41</v>
      </c>
      <c r="C1187" s="50" t="s">
        <v>996</v>
      </c>
      <c r="D1187" s="20" t="s">
        <v>1005</v>
      </c>
      <c r="E1187" s="20">
        <v>29</v>
      </c>
      <c r="F1187" s="20">
        <f>108+2</f>
        <v>110</v>
      </c>
      <c r="G1187" s="20">
        <f>17+299</f>
        <v>316</v>
      </c>
      <c r="H1187" s="20">
        <f>159+281</f>
        <v>440</v>
      </c>
      <c r="I1187" s="50">
        <f t="shared" si="9"/>
        <v>895</v>
      </c>
      <c r="J1187" s="50"/>
      <c r="K1187" s="50"/>
      <c r="L1187" s="36">
        <v>2022</v>
      </c>
      <c r="M1187" s="20" t="s">
        <v>41</v>
      </c>
      <c r="N1187" s="22" t="s">
        <v>524</v>
      </c>
    </row>
    <row r="1188" spans="1:14" ht="24" customHeight="1" x14ac:dyDescent="0.35">
      <c r="A1188" s="20" t="s">
        <v>522</v>
      </c>
      <c r="B1188" s="50" t="s">
        <v>41</v>
      </c>
      <c r="C1188" s="50" t="s">
        <v>996</v>
      </c>
      <c r="D1188" s="20" t="s">
        <v>1006</v>
      </c>
      <c r="E1188" s="20">
        <v>1590804</v>
      </c>
      <c r="F1188" s="20">
        <f>10657+2667483</f>
        <v>2678140</v>
      </c>
      <c r="G1188" s="20">
        <f>98086+4098611</f>
        <v>4196697</v>
      </c>
      <c r="H1188" s="20">
        <f>626988+2366261</f>
        <v>2993249</v>
      </c>
      <c r="I1188" s="50">
        <f t="shared" si="9"/>
        <v>11458890</v>
      </c>
      <c r="J1188" s="50"/>
      <c r="K1188" s="50"/>
      <c r="L1188" s="36">
        <v>2022</v>
      </c>
      <c r="M1188" s="20" t="s">
        <v>41</v>
      </c>
      <c r="N1188" s="22" t="s">
        <v>524</v>
      </c>
    </row>
    <row r="1189" spans="1:14" ht="24" customHeight="1" x14ac:dyDescent="0.35">
      <c r="A1189" s="20" t="s">
        <v>522</v>
      </c>
      <c r="B1189" s="50" t="s">
        <v>41</v>
      </c>
      <c r="C1189" s="50" t="s">
        <v>993</v>
      </c>
      <c r="D1189" s="20" t="s">
        <v>1004</v>
      </c>
      <c r="E1189" s="20">
        <v>0</v>
      </c>
      <c r="F1189" s="20">
        <v>0</v>
      </c>
      <c r="G1189" s="20">
        <v>0</v>
      </c>
      <c r="H1189" s="20">
        <v>0</v>
      </c>
      <c r="I1189" s="50">
        <f t="shared" si="9"/>
        <v>0</v>
      </c>
      <c r="J1189" s="50"/>
      <c r="K1189" s="50"/>
      <c r="L1189" s="36">
        <v>2022</v>
      </c>
      <c r="M1189" s="20" t="s">
        <v>41</v>
      </c>
      <c r="N1189" s="22" t="s">
        <v>524</v>
      </c>
    </row>
    <row r="1190" spans="1:14" ht="24" customHeight="1" x14ac:dyDescent="0.35">
      <c r="A1190" s="20" t="s">
        <v>522</v>
      </c>
      <c r="B1190" s="50" t="s">
        <v>41</v>
      </c>
      <c r="C1190" s="50" t="s">
        <v>993</v>
      </c>
      <c r="D1190" s="20" t="s">
        <v>1005</v>
      </c>
      <c r="E1190" s="20">
        <v>49</v>
      </c>
      <c r="F1190" s="20">
        <v>0</v>
      </c>
      <c r="G1190" s="20">
        <v>0</v>
      </c>
      <c r="H1190" s="20">
        <v>0</v>
      </c>
      <c r="I1190" s="50">
        <f t="shared" si="9"/>
        <v>49</v>
      </c>
      <c r="J1190" s="50"/>
      <c r="K1190" s="50"/>
      <c r="L1190" s="36">
        <v>2022</v>
      </c>
      <c r="M1190" s="20" t="s">
        <v>41</v>
      </c>
      <c r="N1190" s="22" t="s">
        <v>524</v>
      </c>
    </row>
    <row r="1191" spans="1:14" ht="24" customHeight="1" x14ac:dyDescent="0.35">
      <c r="A1191" s="20" t="s">
        <v>522</v>
      </c>
      <c r="B1191" s="50" t="s">
        <v>41</v>
      </c>
      <c r="C1191" s="50" t="s">
        <v>993</v>
      </c>
      <c r="D1191" s="20" t="s">
        <v>1006</v>
      </c>
      <c r="E1191" s="20">
        <v>9553678</v>
      </c>
      <c r="F1191" s="20">
        <v>0</v>
      </c>
      <c r="G1191" s="20">
        <v>0</v>
      </c>
      <c r="H1191" s="20">
        <v>0</v>
      </c>
      <c r="I1191" s="50">
        <f t="shared" si="9"/>
        <v>9553678</v>
      </c>
      <c r="J1191" s="50"/>
      <c r="K1191" s="50"/>
      <c r="L1191" s="36">
        <v>2022</v>
      </c>
      <c r="M1191" s="20" t="s">
        <v>41</v>
      </c>
      <c r="N1191" s="22" t="s">
        <v>524</v>
      </c>
    </row>
    <row r="1192" spans="1:14" ht="24" customHeight="1" x14ac:dyDescent="0.35">
      <c r="A1192" s="22" t="s">
        <v>73</v>
      </c>
      <c r="B1192" s="50" t="s">
        <v>46</v>
      </c>
      <c r="C1192" s="50" t="s">
        <v>996</v>
      </c>
      <c r="D1192" s="22" t="s">
        <v>1004</v>
      </c>
      <c r="E1192" s="22">
        <v>0</v>
      </c>
      <c r="F1192" s="22">
        <v>0</v>
      </c>
      <c r="G1192" s="22">
        <v>0</v>
      </c>
      <c r="H1192" s="22">
        <v>0</v>
      </c>
      <c r="I1192" s="50">
        <f t="shared" si="9"/>
        <v>0</v>
      </c>
      <c r="J1192" s="50"/>
      <c r="K1192" s="50"/>
      <c r="L1192" s="36">
        <v>2022</v>
      </c>
      <c r="M1192" s="20" t="s">
        <v>46</v>
      </c>
      <c r="N1192" s="22" t="s">
        <v>442</v>
      </c>
    </row>
    <row r="1193" spans="1:14" ht="24" customHeight="1" x14ac:dyDescent="0.35">
      <c r="A1193" s="22" t="s">
        <v>73</v>
      </c>
      <c r="B1193" s="50" t="s">
        <v>46</v>
      </c>
      <c r="C1193" s="50" t="s">
        <v>996</v>
      </c>
      <c r="D1193" s="22" t="s">
        <v>1005</v>
      </c>
      <c r="E1193" s="22">
        <v>0</v>
      </c>
      <c r="F1193" s="22">
        <v>0</v>
      </c>
      <c r="G1193" s="22">
        <v>20</v>
      </c>
      <c r="H1193" s="22">
        <v>5</v>
      </c>
      <c r="I1193" s="50">
        <f t="shared" si="9"/>
        <v>25</v>
      </c>
      <c r="J1193" s="50"/>
      <c r="K1193" s="50"/>
      <c r="L1193" s="36">
        <v>2022</v>
      </c>
      <c r="M1193" s="20" t="s">
        <v>46</v>
      </c>
      <c r="N1193" s="22" t="s">
        <v>442</v>
      </c>
    </row>
    <row r="1194" spans="1:14" ht="24" customHeight="1" x14ac:dyDescent="0.35">
      <c r="A1194" s="22" t="s">
        <v>73</v>
      </c>
      <c r="B1194" s="50" t="s">
        <v>46</v>
      </c>
      <c r="C1194" s="50" t="s">
        <v>996</v>
      </c>
      <c r="D1194" s="22" t="s">
        <v>1006</v>
      </c>
      <c r="E1194" s="22">
        <v>0</v>
      </c>
      <c r="F1194" s="22">
        <v>0</v>
      </c>
      <c r="G1194" s="22">
        <v>35234</v>
      </c>
      <c r="H1194" s="22">
        <v>5745</v>
      </c>
      <c r="I1194" s="50">
        <f t="shared" si="9"/>
        <v>40979</v>
      </c>
      <c r="J1194" s="50"/>
      <c r="K1194" s="50"/>
      <c r="L1194" s="36">
        <v>2022</v>
      </c>
      <c r="M1194" s="20" t="s">
        <v>46</v>
      </c>
      <c r="N1194" s="22" t="s">
        <v>442</v>
      </c>
    </row>
    <row r="1195" spans="1:14" ht="24" customHeight="1" x14ac:dyDescent="0.35">
      <c r="A1195" s="22" t="s">
        <v>73</v>
      </c>
      <c r="B1195" s="50" t="s">
        <v>46</v>
      </c>
      <c r="C1195" s="50" t="s">
        <v>993</v>
      </c>
      <c r="D1195" s="22" t="s">
        <v>1004</v>
      </c>
      <c r="E1195" s="22">
        <v>0</v>
      </c>
      <c r="F1195" s="22">
        <v>0</v>
      </c>
      <c r="G1195" s="22">
        <v>0</v>
      </c>
      <c r="H1195" s="22">
        <v>0</v>
      </c>
      <c r="I1195" s="50">
        <f t="shared" si="9"/>
        <v>0</v>
      </c>
      <c r="J1195" s="50"/>
      <c r="K1195" s="50"/>
      <c r="L1195" s="36">
        <v>2022</v>
      </c>
      <c r="M1195" s="20" t="s">
        <v>46</v>
      </c>
      <c r="N1195" s="22" t="s">
        <v>442</v>
      </c>
    </row>
    <row r="1196" spans="1:14" ht="24" customHeight="1" x14ac:dyDescent="0.35">
      <c r="A1196" s="22" t="s">
        <v>73</v>
      </c>
      <c r="B1196" s="50" t="s">
        <v>46</v>
      </c>
      <c r="C1196" s="50" t="s">
        <v>993</v>
      </c>
      <c r="D1196" s="22" t="s">
        <v>1005</v>
      </c>
      <c r="E1196" s="22">
        <v>0</v>
      </c>
      <c r="F1196" s="22">
        <v>0</v>
      </c>
      <c r="G1196" s="22">
        <v>4</v>
      </c>
      <c r="H1196" s="22">
        <v>0</v>
      </c>
      <c r="I1196" s="50">
        <f t="shared" si="9"/>
        <v>4</v>
      </c>
      <c r="J1196" s="50"/>
      <c r="K1196" s="50"/>
      <c r="L1196" s="36">
        <v>2022</v>
      </c>
      <c r="M1196" s="20" t="s">
        <v>46</v>
      </c>
      <c r="N1196" s="22" t="s">
        <v>442</v>
      </c>
    </row>
    <row r="1197" spans="1:14" ht="24" customHeight="1" x14ac:dyDescent="0.35">
      <c r="A1197" s="22" t="s">
        <v>73</v>
      </c>
      <c r="B1197" s="50" t="s">
        <v>46</v>
      </c>
      <c r="C1197" s="50" t="s">
        <v>993</v>
      </c>
      <c r="D1197" s="22" t="s">
        <v>1006</v>
      </c>
      <c r="E1197" s="22">
        <v>0</v>
      </c>
      <c r="F1197" s="22">
        <v>0</v>
      </c>
      <c r="G1197" s="22">
        <v>63473</v>
      </c>
      <c r="H1197" s="22">
        <v>0</v>
      </c>
      <c r="I1197" s="50">
        <f t="shared" si="9"/>
        <v>63473</v>
      </c>
      <c r="J1197" s="50"/>
      <c r="K1197" s="50"/>
      <c r="L1197" s="36">
        <v>2022</v>
      </c>
      <c r="M1197" s="20" t="s">
        <v>46</v>
      </c>
      <c r="N1197" s="22" t="s">
        <v>442</v>
      </c>
    </row>
    <row r="1198" spans="1:14" ht="24" customHeight="1" x14ac:dyDescent="0.35">
      <c r="A1198" s="22" t="s">
        <v>525</v>
      </c>
      <c r="B1198" s="50" t="s">
        <v>255</v>
      </c>
      <c r="C1198" s="50" t="s">
        <v>996</v>
      </c>
      <c r="D1198" s="22" t="s">
        <v>1004</v>
      </c>
      <c r="E1198" s="22">
        <v>1</v>
      </c>
      <c r="F1198" s="22">
        <v>0</v>
      </c>
      <c r="G1198" s="22">
        <v>0</v>
      </c>
      <c r="H1198" s="22">
        <v>0</v>
      </c>
      <c r="I1198" s="50">
        <f t="shared" si="9"/>
        <v>1</v>
      </c>
      <c r="J1198" s="50"/>
      <c r="K1198" s="50"/>
      <c r="L1198" s="36">
        <v>2022</v>
      </c>
      <c r="M1198" s="20" t="s">
        <v>255</v>
      </c>
      <c r="N1198" s="22" t="s">
        <v>441</v>
      </c>
    </row>
    <row r="1199" spans="1:14" ht="24" customHeight="1" x14ac:dyDescent="0.35">
      <c r="A1199" s="22" t="s">
        <v>525</v>
      </c>
      <c r="B1199" s="50" t="s">
        <v>255</v>
      </c>
      <c r="C1199" s="50" t="s">
        <v>996</v>
      </c>
      <c r="D1199" s="22" t="s">
        <v>1005</v>
      </c>
      <c r="E1199" s="22">
        <v>1</v>
      </c>
      <c r="F1199" s="22">
        <v>1</v>
      </c>
      <c r="G1199" s="22">
        <v>1</v>
      </c>
      <c r="H1199" s="22">
        <v>3</v>
      </c>
      <c r="I1199" s="50">
        <f t="shared" si="9"/>
        <v>6</v>
      </c>
      <c r="J1199" s="50"/>
      <c r="K1199" s="50"/>
      <c r="L1199" s="36">
        <v>2022</v>
      </c>
      <c r="M1199" s="20" t="s">
        <v>255</v>
      </c>
      <c r="N1199" s="22" t="s">
        <v>441</v>
      </c>
    </row>
    <row r="1200" spans="1:14" ht="24" customHeight="1" x14ac:dyDescent="0.35">
      <c r="A1200" s="22" t="s">
        <v>525</v>
      </c>
      <c r="B1200" s="50" t="s">
        <v>255</v>
      </c>
      <c r="C1200" s="50" t="s">
        <v>996</v>
      </c>
      <c r="D1200" s="22" t="s">
        <v>1006</v>
      </c>
      <c r="E1200" s="22">
        <v>20400</v>
      </c>
      <c r="F1200" s="22">
        <v>6000</v>
      </c>
      <c r="G1200" s="22">
        <v>2400</v>
      </c>
      <c r="H1200" s="22">
        <v>2880</v>
      </c>
      <c r="I1200" s="50">
        <f t="shared" si="9"/>
        <v>31680</v>
      </c>
      <c r="J1200" s="50"/>
      <c r="K1200" s="50"/>
      <c r="L1200" s="36">
        <v>2022</v>
      </c>
      <c r="M1200" s="20" t="s">
        <v>255</v>
      </c>
      <c r="N1200" s="22" t="s">
        <v>441</v>
      </c>
    </row>
    <row r="1201" spans="1:14" ht="24" customHeight="1" x14ac:dyDescent="0.35">
      <c r="A1201" s="22" t="s">
        <v>525</v>
      </c>
      <c r="B1201" s="50" t="s">
        <v>255</v>
      </c>
      <c r="C1201" s="50" t="s">
        <v>993</v>
      </c>
      <c r="D1201" s="22" t="s">
        <v>1004</v>
      </c>
      <c r="E1201" s="22">
        <v>0</v>
      </c>
      <c r="F1201" s="22">
        <v>0</v>
      </c>
      <c r="G1201" s="22">
        <v>0</v>
      </c>
      <c r="H1201" s="22">
        <v>0</v>
      </c>
      <c r="I1201" s="50">
        <f t="shared" si="9"/>
        <v>0</v>
      </c>
      <c r="J1201" s="50"/>
      <c r="K1201" s="50"/>
      <c r="L1201" s="36">
        <v>2022</v>
      </c>
      <c r="M1201" s="20" t="s">
        <v>255</v>
      </c>
      <c r="N1201" s="22" t="s">
        <v>441</v>
      </c>
    </row>
    <row r="1202" spans="1:14" ht="24" customHeight="1" x14ac:dyDescent="0.35">
      <c r="A1202" s="22" t="s">
        <v>525</v>
      </c>
      <c r="B1202" s="50" t="s">
        <v>255</v>
      </c>
      <c r="C1202" s="50" t="s">
        <v>993</v>
      </c>
      <c r="D1202" s="22" t="s">
        <v>1005</v>
      </c>
      <c r="E1202" s="22">
        <v>0</v>
      </c>
      <c r="F1202" s="22">
        <v>0</v>
      </c>
      <c r="G1202" s="22">
        <v>0</v>
      </c>
      <c r="H1202" s="22">
        <v>0</v>
      </c>
      <c r="I1202" s="50">
        <f t="shared" si="9"/>
        <v>0</v>
      </c>
      <c r="J1202" s="50"/>
      <c r="K1202" s="50"/>
      <c r="L1202" s="36">
        <v>2022</v>
      </c>
      <c r="M1202" s="20" t="s">
        <v>255</v>
      </c>
      <c r="N1202" s="22" t="s">
        <v>441</v>
      </c>
    </row>
    <row r="1203" spans="1:14" ht="24" customHeight="1" x14ac:dyDescent="0.35">
      <c r="A1203" s="22" t="s">
        <v>525</v>
      </c>
      <c r="B1203" s="50" t="s">
        <v>255</v>
      </c>
      <c r="C1203" s="50" t="s">
        <v>993</v>
      </c>
      <c r="D1203" s="22" t="s">
        <v>1006</v>
      </c>
      <c r="E1203" s="22">
        <v>0</v>
      </c>
      <c r="F1203" s="22">
        <v>0</v>
      </c>
      <c r="G1203" s="22">
        <v>0</v>
      </c>
      <c r="H1203" s="22">
        <v>0</v>
      </c>
      <c r="I1203" s="50">
        <f t="shared" si="9"/>
        <v>0</v>
      </c>
      <c r="J1203" s="50"/>
      <c r="K1203" s="50"/>
      <c r="L1203" s="36">
        <v>2022</v>
      </c>
      <c r="M1203" s="20" t="s">
        <v>255</v>
      </c>
      <c r="N1203" s="22" t="s">
        <v>441</v>
      </c>
    </row>
    <row r="1204" spans="1:14" ht="24" customHeight="1" x14ac:dyDescent="0.35">
      <c r="A1204" s="20" t="s">
        <v>341</v>
      </c>
      <c r="B1204" s="50" t="s">
        <v>87</v>
      </c>
      <c r="C1204" s="50" t="s">
        <v>996</v>
      </c>
      <c r="D1204" s="20" t="s">
        <v>1004</v>
      </c>
      <c r="E1204" s="20">
        <v>2</v>
      </c>
      <c r="F1204" s="20">
        <v>1</v>
      </c>
      <c r="G1204" s="20">
        <v>0</v>
      </c>
      <c r="H1204" s="20">
        <v>3</v>
      </c>
      <c r="I1204" s="50">
        <f t="shared" si="9"/>
        <v>6</v>
      </c>
      <c r="J1204" s="50"/>
      <c r="K1204" s="50"/>
      <c r="L1204" s="36">
        <v>2022</v>
      </c>
      <c r="M1204" s="20" t="s">
        <v>87</v>
      </c>
      <c r="N1204" s="22" t="s">
        <v>431</v>
      </c>
    </row>
    <row r="1205" spans="1:14" ht="24" customHeight="1" x14ac:dyDescent="0.35">
      <c r="A1205" s="20" t="s">
        <v>341</v>
      </c>
      <c r="B1205" s="50" t="s">
        <v>87</v>
      </c>
      <c r="C1205" s="50" t="s">
        <v>996</v>
      </c>
      <c r="D1205" s="20" t="s">
        <v>1005</v>
      </c>
      <c r="E1205" s="20">
        <v>2</v>
      </c>
      <c r="F1205" s="20">
        <v>8</v>
      </c>
      <c r="G1205" s="20">
        <v>3</v>
      </c>
      <c r="H1205" s="20">
        <v>30</v>
      </c>
      <c r="I1205" s="50">
        <f t="shared" si="9"/>
        <v>43</v>
      </c>
      <c r="J1205" s="50"/>
      <c r="K1205" s="50"/>
      <c r="L1205" s="36">
        <v>2022</v>
      </c>
      <c r="M1205" s="20" t="s">
        <v>87</v>
      </c>
      <c r="N1205" s="22" t="s">
        <v>431</v>
      </c>
    </row>
    <row r="1206" spans="1:14" ht="24" customHeight="1" x14ac:dyDescent="0.35">
      <c r="A1206" s="20" t="s">
        <v>341</v>
      </c>
      <c r="B1206" s="50" t="s">
        <v>87</v>
      </c>
      <c r="C1206" s="50" t="s">
        <v>996</v>
      </c>
      <c r="D1206" s="20" t="s">
        <v>1006</v>
      </c>
      <c r="E1206" s="20">
        <v>210027</v>
      </c>
      <c r="F1206" s="20">
        <v>299003</v>
      </c>
      <c r="G1206" s="20">
        <v>10448</v>
      </c>
      <c r="H1206" s="20">
        <v>138936</v>
      </c>
      <c r="I1206" s="50">
        <f t="shared" si="9"/>
        <v>658414</v>
      </c>
      <c r="J1206" s="50"/>
      <c r="K1206" s="50"/>
      <c r="L1206" s="36">
        <v>2022</v>
      </c>
      <c r="M1206" s="20" t="s">
        <v>87</v>
      </c>
      <c r="N1206" s="22" t="s">
        <v>431</v>
      </c>
    </row>
    <row r="1207" spans="1:14" ht="24" customHeight="1" x14ac:dyDescent="0.35">
      <c r="A1207" s="20" t="s">
        <v>341</v>
      </c>
      <c r="B1207" s="50" t="s">
        <v>87</v>
      </c>
      <c r="C1207" s="50" t="s">
        <v>993</v>
      </c>
      <c r="D1207" s="20" t="s">
        <v>1004</v>
      </c>
      <c r="E1207" s="20">
        <v>0</v>
      </c>
      <c r="F1207" s="20">
        <v>0</v>
      </c>
      <c r="G1207" s="20">
        <v>0</v>
      </c>
      <c r="H1207" s="20">
        <v>0</v>
      </c>
      <c r="I1207" s="50">
        <f t="shared" si="9"/>
        <v>0</v>
      </c>
      <c r="J1207" s="50"/>
      <c r="K1207" s="50"/>
      <c r="L1207" s="36">
        <v>2022</v>
      </c>
      <c r="M1207" s="20" t="s">
        <v>87</v>
      </c>
      <c r="N1207" s="22" t="s">
        <v>431</v>
      </c>
    </row>
    <row r="1208" spans="1:14" ht="24" customHeight="1" x14ac:dyDescent="0.35">
      <c r="A1208" s="20" t="s">
        <v>341</v>
      </c>
      <c r="B1208" s="50" t="s">
        <v>87</v>
      </c>
      <c r="C1208" s="50" t="s">
        <v>993</v>
      </c>
      <c r="D1208" s="20" t="s">
        <v>1005</v>
      </c>
      <c r="E1208" s="20">
        <v>5</v>
      </c>
      <c r="F1208" s="20">
        <v>2</v>
      </c>
      <c r="G1208" s="20">
        <v>0</v>
      </c>
      <c r="H1208" s="20">
        <v>0</v>
      </c>
      <c r="I1208" s="50">
        <f t="shared" si="9"/>
        <v>7</v>
      </c>
      <c r="J1208" s="50"/>
      <c r="K1208" s="50"/>
      <c r="L1208" s="36">
        <v>2022</v>
      </c>
      <c r="M1208" s="20" t="s">
        <v>87</v>
      </c>
      <c r="N1208" s="22" t="s">
        <v>431</v>
      </c>
    </row>
    <row r="1209" spans="1:14" ht="24" customHeight="1" x14ac:dyDescent="0.35">
      <c r="A1209" s="20" t="s">
        <v>341</v>
      </c>
      <c r="B1209" s="50" t="s">
        <v>87</v>
      </c>
      <c r="C1209" s="50" t="s">
        <v>993</v>
      </c>
      <c r="D1209" s="20" t="s">
        <v>1006</v>
      </c>
      <c r="E1209" s="20">
        <v>236234</v>
      </c>
      <c r="F1209" s="20">
        <v>74940</v>
      </c>
      <c r="G1209" s="20">
        <v>0</v>
      </c>
      <c r="H1209" s="20">
        <v>0</v>
      </c>
      <c r="I1209" s="50">
        <f t="shared" si="9"/>
        <v>311174</v>
      </c>
      <c r="J1209" s="50"/>
      <c r="K1209" s="50"/>
      <c r="L1209" s="36">
        <v>2022</v>
      </c>
      <c r="M1209" s="20" t="s">
        <v>87</v>
      </c>
      <c r="N1209" s="22" t="s">
        <v>431</v>
      </c>
    </row>
    <row r="1210" spans="1:14" ht="24" customHeight="1" x14ac:dyDescent="0.35">
      <c r="A1210" s="56" t="s">
        <v>344</v>
      </c>
      <c r="B1210" s="50" t="s">
        <v>46</v>
      </c>
      <c r="C1210" s="56" t="s">
        <v>996</v>
      </c>
      <c r="D1210" s="56" t="s">
        <v>1004</v>
      </c>
      <c r="E1210" s="50"/>
      <c r="F1210" s="50"/>
      <c r="G1210" s="50"/>
      <c r="H1210" s="50"/>
      <c r="I1210" s="50">
        <f t="shared" si="9"/>
        <v>0</v>
      </c>
      <c r="J1210" s="50"/>
      <c r="K1210" s="50"/>
      <c r="L1210" s="36">
        <v>2022</v>
      </c>
      <c r="M1210" s="20" t="s">
        <v>46</v>
      </c>
      <c r="N1210" s="22" t="s">
        <v>424</v>
      </c>
    </row>
    <row r="1211" spans="1:14" ht="24" customHeight="1" x14ac:dyDescent="0.35">
      <c r="A1211" s="56" t="s">
        <v>344</v>
      </c>
      <c r="B1211" s="50" t="s">
        <v>46</v>
      </c>
      <c r="C1211" s="56" t="s">
        <v>996</v>
      </c>
      <c r="D1211" s="56" t="s">
        <v>1005</v>
      </c>
      <c r="E1211" s="50"/>
      <c r="F1211" s="50"/>
      <c r="G1211" s="50"/>
      <c r="H1211" s="50"/>
      <c r="I1211" s="50">
        <f t="shared" si="9"/>
        <v>0</v>
      </c>
      <c r="J1211" s="50"/>
      <c r="K1211" s="50"/>
      <c r="L1211" s="36">
        <v>2022</v>
      </c>
      <c r="M1211" s="20" t="s">
        <v>46</v>
      </c>
      <c r="N1211" s="22" t="s">
        <v>424</v>
      </c>
    </row>
    <row r="1212" spans="1:14" ht="24" customHeight="1" x14ac:dyDescent="0.35">
      <c r="A1212" s="56" t="s">
        <v>344</v>
      </c>
      <c r="B1212" s="50" t="s">
        <v>46</v>
      </c>
      <c r="C1212" s="56" t="s">
        <v>996</v>
      </c>
      <c r="D1212" s="56" t="s">
        <v>1006</v>
      </c>
      <c r="E1212" s="50"/>
      <c r="F1212" s="50"/>
      <c r="G1212" s="50"/>
      <c r="H1212" s="50"/>
      <c r="I1212" s="50">
        <f t="shared" si="9"/>
        <v>0</v>
      </c>
      <c r="J1212" s="50"/>
      <c r="K1212" s="50"/>
      <c r="L1212" s="36">
        <v>2022</v>
      </c>
      <c r="M1212" s="20" t="s">
        <v>46</v>
      </c>
      <c r="N1212" s="22" t="s">
        <v>424</v>
      </c>
    </row>
    <row r="1213" spans="1:14" ht="24" customHeight="1" x14ac:dyDescent="0.35">
      <c r="A1213" s="56" t="s">
        <v>344</v>
      </c>
      <c r="B1213" s="50" t="s">
        <v>46</v>
      </c>
      <c r="C1213" s="56" t="s">
        <v>993</v>
      </c>
      <c r="D1213" s="56" t="s">
        <v>1004</v>
      </c>
      <c r="E1213" s="50"/>
      <c r="F1213" s="50"/>
      <c r="G1213" s="50"/>
      <c r="H1213" s="50"/>
      <c r="I1213" s="50">
        <f t="shared" si="9"/>
        <v>0</v>
      </c>
      <c r="J1213" s="50"/>
      <c r="K1213" s="50"/>
      <c r="L1213" s="36">
        <v>2022</v>
      </c>
      <c r="M1213" s="20" t="s">
        <v>46</v>
      </c>
      <c r="N1213" s="22" t="s">
        <v>424</v>
      </c>
    </row>
    <row r="1214" spans="1:14" ht="24" customHeight="1" x14ac:dyDescent="0.35">
      <c r="A1214" s="56" t="s">
        <v>344</v>
      </c>
      <c r="B1214" s="50" t="s">
        <v>46</v>
      </c>
      <c r="C1214" s="56" t="s">
        <v>993</v>
      </c>
      <c r="D1214" s="56" t="s">
        <v>1005</v>
      </c>
      <c r="E1214" s="50"/>
      <c r="F1214" s="50"/>
      <c r="G1214" s="50"/>
      <c r="H1214" s="50"/>
      <c r="I1214" s="50">
        <f t="shared" si="9"/>
        <v>0</v>
      </c>
      <c r="J1214" s="50"/>
      <c r="K1214" s="50"/>
      <c r="L1214" s="36">
        <v>2022</v>
      </c>
      <c r="M1214" s="20" t="s">
        <v>46</v>
      </c>
      <c r="N1214" s="22" t="s">
        <v>424</v>
      </c>
    </row>
    <row r="1215" spans="1:14" ht="24" customHeight="1" x14ac:dyDescent="0.35">
      <c r="A1215" s="56" t="s">
        <v>344</v>
      </c>
      <c r="B1215" s="50" t="s">
        <v>46</v>
      </c>
      <c r="C1215" s="56" t="s">
        <v>993</v>
      </c>
      <c r="D1215" s="56" t="s">
        <v>1006</v>
      </c>
      <c r="E1215" s="50"/>
      <c r="F1215" s="50"/>
      <c r="G1215" s="50"/>
      <c r="H1215" s="50"/>
      <c r="I1215" s="50">
        <f t="shared" si="9"/>
        <v>0</v>
      </c>
      <c r="J1215" s="50"/>
      <c r="K1215" s="50"/>
      <c r="L1215" s="36">
        <v>2022</v>
      </c>
      <c r="M1215" s="20" t="s">
        <v>46</v>
      </c>
      <c r="N1215" s="22" t="s">
        <v>424</v>
      </c>
    </row>
    <row r="1216" spans="1:14" ht="24" customHeight="1" x14ac:dyDescent="0.35">
      <c r="A1216" s="103" t="s">
        <v>75</v>
      </c>
      <c r="B1216" s="50" t="s">
        <v>41</v>
      </c>
      <c r="C1216" s="50" t="s">
        <v>996</v>
      </c>
      <c r="D1216" s="20" t="s">
        <v>1004</v>
      </c>
      <c r="E1216" s="20">
        <v>0</v>
      </c>
      <c r="F1216" s="20">
        <v>26</v>
      </c>
      <c r="G1216" s="20">
        <v>24</v>
      </c>
      <c r="H1216" s="20">
        <v>0</v>
      </c>
      <c r="I1216" s="50">
        <f t="shared" si="9"/>
        <v>50</v>
      </c>
      <c r="J1216" s="50"/>
      <c r="K1216" s="50"/>
      <c r="L1216" s="36">
        <v>2022</v>
      </c>
      <c r="M1216" s="20" t="s">
        <v>41</v>
      </c>
      <c r="N1216" s="22" t="s">
        <v>441</v>
      </c>
    </row>
    <row r="1217" spans="1:14" ht="24" customHeight="1" x14ac:dyDescent="0.35">
      <c r="A1217" s="103" t="s">
        <v>75</v>
      </c>
      <c r="B1217" s="50" t="s">
        <v>41</v>
      </c>
      <c r="C1217" s="50" t="s">
        <v>996</v>
      </c>
      <c r="D1217" s="20" t="s">
        <v>1005</v>
      </c>
      <c r="E1217" s="20">
        <v>9</v>
      </c>
      <c r="F1217" s="20">
        <v>176</v>
      </c>
      <c r="G1217" s="20">
        <v>963</v>
      </c>
      <c r="H1217" s="20">
        <v>9</v>
      </c>
      <c r="I1217" s="50">
        <f>SUM(E1217:H1217)</f>
        <v>1157</v>
      </c>
      <c r="J1217" s="50"/>
      <c r="K1217" s="50"/>
      <c r="L1217" s="36">
        <v>2022</v>
      </c>
      <c r="M1217" s="20" t="s">
        <v>41</v>
      </c>
      <c r="N1217" s="22" t="s">
        <v>441</v>
      </c>
    </row>
    <row r="1218" spans="1:14" ht="24" customHeight="1" x14ac:dyDescent="0.35">
      <c r="A1218" s="103" t="s">
        <v>75</v>
      </c>
      <c r="B1218" s="50" t="s">
        <v>41</v>
      </c>
      <c r="C1218" s="50" t="s">
        <v>996</v>
      </c>
      <c r="D1218" s="20" t="s">
        <v>1006</v>
      </c>
      <c r="E1218" s="20">
        <v>687357</v>
      </c>
      <c r="F1218" s="20">
        <v>2790650</v>
      </c>
      <c r="G1218" s="20">
        <v>9590864</v>
      </c>
      <c r="H1218" s="20">
        <v>61198</v>
      </c>
      <c r="I1218" s="50">
        <f t="shared" si="9"/>
        <v>13130069</v>
      </c>
      <c r="J1218" s="50"/>
      <c r="K1218" s="50"/>
      <c r="L1218" s="36">
        <v>2022</v>
      </c>
      <c r="M1218" s="20" t="s">
        <v>41</v>
      </c>
      <c r="N1218" s="22" t="s">
        <v>441</v>
      </c>
    </row>
    <row r="1219" spans="1:14" ht="24" customHeight="1" x14ac:dyDescent="0.35">
      <c r="A1219" s="103" t="s">
        <v>75</v>
      </c>
      <c r="B1219" s="50" t="s">
        <v>41</v>
      </c>
      <c r="C1219" s="50" t="s">
        <v>993</v>
      </c>
      <c r="D1219" s="20" t="s">
        <v>1004</v>
      </c>
      <c r="E1219" s="20">
        <v>1</v>
      </c>
      <c r="F1219" s="20">
        <v>0</v>
      </c>
      <c r="G1219" s="20">
        <v>0</v>
      </c>
      <c r="H1219" s="20">
        <v>0</v>
      </c>
      <c r="I1219" s="50">
        <f t="shared" si="9"/>
        <v>1</v>
      </c>
      <c r="J1219" s="50"/>
      <c r="K1219" s="50"/>
      <c r="L1219" s="36">
        <v>2022</v>
      </c>
      <c r="M1219" s="20" t="s">
        <v>41</v>
      </c>
      <c r="N1219" s="22" t="s">
        <v>441</v>
      </c>
    </row>
    <row r="1220" spans="1:14" ht="24" customHeight="1" x14ac:dyDescent="0.35">
      <c r="A1220" s="103" t="s">
        <v>75</v>
      </c>
      <c r="B1220" s="50" t="s">
        <v>41</v>
      </c>
      <c r="C1220" s="50" t="s">
        <v>993</v>
      </c>
      <c r="D1220" s="20" t="s">
        <v>1005</v>
      </c>
      <c r="E1220" s="20">
        <v>60</v>
      </c>
      <c r="F1220" s="20">
        <v>0</v>
      </c>
      <c r="G1220" s="20">
        <v>1</v>
      </c>
      <c r="H1220" s="20">
        <v>0</v>
      </c>
      <c r="I1220" s="50">
        <f t="shared" si="9"/>
        <v>61</v>
      </c>
      <c r="J1220" s="50"/>
      <c r="K1220" s="50"/>
      <c r="L1220" s="36">
        <v>2022</v>
      </c>
      <c r="M1220" s="20" t="s">
        <v>41</v>
      </c>
      <c r="N1220" s="22" t="s">
        <v>441</v>
      </c>
    </row>
    <row r="1221" spans="1:14" ht="24" customHeight="1" x14ac:dyDescent="0.35">
      <c r="A1221" s="103" t="s">
        <v>75</v>
      </c>
      <c r="B1221" s="50" t="s">
        <v>41</v>
      </c>
      <c r="C1221" s="50" t="s">
        <v>993</v>
      </c>
      <c r="D1221" s="20" t="s">
        <v>1006</v>
      </c>
      <c r="E1221" s="20">
        <v>2619929</v>
      </c>
      <c r="F1221" s="20">
        <v>0</v>
      </c>
      <c r="G1221" s="20">
        <v>11701</v>
      </c>
      <c r="H1221" s="20">
        <v>0</v>
      </c>
      <c r="I1221" s="50">
        <f t="shared" si="9"/>
        <v>2631630</v>
      </c>
      <c r="J1221" s="50"/>
      <c r="K1221" s="50"/>
      <c r="L1221" s="36">
        <v>2022</v>
      </c>
      <c r="M1221" s="20" t="s">
        <v>41</v>
      </c>
      <c r="N1221" s="22" t="s">
        <v>441</v>
      </c>
    </row>
    <row r="1222" spans="1:14" ht="24" customHeight="1" x14ac:dyDescent="0.35">
      <c r="A1222" s="22" t="s">
        <v>348</v>
      </c>
      <c r="B1222" s="50" t="s">
        <v>255</v>
      </c>
      <c r="C1222" s="50" t="s">
        <v>996</v>
      </c>
      <c r="D1222" s="20" t="s">
        <v>1004</v>
      </c>
      <c r="E1222" s="20">
        <v>1</v>
      </c>
      <c r="F1222" s="20">
        <v>0</v>
      </c>
      <c r="G1222" s="20">
        <v>1</v>
      </c>
      <c r="H1222" s="20">
        <v>11</v>
      </c>
      <c r="I1222" s="50">
        <f t="shared" si="9"/>
        <v>13</v>
      </c>
      <c r="J1222" s="50"/>
      <c r="K1222" s="50"/>
      <c r="L1222" s="36">
        <v>2022</v>
      </c>
      <c r="M1222" s="20" t="s">
        <v>255</v>
      </c>
      <c r="N1222" s="22" t="s">
        <v>431</v>
      </c>
    </row>
    <row r="1223" spans="1:14" ht="24" customHeight="1" x14ac:dyDescent="0.35">
      <c r="A1223" s="22" t="s">
        <v>348</v>
      </c>
      <c r="B1223" s="50" t="s">
        <v>255</v>
      </c>
      <c r="C1223" s="50" t="s">
        <v>996</v>
      </c>
      <c r="D1223" s="20" t="s">
        <v>1005</v>
      </c>
      <c r="E1223" s="20">
        <v>4</v>
      </c>
      <c r="F1223" s="20">
        <v>0</v>
      </c>
      <c r="G1223" s="20">
        <v>5</v>
      </c>
      <c r="H1223" s="20">
        <v>40</v>
      </c>
      <c r="I1223" s="50">
        <f t="shared" si="9"/>
        <v>49</v>
      </c>
      <c r="J1223" s="50"/>
      <c r="K1223" s="50"/>
      <c r="L1223" s="36">
        <v>2022</v>
      </c>
      <c r="M1223" s="20" t="s">
        <v>255</v>
      </c>
      <c r="N1223" s="22" t="s">
        <v>431</v>
      </c>
    </row>
    <row r="1224" spans="1:14" ht="24" customHeight="1" x14ac:dyDescent="0.35">
      <c r="A1224" s="22" t="s">
        <v>348</v>
      </c>
      <c r="B1224" s="50" t="s">
        <v>255</v>
      </c>
      <c r="C1224" s="50" t="s">
        <v>996</v>
      </c>
      <c r="D1224" s="20" t="s">
        <v>1006</v>
      </c>
      <c r="E1224" s="20">
        <v>0</v>
      </c>
      <c r="F1224" s="20">
        <v>0</v>
      </c>
      <c r="G1224" s="20">
        <v>0</v>
      </c>
      <c r="H1224" s="20">
        <v>0</v>
      </c>
      <c r="I1224" s="50">
        <f t="shared" si="9"/>
        <v>0</v>
      </c>
      <c r="J1224" s="50"/>
      <c r="K1224" s="50"/>
      <c r="L1224" s="36">
        <v>2022</v>
      </c>
      <c r="M1224" s="20" t="s">
        <v>255</v>
      </c>
      <c r="N1224" s="22" t="s">
        <v>431</v>
      </c>
    </row>
    <row r="1225" spans="1:14" ht="24" customHeight="1" x14ac:dyDescent="0.35">
      <c r="A1225" s="22" t="s">
        <v>348</v>
      </c>
      <c r="B1225" s="50" t="s">
        <v>255</v>
      </c>
      <c r="C1225" s="50" t="s">
        <v>993</v>
      </c>
      <c r="D1225" s="20" t="s">
        <v>1004</v>
      </c>
      <c r="E1225" s="20">
        <v>0</v>
      </c>
      <c r="F1225" s="20">
        <v>0</v>
      </c>
      <c r="G1225" s="20">
        <v>0</v>
      </c>
      <c r="H1225" s="20">
        <v>0</v>
      </c>
      <c r="I1225" s="50">
        <f t="shared" si="9"/>
        <v>0</v>
      </c>
      <c r="J1225" s="50"/>
      <c r="K1225" s="50"/>
      <c r="L1225" s="36">
        <v>2022</v>
      </c>
      <c r="M1225" s="20" t="s">
        <v>255</v>
      </c>
      <c r="N1225" s="22" t="s">
        <v>431</v>
      </c>
    </row>
    <row r="1226" spans="1:14" ht="24" customHeight="1" x14ac:dyDescent="0.35">
      <c r="A1226" s="22" t="s">
        <v>348</v>
      </c>
      <c r="B1226" s="50" t="s">
        <v>255</v>
      </c>
      <c r="C1226" s="50" t="s">
        <v>993</v>
      </c>
      <c r="D1226" s="20" t="s">
        <v>1005</v>
      </c>
      <c r="E1226" s="20">
        <v>0</v>
      </c>
      <c r="F1226" s="20">
        <v>0</v>
      </c>
      <c r="G1226" s="20">
        <v>0</v>
      </c>
      <c r="H1226" s="20">
        <v>0</v>
      </c>
      <c r="I1226" s="50">
        <f t="shared" si="9"/>
        <v>0</v>
      </c>
      <c r="J1226" s="50"/>
      <c r="K1226" s="50"/>
      <c r="L1226" s="36">
        <v>2022</v>
      </c>
      <c r="M1226" s="20" t="s">
        <v>255</v>
      </c>
      <c r="N1226" s="22" t="s">
        <v>431</v>
      </c>
    </row>
    <row r="1227" spans="1:14" ht="24" customHeight="1" x14ac:dyDescent="0.35">
      <c r="A1227" s="22" t="s">
        <v>348</v>
      </c>
      <c r="B1227" s="50" t="s">
        <v>255</v>
      </c>
      <c r="C1227" s="50" t="s">
        <v>993</v>
      </c>
      <c r="D1227" s="20" t="s">
        <v>1006</v>
      </c>
      <c r="E1227" s="20">
        <v>0</v>
      </c>
      <c r="F1227" s="20">
        <v>0</v>
      </c>
      <c r="G1227" s="20">
        <v>0</v>
      </c>
      <c r="H1227" s="20">
        <v>0</v>
      </c>
      <c r="I1227" s="50">
        <f t="shared" si="9"/>
        <v>0</v>
      </c>
      <c r="J1227" s="50"/>
      <c r="K1227" s="50"/>
      <c r="L1227" s="36">
        <v>2022</v>
      </c>
      <c r="M1227" s="20" t="s">
        <v>255</v>
      </c>
      <c r="N1227" s="22" t="s">
        <v>431</v>
      </c>
    </row>
    <row r="1228" spans="1:14" ht="24" customHeight="1" x14ac:dyDescent="0.35">
      <c r="A1228" s="20" t="s">
        <v>537</v>
      </c>
      <c r="B1228" s="50" t="s">
        <v>255</v>
      </c>
      <c r="C1228" s="50" t="s">
        <v>996</v>
      </c>
      <c r="D1228" s="20" t="s">
        <v>1004</v>
      </c>
      <c r="E1228" s="20">
        <v>0</v>
      </c>
      <c r="F1228" s="20">
        <v>0</v>
      </c>
      <c r="G1228" s="20">
        <v>0</v>
      </c>
      <c r="H1228" s="20">
        <v>0</v>
      </c>
      <c r="I1228" s="50">
        <f t="shared" si="9"/>
        <v>0</v>
      </c>
      <c r="J1228" s="50"/>
      <c r="K1228" s="50"/>
      <c r="L1228" s="36">
        <v>2022</v>
      </c>
      <c r="M1228" s="20" t="s">
        <v>255</v>
      </c>
      <c r="N1228" s="22" t="s">
        <v>441</v>
      </c>
    </row>
    <row r="1229" spans="1:14" ht="24" customHeight="1" x14ac:dyDescent="0.35">
      <c r="A1229" s="20" t="s">
        <v>537</v>
      </c>
      <c r="B1229" s="50" t="s">
        <v>255</v>
      </c>
      <c r="C1229" s="50" t="s">
        <v>996</v>
      </c>
      <c r="D1229" s="20" t="s">
        <v>1005</v>
      </c>
      <c r="E1229" s="20">
        <v>2</v>
      </c>
      <c r="F1229" s="20">
        <v>0</v>
      </c>
      <c r="G1229" s="20">
        <v>0</v>
      </c>
      <c r="H1229" s="20">
        <v>0</v>
      </c>
      <c r="I1229" s="50">
        <f t="shared" si="9"/>
        <v>2</v>
      </c>
      <c r="J1229" s="50"/>
      <c r="K1229" s="50"/>
      <c r="L1229" s="36">
        <v>2022</v>
      </c>
      <c r="M1229" s="20" t="s">
        <v>255</v>
      </c>
      <c r="N1229" s="22" t="s">
        <v>441</v>
      </c>
    </row>
    <row r="1230" spans="1:14" ht="24" customHeight="1" x14ac:dyDescent="0.35">
      <c r="A1230" s="20" t="s">
        <v>537</v>
      </c>
      <c r="B1230" s="50" t="s">
        <v>255</v>
      </c>
      <c r="C1230" s="50" t="s">
        <v>996</v>
      </c>
      <c r="D1230" s="20" t="s">
        <v>1006</v>
      </c>
      <c r="E1230" s="20">
        <v>42278</v>
      </c>
      <c r="F1230" s="20">
        <v>0</v>
      </c>
      <c r="G1230" s="20">
        <v>0</v>
      </c>
      <c r="H1230" s="20">
        <v>0</v>
      </c>
      <c r="I1230" s="50">
        <f t="shared" si="9"/>
        <v>42278</v>
      </c>
      <c r="J1230" s="50"/>
      <c r="K1230" s="50"/>
      <c r="L1230" s="36">
        <v>2022</v>
      </c>
      <c r="M1230" s="20" t="s">
        <v>255</v>
      </c>
      <c r="N1230" s="22" t="s">
        <v>441</v>
      </c>
    </row>
    <row r="1231" spans="1:14" ht="24" customHeight="1" x14ac:dyDescent="0.35">
      <c r="A1231" s="20" t="s">
        <v>537</v>
      </c>
      <c r="B1231" s="50" t="s">
        <v>255</v>
      </c>
      <c r="C1231" s="50" t="s">
        <v>993</v>
      </c>
      <c r="D1231" s="20" t="s">
        <v>1004</v>
      </c>
      <c r="E1231" s="20">
        <v>0</v>
      </c>
      <c r="F1231" s="20">
        <v>0</v>
      </c>
      <c r="G1231" s="20">
        <v>0</v>
      </c>
      <c r="H1231" s="20">
        <v>0</v>
      </c>
      <c r="I1231" s="50">
        <f t="shared" si="9"/>
        <v>0</v>
      </c>
      <c r="J1231" s="50"/>
      <c r="K1231" s="50"/>
      <c r="L1231" s="36">
        <v>2022</v>
      </c>
      <c r="M1231" s="20" t="s">
        <v>255</v>
      </c>
      <c r="N1231" s="22" t="s">
        <v>441</v>
      </c>
    </row>
    <row r="1232" spans="1:14" ht="24" customHeight="1" x14ac:dyDescent="0.35">
      <c r="A1232" s="20" t="s">
        <v>537</v>
      </c>
      <c r="B1232" s="50" t="s">
        <v>255</v>
      </c>
      <c r="C1232" s="50" t="s">
        <v>993</v>
      </c>
      <c r="D1232" s="20" t="s">
        <v>1005</v>
      </c>
      <c r="E1232" s="20">
        <v>0</v>
      </c>
      <c r="F1232" s="20">
        <v>0</v>
      </c>
      <c r="G1232" s="20">
        <v>0</v>
      </c>
      <c r="H1232" s="20">
        <v>0</v>
      </c>
      <c r="I1232" s="50">
        <f t="shared" si="9"/>
        <v>0</v>
      </c>
      <c r="J1232" s="50"/>
      <c r="K1232" s="50"/>
      <c r="L1232" s="36">
        <v>2022</v>
      </c>
      <c r="M1232" s="20" t="s">
        <v>255</v>
      </c>
      <c r="N1232" s="22" t="s">
        <v>441</v>
      </c>
    </row>
    <row r="1233" spans="1:14" ht="24" customHeight="1" x14ac:dyDescent="0.35">
      <c r="A1233" s="20" t="s">
        <v>537</v>
      </c>
      <c r="B1233" s="50" t="s">
        <v>255</v>
      </c>
      <c r="C1233" s="50" t="s">
        <v>993</v>
      </c>
      <c r="D1233" s="20" t="s">
        <v>1006</v>
      </c>
      <c r="E1233" s="20">
        <v>0</v>
      </c>
      <c r="F1233" s="20">
        <v>0</v>
      </c>
      <c r="G1233" s="20">
        <v>0</v>
      </c>
      <c r="H1233" s="20">
        <v>0</v>
      </c>
      <c r="I1233" s="50">
        <f t="shared" ref="I1233:I1302" si="10">SUM(E1233:H1233)</f>
        <v>0</v>
      </c>
      <c r="J1233" s="50"/>
      <c r="K1233" s="50"/>
      <c r="L1233" s="36">
        <v>2022</v>
      </c>
      <c r="M1233" s="20" t="s">
        <v>255</v>
      </c>
      <c r="N1233" s="22" t="s">
        <v>441</v>
      </c>
    </row>
    <row r="1234" spans="1:14" ht="24" customHeight="1" x14ac:dyDescent="0.35">
      <c r="A1234" s="20" t="s">
        <v>354</v>
      </c>
      <c r="B1234" s="50" t="s">
        <v>46</v>
      </c>
      <c r="C1234" s="50" t="s">
        <v>996</v>
      </c>
      <c r="D1234" s="20" t="s">
        <v>1004</v>
      </c>
      <c r="E1234" s="20">
        <v>1</v>
      </c>
      <c r="F1234" s="20">
        <v>1</v>
      </c>
      <c r="G1234" s="20">
        <v>0</v>
      </c>
      <c r="H1234" s="20">
        <v>1</v>
      </c>
      <c r="I1234" s="50">
        <f t="shared" si="10"/>
        <v>3</v>
      </c>
      <c r="J1234" s="50"/>
      <c r="K1234" s="50"/>
      <c r="L1234" s="36">
        <v>2022</v>
      </c>
      <c r="M1234" s="20" t="s">
        <v>46</v>
      </c>
      <c r="N1234" s="22" t="s">
        <v>442</v>
      </c>
    </row>
    <row r="1235" spans="1:14" ht="24" customHeight="1" x14ac:dyDescent="0.35">
      <c r="A1235" s="20" t="s">
        <v>354</v>
      </c>
      <c r="B1235" s="50" t="s">
        <v>46</v>
      </c>
      <c r="C1235" s="50" t="s">
        <v>996</v>
      </c>
      <c r="D1235" s="20" t="s">
        <v>1005</v>
      </c>
      <c r="E1235" s="20">
        <v>0</v>
      </c>
      <c r="F1235" s="20">
        <v>0</v>
      </c>
      <c r="G1235" s="20">
        <v>0</v>
      </c>
      <c r="H1235" s="20">
        <v>60</v>
      </c>
      <c r="I1235" s="50">
        <f t="shared" si="10"/>
        <v>60</v>
      </c>
      <c r="J1235" s="50"/>
      <c r="K1235" s="50"/>
      <c r="L1235" s="36">
        <v>2022</v>
      </c>
      <c r="M1235" s="20" t="s">
        <v>46</v>
      </c>
      <c r="N1235" s="22" t="s">
        <v>442</v>
      </c>
    </row>
    <row r="1236" spans="1:14" ht="24" customHeight="1" x14ac:dyDescent="0.35">
      <c r="A1236" s="20" t="s">
        <v>354</v>
      </c>
      <c r="B1236" s="50" t="s">
        <v>46</v>
      </c>
      <c r="C1236" s="50" t="s">
        <v>996</v>
      </c>
      <c r="D1236" s="20" t="s">
        <v>1006</v>
      </c>
      <c r="E1236" s="20">
        <v>4817.75</v>
      </c>
      <c r="F1236" s="20">
        <v>2211.3470000000002</v>
      </c>
      <c r="G1236" s="20">
        <v>0</v>
      </c>
      <c r="H1236" s="20">
        <v>97680.789000000004</v>
      </c>
      <c r="I1236" s="50">
        <f t="shared" si="10"/>
        <v>104709.886</v>
      </c>
      <c r="J1236" s="50"/>
      <c r="K1236" s="50"/>
      <c r="L1236" s="36">
        <v>2022</v>
      </c>
      <c r="M1236" s="20" t="s">
        <v>46</v>
      </c>
      <c r="N1236" s="22" t="s">
        <v>442</v>
      </c>
    </row>
    <row r="1237" spans="1:14" ht="24" customHeight="1" x14ac:dyDescent="0.35">
      <c r="A1237" s="20" t="s">
        <v>354</v>
      </c>
      <c r="B1237" s="50" t="s">
        <v>46</v>
      </c>
      <c r="C1237" s="50" t="s">
        <v>993</v>
      </c>
      <c r="D1237" s="20" t="s">
        <v>1004</v>
      </c>
      <c r="E1237" s="20">
        <v>0</v>
      </c>
      <c r="F1237" s="20">
        <v>0</v>
      </c>
      <c r="G1237" s="20">
        <v>0</v>
      </c>
      <c r="H1237" s="20">
        <v>0</v>
      </c>
      <c r="I1237" s="50">
        <f t="shared" si="10"/>
        <v>0</v>
      </c>
      <c r="J1237" s="50"/>
      <c r="K1237" s="50"/>
      <c r="L1237" s="36">
        <v>2022</v>
      </c>
      <c r="M1237" s="20" t="s">
        <v>46</v>
      </c>
      <c r="N1237" s="22" t="s">
        <v>442</v>
      </c>
    </row>
    <row r="1238" spans="1:14" ht="24" customHeight="1" x14ac:dyDescent="0.35">
      <c r="A1238" s="20" t="s">
        <v>354</v>
      </c>
      <c r="B1238" s="50" t="s">
        <v>46</v>
      </c>
      <c r="C1238" s="50" t="s">
        <v>993</v>
      </c>
      <c r="D1238" s="20" t="s">
        <v>1005</v>
      </c>
      <c r="E1238" s="20">
        <v>0</v>
      </c>
      <c r="F1238" s="20">
        <v>0</v>
      </c>
      <c r="G1238" s="20">
        <v>0</v>
      </c>
      <c r="H1238" s="20">
        <v>0</v>
      </c>
      <c r="I1238" s="50">
        <f t="shared" si="10"/>
        <v>0</v>
      </c>
      <c r="J1238" s="50"/>
      <c r="K1238" s="50"/>
      <c r="L1238" s="36">
        <v>2022</v>
      </c>
      <c r="M1238" s="20" t="s">
        <v>46</v>
      </c>
      <c r="N1238" s="22" t="s">
        <v>442</v>
      </c>
    </row>
    <row r="1239" spans="1:14" ht="24" customHeight="1" x14ac:dyDescent="0.35">
      <c r="A1239" s="20" t="s">
        <v>354</v>
      </c>
      <c r="B1239" s="50" t="s">
        <v>46</v>
      </c>
      <c r="C1239" s="50" t="s">
        <v>993</v>
      </c>
      <c r="D1239" s="20" t="s">
        <v>1006</v>
      </c>
      <c r="E1239" s="20">
        <v>0</v>
      </c>
      <c r="F1239" s="20">
        <v>0</v>
      </c>
      <c r="G1239" s="20">
        <v>0</v>
      </c>
      <c r="H1239" s="20">
        <v>0</v>
      </c>
      <c r="I1239" s="50">
        <f t="shared" si="10"/>
        <v>0</v>
      </c>
      <c r="J1239" s="50"/>
      <c r="K1239" s="50"/>
      <c r="L1239" s="36">
        <v>2022</v>
      </c>
      <c r="M1239" s="20" t="s">
        <v>46</v>
      </c>
      <c r="N1239" s="22" t="s">
        <v>442</v>
      </c>
    </row>
    <row r="1240" spans="1:14" ht="24" customHeight="1" x14ac:dyDescent="0.35">
      <c r="A1240" s="20" t="s">
        <v>540</v>
      </c>
      <c r="B1240" s="50" t="s">
        <v>46</v>
      </c>
      <c r="C1240" s="50" t="s">
        <v>996</v>
      </c>
      <c r="D1240" s="20" t="s">
        <v>1004</v>
      </c>
      <c r="E1240" s="50">
        <v>0</v>
      </c>
      <c r="F1240" s="20">
        <v>0</v>
      </c>
      <c r="G1240" s="20">
        <v>0</v>
      </c>
      <c r="H1240" s="20">
        <v>0</v>
      </c>
      <c r="I1240" s="50">
        <f t="shared" si="10"/>
        <v>0</v>
      </c>
      <c r="J1240" s="50"/>
      <c r="K1240" s="50"/>
      <c r="L1240" s="36">
        <v>2022</v>
      </c>
      <c r="M1240" s="20" t="s">
        <v>46</v>
      </c>
      <c r="N1240" s="22" t="s">
        <v>424</v>
      </c>
    </row>
    <row r="1241" spans="1:14" ht="24" customHeight="1" x14ac:dyDescent="0.35">
      <c r="A1241" s="20" t="s">
        <v>540</v>
      </c>
      <c r="B1241" s="50" t="s">
        <v>46</v>
      </c>
      <c r="C1241" s="50" t="s">
        <v>996</v>
      </c>
      <c r="D1241" s="20" t="s">
        <v>1005</v>
      </c>
      <c r="E1241" s="20">
        <v>2</v>
      </c>
      <c r="F1241" s="20">
        <v>3</v>
      </c>
      <c r="G1241" s="20">
        <v>3</v>
      </c>
      <c r="H1241" s="20">
        <v>6</v>
      </c>
      <c r="I1241" s="50">
        <f t="shared" si="10"/>
        <v>14</v>
      </c>
      <c r="J1241" s="50"/>
      <c r="K1241" s="50"/>
      <c r="L1241" s="36">
        <v>2022</v>
      </c>
      <c r="M1241" s="20" t="s">
        <v>46</v>
      </c>
      <c r="N1241" s="22" t="s">
        <v>424</v>
      </c>
    </row>
    <row r="1242" spans="1:14" ht="24" customHeight="1" x14ac:dyDescent="0.35">
      <c r="A1242" s="20" t="s">
        <v>540</v>
      </c>
      <c r="B1242" s="50" t="s">
        <v>46</v>
      </c>
      <c r="C1242" s="50" t="s">
        <v>996</v>
      </c>
      <c r="D1242" s="20" t="s">
        <v>1006</v>
      </c>
      <c r="E1242" s="20">
        <v>36000</v>
      </c>
      <c r="F1242" s="20">
        <v>16200</v>
      </c>
      <c r="G1242" s="20">
        <v>10800</v>
      </c>
      <c r="H1242" s="20">
        <v>5400</v>
      </c>
      <c r="I1242" s="50">
        <f t="shared" si="10"/>
        <v>68400</v>
      </c>
      <c r="J1242" s="50"/>
      <c r="K1242" s="50"/>
      <c r="L1242" s="36">
        <v>2022</v>
      </c>
      <c r="M1242" s="20" t="s">
        <v>46</v>
      </c>
      <c r="N1242" s="22" t="s">
        <v>424</v>
      </c>
    </row>
    <row r="1243" spans="1:14" ht="24" customHeight="1" x14ac:dyDescent="0.35">
      <c r="A1243" s="20" t="s">
        <v>540</v>
      </c>
      <c r="B1243" s="50" t="s">
        <v>46</v>
      </c>
      <c r="C1243" s="50" t="s">
        <v>993</v>
      </c>
      <c r="D1243" s="20" t="s">
        <v>1004</v>
      </c>
      <c r="E1243" s="20">
        <v>0</v>
      </c>
      <c r="F1243" s="20">
        <v>0</v>
      </c>
      <c r="G1243" s="20">
        <v>0</v>
      </c>
      <c r="H1243" s="20">
        <v>0</v>
      </c>
      <c r="I1243" s="50">
        <f t="shared" si="10"/>
        <v>0</v>
      </c>
      <c r="J1243" s="50"/>
      <c r="K1243" s="50"/>
      <c r="L1243" s="36">
        <v>2022</v>
      </c>
      <c r="M1243" s="20" t="s">
        <v>46</v>
      </c>
      <c r="N1243" s="22" t="s">
        <v>424</v>
      </c>
    </row>
    <row r="1244" spans="1:14" ht="24" customHeight="1" x14ac:dyDescent="0.35">
      <c r="A1244" s="20" t="s">
        <v>540</v>
      </c>
      <c r="B1244" s="50" t="s">
        <v>46</v>
      </c>
      <c r="C1244" s="50" t="s">
        <v>993</v>
      </c>
      <c r="D1244" s="20" t="s">
        <v>1005</v>
      </c>
      <c r="E1244" s="20">
        <v>0</v>
      </c>
      <c r="F1244" s="20">
        <v>0</v>
      </c>
      <c r="G1244" s="20">
        <v>0</v>
      </c>
      <c r="H1244" s="20">
        <v>0</v>
      </c>
      <c r="I1244" s="50">
        <f t="shared" si="10"/>
        <v>0</v>
      </c>
      <c r="J1244" s="50"/>
      <c r="K1244" s="50"/>
      <c r="L1244" s="36">
        <v>2022</v>
      </c>
      <c r="M1244" s="20" t="s">
        <v>46</v>
      </c>
      <c r="N1244" s="22" t="s">
        <v>424</v>
      </c>
    </row>
    <row r="1245" spans="1:14" ht="24" customHeight="1" x14ac:dyDescent="0.35">
      <c r="A1245" s="20" t="s">
        <v>540</v>
      </c>
      <c r="B1245" s="50" t="s">
        <v>46</v>
      </c>
      <c r="C1245" s="50" t="s">
        <v>993</v>
      </c>
      <c r="D1245" s="20" t="s">
        <v>1006</v>
      </c>
      <c r="E1245" s="20">
        <v>0</v>
      </c>
      <c r="F1245" s="20">
        <v>0</v>
      </c>
      <c r="G1245" s="20">
        <v>0</v>
      </c>
      <c r="H1245" s="20">
        <v>0</v>
      </c>
      <c r="I1245" s="50">
        <f t="shared" si="10"/>
        <v>0</v>
      </c>
      <c r="J1245" s="50"/>
      <c r="K1245" s="50"/>
      <c r="L1245" s="36">
        <v>2022</v>
      </c>
      <c r="M1245" s="20" t="s">
        <v>46</v>
      </c>
      <c r="N1245" s="22" t="s">
        <v>424</v>
      </c>
    </row>
    <row r="1246" spans="1:14" ht="24" customHeight="1" x14ac:dyDescent="0.35">
      <c r="A1246" s="56" t="s">
        <v>360</v>
      </c>
      <c r="B1246" s="50" t="s">
        <v>87</v>
      </c>
      <c r="C1246" s="56" t="s">
        <v>996</v>
      </c>
      <c r="D1246" s="56" t="s">
        <v>1004</v>
      </c>
      <c r="E1246" s="50">
        <v>0</v>
      </c>
      <c r="F1246" s="50">
        <v>1</v>
      </c>
      <c r="G1246" s="50">
        <v>1</v>
      </c>
      <c r="H1246" s="50">
        <v>1</v>
      </c>
      <c r="I1246" s="50">
        <f t="shared" si="10"/>
        <v>3</v>
      </c>
      <c r="J1246" s="50"/>
      <c r="K1246" s="50"/>
      <c r="L1246" s="36">
        <v>2022</v>
      </c>
      <c r="M1246" s="20" t="s">
        <v>87</v>
      </c>
      <c r="N1246" s="22" t="s">
        <v>431</v>
      </c>
    </row>
    <row r="1247" spans="1:14" ht="24" customHeight="1" x14ac:dyDescent="0.35">
      <c r="A1247" s="56" t="s">
        <v>360</v>
      </c>
      <c r="B1247" s="50" t="s">
        <v>87</v>
      </c>
      <c r="C1247" s="56" t="s">
        <v>996</v>
      </c>
      <c r="D1247" s="56" t="s">
        <v>1005</v>
      </c>
      <c r="E1247" s="50">
        <v>3</v>
      </c>
      <c r="F1247" s="50">
        <v>15</v>
      </c>
      <c r="G1247" s="50">
        <v>10</v>
      </c>
      <c r="H1247" s="50">
        <v>49</v>
      </c>
      <c r="I1247" s="50">
        <f t="shared" si="10"/>
        <v>77</v>
      </c>
      <c r="J1247" s="50"/>
      <c r="K1247" s="50"/>
      <c r="L1247" s="36">
        <v>2022</v>
      </c>
      <c r="M1247" s="20" t="s">
        <v>87</v>
      </c>
      <c r="N1247" s="22" t="s">
        <v>431</v>
      </c>
    </row>
    <row r="1248" spans="1:14" ht="24" customHeight="1" x14ac:dyDescent="0.35">
      <c r="A1248" s="56" t="s">
        <v>360</v>
      </c>
      <c r="B1248" s="50" t="s">
        <v>87</v>
      </c>
      <c r="C1248" s="56" t="s">
        <v>996</v>
      </c>
      <c r="D1248" s="56" t="s">
        <v>1006</v>
      </c>
      <c r="E1248" s="50">
        <v>137699.61199999999</v>
      </c>
      <c r="F1248" s="50">
        <v>260584.53200000001</v>
      </c>
      <c r="G1248" s="50">
        <v>85161.02</v>
      </c>
      <c r="H1248" s="50">
        <v>222064.323</v>
      </c>
      <c r="I1248" s="50">
        <f t="shared" si="10"/>
        <v>705509.48699999996</v>
      </c>
      <c r="J1248" s="50"/>
      <c r="K1248" s="50"/>
      <c r="L1248" s="36">
        <v>2022</v>
      </c>
      <c r="M1248" s="20" t="s">
        <v>87</v>
      </c>
      <c r="N1248" s="22" t="s">
        <v>431</v>
      </c>
    </row>
    <row r="1249" spans="1:14" ht="24" customHeight="1" x14ac:dyDescent="0.35">
      <c r="A1249" s="56" t="s">
        <v>360</v>
      </c>
      <c r="B1249" s="50" t="s">
        <v>87</v>
      </c>
      <c r="C1249" s="56" t="s">
        <v>993</v>
      </c>
      <c r="D1249" s="56" t="s">
        <v>1004</v>
      </c>
      <c r="E1249" s="50">
        <v>0</v>
      </c>
      <c r="F1249" s="50">
        <v>0</v>
      </c>
      <c r="G1249" s="50">
        <v>0</v>
      </c>
      <c r="H1249" s="50"/>
      <c r="I1249" s="50">
        <f t="shared" si="10"/>
        <v>0</v>
      </c>
      <c r="J1249" s="50"/>
      <c r="K1249" s="50"/>
      <c r="L1249" s="36">
        <v>2022</v>
      </c>
      <c r="M1249" s="20" t="s">
        <v>87</v>
      </c>
      <c r="N1249" s="22" t="s">
        <v>431</v>
      </c>
    </row>
    <row r="1250" spans="1:14" ht="24" customHeight="1" x14ac:dyDescent="0.35">
      <c r="A1250" s="56" t="s">
        <v>360</v>
      </c>
      <c r="B1250" s="50" t="s">
        <v>87</v>
      </c>
      <c r="C1250" s="56" t="s">
        <v>993</v>
      </c>
      <c r="D1250" s="56" t="s">
        <v>1005</v>
      </c>
      <c r="E1250" s="50">
        <v>0</v>
      </c>
      <c r="F1250" s="50">
        <v>0</v>
      </c>
      <c r="G1250" s="50">
        <v>0</v>
      </c>
      <c r="H1250" s="50"/>
      <c r="I1250" s="50">
        <f t="shared" si="10"/>
        <v>0</v>
      </c>
      <c r="J1250" s="50"/>
      <c r="K1250" s="50"/>
      <c r="L1250" s="36">
        <v>2022</v>
      </c>
      <c r="M1250" s="20" t="s">
        <v>87</v>
      </c>
      <c r="N1250" s="22" t="s">
        <v>431</v>
      </c>
    </row>
    <row r="1251" spans="1:14" ht="24" customHeight="1" x14ac:dyDescent="0.35">
      <c r="A1251" s="56" t="s">
        <v>360</v>
      </c>
      <c r="B1251" s="50" t="s">
        <v>87</v>
      </c>
      <c r="C1251" s="56" t="s">
        <v>993</v>
      </c>
      <c r="D1251" s="56" t="s">
        <v>1006</v>
      </c>
      <c r="E1251" s="50">
        <v>0</v>
      </c>
      <c r="F1251" s="50">
        <v>0</v>
      </c>
      <c r="G1251" s="50">
        <v>0</v>
      </c>
      <c r="H1251" s="50"/>
      <c r="I1251" s="50">
        <f t="shared" si="10"/>
        <v>0</v>
      </c>
      <c r="J1251" s="50"/>
      <c r="K1251" s="50"/>
      <c r="L1251" s="36">
        <v>2022</v>
      </c>
      <c r="M1251" s="20" t="s">
        <v>87</v>
      </c>
      <c r="N1251" s="22" t="s">
        <v>431</v>
      </c>
    </row>
    <row r="1252" spans="1:14" ht="24" customHeight="1" x14ac:dyDescent="0.35">
      <c r="A1252" s="20" t="s">
        <v>363</v>
      </c>
      <c r="B1252" s="50" t="s">
        <v>255</v>
      </c>
      <c r="C1252" s="50" t="s">
        <v>996</v>
      </c>
      <c r="D1252" s="20" t="s">
        <v>1004</v>
      </c>
      <c r="E1252" s="20">
        <v>0</v>
      </c>
      <c r="F1252" s="20">
        <v>0</v>
      </c>
      <c r="G1252" s="20">
        <v>0</v>
      </c>
      <c r="H1252" s="20">
        <v>0</v>
      </c>
      <c r="I1252" s="50">
        <f t="shared" si="10"/>
        <v>0</v>
      </c>
      <c r="J1252" s="50"/>
      <c r="K1252" s="50"/>
      <c r="L1252" s="36">
        <v>2022</v>
      </c>
      <c r="M1252" s="20" t="s">
        <v>255</v>
      </c>
      <c r="N1252" s="22" t="s">
        <v>431</v>
      </c>
    </row>
    <row r="1253" spans="1:14" ht="24" customHeight="1" x14ac:dyDescent="0.35">
      <c r="A1253" s="20" t="s">
        <v>363</v>
      </c>
      <c r="B1253" s="50" t="s">
        <v>255</v>
      </c>
      <c r="C1253" s="50" t="s">
        <v>996</v>
      </c>
      <c r="D1253" s="20" t="s">
        <v>1005</v>
      </c>
      <c r="E1253" s="20">
        <v>2</v>
      </c>
      <c r="F1253" s="20">
        <v>2</v>
      </c>
      <c r="G1253" s="20">
        <v>2</v>
      </c>
      <c r="H1253" s="20">
        <v>10</v>
      </c>
      <c r="I1253" s="50">
        <f t="shared" si="10"/>
        <v>16</v>
      </c>
      <c r="J1253" s="50"/>
      <c r="K1253" s="50"/>
      <c r="L1253" s="36">
        <v>2022</v>
      </c>
      <c r="M1253" s="20" t="s">
        <v>255</v>
      </c>
      <c r="N1253" s="22" t="s">
        <v>431</v>
      </c>
    </row>
    <row r="1254" spans="1:14" ht="24" customHeight="1" x14ac:dyDescent="0.35">
      <c r="A1254" s="20" t="s">
        <v>363</v>
      </c>
      <c r="B1254" s="50" t="s">
        <v>255</v>
      </c>
      <c r="C1254" s="50" t="s">
        <v>996</v>
      </c>
      <c r="D1254" s="20" t="s">
        <v>1006</v>
      </c>
      <c r="E1254" s="20">
        <v>3186</v>
      </c>
      <c r="F1254" s="20">
        <v>1034</v>
      </c>
      <c r="G1254" s="20">
        <v>740</v>
      </c>
      <c r="H1254" s="20">
        <v>2594</v>
      </c>
      <c r="I1254" s="50">
        <f t="shared" si="10"/>
        <v>7554</v>
      </c>
      <c r="J1254" s="50"/>
      <c r="K1254" s="50"/>
      <c r="L1254" s="36">
        <v>2022</v>
      </c>
      <c r="M1254" s="20" t="s">
        <v>255</v>
      </c>
      <c r="N1254" s="22" t="s">
        <v>431</v>
      </c>
    </row>
    <row r="1255" spans="1:14" ht="24" customHeight="1" x14ac:dyDescent="0.35">
      <c r="A1255" s="20" t="s">
        <v>363</v>
      </c>
      <c r="B1255" s="50" t="s">
        <v>255</v>
      </c>
      <c r="C1255" s="50" t="s">
        <v>993</v>
      </c>
      <c r="D1255" s="20" t="s">
        <v>1004</v>
      </c>
      <c r="E1255" s="20">
        <v>0</v>
      </c>
      <c r="F1255" s="20">
        <v>0</v>
      </c>
      <c r="G1255" s="20">
        <v>0</v>
      </c>
      <c r="H1255" s="20">
        <v>0</v>
      </c>
      <c r="I1255" s="50">
        <f t="shared" si="10"/>
        <v>0</v>
      </c>
      <c r="J1255" s="50"/>
      <c r="K1255" s="50"/>
      <c r="L1255" s="36">
        <v>2022</v>
      </c>
      <c r="M1255" s="20" t="s">
        <v>255</v>
      </c>
      <c r="N1255" s="22" t="s">
        <v>431</v>
      </c>
    </row>
    <row r="1256" spans="1:14" ht="24" customHeight="1" x14ac:dyDescent="0.35">
      <c r="A1256" s="20" t="s">
        <v>363</v>
      </c>
      <c r="B1256" s="50" t="s">
        <v>255</v>
      </c>
      <c r="C1256" s="50" t="s">
        <v>993</v>
      </c>
      <c r="D1256" s="20" t="s">
        <v>1005</v>
      </c>
      <c r="E1256" s="20">
        <v>0</v>
      </c>
      <c r="F1256" s="20">
        <v>0</v>
      </c>
      <c r="G1256" s="20">
        <v>0</v>
      </c>
      <c r="H1256" s="20">
        <v>0</v>
      </c>
      <c r="I1256" s="50">
        <f t="shared" si="10"/>
        <v>0</v>
      </c>
      <c r="J1256" s="50"/>
      <c r="K1256" s="50"/>
      <c r="L1256" s="36">
        <v>2022</v>
      </c>
      <c r="M1256" s="20" t="s">
        <v>255</v>
      </c>
      <c r="N1256" s="22" t="s">
        <v>431</v>
      </c>
    </row>
    <row r="1257" spans="1:14" ht="24" customHeight="1" x14ac:dyDescent="0.35">
      <c r="A1257" s="20" t="s">
        <v>363</v>
      </c>
      <c r="B1257" s="50" t="s">
        <v>255</v>
      </c>
      <c r="C1257" s="50" t="s">
        <v>993</v>
      </c>
      <c r="D1257" s="20" t="s">
        <v>1006</v>
      </c>
      <c r="E1257" s="20">
        <v>0</v>
      </c>
      <c r="F1257" s="20">
        <v>0</v>
      </c>
      <c r="G1257" s="20">
        <v>0</v>
      </c>
      <c r="H1257" s="20">
        <v>0</v>
      </c>
      <c r="I1257" s="50">
        <f t="shared" si="10"/>
        <v>0</v>
      </c>
      <c r="J1257" s="50"/>
      <c r="K1257" s="50"/>
      <c r="L1257" s="36">
        <v>2022</v>
      </c>
      <c r="M1257" s="20" t="s">
        <v>255</v>
      </c>
      <c r="N1257" s="22" t="s">
        <v>431</v>
      </c>
    </row>
    <row r="1258" spans="1:14" ht="24" customHeight="1" x14ac:dyDescent="0.35">
      <c r="A1258" s="56" t="s">
        <v>547</v>
      </c>
      <c r="B1258" s="50" t="s">
        <v>255</v>
      </c>
      <c r="C1258" s="56" t="s">
        <v>996</v>
      </c>
      <c r="D1258" s="56" t="s">
        <v>1004</v>
      </c>
      <c r="E1258" s="50"/>
      <c r="F1258" s="50"/>
      <c r="G1258" s="50"/>
      <c r="H1258" s="50"/>
      <c r="I1258" s="50">
        <f t="shared" si="10"/>
        <v>0</v>
      </c>
      <c r="J1258" s="50"/>
      <c r="K1258" s="50"/>
      <c r="L1258" s="36">
        <v>2022</v>
      </c>
      <c r="M1258" s="56" t="s">
        <v>255</v>
      </c>
      <c r="N1258" s="22" t="s">
        <v>431</v>
      </c>
    </row>
    <row r="1259" spans="1:14" ht="24" customHeight="1" x14ac:dyDescent="0.35">
      <c r="A1259" s="56" t="s">
        <v>547</v>
      </c>
      <c r="B1259" s="50" t="s">
        <v>255</v>
      </c>
      <c r="C1259" s="56" t="s">
        <v>996</v>
      </c>
      <c r="D1259" s="56" t="s">
        <v>1005</v>
      </c>
      <c r="E1259" s="50"/>
      <c r="F1259" s="50"/>
      <c r="G1259" s="50"/>
      <c r="H1259" s="50"/>
      <c r="I1259" s="50">
        <f t="shared" si="10"/>
        <v>0</v>
      </c>
      <c r="J1259" s="50"/>
      <c r="K1259" s="50"/>
      <c r="L1259" s="36">
        <v>2022</v>
      </c>
      <c r="M1259" s="56" t="s">
        <v>255</v>
      </c>
      <c r="N1259" s="22" t="s">
        <v>431</v>
      </c>
    </row>
    <row r="1260" spans="1:14" ht="24" customHeight="1" x14ac:dyDescent="0.35">
      <c r="A1260" s="56" t="s">
        <v>547</v>
      </c>
      <c r="B1260" s="50" t="s">
        <v>255</v>
      </c>
      <c r="C1260" s="56" t="s">
        <v>996</v>
      </c>
      <c r="D1260" s="56" t="s">
        <v>1006</v>
      </c>
      <c r="E1260" s="50"/>
      <c r="F1260" s="50"/>
      <c r="G1260" s="50"/>
      <c r="H1260" s="50"/>
      <c r="I1260" s="50">
        <f t="shared" si="10"/>
        <v>0</v>
      </c>
      <c r="J1260" s="50"/>
      <c r="K1260" s="50"/>
      <c r="L1260" s="36">
        <v>2022</v>
      </c>
      <c r="M1260" s="56" t="s">
        <v>255</v>
      </c>
      <c r="N1260" s="22" t="s">
        <v>431</v>
      </c>
    </row>
    <row r="1261" spans="1:14" ht="24" customHeight="1" x14ac:dyDescent="0.35">
      <c r="A1261" s="56" t="s">
        <v>547</v>
      </c>
      <c r="B1261" s="50" t="s">
        <v>255</v>
      </c>
      <c r="C1261" s="56" t="s">
        <v>993</v>
      </c>
      <c r="D1261" s="56" t="s">
        <v>1004</v>
      </c>
      <c r="E1261" s="50"/>
      <c r="F1261" s="50"/>
      <c r="G1261" s="50"/>
      <c r="H1261" s="50"/>
      <c r="I1261" s="50">
        <f t="shared" si="10"/>
        <v>0</v>
      </c>
      <c r="J1261" s="50"/>
      <c r="K1261" s="50"/>
      <c r="L1261" s="36">
        <v>2022</v>
      </c>
      <c r="M1261" s="56" t="s">
        <v>255</v>
      </c>
      <c r="N1261" s="22" t="s">
        <v>431</v>
      </c>
    </row>
    <row r="1262" spans="1:14" ht="24" customHeight="1" x14ac:dyDescent="0.35">
      <c r="A1262" s="56" t="s">
        <v>547</v>
      </c>
      <c r="B1262" s="50" t="s">
        <v>255</v>
      </c>
      <c r="C1262" s="56" t="s">
        <v>993</v>
      </c>
      <c r="D1262" s="56" t="s">
        <v>1005</v>
      </c>
      <c r="E1262" s="50"/>
      <c r="F1262" s="50"/>
      <c r="G1262" s="50"/>
      <c r="H1262" s="50"/>
      <c r="I1262" s="50">
        <f t="shared" si="10"/>
        <v>0</v>
      </c>
      <c r="J1262" s="50"/>
      <c r="K1262" s="50"/>
      <c r="L1262" s="36">
        <v>2022</v>
      </c>
      <c r="M1262" s="56" t="s">
        <v>255</v>
      </c>
      <c r="N1262" s="22" t="s">
        <v>431</v>
      </c>
    </row>
    <row r="1263" spans="1:14" ht="24" customHeight="1" x14ac:dyDescent="0.35">
      <c r="A1263" s="56" t="s">
        <v>547</v>
      </c>
      <c r="B1263" s="50" t="s">
        <v>255</v>
      </c>
      <c r="C1263" s="56" t="s">
        <v>993</v>
      </c>
      <c r="D1263" s="56" t="s">
        <v>1006</v>
      </c>
      <c r="E1263" s="50"/>
      <c r="F1263" s="50"/>
      <c r="G1263" s="50"/>
      <c r="H1263" s="50"/>
      <c r="I1263" s="50">
        <f t="shared" si="10"/>
        <v>0</v>
      </c>
      <c r="J1263" s="50"/>
      <c r="K1263" s="50"/>
      <c r="L1263" s="36">
        <v>2022</v>
      </c>
      <c r="M1263" s="56" t="s">
        <v>255</v>
      </c>
      <c r="N1263" s="22" t="s">
        <v>431</v>
      </c>
    </row>
    <row r="1264" spans="1:14" ht="24" customHeight="1" x14ac:dyDescent="0.35">
      <c r="A1264" s="20" t="s">
        <v>551</v>
      </c>
      <c r="B1264" s="50" t="s">
        <v>255</v>
      </c>
      <c r="C1264" s="50" t="s">
        <v>996</v>
      </c>
      <c r="D1264" s="20" t="s">
        <v>1004</v>
      </c>
      <c r="E1264" s="20">
        <v>0</v>
      </c>
      <c r="F1264" s="20">
        <v>0</v>
      </c>
      <c r="G1264" s="20">
        <v>0</v>
      </c>
      <c r="H1264" s="20">
        <v>0</v>
      </c>
      <c r="I1264" s="50">
        <f t="shared" si="10"/>
        <v>0</v>
      </c>
      <c r="J1264" s="50"/>
      <c r="K1264" s="50"/>
      <c r="L1264" s="36">
        <v>2022</v>
      </c>
      <c r="M1264" s="20" t="s">
        <v>255</v>
      </c>
      <c r="N1264" s="22" t="s">
        <v>431</v>
      </c>
    </row>
    <row r="1265" spans="1:14" ht="24" customHeight="1" x14ac:dyDescent="0.35">
      <c r="A1265" s="20" t="s">
        <v>551</v>
      </c>
      <c r="B1265" s="50" t="s">
        <v>255</v>
      </c>
      <c r="C1265" s="50" t="s">
        <v>996</v>
      </c>
      <c r="D1265" s="20" t="s">
        <v>1005</v>
      </c>
      <c r="E1265" s="20">
        <v>0</v>
      </c>
      <c r="F1265" s="20">
        <v>0</v>
      </c>
      <c r="G1265" s="20">
        <v>4</v>
      </c>
      <c r="H1265" s="20"/>
      <c r="I1265" s="50">
        <f t="shared" si="10"/>
        <v>4</v>
      </c>
      <c r="J1265" s="50"/>
      <c r="K1265" s="50"/>
      <c r="L1265" s="36">
        <v>2022</v>
      </c>
      <c r="M1265" s="20" t="s">
        <v>255</v>
      </c>
      <c r="N1265" s="22" t="s">
        <v>431</v>
      </c>
    </row>
    <row r="1266" spans="1:14" ht="24" customHeight="1" x14ac:dyDescent="0.35">
      <c r="A1266" s="20" t="s">
        <v>551</v>
      </c>
      <c r="B1266" s="50" t="s">
        <v>255</v>
      </c>
      <c r="C1266" s="50" t="s">
        <v>996</v>
      </c>
      <c r="D1266" s="20" t="s">
        <v>1006</v>
      </c>
      <c r="E1266" s="20">
        <v>0</v>
      </c>
      <c r="F1266" s="20">
        <v>0</v>
      </c>
      <c r="G1266" s="20">
        <v>8524</v>
      </c>
      <c r="H1266" s="20">
        <v>0</v>
      </c>
      <c r="I1266" s="50">
        <f t="shared" si="10"/>
        <v>8524</v>
      </c>
      <c r="J1266" s="50"/>
      <c r="K1266" s="50"/>
      <c r="L1266" s="36">
        <v>2022</v>
      </c>
      <c r="M1266" s="20" t="s">
        <v>255</v>
      </c>
      <c r="N1266" s="22" t="s">
        <v>431</v>
      </c>
    </row>
    <row r="1267" spans="1:14" ht="24" customHeight="1" x14ac:dyDescent="0.35">
      <c r="A1267" s="20" t="s">
        <v>551</v>
      </c>
      <c r="B1267" s="50" t="s">
        <v>255</v>
      </c>
      <c r="C1267" s="50" t="s">
        <v>993</v>
      </c>
      <c r="D1267" s="20" t="s">
        <v>1004</v>
      </c>
      <c r="E1267" s="20">
        <v>0</v>
      </c>
      <c r="F1267" s="20">
        <v>0</v>
      </c>
      <c r="G1267" s="20">
        <v>0</v>
      </c>
      <c r="H1267" s="20">
        <v>0</v>
      </c>
      <c r="I1267" s="50">
        <f t="shared" si="10"/>
        <v>0</v>
      </c>
      <c r="J1267" s="50"/>
      <c r="K1267" s="50"/>
      <c r="L1267" s="36">
        <v>2022</v>
      </c>
      <c r="M1267" s="20" t="s">
        <v>255</v>
      </c>
      <c r="N1267" s="22" t="s">
        <v>431</v>
      </c>
    </row>
    <row r="1268" spans="1:14" ht="24" customHeight="1" x14ac:dyDescent="0.35">
      <c r="A1268" s="20" t="s">
        <v>551</v>
      </c>
      <c r="B1268" s="50" t="s">
        <v>255</v>
      </c>
      <c r="C1268" s="50" t="s">
        <v>993</v>
      </c>
      <c r="D1268" s="20" t="s">
        <v>1005</v>
      </c>
      <c r="E1268" s="20">
        <v>0</v>
      </c>
      <c r="F1268" s="20">
        <v>0</v>
      </c>
      <c r="G1268" s="20">
        <v>0</v>
      </c>
      <c r="H1268" s="20">
        <v>0</v>
      </c>
      <c r="I1268" s="50">
        <f t="shared" si="10"/>
        <v>0</v>
      </c>
      <c r="J1268" s="50"/>
      <c r="K1268" s="50"/>
      <c r="L1268" s="36">
        <v>2022</v>
      </c>
      <c r="M1268" s="20" t="s">
        <v>255</v>
      </c>
      <c r="N1268" s="22" t="s">
        <v>431</v>
      </c>
    </row>
    <row r="1269" spans="1:14" ht="24" customHeight="1" x14ac:dyDescent="0.35">
      <c r="A1269" s="20" t="s">
        <v>551</v>
      </c>
      <c r="B1269" s="50" t="s">
        <v>255</v>
      </c>
      <c r="C1269" s="50" t="s">
        <v>993</v>
      </c>
      <c r="D1269" s="20" t="s">
        <v>1006</v>
      </c>
      <c r="E1269" s="20">
        <v>0</v>
      </c>
      <c r="F1269" s="20">
        <v>0</v>
      </c>
      <c r="G1269" s="20">
        <v>0</v>
      </c>
      <c r="H1269" s="20">
        <v>0</v>
      </c>
      <c r="I1269" s="50">
        <f t="shared" si="10"/>
        <v>0</v>
      </c>
      <c r="J1269" s="50"/>
      <c r="K1269" s="50"/>
      <c r="L1269" s="36">
        <v>2022</v>
      </c>
      <c r="M1269" s="20" t="s">
        <v>255</v>
      </c>
      <c r="N1269" s="22" t="s">
        <v>431</v>
      </c>
    </row>
    <row r="1270" spans="1:14" ht="24" customHeight="1" x14ac:dyDescent="0.35">
      <c r="A1270" s="20" t="s">
        <v>373</v>
      </c>
      <c r="B1270" s="50" t="s">
        <v>41</v>
      </c>
      <c r="C1270" s="50" t="s">
        <v>996</v>
      </c>
      <c r="D1270" s="20" t="s">
        <v>1004</v>
      </c>
      <c r="E1270" s="20">
        <v>3</v>
      </c>
      <c r="F1270" s="20">
        <f>1+0</f>
        <v>1</v>
      </c>
      <c r="G1270" s="20">
        <v>20</v>
      </c>
      <c r="H1270" s="20">
        <v>3</v>
      </c>
      <c r="I1270" s="50">
        <f t="shared" si="10"/>
        <v>27</v>
      </c>
      <c r="J1270" s="50"/>
      <c r="K1270" s="50"/>
      <c r="L1270" s="36">
        <v>2022</v>
      </c>
      <c r="M1270" s="20" t="s">
        <v>41</v>
      </c>
      <c r="N1270" s="22" t="s">
        <v>431</v>
      </c>
    </row>
    <row r="1271" spans="1:14" ht="24" customHeight="1" x14ac:dyDescent="0.35">
      <c r="A1271" s="20" t="s">
        <v>373</v>
      </c>
      <c r="B1271" s="50" t="s">
        <v>41</v>
      </c>
      <c r="C1271" s="50" t="s">
        <v>996</v>
      </c>
      <c r="D1271" s="20" t="s">
        <v>1005</v>
      </c>
      <c r="E1271" s="20">
        <f>37+1</f>
        <v>38</v>
      </c>
      <c r="F1271" s="20">
        <f>1+12</f>
        <v>13</v>
      </c>
      <c r="G1271" s="20">
        <f>1+169</f>
        <v>170</v>
      </c>
      <c r="H1271" s="20">
        <f>104+27</f>
        <v>131</v>
      </c>
      <c r="I1271" s="50">
        <f t="shared" si="10"/>
        <v>352</v>
      </c>
      <c r="J1271" s="50"/>
      <c r="K1271" s="50"/>
      <c r="L1271" s="36">
        <v>2022</v>
      </c>
      <c r="M1271" s="20" t="s">
        <v>41</v>
      </c>
      <c r="N1271" s="22" t="s">
        <v>431</v>
      </c>
    </row>
    <row r="1272" spans="1:14" ht="24" customHeight="1" x14ac:dyDescent="0.35">
      <c r="A1272" s="20" t="s">
        <v>373</v>
      </c>
      <c r="B1272" s="50" t="s">
        <v>41</v>
      </c>
      <c r="C1272" s="50" t="s">
        <v>996</v>
      </c>
      <c r="D1272" s="20" t="s">
        <v>1006</v>
      </c>
      <c r="E1272" s="20">
        <f>11000+1563000</f>
        <v>1574000</v>
      </c>
      <c r="F1272" s="20">
        <f>20000+217000</f>
        <v>237000</v>
      </c>
      <c r="G1272" s="20">
        <f>4000+1640000</f>
        <v>1644000</v>
      </c>
      <c r="H1272" s="20">
        <f>443000+153000</f>
        <v>596000</v>
      </c>
      <c r="I1272" s="50">
        <f t="shared" si="10"/>
        <v>4051000</v>
      </c>
      <c r="J1272" s="50"/>
      <c r="K1272" s="50"/>
      <c r="L1272" s="36">
        <v>2022</v>
      </c>
      <c r="M1272" s="20" t="s">
        <v>41</v>
      </c>
      <c r="N1272" s="22" t="s">
        <v>431</v>
      </c>
    </row>
    <row r="1273" spans="1:14" ht="24" customHeight="1" x14ac:dyDescent="0.35">
      <c r="A1273" s="20" t="s">
        <v>373</v>
      </c>
      <c r="B1273" s="50" t="s">
        <v>41</v>
      </c>
      <c r="C1273" s="50" t="s">
        <v>993</v>
      </c>
      <c r="D1273" s="20" t="s">
        <v>1004</v>
      </c>
      <c r="E1273" s="20">
        <v>2</v>
      </c>
      <c r="F1273" s="20">
        <v>0</v>
      </c>
      <c r="G1273" s="20">
        <v>0</v>
      </c>
      <c r="H1273" s="20">
        <v>0</v>
      </c>
      <c r="I1273" s="50">
        <f t="shared" si="10"/>
        <v>2</v>
      </c>
      <c r="J1273" s="50"/>
      <c r="K1273" s="50"/>
      <c r="L1273" s="36">
        <v>2022</v>
      </c>
      <c r="M1273" s="20" t="s">
        <v>41</v>
      </c>
      <c r="N1273" s="22" t="s">
        <v>431</v>
      </c>
    </row>
    <row r="1274" spans="1:14" ht="24" customHeight="1" x14ac:dyDescent="0.35">
      <c r="A1274" s="20" t="s">
        <v>373</v>
      </c>
      <c r="B1274" s="50" t="s">
        <v>41</v>
      </c>
      <c r="C1274" s="50" t="s">
        <v>993</v>
      </c>
      <c r="D1274" s="20" t="s">
        <v>1005</v>
      </c>
      <c r="E1274" s="20">
        <v>45</v>
      </c>
      <c r="F1274" s="20">
        <v>0</v>
      </c>
      <c r="G1274" s="20">
        <v>0</v>
      </c>
      <c r="H1274" s="20">
        <v>0</v>
      </c>
      <c r="I1274" s="50">
        <f t="shared" si="10"/>
        <v>45</v>
      </c>
      <c r="J1274" s="50"/>
      <c r="K1274" s="50"/>
      <c r="L1274" s="36">
        <v>2022</v>
      </c>
      <c r="M1274" s="20" t="s">
        <v>41</v>
      </c>
      <c r="N1274" s="22" t="s">
        <v>431</v>
      </c>
    </row>
    <row r="1275" spans="1:14" ht="24" customHeight="1" x14ac:dyDescent="0.35">
      <c r="A1275" s="20" t="s">
        <v>373</v>
      </c>
      <c r="B1275" s="50" t="s">
        <v>41</v>
      </c>
      <c r="C1275" s="50" t="s">
        <v>993</v>
      </c>
      <c r="D1275" s="20" t="s">
        <v>1006</v>
      </c>
      <c r="E1275" s="20">
        <v>4916000</v>
      </c>
      <c r="F1275" s="20">
        <v>0</v>
      </c>
      <c r="G1275" s="20">
        <v>0</v>
      </c>
      <c r="H1275" s="20">
        <v>0</v>
      </c>
      <c r="I1275" s="50">
        <f t="shared" si="10"/>
        <v>4916000</v>
      </c>
      <c r="J1275" s="50"/>
      <c r="K1275" s="50"/>
      <c r="L1275" s="36">
        <v>2022</v>
      </c>
      <c r="M1275" s="20" t="s">
        <v>41</v>
      </c>
      <c r="N1275" s="22" t="s">
        <v>431</v>
      </c>
    </row>
    <row r="1276" spans="1:14" ht="24" customHeight="1" x14ac:dyDescent="0.35">
      <c r="A1276" s="56" t="s">
        <v>974</v>
      </c>
      <c r="B1276" s="146" t="s">
        <v>41</v>
      </c>
      <c r="C1276" s="50" t="s">
        <v>996</v>
      </c>
      <c r="D1276" s="20" t="s">
        <v>1004</v>
      </c>
      <c r="E1276" s="50">
        <v>0</v>
      </c>
      <c r="F1276" s="50">
        <v>1</v>
      </c>
      <c r="G1276" s="50">
        <v>0</v>
      </c>
      <c r="H1276" s="50">
        <v>2</v>
      </c>
      <c r="I1276" s="50">
        <f t="shared" si="10"/>
        <v>3</v>
      </c>
      <c r="J1276" s="50"/>
      <c r="K1276" s="50"/>
      <c r="L1276" s="36">
        <v>2022</v>
      </c>
      <c r="M1276" s="20" t="s">
        <v>41</v>
      </c>
      <c r="N1276" s="22" t="s">
        <v>554</v>
      </c>
    </row>
    <row r="1277" spans="1:14" ht="24" customHeight="1" x14ac:dyDescent="0.35">
      <c r="A1277" s="56" t="s">
        <v>974</v>
      </c>
      <c r="B1277" s="146" t="s">
        <v>41</v>
      </c>
      <c r="C1277" s="50" t="s">
        <v>996</v>
      </c>
      <c r="D1277" s="20" t="s">
        <v>1005</v>
      </c>
      <c r="E1277" s="50">
        <v>1</v>
      </c>
      <c r="F1277" s="50">
        <v>2</v>
      </c>
      <c r="G1277" s="50">
        <v>8</v>
      </c>
      <c r="H1277" s="50">
        <v>164</v>
      </c>
      <c r="I1277" s="50">
        <f t="shared" si="10"/>
        <v>175</v>
      </c>
      <c r="J1277" s="50"/>
      <c r="K1277" s="50"/>
      <c r="L1277" s="36">
        <v>2022</v>
      </c>
      <c r="M1277" s="20" t="s">
        <v>41</v>
      </c>
      <c r="N1277" s="22" t="s">
        <v>554</v>
      </c>
    </row>
    <row r="1278" spans="1:14" ht="24" customHeight="1" x14ac:dyDescent="0.35">
      <c r="A1278" s="56" t="s">
        <v>974</v>
      </c>
      <c r="B1278" s="146" t="s">
        <v>41</v>
      </c>
      <c r="C1278" s="50" t="s">
        <v>996</v>
      </c>
      <c r="D1278" s="20" t="s">
        <v>1006</v>
      </c>
      <c r="E1278" s="50">
        <v>90000</v>
      </c>
      <c r="F1278" s="50">
        <v>43160</v>
      </c>
      <c r="G1278" s="50">
        <v>21497.599999999999</v>
      </c>
      <c r="H1278" s="50">
        <v>21970</v>
      </c>
      <c r="I1278" s="50">
        <f t="shared" si="10"/>
        <v>176627.6</v>
      </c>
      <c r="J1278" s="50"/>
      <c r="K1278" s="50"/>
      <c r="L1278" s="36">
        <v>2022</v>
      </c>
      <c r="M1278" s="20" t="s">
        <v>41</v>
      </c>
      <c r="N1278" s="22" t="s">
        <v>554</v>
      </c>
    </row>
    <row r="1279" spans="1:14" ht="24" customHeight="1" x14ac:dyDescent="0.35">
      <c r="A1279" s="56" t="s">
        <v>974</v>
      </c>
      <c r="B1279" s="146" t="s">
        <v>41</v>
      </c>
      <c r="C1279" s="50" t="s">
        <v>993</v>
      </c>
      <c r="D1279" s="20" t="s">
        <v>1004</v>
      </c>
      <c r="E1279" s="50">
        <v>0</v>
      </c>
      <c r="F1279" s="50">
        <v>0</v>
      </c>
      <c r="G1279" s="50">
        <v>0</v>
      </c>
      <c r="H1279" s="50">
        <v>0</v>
      </c>
      <c r="I1279" s="50">
        <f t="shared" si="10"/>
        <v>0</v>
      </c>
      <c r="J1279" s="50"/>
      <c r="K1279" s="50"/>
      <c r="L1279" s="36">
        <v>2022</v>
      </c>
      <c r="M1279" s="20" t="s">
        <v>41</v>
      </c>
      <c r="N1279" s="22" t="s">
        <v>554</v>
      </c>
    </row>
    <row r="1280" spans="1:14" ht="24" customHeight="1" x14ac:dyDescent="0.35">
      <c r="A1280" s="56" t="s">
        <v>974</v>
      </c>
      <c r="B1280" s="146" t="s">
        <v>41</v>
      </c>
      <c r="C1280" s="50" t="s">
        <v>993</v>
      </c>
      <c r="D1280" s="20" t="s">
        <v>1005</v>
      </c>
      <c r="E1280" s="50">
        <v>0</v>
      </c>
      <c r="F1280" s="50">
        <v>0</v>
      </c>
      <c r="G1280" s="50">
        <v>0</v>
      </c>
      <c r="H1280" s="50">
        <v>0</v>
      </c>
      <c r="I1280" s="50">
        <f t="shared" si="10"/>
        <v>0</v>
      </c>
      <c r="J1280" s="50"/>
      <c r="K1280" s="50"/>
      <c r="L1280" s="36">
        <v>2022</v>
      </c>
      <c r="M1280" s="20" t="s">
        <v>41</v>
      </c>
      <c r="N1280" s="22" t="s">
        <v>554</v>
      </c>
    </row>
    <row r="1281" spans="1:14" ht="24" customHeight="1" x14ac:dyDescent="0.35">
      <c r="A1281" s="56" t="s">
        <v>974</v>
      </c>
      <c r="B1281" s="146" t="s">
        <v>41</v>
      </c>
      <c r="C1281" s="50" t="s">
        <v>993</v>
      </c>
      <c r="D1281" s="20" t="s">
        <v>1006</v>
      </c>
      <c r="E1281" s="50">
        <v>0</v>
      </c>
      <c r="F1281" s="50">
        <v>0</v>
      </c>
      <c r="G1281" s="50">
        <v>0</v>
      </c>
      <c r="H1281" s="50">
        <v>0</v>
      </c>
      <c r="I1281" s="50">
        <f t="shared" si="10"/>
        <v>0</v>
      </c>
      <c r="J1281" s="50"/>
      <c r="K1281" s="50"/>
      <c r="L1281" s="36">
        <v>2022</v>
      </c>
      <c r="M1281" s="20" t="s">
        <v>41</v>
      </c>
      <c r="N1281" s="22" t="s">
        <v>554</v>
      </c>
    </row>
    <row r="1282" spans="1:14" ht="24" customHeight="1" x14ac:dyDescent="0.35">
      <c r="A1282" s="56" t="s">
        <v>649</v>
      </c>
      <c r="B1282" s="50" t="s">
        <v>46</v>
      </c>
      <c r="C1282" s="50" t="s">
        <v>996</v>
      </c>
      <c r="D1282" s="20" t="s">
        <v>1004</v>
      </c>
      <c r="E1282" s="50">
        <v>1</v>
      </c>
      <c r="F1282" s="50">
        <v>0</v>
      </c>
      <c r="G1282" s="50">
        <v>0</v>
      </c>
      <c r="H1282" s="50">
        <v>0</v>
      </c>
      <c r="I1282" s="50">
        <f t="shared" si="10"/>
        <v>1</v>
      </c>
      <c r="J1282" s="50"/>
      <c r="K1282" s="50"/>
      <c r="L1282" s="36">
        <v>2022</v>
      </c>
      <c r="M1282" s="20" t="s">
        <v>46</v>
      </c>
      <c r="N1282" s="22" t="s">
        <v>424</v>
      </c>
    </row>
    <row r="1283" spans="1:14" ht="24" customHeight="1" x14ac:dyDescent="0.35">
      <c r="A1283" s="56" t="s">
        <v>649</v>
      </c>
      <c r="B1283" s="50" t="s">
        <v>46</v>
      </c>
      <c r="C1283" s="50" t="s">
        <v>996</v>
      </c>
      <c r="D1283" s="20" t="s">
        <v>1005</v>
      </c>
      <c r="E1283" s="50">
        <v>0</v>
      </c>
      <c r="F1283" s="50">
        <v>0</v>
      </c>
      <c r="G1283" s="50">
        <v>5</v>
      </c>
      <c r="H1283" s="50">
        <v>15</v>
      </c>
      <c r="I1283" s="50">
        <f t="shared" si="10"/>
        <v>20</v>
      </c>
      <c r="J1283" s="50"/>
      <c r="K1283" s="50"/>
      <c r="L1283" s="36">
        <v>2022</v>
      </c>
      <c r="M1283" s="20" t="s">
        <v>46</v>
      </c>
      <c r="N1283" s="22" t="s">
        <v>424</v>
      </c>
    </row>
    <row r="1284" spans="1:14" ht="24" customHeight="1" x14ac:dyDescent="0.35">
      <c r="A1284" s="56" t="s">
        <v>649</v>
      </c>
      <c r="B1284" s="50" t="s">
        <v>46</v>
      </c>
      <c r="C1284" s="50" t="s">
        <v>996</v>
      </c>
      <c r="D1284" s="20" t="s">
        <v>1006</v>
      </c>
      <c r="E1284" s="50">
        <v>17428.595000000001</v>
      </c>
      <c r="F1284" s="50">
        <v>0</v>
      </c>
      <c r="G1284" s="50">
        <v>11201.852000000001</v>
      </c>
      <c r="H1284" s="50">
        <v>22047.419000000002</v>
      </c>
      <c r="I1284" s="50">
        <f t="shared" si="10"/>
        <v>50677.866000000002</v>
      </c>
      <c r="J1284" s="50"/>
      <c r="K1284" s="50"/>
      <c r="L1284" s="36">
        <v>2022</v>
      </c>
      <c r="M1284" s="20" t="s">
        <v>46</v>
      </c>
      <c r="N1284" s="22" t="s">
        <v>424</v>
      </c>
    </row>
    <row r="1285" spans="1:14" ht="24" customHeight="1" x14ac:dyDescent="0.35">
      <c r="A1285" s="56" t="s">
        <v>649</v>
      </c>
      <c r="B1285" s="50" t="s">
        <v>46</v>
      </c>
      <c r="C1285" s="50" t="s">
        <v>993</v>
      </c>
      <c r="D1285" s="20" t="s">
        <v>1004</v>
      </c>
      <c r="E1285" s="50">
        <v>0</v>
      </c>
      <c r="F1285" s="50">
        <v>0</v>
      </c>
      <c r="G1285" s="50">
        <v>0</v>
      </c>
      <c r="H1285" s="50">
        <v>0</v>
      </c>
      <c r="I1285" s="50">
        <f t="shared" si="10"/>
        <v>0</v>
      </c>
      <c r="J1285" s="50"/>
      <c r="K1285" s="50"/>
      <c r="L1285" s="36">
        <v>2022</v>
      </c>
      <c r="M1285" s="20" t="s">
        <v>46</v>
      </c>
      <c r="N1285" s="22" t="s">
        <v>424</v>
      </c>
    </row>
    <row r="1286" spans="1:14" ht="24" customHeight="1" x14ac:dyDescent="0.35">
      <c r="A1286" s="56" t="s">
        <v>649</v>
      </c>
      <c r="B1286" s="50" t="s">
        <v>46</v>
      </c>
      <c r="C1286" s="50" t="s">
        <v>993</v>
      </c>
      <c r="D1286" s="20" t="s">
        <v>1005</v>
      </c>
      <c r="E1286" s="50">
        <v>0</v>
      </c>
      <c r="F1286" s="50">
        <v>0</v>
      </c>
      <c r="G1286" s="50">
        <v>1</v>
      </c>
      <c r="H1286" s="50">
        <v>0</v>
      </c>
      <c r="I1286" s="50">
        <f t="shared" si="10"/>
        <v>1</v>
      </c>
      <c r="J1286" s="50"/>
      <c r="K1286" s="50"/>
      <c r="L1286" s="36">
        <v>2022</v>
      </c>
      <c r="M1286" s="20" t="s">
        <v>46</v>
      </c>
      <c r="N1286" s="22" t="s">
        <v>424</v>
      </c>
    </row>
    <row r="1287" spans="1:14" ht="24" customHeight="1" x14ac:dyDescent="0.35">
      <c r="A1287" s="56" t="s">
        <v>649</v>
      </c>
      <c r="B1287" s="50" t="s">
        <v>46</v>
      </c>
      <c r="C1287" s="50" t="s">
        <v>993</v>
      </c>
      <c r="D1287" s="20" t="s">
        <v>1006</v>
      </c>
      <c r="E1287" s="50">
        <v>0</v>
      </c>
      <c r="F1287" s="50">
        <v>0</v>
      </c>
      <c r="G1287" s="50">
        <v>4076.7840000000001</v>
      </c>
      <c r="H1287" s="50">
        <v>0</v>
      </c>
      <c r="I1287" s="50">
        <f t="shared" si="10"/>
        <v>4076.7840000000001</v>
      </c>
      <c r="J1287" s="50"/>
      <c r="K1287" s="50"/>
      <c r="L1287" s="36">
        <v>2022</v>
      </c>
      <c r="M1287" s="20" t="s">
        <v>46</v>
      </c>
      <c r="N1287" s="22" t="s">
        <v>424</v>
      </c>
    </row>
    <row r="1288" spans="1:14" ht="24" customHeight="1" x14ac:dyDescent="0.35">
      <c r="A1288" s="20" t="s">
        <v>727</v>
      </c>
      <c r="B1288" s="149" t="s">
        <v>46</v>
      </c>
      <c r="C1288" s="50" t="s">
        <v>996</v>
      </c>
      <c r="D1288" s="20" t="s">
        <v>1004</v>
      </c>
      <c r="E1288" s="20">
        <v>0</v>
      </c>
      <c r="F1288" s="20">
        <v>0</v>
      </c>
      <c r="G1288" s="20">
        <v>0</v>
      </c>
      <c r="H1288" s="20">
        <v>4</v>
      </c>
      <c r="I1288" s="50">
        <f t="shared" si="10"/>
        <v>4</v>
      </c>
      <c r="J1288" s="50"/>
      <c r="K1288" s="50"/>
      <c r="L1288" s="36">
        <v>2022</v>
      </c>
      <c r="M1288" s="20" t="s">
        <v>46</v>
      </c>
      <c r="N1288" s="22" t="s">
        <v>424</v>
      </c>
    </row>
    <row r="1289" spans="1:14" ht="24" customHeight="1" x14ac:dyDescent="0.35">
      <c r="A1289" s="20" t="s">
        <v>727</v>
      </c>
      <c r="B1289" s="149" t="s">
        <v>46</v>
      </c>
      <c r="C1289" s="50" t="s">
        <v>996</v>
      </c>
      <c r="D1289" s="20" t="s">
        <v>1005</v>
      </c>
      <c r="E1289" s="20">
        <v>0</v>
      </c>
      <c r="F1289" s="20">
        <v>0</v>
      </c>
      <c r="G1289" s="20">
        <v>2</v>
      </c>
      <c r="H1289" s="20">
        <v>48</v>
      </c>
      <c r="I1289" s="50">
        <f t="shared" si="10"/>
        <v>50</v>
      </c>
      <c r="J1289" s="50"/>
      <c r="K1289" s="50"/>
      <c r="L1289" s="36">
        <v>2022</v>
      </c>
      <c r="M1289" s="20" t="s">
        <v>46</v>
      </c>
      <c r="N1289" s="22" t="s">
        <v>424</v>
      </c>
    </row>
    <row r="1290" spans="1:14" ht="24" customHeight="1" x14ac:dyDescent="0.35">
      <c r="A1290" s="20" t="s">
        <v>727</v>
      </c>
      <c r="B1290" s="149" t="s">
        <v>46</v>
      </c>
      <c r="C1290" s="50" t="s">
        <v>996</v>
      </c>
      <c r="D1290" s="20" t="s">
        <v>1006</v>
      </c>
      <c r="E1290" s="20">
        <v>0</v>
      </c>
      <c r="F1290" s="20">
        <v>0</v>
      </c>
      <c r="G1290" s="20">
        <v>4704</v>
      </c>
      <c r="H1290" s="20">
        <v>65959</v>
      </c>
      <c r="I1290" s="50">
        <f t="shared" si="10"/>
        <v>70663</v>
      </c>
      <c r="J1290" s="50"/>
      <c r="K1290" s="50"/>
      <c r="L1290" s="36">
        <v>2022</v>
      </c>
      <c r="M1290" s="20" t="s">
        <v>46</v>
      </c>
      <c r="N1290" s="22" t="s">
        <v>424</v>
      </c>
    </row>
    <row r="1291" spans="1:14" ht="24" customHeight="1" x14ac:dyDescent="0.35">
      <c r="A1291" s="20" t="s">
        <v>727</v>
      </c>
      <c r="B1291" s="149" t="s">
        <v>46</v>
      </c>
      <c r="C1291" s="50" t="s">
        <v>993</v>
      </c>
      <c r="D1291" s="20" t="s">
        <v>1004</v>
      </c>
      <c r="E1291" s="20">
        <v>0</v>
      </c>
      <c r="F1291" s="20">
        <v>0</v>
      </c>
      <c r="G1291" s="20">
        <v>0</v>
      </c>
      <c r="H1291" s="20">
        <v>0</v>
      </c>
      <c r="I1291" s="50">
        <f t="shared" si="10"/>
        <v>0</v>
      </c>
      <c r="J1291" s="50"/>
      <c r="K1291" s="50"/>
      <c r="L1291" s="36">
        <v>2022</v>
      </c>
      <c r="M1291" s="20" t="s">
        <v>46</v>
      </c>
      <c r="N1291" s="22" t="s">
        <v>424</v>
      </c>
    </row>
    <row r="1292" spans="1:14" ht="24" customHeight="1" x14ac:dyDescent="0.35">
      <c r="A1292" s="20" t="s">
        <v>727</v>
      </c>
      <c r="B1292" s="149" t="s">
        <v>46</v>
      </c>
      <c r="C1292" s="50" t="s">
        <v>993</v>
      </c>
      <c r="D1292" s="20" t="s">
        <v>1005</v>
      </c>
      <c r="E1292" s="20">
        <v>2</v>
      </c>
      <c r="F1292" s="20">
        <v>1</v>
      </c>
      <c r="G1292" s="20">
        <v>0</v>
      </c>
      <c r="H1292" s="20">
        <v>0</v>
      </c>
      <c r="I1292" s="50">
        <f t="shared" si="10"/>
        <v>3</v>
      </c>
      <c r="J1292" s="50"/>
      <c r="K1292" s="50"/>
      <c r="L1292" s="36">
        <v>2022</v>
      </c>
      <c r="M1292" s="20" t="s">
        <v>46</v>
      </c>
      <c r="N1292" s="22" t="s">
        <v>424</v>
      </c>
    </row>
    <row r="1293" spans="1:14" ht="24" customHeight="1" x14ac:dyDescent="0.35">
      <c r="A1293" s="20" t="s">
        <v>727</v>
      </c>
      <c r="B1293" s="149" t="s">
        <v>46</v>
      </c>
      <c r="C1293" s="50" t="s">
        <v>993</v>
      </c>
      <c r="D1293" s="20" t="s">
        <v>1006</v>
      </c>
      <c r="E1293" s="20">
        <v>48000</v>
      </c>
      <c r="F1293" s="20">
        <v>12000</v>
      </c>
      <c r="G1293" s="20">
        <v>0</v>
      </c>
      <c r="H1293" s="20">
        <v>0</v>
      </c>
      <c r="I1293" s="50">
        <f t="shared" si="10"/>
        <v>60000</v>
      </c>
      <c r="J1293" s="50"/>
      <c r="K1293" s="50"/>
      <c r="L1293" s="36">
        <v>2022</v>
      </c>
      <c r="M1293" s="20" t="s">
        <v>46</v>
      </c>
      <c r="N1293" s="22" t="s">
        <v>424</v>
      </c>
    </row>
    <row r="1294" spans="1:14" ht="24" customHeight="1" x14ac:dyDescent="0.35">
      <c r="A1294" s="20" t="s">
        <v>376</v>
      </c>
      <c r="B1294" s="50" t="s">
        <v>41</v>
      </c>
      <c r="C1294" s="50" t="s">
        <v>996</v>
      </c>
      <c r="D1294" s="20" t="s">
        <v>1004</v>
      </c>
      <c r="E1294" s="20">
        <v>5</v>
      </c>
      <c r="F1294" s="20">
        <v>12</v>
      </c>
      <c r="G1294" s="20">
        <v>33</v>
      </c>
      <c r="H1294" s="20">
        <v>26</v>
      </c>
      <c r="I1294" s="50">
        <f t="shared" si="10"/>
        <v>76</v>
      </c>
      <c r="J1294" s="50"/>
      <c r="K1294" s="50"/>
      <c r="L1294" s="36">
        <v>2022</v>
      </c>
      <c r="M1294" s="20" t="s">
        <v>41</v>
      </c>
      <c r="N1294" s="22" t="s">
        <v>431</v>
      </c>
    </row>
    <row r="1295" spans="1:14" ht="24" customHeight="1" x14ac:dyDescent="0.35">
      <c r="A1295" s="20" t="s">
        <v>376</v>
      </c>
      <c r="B1295" s="50" t="s">
        <v>41</v>
      </c>
      <c r="C1295" s="50" t="s">
        <v>996</v>
      </c>
      <c r="D1295" s="20" t="s">
        <v>1005</v>
      </c>
      <c r="E1295" s="20">
        <v>63</v>
      </c>
      <c r="F1295" s="20">
        <v>95</v>
      </c>
      <c r="G1295" s="20">
        <v>390</v>
      </c>
      <c r="H1295" s="20">
        <v>381</v>
      </c>
      <c r="I1295" s="50">
        <f>SUM(E1295:H1295)</f>
        <v>929</v>
      </c>
      <c r="J1295" s="50"/>
      <c r="K1295" s="50"/>
      <c r="L1295" s="36">
        <v>2022</v>
      </c>
      <c r="M1295" s="20" t="s">
        <v>41</v>
      </c>
      <c r="N1295" s="22" t="s">
        <v>431</v>
      </c>
    </row>
    <row r="1296" spans="1:14" ht="24" customHeight="1" x14ac:dyDescent="0.35">
      <c r="A1296" s="20" t="s">
        <v>376</v>
      </c>
      <c r="B1296" s="50" t="s">
        <v>41</v>
      </c>
      <c r="C1296" s="50" t="s">
        <v>996</v>
      </c>
      <c r="D1296" s="20" t="s">
        <v>1006</v>
      </c>
      <c r="E1296" s="20">
        <v>3004308</v>
      </c>
      <c r="F1296" s="20">
        <v>2882172</v>
      </c>
      <c r="G1296" s="20">
        <v>8267481</v>
      </c>
      <c r="H1296" s="20">
        <v>5284359</v>
      </c>
      <c r="I1296" s="50">
        <f t="shared" si="10"/>
        <v>19438320</v>
      </c>
      <c r="J1296" s="50"/>
      <c r="K1296" s="50"/>
      <c r="L1296" s="36">
        <v>2022</v>
      </c>
      <c r="M1296" s="20" t="s">
        <v>41</v>
      </c>
      <c r="N1296" s="22" t="s">
        <v>431</v>
      </c>
    </row>
    <row r="1297" spans="1:14" ht="24" customHeight="1" x14ac:dyDescent="0.35">
      <c r="A1297" s="20" t="s">
        <v>376</v>
      </c>
      <c r="B1297" s="50" t="s">
        <v>41</v>
      </c>
      <c r="C1297" s="50" t="s">
        <v>993</v>
      </c>
      <c r="D1297" s="20" t="s">
        <v>1004</v>
      </c>
      <c r="E1297" s="20">
        <v>4</v>
      </c>
      <c r="F1297" s="20">
        <v>0</v>
      </c>
      <c r="G1297" s="20">
        <v>0</v>
      </c>
      <c r="H1297" s="20">
        <v>0</v>
      </c>
      <c r="I1297" s="50">
        <f t="shared" si="10"/>
        <v>4</v>
      </c>
      <c r="J1297" s="50"/>
      <c r="K1297" s="50"/>
      <c r="L1297" s="36">
        <v>2022</v>
      </c>
      <c r="M1297" s="20" t="s">
        <v>41</v>
      </c>
      <c r="N1297" s="22" t="s">
        <v>431</v>
      </c>
    </row>
    <row r="1298" spans="1:14" ht="24" customHeight="1" x14ac:dyDescent="0.35">
      <c r="A1298" s="20" t="s">
        <v>376</v>
      </c>
      <c r="B1298" s="50" t="s">
        <v>41</v>
      </c>
      <c r="C1298" s="50" t="s">
        <v>993</v>
      </c>
      <c r="D1298" s="20" t="s">
        <v>1005</v>
      </c>
      <c r="E1298" s="20">
        <v>80</v>
      </c>
      <c r="F1298" s="20">
        <v>18</v>
      </c>
      <c r="G1298" s="20">
        <v>0</v>
      </c>
      <c r="H1298" s="20">
        <v>0</v>
      </c>
      <c r="I1298" s="50">
        <f t="shared" si="10"/>
        <v>98</v>
      </c>
      <c r="J1298" s="50"/>
      <c r="K1298" s="50"/>
      <c r="L1298" s="36">
        <v>2022</v>
      </c>
      <c r="M1298" s="20" t="s">
        <v>41</v>
      </c>
      <c r="N1298" s="22" t="s">
        <v>431</v>
      </c>
    </row>
    <row r="1299" spans="1:14" ht="24" customHeight="1" x14ac:dyDescent="0.35">
      <c r="A1299" s="20" t="s">
        <v>376</v>
      </c>
      <c r="B1299" s="50" t="s">
        <v>41</v>
      </c>
      <c r="C1299" s="50" t="s">
        <v>993</v>
      </c>
      <c r="D1299" s="20" t="s">
        <v>1006</v>
      </c>
      <c r="E1299" s="20">
        <v>3729417</v>
      </c>
      <c r="F1299" s="20">
        <v>529839</v>
      </c>
      <c r="G1299" s="20">
        <v>0</v>
      </c>
      <c r="H1299" s="20">
        <v>0</v>
      </c>
      <c r="I1299" s="50">
        <f t="shared" si="10"/>
        <v>4259256</v>
      </c>
      <c r="J1299" s="50"/>
      <c r="K1299" s="50"/>
      <c r="L1299" s="36">
        <v>2022</v>
      </c>
      <c r="M1299" s="20" t="s">
        <v>41</v>
      </c>
      <c r="N1299" s="22" t="s">
        <v>431</v>
      </c>
    </row>
    <row r="1300" spans="1:14" ht="24" customHeight="1" x14ac:dyDescent="0.35">
      <c r="A1300" s="20" t="s">
        <v>96</v>
      </c>
      <c r="B1300" s="50" t="s">
        <v>4</v>
      </c>
      <c r="C1300" s="50" t="s">
        <v>996</v>
      </c>
      <c r="D1300" s="20" t="s">
        <v>1004</v>
      </c>
      <c r="E1300" s="20">
        <v>0</v>
      </c>
      <c r="F1300" s="20">
        <v>1</v>
      </c>
      <c r="G1300" s="20">
        <v>0</v>
      </c>
      <c r="H1300" s="20">
        <v>1</v>
      </c>
      <c r="I1300" s="50">
        <f t="shared" si="10"/>
        <v>2</v>
      </c>
      <c r="J1300" s="50"/>
      <c r="K1300" s="50"/>
      <c r="L1300" s="36">
        <v>2022</v>
      </c>
      <c r="M1300" s="20" t="s">
        <v>255</v>
      </c>
      <c r="N1300" s="22" t="s">
        <v>431</v>
      </c>
    </row>
    <row r="1301" spans="1:14" ht="24" customHeight="1" x14ac:dyDescent="0.35">
      <c r="A1301" s="20" t="s">
        <v>96</v>
      </c>
      <c r="B1301" s="50" t="s">
        <v>4</v>
      </c>
      <c r="C1301" s="50" t="s">
        <v>996</v>
      </c>
      <c r="D1301" s="20" t="s">
        <v>1005</v>
      </c>
      <c r="E1301" s="20">
        <v>10</v>
      </c>
      <c r="F1301" s="20">
        <v>2</v>
      </c>
      <c r="G1301" s="20">
        <v>8</v>
      </c>
      <c r="H1301" s="20">
        <v>16</v>
      </c>
      <c r="I1301" s="50">
        <f t="shared" si="10"/>
        <v>36</v>
      </c>
      <c r="J1301" s="50"/>
      <c r="K1301" s="50"/>
      <c r="L1301" s="36">
        <v>2022</v>
      </c>
      <c r="M1301" s="20" t="s">
        <v>255</v>
      </c>
      <c r="N1301" s="22" t="s">
        <v>431</v>
      </c>
    </row>
    <row r="1302" spans="1:14" ht="24" customHeight="1" x14ac:dyDescent="0.35">
      <c r="A1302" s="20" t="s">
        <v>96</v>
      </c>
      <c r="B1302" s="50" t="s">
        <v>4</v>
      </c>
      <c r="C1302" s="50" t="s">
        <v>996</v>
      </c>
      <c r="D1302" s="20" t="s">
        <v>1006</v>
      </c>
      <c r="E1302" s="20">
        <v>109115</v>
      </c>
      <c r="F1302" s="20">
        <v>29701</v>
      </c>
      <c r="G1302" s="20">
        <v>40272</v>
      </c>
      <c r="H1302" s="20">
        <v>40215</v>
      </c>
      <c r="I1302" s="50">
        <f t="shared" si="10"/>
        <v>219303</v>
      </c>
      <c r="J1302" s="50"/>
      <c r="K1302" s="50"/>
      <c r="L1302" s="36">
        <v>2022</v>
      </c>
      <c r="M1302" s="20" t="s">
        <v>255</v>
      </c>
      <c r="N1302" s="22" t="s">
        <v>431</v>
      </c>
    </row>
    <row r="1303" spans="1:14" ht="24" customHeight="1" x14ac:dyDescent="0.35">
      <c r="A1303" s="20" t="s">
        <v>96</v>
      </c>
      <c r="B1303" s="50" t="s">
        <v>4</v>
      </c>
      <c r="C1303" s="50" t="s">
        <v>993</v>
      </c>
      <c r="D1303" s="20" t="s">
        <v>1004</v>
      </c>
      <c r="E1303" s="20">
        <v>0</v>
      </c>
      <c r="F1303" s="20">
        <v>0</v>
      </c>
      <c r="G1303" s="20">
        <v>0</v>
      </c>
      <c r="H1303" s="20">
        <v>0</v>
      </c>
      <c r="I1303" s="50">
        <f t="shared" ref="I1303:I1366" si="11">SUM(E1303:H1303)</f>
        <v>0</v>
      </c>
      <c r="J1303" s="50"/>
      <c r="K1303" s="50"/>
      <c r="L1303" s="36">
        <v>2022</v>
      </c>
      <c r="M1303" s="20" t="s">
        <v>255</v>
      </c>
      <c r="N1303" s="22" t="s">
        <v>431</v>
      </c>
    </row>
    <row r="1304" spans="1:14" ht="24" customHeight="1" x14ac:dyDescent="0.35">
      <c r="A1304" s="20" t="s">
        <v>96</v>
      </c>
      <c r="B1304" s="50" t="s">
        <v>4</v>
      </c>
      <c r="C1304" s="50" t="s">
        <v>993</v>
      </c>
      <c r="D1304" s="20" t="s">
        <v>1005</v>
      </c>
      <c r="E1304" s="20">
        <v>0</v>
      </c>
      <c r="F1304" s="20">
        <v>0</v>
      </c>
      <c r="G1304" s="20">
        <v>0</v>
      </c>
      <c r="H1304" s="20">
        <v>0</v>
      </c>
      <c r="I1304" s="50">
        <f t="shared" si="11"/>
        <v>0</v>
      </c>
      <c r="J1304" s="50"/>
      <c r="K1304" s="50"/>
      <c r="L1304" s="36">
        <v>2022</v>
      </c>
      <c r="M1304" s="20" t="s">
        <v>255</v>
      </c>
      <c r="N1304" s="22" t="s">
        <v>431</v>
      </c>
    </row>
    <row r="1305" spans="1:14" ht="24" customHeight="1" x14ac:dyDescent="0.35">
      <c r="A1305" s="20" t="s">
        <v>96</v>
      </c>
      <c r="B1305" s="50" t="s">
        <v>4</v>
      </c>
      <c r="C1305" s="50" t="s">
        <v>993</v>
      </c>
      <c r="D1305" s="20" t="s">
        <v>1006</v>
      </c>
      <c r="E1305" s="20"/>
      <c r="F1305" s="20">
        <v>0</v>
      </c>
      <c r="G1305" s="20">
        <v>0</v>
      </c>
      <c r="H1305" s="20">
        <v>0</v>
      </c>
      <c r="I1305" s="50">
        <f t="shared" si="11"/>
        <v>0</v>
      </c>
      <c r="J1305" s="50"/>
      <c r="K1305" s="50"/>
      <c r="L1305" s="36">
        <v>2022</v>
      </c>
      <c r="M1305" s="20" t="s">
        <v>255</v>
      </c>
      <c r="N1305" s="22" t="s">
        <v>431</v>
      </c>
    </row>
    <row r="1306" spans="1:14" ht="24" customHeight="1" x14ac:dyDescent="0.35">
      <c r="A1306" s="20" t="s">
        <v>382</v>
      </c>
      <c r="B1306" s="50" t="s">
        <v>41</v>
      </c>
      <c r="C1306" s="50" t="s">
        <v>996</v>
      </c>
      <c r="D1306" s="20" t="s">
        <v>1004</v>
      </c>
      <c r="E1306" s="20">
        <v>0</v>
      </c>
      <c r="F1306" s="20">
        <v>0</v>
      </c>
      <c r="G1306" s="20">
        <v>1</v>
      </c>
      <c r="H1306" s="20">
        <v>2</v>
      </c>
      <c r="I1306" s="50">
        <f t="shared" si="11"/>
        <v>3</v>
      </c>
      <c r="J1306" s="50"/>
      <c r="K1306" s="50"/>
      <c r="L1306" s="36">
        <v>2022</v>
      </c>
      <c r="M1306" s="20" t="s">
        <v>41</v>
      </c>
      <c r="N1306" s="22" t="s">
        <v>554</v>
      </c>
    </row>
    <row r="1307" spans="1:14" ht="24" customHeight="1" x14ac:dyDescent="0.35">
      <c r="A1307" s="20" t="s">
        <v>382</v>
      </c>
      <c r="B1307" s="50" t="s">
        <v>41</v>
      </c>
      <c r="C1307" s="50" t="s">
        <v>996</v>
      </c>
      <c r="D1307" s="20" t="s">
        <v>1005</v>
      </c>
      <c r="E1307" s="20">
        <v>2</v>
      </c>
      <c r="F1307" s="20">
        <v>6</v>
      </c>
      <c r="G1307" s="20">
        <v>15</v>
      </c>
      <c r="H1307" s="20">
        <v>55</v>
      </c>
      <c r="I1307" s="50">
        <f t="shared" si="11"/>
        <v>78</v>
      </c>
      <c r="J1307" s="50"/>
      <c r="K1307" s="50"/>
      <c r="L1307" s="36">
        <v>2022</v>
      </c>
      <c r="M1307" s="20" t="s">
        <v>41</v>
      </c>
      <c r="N1307" s="22" t="s">
        <v>554</v>
      </c>
    </row>
    <row r="1308" spans="1:14" ht="24" customHeight="1" x14ac:dyDescent="0.35">
      <c r="A1308" s="20" t="s">
        <v>382</v>
      </c>
      <c r="B1308" s="50" t="s">
        <v>41</v>
      </c>
      <c r="C1308" s="50" t="s">
        <v>996</v>
      </c>
      <c r="D1308" s="20" t="s">
        <v>1006</v>
      </c>
      <c r="E1308" s="20">
        <v>39465</v>
      </c>
      <c r="F1308" s="20">
        <v>62766</v>
      </c>
      <c r="G1308" s="20">
        <v>91358</v>
      </c>
      <c r="H1308" s="20">
        <v>154076</v>
      </c>
      <c r="I1308" s="50">
        <f t="shared" si="11"/>
        <v>347665</v>
      </c>
      <c r="J1308" s="50"/>
      <c r="K1308" s="50"/>
      <c r="L1308" s="36">
        <v>2022</v>
      </c>
      <c r="M1308" s="20" t="s">
        <v>41</v>
      </c>
      <c r="N1308" s="22" t="s">
        <v>554</v>
      </c>
    </row>
    <row r="1309" spans="1:14" ht="24" customHeight="1" x14ac:dyDescent="0.35">
      <c r="A1309" s="20" t="s">
        <v>382</v>
      </c>
      <c r="B1309" s="50" t="s">
        <v>41</v>
      </c>
      <c r="C1309" s="50" t="s">
        <v>993</v>
      </c>
      <c r="D1309" s="20" t="s">
        <v>1004</v>
      </c>
      <c r="E1309" s="20">
        <v>0</v>
      </c>
      <c r="F1309" s="20">
        <v>0</v>
      </c>
      <c r="G1309" s="20">
        <v>0</v>
      </c>
      <c r="H1309" s="20">
        <v>0</v>
      </c>
      <c r="I1309" s="50">
        <f t="shared" si="11"/>
        <v>0</v>
      </c>
      <c r="J1309" s="50"/>
      <c r="K1309" s="50"/>
      <c r="L1309" s="36">
        <v>2022</v>
      </c>
      <c r="M1309" s="20" t="s">
        <v>41</v>
      </c>
      <c r="N1309" s="22" t="s">
        <v>554</v>
      </c>
    </row>
    <row r="1310" spans="1:14" ht="24" customHeight="1" x14ac:dyDescent="0.35">
      <c r="A1310" s="20" t="s">
        <v>382</v>
      </c>
      <c r="B1310" s="50" t="s">
        <v>41</v>
      </c>
      <c r="C1310" s="50" t="s">
        <v>993</v>
      </c>
      <c r="D1310" s="20" t="s">
        <v>1005</v>
      </c>
      <c r="E1310" s="20">
        <v>1</v>
      </c>
      <c r="F1310" s="20">
        <v>0</v>
      </c>
      <c r="G1310" s="20">
        <v>2</v>
      </c>
      <c r="H1310" s="20">
        <v>0</v>
      </c>
      <c r="I1310" s="50">
        <f t="shared" si="11"/>
        <v>3</v>
      </c>
      <c r="J1310" s="50"/>
      <c r="K1310" s="50"/>
      <c r="L1310" s="36">
        <v>2022</v>
      </c>
      <c r="M1310" s="20" t="s">
        <v>41</v>
      </c>
      <c r="N1310" s="22" t="s">
        <v>554</v>
      </c>
    </row>
    <row r="1311" spans="1:14" ht="24" customHeight="1" x14ac:dyDescent="0.35">
      <c r="A1311" s="20" t="s">
        <v>382</v>
      </c>
      <c r="B1311" s="50" t="s">
        <v>41</v>
      </c>
      <c r="C1311" s="50" t="s">
        <v>993</v>
      </c>
      <c r="D1311" s="20" t="s">
        <v>1006</v>
      </c>
      <c r="E1311" s="20">
        <v>26444</v>
      </c>
      <c r="F1311" s="20">
        <v>0</v>
      </c>
      <c r="G1311" s="20">
        <v>11563</v>
      </c>
      <c r="H1311" s="20">
        <v>0</v>
      </c>
      <c r="I1311" s="50">
        <f t="shared" si="11"/>
        <v>38007</v>
      </c>
      <c r="J1311" s="50"/>
      <c r="K1311" s="50"/>
      <c r="L1311" s="36">
        <v>2022</v>
      </c>
      <c r="M1311" s="20" t="s">
        <v>41</v>
      </c>
      <c r="N1311" s="22" t="s">
        <v>554</v>
      </c>
    </row>
    <row r="1312" spans="1:14" ht="24" customHeight="1" x14ac:dyDescent="0.35">
      <c r="A1312" s="20" t="s">
        <v>638</v>
      </c>
      <c r="B1312" s="50" t="s">
        <v>57</v>
      </c>
      <c r="C1312" s="50" t="s">
        <v>996</v>
      </c>
      <c r="D1312" s="20" t="s">
        <v>1004</v>
      </c>
      <c r="E1312" s="20">
        <v>0</v>
      </c>
      <c r="F1312" s="20">
        <v>1</v>
      </c>
      <c r="G1312" s="20">
        <v>0</v>
      </c>
      <c r="H1312" s="20">
        <v>0</v>
      </c>
      <c r="I1312" s="50">
        <f t="shared" si="11"/>
        <v>1</v>
      </c>
      <c r="J1312" s="50"/>
      <c r="K1312" s="50"/>
      <c r="L1312" s="36">
        <v>2022</v>
      </c>
      <c r="M1312" s="20" t="s">
        <v>57</v>
      </c>
      <c r="N1312" s="22" t="s">
        <v>641</v>
      </c>
    </row>
    <row r="1313" spans="1:14" ht="24" customHeight="1" x14ac:dyDescent="0.35">
      <c r="A1313" s="20" t="s">
        <v>638</v>
      </c>
      <c r="B1313" s="50" t="s">
        <v>57</v>
      </c>
      <c r="C1313" s="50" t="s">
        <v>996</v>
      </c>
      <c r="D1313" s="20" t="s">
        <v>1005</v>
      </c>
      <c r="E1313" s="20">
        <v>0</v>
      </c>
      <c r="F1313" s="20">
        <v>1</v>
      </c>
      <c r="G1313" s="20">
        <v>7</v>
      </c>
      <c r="H1313" s="20">
        <f>15+37</f>
        <v>52</v>
      </c>
      <c r="I1313" s="50">
        <f t="shared" si="11"/>
        <v>60</v>
      </c>
      <c r="J1313" s="50"/>
      <c r="K1313" s="50"/>
      <c r="L1313" s="36">
        <v>2022</v>
      </c>
      <c r="M1313" s="20" t="s">
        <v>57</v>
      </c>
      <c r="N1313" s="22" t="s">
        <v>641</v>
      </c>
    </row>
    <row r="1314" spans="1:14" ht="24" customHeight="1" x14ac:dyDescent="0.35">
      <c r="A1314" s="20" t="s">
        <v>638</v>
      </c>
      <c r="B1314" s="50" t="s">
        <v>57</v>
      </c>
      <c r="C1314" s="50" t="s">
        <v>996</v>
      </c>
      <c r="D1314" s="20" t="s">
        <v>1006</v>
      </c>
      <c r="E1314" s="20">
        <v>0</v>
      </c>
      <c r="F1314" s="20">
        <v>18898</v>
      </c>
      <c r="G1314" s="20">
        <v>24594</v>
      </c>
      <c r="H1314" s="20">
        <f>14703+24594</f>
        <v>39297</v>
      </c>
      <c r="I1314" s="50">
        <f t="shared" si="11"/>
        <v>82789</v>
      </c>
      <c r="J1314" s="50"/>
      <c r="K1314" s="50"/>
      <c r="L1314" s="36">
        <v>2022</v>
      </c>
      <c r="M1314" s="20" t="s">
        <v>57</v>
      </c>
      <c r="N1314" s="22" t="s">
        <v>641</v>
      </c>
    </row>
    <row r="1315" spans="1:14" ht="24" customHeight="1" x14ac:dyDescent="0.35">
      <c r="A1315" s="20" t="s">
        <v>638</v>
      </c>
      <c r="B1315" s="50" t="s">
        <v>57</v>
      </c>
      <c r="C1315" s="50" t="s">
        <v>993</v>
      </c>
      <c r="D1315" s="20" t="s">
        <v>1004</v>
      </c>
      <c r="E1315" s="20">
        <v>0</v>
      </c>
      <c r="F1315" s="20">
        <v>0</v>
      </c>
      <c r="G1315" s="20">
        <v>0</v>
      </c>
      <c r="H1315" s="20">
        <v>0</v>
      </c>
      <c r="I1315" s="50">
        <f t="shared" si="11"/>
        <v>0</v>
      </c>
      <c r="J1315" s="50"/>
      <c r="K1315" s="50"/>
      <c r="L1315" s="36">
        <v>2022</v>
      </c>
      <c r="M1315" s="20" t="s">
        <v>57</v>
      </c>
      <c r="N1315" s="22" t="s">
        <v>641</v>
      </c>
    </row>
    <row r="1316" spans="1:14" ht="24" customHeight="1" x14ac:dyDescent="0.35">
      <c r="A1316" s="20" t="s">
        <v>638</v>
      </c>
      <c r="B1316" s="50" t="s">
        <v>57</v>
      </c>
      <c r="C1316" s="50" t="s">
        <v>993</v>
      </c>
      <c r="D1316" s="20" t="s">
        <v>1005</v>
      </c>
      <c r="E1316" s="20">
        <v>0</v>
      </c>
      <c r="F1316" s="20">
        <v>0</v>
      </c>
      <c r="G1316" s="20">
        <v>0</v>
      </c>
      <c r="H1316" s="20">
        <v>0</v>
      </c>
      <c r="I1316" s="50">
        <f t="shared" si="11"/>
        <v>0</v>
      </c>
      <c r="J1316" s="50"/>
      <c r="K1316" s="50"/>
      <c r="L1316" s="36">
        <v>2022</v>
      </c>
      <c r="M1316" s="20" t="s">
        <v>57</v>
      </c>
      <c r="N1316" s="22" t="s">
        <v>641</v>
      </c>
    </row>
    <row r="1317" spans="1:14" ht="24" customHeight="1" x14ac:dyDescent="0.35">
      <c r="A1317" s="20" t="s">
        <v>638</v>
      </c>
      <c r="B1317" s="50" t="s">
        <v>57</v>
      </c>
      <c r="C1317" s="50" t="s">
        <v>993</v>
      </c>
      <c r="D1317" s="20" t="s">
        <v>1006</v>
      </c>
      <c r="E1317" s="20">
        <v>0</v>
      </c>
      <c r="F1317" s="20">
        <v>0</v>
      </c>
      <c r="G1317" s="20">
        <v>0</v>
      </c>
      <c r="H1317" s="20">
        <v>0</v>
      </c>
      <c r="I1317" s="50">
        <f t="shared" si="11"/>
        <v>0</v>
      </c>
      <c r="J1317" s="50"/>
      <c r="K1317" s="50"/>
      <c r="L1317" s="36">
        <v>2022</v>
      </c>
      <c r="M1317" s="20" t="s">
        <v>57</v>
      </c>
      <c r="N1317" s="22" t="s">
        <v>641</v>
      </c>
    </row>
    <row r="1318" spans="1:14" ht="24" customHeight="1" x14ac:dyDescent="0.35">
      <c r="A1318" s="20" t="s">
        <v>106</v>
      </c>
      <c r="B1318" s="50" t="s">
        <v>57</v>
      </c>
      <c r="C1318" s="50" t="s">
        <v>996</v>
      </c>
      <c r="D1318" s="20" t="s">
        <v>1004</v>
      </c>
      <c r="E1318" s="20">
        <v>0</v>
      </c>
      <c r="F1318" s="20">
        <v>2</v>
      </c>
      <c r="G1318" s="20">
        <v>2</v>
      </c>
      <c r="H1318" s="20">
        <v>1</v>
      </c>
      <c r="I1318" s="50">
        <f t="shared" si="11"/>
        <v>5</v>
      </c>
      <c r="J1318" s="50"/>
      <c r="K1318" s="50"/>
      <c r="L1318" s="36">
        <v>2022</v>
      </c>
      <c r="M1318" s="20" t="s">
        <v>57</v>
      </c>
      <c r="N1318" s="22" t="s">
        <v>441</v>
      </c>
    </row>
    <row r="1319" spans="1:14" ht="24" customHeight="1" x14ac:dyDescent="0.35">
      <c r="A1319" s="20" t="s">
        <v>106</v>
      </c>
      <c r="B1319" s="50" t="s">
        <v>57</v>
      </c>
      <c r="C1319" s="50" t="s">
        <v>996</v>
      </c>
      <c r="D1319" s="20" t="s">
        <v>1005</v>
      </c>
      <c r="E1319" s="20">
        <v>0</v>
      </c>
      <c r="F1319" s="20">
        <v>5</v>
      </c>
      <c r="G1319" s="20">
        <v>19</v>
      </c>
      <c r="H1319" s="20">
        <v>19</v>
      </c>
      <c r="I1319" s="50">
        <f t="shared" si="11"/>
        <v>43</v>
      </c>
      <c r="J1319" s="50"/>
      <c r="K1319" s="50"/>
      <c r="L1319" s="36">
        <v>2022</v>
      </c>
      <c r="M1319" s="20" t="s">
        <v>57</v>
      </c>
      <c r="N1319" s="22" t="s">
        <v>441</v>
      </c>
    </row>
    <row r="1320" spans="1:14" ht="24" customHeight="1" x14ac:dyDescent="0.35">
      <c r="A1320" s="20" t="s">
        <v>106</v>
      </c>
      <c r="B1320" s="50" t="s">
        <v>57</v>
      </c>
      <c r="C1320" s="50" t="s">
        <v>996</v>
      </c>
      <c r="D1320" s="20" t="s">
        <v>1006</v>
      </c>
      <c r="E1320" s="20">
        <v>0</v>
      </c>
      <c r="F1320" s="20">
        <v>68198</v>
      </c>
      <c r="G1320" s="20">
        <v>172894</v>
      </c>
      <c r="H1320" s="20">
        <v>130113</v>
      </c>
      <c r="I1320" s="50">
        <f t="shared" si="11"/>
        <v>371205</v>
      </c>
      <c r="J1320" s="50"/>
      <c r="K1320" s="50"/>
      <c r="L1320" s="36">
        <v>2022</v>
      </c>
      <c r="M1320" s="20" t="s">
        <v>57</v>
      </c>
      <c r="N1320" s="22" t="s">
        <v>441</v>
      </c>
    </row>
    <row r="1321" spans="1:14" ht="24" customHeight="1" x14ac:dyDescent="0.35">
      <c r="A1321" s="20" t="s">
        <v>106</v>
      </c>
      <c r="B1321" s="50" t="s">
        <v>57</v>
      </c>
      <c r="C1321" s="50" t="s">
        <v>993</v>
      </c>
      <c r="D1321" s="20" t="s">
        <v>1004</v>
      </c>
      <c r="E1321" s="20">
        <v>0</v>
      </c>
      <c r="F1321" s="20">
        <v>0</v>
      </c>
      <c r="G1321" s="20">
        <v>0</v>
      </c>
      <c r="H1321" s="20">
        <v>0</v>
      </c>
      <c r="I1321" s="50">
        <f t="shared" si="11"/>
        <v>0</v>
      </c>
      <c r="J1321" s="50"/>
      <c r="K1321" s="50"/>
      <c r="L1321" s="36">
        <v>2022</v>
      </c>
      <c r="M1321" s="20" t="s">
        <v>57</v>
      </c>
      <c r="N1321" s="22" t="s">
        <v>441</v>
      </c>
    </row>
    <row r="1322" spans="1:14" ht="24" customHeight="1" x14ac:dyDescent="0.35">
      <c r="A1322" s="20" t="s">
        <v>106</v>
      </c>
      <c r="B1322" s="50" t="s">
        <v>57</v>
      </c>
      <c r="C1322" s="50" t="s">
        <v>993</v>
      </c>
      <c r="D1322" s="20" t="s">
        <v>1005</v>
      </c>
      <c r="E1322" s="20">
        <v>0</v>
      </c>
      <c r="F1322" s="20">
        <v>0</v>
      </c>
      <c r="G1322" s="20">
        <v>0</v>
      </c>
      <c r="H1322" s="20">
        <v>0</v>
      </c>
      <c r="I1322" s="50">
        <f t="shared" si="11"/>
        <v>0</v>
      </c>
      <c r="J1322" s="50"/>
      <c r="K1322" s="50"/>
      <c r="L1322" s="36">
        <v>2022</v>
      </c>
      <c r="M1322" s="20" t="s">
        <v>57</v>
      </c>
      <c r="N1322" s="22" t="s">
        <v>441</v>
      </c>
    </row>
    <row r="1323" spans="1:14" ht="24" customHeight="1" x14ac:dyDescent="0.35">
      <c r="A1323" s="20" t="s">
        <v>106</v>
      </c>
      <c r="B1323" s="50" t="s">
        <v>57</v>
      </c>
      <c r="C1323" s="50" t="s">
        <v>993</v>
      </c>
      <c r="D1323" s="20" t="s">
        <v>1006</v>
      </c>
      <c r="E1323" s="20">
        <v>0</v>
      </c>
      <c r="F1323" s="20">
        <v>0</v>
      </c>
      <c r="G1323" s="20">
        <v>0</v>
      </c>
      <c r="H1323" s="20">
        <v>0</v>
      </c>
      <c r="I1323" s="50">
        <f t="shared" si="11"/>
        <v>0</v>
      </c>
      <c r="J1323" s="50"/>
      <c r="K1323" s="50"/>
      <c r="L1323" s="36">
        <v>2022</v>
      </c>
      <c r="M1323" s="20" t="s">
        <v>57</v>
      </c>
      <c r="N1323" s="22" t="s">
        <v>441</v>
      </c>
    </row>
    <row r="1324" spans="1:14" ht="24" customHeight="1" x14ac:dyDescent="0.35">
      <c r="A1324" s="20" t="s">
        <v>643</v>
      </c>
      <c r="B1324" s="50" t="s">
        <v>57</v>
      </c>
      <c r="C1324" s="50" t="s">
        <v>996</v>
      </c>
      <c r="D1324" s="20" t="s">
        <v>1004</v>
      </c>
      <c r="E1324" s="20">
        <v>0</v>
      </c>
      <c r="F1324" s="20">
        <v>0</v>
      </c>
      <c r="G1324" s="20">
        <v>0</v>
      </c>
      <c r="H1324" s="20">
        <v>0</v>
      </c>
      <c r="I1324" s="50">
        <f t="shared" si="11"/>
        <v>0</v>
      </c>
      <c r="J1324" s="50"/>
      <c r="K1324" s="50"/>
      <c r="L1324" s="36">
        <v>2022</v>
      </c>
      <c r="M1324" s="20" t="s">
        <v>57</v>
      </c>
      <c r="N1324" s="22" t="s">
        <v>431</v>
      </c>
    </row>
    <row r="1325" spans="1:14" ht="24" customHeight="1" x14ac:dyDescent="0.35">
      <c r="A1325" s="20" t="s">
        <v>643</v>
      </c>
      <c r="B1325" s="50" t="s">
        <v>57</v>
      </c>
      <c r="C1325" s="50" t="s">
        <v>996</v>
      </c>
      <c r="D1325" s="20" t="s">
        <v>1005</v>
      </c>
      <c r="E1325" s="20">
        <v>2</v>
      </c>
      <c r="F1325" s="20">
        <v>2</v>
      </c>
      <c r="G1325" s="20">
        <v>1</v>
      </c>
      <c r="H1325" s="20">
        <v>15</v>
      </c>
      <c r="I1325" s="50">
        <f t="shared" si="11"/>
        <v>20</v>
      </c>
      <c r="J1325" s="50"/>
      <c r="K1325" s="50"/>
      <c r="L1325" s="36">
        <v>2022</v>
      </c>
      <c r="M1325" s="20" t="s">
        <v>57</v>
      </c>
      <c r="N1325" s="22" t="s">
        <v>431</v>
      </c>
    </row>
    <row r="1326" spans="1:14" ht="24" customHeight="1" x14ac:dyDescent="0.35">
      <c r="A1326" s="20" t="s">
        <v>643</v>
      </c>
      <c r="B1326" s="50" t="s">
        <v>57</v>
      </c>
      <c r="C1326" s="50" t="s">
        <v>996</v>
      </c>
      <c r="D1326" s="20" t="s">
        <v>1006</v>
      </c>
      <c r="E1326" s="20">
        <v>4250</v>
      </c>
      <c r="F1326" s="20">
        <v>4200</v>
      </c>
      <c r="G1326" s="20">
        <v>800</v>
      </c>
      <c r="H1326" s="20">
        <v>9000</v>
      </c>
      <c r="I1326" s="50">
        <f t="shared" si="11"/>
        <v>18250</v>
      </c>
      <c r="J1326" s="50"/>
      <c r="K1326" s="50"/>
      <c r="L1326" s="36">
        <v>2022</v>
      </c>
      <c r="M1326" s="20" t="s">
        <v>57</v>
      </c>
      <c r="N1326" s="22" t="s">
        <v>431</v>
      </c>
    </row>
    <row r="1327" spans="1:14" ht="24" customHeight="1" x14ac:dyDescent="0.35">
      <c r="A1327" s="20" t="s">
        <v>643</v>
      </c>
      <c r="B1327" s="50" t="s">
        <v>57</v>
      </c>
      <c r="C1327" s="50" t="s">
        <v>993</v>
      </c>
      <c r="D1327" s="20" t="s">
        <v>1004</v>
      </c>
      <c r="E1327" s="20">
        <v>0</v>
      </c>
      <c r="F1327" s="20">
        <v>0</v>
      </c>
      <c r="G1327" s="20">
        <v>0</v>
      </c>
      <c r="H1327" s="20">
        <v>0</v>
      </c>
      <c r="I1327" s="50">
        <f t="shared" si="11"/>
        <v>0</v>
      </c>
      <c r="J1327" s="50"/>
      <c r="K1327" s="50"/>
      <c r="L1327" s="36">
        <v>2022</v>
      </c>
      <c r="M1327" s="20" t="s">
        <v>57</v>
      </c>
      <c r="N1327" s="22" t="s">
        <v>431</v>
      </c>
    </row>
    <row r="1328" spans="1:14" ht="24" customHeight="1" x14ac:dyDescent="0.35">
      <c r="A1328" s="20" t="s">
        <v>643</v>
      </c>
      <c r="B1328" s="50" t="s">
        <v>57</v>
      </c>
      <c r="C1328" s="50" t="s">
        <v>993</v>
      </c>
      <c r="D1328" s="20" t="s">
        <v>1005</v>
      </c>
      <c r="E1328" s="20">
        <v>0</v>
      </c>
      <c r="F1328" s="20">
        <v>0</v>
      </c>
      <c r="G1328" s="20">
        <v>0</v>
      </c>
      <c r="H1328" s="20">
        <v>0</v>
      </c>
      <c r="I1328" s="50">
        <f t="shared" si="11"/>
        <v>0</v>
      </c>
      <c r="J1328" s="50"/>
      <c r="K1328" s="50"/>
      <c r="L1328" s="36">
        <v>2022</v>
      </c>
      <c r="M1328" s="20" t="s">
        <v>57</v>
      </c>
      <c r="N1328" s="22" t="s">
        <v>431</v>
      </c>
    </row>
    <row r="1329" spans="1:14" ht="24" customHeight="1" x14ac:dyDescent="0.35">
      <c r="A1329" s="20" t="s">
        <v>643</v>
      </c>
      <c r="B1329" s="50" t="s">
        <v>57</v>
      </c>
      <c r="C1329" s="50" t="s">
        <v>993</v>
      </c>
      <c r="D1329" s="20" t="s">
        <v>1006</v>
      </c>
      <c r="E1329" s="20">
        <v>0</v>
      </c>
      <c r="F1329" s="20">
        <v>0</v>
      </c>
      <c r="G1329" s="20">
        <v>0</v>
      </c>
      <c r="H1329" s="20">
        <v>0</v>
      </c>
      <c r="I1329" s="50">
        <f t="shared" si="11"/>
        <v>0</v>
      </c>
      <c r="J1329" s="50"/>
      <c r="K1329" s="50"/>
      <c r="L1329" s="36">
        <v>2022</v>
      </c>
      <c r="M1329" s="20" t="s">
        <v>57</v>
      </c>
      <c r="N1329" s="22" t="s">
        <v>431</v>
      </c>
    </row>
    <row r="1330" spans="1:14" ht="24" customHeight="1" x14ac:dyDescent="0.35">
      <c r="A1330" s="20" t="s">
        <v>388</v>
      </c>
      <c r="B1330" s="50" t="s">
        <v>255</v>
      </c>
      <c r="C1330" s="50" t="s">
        <v>996</v>
      </c>
      <c r="D1330" s="20" t="s">
        <v>1004</v>
      </c>
      <c r="E1330" s="20">
        <v>0</v>
      </c>
      <c r="F1330" s="20">
        <v>0</v>
      </c>
      <c r="G1330" s="20">
        <v>0</v>
      </c>
      <c r="H1330" s="20">
        <v>2</v>
      </c>
      <c r="I1330" s="50">
        <f t="shared" si="11"/>
        <v>2</v>
      </c>
      <c r="J1330" s="50"/>
      <c r="K1330" s="50"/>
      <c r="L1330" s="36">
        <v>2022</v>
      </c>
      <c r="M1330" s="20" t="s">
        <v>255</v>
      </c>
      <c r="N1330" s="22" t="s">
        <v>441</v>
      </c>
    </row>
    <row r="1331" spans="1:14" ht="24" customHeight="1" x14ac:dyDescent="0.35">
      <c r="A1331" s="20" t="s">
        <v>388</v>
      </c>
      <c r="B1331" s="50" t="s">
        <v>255</v>
      </c>
      <c r="C1331" s="50" t="s">
        <v>996</v>
      </c>
      <c r="D1331" s="20" t="s">
        <v>1005</v>
      </c>
      <c r="E1331" s="20">
        <v>2</v>
      </c>
      <c r="F1331" s="20">
        <v>0</v>
      </c>
      <c r="G1331" s="20">
        <v>0</v>
      </c>
      <c r="H1331" s="20">
        <v>8</v>
      </c>
      <c r="I1331" s="50">
        <f t="shared" si="11"/>
        <v>10</v>
      </c>
      <c r="J1331" s="50"/>
      <c r="K1331" s="50"/>
      <c r="L1331" s="36">
        <v>2022</v>
      </c>
      <c r="M1331" s="20" t="s">
        <v>255</v>
      </c>
      <c r="N1331" s="22" t="s">
        <v>441</v>
      </c>
    </row>
    <row r="1332" spans="1:14" ht="24" customHeight="1" x14ac:dyDescent="0.35">
      <c r="A1332" s="20" t="s">
        <v>388</v>
      </c>
      <c r="B1332" s="50" t="s">
        <v>255</v>
      </c>
      <c r="C1332" s="50" t="s">
        <v>996</v>
      </c>
      <c r="D1332" s="20" t="s">
        <v>1006</v>
      </c>
      <c r="E1332" s="20">
        <v>8714.7960000000003</v>
      </c>
      <c r="F1332" s="20">
        <v>0</v>
      </c>
      <c r="G1332" s="20">
        <v>0</v>
      </c>
      <c r="H1332" s="20">
        <v>10904.028</v>
      </c>
      <c r="I1332" s="50">
        <f t="shared" si="11"/>
        <v>19618.824000000001</v>
      </c>
      <c r="J1332" s="50"/>
      <c r="K1332" s="50"/>
      <c r="L1332" s="36">
        <v>2022</v>
      </c>
      <c r="M1332" s="20" t="s">
        <v>255</v>
      </c>
      <c r="N1332" s="22" t="s">
        <v>441</v>
      </c>
    </row>
    <row r="1333" spans="1:14" ht="24" customHeight="1" x14ac:dyDescent="0.35">
      <c r="A1333" s="20" t="s">
        <v>388</v>
      </c>
      <c r="B1333" s="50" t="s">
        <v>255</v>
      </c>
      <c r="C1333" s="50" t="s">
        <v>993</v>
      </c>
      <c r="D1333" s="20" t="s">
        <v>1004</v>
      </c>
      <c r="E1333" s="20">
        <v>0</v>
      </c>
      <c r="F1333" s="20">
        <v>0</v>
      </c>
      <c r="G1333" s="20">
        <v>0</v>
      </c>
      <c r="H1333" s="20">
        <v>0</v>
      </c>
      <c r="I1333" s="50">
        <f t="shared" si="11"/>
        <v>0</v>
      </c>
      <c r="J1333" s="50"/>
      <c r="K1333" s="50"/>
      <c r="L1333" s="36">
        <v>2022</v>
      </c>
      <c r="M1333" s="20" t="s">
        <v>255</v>
      </c>
      <c r="N1333" s="22" t="s">
        <v>441</v>
      </c>
    </row>
    <row r="1334" spans="1:14" ht="24" customHeight="1" x14ac:dyDescent="0.35">
      <c r="A1334" s="20" t="s">
        <v>388</v>
      </c>
      <c r="B1334" s="50" t="s">
        <v>255</v>
      </c>
      <c r="C1334" s="50" t="s">
        <v>993</v>
      </c>
      <c r="D1334" s="20" t="s">
        <v>1005</v>
      </c>
      <c r="E1334" s="20">
        <v>0</v>
      </c>
      <c r="F1334" s="20">
        <v>0</v>
      </c>
      <c r="G1334" s="20">
        <v>0</v>
      </c>
      <c r="H1334" s="20">
        <v>0</v>
      </c>
      <c r="I1334" s="50">
        <f t="shared" si="11"/>
        <v>0</v>
      </c>
      <c r="J1334" s="50"/>
      <c r="K1334" s="50"/>
      <c r="L1334" s="36">
        <v>2022</v>
      </c>
      <c r="M1334" s="20" t="s">
        <v>255</v>
      </c>
      <c r="N1334" s="22" t="s">
        <v>441</v>
      </c>
    </row>
    <row r="1335" spans="1:14" ht="24" customHeight="1" x14ac:dyDescent="0.35">
      <c r="A1335" s="20" t="s">
        <v>388</v>
      </c>
      <c r="B1335" s="50" t="s">
        <v>255</v>
      </c>
      <c r="C1335" s="50" t="s">
        <v>993</v>
      </c>
      <c r="D1335" s="20" t="s">
        <v>1006</v>
      </c>
      <c r="E1335" s="20">
        <v>0</v>
      </c>
      <c r="F1335" s="20">
        <v>0</v>
      </c>
      <c r="G1335" s="20">
        <v>0</v>
      </c>
      <c r="H1335" s="20">
        <v>0</v>
      </c>
      <c r="I1335" s="50">
        <f t="shared" si="11"/>
        <v>0</v>
      </c>
      <c r="J1335" s="50"/>
      <c r="K1335" s="50"/>
      <c r="L1335" s="36">
        <v>2022</v>
      </c>
      <c r="M1335" s="20" t="s">
        <v>255</v>
      </c>
      <c r="N1335" s="22" t="s">
        <v>441</v>
      </c>
    </row>
    <row r="1336" spans="1:14" ht="24" customHeight="1" x14ac:dyDescent="0.35">
      <c r="A1336" s="20" t="s">
        <v>975</v>
      </c>
      <c r="B1336" s="50" t="s">
        <v>46</v>
      </c>
      <c r="C1336" s="50" t="s">
        <v>996</v>
      </c>
      <c r="D1336" s="20" t="s">
        <v>1004</v>
      </c>
      <c r="E1336" s="20">
        <v>0</v>
      </c>
      <c r="F1336" s="20">
        <v>0</v>
      </c>
      <c r="G1336" s="50">
        <v>0</v>
      </c>
      <c r="H1336" s="20">
        <v>4</v>
      </c>
      <c r="I1336" s="50">
        <f t="shared" si="11"/>
        <v>4</v>
      </c>
      <c r="J1336" s="50"/>
      <c r="K1336" s="50"/>
      <c r="L1336" s="36">
        <v>2022</v>
      </c>
      <c r="M1336" s="20" t="s">
        <v>46</v>
      </c>
      <c r="N1336" s="22" t="s">
        <v>451</v>
      </c>
    </row>
    <row r="1337" spans="1:14" ht="24" customHeight="1" x14ac:dyDescent="0.35">
      <c r="A1337" s="20" t="s">
        <v>975</v>
      </c>
      <c r="B1337" s="50" t="s">
        <v>46</v>
      </c>
      <c r="C1337" s="50" t="s">
        <v>996</v>
      </c>
      <c r="D1337" s="20" t="s">
        <v>1005</v>
      </c>
      <c r="E1337" s="20">
        <v>0</v>
      </c>
      <c r="F1337" s="20">
        <v>0</v>
      </c>
      <c r="G1337" s="20">
        <v>10</v>
      </c>
      <c r="H1337" s="20">
        <v>50</v>
      </c>
      <c r="I1337" s="50">
        <f t="shared" si="11"/>
        <v>60</v>
      </c>
      <c r="J1337" s="50"/>
      <c r="K1337" s="50"/>
      <c r="L1337" s="36">
        <v>2022</v>
      </c>
      <c r="M1337" s="20" t="s">
        <v>46</v>
      </c>
      <c r="N1337" s="22" t="s">
        <v>451</v>
      </c>
    </row>
    <row r="1338" spans="1:14" ht="24" customHeight="1" x14ac:dyDescent="0.35">
      <c r="A1338" s="20" t="s">
        <v>975</v>
      </c>
      <c r="B1338" s="50" t="s">
        <v>46</v>
      </c>
      <c r="C1338" s="50" t="s">
        <v>996</v>
      </c>
      <c r="D1338" s="20" t="s">
        <v>1006</v>
      </c>
      <c r="E1338" s="20">
        <v>0</v>
      </c>
      <c r="F1338" s="20">
        <v>0</v>
      </c>
      <c r="G1338" s="20">
        <v>60588</v>
      </c>
      <c r="H1338" s="20">
        <v>91764</v>
      </c>
      <c r="I1338" s="50">
        <f t="shared" si="11"/>
        <v>152352</v>
      </c>
      <c r="J1338" s="50"/>
      <c r="K1338" s="50"/>
      <c r="L1338" s="36">
        <v>2022</v>
      </c>
      <c r="M1338" s="20" t="s">
        <v>46</v>
      </c>
      <c r="N1338" s="22" t="s">
        <v>451</v>
      </c>
    </row>
    <row r="1339" spans="1:14" ht="24" customHeight="1" x14ac:dyDescent="0.35">
      <c r="A1339" s="20" t="s">
        <v>975</v>
      </c>
      <c r="B1339" s="50" t="s">
        <v>46</v>
      </c>
      <c r="C1339" s="50" t="s">
        <v>993</v>
      </c>
      <c r="D1339" s="20" t="s">
        <v>1004</v>
      </c>
      <c r="E1339" s="20">
        <v>0</v>
      </c>
      <c r="F1339" s="20">
        <v>0</v>
      </c>
      <c r="G1339" s="20">
        <v>0</v>
      </c>
      <c r="H1339" s="20">
        <v>0</v>
      </c>
      <c r="I1339" s="50">
        <f t="shared" si="11"/>
        <v>0</v>
      </c>
      <c r="J1339" s="50"/>
      <c r="K1339" s="50"/>
      <c r="L1339" s="36">
        <v>2022</v>
      </c>
      <c r="M1339" s="20" t="s">
        <v>46</v>
      </c>
      <c r="N1339" s="22" t="s">
        <v>451</v>
      </c>
    </row>
    <row r="1340" spans="1:14" ht="24" customHeight="1" x14ac:dyDescent="0.35">
      <c r="A1340" s="20" t="s">
        <v>975</v>
      </c>
      <c r="B1340" s="50" t="s">
        <v>46</v>
      </c>
      <c r="C1340" s="50" t="s">
        <v>993</v>
      </c>
      <c r="D1340" s="20" t="s">
        <v>1005</v>
      </c>
      <c r="E1340" s="20">
        <v>0</v>
      </c>
      <c r="F1340" s="20">
        <v>0</v>
      </c>
      <c r="G1340" s="20">
        <v>0</v>
      </c>
      <c r="H1340" s="20">
        <v>0</v>
      </c>
      <c r="I1340" s="50">
        <f t="shared" si="11"/>
        <v>0</v>
      </c>
      <c r="J1340" s="50"/>
      <c r="K1340" s="50"/>
      <c r="L1340" s="36">
        <v>2022</v>
      </c>
      <c r="M1340" s="20" t="s">
        <v>46</v>
      </c>
      <c r="N1340" s="22" t="s">
        <v>451</v>
      </c>
    </row>
    <row r="1341" spans="1:14" ht="24" customHeight="1" x14ac:dyDescent="0.35">
      <c r="A1341" s="20" t="s">
        <v>975</v>
      </c>
      <c r="B1341" s="50" t="s">
        <v>46</v>
      </c>
      <c r="C1341" s="50" t="s">
        <v>993</v>
      </c>
      <c r="D1341" s="20" t="s">
        <v>1006</v>
      </c>
      <c r="E1341" s="20">
        <v>0</v>
      </c>
      <c r="F1341" s="20">
        <v>0</v>
      </c>
      <c r="G1341" s="20">
        <v>0</v>
      </c>
      <c r="H1341" s="20">
        <v>0</v>
      </c>
      <c r="I1341" s="50">
        <f t="shared" si="11"/>
        <v>0</v>
      </c>
      <c r="J1341" s="50"/>
      <c r="K1341" s="50"/>
      <c r="L1341" s="36">
        <v>2022</v>
      </c>
      <c r="M1341" s="20" t="s">
        <v>46</v>
      </c>
      <c r="N1341" s="22" t="s">
        <v>451</v>
      </c>
    </row>
    <row r="1342" spans="1:14" ht="24" customHeight="1" x14ac:dyDescent="0.35">
      <c r="A1342" s="20" t="s">
        <v>569</v>
      </c>
      <c r="B1342" s="50" t="s">
        <v>41</v>
      </c>
      <c r="C1342" s="50" t="s">
        <v>996</v>
      </c>
      <c r="D1342" s="20" t="s">
        <v>1004</v>
      </c>
      <c r="E1342" s="20">
        <v>5</v>
      </c>
      <c r="F1342" s="20"/>
      <c r="G1342" s="20">
        <v>35</v>
      </c>
      <c r="H1342" s="20">
        <v>303</v>
      </c>
      <c r="I1342" s="50">
        <f t="shared" si="11"/>
        <v>343</v>
      </c>
      <c r="J1342" s="50"/>
      <c r="K1342" s="50"/>
      <c r="L1342" s="36">
        <v>2022</v>
      </c>
      <c r="M1342" s="20" t="s">
        <v>41</v>
      </c>
      <c r="N1342" s="22" t="s">
        <v>441</v>
      </c>
    </row>
    <row r="1343" spans="1:14" ht="24" customHeight="1" x14ac:dyDescent="0.35">
      <c r="A1343" s="20" t="s">
        <v>569</v>
      </c>
      <c r="B1343" s="50" t="s">
        <v>41</v>
      </c>
      <c r="C1343" s="50" t="s">
        <v>996</v>
      </c>
      <c r="D1343" s="20" t="s">
        <v>1005</v>
      </c>
      <c r="E1343" s="20">
        <v>8</v>
      </c>
      <c r="F1343" s="20"/>
      <c r="G1343" s="20">
        <v>171</v>
      </c>
      <c r="H1343" s="20">
        <v>965</v>
      </c>
      <c r="I1343" s="50">
        <f t="shared" si="11"/>
        <v>1144</v>
      </c>
      <c r="J1343" s="50"/>
      <c r="K1343" s="50"/>
      <c r="L1343" s="36">
        <v>2022</v>
      </c>
      <c r="M1343" s="20" t="s">
        <v>41</v>
      </c>
      <c r="N1343" s="22" t="s">
        <v>441</v>
      </c>
    </row>
    <row r="1344" spans="1:14" ht="24" customHeight="1" x14ac:dyDescent="0.35">
      <c r="A1344" s="20" t="s">
        <v>569</v>
      </c>
      <c r="B1344" s="50" t="s">
        <v>41</v>
      </c>
      <c r="C1344" s="50" t="s">
        <v>996</v>
      </c>
      <c r="D1344" s="20" t="s">
        <v>1006</v>
      </c>
      <c r="E1344" s="20">
        <v>419561</v>
      </c>
      <c r="F1344" s="20"/>
      <c r="G1344" s="20">
        <v>1073019</v>
      </c>
      <c r="H1344" s="20">
        <v>177912</v>
      </c>
      <c r="I1344" s="50">
        <f t="shared" si="11"/>
        <v>1670492</v>
      </c>
      <c r="J1344" s="50"/>
      <c r="K1344" s="50"/>
      <c r="L1344" s="36">
        <v>2022</v>
      </c>
      <c r="M1344" s="20" t="s">
        <v>41</v>
      </c>
      <c r="N1344" s="22" t="s">
        <v>441</v>
      </c>
    </row>
    <row r="1345" spans="1:14" ht="24" customHeight="1" x14ac:dyDescent="0.35">
      <c r="A1345" s="20" t="s">
        <v>569</v>
      </c>
      <c r="B1345" s="50" t="s">
        <v>41</v>
      </c>
      <c r="C1345" s="50" t="s">
        <v>993</v>
      </c>
      <c r="D1345" s="20" t="s">
        <v>1004</v>
      </c>
      <c r="E1345" s="20">
        <v>1</v>
      </c>
      <c r="F1345" s="20"/>
      <c r="G1345" s="20">
        <v>0</v>
      </c>
      <c r="H1345" s="20">
        <v>0</v>
      </c>
      <c r="I1345" s="50">
        <f t="shared" si="11"/>
        <v>1</v>
      </c>
      <c r="J1345" s="50"/>
      <c r="K1345" s="50"/>
      <c r="L1345" s="36">
        <v>2022</v>
      </c>
      <c r="M1345" s="20" t="s">
        <v>41</v>
      </c>
      <c r="N1345" s="22" t="s">
        <v>441</v>
      </c>
    </row>
    <row r="1346" spans="1:14" ht="24" customHeight="1" x14ac:dyDescent="0.35">
      <c r="A1346" s="20" t="s">
        <v>569</v>
      </c>
      <c r="B1346" s="50" t="s">
        <v>41</v>
      </c>
      <c r="C1346" s="50" t="s">
        <v>993</v>
      </c>
      <c r="D1346" s="20" t="s">
        <v>1005</v>
      </c>
      <c r="E1346" s="20">
        <v>6</v>
      </c>
      <c r="F1346" s="20"/>
      <c r="G1346" s="20">
        <v>0</v>
      </c>
      <c r="H1346" s="20">
        <v>0</v>
      </c>
      <c r="I1346" s="50">
        <f t="shared" si="11"/>
        <v>6</v>
      </c>
      <c r="J1346" s="50"/>
      <c r="K1346" s="50"/>
      <c r="L1346" s="36">
        <v>2022</v>
      </c>
      <c r="M1346" s="20" t="s">
        <v>41</v>
      </c>
      <c r="N1346" s="22" t="s">
        <v>441</v>
      </c>
    </row>
    <row r="1347" spans="1:14" ht="24" customHeight="1" x14ac:dyDescent="0.35">
      <c r="A1347" s="20" t="s">
        <v>569</v>
      </c>
      <c r="B1347" s="50" t="s">
        <v>41</v>
      </c>
      <c r="C1347" s="50" t="s">
        <v>993</v>
      </c>
      <c r="D1347" s="20" t="s">
        <v>1006</v>
      </c>
      <c r="E1347" s="20">
        <v>458842</v>
      </c>
      <c r="F1347" s="20"/>
      <c r="G1347" s="20">
        <v>0</v>
      </c>
      <c r="H1347" s="20">
        <v>0</v>
      </c>
      <c r="I1347" s="50">
        <f t="shared" si="11"/>
        <v>458842</v>
      </c>
      <c r="J1347" s="50"/>
      <c r="K1347" s="50"/>
      <c r="L1347" s="36">
        <v>2022</v>
      </c>
      <c r="M1347" s="20" t="s">
        <v>41</v>
      </c>
      <c r="N1347" s="22" t="s">
        <v>441</v>
      </c>
    </row>
    <row r="1348" spans="1:14" ht="24" customHeight="1" x14ac:dyDescent="0.35">
      <c r="A1348" s="20" t="s">
        <v>391</v>
      </c>
      <c r="B1348" s="50" t="s">
        <v>255</v>
      </c>
      <c r="C1348" s="50" t="s">
        <v>996</v>
      </c>
      <c r="D1348" s="20" t="s">
        <v>1004</v>
      </c>
      <c r="E1348" s="20">
        <v>0</v>
      </c>
      <c r="F1348" s="20">
        <v>0</v>
      </c>
      <c r="G1348" s="20">
        <v>1</v>
      </c>
      <c r="H1348" s="20">
        <v>10</v>
      </c>
      <c r="I1348" s="50">
        <f t="shared" si="11"/>
        <v>11</v>
      </c>
      <c r="J1348" s="50"/>
      <c r="K1348" s="50"/>
      <c r="L1348" s="36">
        <v>2022</v>
      </c>
      <c r="M1348" s="20" t="s">
        <v>255</v>
      </c>
      <c r="N1348" s="22" t="s">
        <v>431</v>
      </c>
    </row>
    <row r="1349" spans="1:14" ht="24" customHeight="1" x14ac:dyDescent="0.35">
      <c r="A1349" s="20" t="s">
        <v>391</v>
      </c>
      <c r="B1349" s="50" t="s">
        <v>255</v>
      </c>
      <c r="C1349" s="50" t="s">
        <v>996</v>
      </c>
      <c r="D1349" s="20" t="s">
        <v>1005</v>
      </c>
      <c r="E1349" s="20">
        <v>0</v>
      </c>
      <c r="F1349" s="20">
        <v>0</v>
      </c>
      <c r="G1349" s="20">
        <v>6</v>
      </c>
      <c r="H1349" s="20">
        <v>108</v>
      </c>
      <c r="I1349" s="50">
        <f t="shared" si="11"/>
        <v>114</v>
      </c>
      <c r="J1349" s="50"/>
      <c r="K1349" s="50"/>
      <c r="L1349" s="36">
        <v>2022</v>
      </c>
      <c r="M1349" s="20" t="s">
        <v>255</v>
      </c>
      <c r="N1349" s="22" t="s">
        <v>431</v>
      </c>
    </row>
    <row r="1350" spans="1:14" ht="24" customHeight="1" x14ac:dyDescent="0.35">
      <c r="A1350" s="20" t="s">
        <v>391</v>
      </c>
      <c r="B1350" s="50" t="s">
        <v>255</v>
      </c>
      <c r="C1350" s="50" t="s">
        <v>996</v>
      </c>
      <c r="D1350" s="20" t="s">
        <v>1006</v>
      </c>
      <c r="E1350" s="20">
        <v>0</v>
      </c>
      <c r="F1350" s="20">
        <v>0</v>
      </c>
      <c r="G1350" s="20">
        <v>48759</v>
      </c>
      <c r="H1350" s="20">
        <v>68380</v>
      </c>
      <c r="I1350" s="50">
        <f t="shared" si="11"/>
        <v>117139</v>
      </c>
      <c r="J1350" s="50"/>
      <c r="K1350" s="50"/>
      <c r="L1350" s="36">
        <v>2022</v>
      </c>
      <c r="M1350" s="20" t="s">
        <v>255</v>
      </c>
      <c r="N1350" s="22" t="s">
        <v>431</v>
      </c>
    </row>
    <row r="1351" spans="1:14" ht="24" customHeight="1" x14ac:dyDescent="0.35">
      <c r="A1351" s="20" t="s">
        <v>391</v>
      </c>
      <c r="B1351" s="50" t="s">
        <v>255</v>
      </c>
      <c r="C1351" s="50" t="s">
        <v>993</v>
      </c>
      <c r="D1351" s="20" t="s">
        <v>1004</v>
      </c>
      <c r="E1351" s="20">
        <v>0</v>
      </c>
      <c r="F1351" s="20">
        <v>0</v>
      </c>
      <c r="G1351" s="20">
        <v>0</v>
      </c>
      <c r="H1351" s="20">
        <v>0</v>
      </c>
      <c r="I1351" s="50">
        <f t="shared" si="11"/>
        <v>0</v>
      </c>
      <c r="J1351" s="50"/>
      <c r="K1351" s="50"/>
      <c r="L1351" s="36">
        <v>2022</v>
      </c>
      <c r="M1351" s="20" t="s">
        <v>255</v>
      </c>
      <c r="N1351" s="22" t="s">
        <v>431</v>
      </c>
    </row>
    <row r="1352" spans="1:14" ht="24" customHeight="1" x14ac:dyDescent="0.35">
      <c r="A1352" s="20" t="s">
        <v>391</v>
      </c>
      <c r="B1352" s="50" t="s">
        <v>255</v>
      </c>
      <c r="C1352" s="50" t="s">
        <v>993</v>
      </c>
      <c r="D1352" s="20" t="s">
        <v>1005</v>
      </c>
      <c r="E1352" s="20">
        <v>1</v>
      </c>
      <c r="F1352" s="20">
        <v>0</v>
      </c>
      <c r="G1352" s="20">
        <v>0</v>
      </c>
      <c r="H1352" s="20">
        <v>0</v>
      </c>
      <c r="I1352" s="50">
        <f t="shared" si="11"/>
        <v>1</v>
      </c>
      <c r="J1352" s="50"/>
      <c r="K1352" s="50"/>
      <c r="L1352" s="36">
        <v>2022</v>
      </c>
      <c r="M1352" s="20" t="s">
        <v>255</v>
      </c>
      <c r="N1352" s="22" t="s">
        <v>431</v>
      </c>
    </row>
    <row r="1353" spans="1:14" ht="24" customHeight="1" x14ac:dyDescent="0.35">
      <c r="A1353" s="20" t="s">
        <v>391</v>
      </c>
      <c r="B1353" s="50" t="s">
        <v>255</v>
      </c>
      <c r="C1353" s="50" t="s">
        <v>993</v>
      </c>
      <c r="D1353" s="20" t="s">
        <v>1006</v>
      </c>
      <c r="E1353" s="20">
        <v>36000</v>
      </c>
      <c r="F1353" s="20">
        <v>0</v>
      </c>
      <c r="G1353" s="20">
        <v>0</v>
      </c>
      <c r="H1353" s="20">
        <v>0</v>
      </c>
      <c r="I1353" s="50">
        <f t="shared" si="11"/>
        <v>36000</v>
      </c>
      <c r="J1353" s="50"/>
      <c r="K1353" s="50"/>
      <c r="L1353" s="36">
        <v>2022</v>
      </c>
      <c r="M1353" s="20" t="s">
        <v>255</v>
      </c>
      <c r="N1353" s="22" t="s">
        <v>431</v>
      </c>
    </row>
    <row r="1354" spans="1:14" ht="24" customHeight="1" x14ac:dyDescent="0.35">
      <c r="A1354" s="20" t="s">
        <v>110</v>
      </c>
      <c r="B1354" s="50" t="s">
        <v>41</v>
      </c>
      <c r="C1354" s="50" t="s">
        <v>996</v>
      </c>
      <c r="D1354" s="20" t="s">
        <v>1004</v>
      </c>
      <c r="E1354" s="20">
        <v>1</v>
      </c>
      <c r="F1354" s="20">
        <v>0</v>
      </c>
      <c r="G1354" s="20">
        <v>3</v>
      </c>
      <c r="H1354" s="20">
        <v>3</v>
      </c>
      <c r="I1354" s="50">
        <f t="shared" si="11"/>
        <v>7</v>
      </c>
      <c r="J1354" s="50"/>
      <c r="K1354" s="50"/>
      <c r="L1354" s="36">
        <v>2022</v>
      </c>
      <c r="M1354" s="20" t="s">
        <v>41</v>
      </c>
      <c r="N1354" s="22" t="s">
        <v>554</v>
      </c>
    </row>
    <row r="1355" spans="1:14" ht="24" customHeight="1" x14ac:dyDescent="0.35">
      <c r="A1355" s="20" t="s">
        <v>110</v>
      </c>
      <c r="B1355" s="50" t="s">
        <v>41</v>
      </c>
      <c r="C1355" s="50" t="s">
        <v>996</v>
      </c>
      <c r="D1355" s="20" t="s">
        <v>1005</v>
      </c>
      <c r="E1355" s="20">
        <v>1</v>
      </c>
      <c r="F1355" s="20">
        <v>6</v>
      </c>
      <c r="G1355" s="20">
        <v>15</v>
      </c>
      <c r="H1355" s="20">
        <v>34</v>
      </c>
      <c r="I1355" s="50">
        <f t="shared" si="11"/>
        <v>56</v>
      </c>
      <c r="J1355" s="50"/>
      <c r="K1355" s="50"/>
      <c r="L1355" s="36">
        <v>2022</v>
      </c>
      <c r="M1355" s="20" t="s">
        <v>41</v>
      </c>
      <c r="N1355" s="22" t="s">
        <v>554</v>
      </c>
    </row>
    <row r="1356" spans="1:14" ht="24" customHeight="1" x14ac:dyDescent="0.35">
      <c r="A1356" s="20" t="s">
        <v>110</v>
      </c>
      <c r="B1356" s="50" t="s">
        <v>41</v>
      </c>
      <c r="C1356" s="50" t="s">
        <v>996</v>
      </c>
      <c r="D1356" s="20" t="s">
        <v>1006</v>
      </c>
      <c r="E1356" s="20">
        <v>60222</v>
      </c>
      <c r="F1356" s="20">
        <v>92742</v>
      </c>
      <c r="G1356" s="20">
        <v>132839</v>
      </c>
      <c r="H1356" s="20">
        <v>165175</v>
      </c>
      <c r="I1356" s="50">
        <f t="shared" si="11"/>
        <v>450978</v>
      </c>
      <c r="J1356" s="50"/>
      <c r="K1356" s="50"/>
      <c r="L1356" s="36">
        <v>2022</v>
      </c>
      <c r="M1356" s="20" t="s">
        <v>41</v>
      </c>
      <c r="N1356" s="22" t="s">
        <v>554</v>
      </c>
    </row>
    <row r="1357" spans="1:14" ht="24" customHeight="1" x14ac:dyDescent="0.35">
      <c r="A1357" s="20" t="s">
        <v>110</v>
      </c>
      <c r="B1357" s="50" t="s">
        <v>41</v>
      </c>
      <c r="C1357" s="50" t="s">
        <v>993</v>
      </c>
      <c r="D1357" s="20" t="s">
        <v>1004</v>
      </c>
      <c r="E1357" s="20">
        <v>0</v>
      </c>
      <c r="F1357" s="20">
        <v>1</v>
      </c>
      <c r="G1357" s="20">
        <v>0</v>
      </c>
      <c r="H1357" s="20">
        <v>0</v>
      </c>
      <c r="I1357" s="50">
        <f t="shared" si="11"/>
        <v>1</v>
      </c>
      <c r="J1357" s="50"/>
      <c r="K1357" s="50"/>
      <c r="L1357" s="36">
        <v>2022</v>
      </c>
      <c r="M1357" s="20" t="s">
        <v>41</v>
      </c>
      <c r="N1357" s="22" t="s">
        <v>554</v>
      </c>
    </row>
    <row r="1358" spans="1:14" ht="24" customHeight="1" x14ac:dyDescent="0.35">
      <c r="A1358" s="20" t="s">
        <v>110</v>
      </c>
      <c r="B1358" s="50" t="s">
        <v>41</v>
      </c>
      <c r="C1358" s="50" t="s">
        <v>993</v>
      </c>
      <c r="D1358" s="20" t="s">
        <v>1005</v>
      </c>
      <c r="E1358" s="20">
        <v>3</v>
      </c>
      <c r="F1358" s="20">
        <v>0</v>
      </c>
      <c r="G1358" s="20">
        <v>1</v>
      </c>
      <c r="H1358" s="20">
        <v>0</v>
      </c>
      <c r="I1358" s="50">
        <f t="shared" si="11"/>
        <v>4</v>
      </c>
      <c r="J1358" s="50"/>
      <c r="K1358" s="50"/>
      <c r="L1358" s="36">
        <v>2022</v>
      </c>
      <c r="M1358" s="20" t="s">
        <v>41</v>
      </c>
      <c r="N1358" s="22" t="s">
        <v>554</v>
      </c>
    </row>
    <row r="1359" spans="1:14" ht="24" customHeight="1" x14ac:dyDescent="0.35">
      <c r="A1359" s="20" t="s">
        <v>110</v>
      </c>
      <c r="B1359" s="50" t="s">
        <v>41</v>
      </c>
      <c r="C1359" s="50" t="s">
        <v>993</v>
      </c>
      <c r="D1359" s="20" t="s">
        <v>1006</v>
      </c>
      <c r="E1359" s="20">
        <v>92824</v>
      </c>
      <c r="F1359" s="20">
        <v>10756</v>
      </c>
      <c r="G1359" s="20">
        <v>6990</v>
      </c>
      <c r="H1359" s="20">
        <v>0</v>
      </c>
      <c r="I1359" s="50">
        <f t="shared" si="11"/>
        <v>110570</v>
      </c>
      <c r="J1359" s="50"/>
      <c r="K1359" s="50"/>
      <c r="L1359" s="36">
        <v>2022</v>
      </c>
      <c r="M1359" s="20" t="s">
        <v>41</v>
      </c>
      <c r="N1359" s="22" t="s">
        <v>554</v>
      </c>
    </row>
    <row r="1360" spans="1:14" ht="24" customHeight="1" x14ac:dyDescent="0.35">
      <c r="A1360" s="56" t="s">
        <v>841</v>
      </c>
      <c r="B1360" s="145" t="s">
        <v>41</v>
      </c>
      <c r="C1360" s="50" t="s">
        <v>996</v>
      </c>
      <c r="D1360" s="20" t="s">
        <v>1004</v>
      </c>
      <c r="E1360" s="20">
        <v>3</v>
      </c>
      <c r="F1360" s="20">
        <v>12</v>
      </c>
      <c r="G1360" s="20">
        <v>15</v>
      </c>
      <c r="H1360" s="20">
        <v>4</v>
      </c>
      <c r="I1360" s="50">
        <f t="shared" si="11"/>
        <v>34</v>
      </c>
      <c r="J1360" s="50"/>
      <c r="K1360" s="50"/>
      <c r="L1360" s="36">
        <v>2022</v>
      </c>
      <c r="M1360" s="20" t="s">
        <v>41</v>
      </c>
      <c r="N1360" s="22"/>
    </row>
    <row r="1361" spans="1:14" ht="24" customHeight="1" x14ac:dyDescent="0.35">
      <c r="A1361" s="56" t="s">
        <v>841</v>
      </c>
      <c r="B1361" s="145" t="s">
        <v>41</v>
      </c>
      <c r="C1361" s="50" t="s">
        <v>996</v>
      </c>
      <c r="D1361" s="20" t="s">
        <v>1005</v>
      </c>
      <c r="E1361" s="20">
        <v>11</v>
      </c>
      <c r="F1361" s="20">
        <v>45</v>
      </c>
      <c r="G1361" s="20">
        <v>162</v>
      </c>
      <c r="H1361" s="20">
        <f>93+324</f>
        <v>417</v>
      </c>
      <c r="I1361" s="50">
        <f t="shared" si="11"/>
        <v>635</v>
      </c>
      <c r="J1361" s="50"/>
      <c r="K1361" s="50"/>
      <c r="L1361" s="36">
        <v>2022</v>
      </c>
      <c r="M1361" s="20" t="s">
        <v>41</v>
      </c>
      <c r="N1361" s="22"/>
    </row>
    <row r="1362" spans="1:14" ht="24" customHeight="1" x14ac:dyDescent="0.35">
      <c r="A1362" s="56" t="s">
        <v>841</v>
      </c>
      <c r="B1362" s="145" t="s">
        <v>41</v>
      </c>
      <c r="C1362" s="50" t="s">
        <v>996</v>
      </c>
      <c r="D1362" s="20" t="s">
        <v>1006</v>
      </c>
      <c r="E1362" s="20">
        <v>849760</v>
      </c>
      <c r="F1362" s="20">
        <v>1681245</v>
      </c>
      <c r="G1362" s="20">
        <v>2927585</v>
      </c>
      <c r="H1362" s="20">
        <f>1301920+2685714</f>
        <v>3987634</v>
      </c>
      <c r="I1362" s="50">
        <f t="shared" si="11"/>
        <v>9446224</v>
      </c>
      <c r="J1362" s="50"/>
      <c r="K1362" s="50"/>
      <c r="L1362" s="36">
        <v>2022</v>
      </c>
      <c r="M1362" s="20" t="s">
        <v>41</v>
      </c>
      <c r="N1362" s="22"/>
    </row>
    <row r="1363" spans="1:14" ht="24" customHeight="1" x14ac:dyDescent="0.35">
      <c r="A1363" s="56" t="s">
        <v>841</v>
      </c>
      <c r="B1363" s="145" t="s">
        <v>41</v>
      </c>
      <c r="C1363" s="50" t="s">
        <v>993</v>
      </c>
      <c r="D1363" s="20" t="s">
        <v>1004</v>
      </c>
      <c r="E1363" s="20">
        <v>0</v>
      </c>
      <c r="F1363" s="20">
        <v>0</v>
      </c>
      <c r="G1363" s="20">
        <v>0</v>
      </c>
      <c r="H1363" s="20">
        <v>0</v>
      </c>
      <c r="I1363" s="50">
        <f t="shared" si="11"/>
        <v>0</v>
      </c>
      <c r="J1363" s="50"/>
      <c r="K1363" s="50"/>
      <c r="L1363" s="36">
        <v>2022</v>
      </c>
      <c r="M1363" s="20" t="s">
        <v>41</v>
      </c>
      <c r="N1363" s="22"/>
    </row>
    <row r="1364" spans="1:14" ht="24" customHeight="1" x14ac:dyDescent="0.35">
      <c r="A1364" s="56" t="s">
        <v>841</v>
      </c>
      <c r="B1364" s="145" t="s">
        <v>41</v>
      </c>
      <c r="C1364" s="50" t="s">
        <v>993</v>
      </c>
      <c r="D1364" s="20" t="s">
        <v>1005</v>
      </c>
      <c r="E1364" s="20">
        <v>14</v>
      </c>
      <c r="F1364" s="20">
        <v>3</v>
      </c>
      <c r="G1364" s="20">
        <v>0</v>
      </c>
      <c r="H1364" s="20">
        <v>0</v>
      </c>
      <c r="I1364" s="50">
        <f t="shared" si="11"/>
        <v>17</v>
      </c>
      <c r="J1364" s="50"/>
      <c r="K1364" s="50"/>
      <c r="L1364" s="36">
        <v>2022</v>
      </c>
      <c r="M1364" s="20" t="s">
        <v>41</v>
      </c>
      <c r="N1364" s="22"/>
    </row>
    <row r="1365" spans="1:14" ht="24" customHeight="1" x14ac:dyDescent="0.35">
      <c r="A1365" s="56" t="s">
        <v>841</v>
      </c>
      <c r="B1365" s="145" t="s">
        <v>41</v>
      </c>
      <c r="C1365" s="50" t="s">
        <v>993</v>
      </c>
      <c r="D1365" s="20" t="s">
        <v>1006</v>
      </c>
      <c r="E1365" s="20">
        <v>325532</v>
      </c>
      <c r="F1365" s="20">
        <v>54665</v>
      </c>
      <c r="G1365" s="20">
        <v>0</v>
      </c>
      <c r="H1365" s="20">
        <v>0</v>
      </c>
      <c r="I1365" s="50">
        <f t="shared" si="11"/>
        <v>380197</v>
      </c>
      <c r="J1365" s="50"/>
      <c r="K1365" s="50"/>
      <c r="L1365" s="36">
        <v>2022</v>
      </c>
      <c r="M1365" s="20" t="s">
        <v>41</v>
      </c>
      <c r="N1365" s="22"/>
    </row>
    <row r="1366" spans="1:14" ht="24" customHeight="1" x14ac:dyDescent="0.35">
      <c r="A1366" s="20" t="s">
        <v>590</v>
      </c>
      <c r="B1366" s="50" t="s">
        <v>255</v>
      </c>
      <c r="C1366" s="50" t="s">
        <v>996</v>
      </c>
      <c r="D1366" s="20" t="s">
        <v>1004</v>
      </c>
      <c r="E1366" s="20">
        <v>0</v>
      </c>
      <c r="F1366" s="20">
        <v>0</v>
      </c>
      <c r="G1366" s="20">
        <v>2</v>
      </c>
      <c r="H1366" s="20">
        <v>0</v>
      </c>
      <c r="I1366" s="50">
        <f t="shared" si="11"/>
        <v>2</v>
      </c>
      <c r="J1366" s="50"/>
      <c r="K1366" s="50"/>
      <c r="L1366" s="36">
        <v>2022</v>
      </c>
      <c r="M1366" s="20" t="s">
        <v>255</v>
      </c>
      <c r="N1366" s="22" t="s">
        <v>431</v>
      </c>
    </row>
    <row r="1367" spans="1:14" ht="24" customHeight="1" x14ac:dyDescent="0.35">
      <c r="A1367" s="20" t="s">
        <v>590</v>
      </c>
      <c r="B1367" s="50" t="s">
        <v>255</v>
      </c>
      <c r="C1367" s="50" t="s">
        <v>996</v>
      </c>
      <c r="D1367" s="20" t="s">
        <v>1005</v>
      </c>
      <c r="E1367" s="20">
        <v>1</v>
      </c>
      <c r="F1367" s="20">
        <v>2</v>
      </c>
      <c r="G1367" s="20">
        <v>3</v>
      </c>
      <c r="H1367" s="20">
        <v>15</v>
      </c>
      <c r="I1367" s="50">
        <f t="shared" ref="I1367:I1425" si="12">SUM(E1367:H1367)</f>
        <v>21</v>
      </c>
      <c r="J1367" s="50"/>
      <c r="K1367" s="50"/>
      <c r="L1367" s="36">
        <v>2022</v>
      </c>
      <c r="M1367" s="20" t="s">
        <v>255</v>
      </c>
      <c r="N1367" s="22" t="s">
        <v>431</v>
      </c>
    </row>
    <row r="1368" spans="1:14" ht="24" customHeight="1" x14ac:dyDescent="0.35">
      <c r="A1368" s="20" t="s">
        <v>590</v>
      </c>
      <c r="B1368" s="50" t="s">
        <v>255</v>
      </c>
      <c r="C1368" s="50" t="s">
        <v>996</v>
      </c>
      <c r="D1368" s="20" t="s">
        <v>1006</v>
      </c>
      <c r="E1368" s="20">
        <v>1560</v>
      </c>
      <c r="F1368" s="20">
        <v>1950</v>
      </c>
      <c r="G1368" s="20">
        <v>1800</v>
      </c>
      <c r="H1368" s="20">
        <v>1350</v>
      </c>
      <c r="I1368" s="50">
        <f t="shared" si="12"/>
        <v>6660</v>
      </c>
      <c r="J1368" s="50"/>
      <c r="K1368" s="50"/>
      <c r="L1368" s="36">
        <v>2022</v>
      </c>
      <c r="M1368" s="20" t="s">
        <v>255</v>
      </c>
      <c r="N1368" s="22" t="s">
        <v>431</v>
      </c>
    </row>
    <row r="1369" spans="1:14" ht="24" customHeight="1" x14ac:dyDescent="0.35">
      <c r="A1369" s="20" t="s">
        <v>590</v>
      </c>
      <c r="B1369" s="50" t="s">
        <v>255</v>
      </c>
      <c r="C1369" s="50" t="s">
        <v>993</v>
      </c>
      <c r="D1369" s="20" t="s">
        <v>1004</v>
      </c>
      <c r="E1369" s="20">
        <v>0</v>
      </c>
      <c r="F1369" s="20">
        <v>0</v>
      </c>
      <c r="G1369" s="20">
        <v>0</v>
      </c>
      <c r="H1369" s="20">
        <v>0</v>
      </c>
      <c r="I1369" s="50">
        <f t="shared" si="12"/>
        <v>0</v>
      </c>
      <c r="J1369" s="50"/>
      <c r="K1369" s="50"/>
      <c r="L1369" s="36">
        <v>2022</v>
      </c>
      <c r="M1369" s="20" t="s">
        <v>255</v>
      </c>
      <c r="N1369" s="22" t="s">
        <v>431</v>
      </c>
    </row>
    <row r="1370" spans="1:14" ht="24" customHeight="1" x14ac:dyDescent="0.35">
      <c r="A1370" s="20" t="s">
        <v>590</v>
      </c>
      <c r="B1370" s="50" t="s">
        <v>255</v>
      </c>
      <c r="C1370" s="50" t="s">
        <v>993</v>
      </c>
      <c r="D1370" s="20" t="s">
        <v>1005</v>
      </c>
      <c r="E1370" s="20">
        <v>0</v>
      </c>
      <c r="F1370" s="20">
        <v>0</v>
      </c>
      <c r="G1370" s="20">
        <v>0</v>
      </c>
      <c r="H1370" s="20">
        <v>0</v>
      </c>
      <c r="I1370" s="50">
        <f t="shared" si="12"/>
        <v>0</v>
      </c>
      <c r="J1370" s="50"/>
      <c r="K1370" s="50"/>
      <c r="L1370" s="36">
        <v>2022</v>
      </c>
      <c r="M1370" s="20" t="s">
        <v>255</v>
      </c>
      <c r="N1370" s="22" t="s">
        <v>431</v>
      </c>
    </row>
    <row r="1371" spans="1:14" ht="24" customHeight="1" x14ac:dyDescent="0.35">
      <c r="A1371" s="20" t="s">
        <v>590</v>
      </c>
      <c r="B1371" s="50" t="s">
        <v>255</v>
      </c>
      <c r="C1371" s="50" t="s">
        <v>993</v>
      </c>
      <c r="D1371" s="20" t="s">
        <v>1006</v>
      </c>
      <c r="E1371" s="20">
        <v>0</v>
      </c>
      <c r="F1371" s="20">
        <v>0</v>
      </c>
      <c r="G1371" s="20">
        <v>0</v>
      </c>
      <c r="H1371" s="20">
        <v>0</v>
      </c>
      <c r="I1371" s="50">
        <f t="shared" si="12"/>
        <v>0</v>
      </c>
      <c r="J1371" s="50"/>
      <c r="K1371" s="50"/>
      <c r="L1371" s="36">
        <v>2022</v>
      </c>
      <c r="M1371" s="20" t="s">
        <v>255</v>
      </c>
      <c r="N1371" s="22" t="s">
        <v>431</v>
      </c>
    </row>
    <row r="1372" spans="1:14" ht="24" customHeight="1" x14ac:dyDescent="0.35">
      <c r="A1372" s="20" t="s">
        <v>595</v>
      </c>
      <c r="B1372" s="50" t="s">
        <v>46</v>
      </c>
      <c r="C1372" s="50" t="s">
        <v>996</v>
      </c>
      <c r="D1372" s="20" t="s">
        <v>1004</v>
      </c>
      <c r="E1372" s="20">
        <v>0</v>
      </c>
      <c r="F1372" s="20">
        <v>1</v>
      </c>
      <c r="G1372" s="20">
        <v>0</v>
      </c>
      <c r="H1372" s="20">
        <v>3</v>
      </c>
      <c r="I1372" s="50">
        <f t="shared" si="12"/>
        <v>4</v>
      </c>
      <c r="J1372" s="50"/>
      <c r="K1372" s="50"/>
      <c r="L1372" s="36">
        <v>2022</v>
      </c>
      <c r="M1372" s="20" t="s">
        <v>46</v>
      </c>
      <c r="N1372" s="22" t="s">
        <v>424</v>
      </c>
    </row>
    <row r="1373" spans="1:14" ht="24" customHeight="1" x14ac:dyDescent="0.35">
      <c r="A1373" s="20" t="s">
        <v>595</v>
      </c>
      <c r="B1373" s="50" t="s">
        <v>46</v>
      </c>
      <c r="C1373" s="50" t="s">
        <v>996</v>
      </c>
      <c r="D1373" s="20" t="s">
        <v>1005</v>
      </c>
      <c r="E1373" s="20">
        <v>0</v>
      </c>
      <c r="F1373" s="20">
        <v>1</v>
      </c>
      <c r="G1373" s="20">
        <v>2</v>
      </c>
      <c r="H1373" s="20">
        <v>44</v>
      </c>
      <c r="I1373" s="50">
        <f t="shared" si="12"/>
        <v>47</v>
      </c>
      <c r="J1373" s="50"/>
      <c r="K1373" s="50"/>
      <c r="L1373" s="36">
        <v>2022</v>
      </c>
      <c r="M1373" s="20" t="s">
        <v>46</v>
      </c>
      <c r="N1373" s="22" t="s">
        <v>424</v>
      </c>
    </row>
    <row r="1374" spans="1:14" ht="24" customHeight="1" x14ac:dyDescent="0.35">
      <c r="A1374" s="20" t="s">
        <v>595</v>
      </c>
      <c r="B1374" s="50" t="s">
        <v>46</v>
      </c>
      <c r="C1374" s="50" t="s">
        <v>996</v>
      </c>
      <c r="D1374" s="20" t="s">
        <v>1006</v>
      </c>
      <c r="E1374" s="20">
        <v>0</v>
      </c>
      <c r="F1374" s="20">
        <v>21600</v>
      </c>
      <c r="G1374" s="20">
        <v>4320</v>
      </c>
      <c r="H1374" s="20">
        <v>48479</v>
      </c>
      <c r="I1374" s="50">
        <f t="shared" si="12"/>
        <v>74399</v>
      </c>
      <c r="J1374" s="50"/>
      <c r="K1374" s="50"/>
      <c r="L1374" s="36">
        <v>2022</v>
      </c>
      <c r="M1374" s="20" t="s">
        <v>46</v>
      </c>
      <c r="N1374" s="22" t="s">
        <v>424</v>
      </c>
    </row>
    <row r="1375" spans="1:14" ht="24" customHeight="1" x14ac:dyDescent="0.35">
      <c r="A1375" s="20" t="s">
        <v>595</v>
      </c>
      <c r="B1375" s="50" t="s">
        <v>46</v>
      </c>
      <c r="C1375" s="50" t="s">
        <v>993</v>
      </c>
      <c r="D1375" s="20" t="s">
        <v>1004</v>
      </c>
      <c r="E1375" s="20">
        <v>0</v>
      </c>
      <c r="F1375" s="20">
        <v>0</v>
      </c>
      <c r="G1375" s="20">
        <v>0</v>
      </c>
      <c r="H1375" s="20">
        <v>0</v>
      </c>
      <c r="I1375" s="50">
        <f t="shared" si="12"/>
        <v>0</v>
      </c>
      <c r="J1375" s="50"/>
      <c r="K1375" s="50"/>
      <c r="L1375" s="36">
        <v>2022</v>
      </c>
      <c r="M1375" s="20" t="s">
        <v>46</v>
      </c>
      <c r="N1375" s="22" t="s">
        <v>424</v>
      </c>
    </row>
    <row r="1376" spans="1:14" ht="24" customHeight="1" x14ac:dyDescent="0.35">
      <c r="A1376" s="20" t="s">
        <v>595</v>
      </c>
      <c r="B1376" s="50" t="s">
        <v>46</v>
      </c>
      <c r="C1376" s="50" t="s">
        <v>993</v>
      </c>
      <c r="D1376" s="20" t="s">
        <v>1005</v>
      </c>
      <c r="E1376" s="20">
        <v>3</v>
      </c>
      <c r="F1376" s="20">
        <v>0</v>
      </c>
      <c r="G1376" s="20">
        <v>0</v>
      </c>
      <c r="H1376" s="20">
        <v>0</v>
      </c>
      <c r="I1376" s="50">
        <f t="shared" si="12"/>
        <v>3</v>
      </c>
      <c r="J1376" s="50"/>
      <c r="K1376" s="50"/>
      <c r="L1376" s="36">
        <v>2022</v>
      </c>
      <c r="M1376" s="20" t="s">
        <v>46</v>
      </c>
      <c r="N1376" s="22" t="s">
        <v>424</v>
      </c>
    </row>
    <row r="1377" spans="1:14" ht="24" customHeight="1" x14ac:dyDescent="0.35">
      <c r="A1377" s="20" t="s">
        <v>595</v>
      </c>
      <c r="B1377" s="50" t="s">
        <v>46</v>
      </c>
      <c r="C1377" s="50" t="s">
        <v>993</v>
      </c>
      <c r="D1377" s="20" t="s">
        <v>1006</v>
      </c>
      <c r="E1377" s="20">
        <v>72000</v>
      </c>
      <c r="F1377" s="20">
        <v>0</v>
      </c>
      <c r="G1377" s="20">
        <v>0</v>
      </c>
      <c r="H1377" s="20">
        <v>0</v>
      </c>
      <c r="I1377" s="50">
        <f t="shared" si="12"/>
        <v>72000</v>
      </c>
      <c r="J1377" s="50"/>
      <c r="K1377" s="50"/>
      <c r="L1377" s="36">
        <v>2022</v>
      </c>
      <c r="M1377" s="20" t="s">
        <v>46</v>
      </c>
      <c r="N1377" s="22" t="s">
        <v>424</v>
      </c>
    </row>
    <row r="1378" spans="1:14" ht="24" customHeight="1" x14ac:dyDescent="0.35">
      <c r="A1378" s="20" t="s">
        <v>400</v>
      </c>
      <c r="B1378" s="50" t="s">
        <v>255</v>
      </c>
      <c r="C1378" s="50" t="s">
        <v>996</v>
      </c>
      <c r="D1378" s="20" t="s">
        <v>1004</v>
      </c>
      <c r="E1378" s="20">
        <v>1</v>
      </c>
      <c r="F1378" s="20">
        <v>0</v>
      </c>
      <c r="G1378" s="20">
        <v>0</v>
      </c>
      <c r="H1378" s="20">
        <v>0</v>
      </c>
      <c r="I1378" s="50">
        <f t="shared" si="12"/>
        <v>1</v>
      </c>
      <c r="J1378" s="50"/>
      <c r="K1378" s="50"/>
      <c r="L1378" s="36">
        <v>2022</v>
      </c>
      <c r="M1378" s="20" t="s">
        <v>255</v>
      </c>
      <c r="N1378" s="22" t="s">
        <v>431</v>
      </c>
    </row>
    <row r="1379" spans="1:14" ht="24" customHeight="1" x14ac:dyDescent="0.35">
      <c r="A1379" s="20" t="s">
        <v>400</v>
      </c>
      <c r="B1379" s="50" t="s">
        <v>255</v>
      </c>
      <c r="C1379" s="50" t="s">
        <v>996</v>
      </c>
      <c r="D1379" s="20" t="s">
        <v>1005</v>
      </c>
      <c r="E1379" s="20">
        <v>2</v>
      </c>
      <c r="F1379" s="20">
        <v>0</v>
      </c>
      <c r="G1379" s="20">
        <v>0</v>
      </c>
      <c r="H1379" s="20">
        <v>4</v>
      </c>
      <c r="I1379" s="50">
        <f t="shared" si="12"/>
        <v>6</v>
      </c>
      <c r="J1379" s="50"/>
      <c r="K1379" s="50"/>
      <c r="L1379" s="36">
        <v>2022</v>
      </c>
      <c r="M1379" s="20" t="s">
        <v>255</v>
      </c>
      <c r="N1379" s="22" t="s">
        <v>431</v>
      </c>
    </row>
    <row r="1380" spans="1:14" ht="24" customHeight="1" x14ac:dyDescent="0.35">
      <c r="A1380" s="20" t="s">
        <v>400</v>
      </c>
      <c r="B1380" s="50" t="s">
        <v>255</v>
      </c>
      <c r="C1380" s="50" t="s">
        <v>996</v>
      </c>
      <c r="D1380" s="20" t="s">
        <v>1006</v>
      </c>
      <c r="E1380" s="20">
        <v>0</v>
      </c>
      <c r="F1380" s="20">
        <v>0</v>
      </c>
      <c r="G1380" s="20">
        <v>0</v>
      </c>
      <c r="H1380" s="20">
        <v>0</v>
      </c>
      <c r="I1380" s="50">
        <f t="shared" si="12"/>
        <v>0</v>
      </c>
      <c r="J1380" s="50"/>
      <c r="K1380" s="50"/>
      <c r="L1380" s="36">
        <v>2022</v>
      </c>
      <c r="M1380" s="20" t="s">
        <v>255</v>
      </c>
      <c r="N1380" s="22" t="s">
        <v>431</v>
      </c>
    </row>
    <row r="1381" spans="1:14" ht="24" customHeight="1" x14ac:dyDescent="0.35">
      <c r="A1381" s="20" t="s">
        <v>400</v>
      </c>
      <c r="B1381" s="50" t="s">
        <v>255</v>
      </c>
      <c r="C1381" s="50" t="s">
        <v>993</v>
      </c>
      <c r="D1381" s="20" t="s">
        <v>1004</v>
      </c>
      <c r="E1381" s="20">
        <v>0</v>
      </c>
      <c r="F1381" s="20">
        <v>0</v>
      </c>
      <c r="G1381" s="20">
        <v>0</v>
      </c>
      <c r="H1381" s="20">
        <v>0</v>
      </c>
      <c r="I1381" s="50">
        <f t="shared" si="12"/>
        <v>0</v>
      </c>
      <c r="J1381" s="50"/>
      <c r="K1381" s="50"/>
      <c r="L1381" s="36">
        <v>2022</v>
      </c>
      <c r="M1381" s="20" t="s">
        <v>255</v>
      </c>
      <c r="N1381" s="22" t="s">
        <v>431</v>
      </c>
    </row>
    <row r="1382" spans="1:14" ht="24" customHeight="1" x14ac:dyDescent="0.35">
      <c r="A1382" s="20" t="s">
        <v>400</v>
      </c>
      <c r="B1382" s="50" t="s">
        <v>255</v>
      </c>
      <c r="C1382" s="50" t="s">
        <v>993</v>
      </c>
      <c r="D1382" s="20" t="s">
        <v>1005</v>
      </c>
      <c r="E1382" s="20">
        <v>0</v>
      </c>
      <c r="F1382" s="20">
        <v>0</v>
      </c>
      <c r="G1382" s="20">
        <v>0</v>
      </c>
      <c r="H1382" s="20">
        <v>0</v>
      </c>
      <c r="I1382" s="50">
        <f t="shared" si="12"/>
        <v>0</v>
      </c>
      <c r="J1382" s="50"/>
      <c r="K1382" s="50"/>
      <c r="L1382" s="36">
        <v>2022</v>
      </c>
      <c r="M1382" s="20" t="s">
        <v>255</v>
      </c>
      <c r="N1382" s="22" t="s">
        <v>431</v>
      </c>
    </row>
    <row r="1383" spans="1:14" ht="24" customHeight="1" x14ac:dyDescent="0.35">
      <c r="A1383" s="20" t="s">
        <v>400</v>
      </c>
      <c r="B1383" s="50" t="s">
        <v>255</v>
      </c>
      <c r="C1383" s="50" t="s">
        <v>993</v>
      </c>
      <c r="D1383" s="20" t="s">
        <v>1006</v>
      </c>
      <c r="E1383" s="20">
        <v>0</v>
      </c>
      <c r="F1383" s="20">
        <v>0</v>
      </c>
      <c r="G1383" s="20">
        <v>0</v>
      </c>
      <c r="H1383" s="20">
        <v>0</v>
      </c>
      <c r="I1383" s="50">
        <f t="shared" si="12"/>
        <v>0</v>
      </c>
      <c r="J1383" s="50"/>
      <c r="K1383" s="50"/>
      <c r="L1383" s="36">
        <v>2022</v>
      </c>
      <c r="M1383" s="20" t="s">
        <v>255</v>
      </c>
      <c r="N1383" s="22" t="s">
        <v>431</v>
      </c>
    </row>
    <row r="1384" spans="1:14" ht="24" customHeight="1" x14ac:dyDescent="0.35">
      <c r="A1384" s="20" t="s">
        <v>685</v>
      </c>
      <c r="B1384" s="145" t="s">
        <v>41</v>
      </c>
      <c r="C1384" s="50" t="s">
        <v>996</v>
      </c>
      <c r="D1384" s="20" t="s">
        <v>1004</v>
      </c>
      <c r="E1384" s="20">
        <v>0</v>
      </c>
      <c r="F1384" s="20">
        <v>0</v>
      </c>
      <c r="G1384" s="20">
        <v>0</v>
      </c>
      <c r="H1384" s="20">
        <v>0</v>
      </c>
      <c r="I1384" s="50">
        <f t="shared" si="12"/>
        <v>0</v>
      </c>
      <c r="J1384" s="50"/>
      <c r="K1384" s="50"/>
      <c r="L1384" s="36">
        <v>2022</v>
      </c>
      <c r="M1384" s="20" t="s">
        <v>41</v>
      </c>
      <c r="N1384" s="22" t="s">
        <v>431</v>
      </c>
    </row>
    <row r="1385" spans="1:14" ht="24" customHeight="1" x14ac:dyDescent="0.35">
      <c r="A1385" s="20" t="s">
        <v>685</v>
      </c>
      <c r="B1385" s="145" t="s">
        <v>41</v>
      </c>
      <c r="C1385" s="50" t="s">
        <v>996</v>
      </c>
      <c r="D1385" s="20" t="s">
        <v>1005</v>
      </c>
      <c r="E1385" s="20">
        <v>0</v>
      </c>
      <c r="F1385" s="20">
        <v>0</v>
      </c>
      <c r="G1385" s="20">
        <v>0</v>
      </c>
      <c r="H1385" s="20">
        <v>0</v>
      </c>
      <c r="I1385" s="50">
        <f t="shared" si="12"/>
        <v>0</v>
      </c>
      <c r="J1385" s="50"/>
      <c r="K1385" s="50"/>
      <c r="L1385" s="36">
        <v>2022</v>
      </c>
      <c r="M1385" s="20" t="s">
        <v>41</v>
      </c>
      <c r="N1385" s="22" t="s">
        <v>431</v>
      </c>
    </row>
    <row r="1386" spans="1:14" ht="24" customHeight="1" x14ac:dyDescent="0.35">
      <c r="A1386" s="20" t="s">
        <v>685</v>
      </c>
      <c r="B1386" s="145" t="s">
        <v>41</v>
      </c>
      <c r="C1386" s="50" t="s">
        <v>996</v>
      </c>
      <c r="D1386" s="20" t="s">
        <v>1006</v>
      </c>
      <c r="E1386" s="20">
        <v>0</v>
      </c>
      <c r="F1386" s="20">
        <v>0</v>
      </c>
      <c r="G1386" s="20">
        <v>0</v>
      </c>
      <c r="H1386" s="20">
        <v>0</v>
      </c>
      <c r="I1386" s="50">
        <f t="shared" si="12"/>
        <v>0</v>
      </c>
      <c r="J1386" s="50"/>
      <c r="K1386" s="50"/>
      <c r="L1386" s="36">
        <v>2022</v>
      </c>
      <c r="M1386" s="20" t="s">
        <v>41</v>
      </c>
      <c r="N1386" s="22" t="s">
        <v>431</v>
      </c>
    </row>
    <row r="1387" spans="1:14" ht="24" customHeight="1" x14ac:dyDescent="0.35">
      <c r="A1387" s="20" t="s">
        <v>685</v>
      </c>
      <c r="B1387" s="145" t="s">
        <v>41</v>
      </c>
      <c r="C1387" s="50" t="s">
        <v>993</v>
      </c>
      <c r="D1387" s="20" t="s">
        <v>1004</v>
      </c>
      <c r="E1387" s="20">
        <v>0</v>
      </c>
      <c r="F1387" s="20">
        <v>0</v>
      </c>
      <c r="G1387" s="20">
        <v>0</v>
      </c>
      <c r="H1387" s="20">
        <v>0</v>
      </c>
      <c r="I1387" s="50">
        <f t="shared" si="12"/>
        <v>0</v>
      </c>
      <c r="J1387" s="50"/>
      <c r="K1387" s="50"/>
      <c r="L1387" s="36">
        <v>2022</v>
      </c>
      <c r="M1387" s="20" t="s">
        <v>41</v>
      </c>
      <c r="N1387" s="22" t="s">
        <v>431</v>
      </c>
    </row>
    <row r="1388" spans="1:14" ht="24" customHeight="1" x14ac:dyDescent="0.35">
      <c r="A1388" s="20" t="s">
        <v>685</v>
      </c>
      <c r="B1388" s="145" t="s">
        <v>41</v>
      </c>
      <c r="C1388" s="50" t="s">
        <v>993</v>
      </c>
      <c r="D1388" s="20" t="s">
        <v>1005</v>
      </c>
      <c r="E1388" s="20">
        <v>0</v>
      </c>
      <c r="F1388" s="20">
        <v>0</v>
      </c>
      <c r="G1388" s="20">
        <v>0</v>
      </c>
      <c r="H1388" s="20">
        <v>0</v>
      </c>
      <c r="I1388" s="50">
        <f t="shared" si="12"/>
        <v>0</v>
      </c>
      <c r="J1388" s="50"/>
      <c r="K1388" s="50"/>
      <c r="L1388" s="36">
        <v>2022</v>
      </c>
      <c r="M1388" s="20" t="s">
        <v>41</v>
      </c>
      <c r="N1388" s="22" t="s">
        <v>431</v>
      </c>
    </row>
    <row r="1389" spans="1:14" ht="24" customHeight="1" x14ac:dyDescent="0.35">
      <c r="A1389" s="20" t="s">
        <v>685</v>
      </c>
      <c r="B1389" s="145" t="s">
        <v>41</v>
      </c>
      <c r="C1389" s="50" t="s">
        <v>993</v>
      </c>
      <c r="D1389" s="20" t="s">
        <v>1006</v>
      </c>
      <c r="E1389" s="20">
        <v>0</v>
      </c>
      <c r="F1389" s="20">
        <v>0</v>
      </c>
      <c r="G1389" s="20">
        <v>0</v>
      </c>
      <c r="H1389" s="20">
        <v>0</v>
      </c>
      <c r="I1389" s="50">
        <f t="shared" si="12"/>
        <v>0</v>
      </c>
      <c r="J1389" s="50"/>
      <c r="K1389" s="50"/>
      <c r="L1389" s="36">
        <v>2022</v>
      </c>
      <c r="M1389" s="20" t="s">
        <v>41</v>
      </c>
      <c r="N1389" s="22" t="s">
        <v>431</v>
      </c>
    </row>
    <row r="1390" spans="1:14" ht="24" customHeight="1" x14ac:dyDescent="0.35">
      <c r="A1390" s="56" t="s">
        <v>600</v>
      </c>
      <c r="B1390" s="50" t="s">
        <v>255</v>
      </c>
      <c r="C1390" s="50" t="s">
        <v>996</v>
      </c>
      <c r="D1390" s="20" t="s">
        <v>1004</v>
      </c>
      <c r="E1390" s="20">
        <v>0</v>
      </c>
      <c r="F1390" s="20">
        <v>0</v>
      </c>
      <c r="G1390" s="20">
        <v>0</v>
      </c>
      <c r="H1390" s="20">
        <v>0</v>
      </c>
      <c r="I1390" s="50">
        <f t="shared" si="12"/>
        <v>0</v>
      </c>
      <c r="J1390" s="50"/>
      <c r="K1390" s="50"/>
      <c r="L1390" s="36">
        <v>2022</v>
      </c>
      <c r="M1390" s="20" t="s">
        <v>255</v>
      </c>
      <c r="N1390" s="22" t="s">
        <v>431</v>
      </c>
    </row>
    <row r="1391" spans="1:14" ht="24" customHeight="1" x14ac:dyDescent="0.35">
      <c r="A1391" s="56" t="s">
        <v>600</v>
      </c>
      <c r="B1391" s="50" t="s">
        <v>255</v>
      </c>
      <c r="C1391" s="50" t="s">
        <v>996</v>
      </c>
      <c r="D1391" s="20" t="s">
        <v>1005</v>
      </c>
      <c r="E1391" s="20">
        <v>0</v>
      </c>
      <c r="F1391" s="20">
        <v>0</v>
      </c>
      <c r="G1391" s="20">
        <v>0</v>
      </c>
      <c r="H1391" s="20">
        <v>0</v>
      </c>
      <c r="I1391" s="50">
        <f t="shared" si="12"/>
        <v>0</v>
      </c>
      <c r="J1391" s="50"/>
      <c r="K1391" s="50"/>
      <c r="L1391" s="36">
        <v>2022</v>
      </c>
      <c r="M1391" s="20" t="s">
        <v>255</v>
      </c>
      <c r="N1391" s="22" t="s">
        <v>431</v>
      </c>
    </row>
    <row r="1392" spans="1:14" ht="24" customHeight="1" x14ac:dyDescent="0.35">
      <c r="A1392" s="56" t="s">
        <v>600</v>
      </c>
      <c r="B1392" s="50" t="s">
        <v>255</v>
      </c>
      <c r="C1392" s="50" t="s">
        <v>996</v>
      </c>
      <c r="D1392" s="20" t="s">
        <v>1006</v>
      </c>
      <c r="E1392" s="20">
        <v>0</v>
      </c>
      <c r="F1392" s="20">
        <v>0</v>
      </c>
      <c r="G1392" s="20">
        <v>0</v>
      </c>
      <c r="H1392" s="20">
        <v>0</v>
      </c>
      <c r="I1392" s="50">
        <f t="shared" si="12"/>
        <v>0</v>
      </c>
      <c r="J1392" s="50"/>
      <c r="K1392" s="50"/>
      <c r="L1392" s="36">
        <v>2022</v>
      </c>
      <c r="M1392" s="20" t="s">
        <v>255</v>
      </c>
      <c r="N1392" s="22" t="s">
        <v>431</v>
      </c>
    </row>
    <row r="1393" spans="1:14" ht="24" customHeight="1" x14ac:dyDescent="0.35">
      <c r="A1393" s="56" t="s">
        <v>600</v>
      </c>
      <c r="B1393" s="50" t="s">
        <v>255</v>
      </c>
      <c r="C1393" s="50" t="s">
        <v>993</v>
      </c>
      <c r="D1393" s="20" t="s">
        <v>1004</v>
      </c>
      <c r="E1393" s="20">
        <v>0</v>
      </c>
      <c r="F1393" s="20">
        <v>0</v>
      </c>
      <c r="G1393" s="20">
        <v>0</v>
      </c>
      <c r="H1393" s="20">
        <v>0</v>
      </c>
      <c r="I1393" s="50">
        <f t="shared" si="12"/>
        <v>0</v>
      </c>
      <c r="J1393" s="50"/>
      <c r="K1393" s="50"/>
      <c r="L1393" s="36">
        <v>2022</v>
      </c>
      <c r="M1393" s="20" t="s">
        <v>255</v>
      </c>
      <c r="N1393" s="22" t="s">
        <v>431</v>
      </c>
    </row>
    <row r="1394" spans="1:14" ht="24" customHeight="1" x14ac:dyDescent="0.35">
      <c r="A1394" s="56" t="s">
        <v>600</v>
      </c>
      <c r="B1394" s="50" t="s">
        <v>255</v>
      </c>
      <c r="C1394" s="50" t="s">
        <v>993</v>
      </c>
      <c r="D1394" s="20" t="s">
        <v>1005</v>
      </c>
      <c r="E1394" s="20">
        <v>0</v>
      </c>
      <c r="F1394" s="20">
        <v>0</v>
      </c>
      <c r="G1394" s="20">
        <v>0</v>
      </c>
      <c r="H1394" s="20">
        <v>0</v>
      </c>
      <c r="I1394" s="50">
        <f t="shared" si="12"/>
        <v>0</v>
      </c>
      <c r="J1394" s="50"/>
      <c r="K1394" s="50"/>
      <c r="L1394" s="36">
        <v>2022</v>
      </c>
      <c r="M1394" s="20" t="s">
        <v>255</v>
      </c>
      <c r="N1394" s="22" t="s">
        <v>431</v>
      </c>
    </row>
    <row r="1395" spans="1:14" ht="24" customHeight="1" x14ac:dyDescent="0.35">
      <c r="A1395" s="56" t="s">
        <v>600</v>
      </c>
      <c r="B1395" s="50" t="s">
        <v>255</v>
      </c>
      <c r="C1395" s="50" t="s">
        <v>993</v>
      </c>
      <c r="D1395" s="20" t="s">
        <v>1006</v>
      </c>
      <c r="E1395" s="20">
        <v>0</v>
      </c>
      <c r="F1395" s="20">
        <v>0</v>
      </c>
      <c r="G1395" s="20">
        <v>0</v>
      </c>
      <c r="H1395" s="20">
        <v>0</v>
      </c>
      <c r="I1395" s="50">
        <f t="shared" si="12"/>
        <v>0</v>
      </c>
      <c r="J1395" s="50"/>
      <c r="K1395" s="50"/>
      <c r="L1395" s="36">
        <v>2022</v>
      </c>
      <c r="M1395" s="20" t="s">
        <v>255</v>
      </c>
      <c r="N1395" s="22" t="s">
        <v>431</v>
      </c>
    </row>
    <row r="1396" spans="1:14" ht="24" customHeight="1" x14ac:dyDescent="0.35">
      <c r="A1396" s="56" t="s">
        <v>648</v>
      </c>
      <c r="B1396" s="50" t="s">
        <v>46</v>
      </c>
      <c r="C1396" s="50" t="s">
        <v>996</v>
      </c>
      <c r="D1396" s="20" t="s">
        <v>1004</v>
      </c>
      <c r="E1396" s="20">
        <v>0</v>
      </c>
      <c r="F1396" s="50">
        <v>0</v>
      </c>
      <c r="G1396" s="20">
        <v>1</v>
      </c>
      <c r="H1396" s="20">
        <v>0</v>
      </c>
      <c r="I1396" s="50">
        <f t="shared" si="12"/>
        <v>1</v>
      </c>
      <c r="J1396" s="50"/>
      <c r="K1396" s="50"/>
      <c r="L1396" s="36">
        <v>2022</v>
      </c>
      <c r="M1396" s="20" t="s">
        <v>46</v>
      </c>
      <c r="N1396" s="22" t="s">
        <v>451</v>
      </c>
    </row>
    <row r="1397" spans="1:14" ht="24" customHeight="1" x14ac:dyDescent="0.35">
      <c r="A1397" s="56" t="s">
        <v>648</v>
      </c>
      <c r="B1397" s="50" t="s">
        <v>46</v>
      </c>
      <c r="C1397" s="50" t="s">
        <v>996</v>
      </c>
      <c r="D1397" s="20" t="s">
        <v>1005</v>
      </c>
      <c r="E1397" s="20">
        <v>1</v>
      </c>
      <c r="F1397" s="50">
        <v>0</v>
      </c>
      <c r="G1397" s="20">
        <v>13</v>
      </c>
      <c r="H1397" s="20">
        <v>69</v>
      </c>
      <c r="I1397" s="50">
        <f t="shared" si="12"/>
        <v>83</v>
      </c>
      <c r="J1397" s="50"/>
      <c r="K1397" s="50"/>
      <c r="L1397" s="36">
        <v>2022</v>
      </c>
      <c r="M1397" s="20" t="s">
        <v>46</v>
      </c>
      <c r="N1397" s="22" t="s">
        <v>451</v>
      </c>
    </row>
    <row r="1398" spans="1:14" ht="24" customHeight="1" x14ac:dyDescent="0.35">
      <c r="A1398" s="56" t="s">
        <v>648</v>
      </c>
      <c r="B1398" s="50" t="s">
        <v>46</v>
      </c>
      <c r="C1398" s="50" t="s">
        <v>996</v>
      </c>
      <c r="D1398" s="20" t="s">
        <v>1006</v>
      </c>
      <c r="E1398" s="20">
        <v>5052.6000000000004</v>
      </c>
      <c r="F1398" s="50">
        <v>0</v>
      </c>
      <c r="G1398" s="20">
        <v>6093.7</v>
      </c>
      <c r="H1398" s="20">
        <v>84726.1</v>
      </c>
      <c r="I1398" s="50">
        <f t="shared" si="12"/>
        <v>95872.400000000009</v>
      </c>
      <c r="J1398" s="50"/>
      <c r="K1398" s="50"/>
      <c r="L1398" s="36">
        <v>2022</v>
      </c>
      <c r="M1398" s="20" t="s">
        <v>46</v>
      </c>
      <c r="N1398" s="22" t="s">
        <v>451</v>
      </c>
    </row>
    <row r="1399" spans="1:14" ht="24" customHeight="1" x14ac:dyDescent="0.35">
      <c r="A1399" s="56" t="s">
        <v>648</v>
      </c>
      <c r="B1399" s="50" t="s">
        <v>46</v>
      </c>
      <c r="C1399" s="50" t="s">
        <v>993</v>
      </c>
      <c r="D1399" s="20" t="s">
        <v>1004</v>
      </c>
      <c r="E1399" s="20">
        <v>0</v>
      </c>
      <c r="F1399" s="50">
        <v>0</v>
      </c>
      <c r="G1399" s="20">
        <v>0</v>
      </c>
      <c r="H1399" s="20">
        <v>0</v>
      </c>
      <c r="I1399" s="50">
        <f t="shared" si="12"/>
        <v>0</v>
      </c>
      <c r="J1399" s="50"/>
      <c r="K1399" s="50"/>
      <c r="L1399" s="36">
        <v>2022</v>
      </c>
      <c r="M1399" s="20" t="s">
        <v>46</v>
      </c>
      <c r="N1399" s="22" t="s">
        <v>451</v>
      </c>
    </row>
    <row r="1400" spans="1:14" ht="24" customHeight="1" x14ac:dyDescent="0.35">
      <c r="A1400" s="56" t="s">
        <v>648</v>
      </c>
      <c r="B1400" s="50" t="s">
        <v>46</v>
      </c>
      <c r="C1400" s="50" t="s">
        <v>993</v>
      </c>
      <c r="D1400" s="20" t="s">
        <v>1005</v>
      </c>
      <c r="E1400" s="20">
        <v>1</v>
      </c>
      <c r="F1400" s="50">
        <v>0</v>
      </c>
      <c r="G1400" s="20">
        <v>2</v>
      </c>
      <c r="H1400" s="20">
        <v>0</v>
      </c>
      <c r="I1400" s="50">
        <f t="shared" si="12"/>
        <v>3</v>
      </c>
      <c r="J1400" s="50"/>
      <c r="K1400" s="50"/>
      <c r="L1400" s="36">
        <v>2022</v>
      </c>
      <c r="M1400" s="20" t="s">
        <v>46</v>
      </c>
      <c r="N1400" s="22" t="s">
        <v>451</v>
      </c>
    </row>
    <row r="1401" spans="1:14" ht="24" customHeight="1" x14ac:dyDescent="0.35">
      <c r="A1401" s="56" t="s">
        <v>648</v>
      </c>
      <c r="B1401" s="50" t="s">
        <v>46</v>
      </c>
      <c r="C1401" s="50" t="s">
        <v>993</v>
      </c>
      <c r="D1401" s="20" t="s">
        <v>1006</v>
      </c>
      <c r="E1401" s="20">
        <v>12631.58</v>
      </c>
      <c r="F1401" s="50">
        <v>0</v>
      </c>
      <c r="G1401" s="20">
        <v>26350.6</v>
      </c>
      <c r="H1401" s="20">
        <v>0</v>
      </c>
      <c r="I1401" s="50">
        <f t="shared" si="12"/>
        <v>38982.18</v>
      </c>
      <c r="J1401" s="50"/>
      <c r="K1401" s="50"/>
      <c r="L1401" s="36">
        <v>2022</v>
      </c>
      <c r="M1401" s="20" t="s">
        <v>46</v>
      </c>
      <c r="N1401" s="22" t="s">
        <v>451</v>
      </c>
    </row>
    <row r="1402" spans="1:14" ht="24" customHeight="1" x14ac:dyDescent="0.35">
      <c r="A1402" s="56" t="s">
        <v>603</v>
      </c>
      <c r="B1402" s="50" t="s">
        <v>46</v>
      </c>
      <c r="C1402" s="50" t="s">
        <v>996</v>
      </c>
      <c r="D1402" s="20" t="s">
        <v>1004</v>
      </c>
      <c r="E1402" s="50">
        <v>0</v>
      </c>
      <c r="F1402" s="50">
        <v>0</v>
      </c>
      <c r="G1402" s="50">
        <v>0</v>
      </c>
      <c r="H1402" s="50">
        <v>1</v>
      </c>
      <c r="I1402" s="50">
        <f t="shared" si="12"/>
        <v>1</v>
      </c>
      <c r="J1402" s="50"/>
      <c r="K1402" s="50"/>
      <c r="L1402" s="36">
        <v>2022</v>
      </c>
      <c r="M1402" s="50" t="s">
        <v>46</v>
      </c>
      <c r="N1402" s="22" t="s">
        <v>442</v>
      </c>
    </row>
    <row r="1403" spans="1:14" ht="24" customHeight="1" x14ac:dyDescent="0.35">
      <c r="A1403" s="56" t="s">
        <v>603</v>
      </c>
      <c r="B1403" s="50" t="s">
        <v>46</v>
      </c>
      <c r="C1403" s="50" t="s">
        <v>996</v>
      </c>
      <c r="D1403" s="20" t="s">
        <v>1005</v>
      </c>
      <c r="E1403" s="50">
        <f>3+1</f>
        <v>4</v>
      </c>
      <c r="F1403" s="50">
        <v>8</v>
      </c>
      <c r="G1403" s="50">
        <v>22</v>
      </c>
      <c r="H1403" s="50">
        <v>53</v>
      </c>
      <c r="I1403" s="50">
        <f t="shared" si="12"/>
        <v>87</v>
      </c>
      <c r="J1403" s="50"/>
      <c r="K1403" s="50"/>
      <c r="L1403" s="36">
        <v>2022</v>
      </c>
      <c r="M1403" s="50" t="s">
        <v>46</v>
      </c>
      <c r="N1403" s="22" t="s">
        <v>442</v>
      </c>
    </row>
    <row r="1404" spans="1:14" ht="24" customHeight="1" x14ac:dyDescent="0.35">
      <c r="A1404" s="56" t="s">
        <v>603</v>
      </c>
      <c r="B1404" s="50" t="s">
        <v>46</v>
      </c>
      <c r="C1404" s="50" t="s">
        <v>996</v>
      </c>
      <c r="D1404" s="20" t="s">
        <v>1006</v>
      </c>
      <c r="E1404" s="50">
        <v>41</v>
      </c>
      <c r="F1404" s="50">
        <v>25314</v>
      </c>
      <c r="G1404" s="50">
        <v>55077</v>
      </c>
      <c r="H1404" s="50">
        <v>132960</v>
      </c>
      <c r="I1404" s="50">
        <f t="shared" si="12"/>
        <v>213392</v>
      </c>
      <c r="J1404" s="50"/>
      <c r="K1404" s="50"/>
      <c r="L1404" s="36">
        <v>2022</v>
      </c>
      <c r="M1404" s="50" t="s">
        <v>46</v>
      </c>
      <c r="N1404" s="22" t="s">
        <v>442</v>
      </c>
    </row>
    <row r="1405" spans="1:14" ht="24" customHeight="1" x14ac:dyDescent="0.35">
      <c r="A1405" s="56" t="s">
        <v>603</v>
      </c>
      <c r="B1405" s="50" t="s">
        <v>46</v>
      </c>
      <c r="C1405" s="50" t="s">
        <v>993</v>
      </c>
      <c r="D1405" s="20" t="s">
        <v>1004</v>
      </c>
      <c r="E1405" s="50">
        <v>0</v>
      </c>
      <c r="F1405" s="50">
        <v>0</v>
      </c>
      <c r="G1405" s="50">
        <v>0</v>
      </c>
      <c r="H1405" s="50">
        <v>0</v>
      </c>
      <c r="I1405" s="50">
        <f t="shared" si="12"/>
        <v>0</v>
      </c>
      <c r="J1405" s="50"/>
      <c r="K1405" s="50"/>
      <c r="L1405" s="36">
        <v>2022</v>
      </c>
      <c r="M1405" s="50" t="s">
        <v>46</v>
      </c>
      <c r="N1405" s="22" t="s">
        <v>442</v>
      </c>
    </row>
    <row r="1406" spans="1:14" ht="24" customHeight="1" x14ac:dyDescent="0.35">
      <c r="A1406" s="56" t="s">
        <v>603</v>
      </c>
      <c r="B1406" s="50" t="s">
        <v>46</v>
      </c>
      <c r="C1406" s="50" t="s">
        <v>993</v>
      </c>
      <c r="D1406" s="20" t="s">
        <v>1005</v>
      </c>
      <c r="E1406" s="50">
        <v>0</v>
      </c>
      <c r="F1406" s="50">
        <v>0</v>
      </c>
      <c r="G1406" s="50">
        <v>0</v>
      </c>
      <c r="H1406" s="50">
        <v>0</v>
      </c>
      <c r="I1406" s="50">
        <f t="shared" si="12"/>
        <v>0</v>
      </c>
      <c r="J1406" s="50"/>
      <c r="K1406" s="50"/>
      <c r="L1406" s="36">
        <v>2022</v>
      </c>
      <c r="M1406" s="50" t="s">
        <v>46</v>
      </c>
      <c r="N1406" s="22" t="s">
        <v>442</v>
      </c>
    </row>
    <row r="1407" spans="1:14" ht="24" customHeight="1" x14ac:dyDescent="0.35">
      <c r="A1407" s="56" t="s">
        <v>603</v>
      </c>
      <c r="B1407" s="50" t="s">
        <v>46</v>
      </c>
      <c r="C1407" s="50" t="s">
        <v>993</v>
      </c>
      <c r="D1407" s="20" t="s">
        <v>1006</v>
      </c>
      <c r="E1407" s="50">
        <v>0</v>
      </c>
      <c r="F1407" s="50">
        <v>0</v>
      </c>
      <c r="G1407" s="50">
        <v>0</v>
      </c>
      <c r="H1407" s="50">
        <v>0</v>
      </c>
      <c r="I1407" s="50">
        <f t="shared" si="12"/>
        <v>0</v>
      </c>
      <c r="J1407" s="50"/>
      <c r="K1407" s="50"/>
      <c r="L1407" s="36">
        <v>2022</v>
      </c>
      <c r="M1407" s="50" t="s">
        <v>46</v>
      </c>
      <c r="N1407" s="22" t="s">
        <v>442</v>
      </c>
    </row>
    <row r="1408" spans="1:14" ht="24" customHeight="1" x14ac:dyDescent="0.35">
      <c r="A1408" s="20" t="s">
        <v>612</v>
      </c>
      <c r="B1408" s="50" t="s">
        <v>46</v>
      </c>
      <c r="C1408" s="50" t="s">
        <v>996</v>
      </c>
      <c r="D1408" s="20" t="s">
        <v>1004</v>
      </c>
      <c r="E1408" s="20">
        <v>1</v>
      </c>
      <c r="F1408" s="20">
        <v>1</v>
      </c>
      <c r="G1408" s="20">
        <v>1</v>
      </c>
      <c r="H1408" s="20">
        <v>0</v>
      </c>
      <c r="I1408" s="50">
        <f t="shared" si="12"/>
        <v>3</v>
      </c>
      <c r="J1408" s="50"/>
      <c r="K1408" s="50"/>
      <c r="L1408" s="36">
        <v>2022</v>
      </c>
      <c r="M1408" s="20" t="s">
        <v>46</v>
      </c>
      <c r="N1408" s="22" t="s">
        <v>451</v>
      </c>
    </row>
    <row r="1409" spans="1:14" ht="24" customHeight="1" x14ac:dyDescent="0.35">
      <c r="A1409" s="20" t="s">
        <v>612</v>
      </c>
      <c r="B1409" s="50" t="s">
        <v>46</v>
      </c>
      <c r="C1409" s="50" t="s">
        <v>996</v>
      </c>
      <c r="D1409" s="20" t="s">
        <v>1005</v>
      </c>
      <c r="E1409" s="20">
        <v>2</v>
      </c>
      <c r="F1409" s="20">
        <v>6</v>
      </c>
      <c r="G1409" s="20">
        <v>38</v>
      </c>
      <c r="H1409" s="20">
        <v>29</v>
      </c>
      <c r="I1409" s="50">
        <f t="shared" si="12"/>
        <v>75</v>
      </c>
      <c r="J1409" s="50"/>
      <c r="K1409" s="50"/>
      <c r="L1409" s="36">
        <v>2022</v>
      </c>
      <c r="M1409" s="20" t="s">
        <v>46</v>
      </c>
      <c r="N1409" s="22" t="s">
        <v>451</v>
      </c>
    </row>
    <row r="1410" spans="1:14" ht="24" customHeight="1" x14ac:dyDescent="0.35">
      <c r="A1410" s="20" t="s">
        <v>612</v>
      </c>
      <c r="B1410" s="50" t="s">
        <v>46</v>
      </c>
      <c r="C1410" s="50" t="s">
        <v>996</v>
      </c>
      <c r="D1410" s="20" t="s">
        <v>1006</v>
      </c>
      <c r="E1410" s="20">
        <v>43108</v>
      </c>
      <c r="F1410" s="20">
        <v>30778</v>
      </c>
      <c r="G1410" s="20">
        <v>67969</v>
      </c>
      <c r="H1410" s="20">
        <v>19893</v>
      </c>
      <c r="I1410" s="50">
        <f t="shared" si="12"/>
        <v>161748</v>
      </c>
      <c r="J1410" s="50"/>
      <c r="K1410" s="50"/>
      <c r="L1410" s="36">
        <v>2022</v>
      </c>
      <c r="M1410" s="20" t="s">
        <v>46</v>
      </c>
      <c r="N1410" s="22" t="s">
        <v>451</v>
      </c>
    </row>
    <row r="1411" spans="1:14" ht="24" customHeight="1" x14ac:dyDescent="0.35">
      <c r="A1411" s="20" t="s">
        <v>612</v>
      </c>
      <c r="B1411" s="50" t="s">
        <v>46</v>
      </c>
      <c r="C1411" s="50" t="s">
        <v>993</v>
      </c>
      <c r="D1411" s="20" t="s">
        <v>1004</v>
      </c>
      <c r="E1411" s="20">
        <v>0</v>
      </c>
      <c r="F1411" s="20">
        <v>0</v>
      </c>
      <c r="G1411" s="20">
        <v>0</v>
      </c>
      <c r="H1411" s="20">
        <v>0</v>
      </c>
      <c r="I1411" s="50">
        <f t="shared" si="12"/>
        <v>0</v>
      </c>
      <c r="J1411" s="50"/>
      <c r="K1411" s="50"/>
      <c r="L1411" s="36">
        <v>2022</v>
      </c>
      <c r="M1411" s="20" t="s">
        <v>46</v>
      </c>
      <c r="N1411" s="22" t="s">
        <v>451</v>
      </c>
    </row>
    <row r="1412" spans="1:14" ht="24" customHeight="1" x14ac:dyDescent="0.35">
      <c r="A1412" s="20" t="s">
        <v>612</v>
      </c>
      <c r="B1412" s="50" t="s">
        <v>46</v>
      </c>
      <c r="C1412" s="50" t="s">
        <v>993</v>
      </c>
      <c r="D1412" s="20" t="s">
        <v>1005</v>
      </c>
      <c r="E1412" s="20">
        <v>1</v>
      </c>
      <c r="F1412" s="20">
        <v>1</v>
      </c>
      <c r="G1412" s="20">
        <v>3</v>
      </c>
      <c r="H1412" s="20">
        <v>0</v>
      </c>
      <c r="I1412" s="50">
        <f t="shared" si="12"/>
        <v>5</v>
      </c>
      <c r="J1412" s="50"/>
      <c r="K1412" s="50"/>
      <c r="L1412" s="36">
        <v>2022</v>
      </c>
      <c r="M1412" s="20" t="s">
        <v>46</v>
      </c>
      <c r="N1412" s="22" t="s">
        <v>451</v>
      </c>
    </row>
    <row r="1413" spans="1:14" ht="24" customHeight="1" x14ac:dyDescent="0.35">
      <c r="A1413" s="20" t="s">
        <v>612</v>
      </c>
      <c r="B1413" s="50" t="s">
        <v>46</v>
      </c>
      <c r="C1413" s="50" t="s">
        <v>993</v>
      </c>
      <c r="D1413" s="20" t="s">
        <v>1006</v>
      </c>
      <c r="E1413" s="20">
        <v>5849</v>
      </c>
      <c r="F1413" s="20">
        <v>4745</v>
      </c>
      <c r="G1413" s="20">
        <v>3546</v>
      </c>
      <c r="H1413" s="20">
        <v>0</v>
      </c>
      <c r="I1413" s="50">
        <f t="shared" si="12"/>
        <v>14140</v>
      </c>
      <c r="J1413" s="50"/>
      <c r="K1413" s="50"/>
      <c r="L1413" s="36">
        <v>2022</v>
      </c>
      <c r="M1413" s="20" t="s">
        <v>46</v>
      </c>
      <c r="N1413" s="22" t="s">
        <v>451</v>
      </c>
    </row>
    <row r="1414" spans="1:14" ht="24" customHeight="1" x14ac:dyDescent="0.35">
      <c r="A1414" s="56" t="s">
        <v>614</v>
      </c>
      <c r="B1414" s="50" t="s">
        <v>255</v>
      </c>
      <c r="C1414" s="56" t="s">
        <v>996</v>
      </c>
      <c r="D1414" s="56" t="s">
        <v>1004</v>
      </c>
      <c r="E1414" s="50"/>
      <c r="F1414" s="50"/>
      <c r="G1414" s="50"/>
      <c r="H1414" s="50"/>
      <c r="I1414" s="50">
        <f t="shared" si="12"/>
        <v>0</v>
      </c>
      <c r="J1414" s="50"/>
      <c r="K1414" s="50"/>
      <c r="L1414" s="36">
        <v>2022</v>
      </c>
      <c r="M1414" s="20" t="s">
        <v>255</v>
      </c>
      <c r="N1414" s="22" t="s">
        <v>431</v>
      </c>
    </row>
    <row r="1415" spans="1:14" ht="24" customHeight="1" x14ac:dyDescent="0.35">
      <c r="A1415" s="56" t="s">
        <v>614</v>
      </c>
      <c r="B1415" s="50" t="s">
        <v>255</v>
      </c>
      <c r="C1415" s="56" t="s">
        <v>996</v>
      </c>
      <c r="D1415" s="56" t="s">
        <v>1005</v>
      </c>
      <c r="E1415" s="50"/>
      <c r="F1415" s="50"/>
      <c r="G1415" s="50"/>
      <c r="H1415" s="50"/>
      <c r="I1415" s="50">
        <f t="shared" si="12"/>
        <v>0</v>
      </c>
      <c r="J1415" s="50"/>
      <c r="K1415" s="50"/>
      <c r="L1415" s="36">
        <v>2022</v>
      </c>
      <c r="M1415" s="20" t="s">
        <v>255</v>
      </c>
      <c r="N1415" s="22" t="s">
        <v>431</v>
      </c>
    </row>
    <row r="1416" spans="1:14" ht="24" customHeight="1" x14ac:dyDescent="0.35">
      <c r="A1416" s="56" t="s">
        <v>614</v>
      </c>
      <c r="B1416" s="50" t="s">
        <v>255</v>
      </c>
      <c r="C1416" s="56" t="s">
        <v>996</v>
      </c>
      <c r="D1416" s="56" t="s">
        <v>1006</v>
      </c>
      <c r="E1416" s="50"/>
      <c r="F1416" s="50"/>
      <c r="G1416" s="50"/>
      <c r="H1416" s="50"/>
      <c r="I1416" s="50">
        <f t="shared" si="12"/>
        <v>0</v>
      </c>
      <c r="J1416" s="50"/>
      <c r="K1416" s="50"/>
      <c r="L1416" s="36">
        <v>2022</v>
      </c>
      <c r="M1416" s="20" t="s">
        <v>255</v>
      </c>
      <c r="N1416" s="22" t="s">
        <v>431</v>
      </c>
    </row>
    <row r="1417" spans="1:14" ht="24" customHeight="1" x14ac:dyDescent="0.35">
      <c r="A1417" s="56" t="s">
        <v>614</v>
      </c>
      <c r="B1417" s="50" t="s">
        <v>255</v>
      </c>
      <c r="C1417" s="56" t="s">
        <v>993</v>
      </c>
      <c r="D1417" s="56" t="s">
        <v>1004</v>
      </c>
      <c r="E1417" s="50"/>
      <c r="F1417" s="50"/>
      <c r="G1417" s="50"/>
      <c r="H1417" s="50"/>
      <c r="I1417" s="50">
        <f t="shared" si="12"/>
        <v>0</v>
      </c>
      <c r="J1417" s="50"/>
      <c r="K1417" s="50"/>
      <c r="L1417" s="36">
        <v>2022</v>
      </c>
      <c r="M1417" s="20" t="s">
        <v>255</v>
      </c>
      <c r="N1417" s="22" t="s">
        <v>431</v>
      </c>
    </row>
    <row r="1418" spans="1:14" ht="24" customHeight="1" x14ac:dyDescent="0.35">
      <c r="A1418" s="56" t="s">
        <v>614</v>
      </c>
      <c r="B1418" s="50" t="s">
        <v>255</v>
      </c>
      <c r="C1418" s="56" t="s">
        <v>993</v>
      </c>
      <c r="D1418" s="56" t="s">
        <v>1005</v>
      </c>
      <c r="E1418" s="50"/>
      <c r="F1418" s="50"/>
      <c r="G1418" s="50"/>
      <c r="H1418" s="50"/>
      <c r="I1418" s="50">
        <f t="shared" si="12"/>
        <v>0</v>
      </c>
      <c r="J1418" s="50"/>
      <c r="K1418" s="50"/>
      <c r="L1418" s="36">
        <v>2022</v>
      </c>
      <c r="M1418" s="20" t="s">
        <v>255</v>
      </c>
      <c r="N1418" s="22" t="s">
        <v>431</v>
      </c>
    </row>
    <row r="1419" spans="1:14" ht="24" customHeight="1" x14ac:dyDescent="0.35">
      <c r="A1419" s="56" t="s">
        <v>614</v>
      </c>
      <c r="B1419" s="50" t="s">
        <v>255</v>
      </c>
      <c r="C1419" s="56" t="s">
        <v>993</v>
      </c>
      <c r="D1419" s="56" t="s">
        <v>1006</v>
      </c>
      <c r="E1419" s="50"/>
      <c r="F1419" s="50"/>
      <c r="G1419" s="50"/>
      <c r="H1419" s="50"/>
      <c r="I1419" s="50">
        <f t="shared" si="12"/>
        <v>0</v>
      </c>
      <c r="J1419" s="50"/>
      <c r="K1419" s="50"/>
      <c r="L1419" s="36">
        <v>2022</v>
      </c>
      <c r="M1419" s="20" t="s">
        <v>255</v>
      </c>
      <c r="N1419" s="22" t="s">
        <v>431</v>
      </c>
    </row>
    <row r="1420" spans="1:14" ht="24" customHeight="1" x14ac:dyDescent="0.35">
      <c r="A1420" s="20" t="s">
        <v>615</v>
      </c>
      <c r="B1420" s="50" t="s">
        <v>46</v>
      </c>
      <c r="C1420" s="50" t="s">
        <v>996</v>
      </c>
      <c r="D1420" s="20" t="s">
        <v>1004</v>
      </c>
      <c r="E1420" s="20">
        <v>2</v>
      </c>
      <c r="F1420" s="20">
        <v>0</v>
      </c>
      <c r="G1420" s="20">
        <v>0</v>
      </c>
      <c r="H1420" s="20">
        <v>0</v>
      </c>
      <c r="I1420" s="50">
        <f t="shared" si="12"/>
        <v>2</v>
      </c>
      <c r="J1420" s="50"/>
      <c r="K1420" s="50"/>
      <c r="L1420" s="36">
        <v>2022</v>
      </c>
      <c r="M1420" s="20" t="s">
        <v>46</v>
      </c>
      <c r="N1420" s="22" t="s">
        <v>424</v>
      </c>
    </row>
    <row r="1421" spans="1:14" ht="24" customHeight="1" x14ac:dyDescent="0.35">
      <c r="A1421" s="20" t="s">
        <v>615</v>
      </c>
      <c r="B1421" s="50" t="s">
        <v>46</v>
      </c>
      <c r="C1421" s="50" t="s">
        <v>996</v>
      </c>
      <c r="D1421" s="20" t="s">
        <v>1005</v>
      </c>
      <c r="E1421" s="20">
        <v>3</v>
      </c>
      <c r="F1421" s="20">
        <v>0</v>
      </c>
      <c r="G1421" s="20">
        <v>0</v>
      </c>
      <c r="H1421" s="20">
        <v>5</v>
      </c>
      <c r="I1421" s="50">
        <f t="shared" si="12"/>
        <v>8</v>
      </c>
      <c r="J1421" s="50"/>
      <c r="K1421" s="50"/>
      <c r="L1421" s="36">
        <v>2022</v>
      </c>
      <c r="M1421" s="20" t="s">
        <v>46</v>
      </c>
      <c r="N1421" s="22" t="s">
        <v>424</v>
      </c>
    </row>
    <row r="1422" spans="1:14" ht="24" customHeight="1" x14ac:dyDescent="0.35">
      <c r="A1422" s="20" t="s">
        <v>615</v>
      </c>
      <c r="B1422" s="50" t="s">
        <v>46</v>
      </c>
      <c r="C1422" s="50" t="s">
        <v>996</v>
      </c>
      <c r="D1422" s="20" t="s">
        <v>1006</v>
      </c>
      <c r="E1422" s="20">
        <v>64403</v>
      </c>
      <c r="F1422" s="20">
        <v>0</v>
      </c>
      <c r="G1422" s="20">
        <v>0</v>
      </c>
      <c r="H1422" s="20">
        <v>11971</v>
      </c>
      <c r="I1422" s="50">
        <f t="shared" si="12"/>
        <v>76374</v>
      </c>
      <c r="J1422" s="50"/>
      <c r="K1422" s="50"/>
      <c r="L1422" s="36">
        <v>2022</v>
      </c>
      <c r="M1422" s="20" t="s">
        <v>46</v>
      </c>
      <c r="N1422" s="22" t="s">
        <v>424</v>
      </c>
    </row>
    <row r="1423" spans="1:14" ht="24" customHeight="1" x14ac:dyDescent="0.35">
      <c r="A1423" s="20" t="s">
        <v>615</v>
      </c>
      <c r="B1423" s="50" t="s">
        <v>46</v>
      </c>
      <c r="C1423" s="50" t="s">
        <v>993</v>
      </c>
      <c r="D1423" s="20" t="s">
        <v>1004</v>
      </c>
      <c r="E1423" s="20">
        <v>0</v>
      </c>
      <c r="F1423" s="20">
        <v>0</v>
      </c>
      <c r="G1423" s="20">
        <v>0</v>
      </c>
      <c r="H1423" s="20">
        <v>0</v>
      </c>
      <c r="I1423" s="50">
        <f t="shared" si="12"/>
        <v>0</v>
      </c>
      <c r="J1423" s="50"/>
      <c r="K1423" s="50"/>
      <c r="L1423" s="36">
        <v>2022</v>
      </c>
      <c r="M1423" s="20" t="s">
        <v>46</v>
      </c>
      <c r="N1423" s="22" t="s">
        <v>424</v>
      </c>
    </row>
    <row r="1424" spans="1:14" ht="24" customHeight="1" x14ac:dyDescent="0.35">
      <c r="A1424" s="20" t="s">
        <v>615</v>
      </c>
      <c r="B1424" s="50" t="s">
        <v>46</v>
      </c>
      <c r="C1424" s="50" t="s">
        <v>993</v>
      </c>
      <c r="D1424" s="20" t="s">
        <v>1005</v>
      </c>
      <c r="E1424" s="20">
        <v>0</v>
      </c>
      <c r="F1424" s="20">
        <v>0</v>
      </c>
      <c r="G1424" s="20">
        <v>0</v>
      </c>
      <c r="H1424" s="20">
        <v>0</v>
      </c>
      <c r="I1424" s="50">
        <f t="shared" si="12"/>
        <v>0</v>
      </c>
      <c r="J1424" s="50"/>
      <c r="K1424" s="50"/>
      <c r="L1424" s="36">
        <v>2022</v>
      </c>
      <c r="M1424" s="20" t="s">
        <v>46</v>
      </c>
      <c r="N1424" s="22" t="s">
        <v>424</v>
      </c>
    </row>
    <row r="1425" spans="1:14" ht="24" customHeight="1" x14ac:dyDescent="0.35">
      <c r="A1425" s="20" t="s">
        <v>615</v>
      </c>
      <c r="B1425" s="50" t="s">
        <v>46</v>
      </c>
      <c r="C1425" s="50" t="s">
        <v>993</v>
      </c>
      <c r="D1425" s="20" t="s">
        <v>1006</v>
      </c>
      <c r="E1425" s="20">
        <v>0</v>
      </c>
      <c r="F1425" s="20">
        <v>0</v>
      </c>
      <c r="G1425" s="20">
        <v>0</v>
      </c>
      <c r="H1425" s="20">
        <v>0</v>
      </c>
      <c r="I1425" s="50">
        <f t="shared" si="12"/>
        <v>0</v>
      </c>
      <c r="J1425" s="50"/>
      <c r="K1425" s="50"/>
      <c r="L1425" s="36">
        <v>2022</v>
      </c>
      <c r="M1425" s="20" t="s">
        <v>46</v>
      </c>
      <c r="N1425" s="22" t="s">
        <v>424</v>
      </c>
    </row>
    <row r="1426" spans="1:14" x14ac:dyDescent="0.35">
      <c r="I1426" s="111"/>
    </row>
  </sheetData>
  <conditionalFormatting sqref="W374">
    <cfRule type="duplicateValues" dxfId="65" priority="1"/>
  </conditionalFormatting>
  <conditionalFormatting sqref="W375:W376">
    <cfRule type="duplicateValues" dxfId="64" priority="2"/>
  </conditionalFormatting>
  <conditionalFormatting sqref="X98:X99">
    <cfRule type="duplicateValues" dxfId="63" priority="6"/>
  </conditionalFormatting>
  <conditionalFormatting sqref="X374">
    <cfRule type="duplicateValues" dxfId="62" priority="3"/>
  </conditionalFormatting>
  <conditionalFormatting sqref="X375:X376">
    <cfRule type="duplicateValues" dxfId="61" priority="4"/>
  </conditionalFormatting>
  <conditionalFormatting sqref="Y98:Y100">
    <cfRule type="containsText" dxfId="60" priority="5" operator="containsText" text="OK">
      <formula>NOT(ISERROR(SEARCH("OK",Y98)))</formula>
    </cfRule>
    <cfRule type="containsText" dxfId="59" priority="7" operator="containsText" text="NR">
      <formula>NOT(ISERROR(SEARCH("NR",Y98)))</formula>
    </cfRule>
  </conditionalFormatting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531:H533 E534:F534 E572:H573 E569 J569 J572:K573" xr:uid="{00000000-0002-0000-0700-000000000000}">
      <formula1>0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3:M46"/>
  <sheetViews>
    <sheetView topLeftCell="A4" workbookViewId="0">
      <selection activeCell="C9" sqref="C9"/>
    </sheetView>
  </sheetViews>
  <sheetFormatPr baseColWidth="10" defaultRowHeight="14.5" x14ac:dyDescent="0.35"/>
  <cols>
    <col min="1" max="1" width="19.90625" customWidth="1"/>
    <col min="2" max="2" width="28.36328125" style="13" customWidth="1"/>
    <col min="3" max="3" width="29.453125" style="13" customWidth="1"/>
    <col min="4" max="4" width="28.36328125" customWidth="1"/>
    <col min="5" max="5" width="29.453125" customWidth="1"/>
    <col min="6" max="6" width="28.36328125" customWidth="1"/>
    <col min="7" max="7" width="29.453125" customWidth="1"/>
    <col min="8" max="8" width="28.36328125" customWidth="1"/>
    <col min="9" max="9" width="29.453125" customWidth="1"/>
    <col min="10" max="10" width="28.36328125" customWidth="1"/>
    <col min="11" max="11" width="29.453125" customWidth="1"/>
    <col min="12" max="12" width="33.08984375" customWidth="1"/>
    <col min="13" max="13" width="34.1796875" customWidth="1"/>
  </cols>
  <sheetData>
    <row r="3" spans="1:13" x14ac:dyDescent="0.35">
      <c r="B3" s="5" t="s">
        <v>1589</v>
      </c>
      <c r="C3"/>
    </row>
    <row r="4" spans="1:13" x14ac:dyDescent="0.35">
      <c r="B4">
        <v>2018</v>
      </c>
      <c r="C4"/>
      <c r="D4">
        <v>2019</v>
      </c>
      <c r="F4">
        <v>2020</v>
      </c>
      <c r="H4">
        <v>2021</v>
      </c>
      <c r="J4">
        <v>2022</v>
      </c>
      <c r="L4" t="s">
        <v>1600</v>
      </c>
      <c r="M4" t="s">
        <v>1602</v>
      </c>
    </row>
    <row r="5" spans="1:13" x14ac:dyDescent="0.35">
      <c r="A5" s="5" t="s">
        <v>653</v>
      </c>
      <c r="B5" t="s">
        <v>1601</v>
      </c>
      <c r="C5" t="s">
        <v>1603</v>
      </c>
      <c r="D5" t="s">
        <v>1601</v>
      </c>
      <c r="E5" t="s">
        <v>1603</v>
      </c>
      <c r="F5" t="s">
        <v>1601</v>
      </c>
      <c r="G5" t="s">
        <v>1603</v>
      </c>
      <c r="H5" t="s">
        <v>1601</v>
      </c>
      <c r="I5" t="s">
        <v>1603</v>
      </c>
      <c r="J5" t="s">
        <v>1601</v>
      </c>
      <c r="K5" t="s">
        <v>1603</v>
      </c>
    </row>
    <row r="6" spans="1:13" x14ac:dyDescent="0.35">
      <c r="A6" s="6" t="s">
        <v>703</v>
      </c>
      <c r="B6" s="7">
        <v>16877</v>
      </c>
      <c r="C6" s="7">
        <v>182461271</v>
      </c>
      <c r="D6" s="7">
        <v>51178</v>
      </c>
      <c r="E6" s="7">
        <v>219159910</v>
      </c>
      <c r="F6" s="7">
        <v>4917</v>
      </c>
      <c r="G6" s="7">
        <v>166008591</v>
      </c>
      <c r="H6" s="7">
        <v>4993</v>
      </c>
      <c r="I6" s="7">
        <v>292017387</v>
      </c>
      <c r="J6" s="7">
        <v>6289</v>
      </c>
      <c r="K6" s="7">
        <v>533842674</v>
      </c>
      <c r="L6" s="7">
        <v>84254</v>
      </c>
      <c r="M6" s="7">
        <v>1393489833</v>
      </c>
    </row>
    <row r="7" spans="1:13" x14ac:dyDescent="0.35">
      <c r="A7" s="6" t="s">
        <v>704</v>
      </c>
      <c r="B7" s="7"/>
      <c r="C7" s="7">
        <v>234090</v>
      </c>
      <c r="D7" s="7"/>
      <c r="E7" s="7">
        <v>160845</v>
      </c>
      <c r="F7" s="7">
        <v>0</v>
      </c>
      <c r="G7" s="7">
        <v>413220</v>
      </c>
      <c r="H7" s="7">
        <v>0</v>
      </c>
      <c r="I7" s="7">
        <v>582754</v>
      </c>
      <c r="J7" s="7">
        <v>0</v>
      </c>
      <c r="K7" s="7">
        <v>527302.41110219504</v>
      </c>
      <c r="L7" s="7">
        <v>0</v>
      </c>
      <c r="M7" s="7">
        <v>1918211.411102195</v>
      </c>
    </row>
    <row r="8" spans="1:13" x14ac:dyDescent="0.35">
      <c r="A8" s="6" t="s">
        <v>104</v>
      </c>
      <c r="B8" s="7">
        <v>218074</v>
      </c>
      <c r="C8" s="7">
        <v>8581327</v>
      </c>
      <c r="D8" s="7">
        <v>246385</v>
      </c>
      <c r="E8" s="7">
        <v>7884782</v>
      </c>
      <c r="F8" s="7">
        <v>335149</v>
      </c>
      <c r="G8" s="7">
        <v>9173144</v>
      </c>
      <c r="H8" s="7">
        <v>299051</v>
      </c>
      <c r="I8" s="7">
        <v>8082682.3229999999</v>
      </c>
      <c r="J8" s="7">
        <v>356789</v>
      </c>
      <c r="K8" s="7">
        <v>4403802.0020000003</v>
      </c>
      <c r="L8" s="7">
        <v>1455448</v>
      </c>
      <c r="M8" s="7">
        <v>38125737.325000003</v>
      </c>
    </row>
    <row r="9" spans="1:13" x14ac:dyDescent="0.35">
      <c r="A9" s="6" t="s">
        <v>64</v>
      </c>
      <c r="B9" s="7">
        <v>38634558</v>
      </c>
      <c r="C9" s="7"/>
      <c r="D9" s="7">
        <v>29173441</v>
      </c>
      <c r="E9" s="7">
        <v>0</v>
      </c>
      <c r="F9" s="7">
        <v>27927248.559999999</v>
      </c>
      <c r="G9" s="7">
        <v>0</v>
      </c>
      <c r="H9" s="7">
        <v>40842850.237580001</v>
      </c>
      <c r="I9" s="7">
        <v>330146.87099999998</v>
      </c>
      <c r="J9" s="7">
        <v>45359453.526999995</v>
      </c>
      <c r="K9" s="7">
        <v>1308290.023</v>
      </c>
      <c r="L9" s="7">
        <v>181937551.32458001</v>
      </c>
      <c r="M9" s="7">
        <v>1638436.8940000001</v>
      </c>
    </row>
    <row r="10" spans="1:13" x14ac:dyDescent="0.35">
      <c r="A10" s="6" t="s">
        <v>48</v>
      </c>
      <c r="B10" s="7">
        <v>4181540.3572281958</v>
      </c>
      <c r="C10" s="7"/>
      <c r="D10" s="7">
        <v>3722308</v>
      </c>
      <c r="E10" s="7"/>
      <c r="F10" s="7">
        <v>4086994</v>
      </c>
      <c r="G10" s="7">
        <v>0</v>
      </c>
      <c r="H10" s="7">
        <v>5004611.6089999992</v>
      </c>
      <c r="I10" s="7">
        <v>0</v>
      </c>
      <c r="J10" s="7">
        <v>7137237.1889999993</v>
      </c>
      <c r="K10" s="7">
        <v>0</v>
      </c>
      <c r="L10" s="7">
        <v>24132691.155228194</v>
      </c>
      <c r="M10" s="7">
        <v>0</v>
      </c>
    </row>
    <row r="11" spans="1:13" x14ac:dyDescent="0.35">
      <c r="A11" s="6" t="s">
        <v>698</v>
      </c>
      <c r="B11" s="7">
        <v>193117019</v>
      </c>
      <c r="C11" s="7">
        <v>77879618</v>
      </c>
      <c r="D11" s="7">
        <v>211870810.18453157</v>
      </c>
      <c r="E11" s="7">
        <v>70726714</v>
      </c>
      <c r="F11" s="7">
        <v>237656692</v>
      </c>
      <c r="G11" s="7">
        <v>69343368</v>
      </c>
      <c r="H11" s="7">
        <v>271510133</v>
      </c>
      <c r="I11" s="7">
        <v>71599991</v>
      </c>
      <c r="J11" s="7">
        <v>304090920</v>
      </c>
      <c r="K11" s="7">
        <v>68535820</v>
      </c>
      <c r="L11" s="7">
        <v>1218245574.1845317</v>
      </c>
      <c r="M11" s="7">
        <v>358085511</v>
      </c>
    </row>
    <row r="12" spans="1:13" x14ac:dyDescent="0.35">
      <c r="A12" s="6" t="s">
        <v>1586</v>
      </c>
      <c r="B12" s="7"/>
      <c r="C12" s="7"/>
      <c r="D12" s="7"/>
      <c r="E12" s="7"/>
      <c r="F12" s="7"/>
      <c r="G12" s="7"/>
      <c r="H12" s="7">
        <v>0</v>
      </c>
      <c r="I12" s="7">
        <v>8910597</v>
      </c>
      <c r="J12" s="7">
        <v>0</v>
      </c>
      <c r="K12" s="7">
        <v>504795</v>
      </c>
      <c r="L12" s="7">
        <v>0</v>
      </c>
      <c r="M12" s="7">
        <v>9415392</v>
      </c>
    </row>
    <row r="13" spans="1:13" x14ac:dyDescent="0.35">
      <c r="A13" s="6" t="s">
        <v>702</v>
      </c>
      <c r="B13" s="7">
        <v>117770301</v>
      </c>
      <c r="C13" s="7">
        <v>20184454</v>
      </c>
      <c r="D13" s="7">
        <v>16037099</v>
      </c>
      <c r="E13" s="7">
        <v>22031441</v>
      </c>
      <c r="F13" s="7">
        <v>20288247</v>
      </c>
      <c r="G13" s="7">
        <v>12074836</v>
      </c>
      <c r="H13" s="7">
        <v>18232908</v>
      </c>
      <c r="I13" s="7">
        <v>30336436</v>
      </c>
      <c r="J13" s="7">
        <v>27574026</v>
      </c>
      <c r="K13" s="7">
        <v>3328965</v>
      </c>
      <c r="L13" s="7">
        <v>199902581</v>
      </c>
      <c r="M13" s="7">
        <v>87956132</v>
      </c>
    </row>
    <row r="14" spans="1:13" x14ac:dyDescent="0.35">
      <c r="A14" s="6" t="s">
        <v>1595</v>
      </c>
      <c r="B14" s="7"/>
      <c r="C14" s="7"/>
      <c r="D14" s="7"/>
      <c r="E14" s="7"/>
      <c r="F14" s="7"/>
      <c r="G14" s="7"/>
      <c r="H14" s="7">
        <v>574274.10800000001</v>
      </c>
      <c r="I14" s="7">
        <v>0</v>
      </c>
      <c r="J14" s="7">
        <v>576403.81799999997</v>
      </c>
      <c r="K14" s="7"/>
      <c r="L14" s="7">
        <v>1150677.926</v>
      </c>
      <c r="M14" s="7">
        <v>0</v>
      </c>
    </row>
    <row r="15" spans="1:13" x14ac:dyDescent="0.35">
      <c r="A15" s="6" t="s">
        <v>705</v>
      </c>
      <c r="B15" s="7">
        <v>5786</v>
      </c>
      <c r="C15" s="7">
        <v>500776</v>
      </c>
      <c r="D15" s="7">
        <v>4375</v>
      </c>
      <c r="E15" s="7">
        <v>712151</v>
      </c>
      <c r="F15" s="7">
        <v>0</v>
      </c>
      <c r="G15" s="7">
        <v>1077362</v>
      </c>
      <c r="H15" s="7">
        <v>0</v>
      </c>
      <c r="I15" s="7">
        <v>134354.48000000001</v>
      </c>
      <c r="J15" s="7">
        <v>0</v>
      </c>
      <c r="K15" s="7">
        <v>1335507</v>
      </c>
      <c r="L15" s="7">
        <v>10161</v>
      </c>
      <c r="M15" s="7">
        <v>3760150.48</v>
      </c>
    </row>
    <row r="16" spans="1:13" x14ac:dyDescent="0.35">
      <c r="A16" s="6" t="s">
        <v>699</v>
      </c>
      <c r="B16" s="7"/>
      <c r="C16" s="7">
        <v>47574723</v>
      </c>
      <c r="D16" s="7"/>
      <c r="E16" s="7">
        <v>50005135</v>
      </c>
      <c r="F16" s="7"/>
      <c r="G16" s="7">
        <v>58080882</v>
      </c>
      <c r="H16" s="7">
        <v>0</v>
      </c>
      <c r="I16" s="7">
        <v>78636154.920000002</v>
      </c>
      <c r="J16" s="7">
        <v>0</v>
      </c>
      <c r="K16" s="7">
        <v>109536232</v>
      </c>
      <c r="L16" s="7">
        <v>0</v>
      </c>
      <c r="M16" s="7">
        <v>343833126.92000002</v>
      </c>
    </row>
    <row r="17" spans="1:13" x14ac:dyDescent="0.35">
      <c r="A17" s="6" t="s">
        <v>688</v>
      </c>
      <c r="B17" s="7"/>
      <c r="C17" s="7"/>
      <c r="D17" s="7"/>
      <c r="E17" s="7"/>
      <c r="F17" s="7"/>
      <c r="G17" s="7"/>
      <c r="H17" s="7">
        <v>526000</v>
      </c>
      <c r="I17" s="7">
        <v>0</v>
      </c>
      <c r="J17" s="7"/>
      <c r="K17" s="7"/>
      <c r="L17" s="7">
        <v>526000</v>
      </c>
      <c r="M17" s="7">
        <v>0</v>
      </c>
    </row>
    <row r="18" spans="1:13" x14ac:dyDescent="0.35">
      <c r="A18" s="6" t="s">
        <v>701</v>
      </c>
      <c r="B18" s="7"/>
      <c r="C18" s="7">
        <v>2064692</v>
      </c>
      <c r="D18" s="7"/>
      <c r="E18" s="7">
        <v>2591469</v>
      </c>
      <c r="F18" s="7"/>
      <c r="G18" s="7">
        <v>2379423</v>
      </c>
      <c r="H18" s="7">
        <v>0</v>
      </c>
      <c r="I18" s="7">
        <v>3595901</v>
      </c>
      <c r="J18" s="7">
        <v>0</v>
      </c>
      <c r="K18" s="7">
        <v>5532815</v>
      </c>
      <c r="L18" s="7">
        <v>0</v>
      </c>
      <c r="M18" s="7">
        <v>16164300</v>
      </c>
    </row>
    <row r="19" spans="1:13" x14ac:dyDescent="0.35">
      <c r="A19" s="6" t="s">
        <v>59</v>
      </c>
      <c r="B19" s="7"/>
      <c r="C19" s="7">
        <v>1300152</v>
      </c>
      <c r="D19" s="7"/>
      <c r="E19" s="7">
        <v>503285</v>
      </c>
      <c r="F19" s="7">
        <v>417480</v>
      </c>
      <c r="G19" s="7">
        <v>0</v>
      </c>
      <c r="H19" s="7">
        <v>0</v>
      </c>
      <c r="I19" s="7">
        <v>518248</v>
      </c>
      <c r="J19" s="7">
        <v>0</v>
      </c>
      <c r="K19" s="7">
        <v>1263388</v>
      </c>
      <c r="L19" s="7">
        <v>417480</v>
      </c>
      <c r="M19" s="7">
        <v>3585073</v>
      </c>
    </row>
    <row r="20" spans="1:13" x14ac:dyDescent="0.35">
      <c r="A20" s="6" t="s">
        <v>1594</v>
      </c>
      <c r="B20" s="7"/>
      <c r="C20" s="7"/>
      <c r="D20" s="7"/>
      <c r="E20" s="7"/>
      <c r="F20" s="7">
        <v>89376</v>
      </c>
      <c r="G20" s="7"/>
      <c r="H20" s="7">
        <v>204879</v>
      </c>
      <c r="I20" s="7">
        <v>0</v>
      </c>
      <c r="J20" s="7">
        <v>0</v>
      </c>
      <c r="K20" s="7">
        <v>2225609</v>
      </c>
      <c r="L20" s="7">
        <v>294255</v>
      </c>
      <c r="M20" s="7">
        <v>2225609</v>
      </c>
    </row>
    <row r="21" spans="1:13" x14ac:dyDescent="0.35">
      <c r="A21" s="6" t="s">
        <v>18</v>
      </c>
      <c r="B21" s="7">
        <v>711877</v>
      </c>
      <c r="C21" s="7">
        <v>274430079</v>
      </c>
      <c r="D21" s="7">
        <v>16645002</v>
      </c>
      <c r="E21" s="7">
        <v>311828103</v>
      </c>
      <c r="F21" s="7">
        <v>8945556.0595999993</v>
      </c>
      <c r="G21" s="7">
        <v>377362813</v>
      </c>
      <c r="H21" s="7">
        <v>11219730</v>
      </c>
      <c r="I21" s="7">
        <v>505067362</v>
      </c>
      <c r="J21" s="7">
        <v>11102714</v>
      </c>
      <c r="K21" s="7">
        <v>531421283</v>
      </c>
      <c r="L21" s="7">
        <v>48624879.059599996</v>
      </c>
      <c r="M21" s="7">
        <v>2000109640</v>
      </c>
    </row>
    <row r="22" spans="1:13" x14ac:dyDescent="0.35">
      <c r="A22" s="6" t="s">
        <v>697</v>
      </c>
      <c r="B22" s="7">
        <v>3591894</v>
      </c>
      <c r="C22" s="7">
        <v>17867607</v>
      </c>
      <c r="D22" s="7">
        <v>7350076</v>
      </c>
      <c r="E22" s="7">
        <v>20174158</v>
      </c>
      <c r="F22" s="7">
        <v>4291068</v>
      </c>
      <c r="G22" s="7">
        <v>12027735</v>
      </c>
      <c r="H22" s="7">
        <v>6140749</v>
      </c>
      <c r="I22" s="7">
        <v>23565974.925000001</v>
      </c>
      <c r="J22" s="7">
        <v>15687919.939999999</v>
      </c>
      <c r="K22" s="7">
        <v>47999623.071000002</v>
      </c>
      <c r="L22" s="7">
        <v>37061706.939999998</v>
      </c>
      <c r="M22" s="7">
        <v>121635097.99599999</v>
      </c>
    </row>
    <row r="23" spans="1:13" x14ac:dyDescent="0.35">
      <c r="A23" s="6" t="s">
        <v>700</v>
      </c>
      <c r="B23" s="7"/>
      <c r="C23" s="7">
        <v>1934974</v>
      </c>
      <c r="D23" s="7"/>
      <c r="E23" s="7">
        <v>2414292</v>
      </c>
      <c r="F23" s="7"/>
      <c r="G23" s="7">
        <v>2786713</v>
      </c>
      <c r="H23" s="7">
        <v>0</v>
      </c>
      <c r="I23" s="7">
        <v>3629678</v>
      </c>
      <c r="J23" s="7">
        <v>0</v>
      </c>
      <c r="K23" s="7">
        <v>5290813</v>
      </c>
      <c r="L23" s="7">
        <v>0</v>
      </c>
      <c r="M23" s="7">
        <v>16056470</v>
      </c>
    </row>
    <row r="24" spans="1:13" x14ac:dyDescent="0.35">
      <c r="A24" s="6" t="s">
        <v>114</v>
      </c>
      <c r="B24" s="7">
        <v>41892</v>
      </c>
      <c r="C24" s="7"/>
      <c r="D24" s="7">
        <v>858182</v>
      </c>
      <c r="E24" s="7"/>
      <c r="F24" s="7">
        <v>1621017.7250000001</v>
      </c>
      <c r="G24" s="7">
        <v>136269</v>
      </c>
      <c r="H24" s="7">
        <v>2635649.531</v>
      </c>
      <c r="I24" s="7">
        <v>0</v>
      </c>
      <c r="J24" s="7">
        <v>5855090.0259999996</v>
      </c>
      <c r="K24" s="7">
        <v>0</v>
      </c>
      <c r="L24" s="7">
        <v>11011831.282</v>
      </c>
      <c r="M24" s="7">
        <v>136269</v>
      </c>
    </row>
    <row r="25" spans="1:13" x14ac:dyDescent="0.35">
      <c r="A25" s="6" t="s">
        <v>70</v>
      </c>
      <c r="B25" s="7"/>
      <c r="C25" s="7">
        <v>61939138</v>
      </c>
      <c r="D25" s="7"/>
      <c r="E25" s="7">
        <v>59673665</v>
      </c>
      <c r="F25" s="7"/>
      <c r="G25" s="7">
        <v>51932320</v>
      </c>
      <c r="H25" s="7">
        <v>0</v>
      </c>
      <c r="I25" s="7">
        <v>61742607.299999997</v>
      </c>
      <c r="J25" s="7">
        <v>0</v>
      </c>
      <c r="K25" s="7">
        <v>88151983</v>
      </c>
      <c r="L25" s="7">
        <v>0</v>
      </c>
      <c r="M25" s="7">
        <v>323439713.30000001</v>
      </c>
    </row>
    <row r="26" spans="1:13" x14ac:dyDescent="0.35">
      <c r="A26" s="6" t="s">
        <v>654</v>
      </c>
      <c r="B26" s="7">
        <v>358289818.35722816</v>
      </c>
      <c r="C26" s="7">
        <v>696952901</v>
      </c>
      <c r="D26" s="7">
        <v>285958856.18453157</v>
      </c>
      <c r="E26" s="7">
        <v>767865950</v>
      </c>
      <c r="F26" s="7">
        <v>305663745.34460002</v>
      </c>
      <c r="G26" s="7">
        <v>762796676</v>
      </c>
      <c r="H26" s="7">
        <v>357195828.48558003</v>
      </c>
      <c r="I26" s="7">
        <v>1088750274.819</v>
      </c>
      <c r="J26" s="7">
        <v>417746842.5</v>
      </c>
      <c r="K26" s="7">
        <v>1405208901.5071023</v>
      </c>
      <c r="L26" s="7">
        <v>1724855090.8719401</v>
      </c>
      <c r="M26" s="7">
        <v>4721574703.3261023</v>
      </c>
    </row>
    <row r="29" spans="1:13" x14ac:dyDescent="0.35">
      <c r="B29" s="5" t="s">
        <v>1589</v>
      </c>
      <c r="C29"/>
    </row>
    <row r="30" spans="1:13" x14ac:dyDescent="0.35">
      <c r="B30" t="s">
        <v>1596</v>
      </c>
      <c r="C30"/>
      <c r="G30" t="s">
        <v>1590</v>
      </c>
      <c r="L30" t="s">
        <v>1597</v>
      </c>
      <c r="M30" t="s">
        <v>1598</v>
      </c>
    </row>
    <row r="31" spans="1:13" x14ac:dyDescent="0.35">
      <c r="A31" s="5" t="s">
        <v>653</v>
      </c>
      <c r="B31" s="177">
        <v>2018</v>
      </c>
      <c r="C31" s="177">
        <v>2019</v>
      </c>
      <c r="D31" s="177">
        <v>2020</v>
      </c>
      <c r="E31" s="177">
        <v>2021</v>
      </c>
      <c r="F31" s="177">
        <v>2022</v>
      </c>
      <c r="G31" s="177">
        <v>2018</v>
      </c>
      <c r="H31" s="177">
        <v>2019</v>
      </c>
      <c r="I31" s="177">
        <v>2020</v>
      </c>
      <c r="J31" s="177">
        <v>2021</v>
      </c>
      <c r="K31" s="177">
        <v>2022</v>
      </c>
    </row>
    <row r="32" spans="1:13" x14ac:dyDescent="0.35">
      <c r="A32" s="6" t="s">
        <v>687</v>
      </c>
      <c r="B32" s="7">
        <v>395100</v>
      </c>
      <c r="C32" s="7">
        <v>433483</v>
      </c>
      <c r="D32" s="7">
        <v>418052</v>
      </c>
      <c r="E32" s="7">
        <v>670650</v>
      </c>
      <c r="F32" s="7">
        <v>556799</v>
      </c>
      <c r="G32" s="7">
        <v>1295067</v>
      </c>
      <c r="H32" s="7">
        <v>1421732</v>
      </c>
      <c r="I32" s="7">
        <v>1318977</v>
      </c>
      <c r="J32" s="7">
        <v>1894065.574</v>
      </c>
      <c r="K32" s="7">
        <v>1710855</v>
      </c>
      <c r="L32" s="7">
        <v>2474084</v>
      </c>
      <c r="M32" s="7">
        <v>7640696.574</v>
      </c>
    </row>
    <row r="33" spans="1:13" x14ac:dyDescent="0.35">
      <c r="A33" s="6" t="s">
        <v>48</v>
      </c>
      <c r="B33" s="7">
        <v>5621943</v>
      </c>
      <c r="C33" s="7">
        <v>5099173</v>
      </c>
      <c r="D33" s="7">
        <v>5369278</v>
      </c>
      <c r="E33" s="7">
        <v>5455405</v>
      </c>
      <c r="F33" s="7">
        <v>5193843</v>
      </c>
      <c r="G33" s="7">
        <v>13046194</v>
      </c>
      <c r="H33" s="7">
        <v>11816349</v>
      </c>
      <c r="I33" s="7">
        <v>11998532.460000001</v>
      </c>
      <c r="J33" s="7">
        <v>9994683.4199999999</v>
      </c>
      <c r="K33" s="7">
        <v>10322170</v>
      </c>
      <c r="L33" s="7">
        <v>26739642</v>
      </c>
      <c r="M33" s="7">
        <v>57177928.880000003</v>
      </c>
    </row>
    <row r="34" spans="1:13" x14ac:dyDescent="0.35">
      <c r="A34" s="6" t="s">
        <v>688</v>
      </c>
      <c r="B34" s="7">
        <v>148152</v>
      </c>
      <c r="C34" s="7">
        <v>139552</v>
      </c>
      <c r="D34" s="7">
        <v>260571</v>
      </c>
      <c r="E34" s="7">
        <v>292113</v>
      </c>
      <c r="F34" s="7">
        <v>224778</v>
      </c>
      <c r="G34" s="7">
        <v>411261</v>
      </c>
      <c r="H34" s="7">
        <v>390402</v>
      </c>
      <c r="I34" s="7">
        <v>453059</v>
      </c>
      <c r="J34" s="7">
        <v>918639.61</v>
      </c>
      <c r="K34" s="7">
        <v>727038</v>
      </c>
      <c r="L34" s="7">
        <v>1065166</v>
      </c>
      <c r="M34" s="7">
        <v>2900399.61</v>
      </c>
    </row>
    <row r="35" spans="1:13" x14ac:dyDescent="0.35">
      <c r="A35" s="6" t="s">
        <v>689</v>
      </c>
      <c r="B35" s="7">
        <v>1774882</v>
      </c>
      <c r="C35" s="7">
        <v>1617455</v>
      </c>
      <c r="D35" s="7">
        <v>1845762</v>
      </c>
      <c r="E35" s="7">
        <v>1965915</v>
      </c>
      <c r="F35" s="7">
        <v>1990935</v>
      </c>
      <c r="G35" s="7">
        <v>3895866</v>
      </c>
      <c r="H35" s="7">
        <v>3550313</v>
      </c>
      <c r="I35" s="7">
        <v>4051447.59</v>
      </c>
      <c r="J35" s="7">
        <v>4315183.42</v>
      </c>
      <c r="K35" s="7">
        <v>4370102</v>
      </c>
      <c r="L35" s="7">
        <v>9194949</v>
      </c>
      <c r="M35" s="7">
        <v>20182912.009999998</v>
      </c>
    </row>
    <row r="36" spans="1:13" x14ac:dyDescent="0.35">
      <c r="A36" s="6" t="s">
        <v>6</v>
      </c>
      <c r="B36" s="7">
        <v>1782000</v>
      </c>
      <c r="C36" s="7">
        <v>1701437</v>
      </c>
      <c r="D36" s="7">
        <v>1649000</v>
      </c>
      <c r="E36" s="7">
        <v>1770000</v>
      </c>
      <c r="F36" s="7">
        <v>1771000</v>
      </c>
      <c r="G36" s="7">
        <v>53312912</v>
      </c>
      <c r="H36" s="7">
        <v>52823568</v>
      </c>
      <c r="I36" s="7">
        <v>47554112</v>
      </c>
      <c r="J36" s="7">
        <v>49694156</v>
      </c>
      <c r="K36" s="7">
        <v>56393616</v>
      </c>
      <c r="L36" s="7">
        <v>8673437</v>
      </c>
      <c r="M36" s="7">
        <v>259778364</v>
      </c>
    </row>
    <row r="37" spans="1:13" x14ac:dyDescent="0.35">
      <c r="A37" s="6" t="s">
        <v>654</v>
      </c>
      <c r="B37" s="7">
        <v>9722077</v>
      </c>
      <c r="C37" s="7">
        <v>8991100</v>
      </c>
      <c r="D37" s="7">
        <v>9542663</v>
      </c>
      <c r="E37" s="7">
        <v>10154083</v>
      </c>
      <c r="F37" s="7">
        <v>9737355</v>
      </c>
      <c r="G37" s="7">
        <v>71961300</v>
      </c>
      <c r="H37" s="7">
        <v>70002364</v>
      </c>
      <c r="I37" s="7">
        <v>65376128.049999997</v>
      </c>
      <c r="J37" s="7">
        <v>66816728.023999996</v>
      </c>
      <c r="K37" s="7">
        <v>73523781</v>
      </c>
      <c r="L37" s="7">
        <v>48147278</v>
      </c>
      <c r="M37" s="7">
        <v>347680301.074</v>
      </c>
    </row>
    <row r="38" spans="1:13" x14ac:dyDescent="0.35">
      <c r="B38"/>
      <c r="C38"/>
    </row>
    <row r="39" spans="1:13" x14ac:dyDescent="0.35">
      <c r="B39"/>
      <c r="C39"/>
    </row>
    <row r="40" spans="1:13" x14ac:dyDescent="0.35">
      <c r="B40"/>
      <c r="C40"/>
    </row>
    <row r="41" spans="1:13" x14ac:dyDescent="0.35">
      <c r="B41"/>
      <c r="C41"/>
    </row>
    <row r="42" spans="1:13" x14ac:dyDescent="0.35">
      <c r="B42"/>
      <c r="C42"/>
    </row>
    <row r="43" spans="1:13" x14ac:dyDescent="0.35">
      <c r="B43"/>
      <c r="C43"/>
    </row>
    <row r="44" spans="1:13" x14ac:dyDescent="0.35">
      <c r="B44"/>
      <c r="C44"/>
    </row>
    <row r="45" spans="1:13" x14ac:dyDescent="0.35">
      <c r="B45"/>
      <c r="C45"/>
    </row>
    <row r="46" spans="1:13" x14ac:dyDescent="0.35">
      <c r="B46"/>
      <c r="C4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5"/>
  <sheetViews>
    <sheetView topLeftCell="L1" zoomScale="101" workbookViewId="0">
      <pane ySplit="1" topLeftCell="A17" activePane="bottomLeft" state="frozen"/>
      <selection pane="bottomLeft" sqref="A1:Q204"/>
    </sheetView>
  </sheetViews>
  <sheetFormatPr baseColWidth="10" defaultRowHeight="14.5" x14ac:dyDescent="0.35"/>
  <cols>
    <col min="1" max="1" width="48.08984375" customWidth="1"/>
    <col min="2" max="2" width="27.1796875" style="13" hidden="1" customWidth="1"/>
    <col min="3" max="3" width="27.1796875" style="13" customWidth="1"/>
    <col min="4" max="4" width="25.54296875" style="13" customWidth="1"/>
    <col min="5" max="5" width="27.1796875" style="13" customWidth="1"/>
    <col min="6" max="6" width="26.453125" style="13" customWidth="1"/>
    <col min="7" max="7" width="25.36328125" style="13" customWidth="1"/>
    <col min="8" max="8" width="27.26953125" style="13" customWidth="1"/>
    <col min="9" max="9" width="25.26953125" style="13" customWidth="1"/>
    <col min="10" max="10" width="26.90625" style="13" customWidth="1"/>
    <col min="11" max="11" width="30.90625" style="13" customWidth="1"/>
    <col min="12" max="12" width="29.81640625" style="13" customWidth="1"/>
    <col min="13" max="13" width="27" style="13" customWidth="1"/>
    <col min="14" max="14" width="32.453125" style="13" customWidth="1"/>
    <col min="15" max="15" width="30.08984375" style="13" customWidth="1"/>
    <col min="16" max="16" width="30.453125" style="12" bestFit="1" customWidth="1"/>
  </cols>
  <sheetData>
    <row r="1" spans="1:17" ht="25.75" customHeight="1" x14ac:dyDescent="0.35">
      <c r="A1" s="210" t="s">
        <v>617</v>
      </c>
      <c r="B1" s="165" t="s">
        <v>695</v>
      </c>
      <c r="C1" s="53" t="s">
        <v>711</v>
      </c>
      <c r="D1" s="54" t="s">
        <v>712</v>
      </c>
      <c r="E1" s="53" t="s">
        <v>713</v>
      </c>
      <c r="F1" s="53" t="s">
        <v>715</v>
      </c>
      <c r="G1" s="53" t="s">
        <v>714</v>
      </c>
      <c r="H1" s="53" t="s">
        <v>716</v>
      </c>
      <c r="I1" s="53" t="s">
        <v>717</v>
      </c>
      <c r="J1" s="53" t="s">
        <v>718</v>
      </c>
      <c r="K1" s="53" t="s">
        <v>721</v>
      </c>
      <c r="L1" s="53" t="s">
        <v>719</v>
      </c>
      <c r="M1" s="53" t="s">
        <v>720</v>
      </c>
      <c r="N1" s="55" t="s">
        <v>723</v>
      </c>
      <c r="O1" s="55" t="s">
        <v>724</v>
      </c>
      <c r="P1" s="43" t="s">
        <v>725</v>
      </c>
      <c r="Q1" t="s">
        <v>1621</v>
      </c>
    </row>
    <row r="2" spans="1:17" ht="21.65" hidden="1" customHeight="1" x14ac:dyDescent="0.35">
      <c r="A2" s="211" t="s">
        <v>285</v>
      </c>
      <c r="B2" s="30" t="s">
        <v>42</v>
      </c>
      <c r="C2" s="28" t="s">
        <v>697</v>
      </c>
      <c r="D2" s="28">
        <v>20088.400000000001</v>
      </c>
      <c r="E2" s="28">
        <v>24401</v>
      </c>
      <c r="F2" s="28">
        <v>2057</v>
      </c>
      <c r="G2" s="28">
        <v>2693</v>
      </c>
      <c r="H2" s="28">
        <v>2057</v>
      </c>
      <c r="I2" s="28">
        <v>607373</v>
      </c>
      <c r="J2" s="28">
        <v>679077</v>
      </c>
      <c r="K2" s="28"/>
      <c r="L2" s="28"/>
      <c r="M2" s="28"/>
      <c r="N2" s="28">
        <v>43853.4</v>
      </c>
      <c r="O2" s="28">
        <v>1286450</v>
      </c>
      <c r="P2" s="45">
        <v>2018</v>
      </c>
    </row>
    <row r="3" spans="1:17" ht="21.65" hidden="1" customHeight="1" x14ac:dyDescent="0.35">
      <c r="A3" s="212" t="s">
        <v>1585</v>
      </c>
      <c r="B3" s="29"/>
      <c r="C3" s="56" t="s">
        <v>64</v>
      </c>
      <c r="D3" s="28">
        <v>1570000</v>
      </c>
      <c r="E3" s="28"/>
      <c r="F3" s="28"/>
      <c r="G3" s="28"/>
      <c r="H3" s="28"/>
      <c r="I3" s="28">
        <v>19126283</v>
      </c>
      <c r="J3" s="28"/>
      <c r="K3" s="28"/>
      <c r="L3" s="28"/>
      <c r="M3" s="28"/>
      <c r="N3" s="28">
        <v>1570000</v>
      </c>
      <c r="O3" s="28">
        <v>12513668.9900917</v>
      </c>
      <c r="P3" s="45">
        <v>2018</v>
      </c>
    </row>
    <row r="4" spans="1:17" ht="21.65" hidden="1" customHeight="1" x14ac:dyDescent="0.35">
      <c r="A4" s="213" t="s">
        <v>317</v>
      </c>
      <c r="B4" s="30" t="s">
        <v>66</v>
      </c>
      <c r="C4" s="28" t="s">
        <v>698</v>
      </c>
      <c r="D4" s="28">
        <v>940284</v>
      </c>
      <c r="E4" s="28">
        <v>427619</v>
      </c>
      <c r="F4" s="28"/>
      <c r="G4" s="28">
        <v>4538</v>
      </c>
      <c r="H4" s="28">
        <v>0</v>
      </c>
      <c r="I4" s="28">
        <v>38438175</v>
      </c>
      <c r="J4" s="28">
        <v>16247084</v>
      </c>
      <c r="K4" s="28"/>
      <c r="L4" s="28">
        <v>172032</v>
      </c>
      <c r="M4" s="28">
        <v>0</v>
      </c>
      <c r="N4" s="28">
        <v>1363365</v>
      </c>
      <c r="O4" s="28">
        <v>54513227</v>
      </c>
      <c r="P4" s="45">
        <v>2018</v>
      </c>
    </row>
    <row r="5" spans="1:17" ht="21.65" hidden="1" customHeight="1" x14ac:dyDescent="0.35">
      <c r="A5" s="213" t="s">
        <v>62</v>
      </c>
      <c r="B5" s="30" t="s">
        <v>66</v>
      </c>
      <c r="C5" s="56" t="s">
        <v>64</v>
      </c>
      <c r="D5" s="28">
        <v>2595323</v>
      </c>
      <c r="E5" s="28"/>
      <c r="F5" s="28"/>
      <c r="G5" s="28"/>
      <c r="H5" s="28"/>
      <c r="I5" s="28">
        <v>19508275</v>
      </c>
      <c r="J5" s="28"/>
      <c r="K5" s="28"/>
      <c r="L5" s="28"/>
      <c r="M5" s="28"/>
      <c r="N5" s="28">
        <v>2595323</v>
      </c>
      <c r="O5" s="28">
        <v>19508275</v>
      </c>
      <c r="P5" s="45">
        <v>2018</v>
      </c>
    </row>
    <row r="6" spans="1:17" ht="21.65" hidden="1" customHeight="1" x14ac:dyDescent="0.35">
      <c r="A6" s="213" t="s">
        <v>54</v>
      </c>
      <c r="B6" s="22" t="s">
        <v>326</v>
      </c>
      <c r="C6" s="28" t="s">
        <v>59</v>
      </c>
      <c r="D6" s="28"/>
      <c r="E6" s="28">
        <v>11284</v>
      </c>
      <c r="F6" s="28"/>
      <c r="G6" s="28"/>
      <c r="H6" s="28"/>
      <c r="I6" s="28"/>
      <c r="J6" s="28">
        <v>1300152</v>
      </c>
      <c r="K6" s="28"/>
      <c r="L6" s="28"/>
      <c r="M6" s="28"/>
      <c r="N6" s="28">
        <v>11284</v>
      </c>
      <c r="O6" s="28">
        <v>1300152</v>
      </c>
      <c r="P6" s="45">
        <v>2018</v>
      </c>
    </row>
    <row r="7" spans="1:17" ht="21.65" hidden="1" customHeight="1" x14ac:dyDescent="0.35">
      <c r="A7" s="213" t="s">
        <v>67</v>
      </c>
      <c r="B7" s="30" t="s">
        <v>66</v>
      </c>
      <c r="C7" s="28" t="s">
        <v>70</v>
      </c>
      <c r="D7" s="28"/>
      <c r="E7" s="28">
        <v>65007</v>
      </c>
      <c r="F7" s="28"/>
      <c r="G7" s="28">
        <v>5560</v>
      </c>
      <c r="H7" s="28">
        <v>4831</v>
      </c>
      <c r="I7" s="28"/>
      <c r="J7" s="28">
        <v>53373386</v>
      </c>
      <c r="K7" s="28"/>
      <c r="L7" s="28">
        <v>1812011</v>
      </c>
      <c r="M7" s="28">
        <v>2464254</v>
      </c>
      <c r="N7" s="28">
        <v>64278</v>
      </c>
      <c r="O7" s="28">
        <v>54025629</v>
      </c>
      <c r="P7" s="45">
        <v>2018</v>
      </c>
    </row>
    <row r="8" spans="1:17" ht="21.65" hidden="1" customHeight="1" x14ac:dyDescent="0.35">
      <c r="A8" s="213" t="s">
        <v>67</v>
      </c>
      <c r="B8" s="30" t="s">
        <v>66</v>
      </c>
      <c r="C8" s="28" t="s">
        <v>699</v>
      </c>
      <c r="D8" s="28"/>
      <c r="E8" s="28">
        <v>530692</v>
      </c>
      <c r="F8" s="28"/>
      <c r="G8" s="28">
        <v>69574</v>
      </c>
      <c r="H8" s="28">
        <v>45819</v>
      </c>
      <c r="I8" s="28"/>
      <c r="J8" s="28">
        <v>47574723</v>
      </c>
      <c r="K8" s="28"/>
      <c r="L8" s="28">
        <v>3519272</v>
      </c>
      <c r="M8" s="28">
        <v>2426089</v>
      </c>
      <c r="N8" s="28">
        <v>506937</v>
      </c>
      <c r="O8" s="28">
        <v>46481540</v>
      </c>
      <c r="P8" s="45">
        <v>2018</v>
      </c>
    </row>
    <row r="9" spans="1:17" ht="21.65" hidden="1" customHeight="1" x14ac:dyDescent="0.35">
      <c r="A9" s="213" t="s">
        <v>67</v>
      </c>
      <c r="B9" s="30" t="s">
        <v>66</v>
      </c>
      <c r="C9" s="28" t="s">
        <v>700</v>
      </c>
      <c r="D9" s="28"/>
      <c r="E9" s="28">
        <v>3943</v>
      </c>
      <c r="F9" s="28"/>
      <c r="G9" s="28">
        <v>136</v>
      </c>
      <c r="H9" s="28">
        <v>154</v>
      </c>
      <c r="I9" s="28"/>
      <c r="J9" s="28">
        <v>1934974</v>
      </c>
      <c r="K9" s="28"/>
      <c r="L9" s="28">
        <v>44129</v>
      </c>
      <c r="M9" s="28">
        <v>44816</v>
      </c>
      <c r="N9" s="28">
        <v>3961</v>
      </c>
      <c r="O9" s="28">
        <v>1935661</v>
      </c>
      <c r="P9" s="45">
        <v>2018</v>
      </c>
    </row>
    <row r="10" spans="1:17" ht="21.65" hidden="1" customHeight="1" x14ac:dyDescent="0.35">
      <c r="A10" s="213" t="s">
        <v>67</v>
      </c>
      <c r="B10" s="30" t="s">
        <v>66</v>
      </c>
      <c r="C10" s="28" t="s">
        <v>701</v>
      </c>
      <c r="D10" s="28"/>
      <c r="E10" s="28">
        <v>6760</v>
      </c>
      <c r="F10" s="28"/>
      <c r="G10" s="28">
        <v>1362</v>
      </c>
      <c r="H10" s="28">
        <v>247</v>
      </c>
      <c r="I10" s="28"/>
      <c r="J10" s="28">
        <v>2064692</v>
      </c>
      <c r="K10" s="28"/>
      <c r="L10" s="28">
        <v>202920</v>
      </c>
      <c r="M10" s="28">
        <v>44676</v>
      </c>
      <c r="N10" s="28">
        <v>5645</v>
      </c>
      <c r="O10" s="28">
        <v>1906448</v>
      </c>
      <c r="P10" s="45">
        <v>2018</v>
      </c>
    </row>
    <row r="11" spans="1:17" ht="21.65" hidden="1" customHeight="1" x14ac:dyDescent="0.35">
      <c r="A11" s="213" t="s">
        <v>67</v>
      </c>
      <c r="B11" s="30" t="s">
        <v>66</v>
      </c>
      <c r="C11" s="28" t="s">
        <v>70</v>
      </c>
      <c r="D11" s="28"/>
      <c r="E11" s="28">
        <v>28418</v>
      </c>
      <c r="F11" s="28"/>
      <c r="G11" s="28">
        <v>9777</v>
      </c>
      <c r="H11" s="28">
        <v>10650</v>
      </c>
      <c r="I11" s="28"/>
      <c r="J11" s="28">
        <v>8565752</v>
      </c>
      <c r="K11" s="28"/>
      <c r="L11" s="28">
        <v>934024</v>
      </c>
      <c r="M11" s="28">
        <v>1781046</v>
      </c>
      <c r="N11" s="28">
        <v>29291</v>
      </c>
      <c r="O11" s="28">
        <v>9412774</v>
      </c>
      <c r="P11" s="45">
        <v>2018</v>
      </c>
    </row>
    <row r="12" spans="1:17" ht="21.65" hidden="1" customHeight="1" x14ac:dyDescent="0.35">
      <c r="A12" s="213" t="s">
        <v>75</v>
      </c>
      <c r="B12" s="30" t="s">
        <v>66</v>
      </c>
      <c r="C12" s="28" t="s">
        <v>702</v>
      </c>
      <c r="D12" s="28">
        <v>58943</v>
      </c>
      <c r="E12" s="28">
        <v>95216</v>
      </c>
      <c r="F12" s="28"/>
      <c r="G12" s="28">
        <v>57525</v>
      </c>
      <c r="H12" s="28">
        <v>38362</v>
      </c>
      <c r="I12" s="28">
        <v>117770301</v>
      </c>
      <c r="J12" s="28">
        <v>20184454</v>
      </c>
      <c r="K12" s="28"/>
      <c r="L12" s="28">
        <v>11163680</v>
      </c>
      <c r="M12" s="28">
        <v>8079399</v>
      </c>
      <c r="N12" s="28">
        <v>134996</v>
      </c>
      <c r="O12" s="28">
        <v>134870474</v>
      </c>
      <c r="P12" s="45">
        <v>2018</v>
      </c>
    </row>
    <row r="13" spans="1:17" ht="21.65" hidden="1" customHeight="1" x14ac:dyDescent="0.35">
      <c r="A13" s="213" t="s">
        <v>75</v>
      </c>
      <c r="B13" s="30" t="s">
        <v>66</v>
      </c>
      <c r="C13" s="28" t="s">
        <v>703</v>
      </c>
      <c r="D13" s="28">
        <v>33</v>
      </c>
      <c r="E13" s="28">
        <v>475792</v>
      </c>
      <c r="F13" s="28"/>
      <c r="G13" s="28">
        <v>17653</v>
      </c>
      <c r="H13" s="28">
        <v>88866</v>
      </c>
      <c r="I13" s="28">
        <v>16877</v>
      </c>
      <c r="J13" s="28">
        <v>182461271</v>
      </c>
      <c r="K13" s="28"/>
      <c r="L13" s="28">
        <v>4435700</v>
      </c>
      <c r="M13" s="28">
        <v>23278085</v>
      </c>
      <c r="N13" s="28">
        <v>547038</v>
      </c>
      <c r="O13" s="28">
        <v>201320533</v>
      </c>
      <c r="P13" s="45">
        <v>2018</v>
      </c>
    </row>
    <row r="14" spans="1:17" ht="21.65" hidden="1" customHeight="1" x14ac:dyDescent="0.35">
      <c r="A14" s="213" t="s">
        <v>79</v>
      </c>
      <c r="B14" s="30" t="s">
        <v>66</v>
      </c>
      <c r="C14" s="28" t="s">
        <v>698</v>
      </c>
      <c r="D14" s="28">
        <v>1596214</v>
      </c>
      <c r="E14" s="28">
        <v>1150722</v>
      </c>
      <c r="F14" s="28">
        <v>3943</v>
      </c>
      <c r="G14" s="28">
        <v>9720</v>
      </c>
      <c r="H14" s="28">
        <v>13139</v>
      </c>
      <c r="I14" s="28">
        <v>62849574</v>
      </c>
      <c r="J14" s="28">
        <v>44119596</v>
      </c>
      <c r="K14" s="28">
        <v>152383</v>
      </c>
      <c r="L14" s="28">
        <v>266840</v>
      </c>
      <c r="M14" s="28">
        <v>390372</v>
      </c>
      <c r="N14" s="28">
        <v>2750355</v>
      </c>
      <c r="O14" s="28">
        <v>107092702</v>
      </c>
      <c r="P14" s="45">
        <v>2018</v>
      </c>
    </row>
    <row r="15" spans="1:17" ht="21.65" hidden="1" customHeight="1" x14ac:dyDescent="0.35">
      <c r="A15" s="213" t="s">
        <v>373</v>
      </c>
      <c r="B15" s="30" t="s">
        <v>136</v>
      </c>
      <c r="C15" s="28" t="s">
        <v>18</v>
      </c>
      <c r="D15" s="28"/>
      <c r="E15" s="28">
        <v>4.452</v>
      </c>
      <c r="F15" s="28"/>
      <c r="G15" s="28"/>
      <c r="H15" s="28">
        <v>0.42230000000000001</v>
      </c>
      <c r="I15" s="28"/>
      <c r="J15" s="28">
        <v>100183726</v>
      </c>
      <c r="K15" s="28"/>
      <c r="L15" s="28"/>
      <c r="M15" s="28">
        <v>4745936</v>
      </c>
      <c r="N15" s="167">
        <v>4.8742999999999999</v>
      </c>
      <c r="O15" s="28">
        <v>104929662</v>
      </c>
      <c r="P15" s="45">
        <v>2018</v>
      </c>
    </row>
    <row r="16" spans="1:17" ht="21.65" hidden="1" customHeight="1" x14ac:dyDescent="0.35">
      <c r="A16" s="213" t="s">
        <v>373</v>
      </c>
      <c r="B16" s="30" t="s">
        <v>136</v>
      </c>
      <c r="C16" s="28" t="s">
        <v>704</v>
      </c>
      <c r="D16" s="28"/>
      <c r="E16" s="28">
        <v>0.189</v>
      </c>
      <c r="F16" s="28"/>
      <c r="G16" s="28"/>
      <c r="H16" s="28"/>
      <c r="I16" s="28"/>
      <c r="J16" s="28">
        <v>48742</v>
      </c>
      <c r="K16" s="28"/>
      <c r="L16" s="28"/>
      <c r="M16" s="28"/>
      <c r="N16" s="167">
        <v>0.189</v>
      </c>
      <c r="O16" s="28">
        <v>48742</v>
      </c>
      <c r="P16" s="45">
        <v>2018</v>
      </c>
    </row>
    <row r="17" spans="1:17" ht="21.65" customHeight="1" x14ac:dyDescent="0.35">
      <c r="A17" s="213" t="s">
        <v>93</v>
      </c>
      <c r="B17" s="30" t="s">
        <v>136</v>
      </c>
      <c r="C17" s="28" t="s">
        <v>18</v>
      </c>
      <c r="D17" s="28">
        <v>2.8000000000000001E-2</v>
      </c>
      <c r="E17" s="28">
        <v>6.94</v>
      </c>
      <c r="F17" s="28"/>
      <c r="G17" s="28">
        <v>0.13</v>
      </c>
      <c r="H17" s="28">
        <v>0.11</v>
      </c>
      <c r="I17" s="28">
        <v>711877</v>
      </c>
      <c r="J17" s="28">
        <v>173006105</v>
      </c>
      <c r="K17" s="28"/>
      <c r="L17" s="28">
        <v>1239448</v>
      </c>
      <c r="M17" s="28">
        <v>1551857</v>
      </c>
      <c r="N17" s="167">
        <v>6.9480000000000004</v>
      </c>
      <c r="O17" s="28">
        <v>174030391</v>
      </c>
      <c r="P17" s="45">
        <v>2018</v>
      </c>
    </row>
    <row r="18" spans="1:17" ht="21.65" customHeight="1" x14ac:dyDescent="0.35">
      <c r="A18" s="213" t="s">
        <v>93</v>
      </c>
      <c r="B18" s="30" t="s">
        <v>136</v>
      </c>
      <c r="C18" s="28" t="s">
        <v>704</v>
      </c>
      <c r="D18" s="28"/>
      <c r="E18" s="28">
        <v>0.6</v>
      </c>
      <c r="F18" s="28"/>
      <c r="G18" s="28"/>
      <c r="H18" s="28"/>
      <c r="I18" s="28"/>
      <c r="J18" s="28">
        <v>185348</v>
      </c>
      <c r="K18" s="28"/>
      <c r="L18" s="28"/>
      <c r="M18" s="28"/>
      <c r="N18" s="167">
        <v>0.6</v>
      </c>
      <c r="O18" s="28">
        <v>185348</v>
      </c>
      <c r="P18" s="45">
        <v>2018</v>
      </c>
    </row>
    <row r="19" spans="1:17" ht="21.65" hidden="1" customHeight="1" x14ac:dyDescent="0.35">
      <c r="A19" s="213" t="s">
        <v>101</v>
      </c>
      <c r="B19" s="22" t="s">
        <v>66</v>
      </c>
      <c r="C19" s="28" t="s">
        <v>104</v>
      </c>
      <c r="D19" s="28">
        <v>0</v>
      </c>
      <c r="E19" s="28">
        <v>60953</v>
      </c>
      <c r="F19" s="28"/>
      <c r="G19" s="28"/>
      <c r="H19" s="28"/>
      <c r="I19" s="28"/>
      <c r="J19" s="28">
        <v>1679079</v>
      </c>
      <c r="K19" s="28"/>
      <c r="L19" s="28"/>
      <c r="M19" s="28"/>
      <c r="N19" s="28">
        <v>77832</v>
      </c>
      <c r="O19" s="28">
        <v>1679079</v>
      </c>
      <c r="P19" s="45">
        <v>2018</v>
      </c>
    </row>
    <row r="20" spans="1:17" ht="21.65" hidden="1" customHeight="1" x14ac:dyDescent="0.35">
      <c r="A20" s="213" t="s">
        <v>101</v>
      </c>
      <c r="B20" s="22" t="s">
        <v>66</v>
      </c>
      <c r="C20" s="28" t="s">
        <v>705</v>
      </c>
      <c r="D20" s="28">
        <v>57</v>
      </c>
      <c r="E20" s="28">
        <v>7745</v>
      </c>
      <c r="F20" s="28"/>
      <c r="G20" s="28"/>
      <c r="H20" s="28"/>
      <c r="I20" s="28">
        <v>5786</v>
      </c>
      <c r="J20" s="28">
        <v>500776</v>
      </c>
      <c r="K20" s="28"/>
      <c r="L20" s="28"/>
      <c r="M20" s="28"/>
      <c r="N20" s="28">
        <v>11498</v>
      </c>
      <c r="O20" s="28">
        <v>506562</v>
      </c>
      <c r="P20" s="45">
        <v>2018</v>
      </c>
    </row>
    <row r="21" spans="1:17" ht="21.65" hidden="1" customHeight="1" x14ac:dyDescent="0.35">
      <c r="A21" s="213" t="s">
        <v>106</v>
      </c>
      <c r="B21" s="30" t="s">
        <v>66</v>
      </c>
      <c r="C21" s="28" t="s">
        <v>697</v>
      </c>
      <c r="D21" s="28">
        <v>19578</v>
      </c>
      <c r="E21" s="28">
        <v>73434</v>
      </c>
      <c r="F21" s="28">
        <v>14881</v>
      </c>
      <c r="G21" s="28">
        <v>14881</v>
      </c>
      <c r="H21" s="28">
        <v>18240</v>
      </c>
      <c r="I21" s="28">
        <v>610399</v>
      </c>
      <c r="J21" s="28">
        <v>1994982</v>
      </c>
      <c r="K21" s="28">
        <v>710779</v>
      </c>
      <c r="L21" s="28"/>
      <c r="M21" s="28">
        <v>522041.1898694298</v>
      </c>
      <c r="N21" s="28">
        <v>96371</v>
      </c>
      <c r="O21" s="28">
        <v>3127422.1898694299</v>
      </c>
      <c r="P21" s="45">
        <v>2018</v>
      </c>
    </row>
    <row r="22" spans="1:17" ht="21.65" hidden="1" customHeight="1" x14ac:dyDescent="0.35">
      <c r="A22" s="212" t="s">
        <v>572</v>
      </c>
      <c r="B22" s="30" t="s">
        <v>66</v>
      </c>
      <c r="C22" s="28" t="s">
        <v>104</v>
      </c>
      <c r="D22" s="28">
        <v>3886</v>
      </c>
      <c r="E22" s="28">
        <v>171797</v>
      </c>
      <c r="F22" s="28">
        <v>171972</v>
      </c>
      <c r="G22" s="28">
        <v>8140</v>
      </c>
      <c r="H22" s="28">
        <v>4429</v>
      </c>
      <c r="I22" s="28">
        <v>218074</v>
      </c>
      <c r="J22" s="28">
        <v>6902248</v>
      </c>
      <c r="K22" s="28"/>
      <c r="L22" s="28"/>
      <c r="M22" s="28"/>
      <c r="N22" s="28">
        <v>171972</v>
      </c>
      <c r="O22" s="28">
        <v>7120322</v>
      </c>
      <c r="P22" s="45">
        <v>2018</v>
      </c>
    </row>
    <row r="23" spans="1:17" ht="21.65" hidden="1" customHeight="1" x14ac:dyDescent="0.35">
      <c r="A23" s="214" t="s">
        <v>112</v>
      </c>
      <c r="B23" s="30" t="s">
        <v>66</v>
      </c>
      <c r="C23" s="28" t="s">
        <v>114</v>
      </c>
      <c r="D23" s="28">
        <v>4801.1816374615173</v>
      </c>
      <c r="E23" s="28"/>
      <c r="F23" s="28"/>
      <c r="G23" s="28"/>
      <c r="H23" s="28"/>
      <c r="I23" s="28">
        <v>41892</v>
      </c>
      <c r="J23" s="28"/>
      <c r="K23" s="28"/>
      <c r="L23" s="28"/>
      <c r="M23" s="28"/>
      <c r="N23" s="28">
        <v>4801.1816374615173</v>
      </c>
      <c r="O23" s="28">
        <v>41892</v>
      </c>
      <c r="P23" s="45">
        <v>2018</v>
      </c>
    </row>
    <row r="24" spans="1:17" ht="21.65" hidden="1" customHeight="1" x14ac:dyDescent="0.35">
      <c r="A24" s="212" t="s">
        <v>569</v>
      </c>
      <c r="B24" s="30" t="s">
        <v>29</v>
      </c>
      <c r="C24" s="28" t="s">
        <v>697</v>
      </c>
      <c r="D24" s="28">
        <v>47655</v>
      </c>
      <c r="E24" s="28">
        <v>439168</v>
      </c>
      <c r="F24" s="28"/>
      <c r="G24" s="28">
        <v>1159826</v>
      </c>
      <c r="H24" s="28">
        <v>1244000</v>
      </c>
      <c r="I24" s="28">
        <v>2374122</v>
      </c>
      <c r="J24" s="28">
        <v>15193548</v>
      </c>
      <c r="K24" s="28">
        <v>0</v>
      </c>
      <c r="L24" s="28">
        <v>41853898.491689995</v>
      </c>
      <c r="M24" s="28">
        <v>44891431.75240282</v>
      </c>
      <c r="N24" s="28">
        <v>570997</v>
      </c>
      <c r="O24" s="28">
        <v>20605203.260712825</v>
      </c>
      <c r="P24" s="45">
        <v>2018</v>
      </c>
      <c r="Q24" s="172"/>
    </row>
    <row r="25" spans="1:17" ht="21.65" hidden="1" customHeight="1" x14ac:dyDescent="0.35">
      <c r="A25" s="213" t="s">
        <v>116</v>
      </c>
      <c r="B25" s="29"/>
      <c r="C25" s="56" t="s">
        <v>48</v>
      </c>
      <c r="D25" s="28">
        <v>662120.84896608652</v>
      </c>
      <c r="E25" s="28"/>
      <c r="F25" s="28"/>
      <c r="G25" s="28"/>
      <c r="H25" s="28"/>
      <c r="I25" s="28">
        <v>4036281</v>
      </c>
      <c r="J25" s="28"/>
      <c r="K25" s="28"/>
      <c r="L25" s="28"/>
      <c r="M25" s="28"/>
      <c r="N25" s="28">
        <v>662120.84896608652</v>
      </c>
      <c r="O25" s="28">
        <v>4036281</v>
      </c>
      <c r="P25" s="45">
        <v>2018</v>
      </c>
    </row>
    <row r="26" spans="1:17" ht="21.65" hidden="1" customHeight="1" x14ac:dyDescent="0.35">
      <c r="A26" s="215" t="s">
        <v>434</v>
      </c>
      <c r="B26" s="30" t="s">
        <v>136</v>
      </c>
      <c r="C26" s="28" t="s">
        <v>18</v>
      </c>
      <c r="D26" s="28"/>
      <c r="E26" s="28">
        <v>6.3E-2</v>
      </c>
      <c r="F26" s="28"/>
      <c r="G26" s="28">
        <v>0</v>
      </c>
      <c r="H26" s="28">
        <v>0</v>
      </c>
      <c r="I26" s="28"/>
      <c r="J26" s="28">
        <v>1240248</v>
      </c>
      <c r="K26" s="28"/>
      <c r="L26" s="28">
        <v>0</v>
      </c>
      <c r="M26" s="28">
        <v>0</v>
      </c>
      <c r="N26" s="28">
        <v>6.3E-2</v>
      </c>
      <c r="O26" s="28">
        <v>1240248</v>
      </c>
      <c r="P26" s="45">
        <v>2018</v>
      </c>
    </row>
    <row r="27" spans="1:17" ht="21.65" hidden="1" customHeight="1" x14ac:dyDescent="0.35">
      <c r="A27" s="216" t="s">
        <v>128</v>
      </c>
      <c r="B27" s="30" t="s">
        <v>66</v>
      </c>
      <c r="C27" s="29" t="s">
        <v>698</v>
      </c>
      <c r="D27" s="28">
        <v>2195180</v>
      </c>
      <c r="E27" s="28">
        <v>454988</v>
      </c>
      <c r="F27" s="28"/>
      <c r="G27" s="28">
        <v>12787</v>
      </c>
      <c r="H27" s="28">
        <v>17392</v>
      </c>
      <c r="I27" s="28">
        <v>91829270</v>
      </c>
      <c r="J27" s="28">
        <v>17512938</v>
      </c>
      <c r="K27" s="28"/>
      <c r="L27" s="28">
        <v>422056</v>
      </c>
      <c r="M27" s="28">
        <v>644719</v>
      </c>
      <c r="N27" s="28">
        <v>2654773</v>
      </c>
      <c r="O27" s="28">
        <v>109564871</v>
      </c>
      <c r="P27" s="45">
        <v>2018</v>
      </c>
    </row>
    <row r="28" spans="1:17" ht="21.65" hidden="1" customHeight="1" x14ac:dyDescent="0.35">
      <c r="A28" s="212" t="s">
        <v>1585</v>
      </c>
      <c r="B28" s="28"/>
      <c r="C28" s="56" t="s">
        <v>48</v>
      </c>
      <c r="D28" s="28">
        <v>24210</v>
      </c>
      <c r="E28" s="28"/>
      <c r="F28" s="28"/>
      <c r="G28" s="28"/>
      <c r="H28" s="28"/>
      <c r="I28" s="28">
        <v>145259.35722819594</v>
      </c>
      <c r="J28" s="28"/>
      <c r="K28" s="28"/>
      <c r="L28" s="28"/>
      <c r="M28" s="28"/>
      <c r="N28" s="28">
        <v>24210</v>
      </c>
      <c r="O28" s="28">
        <v>145259.35722819594</v>
      </c>
      <c r="P28" s="45">
        <v>2018</v>
      </c>
    </row>
    <row r="29" spans="1:17" ht="21.65" hidden="1" customHeight="1" x14ac:dyDescent="0.35">
      <c r="A29" s="215" t="s">
        <v>434</v>
      </c>
      <c r="B29" s="30" t="s">
        <v>136</v>
      </c>
      <c r="C29" s="28" t="s">
        <v>18</v>
      </c>
      <c r="D29" s="28"/>
      <c r="E29" s="28">
        <v>3.0000000000000001E-3</v>
      </c>
      <c r="F29" s="28"/>
      <c r="G29" s="28">
        <v>0</v>
      </c>
      <c r="H29" s="28">
        <v>0</v>
      </c>
      <c r="I29" s="28"/>
      <c r="J29" s="28">
        <v>80075</v>
      </c>
      <c r="K29" s="28"/>
      <c r="L29" s="28">
        <v>0</v>
      </c>
      <c r="M29" s="28">
        <v>0</v>
      </c>
      <c r="N29" s="28">
        <v>3.0000000000000001E-3</v>
      </c>
      <c r="O29" s="28">
        <v>80075</v>
      </c>
      <c r="P29" s="45">
        <v>2019</v>
      </c>
    </row>
    <row r="30" spans="1:17" ht="21.65" hidden="1" customHeight="1" x14ac:dyDescent="0.35">
      <c r="A30" s="211" t="s">
        <v>285</v>
      </c>
      <c r="B30" s="30" t="s">
        <v>42</v>
      </c>
      <c r="C30" s="28" t="s">
        <v>697</v>
      </c>
      <c r="D30" s="28"/>
      <c r="E30" s="28"/>
      <c r="F30" s="28">
        <v>2057</v>
      </c>
      <c r="G30" s="28">
        <v>127935</v>
      </c>
      <c r="H30" s="28">
        <v>127913</v>
      </c>
      <c r="I30" s="28"/>
      <c r="J30" s="28"/>
      <c r="K30" s="28"/>
      <c r="L30" s="28"/>
      <c r="M30" s="28"/>
      <c r="N30" s="28">
        <v>-22</v>
      </c>
      <c r="O30" s="28">
        <v>1484</v>
      </c>
      <c r="P30" s="45">
        <v>2019</v>
      </c>
    </row>
    <row r="31" spans="1:17" ht="21.65" hidden="1" customHeight="1" x14ac:dyDescent="0.35">
      <c r="A31" s="213" t="s">
        <v>151</v>
      </c>
      <c r="B31" s="29"/>
      <c r="C31" s="28" t="s">
        <v>48</v>
      </c>
      <c r="D31" s="28">
        <v>380247</v>
      </c>
      <c r="E31" s="28"/>
      <c r="F31" s="28"/>
      <c r="G31" s="28"/>
      <c r="H31" s="28"/>
      <c r="I31" s="28">
        <v>890540</v>
      </c>
      <c r="J31" s="28"/>
      <c r="K31" s="28"/>
      <c r="L31" s="28"/>
      <c r="M31" s="28"/>
      <c r="N31" s="28">
        <v>380247</v>
      </c>
      <c r="O31" s="28">
        <v>890540</v>
      </c>
      <c r="P31" s="45">
        <v>2019</v>
      </c>
    </row>
    <row r="32" spans="1:17" ht="21.65" hidden="1" customHeight="1" x14ac:dyDescent="0.35">
      <c r="A32" s="212" t="s">
        <v>1585</v>
      </c>
      <c r="B32" s="29" t="s">
        <v>66</v>
      </c>
      <c r="C32" s="56" t="s">
        <v>64</v>
      </c>
      <c r="D32" s="28">
        <v>1592907</v>
      </c>
      <c r="E32" s="28"/>
      <c r="F32" s="28"/>
      <c r="G32" s="28"/>
      <c r="H32" s="28"/>
      <c r="I32" s="28">
        <v>12696249</v>
      </c>
      <c r="J32" s="28"/>
      <c r="K32" s="28"/>
      <c r="L32" s="28"/>
      <c r="M32" s="28"/>
      <c r="N32" s="28">
        <v>1592907</v>
      </c>
      <c r="O32" s="28">
        <v>12696249</v>
      </c>
      <c r="P32" s="45">
        <v>2019</v>
      </c>
    </row>
    <row r="33" spans="1:16" ht="21.65" hidden="1" customHeight="1" x14ac:dyDescent="0.35">
      <c r="A33" s="213" t="s">
        <v>317</v>
      </c>
      <c r="B33" s="30" t="s">
        <v>66</v>
      </c>
      <c r="C33" s="28" t="s">
        <v>698</v>
      </c>
      <c r="D33" s="28">
        <v>1116847</v>
      </c>
      <c r="E33" s="28">
        <v>364038</v>
      </c>
      <c r="F33" s="28"/>
      <c r="G33" s="28"/>
      <c r="H33" s="28">
        <v>0</v>
      </c>
      <c r="I33" s="28">
        <v>47670012</v>
      </c>
      <c r="J33" s="28">
        <v>14057133</v>
      </c>
      <c r="K33" s="28"/>
      <c r="L33" s="28"/>
      <c r="M33" s="28">
        <v>0</v>
      </c>
      <c r="N33" s="28">
        <v>1480885</v>
      </c>
      <c r="O33" s="28">
        <v>61727145</v>
      </c>
      <c r="P33" s="45">
        <v>2019</v>
      </c>
    </row>
    <row r="34" spans="1:16" ht="21.65" hidden="1" customHeight="1" x14ac:dyDescent="0.35">
      <c r="A34" s="213" t="s">
        <v>62</v>
      </c>
      <c r="B34" s="29"/>
      <c r="C34" s="56" t="s">
        <v>64</v>
      </c>
      <c r="D34" s="28">
        <v>1992891</v>
      </c>
      <c r="E34" s="28">
        <v>0</v>
      </c>
      <c r="F34" s="28">
        <v>0</v>
      </c>
      <c r="G34" s="28">
        <v>0</v>
      </c>
      <c r="H34" s="28">
        <v>0</v>
      </c>
      <c r="I34" s="28">
        <v>16414043</v>
      </c>
      <c r="J34" s="28">
        <v>0</v>
      </c>
      <c r="K34" s="28">
        <v>0</v>
      </c>
      <c r="L34" s="28">
        <v>0</v>
      </c>
      <c r="M34" s="28">
        <v>0</v>
      </c>
      <c r="N34" s="28">
        <v>1992891</v>
      </c>
      <c r="O34" s="28">
        <v>16414043</v>
      </c>
      <c r="P34" s="45">
        <v>2019</v>
      </c>
    </row>
    <row r="35" spans="1:16" ht="21.65" hidden="1" customHeight="1" x14ac:dyDescent="0.35">
      <c r="A35" s="213" t="s">
        <v>54</v>
      </c>
      <c r="B35" s="22" t="s">
        <v>326</v>
      </c>
      <c r="C35" s="28" t="s">
        <v>59</v>
      </c>
      <c r="D35" s="28"/>
      <c r="E35" s="28">
        <v>4368</v>
      </c>
      <c r="F35" s="28"/>
      <c r="G35" s="28">
        <v>0</v>
      </c>
      <c r="H35" s="28">
        <v>0</v>
      </c>
      <c r="I35" s="28"/>
      <c r="J35" s="28">
        <v>503285</v>
      </c>
      <c r="K35" s="28"/>
      <c r="L35" s="28"/>
      <c r="M35" s="28"/>
      <c r="N35" s="28">
        <v>4368</v>
      </c>
      <c r="O35" s="28">
        <v>503285</v>
      </c>
      <c r="P35" s="45">
        <v>2019</v>
      </c>
    </row>
    <row r="36" spans="1:16" ht="21.65" hidden="1" customHeight="1" x14ac:dyDescent="0.35">
      <c r="A36" s="213" t="s">
        <v>73</v>
      </c>
      <c r="B36" s="29"/>
      <c r="C36" s="56" t="s">
        <v>64</v>
      </c>
      <c r="D36" s="28">
        <v>27875</v>
      </c>
      <c r="E36" s="28"/>
      <c r="F36" s="28"/>
      <c r="G36" s="28"/>
      <c r="H36" s="28"/>
      <c r="I36" s="28">
        <v>63149</v>
      </c>
      <c r="J36" s="28"/>
      <c r="K36" s="28"/>
      <c r="L36" s="28"/>
      <c r="M36" s="28"/>
      <c r="N36" s="28">
        <v>27875</v>
      </c>
      <c r="O36" s="28">
        <v>63149</v>
      </c>
      <c r="P36" s="45">
        <v>2019</v>
      </c>
    </row>
    <row r="37" spans="1:16" ht="21.65" hidden="1" customHeight="1" x14ac:dyDescent="0.35">
      <c r="A37" s="213" t="s">
        <v>75</v>
      </c>
      <c r="B37" s="30" t="s">
        <v>66</v>
      </c>
      <c r="C37" s="28" t="s">
        <v>702</v>
      </c>
      <c r="D37" s="28">
        <v>75427</v>
      </c>
      <c r="E37" s="28">
        <v>97201</v>
      </c>
      <c r="F37" s="28"/>
      <c r="G37" s="28">
        <v>38362</v>
      </c>
      <c r="H37" s="28">
        <v>24364</v>
      </c>
      <c r="I37" s="28">
        <v>16037099</v>
      </c>
      <c r="J37" s="28">
        <v>22031441</v>
      </c>
      <c r="K37" s="28"/>
      <c r="L37" s="28">
        <v>8079399</v>
      </c>
      <c r="M37" s="28">
        <v>5510398</v>
      </c>
      <c r="N37" s="28">
        <v>158630</v>
      </c>
      <c r="O37" s="28">
        <v>35499539</v>
      </c>
      <c r="P37" s="45">
        <v>2019</v>
      </c>
    </row>
    <row r="38" spans="1:16" ht="21.65" hidden="1" customHeight="1" x14ac:dyDescent="0.35">
      <c r="A38" s="213" t="s">
        <v>75</v>
      </c>
      <c r="B38" s="30" t="s">
        <v>66</v>
      </c>
      <c r="C38" s="28" t="s">
        <v>703</v>
      </c>
      <c r="D38" s="28">
        <v>97</v>
      </c>
      <c r="E38" s="28">
        <v>537424</v>
      </c>
      <c r="F38" s="28"/>
      <c r="G38" s="28">
        <v>88866</v>
      </c>
      <c r="H38" s="28">
        <v>58924</v>
      </c>
      <c r="I38" s="28">
        <v>51178</v>
      </c>
      <c r="J38" s="28">
        <v>219159910</v>
      </c>
      <c r="K38" s="28"/>
      <c r="L38" s="28">
        <v>23276085</v>
      </c>
      <c r="M38" s="28">
        <v>14746805</v>
      </c>
      <c r="N38" s="28">
        <v>507579</v>
      </c>
      <c r="O38" s="28">
        <v>210681808</v>
      </c>
      <c r="P38" s="45">
        <v>2019</v>
      </c>
    </row>
    <row r="39" spans="1:16" ht="21.65" hidden="1" customHeight="1" x14ac:dyDescent="0.35">
      <c r="A39" s="213" t="s">
        <v>75</v>
      </c>
      <c r="B39" s="30" t="s">
        <v>66</v>
      </c>
      <c r="C39" s="28" t="s">
        <v>697</v>
      </c>
      <c r="D39" s="28"/>
      <c r="E39" s="28"/>
      <c r="F39" s="28"/>
      <c r="G39" s="28">
        <v>70440</v>
      </c>
      <c r="H39" s="28">
        <v>71572</v>
      </c>
      <c r="I39" s="28"/>
      <c r="J39" s="28"/>
      <c r="K39" s="28"/>
      <c r="L39" s="28">
        <v>2127894</v>
      </c>
      <c r="M39" s="28">
        <v>2219687</v>
      </c>
      <c r="N39" s="28">
        <v>1132</v>
      </c>
      <c r="O39" s="28">
        <v>91793</v>
      </c>
      <c r="P39" s="45">
        <v>2019</v>
      </c>
    </row>
    <row r="40" spans="1:16" ht="21.65" hidden="1" customHeight="1" x14ac:dyDescent="0.35">
      <c r="A40" s="213" t="s">
        <v>79</v>
      </c>
      <c r="B40" s="30" t="s">
        <v>66</v>
      </c>
      <c r="C40" s="28" t="s">
        <v>698</v>
      </c>
      <c r="D40" s="28">
        <v>1707485</v>
      </c>
      <c r="E40" s="28">
        <v>1047215</v>
      </c>
      <c r="F40" s="28">
        <v>4100</v>
      </c>
      <c r="G40" s="28">
        <v>13139</v>
      </c>
      <c r="H40" s="28">
        <v>13150</v>
      </c>
      <c r="I40" s="28">
        <v>70284602</v>
      </c>
      <c r="J40" s="28">
        <v>41787921</v>
      </c>
      <c r="K40" s="28">
        <v>153735</v>
      </c>
      <c r="L40" s="28">
        <v>390372</v>
      </c>
      <c r="M40" s="28">
        <v>365998</v>
      </c>
      <c r="N40" s="28">
        <v>2754711</v>
      </c>
      <c r="O40" s="28">
        <v>112048149</v>
      </c>
      <c r="P40" s="45">
        <v>2019</v>
      </c>
    </row>
    <row r="41" spans="1:16" ht="21.65" hidden="1" customHeight="1" x14ac:dyDescent="0.35">
      <c r="A41" s="213" t="s">
        <v>373</v>
      </c>
      <c r="B41" s="30" t="s">
        <v>136</v>
      </c>
      <c r="C41" s="28" t="s">
        <v>18</v>
      </c>
      <c r="D41" s="28"/>
      <c r="E41" s="28">
        <v>5.7830000000000004</v>
      </c>
      <c r="F41" s="28"/>
      <c r="G41" s="28">
        <v>0.42199999999999999</v>
      </c>
      <c r="H41" s="28">
        <v>0.245</v>
      </c>
      <c r="I41" s="28"/>
      <c r="J41" s="28">
        <v>141239790</v>
      </c>
      <c r="K41" s="28"/>
      <c r="L41" s="28">
        <v>4745935</v>
      </c>
      <c r="M41" s="28">
        <v>3185962</v>
      </c>
      <c r="N41" s="167">
        <v>5.6060000000000008</v>
      </c>
      <c r="O41" s="28">
        <v>139679817</v>
      </c>
      <c r="P41" s="45">
        <v>2019</v>
      </c>
    </row>
    <row r="42" spans="1:16" ht="21.65" customHeight="1" x14ac:dyDescent="0.35">
      <c r="A42" s="213" t="s">
        <v>93</v>
      </c>
      <c r="B42" s="30" t="s">
        <v>136</v>
      </c>
      <c r="C42" s="28" t="s">
        <v>18</v>
      </c>
      <c r="D42" s="28">
        <v>0.57999999999999996</v>
      </c>
      <c r="E42" s="28">
        <v>6.03</v>
      </c>
      <c r="F42" s="28"/>
      <c r="G42" s="28">
        <v>0.11</v>
      </c>
      <c r="H42" s="28">
        <v>0.2</v>
      </c>
      <c r="I42" s="28">
        <v>16645002</v>
      </c>
      <c r="J42" s="28">
        <v>170508238</v>
      </c>
      <c r="K42" s="28"/>
      <c r="L42" s="28">
        <v>1551857</v>
      </c>
      <c r="M42" s="28">
        <v>3160292</v>
      </c>
      <c r="N42" s="167">
        <v>6.7</v>
      </c>
      <c r="O42" s="28">
        <v>188761675</v>
      </c>
      <c r="P42" s="45">
        <v>2019</v>
      </c>
    </row>
    <row r="43" spans="1:16" ht="21.65" customHeight="1" x14ac:dyDescent="0.35">
      <c r="A43" s="213" t="s">
        <v>93</v>
      </c>
      <c r="B43" s="30" t="s">
        <v>136</v>
      </c>
      <c r="C43" s="28" t="s">
        <v>704</v>
      </c>
      <c r="D43" s="28"/>
      <c r="E43" s="28">
        <v>0.48</v>
      </c>
      <c r="F43" s="28"/>
      <c r="G43" s="28"/>
      <c r="H43" s="28"/>
      <c r="I43" s="28"/>
      <c r="J43" s="28">
        <v>160845</v>
      </c>
      <c r="K43" s="28"/>
      <c r="L43" s="28"/>
      <c r="M43" s="28"/>
      <c r="N43" s="167">
        <v>0.48</v>
      </c>
      <c r="O43" s="28">
        <v>160845</v>
      </c>
      <c r="P43" s="45">
        <v>2019</v>
      </c>
    </row>
    <row r="44" spans="1:16" ht="21.65" hidden="1" customHeight="1" x14ac:dyDescent="0.35">
      <c r="A44" s="213" t="s">
        <v>101</v>
      </c>
      <c r="B44" s="22" t="s">
        <v>66</v>
      </c>
      <c r="C44" s="28" t="s">
        <v>104</v>
      </c>
      <c r="D44" s="28"/>
      <c r="E44" s="28">
        <v>52633</v>
      </c>
      <c r="F44" s="28"/>
      <c r="G44" s="28">
        <v>11831</v>
      </c>
      <c r="H44" s="28">
        <v>11962</v>
      </c>
      <c r="I44" s="28"/>
      <c r="J44" s="28">
        <v>1529972</v>
      </c>
      <c r="K44" s="28"/>
      <c r="L44" s="28"/>
      <c r="M44" s="28"/>
      <c r="N44" s="28">
        <v>52764</v>
      </c>
      <c r="O44" s="28">
        <v>1529972</v>
      </c>
      <c r="P44" s="45">
        <v>2019</v>
      </c>
    </row>
    <row r="45" spans="1:16" ht="21.65" hidden="1" customHeight="1" x14ac:dyDescent="0.35">
      <c r="A45" s="213" t="s">
        <v>101</v>
      </c>
      <c r="B45" s="22" t="s">
        <v>66</v>
      </c>
      <c r="C45" s="28" t="s">
        <v>705</v>
      </c>
      <c r="D45" s="28">
        <v>58</v>
      </c>
      <c r="E45" s="28">
        <v>10637</v>
      </c>
      <c r="F45" s="28"/>
      <c r="G45" s="28">
        <v>2677</v>
      </c>
      <c r="H45" s="28">
        <v>3195</v>
      </c>
      <c r="I45" s="28">
        <v>4375</v>
      </c>
      <c r="J45" s="28">
        <v>712151</v>
      </c>
      <c r="K45" s="28"/>
      <c r="L45" s="28"/>
      <c r="M45" s="28"/>
      <c r="N45" s="28">
        <v>11213</v>
      </c>
      <c r="O45" s="28">
        <v>716526</v>
      </c>
      <c r="P45" s="45">
        <v>2019</v>
      </c>
    </row>
    <row r="46" spans="1:16" ht="21.65" hidden="1" customHeight="1" x14ac:dyDescent="0.35">
      <c r="A46" s="213" t="s">
        <v>106</v>
      </c>
      <c r="B46" s="30" t="s">
        <v>66</v>
      </c>
      <c r="C46" s="28" t="s">
        <v>697</v>
      </c>
      <c r="D46" s="28">
        <v>57986.37</v>
      </c>
      <c r="E46" s="28">
        <v>49337.3</v>
      </c>
      <c r="F46" s="28"/>
      <c r="G46" s="28">
        <v>14881</v>
      </c>
      <c r="H46" s="28">
        <v>24834.455999999998</v>
      </c>
      <c r="I46" s="28">
        <v>1657156</v>
      </c>
      <c r="J46" s="28">
        <v>1414520</v>
      </c>
      <c r="K46" s="28"/>
      <c r="L46" s="28">
        <v>425904</v>
      </c>
      <c r="M46" s="28">
        <v>710779</v>
      </c>
      <c r="N46" s="28">
        <v>117277.12600000002</v>
      </c>
      <c r="O46" s="28">
        <v>3356551</v>
      </c>
      <c r="P46" s="45">
        <v>2019</v>
      </c>
    </row>
    <row r="47" spans="1:16" ht="21.65" hidden="1" customHeight="1" x14ac:dyDescent="0.35">
      <c r="A47" s="212" t="s">
        <v>572</v>
      </c>
      <c r="B47" s="29"/>
      <c r="C47" s="28" t="s">
        <v>104</v>
      </c>
      <c r="D47" s="28">
        <v>5312</v>
      </c>
      <c r="E47" s="28">
        <v>142757</v>
      </c>
      <c r="F47" s="28">
        <v>144909</v>
      </c>
      <c r="G47" s="28">
        <v>4429</v>
      </c>
      <c r="H47" s="28">
        <v>1269</v>
      </c>
      <c r="I47" s="28">
        <v>246385</v>
      </c>
      <c r="J47" s="28">
        <v>6354810</v>
      </c>
      <c r="K47" s="28"/>
      <c r="L47" s="28"/>
      <c r="M47" s="28"/>
      <c r="N47" s="28">
        <v>144909</v>
      </c>
      <c r="O47" s="28">
        <v>6601195</v>
      </c>
      <c r="P47" s="45">
        <v>2019</v>
      </c>
    </row>
    <row r="48" spans="1:16" ht="21.65" hidden="1" customHeight="1" x14ac:dyDescent="0.35">
      <c r="A48" s="214" t="s">
        <v>112</v>
      </c>
      <c r="B48" s="28"/>
      <c r="C48" s="28" t="s">
        <v>114</v>
      </c>
      <c r="D48" s="28">
        <v>98355</v>
      </c>
      <c r="E48" s="28"/>
      <c r="F48" s="28"/>
      <c r="G48" s="28"/>
      <c r="H48" s="28"/>
      <c r="I48" s="28">
        <v>858182</v>
      </c>
      <c r="J48" s="28"/>
      <c r="K48" s="28"/>
      <c r="L48" s="28"/>
      <c r="M48" s="28"/>
      <c r="N48" s="28">
        <v>98355</v>
      </c>
      <c r="O48" s="28">
        <v>858182</v>
      </c>
      <c r="P48" s="45">
        <v>2019</v>
      </c>
    </row>
    <row r="49" spans="1:17" ht="21.65" hidden="1" customHeight="1" x14ac:dyDescent="0.35">
      <c r="A49" s="212" t="s">
        <v>569</v>
      </c>
      <c r="B49" s="30" t="s">
        <v>29</v>
      </c>
      <c r="C49" s="28" t="s">
        <v>697</v>
      </c>
      <c r="D49" s="28">
        <v>145502</v>
      </c>
      <c r="E49" s="28">
        <v>476309</v>
      </c>
      <c r="F49" s="28"/>
      <c r="G49" s="28">
        <v>1244000</v>
      </c>
      <c r="H49" s="28">
        <v>1098340</v>
      </c>
      <c r="I49" s="28">
        <v>5692920</v>
      </c>
      <c r="J49" s="28">
        <v>18759638</v>
      </c>
      <c r="K49" s="28">
        <v>0</v>
      </c>
      <c r="L49" s="35">
        <v>48672810.243158169</v>
      </c>
      <c r="M49" s="28">
        <v>43258600.616238624</v>
      </c>
      <c r="N49" s="28">
        <v>476151</v>
      </c>
      <c r="O49" s="28">
        <v>19038348.373080455</v>
      </c>
      <c r="P49" s="45">
        <v>2019</v>
      </c>
      <c r="Q49" s="172"/>
    </row>
    <row r="50" spans="1:17" ht="21.65" hidden="1" customHeight="1" x14ac:dyDescent="0.35">
      <c r="A50" s="213" t="s">
        <v>67</v>
      </c>
      <c r="B50" s="22" t="s">
        <v>66</v>
      </c>
      <c r="C50" s="28" t="s">
        <v>70</v>
      </c>
      <c r="D50" s="28"/>
      <c r="E50" s="28">
        <v>58396</v>
      </c>
      <c r="F50" s="28"/>
      <c r="G50" s="28">
        <v>4973</v>
      </c>
      <c r="H50" s="28">
        <v>4985</v>
      </c>
      <c r="I50" s="28"/>
      <c r="J50" s="28">
        <v>52667857</v>
      </c>
      <c r="K50" s="28"/>
      <c r="L50" s="28">
        <v>2464000</v>
      </c>
      <c r="M50" s="28">
        <v>2661000</v>
      </c>
      <c r="N50" s="28">
        <v>58408</v>
      </c>
      <c r="O50" s="28">
        <v>52864857</v>
      </c>
      <c r="P50" s="45">
        <v>2019</v>
      </c>
    </row>
    <row r="51" spans="1:17" ht="21.65" hidden="1" customHeight="1" x14ac:dyDescent="0.35">
      <c r="A51" s="213" t="s">
        <v>67</v>
      </c>
      <c r="B51" s="22" t="s">
        <v>66</v>
      </c>
      <c r="C51" s="28" t="s">
        <v>699</v>
      </c>
      <c r="D51" s="28"/>
      <c r="E51" s="28">
        <v>502202</v>
      </c>
      <c r="F51" s="28"/>
      <c r="G51" s="28">
        <v>45278</v>
      </c>
      <c r="H51" s="28">
        <v>35358</v>
      </c>
      <c r="I51" s="28"/>
      <c r="J51" s="28">
        <v>50005135</v>
      </c>
      <c r="K51" s="28"/>
      <c r="L51" s="28">
        <v>2426000</v>
      </c>
      <c r="M51" s="28">
        <v>2004000</v>
      </c>
      <c r="N51" s="28">
        <v>492282</v>
      </c>
      <c r="O51" s="28">
        <v>49583135</v>
      </c>
      <c r="P51" s="45">
        <v>2019</v>
      </c>
    </row>
    <row r="52" spans="1:17" ht="21.65" hidden="1" customHeight="1" x14ac:dyDescent="0.35">
      <c r="A52" s="213" t="s">
        <v>67</v>
      </c>
      <c r="B52" s="22" t="s">
        <v>66</v>
      </c>
      <c r="C52" s="28" t="s">
        <v>700</v>
      </c>
      <c r="D52" s="28"/>
      <c r="E52" s="28">
        <v>3769</v>
      </c>
      <c r="F52" s="28"/>
      <c r="G52" s="28">
        <v>156</v>
      </c>
      <c r="H52" s="28">
        <v>1</v>
      </c>
      <c r="I52" s="28"/>
      <c r="J52" s="28">
        <v>2414292</v>
      </c>
      <c r="K52" s="28"/>
      <c r="L52" s="28">
        <v>44816</v>
      </c>
      <c r="M52" s="28">
        <v>563</v>
      </c>
      <c r="N52" s="28">
        <v>3614</v>
      </c>
      <c r="O52" s="28">
        <v>2370039</v>
      </c>
      <c r="P52" s="45">
        <v>2019</v>
      </c>
    </row>
    <row r="53" spans="1:17" ht="21.65" hidden="1" customHeight="1" x14ac:dyDescent="0.35">
      <c r="A53" s="213" t="s">
        <v>67</v>
      </c>
      <c r="B53" s="22" t="s">
        <v>66</v>
      </c>
      <c r="C53" s="28" t="s">
        <v>701</v>
      </c>
      <c r="D53" s="28"/>
      <c r="E53" s="28">
        <v>6532</v>
      </c>
      <c r="F53" s="28"/>
      <c r="G53" s="28">
        <v>206</v>
      </c>
      <c r="H53" s="28">
        <v>189</v>
      </c>
      <c r="I53" s="28"/>
      <c r="J53" s="28">
        <v>2591469</v>
      </c>
      <c r="K53" s="28"/>
      <c r="L53" s="28">
        <v>44675</v>
      </c>
      <c r="M53" s="28">
        <v>45033</v>
      </c>
      <c r="N53" s="28">
        <v>6515</v>
      </c>
      <c r="O53" s="28">
        <v>2591827</v>
      </c>
      <c r="P53" s="45">
        <v>2019</v>
      </c>
    </row>
    <row r="54" spans="1:17" ht="21.65" hidden="1" customHeight="1" x14ac:dyDescent="0.35">
      <c r="A54" s="213" t="s">
        <v>67</v>
      </c>
      <c r="B54" s="22" t="s">
        <v>66</v>
      </c>
      <c r="C54" s="28" t="s">
        <v>70</v>
      </c>
      <c r="D54" s="28"/>
      <c r="E54" s="28">
        <v>31025</v>
      </c>
      <c r="F54" s="28"/>
      <c r="G54" s="28">
        <v>10650</v>
      </c>
      <c r="H54" s="28">
        <v>1938</v>
      </c>
      <c r="I54" s="28"/>
      <c r="J54" s="28">
        <v>7005808</v>
      </c>
      <c r="K54" s="28"/>
      <c r="L54" s="28">
        <v>1781046</v>
      </c>
      <c r="M54" s="28">
        <v>358766</v>
      </c>
      <c r="N54" s="28">
        <v>22313</v>
      </c>
      <c r="O54" s="28">
        <v>5583528</v>
      </c>
      <c r="P54" s="45">
        <v>2019</v>
      </c>
    </row>
    <row r="55" spans="1:17" ht="21.65" hidden="1" customHeight="1" x14ac:dyDescent="0.35">
      <c r="A55" s="213" t="s">
        <v>116</v>
      </c>
      <c r="B55" s="29"/>
      <c r="C55" s="56" t="s">
        <v>48</v>
      </c>
      <c r="D55" s="28">
        <v>427458</v>
      </c>
      <c r="E55" s="28"/>
      <c r="F55" s="28"/>
      <c r="G55" s="28"/>
      <c r="H55" s="28"/>
      <c r="I55" s="28">
        <v>2605779</v>
      </c>
      <c r="J55" s="28"/>
      <c r="K55" s="28"/>
      <c r="L55" s="28"/>
      <c r="M55" s="28"/>
      <c r="N55" s="28">
        <v>427458</v>
      </c>
      <c r="O55" s="28">
        <v>2605779</v>
      </c>
      <c r="P55" s="45">
        <v>2019</v>
      </c>
    </row>
    <row r="56" spans="1:17" ht="21.65" hidden="1" customHeight="1" x14ac:dyDescent="0.35">
      <c r="A56" s="216" t="s">
        <v>128</v>
      </c>
      <c r="B56" s="30" t="s">
        <v>66</v>
      </c>
      <c r="C56" s="29" t="s">
        <v>698</v>
      </c>
      <c r="D56" s="28">
        <v>2245068</v>
      </c>
      <c r="E56" s="28">
        <v>345050</v>
      </c>
      <c r="F56" s="28"/>
      <c r="G56" s="28"/>
      <c r="H56" s="28"/>
      <c r="I56" s="28">
        <v>93916196.184531569</v>
      </c>
      <c r="J56" s="28">
        <v>14881660</v>
      </c>
      <c r="K56" s="28"/>
      <c r="L56" s="28"/>
      <c r="M56" s="28"/>
      <c r="N56" s="28">
        <v>2590118</v>
      </c>
      <c r="O56" s="28">
        <v>108797856.18453157</v>
      </c>
      <c r="P56" s="45">
        <v>2019</v>
      </c>
    </row>
    <row r="57" spans="1:17" ht="21.65" hidden="1" customHeight="1" x14ac:dyDescent="0.35">
      <c r="A57" s="212" t="s">
        <v>1585</v>
      </c>
      <c r="B57" s="29"/>
      <c r="C57" s="56" t="s">
        <v>48</v>
      </c>
      <c r="D57" s="28">
        <v>37665</v>
      </c>
      <c r="E57" s="28"/>
      <c r="F57" s="28"/>
      <c r="G57" s="28"/>
      <c r="H57" s="28"/>
      <c r="I57" s="28">
        <v>225989</v>
      </c>
      <c r="J57" s="28"/>
      <c r="K57" s="28"/>
      <c r="L57" s="28"/>
      <c r="M57" s="28"/>
      <c r="N57" s="28">
        <v>37665</v>
      </c>
      <c r="O57" s="28">
        <v>225989</v>
      </c>
      <c r="P57" s="45">
        <v>2019</v>
      </c>
    </row>
    <row r="58" spans="1:17" ht="21.65" hidden="1" customHeight="1" x14ac:dyDescent="0.35">
      <c r="A58" s="215" t="s">
        <v>248</v>
      </c>
      <c r="B58" s="30"/>
      <c r="C58" s="50" t="s">
        <v>48</v>
      </c>
      <c r="D58" s="35">
        <v>150307.5</v>
      </c>
      <c r="E58" s="35">
        <v>0</v>
      </c>
      <c r="F58" s="35"/>
      <c r="G58" s="35">
        <v>0</v>
      </c>
      <c r="H58" s="35">
        <v>0</v>
      </c>
      <c r="I58" s="35">
        <v>247042</v>
      </c>
      <c r="J58" s="35">
        <v>0</v>
      </c>
      <c r="K58" s="35"/>
      <c r="L58" s="35">
        <v>0</v>
      </c>
      <c r="M58" s="35">
        <v>0</v>
      </c>
      <c r="N58" s="28">
        <f t="shared" ref="N58:N96" si="0">+D58+E58+H58-G58</f>
        <v>150307.5</v>
      </c>
      <c r="O58" s="28">
        <f>+I58+J58+M58-L58</f>
        <v>247042</v>
      </c>
      <c r="P58" s="45">
        <v>2020</v>
      </c>
    </row>
    <row r="59" spans="1:17" ht="21.65" hidden="1" customHeight="1" x14ac:dyDescent="0.35">
      <c r="A59" s="215" t="s">
        <v>250</v>
      </c>
      <c r="B59" s="30"/>
      <c r="C59" s="30" t="s">
        <v>1594</v>
      </c>
      <c r="D59" s="57">
        <v>682</v>
      </c>
      <c r="E59" s="35"/>
      <c r="F59" s="35"/>
      <c r="G59" s="35"/>
      <c r="H59" s="35"/>
      <c r="I59" s="35">
        <v>89376</v>
      </c>
      <c r="J59" s="35"/>
      <c r="K59" s="35"/>
      <c r="L59" s="35"/>
      <c r="M59" s="35"/>
      <c r="N59" s="28">
        <f t="shared" si="0"/>
        <v>682</v>
      </c>
      <c r="O59" s="28">
        <f>+I59+J59+M59-L59</f>
        <v>89376</v>
      </c>
      <c r="P59" s="45">
        <v>2020</v>
      </c>
    </row>
    <row r="60" spans="1:17" ht="21.65" hidden="1" customHeight="1" x14ac:dyDescent="0.35">
      <c r="A60" s="215" t="s">
        <v>434</v>
      </c>
      <c r="B60" s="30" t="s">
        <v>136</v>
      </c>
      <c r="C60" s="30" t="s">
        <v>431</v>
      </c>
      <c r="D60" s="35">
        <v>8.9999999999999993E-3</v>
      </c>
      <c r="E60" s="35">
        <v>0.04</v>
      </c>
      <c r="F60" s="35"/>
      <c r="G60" s="35">
        <v>0</v>
      </c>
      <c r="H60" s="35">
        <v>0</v>
      </c>
      <c r="I60" s="35">
        <v>252890</v>
      </c>
      <c r="J60" s="35">
        <v>493759</v>
      </c>
      <c r="K60" s="35"/>
      <c r="L60" s="35">
        <v>0</v>
      </c>
      <c r="M60" s="35">
        <v>0</v>
      </c>
      <c r="N60" s="28">
        <f t="shared" si="0"/>
        <v>4.9000000000000002E-2</v>
      </c>
      <c r="O60" s="28">
        <v>1503982</v>
      </c>
      <c r="P60" s="45">
        <v>2020</v>
      </c>
    </row>
    <row r="61" spans="1:17" ht="21.65" hidden="1" customHeight="1" x14ac:dyDescent="0.35">
      <c r="A61" s="212" t="s">
        <v>444</v>
      </c>
      <c r="B61" s="28"/>
      <c r="C61" s="28" t="s">
        <v>48</v>
      </c>
      <c r="D61" s="58">
        <v>47353</v>
      </c>
      <c r="E61" s="28"/>
      <c r="F61" s="28"/>
      <c r="G61" s="28"/>
      <c r="H61" s="28"/>
      <c r="I61" s="28">
        <v>245714</v>
      </c>
      <c r="J61" s="28"/>
      <c r="K61" s="28"/>
      <c r="L61" s="28"/>
      <c r="M61" s="28"/>
      <c r="N61" s="28">
        <f t="shared" si="0"/>
        <v>47353</v>
      </c>
      <c r="O61" s="28">
        <f>+E61+G61+I61-H61</f>
        <v>245714</v>
      </c>
      <c r="P61" s="45">
        <v>2020</v>
      </c>
    </row>
    <row r="62" spans="1:17" ht="21.65" hidden="1" customHeight="1" x14ac:dyDescent="0.35">
      <c r="A62" s="211" t="s">
        <v>285</v>
      </c>
      <c r="B62" s="30" t="s">
        <v>42</v>
      </c>
      <c r="C62" s="28" t="s">
        <v>697</v>
      </c>
      <c r="D62" s="35"/>
      <c r="E62" s="35">
        <v>0</v>
      </c>
      <c r="F62" s="35"/>
      <c r="G62" s="35">
        <v>2057</v>
      </c>
      <c r="H62" s="35">
        <v>2057</v>
      </c>
      <c r="I62" s="35">
        <v>0</v>
      </c>
      <c r="J62" s="35">
        <v>0</v>
      </c>
      <c r="K62" s="35"/>
      <c r="L62" s="35">
        <v>0</v>
      </c>
      <c r="M62" s="35">
        <v>0</v>
      </c>
      <c r="N62" s="28">
        <f t="shared" si="0"/>
        <v>0</v>
      </c>
      <c r="O62" s="28"/>
      <c r="P62" s="45">
        <v>2020</v>
      </c>
    </row>
    <row r="63" spans="1:17" ht="21.65" hidden="1" customHeight="1" x14ac:dyDescent="0.35">
      <c r="A63" s="212" t="s">
        <v>151</v>
      </c>
      <c r="B63" s="28"/>
      <c r="C63" s="28" t="s">
        <v>48</v>
      </c>
      <c r="D63" s="58">
        <f>259421+101603+166416</f>
        <v>527440</v>
      </c>
      <c r="E63" s="28"/>
      <c r="F63" s="28"/>
      <c r="G63" s="28">
        <v>46108</v>
      </c>
      <c r="H63" s="28">
        <f>4348+0</f>
        <v>4348</v>
      </c>
      <c r="I63" s="28">
        <f>131274+657958+466842</f>
        <v>1256074</v>
      </c>
      <c r="J63" s="28"/>
      <c r="K63" s="28"/>
      <c r="L63" s="28">
        <v>182296</v>
      </c>
      <c r="M63" s="28">
        <f>19978</f>
        <v>19978</v>
      </c>
      <c r="N63" s="28">
        <f t="shared" si="0"/>
        <v>485680</v>
      </c>
      <c r="O63" s="28">
        <f t="shared" ref="O63:O96" si="1">+I63+J63+M63-L63</f>
        <v>1093756</v>
      </c>
      <c r="P63" s="45">
        <v>2020</v>
      </c>
    </row>
    <row r="64" spans="1:17" ht="21.65" hidden="1" customHeight="1" x14ac:dyDescent="0.35">
      <c r="A64" s="213" t="s">
        <v>79</v>
      </c>
      <c r="B64" s="30" t="s">
        <v>66</v>
      </c>
      <c r="C64" s="29" t="s">
        <v>698</v>
      </c>
      <c r="D64" s="35">
        <v>1769240</v>
      </c>
      <c r="E64" s="35">
        <v>912826</v>
      </c>
      <c r="F64" s="35"/>
      <c r="G64" s="35">
        <v>13150</v>
      </c>
      <c r="H64" s="35">
        <v>37603</v>
      </c>
      <c r="I64" s="35">
        <v>75088294</v>
      </c>
      <c r="J64" s="35">
        <v>36347814</v>
      </c>
      <c r="K64" s="35"/>
      <c r="L64" s="35">
        <v>365998</v>
      </c>
      <c r="M64" s="35">
        <v>1057559</v>
      </c>
      <c r="N64" s="28">
        <f t="shared" si="0"/>
        <v>2706519</v>
      </c>
      <c r="O64" s="28">
        <f t="shared" si="1"/>
        <v>112127669</v>
      </c>
      <c r="P64" s="45">
        <v>2020</v>
      </c>
    </row>
    <row r="65" spans="1:16" ht="21.65" hidden="1" customHeight="1" x14ac:dyDescent="0.35">
      <c r="A65" s="212" t="s">
        <v>1585</v>
      </c>
      <c r="B65" s="28"/>
      <c r="C65" s="28" t="s">
        <v>64</v>
      </c>
      <c r="D65" s="58">
        <v>1526138</v>
      </c>
      <c r="E65" s="28">
        <v>106626</v>
      </c>
      <c r="F65" s="28"/>
      <c r="G65" s="28"/>
      <c r="H65" s="28"/>
      <c r="I65" s="28">
        <v>12361013</v>
      </c>
      <c r="J65" s="28"/>
      <c r="K65" s="28"/>
      <c r="L65" s="28"/>
      <c r="M65" s="28"/>
      <c r="N65" s="28">
        <f t="shared" si="0"/>
        <v>1632764</v>
      </c>
      <c r="O65" s="28">
        <f t="shared" si="1"/>
        <v>12361013</v>
      </c>
      <c r="P65" s="45">
        <v>2020</v>
      </c>
    </row>
    <row r="66" spans="1:16" ht="21.65" hidden="1" customHeight="1" x14ac:dyDescent="0.35">
      <c r="A66" s="212" t="s">
        <v>1585</v>
      </c>
      <c r="B66" s="28"/>
      <c r="C66" s="28" t="s">
        <v>48</v>
      </c>
      <c r="D66" s="28">
        <v>23164</v>
      </c>
      <c r="E66" s="28"/>
      <c r="F66" s="28"/>
      <c r="G66" s="28"/>
      <c r="H66" s="28"/>
      <c r="I66" s="28">
        <v>156903</v>
      </c>
      <c r="J66" s="28"/>
      <c r="K66" s="28"/>
      <c r="L66" s="28"/>
      <c r="M66" s="28"/>
      <c r="N66" s="28">
        <f t="shared" si="0"/>
        <v>23164</v>
      </c>
      <c r="O66" s="28">
        <f t="shared" si="1"/>
        <v>156903</v>
      </c>
      <c r="P66" s="45">
        <v>2020</v>
      </c>
    </row>
    <row r="67" spans="1:16" ht="21.65" hidden="1" customHeight="1" x14ac:dyDescent="0.35">
      <c r="A67" s="179" t="s">
        <v>317</v>
      </c>
      <c r="B67" s="30" t="s">
        <v>66</v>
      </c>
      <c r="C67" s="29" t="s">
        <v>698</v>
      </c>
      <c r="D67" s="35">
        <v>1191988</v>
      </c>
      <c r="E67" s="35">
        <v>400714</v>
      </c>
      <c r="F67" s="35"/>
      <c r="G67" s="35">
        <v>0</v>
      </c>
      <c r="H67" s="35">
        <v>18771</v>
      </c>
      <c r="I67" s="35">
        <v>52869758</v>
      </c>
      <c r="J67" s="35">
        <v>15409945</v>
      </c>
      <c r="K67" s="35"/>
      <c r="L67" s="35">
        <v>0</v>
      </c>
      <c r="M67" s="35">
        <v>402639</v>
      </c>
      <c r="N67" s="28">
        <f t="shared" si="0"/>
        <v>1611473</v>
      </c>
      <c r="O67" s="28">
        <f t="shared" si="1"/>
        <v>68682342</v>
      </c>
      <c r="P67" s="45">
        <v>2020</v>
      </c>
    </row>
    <row r="68" spans="1:16" ht="21.65" hidden="1" customHeight="1" x14ac:dyDescent="0.35">
      <c r="A68" s="217" t="s">
        <v>495</v>
      </c>
      <c r="B68" s="28"/>
      <c r="C68" s="28" t="s">
        <v>451</v>
      </c>
      <c r="D68" s="58">
        <v>1400</v>
      </c>
      <c r="E68" s="28"/>
      <c r="F68" s="28"/>
      <c r="G68" s="28"/>
      <c r="H68" s="28"/>
      <c r="I68" s="28">
        <v>11705</v>
      </c>
      <c r="J68" s="28"/>
      <c r="K68" s="28"/>
      <c r="L68" s="28"/>
      <c r="M68" s="28"/>
      <c r="N68" s="28">
        <f t="shared" si="0"/>
        <v>1400</v>
      </c>
      <c r="O68" s="28">
        <f t="shared" si="1"/>
        <v>11705</v>
      </c>
      <c r="P68" s="45">
        <v>2020</v>
      </c>
    </row>
    <row r="69" spans="1:16" ht="21.65" hidden="1" customHeight="1" x14ac:dyDescent="0.35">
      <c r="A69" s="213" t="s">
        <v>54</v>
      </c>
      <c r="B69" s="22" t="s">
        <v>326</v>
      </c>
      <c r="C69" s="28" t="s">
        <v>59</v>
      </c>
      <c r="D69" s="35">
        <v>13916</v>
      </c>
      <c r="E69" s="35"/>
      <c r="F69" s="35"/>
      <c r="G69" s="35">
        <v>0</v>
      </c>
      <c r="H69" s="35">
        <v>1460</v>
      </c>
      <c r="I69" s="35">
        <v>417480</v>
      </c>
      <c r="J69" s="35">
        <v>0</v>
      </c>
      <c r="K69" s="35"/>
      <c r="L69" s="35">
        <v>0</v>
      </c>
      <c r="M69" s="35">
        <v>0</v>
      </c>
      <c r="N69" s="28">
        <f t="shared" si="0"/>
        <v>15376</v>
      </c>
      <c r="O69" s="28">
        <f t="shared" si="1"/>
        <v>417480</v>
      </c>
      <c r="P69" s="45">
        <v>2020</v>
      </c>
    </row>
    <row r="70" spans="1:16" ht="21.65" hidden="1" customHeight="1" x14ac:dyDescent="0.35">
      <c r="A70" s="213" t="s">
        <v>67</v>
      </c>
      <c r="B70" s="22" t="s">
        <v>66</v>
      </c>
      <c r="C70" s="28" t="s">
        <v>70</v>
      </c>
      <c r="D70" s="58"/>
      <c r="E70" s="28">
        <f>34924+26917+21416</f>
        <v>83257</v>
      </c>
      <c r="F70" s="28"/>
      <c r="G70" s="28">
        <f>2654+2331+1938</f>
        <v>6923</v>
      </c>
      <c r="H70" s="28">
        <f>1121+1252+5669</f>
        <v>8042</v>
      </c>
      <c r="I70" s="28"/>
      <c r="J70" s="28">
        <f>27828870+20328016+3775434</f>
        <v>51932320</v>
      </c>
      <c r="K70" s="28"/>
      <c r="L70" s="28">
        <v>3020161</v>
      </c>
      <c r="M70" s="28">
        <v>1255685</v>
      </c>
      <c r="N70" s="28">
        <f t="shared" si="0"/>
        <v>84376</v>
      </c>
      <c r="O70" s="28">
        <f t="shared" si="1"/>
        <v>50167844</v>
      </c>
      <c r="P70" s="45">
        <v>2020</v>
      </c>
    </row>
    <row r="71" spans="1:16" ht="21.65" hidden="1" customHeight="1" x14ac:dyDescent="0.35">
      <c r="A71" s="213" t="s">
        <v>67</v>
      </c>
      <c r="B71" s="22" t="s">
        <v>66</v>
      </c>
      <c r="C71" s="28" t="s">
        <v>699</v>
      </c>
      <c r="D71" s="58"/>
      <c r="E71" s="28">
        <f>345531+26700+139768</f>
        <v>511999</v>
      </c>
      <c r="F71" s="28"/>
      <c r="G71" s="28">
        <v>35388</v>
      </c>
      <c r="H71" s="28">
        <f>37172+90+7567</f>
        <v>44829</v>
      </c>
      <c r="I71" s="28"/>
      <c r="J71" s="28">
        <f>36866336+3513689+17700857</f>
        <v>58080882</v>
      </c>
      <c r="K71" s="28"/>
      <c r="L71" s="28">
        <v>2004205</v>
      </c>
      <c r="M71" s="28">
        <v>2751818</v>
      </c>
      <c r="N71" s="28">
        <f t="shared" si="0"/>
        <v>521440</v>
      </c>
      <c r="O71" s="28">
        <f t="shared" si="1"/>
        <v>58828495</v>
      </c>
      <c r="P71" s="45">
        <v>2020</v>
      </c>
    </row>
    <row r="72" spans="1:16" ht="21.65" hidden="1" customHeight="1" x14ac:dyDescent="0.35">
      <c r="A72" s="213" t="s">
        <v>67</v>
      </c>
      <c r="B72" s="22" t="s">
        <v>66</v>
      </c>
      <c r="C72" s="28" t="s">
        <v>700</v>
      </c>
      <c r="D72" s="58"/>
      <c r="E72" s="28">
        <v>3980</v>
      </c>
      <c r="F72" s="28"/>
      <c r="G72" s="28">
        <v>1</v>
      </c>
      <c r="H72" s="28">
        <v>65</v>
      </c>
      <c r="I72" s="28"/>
      <c r="J72" s="28">
        <v>2786713</v>
      </c>
      <c r="K72" s="28"/>
      <c r="L72" s="28">
        <v>563</v>
      </c>
      <c r="M72" s="28">
        <v>23396</v>
      </c>
      <c r="N72" s="28">
        <f t="shared" si="0"/>
        <v>4044</v>
      </c>
      <c r="O72" s="28">
        <f t="shared" si="1"/>
        <v>2809546</v>
      </c>
      <c r="P72" s="45">
        <v>2020</v>
      </c>
    </row>
    <row r="73" spans="1:16" ht="21.65" hidden="1" customHeight="1" x14ac:dyDescent="0.35">
      <c r="A73" s="213" t="s">
        <v>67</v>
      </c>
      <c r="B73" s="22" t="s">
        <v>66</v>
      </c>
      <c r="C73" s="28" t="s">
        <v>701</v>
      </c>
      <c r="D73" s="58"/>
      <c r="E73" s="28">
        <v>5640</v>
      </c>
      <c r="F73" s="28"/>
      <c r="G73" s="28">
        <v>189</v>
      </c>
      <c r="H73" s="28">
        <v>50</v>
      </c>
      <c r="I73" s="28"/>
      <c r="J73" s="28">
        <v>2379423</v>
      </c>
      <c r="K73" s="28"/>
      <c r="L73" s="28">
        <v>45033</v>
      </c>
      <c r="M73" s="28">
        <v>12605</v>
      </c>
      <c r="N73" s="28">
        <f t="shared" si="0"/>
        <v>5501</v>
      </c>
      <c r="O73" s="28">
        <f t="shared" si="1"/>
        <v>2346995</v>
      </c>
      <c r="P73" s="45">
        <v>2020</v>
      </c>
    </row>
    <row r="74" spans="1:16" ht="21.65" hidden="1" customHeight="1" x14ac:dyDescent="0.35">
      <c r="A74" s="215" t="s">
        <v>62</v>
      </c>
      <c r="B74" s="30" t="s">
        <v>66</v>
      </c>
      <c r="C74" s="28" t="s">
        <v>64</v>
      </c>
      <c r="D74" s="35">
        <v>1441983</v>
      </c>
      <c r="E74" s="35"/>
      <c r="F74" s="35"/>
      <c r="G74" s="35"/>
      <c r="H74" s="35">
        <v>57767</v>
      </c>
      <c r="I74" s="35">
        <v>10819544</v>
      </c>
      <c r="J74" s="35">
        <v>0</v>
      </c>
      <c r="K74" s="35"/>
      <c r="L74" s="35">
        <v>0</v>
      </c>
      <c r="M74" s="35">
        <f>H74*I74/D74</f>
        <v>433439.64405128214</v>
      </c>
      <c r="N74" s="28">
        <f t="shared" si="0"/>
        <v>1499750</v>
      </c>
      <c r="O74" s="28">
        <f t="shared" si="1"/>
        <v>11252983.644051282</v>
      </c>
      <c r="P74" s="45">
        <v>2020</v>
      </c>
    </row>
    <row r="75" spans="1:16" ht="21.65" hidden="1" customHeight="1" x14ac:dyDescent="0.35">
      <c r="A75" s="215" t="s">
        <v>517</v>
      </c>
      <c r="B75" s="30"/>
      <c r="C75" s="30" t="s">
        <v>451</v>
      </c>
      <c r="D75" s="35">
        <v>81334</v>
      </c>
      <c r="E75" s="35">
        <v>0</v>
      </c>
      <c r="F75" s="35"/>
      <c r="G75" s="35">
        <v>0</v>
      </c>
      <c r="H75" s="35">
        <v>0</v>
      </c>
      <c r="I75" s="35">
        <v>583960.72499999998</v>
      </c>
      <c r="J75" s="35">
        <v>0</v>
      </c>
      <c r="K75" s="35"/>
      <c r="L75" s="35">
        <v>0</v>
      </c>
      <c r="M75" s="35">
        <v>0</v>
      </c>
      <c r="N75" s="28">
        <f t="shared" si="0"/>
        <v>81334</v>
      </c>
      <c r="O75" s="28">
        <f t="shared" si="1"/>
        <v>583960.72499999998</v>
      </c>
      <c r="P75" s="45">
        <v>2020</v>
      </c>
    </row>
    <row r="76" spans="1:16" ht="21.65" hidden="1" customHeight="1" x14ac:dyDescent="0.35">
      <c r="A76" s="215" t="s">
        <v>73</v>
      </c>
      <c r="B76" s="30"/>
      <c r="C76" s="28" t="s">
        <v>64</v>
      </c>
      <c r="D76" s="35">
        <v>71163</v>
      </c>
      <c r="E76" s="35">
        <v>0</v>
      </c>
      <c r="F76" s="35"/>
      <c r="G76" s="35">
        <v>0</v>
      </c>
      <c r="H76" s="35">
        <v>0</v>
      </c>
      <c r="I76" s="35">
        <v>239143</v>
      </c>
      <c r="J76" s="35">
        <v>0</v>
      </c>
      <c r="K76" s="35"/>
      <c r="L76" s="35">
        <v>0</v>
      </c>
      <c r="M76" s="35">
        <v>0</v>
      </c>
      <c r="N76" s="28">
        <f t="shared" si="0"/>
        <v>71163</v>
      </c>
      <c r="O76" s="28">
        <f t="shared" si="1"/>
        <v>239143</v>
      </c>
      <c r="P76" s="45">
        <v>2020</v>
      </c>
    </row>
    <row r="77" spans="1:16" ht="21.65" hidden="1" customHeight="1" x14ac:dyDescent="0.35">
      <c r="A77" s="213" t="s">
        <v>344</v>
      </c>
      <c r="B77" s="29"/>
      <c r="C77" s="50" t="s">
        <v>48</v>
      </c>
      <c r="D77" s="35">
        <v>170000</v>
      </c>
      <c r="E77" s="35">
        <v>0</v>
      </c>
      <c r="F77" s="35"/>
      <c r="G77" s="35">
        <v>0</v>
      </c>
      <c r="H77" s="35">
        <v>0</v>
      </c>
      <c r="I77" s="35">
        <v>907000</v>
      </c>
      <c r="J77" s="35">
        <v>0</v>
      </c>
      <c r="K77" s="35"/>
      <c r="L77" s="35">
        <v>0</v>
      </c>
      <c r="M77" s="35">
        <v>0</v>
      </c>
      <c r="N77" s="28">
        <f t="shared" si="0"/>
        <v>170000</v>
      </c>
      <c r="O77" s="28">
        <f t="shared" si="1"/>
        <v>907000</v>
      </c>
      <c r="P77" s="45">
        <v>2020</v>
      </c>
    </row>
    <row r="78" spans="1:16" ht="21.65" hidden="1" customHeight="1" x14ac:dyDescent="0.35">
      <c r="A78" s="213" t="s">
        <v>75</v>
      </c>
      <c r="B78" s="30" t="s">
        <v>66</v>
      </c>
      <c r="C78" s="30" t="s">
        <v>708</v>
      </c>
      <c r="D78" s="35">
        <v>103869</v>
      </c>
      <c r="E78" s="35">
        <v>56005</v>
      </c>
      <c r="F78" s="35"/>
      <c r="G78" s="35">
        <v>24364</v>
      </c>
      <c r="H78" s="35">
        <v>62669</v>
      </c>
      <c r="I78" s="35">
        <v>20288247</v>
      </c>
      <c r="J78" s="35">
        <v>12074836</v>
      </c>
      <c r="K78" s="35"/>
      <c r="L78" s="35">
        <v>3217540</v>
      </c>
      <c r="M78" s="35">
        <v>10928441</v>
      </c>
      <c r="N78" s="28">
        <f t="shared" si="0"/>
        <v>198179</v>
      </c>
      <c r="O78" s="28">
        <f t="shared" si="1"/>
        <v>40073984</v>
      </c>
      <c r="P78" s="45">
        <v>2020</v>
      </c>
    </row>
    <row r="79" spans="1:16" ht="21.65" hidden="1" customHeight="1" x14ac:dyDescent="0.35">
      <c r="A79" s="213" t="s">
        <v>75</v>
      </c>
      <c r="B79" s="30" t="s">
        <v>66</v>
      </c>
      <c r="C79" s="28" t="s">
        <v>703</v>
      </c>
      <c r="D79" s="35">
        <v>9</v>
      </c>
      <c r="E79" s="35">
        <v>457943</v>
      </c>
      <c r="F79" s="35"/>
      <c r="G79" s="35">
        <v>58924</v>
      </c>
      <c r="H79" s="35">
        <v>48183</v>
      </c>
      <c r="I79" s="35">
        <v>4917</v>
      </c>
      <c r="J79" s="35">
        <v>166008591</v>
      </c>
      <c r="K79" s="35"/>
      <c r="L79" s="35">
        <v>14746813</v>
      </c>
      <c r="M79" s="35">
        <v>10659636</v>
      </c>
      <c r="N79" s="28">
        <f t="shared" si="0"/>
        <v>447211</v>
      </c>
      <c r="O79" s="28">
        <f t="shared" si="1"/>
        <v>161926331</v>
      </c>
      <c r="P79" s="45">
        <v>2020</v>
      </c>
    </row>
    <row r="80" spans="1:16" ht="21.65" hidden="1" customHeight="1" x14ac:dyDescent="0.35">
      <c r="A80" s="213" t="s">
        <v>75</v>
      </c>
      <c r="B80" s="30" t="s">
        <v>66</v>
      </c>
      <c r="C80" s="28" t="s">
        <v>697</v>
      </c>
      <c r="D80" s="35">
        <v>0</v>
      </c>
      <c r="E80" s="35">
        <v>0</v>
      </c>
      <c r="F80" s="35"/>
      <c r="G80" s="35">
        <v>71572</v>
      </c>
      <c r="H80" s="35">
        <v>180608</v>
      </c>
      <c r="I80" s="35">
        <v>0</v>
      </c>
      <c r="J80" s="35">
        <v>0</v>
      </c>
      <c r="K80" s="35"/>
      <c r="L80" s="35">
        <v>2219688</v>
      </c>
      <c r="M80" s="35">
        <v>4946108</v>
      </c>
      <c r="N80" s="28">
        <f t="shared" si="0"/>
        <v>109036</v>
      </c>
      <c r="O80" s="28">
        <f>+I80+J80+M80-L80</f>
        <v>2726420</v>
      </c>
      <c r="P80" s="45">
        <v>2020</v>
      </c>
    </row>
    <row r="81" spans="1:17" ht="21.65" hidden="1" customHeight="1" x14ac:dyDescent="0.35">
      <c r="A81" s="213" t="s">
        <v>354</v>
      </c>
      <c r="B81" s="29"/>
      <c r="C81" s="50" t="s">
        <v>64</v>
      </c>
      <c r="D81" s="35">
        <v>205405</v>
      </c>
      <c r="E81" s="35">
        <v>0</v>
      </c>
      <c r="F81" s="35"/>
      <c r="G81" s="35">
        <v>0</v>
      </c>
      <c r="H81" s="35">
        <v>0</v>
      </c>
      <c r="I81" s="35">
        <v>1559846</v>
      </c>
      <c r="J81" s="35">
        <v>0</v>
      </c>
      <c r="K81" s="35"/>
      <c r="L81" s="35">
        <v>0</v>
      </c>
      <c r="M81" s="35">
        <v>0</v>
      </c>
      <c r="N81" s="28">
        <f t="shared" si="0"/>
        <v>205405</v>
      </c>
      <c r="O81" s="28">
        <f t="shared" si="1"/>
        <v>1559846</v>
      </c>
      <c r="P81" s="45">
        <v>2020</v>
      </c>
    </row>
    <row r="82" spans="1:17" ht="21.65" hidden="1" customHeight="1" x14ac:dyDescent="0.35">
      <c r="A82" s="213" t="s">
        <v>373</v>
      </c>
      <c r="B82" s="30" t="s">
        <v>136</v>
      </c>
      <c r="C82" s="30" t="s">
        <v>431</v>
      </c>
      <c r="D82" s="35">
        <v>0</v>
      </c>
      <c r="E82" s="35">
        <v>5.3128000000000002</v>
      </c>
      <c r="F82" s="35"/>
      <c r="G82" s="35">
        <v>0.24529999999999999</v>
      </c>
      <c r="H82" s="35">
        <v>0.1857</v>
      </c>
      <c r="I82" s="35">
        <f>G82-H82</f>
        <v>5.9599999999999986E-2</v>
      </c>
      <c r="J82" s="35">
        <v>156789785</v>
      </c>
      <c r="K82" s="35"/>
      <c r="L82" s="35">
        <v>3214112</v>
      </c>
      <c r="M82" s="35">
        <v>3100100</v>
      </c>
      <c r="N82" s="167">
        <f t="shared" si="0"/>
        <v>5.2531999999999996</v>
      </c>
      <c r="O82" s="28">
        <f t="shared" si="1"/>
        <v>156675773.0596</v>
      </c>
      <c r="P82" s="45">
        <v>2020</v>
      </c>
    </row>
    <row r="83" spans="1:17" ht="21.65" hidden="1" customHeight="1" x14ac:dyDescent="0.35">
      <c r="A83" s="213" t="s">
        <v>373</v>
      </c>
      <c r="B83" s="30" t="s">
        <v>136</v>
      </c>
      <c r="C83" s="30" t="s">
        <v>709</v>
      </c>
      <c r="D83" s="35">
        <v>0</v>
      </c>
      <c r="E83" s="35">
        <v>0.59904999999999997</v>
      </c>
      <c r="F83" s="35"/>
      <c r="G83" s="35">
        <v>0</v>
      </c>
      <c r="H83" s="35">
        <v>0</v>
      </c>
      <c r="I83" s="35">
        <v>0</v>
      </c>
      <c r="J83" s="35">
        <v>219912</v>
      </c>
      <c r="K83" s="35"/>
      <c r="L83" s="35">
        <v>0</v>
      </c>
      <c r="M83" s="35">
        <v>0</v>
      </c>
      <c r="N83" s="167">
        <f t="shared" si="0"/>
        <v>0.59904999999999997</v>
      </c>
      <c r="O83" s="28">
        <f t="shared" si="1"/>
        <v>219912</v>
      </c>
      <c r="P83" s="45">
        <v>2020</v>
      </c>
    </row>
    <row r="84" spans="1:17" ht="21.65" hidden="1" customHeight="1" x14ac:dyDescent="0.35">
      <c r="A84" s="213" t="s">
        <v>374</v>
      </c>
      <c r="B84" s="29"/>
      <c r="C84" s="30" t="s">
        <v>554</v>
      </c>
      <c r="D84" s="35">
        <v>786</v>
      </c>
      <c r="E84" s="35">
        <f>4205+310</f>
        <v>4515</v>
      </c>
      <c r="F84" s="35"/>
      <c r="G84" s="35">
        <v>0</v>
      </c>
      <c r="H84" s="35">
        <v>0</v>
      </c>
      <c r="I84" s="35">
        <v>102370</v>
      </c>
      <c r="J84" s="35">
        <v>361452</v>
      </c>
      <c r="K84" s="35"/>
      <c r="L84" s="35">
        <v>0</v>
      </c>
      <c r="M84" s="35">
        <v>0</v>
      </c>
      <c r="N84" s="28">
        <f t="shared" si="0"/>
        <v>5301</v>
      </c>
      <c r="O84" s="28">
        <f t="shared" si="1"/>
        <v>463822</v>
      </c>
      <c r="P84" s="45">
        <v>2020</v>
      </c>
    </row>
    <row r="85" spans="1:17" ht="21.65" customHeight="1" x14ac:dyDescent="0.35">
      <c r="A85" s="213" t="s">
        <v>93</v>
      </c>
      <c r="B85" s="30" t="s">
        <v>136</v>
      </c>
      <c r="C85" s="30" t="s">
        <v>431</v>
      </c>
      <c r="D85" s="35">
        <v>0.26</v>
      </c>
      <c r="E85" s="35">
        <v>6.78</v>
      </c>
      <c r="F85" s="35"/>
      <c r="G85" s="35">
        <v>0.2</v>
      </c>
      <c r="H85" s="35">
        <v>0.3</v>
      </c>
      <c r="I85" s="35">
        <v>8692666</v>
      </c>
      <c r="J85" s="35">
        <v>220079269</v>
      </c>
      <c r="K85" s="35"/>
      <c r="L85" s="28">
        <v>3160292</v>
      </c>
      <c r="M85" s="28">
        <v>3897644</v>
      </c>
      <c r="N85" s="167">
        <f t="shared" si="0"/>
        <v>7.14</v>
      </c>
      <c r="O85" s="28">
        <f t="shared" si="1"/>
        <v>229509287</v>
      </c>
      <c r="P85" s="45">
        <v>2020</v>
      </c>
    </row>
    <row r="86" spans="1:17" ht="21.65" customHeight="1" x14ac:dyDescent="0.35">
      <c r="A86" s="213" t="s">
        <v>93</v>
      </c>
      <c r="B86" s="30" t="s">
        <v>136</v>
      </c>
      <c r="C86" s="30" t="s">
        <v>709</v>
      </c>
      <c r="D86" s="35">
        <v>0</v>
      </c>
      <c r="E86" s="35">
        <v>0.45</v>
      </c>
      <c r="F86" s="35"/>
      <c r="G86" s="35">
        <v>0</v>
      </c>
      <c r="H86" s="35">
        <v>0</v>
      </c>
      <c r="I86" s="35">
        <v>0</v>
      </c>
      <c r="J86" s="35">
        <v>193308</v>
      </c>
      <c r="K86" s="35"/>
      <c r="L86" s="35">
        <v>0</v>
      </c>
      <c r="M86" s="35">
        <v>0</v>
      </c>
      <c r="N86" s="167">
        <f t="shared" si="0"/>
        <v>0.45</v>
      </c>
      <c r="O86" s="28">
        <f t="shared" si="1"/>
        <v>193308</v>
      </c>
      <c r="P86" s="45">
        <v>2020</v>
      </c>
    </row>
    <row r="87" spans="1:17" ht="21.65" hidden="1" customHeight="1" x14ac:dyDescent="0.35">
      <c r="A87" s="213" t="s">
        <v>101</v>
      </c>
      <c r="B87" s="22" t="s">
        <v>66</v>
      </c>
      <c r="C87" s="28" t="s">
        <v>104</v>
      </c>
      <c r="D87" s="35">
        <v>114</v>
      </c>
      <c r="E87" s="35">
        <f>477+16575</f>
        <v>17052</v>
      </c>
      <c r="F87" s="35"/>
      <c r="G87" s="35">
        <f>9461+2543</f>
        <v>12004</v>
      </c>
      <c r="H87" s="35">
        <f>4063+2959</f>
        <v>7022</v>
      </c>
      <c r="I87" s="35">
        <v>4911</v>
      </c>
      <c r="J87" s="35">
        <f>15643+695474</f>
        <v>711117</v>
      </c>
      <c r="K87" s="35"/>
      <c r="L87" s="35">
        <v>245801</v>
      </c>
      <c r="M87" s="35">
        <v>190088</v>
      </c>
      <c r="N87" s="28">
        <f t="shared" si="0"/>
        <v>12184</v>
      </c>
      <c r="O87" s="28">
        <f t="shared" si="1"/>
        <v>660315</v>
      </c>
      <c r="P87" s="45">
        <v>2020</v>
      </c>
    </row>
    <row r="88" spans="1:17" ht="21.65" hidden="1" customHeight="1" x14ac:dyDescent="0.35">
      <c r="A88" s="213" t="s">
        <v>101</v>
      </c>
      <c r="B88" s="22" t="s">
        <v>66</v>
      </c>
      <c r="C88" s="28" t="s">
        <v>705</v>
      </c>
      <c r="D88" s="35">
        <v>0</v>
      </c>
      <c r="E88" s="35">
        <f>316+2732+5135+7182</f>
        <v>15365</v>
      </c>
      <c r="F88" s="35"/>
      <c r="G88" s="35">
        <f>372+384+7996</f>
        <v>8752</v>
      </c>
      <c r="H88" s="35">
        <f>230+394+829+21537</f>
        <v>22990</v>
      </c>
      <c r="I88" s="35">
        <v>0</v>
      </c>
      <c r="J88" s="35">
        <f>16561+188177+495778+376846</f>
        <v>1077362</v>
      </c>
      <c r="K88" s="35"/>
      <c r="L88" s="35">
        <f>15048+11862+51409</f>
        <v>78319</v>
      </c>
      <c r="M88" s="35">
        <f>10266+16304+24599</f>
        <v>51169</v>
      </c>
      <c r="N88" s="28">
        <f t="shared" si="0"/>
        <v>29603</v>
      </c>
      <c r="O88" s="28">
        <f t="shared" si="1"/>
        <v>1050212</v>
      </c>
      <c r="P88" s="45">
        <v>2020</v>
      </c>
    </row>
    <row r="89" spans="1:17" ht="21.65" hidden="1" customHeight="1" x14ac:dyDescent="0.35">
      <c r="A89" s="213" t="s">
        <v>384</v>
      </c>
      <c r="B89" s="29"/>
      <c r="C89" s="30" t="s">
        <v>451</v>
      </c>
      <c r="D89" s="35">
        <v>74005</v>
      </c>
      <c r="E89" s="35">
        <v>0</v>
      </c>
      <c r="F89" s="35"/>
      <c r="G89" s="35">
        <v>0</v>
      </c>
      <c r="H89" s="35">
        <v>0</v>
      </c>
      <c r="I89" s="28">
        <v>481032</v>
      </c>
      <c r="J89" s="35">
        <v>0</v>
      </c>
      <c r="K89" s="35"/>
      <c r="L89" s="35">
        <v>0</v>
      </c>
      <c r="M89" s="35">
        <v>0</v>
      </c>
      <c r="N89" s="28">
        <f t="shared" si="0"/>
        <v>74005</v>
      </c>
      <c r="O89" s="28">
        <f t="shared" si="1"/>
        <v>481032</v>
      </c>
      <c r="P89" s="45">
        <v>2020</v>
      </c>
    </row>
    <row r="90" spans="1:17" ht="21.65" hidden="1" customHeight="1" x14ac:dyDescent="0.35">
      <c r="A90" s="213" t="s">
        <v>106</v>
      </c>
      <c r="B90" s="29" t="s">
        <v>66</v>
      </c>
      <c r="C90" s="28" t="s">
        <v>697</v>
      </c>
      <c r="D90" s="35">
        <v>28174</v>
      </c>
      <c r="E90" s="35">
        <v>30136</v>
      </c>
      <c r="F90" s="35"/>
      <c r="G90" s="35">
        <v>25327</v>
      </c>
      <c r="H90" s="35">
        <v>11073</v>
      </c>
      <c r="I90" s="35">
        <v>844048</v>
      </c>
      <c r="J90" s="35">
        <v>794205</v>
      </c>
      <c r="K90" s="35"/>
      <c r="L90" s="35">
        <v>711157</v>
      </c>
      <c r="M90" s="35">
        <v>310919</v>
      </c>
      <c r="N90" s="28">
        <f t="shared" si="0"/>
        <v>44056</v>
      </c>
      <c r="O90" s="28">
        <f t="shared" si="1"/>
        <v>1238015</v>
      </c>
      <c r="P90" s="45">
        <v>2020</v>
      </c>
    </row>
    <row r="91" spans="1:17" ht="21.65" hidden="1" customHeight="1" x14ac:dyDescent="0.35">
      <c r="A91" s="213" t="s">
        <v>112</v>
      </c>
      <c r="B91" s="29"/>
      <c r="C91" s="30" t="s">
        <v>451</v>
      </c>
      <c r="D91" s="35">
        <v>84161</v>
      </c>
      <c r="E91" s="35">
        <v>0</v>
      </c>
      <c r="F91" s="35"/>
      <c r="G91" s="35">
        <v>60000</v>
      </c>
      <c r="H91" s="28">
        <v>82399</v>
      </c>
      <c r="I91" s="35">
        <v>544320</v>
      </c>
      <c r="J91" s="35"/>
      <c r="K91" s="35"/>
      <c r="L91" s="35">
        <v>388020</v>
      </c>
      <c r="M91" s="35">
        <v>533615</v>
      </c>
      <c r="N91" s="28">
        <f t="shared" si="0"/>
        <v>106560</v>
      </c>
      <c r="O91" s="28">
        <f t="shared" si="1"/>
        <v>689915</v>
      </c>
      <c r="P91" s="45">
        <v>2020</v>
      </c>
    </row>
    <row r="92" spans="1:17" ht="21.65" hidden="1" customHeight="1" x14ac:dyDescent="0.35">
      <c r="A92" s="213" t="s">
        <v>128</v>
      </c>
      <c r="B92" s="30" t="s">
        <v>66</v>
      </c>
      <c r="C92" s="29" t="s">
        <v>698</v>
      </c>
      <c r="D92" s="29">
        <v>2505727</v>
      </c>
      <c r="E92" s="29">
        <f>198589+57353</f>
        <v>255942</v>
      </c>
      <c r="F92" s="29"/>
      <c r="G92" s="29">
        <v>6334</v>
      </c>
      <c r="H92" s="29">
        <v>17302</v>
      </c>
      <c r="I92" s="29">
        <v>109698640</v>
      </c>
      <c r="J92" s="29">
        <f>8079632+2184383+7321594</f>
        <v>17585609</v>
      </c>
      <c r="K92" s="29"/>
      <c r="L92" s="29">
        <v>204972</v>
      </c>
      <c r="M92" s="29">
        <v>561602</v>
      </c>
      <c r="N92" s="29">
        <f t="shared" si="0"/>
        <v>2772637</v>
      </c>
      <c r="O92" s="29">
        <f t="shared" si="1"/>
        <v>127640879</v>
      </c>
      <c r="P92" s="45">
        <v>2020</v>
      </c>
    </row>
    <row r="93" spans="1:17" ht="21.65" hidden="1" customHeight="1" x14ac:dyDescent="0.35">
      <c r="A93" s="213" t="s">
        <v>116</v>
      </c>
      <c r="B93" s="29"/>
      <c r="C93" s="50" t="s">
        <v>48</v>
      </c>
      <c r="D93" s="35">
        <f>92806+80134+97462+13117+28020+1284</f>
        <v>312823</v>
      </c>
      <c r="E93" s="35">
        <v>0</v>
      </c>
      <c r="F93" s="35"/>
      <c r="G93" s="35">
        <v>0</v>
      </c>
      <c r="H93" s="35">
        <v>0</v>
      </c>
      <c r="I93" s="35">
        <v>1274261</v>
      </c>
      <c r="J93" s="35">
        <v>0</v>
      </c>
      <c r="K93" s="35"/>
      <c r="L93" s="35">
        <v>0</v>
      </c>
      <c r="M93" s="35">
        <v>0</v>
      </c>
      <c r="N93" s="28">
        <f t="shared" si="0"/>
        <v>312823</v>
      </c>
      <c r="O93" s="28">
        <f t="shared" si="1"/>
        <v>1274261</v>
      </c>
      <c r="P93" s="45">
        <v>2020</v>
      </c>
    </row>
    <row r="94" spans="1:17" ht="21.65" hidden="1" customHeight="1" x14ac:dyDescent="0.35">
      <c r="A94" s="212" t="s">
        <v>569</v>
      </c>
      <c r="B94" s="30" t="s">
        <v>29</v>
      </c>
      <c r="C94" s="28" t="s">
        <v>697</v>
      </c>
      <c r="D94" s="35">
        <v>123348</v>
      </c>
      <c r="E94" s="35">
        <v>307777</v>
      </c>
      <c r="F94" s="35"/>
      <c r="G94" s="35">
        <v>1098340</v>
      </c>
      <c r="H94" s="35">
        <v>1095627</v>
      </c>
      <c r="I94" s="35">
        <v>3447020</v>
      </c>
      <c r="J94" s="35">
        <v>11233530</v>
      </c>
      <c r="K94" s="35">
        <v>0</v>
      </c>
      <c r="L94" s="164">
        <v>42973709</v>
      </c>
      <c r="M94" s="35">
        <v>43151748</v>
      </c>
      <c r="N94" s="28">
        <f t="shared" si="0"/>
        <v>428412</v>
      </c>
      <c r="O94" s="29">
        <f t="shared" si="1"/>
        <v>14858589</v>
      </c>
      <c r="P94" s="45">
        <v>2020</v>
      </c>
      <c r="Q94" s="172"/>
    </row>
    <row r="95" spans="1:17" ht="21.65" hidden="1" customHeight="1" x14ac:dyDescent="0.35">
      <c r="A95" s="212" t="s">
        <v>572</v>
      </c>
      <c r="B95" s="29"/>
      <c r="C95" s="28" t="s">
        <v>104</v>
      </c>
      <c r="D95" s="35">
        <v>4414</v>
      </c>
      <c r="E95" s="35">
        <v>182331</v>
      </c>
      <c r="F95" s="35"/>
      <c r="G95" s="35">
        <v>10998</v>
      </c>
      <c r="H95" s="35">
        <v>8687</v>
      </c>
      <c r="I95" s="35">
        <v>227868</v>
      </c>
      <c r="J95" s="35">
        <v>8100575</v>
      </c>
      <c r="K95" s="35"/>
      <c r="L95" s="35">
        <v>146942</v>
      </c>
      <c r="M95" s="35">
        <v>112946</v>
      </c>
      <c r="N95" s="28">
        <f t="shared" si="0"/>
        <v>184434</v>
      </c>
      <c r="O95" s="28">
        <f t="shared" si="1"/>
        <v>8294447</v>
      </c>
      <c r="P95" s="45">
        <v>2020</v>
      </c>
    </row>
    <row r="96" spans="1:17" ht="21.65" hidden="1" customHeight="1" x14ac:dyDescent="0.35">
      <c r="A96" s="212" t="s">
        <v>612</v>
      </c>
      <c r="B96" s="29"/>
      <c r="C96" s="30" t="s">
        <v>451</v>
      </c>
      <c r="D96" s="58">
        <v>22972</v>
      </c>
      <c r="E96" s="28"/>
      <c r="F96" s="28"/>
      <c r="G96" s="28"/>
      <c r="H96" s="28">
        <v>11340</v>
      </c>
      <c r="I96" s="28"/>
      <c r="J96" s="28">
        <v>136269</v>
      </c>
      <c r="K96" s="28"/>
      <c r="L96" s="28"/>
      <c r="M96" s="28">
        <v>67268</v>
      </c>
      <c r="N96" s="28">
        <f t="shared" si="0"/>
        <v>34312</v>
      </c>
      <c r="O96" s="28">
        <f t="shared" si="1"/>
        <v>203537</v>
      </c>
      <c r="P96" s="45">
        <v>2020</v>
      </c>
    </row>
    <row r="97" spans="1:16" ht="21.65" hidden="1" customHeight="1" x14ac:dyDescent="0.35">
      <c r="A97" s="213" t="s">
        <v>422</v>
      </c>
      <c r="B97" s="29"/>
      <c r="C97" s="28" t="s">
        <v>64</v>
      </c>
      <c r="D97" s="28">
        <v>310057.26</v>
      </c>
      <c r="E97" s="28"/>
      <c r="F97" s="28"/>
      <c r="G97" s="28">
        <v>33224.959999999999</v>
      </c>
      <c r="H97" s="28">
        <v>14494.45</v>
      </c>
      <c r="I97" s="28">
        <v>2947702.56</v>
      </c>
      <c r="J97" s="28"/>
      <c r="K97" s="28"/>
      <c r="L97" s="28">
        <v>212074.91899999999</v>
      </c>
      <c r="M97" s="28">
        <v>83818.258000000002</v>
      </c>
      <c r="N97" s="28">
        <v>291326.75</v>
      </c>
      <c r="O97" s="28">
        <v>2819445.8990000002</v>
      </c>
      <c r="P97" s="45">
        <v>2020</v>
      </c>
    </row>
    <row r="98" spans="1:16" ht="21.65" hidden="1" customHeight="1" x14ac:dyDescent="0.35">
      <c r="A98" s="212" t="s">
        <v>248</v>
      </c>
      <c r="B98" s="30" t="s">
        <v>66</v>
      </c>
      <c r="C98" s="50" t="s">
        <v>48</v>
      </c>
      <c r="D98" s="35">
        <v>127545</v>
      </c>
      <c r="E98" s="35">
        <v>0</v>
      </c>
      <c r="F98" s="35">
        <v>0</v>
      </c>
      <c r="G98" s="35">
        <v>0</v>
      </c>
      <c r="H98" s="35">
        <v>0</v>
      </c>
      <c r="I98" s="35">
        <v>306018</v>
      </c>
      <c r="J98" s="35">
        <v>0</v>
      </c>
      <c r="K98" s="35">
        <v>0</v>
      </c>
      <c r="L98" s="35">
        <v>0</v>
      </c>
      <c r="M98" s="35">
        <v>0</v>
      </c>
      <c r="N98" s="28">
        <f t="shared" ref="N98:N130" si="2">D98+E98+H98-G98</f>
        <v>127545</v>
      </c>
      <c r="O98" s="28">
        <f>+I98+J98+(M98-L98)</f>
        <v>306018</v>
      </c>
      <c r="P98" s="47">
        <v>2021</v>
      </c>
    </row>
    <row r="99" spans="1:16" ht="21.65" hidden="1" customHeight="1" x14ac:dyDescent="0.35">
      <c r="A99" s="212" t="s">
        <v>434</v>
      </c>
      <c r="B99" s="30" t="s">
        <v>136</v>
      </c>
      <c r="C99" s="30" t="s">
        <v>431</v>
      </c>
      <c r="D99" s="35">
        <v>6.8229999999999999E-2</v>
      </c>
      <c r="E99" s="35">
        <v>0</v>
      </c>
      <c r="F99" s="35">
        <v>0</v>
      </c>
      <c r="G99" s="35">
        <v>0</v>
      </c>
      <c r="H99" s="35">
        <v>0</v>
      </c>
      <c r="I99" s="35">
        <v>2174497</v>
      </c>
      <c r="J99" s="35">
        <v>0</v>
      </c>
      <c r="K99" s="35">
        <v>0</v>
      </c>
      <c r="L99" s="35">
        <v>0</v>
      </c>
      <c r="M99" s="35">
        <v>0</v>
      </c>
      <c r="N99" s="167">
        <f>D99+E99+H99-G99</f>
        <v>6.8229999999999999E-2</v>
      </c>
      <c r="O99" s="28">
        <f>+I99+J99+(M99-L99)</f>
        <v>2174497</v>
      </c>
      <c r="P99" s="47">
        <v>2021</v>
      </c>
    </row>
    <row r="100" spans="1:16" ht="21.65" hidden="1" customHeight="1" x14ac:dyDescent="0.35">
      <c r="A100" s="212" t="s">
        <v>444</v>
      </c>
      <c r="B100" s="30" t="s">
        <v>66</v>
      </c>
      <c r="C100" s="50" t="s">
        <v>48</v>
      </c>
      <c r="D100" s="35">
        <v>103044</v>
      </c>
      <c r="E100" s="35">
        <v>0</v>
      </c>
      <c r="F100" s="35">
        <v>0</v>
      </c>
      <c r="G100" s="35">
        <v>0</v>
      </c>
      <c r="H100" s="35">
        <v>0</v>
      </c>
      <c r="I100" s="35">
        <v>264324</v>
      </c>
      <c r="J100" s="35">
        <v>0</v>
      </c>
      <c r="K100" s="35">
        <v>0</v>
      </c>
      <c r="L100" s="35">
        <v>0</v>
      </c>
      <c r="M100" s="35">
        <v>0</v>
      </c>
      <c r="N100" s="28">
        <f t="shared" si="2"/>
        <v>103044</v>
      </c>
      <c r="O100" s="28">
        <f t="shared" ref="O100:O147" si="3">+I100+J100+(M100-L100)</f>
        <v>264324</v>
      </c>
      <c r="P100" s="47">
        <v>2021</v>
      </c>
    </row>
    <row r="101" spans="1:16" ht="21.65" hidden="1" customHeight="1" x14ac:dyDescent="0.35">
      <c r="A101" s="212" t="s">
        <v>448</v>
      </c>
      <c r="B101" s="30" t="s">
        <v>66</v>
      </c>
      <c r="C101" s="30" t="s">
        <v>451</v>
      </c>
      <c r="D101" s="35">
        <v>156000</v>
      </c>
      <c r="E101" s="35">
        <v>0</v>
      </c>
      <c r="F101" s="35">
        <v>0</v>
      </c>
      <c r="G101" s="35">
        <v>0</v>
      </c>
      <c r="H101" s="35">
        <v>0</v>
      </c>
      <c r="I101" s="35">
        <v>117000</v>
      </c>
      <c r="J101" s="35">
        <v>0</v>
      </c>
      <c r="K101" s="35">
        <v>0</v>
      </c>
      <c r="L101" s="35">
        <v>0</v>
      </c>
      <c r="M101" s="35">
        <v>0</v>
      </c>
      <c r="N101" s="28">
        <f t="shared" si="2"/>
        <v>156000</v>
      </c>
      <c r="O101" s="28">
        <f t="shared" si="3"/>
        <v>117000</v>
      </c>
      <c r="P101" s="47">
        <v>2021</v>
      </c>
    </row>
    <row r="102" spans="1:16" ht="21.65" hidden="1" customHeight="1" x14ac:dyDescent="0.35">
      <c r="A102" s="212" t="s">
        <v>151</v>
      </c>
      <c r="B102" s="30" t="s">
        <v>66</v>
      </c>
      <c r="C102" s="50" t="s">
        <v>48</v>
      </c>
      <c r="D102" s="35">
        <v>525200</v>
      </c>
      <c r="E102" s="35"/>
      <c r="F102" s="35"/>
      <c r="G102" s="35"/>
      <c r="H102" s="35"/>
      <c r="I102" s="35">
        <v>1175088</v>
      </c>
      <c r="J102" s="35"/>
      <c r="K102" s="35"/>
      <c r="L102" s="35"/>
      <c r="M102" s="35"/>
      <c r="N102" s="28">
        <f t="shared" si="2"/>
        <v>525200</v>
      </c>
      <c r="O102" s="28">
        <f t="shared" si="3"/>
        <v>1175088</v>
      </c>
      <c r="P102" s="47">
        <v>2021</v>
      </c>
    </row>
    <row r="103" spans="1:16" ht="21.65" hidden="1" customHeight="1" x14ac:dyDescent="0.35">
      <c r="A103" s="213" t="s">
        <v>79</v>
      </c>
      <c r="B103" s="30" t="s">
        <v>66</v>
      </c>
      <c r="C103" s="29" t="s">
        <v>698</v>
      </c>
      <c r="D103" s="35">
        <v>2020374</v>
      </c>
      <c r="E103" s="35">
        <v>1052137</v>
      </c>
      <c r="F103" s="35">
        <v>4438</v>
      </c>
      <c r="G103" s="35">
        <v>37603</v>
      </c>
      <c r="H103" s="35">
        <v>982</v>
      </c>
      <c r="I103" s="35">
        <v>85250643</v>
      </c>
      <c r="J103" s="35">
        <v>42360124</v>
      </c>
      <c r="K103" s="35">
        <v>167395</v>
      </c>
      <c r="L103" s="35">
        <v>1034305</v>
      </c>
      <c r="M103" s="35">
        <v>32467</v>
      </c>
      <c r="N103" s="28">
        <f t="shared" si="2"/>
        <v>3035890</v>
      </c>
      <c r="O103" s="28">
        <f t="shared" si="3"/>
        <v>126608929</v>
      </c>
      <c r="P103" s="47">
        <v>2021</v>
      </c>
    </row>
    <row r="104" spans="1:16" ht="21.65" hidden="1" customHeight="1" x14ac:dyDescent="0.35">
      <c r="A104" s="212" t="s">
        <v>422</v>
      </c>
      <c r="B104" s="30" t="s">
        <v>66</v>
      </c>
      <c r="C104" s="50" t="s">
        <v>64</v>
      </c>
      <c r="D104" s="35">
        <v>685143.74</v>
      </c>
      <c r="E104" s="35">
        <v>4217</v>
      </c>
      <c r="F104" s="35">
        <v>1123375</v>
      </c>
      <c r="G104" s="35">
        <v>18230</v>
      </c>
      <c r="H104" s="35">
        <v>18230</v>
      </c>
      <c r="I104" s="35">
        <v>4532022.8619999997</v>
      </c>
      <c r="J104" s="35">
        <v>34570.65</v>
      </c>
      <c r="K104" s="35">
        <v>5944955.0939999996</v>
      </c>
      <c r="L104" s="35">
        <v>90719.357999999993</v>
      </c>
      <c r="M104" s="35">
        <v>368778.87699999998</v>
      </c>
      <c r="N104" s="28">
        <f t="shared" si="2"/>
        <v>689360.74</v>
      </c>
      <c r="O104" s="28">
        <f>+I104+J104+(M104-L104)</f>
        <v>4844653.0310000004</v>
      </c>
      <c r="P104" s="47">
        <v>2021</v>
      </c>
    </row>
    <row r="105" spans="1:16" ht="21.65" hidden="1" customHeight="1" x14ac:dyDescent="0.35">
      <c r="A105" s="212" t="s">
        <v>422</v>
      </c>
      <c r="B105" s="30" t="s">
        <v>326</v>
      </c>
      <c r="C105" s="50" t="s">
        <v>64</v>
      </c>
      <c r="D105" s="35">
        <v>443804.64999999997</v>
      </c>
      <c r="E105" s="35">
        <v>24294</v>
      </c>
      <c r="F105" s="35">
        <v>149946.79999999999</v>
      </c>
      <c r="G105" s="35">
        <v>9040</v>
      </c>
      <c r="H105" s="35">
        <v>35849.5</v>
      </c>
      <c r="I105" s="35">
        <v>3487344.6329999999</v>
      </c>
      <c r="J105" s="35">
        <v>221876.22099999999</v>
      </c>
      <c r="K105" s="35">
        <v>52217.815000000002</v>
      </c>
      <c r="L105" s="35">
        <v>52277.754999999997</v>
      </c>
      <c r="M105" s="35">
        <v>208957.785</v>
      </c>
      <c r="N105" s="28">
        <f>D105+E105+H105-G105</f>
        <v>494908.14999999997</v>
      </c>
      <c r="O105" s="28">
        <f>+I105+J105+(M105-L105)</f>
        <v>3865900.8839999996</v>
      </c>
      <c r="P105" s="47">
        <v>2021</v>
      </c>
    </row>
    <row r="106" spans="1:16" ht="21.65" hidden="1" customHeight="1" x14ac:dyDescent="0.35">
      <c r="A106" s="218" t="s">
        <v>317</v>
      </c>
      <c r="B106" s="30" t="s">
        <v>66</v>
      </c>
      <c r="C106" s="29" t="s">
        <v>698</v>
      </c>
      <c r="D106" s="35">
        <v>1255321</v>
      </c>
      <c r="E106" s="35">
        <v>356070</v>
      </c>
      <c r="F106" s="35">
        <v>0</v>
      </c>
      <c r="G106" s="35">
        <v>17457</v>
      </c>
      <c r="H106" s="35">
        <v>6072</v>
      </c>
      <c r="I106" s="35">
        <v>54235498</v>
      </c>
      <c r="J106" s="35">
        <v>13736586</v>
      </c>
      <c r="K106" s="35">
        <v>0</v>
      </c>
      <c r="L106" s="35">
        <v>1047760</v>
      </c>
      <c r="M106" s="35">
        <v>277062</v>
      </c>
      <c r="N106" s="28">
        <f t="shared" si="2"/>
        <v>1600006</v>
      </c>
      <c r="O106" s="28">
        <f t="shared" si="3"/>
        <v>67201386</v>
      </c>
      <c r="P106" s="47">
        <v>2021</v>
      </c>
    </row>
    <row r="107" spans="1:16" ht="21.65" hidden="1" customHeight="1" x14ac:dyDescent="0.35">
      <c r="A107" s="212" t="s">
        <v>501</v>
      </c>
      <c r="B107" s="30" t="s">
        <v>66</v>
      </c>
      <c r="C107" s="30" t="s">
        <v>1595</v>
      </c>
      <c r="D107" s="35">
        <f>10769*2.25</f>
        <v>24230.25</v>
      </c>
      <c r="E107" s="35">
        <v>0</v>
      </c>
      <c r="F107" s="35">
        <v>0</v>
      </c>
      <c r="G107" s="35">
        <v>0</v>
      </c>
      <c r="H107" s="35">
        <v>0</v>
      </c>
      <c r="I107" s="35">
        <v>96921</v>
      </c>
      <c r="J107" s="35">
        <v>0</v>
      </c>
      <c r="K107" s="35">
        <v>0</v>
      </c>
      <c r="L107" s="35">
        <v>0</v>
      </c>
      <c r="M107" s="35">
        <v>0</v>
      </c>
      <c r="N107" s="28">
        <f t="shared" si="2"/>
        <v>24230.25</v>
      </c>
      <c r="O107" s="28">
        <f t="shared" si="3"/>
        <v>96921</v>
      </c>
      <c r="P107" s="47">
        <v>2021</v>
      </c>
    </row>
    <row r="108" spans="1:16" ht="21.65" hidden="1" customHeight="1" x14ac:dyDescent="0.35">
      <c r="A108" s="212" t="s">
        <v>501</v>
      </c>
      <c r="B108" s="30" t="s">
        <v>66</v>
      </c>
      <c r="C108" s="30" t="s">
        <v>688</v>
      </c>
      <c r="D108" s="35">
        <v>1052</v>
      </c>
      <c r="E108" s="35">
        <v>0</v>
      </c>
      <c r="F108" s="35">
        <v>0</v>
      </c>
      <c r="G108" s="35">
        <v>0</v>
      </c>
      <c r="H108" s="35">
        <v>0</v>
      </c>
      <c r="I108" s="35">
        <v>526000</v>
      </c>
      <c r="J108" s="35">
        <v>0</v>
      </c>
      <c r="K108" s="35">
        <v>0</v>
      </c>
      <c r="L108" s="35">
        <v>0</v>
      </c>
      <c r="M108" s="35">
        <v>0</v>
      </c>
      <c r="N108" s="28">
        <f t="shared" si="2"/>
        <v>1052</v>
      </c>
      <c r="O108" s="28">
        <f t="shared" si="3"/>
        <v>526000</v>
      </c>
      <c r="P108" s="47">
        <v>2021</v>
      </c>
    </row>
    <row r="109" spans="1:16" ht="21.65" hidden="1" customHeight="1" x14ac:dyDescent="0.35">
      <c r="A109" s="213" t="s">
        <v>54</v>
      </c>
      <c r="B109" s="30" t="s">
        <v>326</v>
      </c>
      <c r="C109" s="28" t="s">
        <v>59</v>
      </c>
      <c r="D109" s="35">
        <v>0</v>
      </c>
      <c r="E109" s="35">
        <v>9396</v>
      </c>
      <c r="F109" s="35">
        <v>0</v>
      </c>
      <c r="G109" s="35">
        <v>1460</v>
      </c>
      <c r="H109" s="35">
        <v>1300</v>
      </c>
      <c r="I109" s="35">
        <v>0</v>
      </c>
      <c r="J109" s="35">
        <v>518248</v>
      </c>
      <c r="K109" s="35">
        <v>0</v>
      </c>
      <c r="L109" s="35">
        <v>43800</v>
      </c>
      <c r="M109" s="35">
        <v>37434</v>
      </c>
      <c r="N109" s="28">
        <f t="shared" si="2"/>
        <v>9236</v>
      </c>
      <c r="O109" s="28">
        <f t="shared" si="3"/>
        <v>511882</v>
      </c>
      <c r="P109" s="47">
        <v>2021</v>
      </c>
    </row>
    <row r="110" spans="1:16" ht="21.65" hidden="1" customHeight="1" x14ac:dyDescent="0.35">
      <c r="A110" s="219" t="s">
        <v>285</v>
      </c>
      <c r="B110" s="30" t="s">
        <v>42</v>
      </c>
      <c r="C110" s="28" t="s">
        <v>697</v>
      </c>
      <c r="D110" s="35">
        <v>204</v>
      </c>
      <c r="E110" s="35">
        <v>52576</v>
      </c>
      <c r="F110" s="35">
        <v>549</v>
      </c>
      <c r="G110" s="35">
        <v>2057</v>
      </c>
      <c r="H110" s="35">
        <v>549</v>
      </c>
      <c r="I110" s="35">
        <v>6022</v>
      </c>
      <c r="J110" s="35">
        <v>1597344.925</v>
      </c>
      <c r="K110" s="35">
        <v>0</v>
      </c>
      <c r="L110" s="35">
        <v>60721.833333333336</v>
      </c>
      <c r="M110" s="35">
        <v>16679.518484194312</v>
      </c>
      <c r="N110" s="28">
        <f>D110+E110+H110-G110</f>
        <v>51272</v>
      </c>
      <c r="O110" s="28">
        <f t="shared" si="3"/>
        <v>1559324.6101508611</v>
      </c>
      <c r="P110" s="47">
        <v>2021</v>
      </c>
    </row>
    <row r="111" spans="1:16" ht="21.65" hidden="1" customHeight="1" x14ac:dyDescent="0.35">
      <c r="A111" s="212" t="s">
        <v>62</v>
      </c>
      <c r="B111" s="30" t="s">
        <v>66</v>
      </c>
      <c r="C111" s="50" t="s">
        <v>48</v>
      </c>
      <c r="D111" s="28">
        <v>515077</v>
      </c>
      <c r="E111" s="35">
        <v>0</v>
      </c>
      <c r="F111" s="35">
        <v>0</v>
      </c>
      <c r="G111" s="35">
        <v>0</v>
      </c>
      <c r="H111" s="35">
        <v>0</v>
      </c>
      <c r="I111" s="35">
        <v>1576265.5989999999</v>
      </c>
      <c r="J111" s="35">
        <v>0</v>
      </c>
      <c r="K111" s="35">
        <v>0</v>
      </c>
      <c r="L111" s="35">
        <v>0</v>
      </c>
      <c r="M111" s="35">
        <v>0</v>
      </c>
      <c r="N111" s="28">
        <f t="shared" si="2"/>
        <v>515077</v>
      </c>
      <c r="O111" s="28">
        <f t="shared" si="3"/>
        <v>1576265.5989999999</v>
      </c>
      <c r="P111" s="47">
        <v>2021</v>
      </c>
    </row>
    <row r="112" spans="1:16" ht="21.65" hidden="1" customHeight="1" x14ac:dyDescent="0.35">
      <c r="A112" s="212" t="s">
        <v>62</v>
      </c>
      <c r="B112" s="30" t="s">
        <v>66</v>
      </c>
      <c r="C112" s="50" t="s">
        <v>64</v>
      </c>
      <c r="D112" s="28">
        <v>1913900</v>
      </c>
      <c r="E112" s="35">
        <v>0</v>
      </c>
      <c r="F112" s="35">
        <v>0</v>
      </c>
      <c r="G112" s="35">
        <v>0</v>
      </c>
      <c r="H112" s="35">
        <v>0</v>
      </c>
      <c r="I112" s="28">
        <v>14234797.033</v>
      </c>
      <c r="J112" s="35">
        <v>0</v>
      </c>
      <c r="K112" s="35">
        <v>0</v>
      </c>
      <c r="L112" s="35">
        <v>0</v>
      </c>
      <c r="M112" s="35">
        <v>0</v>
      </c>
      <c r="N112" s="28">
        <f t="shared" si="2"/>
        <v>1913900</v>
      </c>
      <c r="O112" s="28">
        <f t="shared" si="3"/>
        <v>14234797.033</v>
      </c>
      <c r="P112" s="47">
        <v>2021</v>
      </c>
    </row>
    <row r="113" spans="1:16" ht="21.65" hidden="1" customHeight="1" x14ac:dyDescent="0.35">
      <c r="A113" s="212" t="s">
        <v>517</v>
      </c>
      <c r="B113" s="30" t="s">
        <v>66</v>
      </c>
      <c r="C113" s="30" t="s">
        <v>451</v>
      </c>
      <c r="D113" s="35">
        <v>180166</v>
      </c>
      <c r="E113" s="35">
        <v>0</v>
      </c>
      <c r="F113" s="35">
        <v>0</v>
      </c>
      <c r="G113" s="35">
        <v>0</v>
      </c>
      <c r="H113" s="35">
        <v>0</v>
      </c>
      <c r="I113" s="35">
        <v>123665</v>
      </c>
      <c r="J113" s="35">
        <v>0</v>
      </c>
      <c r="K113" s="35">
        <v>0</v>
      </c>
      <c r="L113" s="35">
        <v>0</v>
      </c>
      <c r="M113" s="35">
        <v>0</v>
      </c>
      <c r="N113" s="28">
        <f>D113+E113+H113-G113</f>
        <v>180166</v>
      </c>
      <c r="O113" s="28">
        <f t="shared" si="3"/>
        <v>123665</v>
      </c>
      <c r="P113" s="47">
        <v>2021</v>
      </c>
    </row>
    <row r="114" spans="1:16" ht="21.65" hidden="1" customHeight="1" x14ac:dyDescent="0.35">
      <c r="A114" s="213" t="s">
        <v>67</v>
      </c>
      <c r="B114" s="30" t="s">
        <v>66</v>
      </c>
      <c r="C114" s="50" t="s">
        <v>699</v>
      </c>
      <c r="D114" s="35">
        <v>0</v>
      </c>
      <c r="E114" s="35">
        <v>556405.92000000004</v>
      </c>
      <c r="F114" s="35">
        <v>0</v>
      </c>
      <c r="G114" s="35">
        <v>44829</v>
      </c>
      <c r="H114" s="35">
        <v>31485</v>
      </c>
      <c r="I114" s="35">
        <v>0</v>
      </c>
      <c r="J114" s="35">
        <v>78636154.920000002</v>
      </c>
      <c r="K114" s="35">
        <v>0</v>
      </c>
      <c r="L114" s="35">
        <v>3409691</v>
      </c>
      <c r="M114" s="35">
        <v>2176655</v>
      </c>
      <c r="N114" s="28">
        <f t="shared" si="2"/>
        <v>543061.92000000004</v>
      </c>
      <c r="O114" s="28">
        <f t="shared" si="3"/>
        <v>77403118.920000002</v>
      </c>
      <c r="P114" s="47">
        <v>2021</v>
      </c>
    </row>
    <row r="115" spans="1:16" ht="21.65" hidden="1" customHeight="1" x14ac:dyDescent="0.35">
      <c r="A115" s="213" t="s">
        <v>67</v>
      </c>
      <c r="B115" s="30" t="s">
        <v>66</v>
      </c>
      <c r="C115" s="28" t="s">
        <v>70</v>
      </c>
      <c r="D115" s="35">
        <v>0</v>
      </c>
      <c r="E115" s="35">
        <v>90198.73</v>
      </c>
      <c r="F115" s="35">
        <v>0</v>
      </c>
      <c r="G115" s="35">
        <v>8042</v>
      </c>
      <c r="H115" s="35">
        <v>8549</v>
      </c>
      <c r="I115" s="35">
        <v>0</v>
      </c>
      <c r="J115" s="35">
        <v>61742607.299999997</v>
      </c>
      <c r="K115" s="35">
        <v>0</v>
      </c>
      <c r="L115" s="35">
        <v>1255684</v>
      </c>
      <c r="M115" s="35">
        <v>1516900</v>
      </c>
      <c r="N115" s="28">
        <f t="shared" si="2"/>
        <v>90705.73</v>
      </c>
      <c r="O115" s="28">
        <f t="shared" si="3"/>
        <v>62003823.299999997</v>
      </c>
      <c r="P115" s="47">
        <v>2021</v>
      </c>
    </row>
    <row r="116" spans="1:16" ht="21.65" hidden="1" customHeight="1" x14ac:dyDescent="0.35">
      <c r="A116" s="213" t="s">
        <v>67</v>
      </c>
      <c r="B116" s="30" t="s">
        <v>66</v>
      </c>
      <c r="C116" s="50" t="s">
        <v>700</v>
      </c>
      <c r="D116" s="35">
        <v>0</v>
      </c>
      <c r="E116" s="35">
        <v>4462</v>
      </c>
      <c r="F116" s="35">
        <v>0</v>
      </c>
      <c r="G116" s="35">
        <v>65</v>
      </c>
      <c r="H116" s="35">
        <v>34</v>
      </c>
      <c r="I116" s="35">
        <v>0</v>
      </c>
      <c r="J116" s="35">
        <v>3629678</v>
      </c>
      <c r="K116" s="35">
        <v>0</v>
      </c>
      <c r="L116" s="35">
        <v>23395</v>
      </c>
      <c r="M116" s="35">
        <v>12483</v>
      </c>
      <c r="N116" s="28">
        <f t="shared" si="2"/>
        <v>4431</v>
      </c>
      <c r="O116" s="28">
        <f t="shared" si="3"/>
        <v>3618766</v>
      </c>
      <c r="P116" s="47">
        <v>2021</v>
      </c>
    </row>
    <row r="117" spans="1:16" ht="21.65" hidden="1" customHeight="1" x14ac:dyDescent="0.35">
      <c r="A117" s="213" t="s">
        <v>67</v>
      </c>
      <c r="B117" s="30" t="s">
        <v>66</v>
      </c>
      <c r="C117" s="50" t="s">
        <v>701</v>
      </c>
      <c r="D117" s="35">
        <v>0</v>
      </c>
      <c r="E117" s="35">
        <v>6960</v>
      </c>
      <c r="F117" s="35">
        <v>0</v>
      </c>
      <c r="G117" s="35">
        <v>50</v>
      </c>
      <c r="H117" s="35">
        <v>75</v>
      </c>
      <c r="I117" s="35">
        <v>0</v>
      </c>
      <c r="J117" s="35">
        <v>3595901</v>
      </c>
      <c r="K117" s="35">
        <v>0</v>
      </c>
      <c r="L117" s="35">
        <v>12605</v>
      </c>
      <c r="M117" s="35">
        <v>19731</v>
      </c>
      <c r="N117" s="28">
        <f t="shared" si="2"/>
        <v>6985</v>
      </c>
      <c r="O117" s="28">
        <f t="shared" si="3"/>
        <v>3603027</v>
      </c>
      <c r="P117" s="47">
        <v>2021</v>
      </c>
    </row>
    <row r="118" spans="1:16" ht="21.65" hidden="1" customHeight="1" x14ac:dyDescent="0.35">
      <c r="A118" s="212" t="s">
        <v>73</v>
      </c>
      <c r="B118" s="30" t="s">
        <v>66</v>
      </c>
      <c r="C118" s="50" t="s">
        <v>64</v>
      </c>
      <c r="D118" s="28">
        <v>115833</v>
      </c>
      <c r="E118" s="28">
        <v>0</v>
      </c>
      <c r="F118" s="28">
        <v>0</v>
      </c>
      <c r="G118" s="28">
        <v>0</v>
      </c>
      <c r="H118" s="28">
        <v>0</v>
      </c>
      <c r="I118" s="28">
        <v>405223</v>
      </c>
      <c r="J118" s="28">
        <v>0</v>
      </c>
      <c r="K118" s="28">
        <v>0</v>
      </c>
      <c r="L118" s="28">
        <v>0</v>
      </c>
      <c r="M118" s="28">
        <v>0</v>
      </c>
      <c r="N118" s="28">
        <f t="shared" si="2"/>
        <v>115833</v>
      </c>
      <c r="O118" s="28">
        <f t="shared" si="3"/>
        <v>405223</v>
      </c>
      <c r="P118" s="47">
        <v>2021</v>
      </c>
    </row>
    <row r="119" spans="1:16" ht="21.65" hidden="1" customHeight="1" x14ac:dyDescent="0.35">
      <c r="A119" s="212" t="s">
        <v>344</v>
      </c>
      <c r="B119" s="30" t="s">
        <v>66</v>
      </c>
      <c r="C119" s="50" t="s">
        <v>48</v>
      </c>
      <c r="D119" s="35">
        <v>76581</v>
      </c>
      <c r="E119" s="35">
        <v>0</v>
      </c>
      <c r="F119" s="35">
        <v>0</v>
      </c>
      <c r="G119" s="35">
        <v>0</v>
      </c>
      <c r="H119" s="35">
        <v>0</v>
      </c>
      <c r="I119" s="35">
        <v>362770</v>
      </c>
      <c r="J119" s="35">
        <v>0</v>
      </c>
      <c r="K119" s="35">
        <v>0</v>
      </c>
      <c r="L119" s="35">
        <v>0</v>
      </c>
      <c r="M119" s="35">
        <v>0</v>
      </c>
      <c r="N119" s="28">
        <f t="shared" si="2"/>
        <v>76581</v>
      </c>
      <c r="O119" s="28">
        <f t="shared" si="3"/>
        <v>362770</v>
      </c>
      <c r="P119" s="47">
        <v>2021</v>
      </c>
    </row>
    <row r="120" spans="1:16" ht="21.65" hidden="1" customHeight="1" x14ac:dyDescent="0.35">
      <c r="A120" s="213" t="s">
        <v>75</v>
      </c>
      <c r="B120" s="30" t="s">
        <v>66</v>
      </c>
      <c r="C120" s="30" t="s">
        <v>708</v>
      </c>
      <c r="D120" s="35">
        <v>75161</v>
      </c>
      <c r="E120" s="35">
        <v>115148</v>
      </c>
      <c r="F120" s="35">
        <v>0</v>
      </c>
      <c r="G120" s="35">
        <v>62669</v>
      </c>
      <c r="H120" s="35">
        <v>31084</v>
      </c>
      <c r="I120" s="35">
        <v>18232908</v>
      </c>
      <c r="J120" s="35">
        <v>30336436</v>
      </c>
      <c r="K120" s="35">
        <v>0</v>
      </c>
      <c r="L120" s="35">
        <v>10928441</v>
      </c>
      <c r="M120" s="35">
        <v>7024386</v>
      </c>
      <c r="N120" s="28">
        <f t="shared" si="2"/>
        <v>158724</v>
      </c>
      <c r="O120" s="28">
        <f t="shared" si="3"/>
        <v>44665289</v>
      </c>
      <c r="P120" s="47">
        <v>2021</v>
      </c>
    </row>
    <row r="121" spans="1:16" ht="21.65" hidden="1" customHeight="1" x14ac:dyDescent="0.35">
      <c r="A121" s="213" t="s">
        <v>75</v>
      </c>
      <c r="B121" s="30" t="s">
        <v>66</v>
      </c>
      <c r="C121" s="28" t="s">
        <v>703</v>
      </c>
      <c r="D121" s="35">
        <v>7.48</v>
      </c>
      <c r="E121" s="35">
        <v>497897.07</v>
      </c>
      <c r="F121" s="35">
        <v>0</v>
      </c>
      <c r="G121" s="35">
        <v>48183</v>
      </c>
      <c r="H121" s="35">
        <v>56345</v>
      </c>
      <c r="I121" s="35">
        <v>4993</v>
      </c>
      <c r="J121" s="35">
        <v>292017387</v>
      </c>
      <c r="K121" s="35">
        <v>0</v>
      </c>
      <c r="L121" s="35">
        <v>10659636</v>
      </c>
      <c r="M121" s="35">
        <v>16652848</v>
      </c>
      <c r="N121" s="28">
        <f t="shared" si="2"/>
        <v>506066.55000000005</v>
      </c>
      <c r="O121" s="28">
        <f t="shared" si="3"/>
        <v>298015592</v>
      </c>
      <c r="P121" s="47">
        <v>2021</v>
      </c>
    </row>
    <row r="122" spans="1:16" ht="21.65" hidden="1" customHeight="1" x14ac:dyDescent="0.35">
      <c r="A122" s="213" t="s">
        <v>75</v>
      </c>
      <c r="B122" s="30" t="s">
        <v>66</v>
      </c>
      <c r="C122" s="28" t="s">
        <v>697</v>
      </c>
      <c r="D122" s="35">
        <v>0</v>
      </c>
      <c r="E122" s="35">
        <v>0</v>
      </c>
      <c r="F122" s="35">
        <v>0</v>
      </c>
      <c r="G122" s="35"/>
      <c r="H122" s="35"/>
      <c r="I122" s="35"/>
      <c r="J122" s="35"/>
      <c r="K122" s="35"/>
      <c r="L122" s="35"/>
      <c r="M122" s="35"/>
      <c r="N122" s="28"/>
      <c r="O122" s="28"/>
      <c r="P122" s="47">
        <v>2021</v>
      </c>
    </row>
    <row r="123" spans="1:16" ht="21.65" hidden="1" customHeight="1" x14ac:dyDescent="0.35">
      <c r="A123" s="212" t="s">
        <v>354</v>
      </c>
      <c r="B123" s="30" t="s">
        <v>66</v>
      </c>
      <c r="C123" s="50" t="s">
        <v>64</v>
      </c>
      <c r="D123" s="28">
        <v>108754.77</v>
      </c>
      <c r="E123" s="28">
        <v>0</v>
      </c>
      <c r="F123" s="28">
        <v>0</v>
      </c>
      <c r="G123" s="28">
        <v>0</v>
      </c>
      <c r="H123" s="28">
        <v>0</v>
      </c>
      <c r="I123" s="28">
        <v>846434.70957999991</v>
      </c>
      <c r="J123" s="28">
        <v>0</v>
      </c>
      <c r="K123" s="28">
        <v>0</v>
      </c>
      <c r="L123" s="28">
        <v>0</v>
      </c>
      <c r="M123" s="28">
        <v>0</v>
      </c>
      <c r="N123" s="28">
        <f t="shared" si="2"/>
        <v>108754.77</v>
      </c>
      <c r="O123" s="28">
        <f t="shared" si="3"/>
        <v>846434.70957999991</v>
      </c>
      <c r="P123" s="47">
        <v>2021</v>
      </c>
    </row>
    <row r="124" spans="1:16" ht="21.65" hidden="1" customHeight="1" x14ac:dyDescent="0.35">
      <c r="A124" s="212" t="s">
        <v>373</v>
      </c>
      <c r="B124" s="30" t="s">
        <v>136</v>
      </c>
      <c r="C124" s="30" t="s">
        <v>431</v>
      </c>
      <c r="D124" s="35">
        <v>0</v>
      </c>
      <c r="E124" s="35">
        <v>3.9935</v>
      </c>
      <c r="F124" s="35">
        <v>0</v>
      </c>
      <c r="G124" s="35">
        <v>0.1857</v>
      </c>
      <c r="H124" s="35">
        <v>0.1396</v>
      </c>
      <c r="I124" s="35">
        <v>0</v>
      </c>
      <c r="J124" s="35">
        <v>123373492</v>
      </c>
      <c r="K124" s="35">
        <v>0</v>
      </c>
      <c r="L124" s="35">
        <v>3100100</v>
      </c>
      <c r="M124" s="35">
        <v>2874527</v>
      </c>
      <c r="N124" s="167">
        <f t="shared" si="2"/>
        <v>3.9473999999999996</v>
      </c>
      <c r="O124" s="28">
        <f>+I124+J124+(M124-L124)</f>
        <v>123147919</v>
      </c>
      <c r="P124" s="47">
        <v>2021</v>
      </c>
    </row>
    <row r="125" spans="1:16" ht="21.65" hidden="1" customHeight="1" x14ac:dyDescent="0.35">
      <c r="A125" s="212" t="s">
        <v>373</v>
      </c>
      <c r="B125" s="30" t="s">
        <v>136</v>
      </c>
      <c r="C125" s="30" t="s">
        <v>709</v>
      </c>
      <c r="D125" s="35">
        <v>0</v>
      </c>
      <c r="E125" s="35">
        <v>0.28789999999999999</v>
      </c>
      <c r="F125" s="35">
        <v>0</v>
      </c>
      <c r="G125" s="35">
        <v>0</v>
      </c>
      <c r="H125" s="35">
        <v>0</v>
      </c>
      <c r="I125" s="35">
        <v>0</v>
      </c>
      <c r="J125" s="35">
        <v>129693</v>
      </c>
      <c r="K125" s="35">
        <v>0</v>
      </c>
      <c r="L125" s="35">
        <v>0</v>
      </c>
      <c r="M125" s="35">
        <v>0</v>
      </c>
      <c r="N125" s="167">
        <f>D125+E125+H125-G125</f>
        <v>0.28789999999999999</v>
      </c>
      <c r="O125" s="28">
        <f t="shared" si="3"/>
        <v>129693</v>
      </c>
      <c r="P125" s="47">
        <v>2021</v>
      </c>
    </row>
    <row r="126" spans="1:16" ht="21.65" hidden="1" customHeight="1" x14ac:dyDescent="0.35">
      <c r="A126" s="212" t="s">
        <v>374</v>
      </c>
      <c r="B126" s="30" t="s">
        <v>66</v>
      </c>
      <c r="C126" s="30" t="s">
        <v>554</v>
      </c>
      <c r="D126" s="35">
        <v>1212</v>
      </c>
      <c r="E126" s="35">
        <v>6220</v>
      </c>
      <c r="F126" s="35">
        <v>0</v>
      </c>
      <c r="G126" s="35">
        <v>1387</v>
      </c>
      <c r="H126" s="35">
        <v>3794</v>
      </c>
      <c r="I126" s="35">
        <v>87859</v>
      </c>
      <c r="J126" s="35">
        <v>422505</v>
      </c>
      <c r="K126" s="35">
        <v>0</v>
      </c>
      <c r="L126" s="35">
        <v>0</v>
      </c>
      <c r="M126" s="35">
        <v>0</v>
      </c>
      <c r="N126" s="28">
        <f t="shared" si="2"/>
        <v>9839</v>
      </c>
      <c r="O126" s="28">
        <f t="shared" si="3"/>
        <v>510364</v>
      </c>
      <c r="P126" s="47">
        <v>2021</v>
      </c>
    </row>
    <row r="127" spans="1:16" ht="21.65" customHeight="1" x14ac:dyDescent="0.35">
      <c r="A127" s="213" t="s">
        <v>93</v>
      </c>
      <c r="B127" s="30" t="s">
        <v>136</v>
      </c>
      <c r="C127" s="30" t="s">
        <v>431</v>
      </c>
      <c r="D127" s="35">
        <v>0.28000000000000003</v>
      </c>
      <c r="E127" s="35">
        <v>11.88</v>
      </c>
      <c r="F127" s="35">
        <v>0</v>
      </c>
      <c r="G127" s="35">
        <v>0</v>
      </c>
      <c r="H127" s="35">
        <v>0.03</v>
      </c>
      <c r="I127" s="35">
        <v>9045233</v>
      </c>
      <c r="J127" s="35">
        <v>381693870</v>
      </c>
      <c r="K127" s="35">
        <v>0</v>
      </c>
      <c r="L127" s="35">
        <v>3897644</v>
      </c>
      <c r="M127" s="35">
        <v>270891</v>
      </c>
      <c r="N127" s="167">
        <f>D127+E127+H127-G127</f>
        <v>12.19</v>
      </c>
      <c r="O127" s="28">
        <f t="shared" si="3"/>
        <v>387112350</v>
      </c>
      <c r="P127" s="47">
        <v>2021</v>
      </c>
    </row>
    <row r="128" spans="1:16" ht="21.65" customHeight="1" x14ac:dyDescent="0.35">
      <c r="A128" s="213" t="s">
        <v>93</v>
      </c>
      <c r="B128" s="30" t="s">
        <v>136</v>
      </c>
      <c r="C128" s="30" t="s">
        <v>709</v>
      </c>
      <c r="D128" s="35">
        <v>0</v>
      </c>
      <c r="E128" s="35">
        <v>1.03</v>
      </c>
      <c r="F128" s="35">
        <v>0</v>
      </c>
      <c r="G128" s="35">
        <v>0</v>
      </c>
      <c r="H128" s="35">
        <v>0</v>
      </c>
      <c r="I128" s="35">
        <v>0</v>
      </c>
      <c r="J128" s="35">
        <v>453061</v>
      </c>
      <c r="K128" s="35">
        <v>0</v>
      </c>
      <c r="L128" s="35">
        <v>0</v>
      </c>
      <c r="M128" s="35">
        <v>0</v>
      </c>
      <c r="N128" s="167">
        <f t="shared" si="2"/>
        <v>1.03</v>
      </c>
      <c r="O128" s="28">
        <f t="shared" si="3"/>
        <v>453061</v>
      </c>
      <c r="P128" s="47">
        <v>2021</v>
      </c>
    </row>
    <row r="129" spans="1:17" ht="21.65" hidden="1" customHeight="1" x14ac:dyDescent="0.35">
      <c r="A129" s="213" t="s">
        <v>101</v>
      </c>
      <c r="B129" s="30" t="s">
        <v>66</v>
      </c>
      <c r="C129" s="28" t="s">
        <v>104</v>
      </c>
      <c r="D129" s="35">
        <v>0</v>
      </c>
      <c r="E129" s="35">
        <v>9730.6</v>
      </c>
      <c r="F129" s="35">
        <v>0</v>
      </c>
      <c r="G129" s="35">
        <v>4066</v>
      </c>
      <c r="H129" s="35">
        <v>2394.65</v>
      </c>
      <c r="I129" s="35">
        <v>0</v>
      </c>
      <c r="J129" s="35">
        <v>320273.32299999997</v>
      </c>
      <c r="K129" s="35">
        <v>0</v>
      </c>
      <c r="L129" s="35">
        <v>113061.57962</v>
      </c>
      <c r="M129" s="35">
        <v>67586.732999999993</v>
      </c>
      <c r="N129" s="28">
        <f t="shared" si="2"/>
        <v>8059.25</v>
      </c>
      <c r="O129" s="28">
        <f t="shared" si="3"/>
        <v>274798.47637999995</v>
      </c>
      <c r="P129" s="47">
        <v>2021</v>
      </c>
    </row>
    <row r="130" spans="1:17" ht="21.65" hidden="1" customHeight="1" x14ac:dyDescent="0.35">
      <c r="A130" s="213" t="s">
        <v>101</v>
      </c>
      <c r="B130" s="30" t="s">
        <v>66</v>
      </c>
      <c r="C130" s="28" t="s">
        <v>705</v>
      </c>
      <c r="D130" s="35">
        <v>0</v>
      </c>
      <c r="E130" s="35">
        <v>15363.21</v>
      </c>
      <c r="F130" s="35">
        <v>0</v>
      </c>
      <c r="G130" s="35">
        <v>1360.0800000000002</v>
      </c>
      <c r="H130" s="35">
        <v>4985.04</v>
      </c>
      <c r="I130" s="35">
        <v>0</v>
      </c>
      <c r="J130" s="35">
        <v>134354.48000000001</v>
      </c>
      <c r="K130" s="35">
        <v>0</v>
      </c>
      <c r="L130" s="35">
        <v>59275.030999999995</v>
      </c>
      <c r="M130" s="35">
        <v>262857.89300000004</v>
      </c>
      <c r="N130" s="28">
        <f t="shared" si="2"/>
        <v>18988.169999999998</v>
      </c>
      <c r="O130" s="28">
        <f t="shared" si="3"/>
        <v>337937.34200000006</v>
      </c>
      <c r="P130" s="47">
        <v>2021</v>
      </c>
    </row>
    <row r="131" spans="1:17" ht="21.65" hidden="1" customHeight="1" x14ac:dyDescent="0.35">
      <c r="A131" s="212" t="s">
        <v>384</v>
      </c>
      <c r="B131" s="30" t="s">
        <v>66</v>
      </c>
      <c r="C131" s="30" t="s">
        <v>451</v>
      </c>
      <c r="D131" s="35">
        <f>100785*2.58</f>
        <v>260025.30000000002</v>
      </c>
      <c r="E131" s="35">
        <v>0</v>
      </c>
      <c r="F131" s="35">
        <v>0</v>
      </c>
      <c r="G131" s="35">
        <v>0</v>
      </c>
      <c r="H131" s="35">
        <v>0</v>
      </c>
      <c r="I131" s="35">
        <v>806018.06200000003</v>
      </c>
      <c r="J131" s="35">
        <v>0</v>
      </c>
      <c r="K131" s="35">
        <v>0</v>
      </c>
      <c r="L131" s="35">
        <v>0</v>
      </c>
      <c r="M131" s="35">
        <v>0</v>
      </c>
      <c r="N131" s="28">
        <f>D131+E131+H131-G131</f>
        <v>260025.30000000002</v>
      </c>
      <c r="O131" s="28">
        <f>+I131+J131+(M131-L131)</f>
        <v>806018.06200000003</v>
      </c>
      <c r="P131" s="47">
        <v>2021</v>
      </c>
    </row>
    <row r="132" spans="1:17" ht="21.65" hidden="1" customHeight="1" x14ac:dyDescent="0.35">
      <c r="A132" s="212" t="s">
        <v>106</v>
      </c>
      <c r="B132" s="30" t="s">
        <v>66</v>
      </c>
      <c r="C132" s="28" t="s">
        <v>697</v>
      </c>
      <c r="D132" s="35">
        <v>2662</v>
      </c>
      <c r="E132" s="35">
        <v>98287</v>
      </c>
      <c r="F132" s="35">
        <v>0</v>
      </c>
      <c r="G132" s="35">
        <v>11073</v>
      </c>
      <c r="H132" s="35">
        <v>11363</v>
      </c>
      <c r="I132" s="35">
        <v>129673</v>
      </c>
      <c r="J132" s="35">
        <v>4171423</v>
      </c>
      <c r="K132" s="35">
        <v>0</v>
      </c>
      <c r="L132" s="35">
        <v>310919</v>
      </c>
      <c r="M132" s="35">
        <v>484143</v>
      </c>
      <c r="N132" s="28">
        <f t="shared" ref="N132:N146" si="4">D132+E132+H132-G132</f>
        <v>101239</v>
      </c>
      <c r="O132" s="28">
        <f t="shared" si="3"/>
        <v>4474320</v>
      </c>
      <c r="P132" s="47">
        <v>2021</v>
      </c>
    </row>
    <row r="133" spans="1:17" ht="21.65" hidden="1" customHeight="1" x14ac:dyDescent="0.35">
      <c r="A133" s="212" t="s">
        <v>567</v>
      </c>
      <c r="B133" s="30" t="s">
        <v>66</v>
      </c>
      <c r="C133" s="30" t="s">
        <v>451</v>
      </c>
      <c r="D133" s="35">
        <v>90213</v>
      </c>
      <c r="E133" s="35">
        <v>0</v>
      </c>
      <c r="F133" s="35">
        <v>0</v>
      </c>
      <c r="G133" s="35">
        <v>82399</v>
      </c>
      <c r="H133" s="35">
        <v>133333</v>
      </c>
      <c r="I133" s="35">
        <v>586384</v>
      </c>
      <c r="J133" s="35">
        <v>0</v>
      </c>
      <c r="K133" s="35">
        <v>0</v>
      </c>
      <c r="L133" s="35">
        <v>0</v>
      </c>
      <c r="M133" s="35">
        <v>0</v>
      </c>
      <c r="N133" s="28">
        <f t="shared" si="4"/>
        <v>141147</v>
      </c>
      <c r="O133" s="28">
        <f t="shared" si="3"/>
        <v>586384</v>
      </c>
      <c r="P133" s="47">
        <v>2021</v>
      </c>
    </row>
    <row r="134" spans="1:17" ht="21.65" hidden="1" customHeight="1" x14ac:dyDescent="0.35">
      <c r="A134" s="212" t="s">
        <v>569</v>
      </c>
      <c r="B134" s="30" t="s">
        <v>29</v>
      </c>
      <c r="C134" s="28" t="s">
        <v>697</v>
      </c>
      <c r="D134" s="35">
        <v>165000</v>
      </c>
      <c r="E134" s="59">
        <v>412000</v>
      </c>
      <c r="F134" s="35">
        <v>0</v>
      </c>
      <c r="G134" s="35">
        <v>1095627</v>
      </c>
      <c r="H134" s="35">
        <v>699456</v>
      </c>
      <c r="I134" s="35">
        <v>5972478</v>
      </c>
      <c r="J134" s="35">
        <v>17797207</v>
      </c>
      <c r="K134" s="35">
        <v>0</v>
      </c>
      <c r="L134" s="35">
        <v>42867560.344277054</v>
      </c>
      <c r="M134" s="35">
        <v>27548380.057752427</v>
      </c>
      <c r="N134" s="28">
        <f t="shared" si="4"/>
        <v>180829</v>
      </c>
      <c r="O134" s="28">
        <f>+I134+J134+(M134-L134)</f>
        <v>8450504.7134753726</v>
      </c>
      <c r="P134" s="47">
        <v>2021</v>
      </c>
      <c r="Q134" s="172"/>
    </row>
    <row r="135" spans="1:17" ht="21.65" hidden="1" customHeight="1" x14ac:dyDescent="0.35">
      <c r="A135" s="212" t="s">
        <v>572</v>
      </c>
      <c r="B135" s="30" t="s">
        <v>66</v>
      </c>
      <c r="C135" s="28" t="s">
        <v>104</v>
      </c>
      <c r="D135" s="35">
        <v>4211.25</v>
      </c>
      <c r="E135" s="35">
        <v>166639.63</v>
      </c>
      <c r="F135" s="35">
        <v>170850.88</v>
      </c>
      <c r="G135" s="35">
        <v>0</v>
      </c>
      <c r="H135" s="35">
        <v>4688.6899999999996</v>
      </c>
      <c r="I135" s="35">
        <v>211192</v>
      </c>
      <c r="J135" s="35">
        <v>7339904</v>
      </c>
      <c r="K135" s="35">
        <v>7551096</v>
      </c>
      <c r="L135" s="35">
        <v>0</v>
      </c>
      <c r="M135" s="35">
        <v>62020</v>
      </c>
      <c r="N135" s="28">
        <f t="shared" si="4"/>
        <v>175539.57</v>
      </c>
      <c r="O135" s="28">
        <f t="shared" si="3"/>
        <v>7613116</v>
      </c>
      <c r="P135" s="47">
        <v>2021</v>
      </c>
    </row>
    <row r="136" spans="1:17" ht="21.65" hidden="1" customHeight="1" x14ac:dyDescent="0.35">
      <c r="A136" s="212" t="s">
        <v>572</v>
      </c>
      <c r="B136" s="30" t="s">
        <v>66</v>
      </c>
      <c r="C136" s="28" t="s">
        <v>697</v>
      </c>
      <c r="D136" s="35">
        <v>519.04999999999995</v>
      </c>
      <c r="E136" s="35">
        <v>0</v>
      </c>
      <c r="F136" s="35">
        <v>519.04999999999995</v>
      </c>
      <c r="G136" s="35">
        <v>0</v>
      </c>
      <c r="H136" s="35">
        <v>313.58</v>
      </c>
      <c r="I136" s="35">
        <v>32576</v>
      </c>
      <c r="J136" s="35">
        <v>0</v>
      </c>
      <c r="K136" s="35">
        <v>32576</v>
      </c>
      <c r="L136" s="35">
        <v>0</v>
      </c>
      <c r="M136" s="35">
        <v>11615</v>
      </c>
      <c r="N136" s="28">
        <f t="shared" si="4"/>
        <v>832.62999999999988</v>
      </c>
      <c r="O136" s="28">
        <f t="shared" si="3"/>
        <v>44191</v>
      </c>
      <c r="P136" s="47">
        <v>2021</v>
      </c>
    </row>
    <row r="137" spans="1:17" ht="21.65" hidden="1" customHeight="1" x14ac:dyDescent="0.35">
      <c r="A137" s="212" t="s">
        <v>603</v>
      </c>
      <c r="B137" s="30" t="s">
        <v>66</v>
      </c>
      <c r="C137" s="50" t="s">
        <v>64</v>
      </c>
      <c r="D137" s="35">
        <v>263233</v>
      </c>
      <c r="E137" s="35">
        <v>8030</v>
      </c>
      <c r="F137" s="35">
        <v>0</v>
      </c>
      <c r="G137" s="35">
        <v>0</v>
      </c>
      <c r="H137" s="35">
        <v>0</v>
      </c>
      <c r="I137" s="35">
        <v>2313778</v>
      </c>
      <c r="J137" s="35">
        <v>73700</v>
      </c>
      <c r="K137" s="35">
        <v>0</v>
      </c>
      <c r="L137" s="35">
        <v>0</v>
      </c>
      <c r="M137" s="35">
        <v>0</v>
      </c>
      <c r="N137" s="28">
        <f>D137+E137+H137-G137</f>
        <v>271263</v>
      </c>
      <c r="O137" s="28">
        <f>+I137+J137+(M137-L137)</f>
        <v>2387478</v>
      </c>
      <c r="P137" s="47">
        <v>2021</v>
      </c>
    </row>
    <row r="138" spans="1:17" ht="21.65" hidden="1" customHeight="1" x14ac:dyDescent="0.35">
      <c r="A138" s="212" t="s">
        <v>612</v>
      </c>
      <c r="B138" s="30" t="s">
        <v>66</v>
      </c>
      <c r="C138" s="30" t="s">
        <v>451</v>
      </c>
      <c r="D138" s="35">
        <v>131316</v>
      </c>
      <c r="E138" s="35">
        <v>0</v>
      </c>
      <c r="F138" s="35">
        <v>0</v>
      </c>
      <c r="G138" s="35">
        <v>5340</v>
      </c>
      <c r="H138" s="35">
        <v>0</v>
      </c>
      <c r="I138" s="35">
        <v>778966</v>
      </c>
      <c r="J138" s="35">
        <v>0</v>
      </c>
      <c r="K138" s="35">
        <v>0</v>
      </c>
      <c r="L138" s="35">
        <v>31677</v>
      </c>
      <c r="M138" s="35">
        <v>0</v>
      </c>
      <c r="N138" s="28">
        <f t="shared" si="4"/>
        <v>125976</v>
      </c>
      <c r="O138" s="28">
        <f>+I138+J138+(M138-L138)</f>
        <v>747289</v>
      </c>
      <c r="P138" s="47">
        <v>2021</v>
      </c>
    </row>
    <row r="139" spans="1:17" ht="21.65" hidden="1" customHeight="1" x14ac:dyDescent="0.35">
      <c r="A139" s="212" t="s">
        <v>615</v>
      </c>
      <c r="B139" s="30" t="s">
        <v>66</v>
      </c>
      <c r="C139" s="50" t="s">
        <v>48</v>
      </c>
      <c r="D139" s="35">
        <v>499879</v>
      </c>
      <c r="E139" s="35">
        <v>0</v>
      </c>
      <c r="F139" s="35">
        <v>0</v>
      </c>
      <c r="G139" s="35">
        <v>0</v>
      </c>
      <c r="H139" s="35">
        <v>0</v>
      </c>
      <c r="I139" s="35">
        <v>499879</v>
      </c>
      <c r="J139" s="35">
        <v>0</v>
      </c>
      <c r="K139" s="35">
        <v>0</v>
      </c>
      <c r="L139" s="35">
        <v>0</v>
      </c>
      <c r="M139" s="35">
        <v>0</v>
      </c>
      <c r="N139" s="28">
        <f t="shared" si="4"/>
        <v>499879</v>
      </c>
      <c r="O139" s="28">
        <f t="shared" si="3"/>
        <v>499879</v>
      </c>
      <c r="P139" s="47">
        <v>2021</v>
      </c>
    </row>
    <row r="140" spans="1:17" ht="21.65" hidden="1" customHeight="1" x14ac:dyDescent="0.35">
      <c r="A140" s="179" t="s">
        <v>250</v>
      </c>
      <c r="B140" s="30" t="s">
        <v>10</v>
      </c>
      <c r="C140" s="30" t="s">
        <v>1594</v>
      </c>
      <c r="D140" s="28">
        <f>859.22+610.88+24.88+317.12</f>
        <v>1812.1</v>
      </c>
      <c r="E140" s="28">
        <v>0</v>
      </c>
      <c r="F140" s="28">
        <v>0</v>
      </c>
      <c r="G140" s="28">
        <v>0</v>
      </c>
      <c r="H140" s="28">
        <v>0</v>
      </c>
      <c r="I140" s="28">
        <v>204879</v>
      </c>
      <c r="J140" s="28">
        <v>0</v>
      </c>
      <c r="K140" s="28">
        <v>0</v>
      </c>
      <c r="L140" s="28">
        <v>0</v>
      </c>
      <c r="M140" s="28">
        <v>0</v>
      </c>
      <c r="N140" s="28">
        <f t="shared" si="4"/>
        <v>1812.1</v>
      </c>
      <c r="O140" s="28">
        <f t="shared" si="3"/>
        <v>204879</v>
      </c>
      <c r="P140" s="47">
        <v>2021</v>
      </c>
    </row>
    <row r="141" spans="1:17" ht="21.65" hidden="1" customHeight="1" x14ac:dyDescent="0.35">
      <c r="A141" s="212" t="s">
        <v>1585</v>
      </c>
      <c r="B141" s="30" t="s">
        <v>66</v>
      </c>
      <c r="C141" s="50" t="s">
        <v>48</v>
      </c>
      <c r="D141" s="28">
        <v>23164</v>
      </c>
      <c r="E141" s="28"/>
      <c r="F141" s="28"/>
      <c r="G141" s="28"/>
      <c r="H141" s="28"/>
      <c r="I141" s="28">
        <v>156903</v>
      </c>
      <c r="J141" s="28"/>
      <c r="K141" s="28"/>
      <c r="L141" s="28"/>
      <c r="M141" s="28"/>
      <c r="N141" s="28">
        <f>D141+E141+H141-G141</f>
        <v>23164</v>
      </c>
      <c r="O141" s="28">
        <f>+I141+J141+(M141-L141)</f>
        <v>156903</v>
      </c>
      <c r="P141" s="47">
        <v>2021</v>
      </c>
    </row>
    <row r="142" spans="1:17" ht="21.65" hidden="1" customHeight="1" x14ac:dyDescent="0.35">
      <c r="A142" s="212" t="s">
        <v>1585</v>
      </c>
      <c r="B142" s="30" t="s">
        <v>66</v>
      </c>
      <c r="C142" s="50" t="s">
        <v>64</v>
      </c>
      <c r="D142" s="28">
        <f>1821000</f>
        <v>1821000</v>
      </c>
      <c r="E142" s="28"/>
      <c r="F142" s="28"/>
      <c r="G142" s="28"/>
      <c r="H142" s="28"/>
      <c r="I142" s="28">
        <v>15023250</v>
      </c>
      <c r="J142" s="28"/>
      <c r="K142" s="28"/>
      <c r="L142" s="28"/>
      <c r="M142" s="28"/>
      <c r="N142" s="28">
        <f>D142+E142+H142-G142</f>
        <v>1821000</v>
      </c>
      <c r="O142" s="28">
        <f>+I142+J142+(M142-L142)</f>
        <v>15023250</v>
      </c>
      <c r="P142" s="47">
        <v>2021</v>
      </c>
    </row>
    <row r="143" spans="1:17" ht="21.65" hidden="1" customHeight="1" x14ac:dyDescent="0.35">
      <c r="A143" s="211" t="s">
        <v>727</v>
      </c>
      <c r="B143" s="30" t="s">
        <v>66</v>
      </c>
      <c r="C143" s="50" t="s">
        <v>48</v>
      </c>
      <c r="D143" s="28">
        <v>78637</v>
      </c>
      <c r="E143" s="28"/>
      <c r="F143" s="28"/>
      <c r="G143" s="28"/>
      <c r="H143" s="28"/>
      <c r="I143" s="28">
        <v>357436.51</v>
      </c>
      <c r="J143" s="28"/>
      <c r="K143" s="28"/>
      <c r="L143" s="28"/>
      <c r="M143" s="28"/>
      <c r="N143" s="28">
        <f t="shared" si="4"/>
        <v>78637</v>
      </c>
      <c r="O143" s="28">
        <f t="shared" si="3"/>
        <v>357436.51</v>
      </c>
      <c r="P143" s="47">
        <v>2021</v>
      </c>
    </row>
    <row r="144" spans="1:17" ht="21.65" hidden="1" customHeight="1" x14ac:dyDescent="0.35">
      <c r="A144" s="220" t="s">
        <v>595</v>
      </c>
      <c r="B144" s="30" t="s">
        <v>66</v>
      </c>
      <c r="C144" s="50" t="s">
        <v>48</v>
      </c>
      <c r="D144" s="28">
        <v>30124</v>
      </c>
      <c r="E144" s="28"/>
      <c r="F144" s="28"/>
      <c r="G144" s="28"/>
      <c r="H144" s="28"/>
      <c r="I144" s="28">
        <v>136927.5</v>
      </c>
      <c r="J144" s="28"/>
      <c r="K144" s="28"/>
      <c r="L144" s="28"/>
      <c r="M144" s="28"/>
      <c r="N144" s="28">
        <f t="shared" si="4"/>
        <v>30124</v>
      </c>
      <c r="O144" s="28">
        <f t="shared" si="3"/>
        <v>136927.5</v>
      </c>
      <c r="P144" s="47">
        <v>2021</v>
      </c>
    </row>
    <row r="145" spans="1:17" ht="21.65" hidden="1" customHeight="1" x14ac:dyDescent="0.35">
      <c r="A145" s="220" t="s">
        <v>505</v>
      </c>
      <c r="B145" s="30" t="s">
        <v>66</v>
      </c>
      <c r="C145" s="50" t="s">
        <v>48</v>
      </c>
      <c r="D145" s="28">
        <v>37181</v>
      </c>
      <c r="E145" s="28"/>
      <c r="F145" s="28"/>
      <c r="G145" s="28"/>
      <c r="H145" s="28"/>
      <c r="I145" s="28">
        <v>169000</v>
      </c>
      <c r="J145" s="28"/>
      <c r="K145" s="28"/>
      <c r="L145" s="28"/>
      <c r="M145" s="28"/>
      <c r="N145" s="28">
        <f t="shared" si="4"/>
        <v>37181</v>
      </c>
      <c r="O145" s="28">
        <f t="shared" si="3"/>
        <v>169000</v>
      </c>
      <c r="P145" s="47">
        <v>2021</v>
      </c>
    </row>
    <row r="146" spans="1:17" ht="21.65" hidden="1" customHeight="1" x14ac:dyDescent="0.35">
      <c r="A146" s="220" t="s">
        <v>495</v>
      </c>
      <c r="B146" s="30" t="s">
        <v>66</v>
      </c>
      <c r="C146" s="30" t="s">
        <v>451</v>
      </c>
      <c r="D146" s="28">
        <v>24780.86</v>
      </c>
      <c r="E146" s="28"/>
      <c r="F146" s="28"/>
      <c r="G146" s="28"/>
      <c r="H146" s="28"/>
      <c r="I146" s="28">
        <v>223616.46899999998</v>
      </c>
      <c r="J146" s="28"/>
      <c r="K146" s="28"/>
      <c r="L146" s="28"/>
      <c r="M146" s="28"/>
      <c r="N146" s="28">
        <f t="shared" si="4"/>
        <v>24780.86</v>
      </c>
      <c r="O146" s="28">
        <f>+I146+J146+(M146-L146)</f>
        <v>223616.46899999998</v>
      </c>
      <c r="P146" s="47">
        <v>2021</v>
      </c>
    </row>
    <row r="147" spans="1:17" ht="21.65" hidden="1" customHeight="1" x14ac:dyDescent="0.35">
      <c r="A147" s="220" t="s">
        <v>495</v>
      </c>
      <c r="B147" s="30" t="s">
        <v>326</v>
      </c>
      <c r="C147" s="30" t="s">
        <v>1595</v>
      </c>
      <c r="D147" s="28">
        <v>62201</v>
      </c>
      <c r="E147" s="28">
        <v>0</v>
      </c>
      <c r="F147" s="28"/>
      <c r="G147" s="28"/>
      <c r="H147" s="28"/>
      <c r="I147" s="28">
        <v>477353.10800000001</v>
      </c>
      <c r="J147" s="28"/>
      <c r="K147" s="28"/>
      <c r="L147" s="28"/>
      <c r="M147" s="28"/>
      <c r="N147" s="28">
        <f>D147+E147+H147-G147</f>
        <v>62201</v>
      </c>
      <c r="O147" s="28">
        <f t="shared" si="3"/>
        <v>477353.10800000001</v>
      </c>
      <c r="P147" s="47">
        <v>2021</v>
      </c>
    </row>
    <row r="148" spans="1:17" ht="21.65" hidden="1" customHeight="1" x14ac:dyDescent="0.35">
      <c r="A148" s="213" t="s">
        <v>128</v>
      </c>
      <c r="B148" s="30" t="s">
        <v>131</v>
      </c>
      <c r="C148" s="29" t="s">
        <v>698</v>
      </c>
      <c r="D148" s="28">
        <v>3023537.5649999999</v>
      </c>
      <c r="E148" s="28">
        <v>377872.32</v>
      </c>
      <c r="F148" s="28">
        <v>0</v>
      </c>
      <c r="G148" s="28">
        <v>17302</v>
      </c>
      <c r="H148" s="28">
        <v>13976</v>
      </c>
      <c r="I148" s="28">
        <v>132023992</v>
      </c>
      <c r="J148" s="28">
        <v>15503281</v>
      </c>
      <c r="K148" s="28"/>
      <c r="L148" s="28">
        <v>751572</v>
      </c>
      <c r="M148" s="28">
        <v>606173</v>
      </c>
      <c r="N148" s="28">
        <f>D148+E148+H148-G148</f>
        <v>3398083.8849999998</v>
      </c>
      <c r="O148" s="28">
        <f>+I148+J148+(M148-L148)</f>
        <v>147381874</v>
      </c>
      <c r="P148" s="47">
        <v>2021</v>
      </c>
    </row>
    <row r="149" spans="1:17" ht="21.65" hidden="1" customHeight="1" x14ac:dyDescent="0.35">
      <c r="A149" s="213" t="s">
        <v>128</v>
      </c>
      <c r="B149" s="30" t="s">
        <v>131</v>
      </c>
      <c r="C149" s="30" t="s">
        <v>1586</v>
      </c>
      <c r="D149" s="28">
        <v>0</v>
      </c>
      <c r="E149" s="28">
        <v>341082.58</v>
      </c>
      <c r="F149" s="28"/>
      <c r="G149" s="28">
        <v>36358.879999999997</v>
      </c>
      <c r="H149" s="28">
        <v>2026.3</v>
      </c>
      <c r="I149" s="28">
        <v>0</v>
      </c>
      <c r="J149" s="28">
        <v>8910597</v>
      </c>
      <c r="K149" s="28"/>
      <c r="L149" s="28">
        <v>1163484</v>
      </c>
      <c r="M149" s="28">
        <v>52936</v>
      </c>
      <c r="N149" s="28">
        <f>D149+E149+H149-G149</f>
        <v>306750</v>
      </c>
      <c r="O149" s="28">
        <f>+I149+J149+(M149-L149)</f>
        <v>7800049</v>
      </c>
      <c r="P149" s="47">
        <v>2021</v>
      </c>
    </row>
    <row r="150" spans="1:17" ht="21.65" hidden="1" customHeight="1" x14ac:dyDescent="0.35">
      <c r="A150" s="211" t="s">
        <v>248</v>
      </c>
      <c r="B150" s="22" t="s">
        <v>66</v>
      </c>
      <c r="C150" s="33" t="s">
        <v>48</v>
      </c>
      <c r="D150" s="28">
        <v>85030</v>
      </c>
      <c r="E150" s="20">
        <v>0</v>
      </c>
      <c r="F150" s="20">
        <v>0</v>
      </c>
      <c r="G150" s="20">
        <v>0</v>
      </c>
      <c r="H150" s="20">
        <v>0</v>
      </c>
      <c r="I150" s="20">
        <v>306017.57</v>
      </c>
      <c r="J150" s="20">
        <v>0</v>
      </c>
      <c r="K150" s="20">
        <v>0</v>
      </c>
      <c r="L150" s="20">
        <v>0</v>
      </c>
      <c r="M150" s="20">
        <v>0</v>
      </c>
      <c r="N150" s="50">
        <f t="shared" ref="N150:N176" si="5">+D150+E150+H150-G150</f>
        <v>85030</v>
      </c>
      <c r="O150" s="50">
        <f t="shared" ref="O150:O176" si="6">+I150+J150+M150-L150</f>
        <v>306017.57</v>
      </c>
      <c r="P150" s="45">
        <v>2022</v>
      </c>
      <c r="Q150" s="176">
        <f>+O150/N150</f>
        <v>3.5989364930024696</v>
      </c>
    </row>
    <row r="151" spans="1:17" ht="21.65" hidden="1" customHeight="1" x14ac:dyDescent="0.35">
      <c r="A151" s="211" t="s">
        <v>434</v>
      </c>
      <c r="B151" s="22" t="s">
        <v>136</v>
      </c>
      <c r="C151" s="20" t="s">
        <v>431</v>
      </c>
      <c r="D151" s="28">
        <v>4.8469999999999999E-2</v>
      </c>
      <c r="E151" s="20">
        <v>0</v>
      </c>
      <c r="F151" s="20">
        <v>0</v>
      </c>
      <c r="G151" s="20">
        <v>0</v>
      </c>
      <c r="H151" s="20">
        <v>0</v>
      </c>
      <c r="I151" s="20">
        <v>1614476</v>
      </c>
      <c r="J151" s="20">
        <v>0</v>
      </c>
      <c r="K151" s="20">
        <v>0</v>
      </c>
      <c r="L151" s="20">
        <v>0</v>
      </c>
      <c r="M151" s="20">
        <v>0</v>
      </c>
      <c r="N151" s="50">
        <f t="shared" si="5"/>
        <v>4.8469999999999999E-2</v>
      </c>
      <c r="O151" s="50">
        <f t="shared" si="6"/>
        <v>1614476</v>
      </c>
      <c r="P151" s="45">
        <v>2022</v>
      </c>
    </row>
    <row r="152" spans="1:17" ht="21.65" hidden="1" customHeight="1" x14ac:dyDescent="0.35">
      <c r="A152" s="211" t="s">
        <v>444</v>
      </c>
      <c r="B152" s="22" t="s">
        <v>66</v>
      </c>
      <c r="C152" s="33" t="s">
        <v>48</v>
      </c>
      <c r="D152" s="28">
        <v>95809.5</v>
      </c>
      <c r="E152" s="28">
        <v>0</v>
      </c>
      <c r="F152" s="28">
        <v>0</v>
      </c>
      <c r="G152" s="28">
        <v>0</v>
      </c>
      <c r="H152" s="28">
        <v>0</v>
      </c>
      <c r="I152" s="28">
        <v>205720.2</v>
      </c>
      <c r="J152" s="28">
        <v>0</v>
      </c>
      <c r="K152" s="20">
        <v>0</v>
      </c>
      <c r="L152" s="20">
        <v>0</v>
      </c>
      <c r="M152" s="20">
        <v>0</v>
      </c>
      <c r="N152" s="50">
        <f t="shared" si="5"/>
        <v>95809.5</v>
      </c>
      <c r="O152" s="50">
        <f t="shared" si="6"/>
        <v>205720.2</v>
      </c>
      <c r="P152" s="45">
        <v>2022</v>
      </c>
      <c r="Q152" s="176">
        <f>+O152/N152</f>
        <v>2.1471795594382606</v>
      </c>
    </row>
    <row r="153" spans="1:17" ht="21.65" hidden="1" customHeight="1" x14ac:dyDescent="0.35">
      <c r="A153" s="211" t="s">
        <v>448</v>
      </c>
      <c r="B153" s="22" t="s">
        <v>66</v>
      </c>
      <c r="C153" s="20" t="s">
        <v>451</v>
      </c>
      <c r="D153" s="28">
        <v>44624</v>
      </c>
      <c r="E153" s="28">
        <v>0</v>
      </c>
      <c r="F153" s="28">
        <v>0</v>
      </c>
      <c r="G153" s="28">
        <v>0</v>
      </c>
      <c r="H153" s="28">
        <v>0</v>
      </c>
      <c r="I153" s="28">
        <v>334686</v>
      </c>
      <c r="J153" s="28">
        <v>0</v>
      </c>
      <c r="K153" s="20">
        <v>0</v>
      </c>
      <c r="L153" s="20">
        <v>0</v>
      </c>
      <c r="M153" s="20">
        <v>0</v>
      </c>
      <c r="N153" s="50">
        <f t="shared" si="5"/>
        <v>44624</v>
      </c>
      <c r="O153" s="50">
        <f t="shared" si="6"/>
        <v>334686</v>
      </c>
      <c r="P153" s="45">
        <v>2022</v>
      </c>
    </row>
    <row r="154" spans="1:17" ht="21.65" hidden="1" customHeight="1" x14ac:dyDescent="0.35">
      <c r="A154" s="211" t="s">
        <v>285</v>
      </c>
      <c r="B154" s="22" t="s">
        <v>42</v>
      </c>
      <c r="C154" s="28" t="s">
        <v>697</v>
      </c>
      <c r="D154" s="28">
        <v>2595</v>
      </c>
      <c r="E154" s="28">
        <v>49105</v>
      </c>
      <c r="F154" s="28">
        <v>0</v>
      </c>
      <c r="G154" s="28">
        <v>549</v>
      </c>
      <c r="H154" s="28">
        <v>26601</v>
      </c>
      <c r="I154" s="28">
        <v>149252</v>
      </c>
      <c r="J154" s="28">
        <v>2483353</v>
      </c>
      <c r="K154" s="20">
        <v>0</v>
      </c>
      <c r="L154" s="20">
        <v>13445</v>
      </c>
      <c r="M154" s="20">
        <v>1346446</v>
      </c>
      <c r="N154" s="50">
        <f t="shared" si="5"/>
        <v>77752</v>
      </c>
      <c r="O154" s="50">
        <f t="shared" si="6"/>
        <v>3965606</v>
      </c>
      <c r="P154" s="45">
        <v>2022</v>
      </c>
    </row>
    <row r="155" spans="1:17" ht="21.65" hidden="1" customHeight="1" x14ac:dyDescent="0.35">
      <c r="A155" s="221" t="s">
        <v>151</v>
      </c>
      <c r="B155" s="22" t="s">
        <v>66</v>
      </c>
      <c r="C155" s="33" t="s">
        <v>48</v>
      </c>
      <c r="D155" s="28">
        <v>724174</v>
      </c>
      <c r="E155" s="28">
        <v>0</v>
      </c>
      <c r="F155" s="28">
        <f>400457+131471+206999</f>
        <v>738927</v>
      </c>
      <c r="G155" s="28">
        <f>23874+4533</f>
        <v>28407</v>
      </c>
      <c r="H155" s="28">
        <f>10228+7951+24981</f>
        <v>43160</v>
      </c>
      <c r="I155" s="28">
        <v>1954151</v>
      </c>
      <c r="J155" s="28">
        <v>0</v>
      </c>
      <c r="K155" s="20">
        <f>240274+723090+931495</f>
        <v>1894859</v>
      </c>
      <c r="L155" s="20">
        <v>145413</v>
      </c>
      <c r="M155" s="20">
        <v>153082</v>
      </c>
      <c r="N155" s="50">
        <f t="shared" si="5"/>
        <v>738927</v>
      </c>
      <c r="O155" s="50">
        <f t="shared" si="6"/>
        <v>1961820</v>
      </c>
      <c r="P155" s="45">
        <v>2022</v>
      </c>
      <c r="Q155" s="176">
        <f>+O155/N155</f>
        <v>2.6549577969136329</v>
      </c>
    </row>
    <row r="156" spans="1:17" ht="21.65" hidden="1" customHeight="1" x14ac:dyDescent="0.35">
      <c r="A156" s="213" t="s">
        <v>79</v>
      </c>
      <c r="B156" s="22" t="s">
        <v>66</v>
      </c>
      <c r="C156" s="29" t="s">
        <v>698</v>
      </c>
      <c r="D156" s="28">
        <v>2401500</v>
      </c>
      <c r="E156" s="28">
        <v>1112412</v>
      </c>
      <c r="F156" s="28">
        <v>23334</v>
      </c>
      <c r="G156" s="28">
        <v>982</v>
      </c>
      <c r="H156" s="28">
        <v>36378</v>
      </c>
      <c r="I156" s="28">
        <v>112613674</v>
      </c>
      <c r="J156" s="28">
        <v>51335300</v>
      </c>
      <c r="K156" s="20">
        <v>1116653</v>
      </c>
      <c r="L156" s="22">
        <v>32467</v>
      </c>
      <c r="M156" s="22">
        <v>1565025</v>
      </c>
      <c r="N156" s="50">
        <f t="shared" si="5"/>
        <v>3549308</v>
      </c>
      <c r="O156" s="50">
        <f t="shared" si="6"/>
        <v>165481532</v>
      </c>
      <c r="P156" s="45">
        <v>2022</v>
      </c>
    </row>
    <row r="157" spans="1:17" ht="21.65" hidden="1" customHeight="1" x14ac:dyDescent="0.35">
      <c r="A157" s="212" t="s">
        <v>1585</v>
      </c>
      <c r="B157" s="22" t="s">
        <v>66</v>
      </c>
      <c r="C157" s="33" t="s">
        <v>64</v>
      </c>
      <c r="D157" s="28">
        <v>2224570</v>
      </c>
      <c r="E157" s="28">
        <v>14394</v>
      </c>
      <c r="F157" s="28">
        <v>0</v>
      </c>
      <c r="G157" s="28">
        <f>L157/7.2</f>
        <v>539755.41666666663</v>
      </c>
      <c r="H157" s="28">
        <f>M157/7.2</f>
        <v>543569.3055555555</v>
      </c>
      <c r="I157" s="28">
        <v>16061313</v>
      </c>
      <c r="J157" s="28">
        <v>107161</v>
      </c>
      <c r="K157" s="20">
        <v>0</v>
      </c>
      <c r="L157" s="20">
        <v>3886239</v>
      </c>
      <c r="M157" s="20">
        <v>3913699</v>
      </c>
      <c r="N157" s="50">
        <f t="shared" si="5"/>
        <v>2242777.888888889</v>
      </c>
      <c r="O157" s="50">
        <f t="shared" si="6"/>
        <v>16195934</v>
      </c>
      <c r="P157" s="45">
        <v>2022</v>
      </c>
    </row>
    <row r="158" spans="1:17" ht="21.65" hidden="1" customHeight="1" x14ac:dyDescent="0.35">
      <c r="A158" s="212" t="s">
        <v>1585</v>
      </c>
      <c r="B158" s="22" t="s">
        <v>66</v>
      </c>
      <c r="C158" s="33" t="s">
        <v>48</v>
      </c>
      <c r="D158" s="28">
        <f>I158/4.5</f>
        <v>49375.204222222172</v>
      </c>
      <c r="E158" s="28"/>
      <c r="F158" s="28"/>
      <c r="G158" s="28"/>
      <c r="H158" s="28"/>
      <c r="I158" s="28">
        <f>16418122.419-O157</f>
        <v>222188.41899999976</v>
      </c>
      <c r="J158" s="28"/>
      <c r="K158" s="20"/>
      <c r="L158" s="20"/>
      <c r="M158" s="20"/>
      <c r="N158" s="20">
        <f t="shared" si="5"/>
        <v>49375.204222222172</v>
      </c>
      <c r="O158" s="20">
        <f t="shared" si="6"/>
        <v>222188.41899999976</v>
      </c>
      <c r="P158" s="45">
        <v>2022</v>
      </c>
      <c r="Q158" s="176">
        <f>+O158/N158</f>
        <v>4.5</v>
      </c>
    </row>
    <row r="159" spans="1:17" ht="21.65" hidden="1" customHeight="1" x14ac:dyDescent="0.35">
      <c r="A159" s="211" t="s">
        <v>422</v>
      </c>
      <c r="B159" s="22" t="s">
        <v>66</v>
      </c>
      <c r="C159" s="33" t="s">
        <v>64</v>
      </c>
      <c r="D159" s="28">
        <v>1236580.2</v>
      </c>
      <c r="E159" s="28">
        <v>47949.86</v>
      </c>
      <c r="F159" s="28">
        <v>1412149</v>
      </c>
      <c r="G159" s="28">
        <v>78819</v>
      </c>
      <c r="H159" s="28">
        <v>61383</v>
      </c>
      <c r="I159" s="28">
        <v>8611048.727</v>
      </c>
      <c r="J159" s="28">
        <v>390487.02299999999</v>
      </c>
      <c r="K159" s="20">
        <v>55066154</v>
      </c>
      <c r="L159" s="20">
        <v>634703.07899999991</v>
      </c>
      <c r="M159" s="20">
        <v>436646.15700000001</v>
      </c>
      <c r="N159" s="50">
        <f t="shared" si="5"/>
        <v>1267094.06</v>
      </c>
      <c r="O159" s="50">
        <f t="shared" si="6"/>
        <v>8803478.8279999997</v>
      </c>
      <c r="P159" s="45">
        <v>2022</v>
      </c>
    </row>
    <row r="160" spans="1:17" ht="21.65" hidden="1" customHeight="1" x14ac:dyDescent="0.35">
      <c r="A160" s="222" t="s">
        <v>317</v>
      </c>
      <c r="B160" s="22" t="s">
        <v>66</v>
      </c>
      <c r="C160" s="29" t="s">
        <v>698</v>
      </c>
      <c r="D160" s="28">
        <v>842075</v>
      </c>
      <c r="E160" s="28">
        <v>208646</v>
      </c>
      <c r="F160" s="28">
        <v>0</v>
      </c>
      <c r="G160" s="28">
        <v>6073</v>
      </c>
      <c r="H160" s="28">
        <v>27266</v>
      </c>
      <c r="I160" s="28">
        <v>39627967</v>
      </c>
      <c r="J160" s="28">
        <v>8959179</v>
      </c>
      <c r="K160" s="20">
        <v>0</v>
      </c>
      <c r="L160" s="22">
        <v>184722</v>
      </c>
      <c r="M160" s="22">
        <v>1063760</v>
      </c>
      <c r="N160" s="50">
        <f t="shared" si="5"/>
        <v>1071914</v>
      </c>
      <c r="O160" s="50">
        <f t="shared" si="6"/>
        <v>49466184</v>
      </c>
      <c r="P160" s="45">
        <v>2022</v>
      </c>
    </row>
    <row r="161" spans="1:17" ht="21.65" hidden="1" customHeight="1" x14ac:dyDescent="0.35">
      <c r="A161" s="223" t="s">
        <v>492</v>
      </c>
      <c r="B161" s="22" t="s">
        <v>66</v>
      </c>
      <c r="C161" s="50" t="s">
        <v>451</v>
      </c>
      <c r="D161" s="28"/>
      <c r="E161" s="28"/>
      <c r="F161" s="28"/>
      <c r="G161" s="28"/>
      <c r="H161" s="28"/>
      <c r="I161" s="28"/>
      <c r="J161" s="28"/>
      <c r="K161" s="50"/>
      <c r="L161" s="50"/>
      <c r="M161" s="50"/>
      <c r="N161" s="50">
        <f t="shared" si="5"/>
        <v>0</v>
      </c>
      <c r="O161" s="50">
        <f t="shared" si="6"/>
        <v>0</v>
      </c>
      <c r="P161" s="45">
        <v>2022</v>
      </c>
    </row>
    <row r="162" spans="1:17" ht="21.65" hidden="1" customHeight="1" x14ac:dyDescent="0.35">
      <c r="A162" s="223" t="s">
        <v>495</v>
      </c>
      <c r="B162" s="22" t="s">
        <v>66</v>
      </c>
      <c r="C162" s="50" t="s">
        <v>451</v>
      </c>
      <c r="D162" s="28">
        <v>45433</v>
      </c>
      <c r="E162" s="28"/>
      <c r="F162" s="28"/>
      <c r="G162" s="28">
        <v>1935</v>
      </c>
      <c r="H162" s="28"/>
      <c r="I162" s="28">
        <v>403499.91899999999</v>
      </c>
      <c r="J162" s="28"/>
      <c r="K162" s="20"/>
      <c r="L162" s="20">
        <v>17185.136999999999</v>
      </c>
      <c r="M162" s="20"/>
      <c r="N162" s="50">
        <f t="shared" si="5"/>
        <v>43498</v>
      </c>
      <c r="O162" s="50">
        <f t="shared" si="6"/>
        <v>386314.78200000001</v>
      </c>
      <c r="P162" s="45">
        <v>2022</v>
      </c>
    </row>
    <row r="163" spans="1:17" ht="21.65" hidden="1" customHeight="1" x14ac:dyDescent="0.35">
      <c r="A163" s="223" t="s">
        <v>495</v>
      </c>
      <c r="B163" s="22" t="s">
        <v>326</v>
      </c>
      <c r="C163" s="30" t="s">
        <v>1595</v>
      </c>
      <c r="D163" s="28">
        <v>62201</v>
      </c>
      <c r="E163" s="28"/>
      <c r="F163" s="28"/>
      <c r="G163" s="28"/>
      <c r="H163" s="28"/>
      <c r="I163" s="28">
        <v>477353.10800000001</v>
      </c>
      <c r="J163" s="28"/>
      <c r="K163" s="20"/>
      <c r="L163" s="20"/>
      <c r="M163" s="20"/>
      <c r="N163" s="50">
        <f t="shared" si="5"/>
        <v>62201</v>
      </c>
      <c r="O163" s="50">
        <f t="shared" si="6"/>
        <v>477353.10800000001</v>
      </c>
      <c r="P163" s="45">
        <v>2022</v>
      </c>
    </row>
    <row r="164" spans="1:17" ht="21.65" hidden="1" customHeight="1" x14ac:dyDescent="0.35">
      <c r="A164" s="223" t="s">
        <v>501</v>
      </c>
      <c r="B164" s="22" t="s">
        <v>66</v>
      </c>
      <c r="C164" s="30" t="s">
        <v>1595</v>
      </c>
      <c r="D164" s="28">
        <f>9765+7845</f>
        <v>17610</v>
      </c>
      <c r="E164" s="28"/>
      <c r="F164" s="28"/>
      <c r="G164" s="28"/>
      <c r="H164" s="28"/>
      <c r="I164" s="28">
        <f>54922.81+44127.9</f>
        <v>99050.709999999992</v>
      </c>
      <c r="J164" s="28"/>
      <c r="K164" s="20"/>
      <c r="L164" s="20"/>
      <c r="M164" s="20"/>
      <c r="N164" s="50">
        <f t="shared" si="5"/>
        <v>17610</v>
      </c>
      <c r="O164" s="50">
        <f t="shared" si="6"/>
        <v>99050.709999999992</v>
      </c>
      <c r="P164" s="45">
        <v>2022</v>
      </c>
    </row>
    <row r="165" spans="1:17" ht="21.65" hidden="1" customHeight="1" x14ac:dyDescent="0.35">
      <c r="A165" s="223" t="s">
        <v>501</v>
      </c>
      <c r="B165" s="22" t="s">
        <v>66</v>
      </c>
      <c r="C165" s="30" t="s">
        <v>688</v>
      </c>
      <c r="D165" s="28"/>
      <c r="E165" s="28"/>
      <c r="F165" s="28"/>
      <c r="G165" s="28"/>
      <c r="H165" s="28"/>
      <c r="I165" s="28"/>
      <c r="J165" s="28"/>
      <c r="K165" s="20"/>
      <c r="L165" s="20"/>
      <c r="M165" s="20"/>
      <c r="N165" s="50">
        <f t="shared" si="5"/>
        <v>0</v>
      </c>
      <c r="O165" s="50">
        <f t="shared" si="6"/>
        <v>0</v>
      </c>
      <c r="P165" s="45">
        <v>2022</v>
      </c>
    </row>
    <row r="166" spans="1:17" ht="21.65" hidden="1" customHeight="1" x14ac:dyDescent="0.35">
      <c r="A166" s="213" t="s">
        <v>54</v>
      </c>
      <c r="B166" s="22" t="s">
        <v>326</v>
      </c>
      <c r="C166" s="28" t="s">
        <v>59</v>
      </c>
      <c r="D166" s="28">
        <v>0</v>
      </c>
      <c r="E166" s="28">
        <v>31093.338</v>
      </c>
      <c r="F166" s="28">
        <v>0</v>
      </c>
      <c r="G166" s="28">
        <v>1300</v>
      </c>
      <c r="H166" s="28">
        <v>6297.5119999999997</v>
      </c>
      <c r="I166" s="28">
        <v>0</v>
      </c>
      <c r="J166" s="28">
        <v>1263388</v>
      </c>
      <c r="K166" s="20">
        <v>0</v>
      </c>
      <c r="L166" s="20">
        <v>0</v>
      </c>
      <c r="M166" s="20">
        <v>0</v>
      </c>
      <c r="N166" s="50">
        <f t="shared" si="5"/>
        <v>36090.85</v>
      </c>
      <c r="O166" s="50">
        <f t="shared" si="6"/>
        <v>1263388</v>
      </c>
      <c r="P166" s="45">
        <v>2022</v>
      </c>
    </row>
    <row r="167" spans="1:17" ht="21.65" hidden="1" customHeight="1" x14ac:dyDescent="0.35">
      <c r="A167" s="220" t="s">
        <v>505</v>
      </c>
      <c r="B167" s="22" t="s">
        <v>66</v>
      </c>
      <c r="C167" s="33" t="s">
        <v>48</v>
      </c>
      <c r="D167" s="28">
        <v>117568</v>
      </c>
      <c r="E167" s="20">
        <v>0</v>
      </c>
      <c r="F167" s="20">
        <v>0</v>
      </c>
      <c r="G167" s="20">
        <v>0</v>
      </c>
      <c r="H167" s="20">
        <v>0</v>
      </c>
      <c r="I167" s="20">
        <v>534400</v>
      </c>
      <c r="J167" s="20">
        <v>0</v>
      </c>
      <c r="K167" s="20">
        <v>0</v>
      </c>
      <c r="L167" s="20">
        <v>0</v>
      </c>
      <c r="M167" s="20">
        <v>0</v>
      </c>
      <c r="N167" s="50">
        <f t="shared" si="5"/>
        <v>117568</v>
      </c>
      <c r="O167" s="50">
        <f t="shared" si="6"/>
        <v>534400</v>
      </c>
      <c r="P167" s="45">
        <v>2022</v>
      </c>
      <c r="Q167" s="176">
        <f t="shared" ref="Q167:Q168" si="7">+O167/N167</f>
        <v>4.5454545454545459</v>
      </c>
    </row>
    <row r="168" spans="1:17" ht="21.65" hidden="1" customHeight="1" x14ac:dyDescent="0.35">
      <c r="A168" s="211" t="s">
        <v>62</v>
      </c>
      <c r="B168" s="22" t="s">
        <v>66</v>
      </c>
      <c r="C168" s="33" t="s">
        <v>48</v>
      </c>
      <c r="D168" s="28">
        <f>110593+6694+153506+258+178082+106396</f>
        <v>555529</v>
      </c>
      <c r="E168" s="20"/>
      <c r="F168" s="20">
        <v>0</v>
      </c>
      <c r="G168" s="20">
        <v>0</v>
      </c>
      <c r="H168" s="20">
        <v>0</v>
      </c>
      <c r="I168" s="20">
        <f>657483+37673+134004+1480+707190+858211</f>
        <v>2396041</v>
      </c>
      <c r="J168" s="20"/>
      <c r="K168" s="20">
        <v>0</v>
      </c>
      <c r="L168" s="20"/>
      <c r="M168" s="20"/>
      <c r="N168" s="50">
        <f t="shared" si="5"/>
        <v>555529</v>
      </c>
      <c r="O168" s="50">
        <f t="shared" si="6"/>
        <v>2396041</v>
      </c>
      <c r="P168" s="45">
        <v>2022</v>
      </c>
      <c r="Q168" s="176">
        <f t="shared" si="7"/>
        <v>4.3130799652223377</v>
      </c>
    </row>
    <row r="169" spans="1:17" ht="21.65" hidden="1" customHeight="1" x14ac:dyDescent="0.35">
      <c r="A169" s="211" t="s">
        <v>62</v>
      </c>
      <c r="B169" s="22" t="s">
        <v>66</v>
      </c>
      <c r="C169" s="33" t="s">
        <v>64</v>
      </c>
      <c r="D169" s="28">
        <v>2306764</v>
      </c>
      <c r="E169" s="20">
        <v>93421</v>
      </c>
      <c r="F169" s="20">
        <v>0</v>
      </c>
      <c r="G169" s="20">
        <v>0</v>
      </c>
      <c r="H169" s="20">
        <v>0</v>
      </c>
      <c r="I169" s="20">
        <v>17227606</v>
      </c>
      <c r="J169" s="20">
        <v>736942</v>
      </c>
      <c r="K169" s="20">
        <v>0</v>
      </c>
      <c r="L169" s="20">
        <v>3677029</v>
      </c>
      <c r="M169" s="20">
        <v>3043077</v>
      </c>
      <c r="N169" s="50">
        <f t="shared" si="5"/>
        <v>2400185</v>
      </c>
      <c r="O169" s="50">
        <f t="shared" si="6"/>
        <v>17330596</v>
      </c>
      <c r="P169" s="45">
        <v>2022</v>
      </c>
    </row>
    <row r="170" spans="1:17" ht="21.65" hidden="1" customHeight="1" x14ac:dyDescent="0.35">
      <c r="A170" s="211" t="s">
        <v>517</v>
      </c>
      <c r="B170" s="22" t="s">
        <v>66</v>
      </c>
      <c r="C170" s="20" t="s">
        <v>451</v>
      </c>
      <c r="D170" s="28">
        <v>292997</v>
      </c>
      <c r="E170" s="20"/>
      <c r="F170" s="20"/>
      <c r="G170" s="20"/>
      <c r="H170" s="20"/>
      <c r="I170" s="20">
        <v>2137633.4270000001</v>
      </c>
      <c r="J170" s="20"/>
      <c r="K170" s="20"/>
      <c r="L170" s="20"/>
      <c r="M170" s="50"/>
      <c r="N170" s="50">
        <f t="shared" si="5"/>
        <v>292997</v>
      </c>
      <c r="O170" s="50">
        <f t="shared" si="6"/>
        <v>2137633.4270000001</v>
      </c>
      <c r="P170" s="45">
        <v>2022</v>
      </c>
    </row>
    <row r="171" spans="1:17" ht="21.65" hidden="1" customHeight="1" x14ac:dyDescent="0.35">
      <c r="A171" s="213" t="s">
        <v>67</v>
      </c>
      <c r="B171" s="22" t="s">
        <v>66</v>
      </c>
      <c r="C171" s="33" t="s">
        <v>699</v>
      </c>
      <c r="D171" s="28">
        <v>0</v>
      </c>
      <c r="E171" s="20">
        <v>526747</v>
      </c>
      <c r="F171" s="20">
        <v>0</v>
      </c>
      <c r="G171" s="20">
        <f>29059+2426+0</f>
        <v>31485</v>
      </c>
      <c r="H171" s="20">
        <f>865+1633</f>
        <v>2498</v>
      </c>
      <c r="I171" s="20">
        <v>0</v>
      </c>
      <c r="J171" s="20">
        <v>109536232</v>
      </c>
      <c r="K171" s="20">
        <v>0</v>
      </c>
      <c r="L171" s="20">
        <v>2176655</v>
      </c>
      <c r="M171" s="20">
        <v>217218</v>
      </c>
      <c r="N171" s="50">
        <f t="shared" si="5"/>
        <v>497760</v>
      </c>
      <c r="O171" s="50">
        <f t="shared" si="6"/>
        <v>107576795</v>
      </c>
      <c r="P171" s="45">
        <v>2022</v>
      </c>
    </row>
    <row r="172" spans="1:17" ht="21.65" hidden="1" customHeight="1" x14ac:dyDescent="0.35">
      <c r="A172" s="213" t="s">
        <v>67</v>
      </c>
      <c r="B172" s="22" t="s">
        <v>66</v>
      </c>
      <c r="C172" s="28" t="s">
        <v>70</v>
      </c>
      <c r="D172" s="28">
        <f>0</f>
        <v>0</v>
      </c>
      <c r="E172" s="20">
        <v>90745</v>
      </c>
      <c r="F172" s="20">
        <v>0</v>
      </c>
      <c r="G172" s="20">
        <v>8549</v>
      </c>
      <c r="H172" s="20">
        <v>1869</v>
      </c>
      <c r="I172" s="20">
        <v>0</v>
      </c>
      <c r="J172" s="20">
        <v>88151983</v>
      </c>
      <c r="K172" s="20">
        <v>0</v>
      </c>
      <c r="L172" s="20">
        <v>1516900</v>
      </c>
      <c r="M172" s="20">
        <v>334527</v>
      </c>
      <c r="N172" s="50">
        <f t="shared" si="5"/>
        <v>84065</v>
      </c>
      <c r="O172" s="50">
        <f t="shared" si="6"/>
        <v>86969610</v>
      </c>
      <c r="P172" s="45">
        <v>2022</v>
      </c>
    </row>
    <row r="173" spans="1:17" ht="21.65" hidden="1" customHeight="1" x14ac:dyDescent="0.35">
      <c r="A173" s="213" t="s">
        <v>67</v>
      </c>
      <c r="B173" s="22" t="s">
        <v>66</v>
      </c>
      <c r="C173" s="33" t="s">
        <v>700</v>
      </c>
      <c r="D173" s="28">
        <v>0</v>
      </c>
      <c r="E173" s="20">
        <v>4160</v>
      </c>
      <c r="F173" s="20">
        <v>0</v>
      </c>
      <c r="G173" s="20">
        <v>34</v>
      </c>
      <c r="H173" s="20">
        <v>77</v>
      </c>
      <c r="I173" s="20">
        <v>0</v>
      </c>
      <c r="J173" s="20">
        <v>5290813</v>
      </c>
      <c r="K173" s="20">
        <v>0</v>
      </c>
      <c r="L173" s="20">
        <v>12483</v>
      </c>
      <c r="M173" s="20">
        <v>35816</v>
      </c>
      <c r="N173" s="50">
        <f t="shared" si="5"/>
        <v>4203</v>
      </c>
      <c r="O173" s="50">
        <f t="shared" si="6"/>
        <v>5314146</v>
      </c>
      <c r="P173" s="45">
        <v>2022</v>
      </c>
    </row>
    <row r="174" spans="1:17" ht="21.65" hidden="1" customHeight="1" x14ac:dyDescent="0.35">
      <c r="A174" s="213" t="s">
        <v>67</v>
      </c>
      <c r="B174" s="22" t="s">
        <v>66</v>
      </c>
      <c r="C174" s="33" t="s">
        <v>701</v>
      </c>
      <c r="D174" s="28">
        <v>0</v>
      </c>
      <c r="E174" s="20">
        <v>6340</v>
      </c>
      <c r="F174" s="20">
        <v>0</v>
      </c>
      <c r="G174" s="20">
        <v>75</v>
      </c>
      <c r="H174" s="20">
        <v>19</v>
      </c>
      <c r="I174" s="20">
        <v>0</v>
      </c>
      <c r="J174" s="20">
        <v>5532815</v>
      </c>
      <c r="K174" s="20">
        <v>0</v>
      </c>
      <c r="L174" s="20">
        <v>19731</v>
      </c>
      <c r="M174" s="20">
        <v>6682</v>
      </c>
      <c r="N174" s="50">
        <f t="shared" si="5"/>
        <v>6284</v>
      </c>
      <c r="O174" s="50">
        <f t="shared" si="6"/>
        <v>5519766</v>
      </c>
      <c r="P174" s="45">
        <v>2022</v>
      </c>
    </row>
    <row r="175" spans="1:17" ht="21.65" hidden="1" customHeight="1" x14ac:dyDescent="0.35">
      <c r="A175" s="211" t="s">
        <v>73</v>
      </c>
      <c r="B175" s="22" t="s">
        <v>66</v>
      </c>
      <c r="C175" s="33" t="s">
        <v>64</v>
      </c>
      <c r="D175" s="28">
        <v>53521</v>
      </c>
      <c r="E175" s="20">
        <v>0</v>
      </c>
      <c r="F175" s="20">
        <v>0</v>
      </c>
      <c r="G175" s="20">
        <v>0</v>
      </c>
      <c r="H175" s="20">
        <v>0</v>
      </c>
      <c r="I175" s="20">
        <v>182334</v>
      </c>
      <c r="J175" s="20">
        <v>0</v>
      </c>
      <c r="K175" s="20">
        <v>0</v>
      </c>
      <c r="L175" s="20">
        <v>0</v>
      </c>
      <c r="M175" s="20">
        <v>0</v>
      </c>
      <c r="N175" s="50">
        <f t="shared" si="5"/>
        <v>53521</v>
      </c>
      <c r="O175" s="50">
        <f t="shared" si="6"/>
        <v>182334</v>
      </c>
      <c r="P175" s="45">
        <v>2022</v>
      </c>
    </row>
    <row r="176" spans="1:17" ht="21.65" hidden="1" customHeight="1" x14ac:dyDescent="0.35">
      <c r="A176" s="223" t="s">
        <v>344</v>
      </c>
      <c r="B176" s="22" t="s">
        <v>66</v>
      </c>
      <c r="C176" s="50" t="s">
        <v>48</v>
      </c>
      <c r="D176" s="28"/>
      <c r="E176" s="20"/>
      <c r="F176" s="20"/>
      <c r="G176" s="20"/>
      <c r="H176" s="20"/>
      <c r="I176" s="20"/>
      <c r="J176" s="20"/>
      <c r="K176" s="20"/>
      <c r="L176" s="20"/>
      <c r="M176" s="20"/>
      <c r="N176" s="50">
        <f t="shared" si="5"/>
        <v>0</v>
      </c>
      <c r="O176" s="50">
        <f t="shared" si="6"/>
        <v>0</v>
      </c>
      <c r="P176" s="45">
        <v>2022</v>
      </c>
      <c r="Q176" s="176"/>
    </row>
    <row r="177" spans="1:17" ht="21.65" hidden="1" customHeight="1" x14ac:dyDescent="0.35">
      <c r="A177" s="213" t="s">
        <v>75</v>
      </c>
      <c r="B177" s="22" t="s">
        <v>66</v>
      </c>
      <c r="C177" s="28" t="s">
        <v>697</v>
      </c>
      <c r="D177" s="28">
        <v>0</v>
      </c>
      <c r="E177" s="20">
        <v>0</v>
      </c>
      <c r="F177" s="20">
        <v>0</v>
      </c>
      <c r="G177" s="20">
        <v>180608</v>
      </c>
      <c r="H177" s="20">
        <v>33590</v>
      </c>
      <c r="I177" s="20">
        <v>0</v>
      </c>
      <c r="J177" s="20">
        <v>0</v>
      </c>
      <c r="K177" s="20">
        <v>0</v>
      </c>
      <c r="L177" s="20">
        <v>4946108</v>
      </c>
      <c r="M177" s="20">
        <v>1053777</v>
      </c>
      <c r="N177" s="50">
        <f>G177-H177</f>
        <v>147018</v>
      </c>
      <c r="O177" s="50">
        <f>L177-M177</f>
        <v>3892331</v>
      </c>
      <c r="P177" s="45">
        <v>2022</v>
      </c>
    </row>
    <row r="178" spans="1:17" ht="21.65" hidden="1" customHeight="1" x14ac:dyDescent="0.35">
      <c r="A178" s="213" t="s">
        <v>75</v>
      </c>
      <c r="B178" s="22" t="s">
        <v>66</v>
      </c>
      <c r="C178" s="28" t="s">
        <v>703</v>
      </c>
      <c r="D178" s="28">
        <v>7</v>
      </c>
      <c r="E178" s="20">
        <v>558410</v>
      </c>
      <c r="F178" s="20">
        <v>0</v>
      </c>
      <c r="G178" s="20">
        <v>56345</v>
      </c>
      <c r="H178" s="20">
        <v>43178</v>
      </c>
      <c r="I178" s="20">
        <v>6289</v>
      </c>
      <c r="J178" s="20">
        <v>533842674</v>
      </c>
      <c r="K178" s="20">
        <v>0</v>
      </c>
      <c r="L178" s="20">
        <v>16652848</v>
      </c>
      <c r="M178" s="20">
        <v>18650398</v>
      </c>
      <c r="N178" s="50">
        <f t="shared" ref="N178:N204" si="8">+D178+E178+H178-G178</f>
        <v>545250</v>
      </c>
      <c r="O178" s="50">
        <f t="shared" ref="O178:O204" si="9">+I178+J178+M178-L178</f>
        <v>535846513</v>
      </c>
      <c r="P178" s="45">
        <v>2022</v>
      </c>
    </row>
    <row r="179" spans="1:17" ht="21.65" hidden="1" customHeight="1" x14ac:dyDescent="0.35">
      <c r="A179" s="213" t="s">
        <v>75</v>
      </c>
      <c r="B179" s="22" t="s">
        <v>66</v>
      </c>
      <c r="C179" s="20" t="s">
        <v>708</v>
      </c>
      <c r="D179" s="28">
        <v>76545</v>
      </c>
      <c r="E179" s="20">
        <v>12318</v>
      </c>
      <c r="F179" s="20">
        <v>0</v>
      </c>
      <c r="G179" s="20">
        <v>31084</v>
      </c>
      <c r="H179" s="20">
        <v>25222</v>
      </c>
      <c r="I179" s="20">
        <v>27574026</v>
      </c>
      <c r="J179" s="20">
        <v>3328965</v>
      </c>
      <c r="K179" s="20">
        <v>0</v>
      </c>
      <c r="L179" s="20">
        <v>7024386</v>
      </c>
      <c r="M179" s="20">
        <v>6142778</v>
      </c>
      <c r="N179" s="50">
        <f t="shared" si="8"/>
        <v>83001</v>
      </c>
      <c r="O179" s="50">
        <f t="shared" si="9"/>
        <v>30021383</v>
      </c>
      <c r="P179" s="45">
        <v>2022</v>
      </c>
    </row>
    <row r="180" spans="1:17" ht="21.65" hidden="1" customHeight="1" x14ac:dyDescent="0.35">
      <c r="A180" s="224" t="s">
        <v>354</v>
      </c>
      <c r="B180" s="22" t="s">
        <v>66</v>
      </c>
      <c r="C180" s="33" t="s">
        <v>64</v>
      </c>
      <c r="D180" s="28">
        <v>117925.4</v>
      </c>
      <c r="E180" s="20">
        <v>0</v>
      </c>
      <c r="F180" s="20">
        <v>0</v>
      </c>
      <c r="G180" s="20">
        <v>0</v>
      </c>
      <c r="H180" s="20">
        <v>0</v>
      </c>
      <c r="I180" s="20">
        <v>963311.8</v>
      </c>
      <c r="J180" s="20">
        <v>0</v>
      </c>
      <c r="K180" s="20">
        <v>0</v>
      </c>
      <c r="L180" s="20">
        <v>0</v>
      </c>
      <c r="M180" s="20">
        <v>0</v>
      </c>
      <c r="N180" s="50">
        <f t="shared" si="8"/>
        <v>117925.4</v>
      </c>
      <c r="O180" s="50">
        <f t="shared" si="9"/>
        <v>963311.8</v>
      </c>
      <c r="P180" s="45">
        <v>2022</v>
      </c>
    </row>
    <row r="181" spans="1:17" ht="21.65" hidden="1" customHeight="1" x14ac:dyDescent="0.35">
      <c r="A181" s="211" t="s">
        <v>373</v>
      </c>
      <c r="B181" s="22" t="s">
        <v>136</v>
      </c>
      <c r="C181" s="20" t="s">
        <v>709</v>
      </c>
      <c r="D181" s="28"/>
      <c r="E181" s="20">
        <v>0.35442419082079996</v>
      </c>
      <c r="F181" s="20"/>
      <c r="G181" s="20"/>
      <c r="H181" s="20"/>
      <c r="I181" s="20"/>
      <c r="J181" s="20">
        <v>152394.41110219501</v>
      </c>
      <c r="K181" s="20"/>
      <c r="L181" s="20"/>
      <c r="M181" s="20"/>
      <c r="N181" s="171">
        <f t="shared" si="8"/>
        <v>0.35442419082079996</v>
      </c>
      <c r="O181" s="50">
        <f t="shared" si="9"/>
        <v>152394.41110219501</v>
      </c>
      <c r="P181" s="45">
        <v>2022</v>
      </c>
    </row>
    <row r="182" spans="1:17" ht="21.65" hidden="1" customHeight="1" x14ac:dyDescent="0.35">
      <c r="A182" s="211" t="s">
        <v>373</v>
      </c>
      <c r="B182" s="22" t="s">
        <v>136</v>
      </c>
      <c r="C182" s="20" t="s">
        <v>431</v>
      </c>
      <c r="D182" s="28">
        <v>0</v>
      </c>
      <c r="E182" s="20">
        <v>4.0319337419999997</v>
      </c>
      <c r="F182" s="20">
        <v>0</v>
      </c>
      <c r="G182" s="20">
        <v>0.1397475762</v>
      </c>
      <c r="H182" s="20">
        <v>0.12304505040000001</v>
      </c>
      <c r="I182" s="20">
        <v>0</v>
      </c>
      <c r="J182" s="20">
        <v>147862816</v>
      </c>
      <c r="K182" s="20">
        <v>0</v>
      </c>
      <c r="L182" s="20">
        <v>2874527</v>
      </c>
      <c r="M182" s="20">
        <v>2730952</v>
      </c>
      <c r="N182" s="171">
        <f t="shared" si="8"/>
        <v>4.0152312162000001</v>
      </c>
      <c r="O182" s="50">
        <f t="shared" si="9"/>
        <v>147719241</v>
      </c>
      <c r="P182" s="45">
        <v>2022</v>
      </c>
    </row>
    <row r="183" spans="1:17" ht="21.65" hidden="1" customHeight="1" x14ac:dyDescent="0.35">
      <c r="A183" s="223" t="s">
        <v>374</v>
      </c>
      <c r="B183" s="22" t="s">
        <v>66</v>
      </c>
      <c r="C183" s="50" t="s">
        <v>554</v>
      </c>
      <c r="D183" s="28">
        <v>1775</v>
      </c>
      <c r="E183" s="20">
        <v>9235</v>
      </c>
      <c r="F183" s="20"/>
      <c r="G183" s="20">
        <v>309</v>
      </c>
      <c r="H183" s="20">
        <v>240</v>
      </c>
      <c r="I183" s="20">
        <v>129907</v>
      </c>
      <c r="J183" s="20">
        <f>575697.785+43946.217</f>
        <v>619644.00199999998</v>
      </c>
      <c r="K183" s="20"/>
      <c r="L183" s="20">
        <v>2096.2280000000001</v>
      </c>
      <c r="M183" s="20">
        <v>34922.894</v>
      </c>
      <c r="N183" s="50">
        <f t="shared" si="8"/>
        <v>10941</v>
      </c>
      <c r="O183" s="50">
        <f t="shared" si="9"/>
        <v>782377.66799999995</v>
      </c>
      <c r="P183" s="45">
        <v>2022</v>
      </c>
    </row>
    <row r="184" spans="1:17" ht="21.65" hidden="1" customHeight="1" x14ac:dyDescent="0.35">
      <c r="A184" s="211" t="s">
        <v>727</v>
      </c>
      <c r="B184" s="22" t="s">
        <v>66</v>
      </c>
      <c r="C184" s="33" t="s">
        <v>48</v>
      </c>
      <c r="D184" s="28">
        <v>57288</v>
      </c>
      <c r="E184" s="20">
        <v>0</v>
      </c>
      <c r="F184" s="20">
        <v>0</v>
      </c>
      <c r="G184" s="20">
        <v>0</v>
      </c>
      <c r="H184" s="20">
        <v>0</v>
      </c>
      <c r="I184" s="20">
        <v>260400</v>
      </c>
      <c r="J184" s="20">
        <v>0</v>
      </c>
      <c r="K184" s="20">
        <v>0</v>
      </c>
      <c r="L184" s="20">
        <v>0</v>
      </c>
      <c r="M184" s="20">
        <v>0</v>
      </c>
      <c r="N184" s="50">
        <f t="shared" si="8"/>
        <v>57288</v>
      </c>
      <c r="O184" s="50">
        <f t="shared" si="9"/>
        <v>260400</v>
      </c>
      <c r="P184" s="45">
        <v>2022</v>
      </c>
      <c r="Q184" s="176">
        <f>+O184/N184</f>
        <v>4.5454545454545459</v>
      </c>
    </row>
    <row r="185" spans="1:17" ht="21.65" customHeight="1" x14ac:dyDescent="0.35">
      <c r="A185" s="213" t="s">
        <v>93</v>
      </c>
      <c r="B185" s="22" t="s">
        <v>136</v>
      </c>
      <c r="C185" s="20" t="s">
        <v>431</v>
      </c>
      <c r="D185" s="28">
        <v>0.25</v>
      </c>
      <c r="E185" s="20">
        <v>10.64</v>
      </c>
      <c r="F185" s="20">
        <v>0</v>
      </c>
      <c r="G185" s="20">
        <v>0.3</v>
      </c>
      <c r="H185" s="20">
        <v>0.27</v>
      </c>
      <c r="I185" s="20">
        <v>9028238</v>
      </c>
      <c r="J185" s="20">
        <v>383558467</v>
      </c>
      <c r="K185" s="20">
        <v>0</v>
      </c>
      <c r="L185" s="20">
        <v>1055660</v>
      </c>
      <c r="M185" s="20">
        <v>2080075</v>
      </c>
      <c r="N185" s="171">
        <f t="shared" si="8"/>
        <v>10.86</v>
      </c>
      <c r="O185" s="50">
        <f t="shared" si="9"/>
        <v>393611120</v>
      </c>
      <c r="P185" s="45">
        <v>2022</v>
      </c>
    </row>
    <row r="186" spans="1:17" ht="21.65" customHeight="1" x14ac:dyDescent="0.35">
      <c r="A186" s="213" t="s">
        <v>93</v>
      </c>
      <c r="B186" s="22" t="s">
        <v>136</v>
      </c>
      <c r="C186" s="20" t="s">
        <v>709</v>
      </c>
      <c r="D186" s="28">
        <v>0</v>
      </c>
      <c r="E186" s="20">
        <v>0.85</v>
      </c>
      <c r="F186" s="20">
        <v>0</v>
      </c>
      <c r="G186" s="20">
        <v>0</v>
      </c>
      <c r="H186" s="20">
        <v>0</v>
      </c>
      <c r="I186" s="20">
        <v>0</v>
      </c>
      <c r="J186" s="20">
        <v>374908</v>
      </c>
      <c r="K186" s="20">
        <v>0</v>
      </c>
      <c r="L186" s="20">
        <v>0</v>
      </c>
      <c r="M186" s="20">
        <v>0</v>
      </c>
      <c r="N186" s="171">
        <f t="shared" si="8"/>
        <v>0.85</v>
      </c>
      <c r="O186" s="50">
        <f t="shared" si="9"/>
        <v>374908</v>
      </c>
      <c r="P186" s="45">
        <v>2022</v>
      </c>
    </row>
    <row r="187" spans="1:17" ht="21.65" hidden="1" customHeight="1" x14ac:dyDescent="0.35">
      <c r="A187" s="213" t="s">
        <v>101</v>
      </c>
      <c r="B187" s="22" t="s">
        <v>66</v>
      </c>
      <c r="C187" s="28" t="s">
        <v>705</v>
      </c>
      <c r="D187" s="28">
        <v>0</v>
      </c>
      <c r="E187" s="20">
        <v>20360</v>
      </c>
      <c r="F187" s="50"/>
      <c r="G187" s="20">
        <f>4599+386</f>
        <v>4985</v>
      </c>
      <c r="H187" s="20">
        <f>1020+386</f>
        <v>1406</v>
      </c>
      <c r="I187" s="20">
        <v>0</v>
      </c>
      <c r="J187" s="20">
        <v>1335507</v>
      </c>
      <c r="K187" s="50"/>
      <c r="L187" s="20">
        <f>204952+26315</f>
        <v>231267</v>
      </c>
      <c r="M187" s="20">
        <f>55097+30902</f>
        <v>85999</v>
      </c>
      <c r="N187" s="50">
        <f t="shared" si="8"/>
        <v>16781</v>
      </c>
      <c r="O187" s="50">
        <f t="shared" si="9"/>
        <v>1190239</v>
      </c>
      <c r="P187" s="45">
        <v>2022</v>
      </c>
    </row>
    <row r="188" spans="1:17" ht="21.65" hidden="1" customHeight="1" x14ac:dyDescent="0.35">
      <c r="A188" s="213" t="s">
        <v>101</v>
      </c>
      <c r="B188" s="22" t="s">
        <v>66</v>
      </c>
      <c r="C188" s="28" t="s">
        <v>104</v>
      </c>
      <c r="D188" s="28">
        <v>80.14</v>
      </c>
      <c r="E188" s="20">
        <v>9150</v>
      </c>
      <c r="F188" s="50"/>
      <c r="G188" s="20">
        <v>335</v>
      </c>
      <c r="H188" s="20">
        <v>694</v>
      </c>
      <c r="I188" s="20">
        <v>6345</v>
      </c>
      <c r="J188" s="20">
        <v>430330</v>
      </c>
      <c r="K188" s="50"/>
      <c r="L188" s="20">
        <v>60416</v>
      </c>
      <c r="M188" s="20">
        <v>18195</v>
      </c>
      <c r="N188" s="50">
        <f t="shared" si="8"/>
        <v>9589.14</v>
      </c>
      <c r="O188" s="50">
        <f t="shared" si="9"/>
        <v>394454</v>
      </c>
      <c r="P188" s="45">
        <v>2022</v>
      </c>
    </row>
    <row r="189" spans="1:17" ht="21.65" hidden="1" customHeight="1" x14ac:dyDescent="0.35">
      <c r="A189" s="211" t="s">
        <v>638</v>
      </c>
      <c r="B189" s="22" t="s">
        <v>10</v>
      </c>
      <c r="C189" s="20" t="s">
        <v>1594</v>
      </c>
      <c r="D189" s="28">
        <v>0</v>
      </c>
      <c r="E189" s="20">
        <v>9099</v>
      </c>
      <c r="F189" s="20">
        <v>0</v>
      </c>
      <c r="G189" s="20">
        <v>0</v>
      </c>
      <c r="H189" s="20">
        <v>0</v>
      </c>
      <c r="I189" s="20">
        <v>0</v>
      </c>
      <c r="J189" s="20">
        <v>2225609</v>
      </c>
      <c r="K189" s="20">
        <v>0</v>
      </c>
      <c r="L189" s="20">
        <v>0</v>
      </c>
      <c r="M189" s="20">
        <v>0</v>
      </c>
      <c r="N189" s="50">
        <f t="shared" si="8"/>
        <v>9099</v>
      </c>
      <c r="O189" s="50">
        <f t="shared" si="9"/>
        <v>2225609</v>
      </c>
      <c r="P189" s="45">
        <v>2022</v>
      </c>
    </row>
    <row r="190" spans="1:17" ht="21.65" hidden="1" customHeight="1" x14ac:dyDescent="0.35">
      <c r="A190" s="211" t="s">
        <v>106</v>
      </c>
      <c r="B190" s="22" t="s">
        <v>66</v>
      </c>
      <c r="C190" s="28" t="s">
        <v>697</v>
      </c>
      <c r="D190" s="28">
        <v>3336</v>
      </c>
      <c r="E190" s="20">
        <v>48907</v>
      </c>
      <c r="F190" s="20">
        <v>0</v>
      </c>
      <c r="G190" s="20">
        <v>11363</v>
      </c>
      <c r="H190" s="20">
        <v>28472</v>
      </c>
      <c r="I190" s="20">
        <v>171436</v>
      </c>
      <c r="J190" s="20">
        <v>4440523</v>
      </c>
      <c r="K190" s="20">
        <v>0</v>
      </c>
      <c r="L190" s="20">
        <v>484143</v>
      </c>
      <c r="M190" s="20">
        <v>2489351</v>
      </c>
      <c r="N190" s="50">
        <f t="shared" si="8"/>
        <v>69352</v>
      </c>
      <c r="O190" s="50">
        <f t="shared" si="9"/>
        <v>6617167</v>
      </c>
      <c r="P190" s="45">
        <v>2022</v>
      </c>
    </row>
    <row r="191" spans="1:17" ht="21.65" hidden="1" customHeight="1" x14ac:dyDescent="0.35">
      <c r="A191" s="211" t="s">
        <v>643</v>
      </c>
      <c r="B191" s="22" t="s">
        <v>136</v>
      </c>
      <c r="C191" s="20" t="s">
        <v>431</v>
      </c>
      <c r="D191" s="28">
        <v>2.3E-2</v>
      </c>
      <c r="E191" s="20">
        <v>0</v>
      </c>
      <c r="F191" s="20">
        <v>0</v>
      </c>
      <c r="G191" s="20">
        <v>0</v>
      </c>
      <c r="H191" s="20">
        <v>0</v>
      </c>
      <c r="I191" s="20">
        <v>460000</v>
      </c>
      <c r="J191" s="20">
        <v>0</v>
      </c>
      <c r="K191" s="20">
        <v>0</v>
      </c>
      <c r="L191" s="20">
        <v>0</v>
      </c>
      <c r="M191" s="20">
        <v>0</v>
      </c>
      <c r="N191" s="50">
        <f t="shared" si="8"/>
        <v>2.3E-2</v>
      </c>
      <c r="O191" s="50">
        <f t="shared" si="9"/>
        <v>460000</v>
      </c>
      <c r="P191" s="45">
        <v>2022</v>
      </c>
    </row>
    <row r="192" spans="1:17" ht="21.65" hidden="1" customHeight="1" x14ac:dyDescent="0.35">
      <c r="A192" s="223" t="s">
        <v>567</v>
      </c>
      <c r="B192" s="22" t="s">
        <v>66</v>
      </c>
      <c r="C192" s="50" t="s">
        <v>451</v>
      </c>
      <c r="D192" s="28">
        <v>126962</v>
      </c>
      <c r="E192" s="50"/>
      <c r="F192" s="50"/>
      <c r="G192" s="50">
        <v>133333</v>
      </c>
      <c r="H192" s="50">
        <v>222979</v>
      </c>
      <c r="I192" s="50">
        <v>941421</v>
      </c>
      <c r="J192" s="50"/>
      <c r="K192" s="50"/>
      <c r="L192" s="50">
        <v>315537</v>
      </c>
      <c r="M192" s="50">
        <v>614319</v>
      </c>
      <c r="N192" s="50">
        <f t="shared" si="8"/>
        <v>216608</v>
      </c>
      <c r="O192" s="50">
        <f t="shared" si="9"/>
        <v>1240203</v>
      </c>
      <c r="P192" s="45">
        <v>2022</v>
      </c>
    </row>
    <row r="193" spans="1:17" ht="21.65" hidden="1" customHeight="1" x14ac:dyDescent="0.35">
      <c r="A193" s="223" t="s">
        <v>646</v>
      </c>
      <c r="B193" s="22" t="s">
        <v>66</v>
      </c>
      <c r="C193" s="50" t="s">
        <v>451</v>
      </c>
      <c r="D193" s="28"/>
      <c r="E193" s="50"/>
      <c r="F193" s="50"/>
      <c r="G193" s="50"/>
      <c r="H193" s="50"/>
      <c r="I193" s="50"/>
      <c r="J193" s="50"/>
      <c r="K193" s="50"/>
      <c r="L193" s="50"/>
      <c r="M193" s="50"/>
      <c r="N193" s="50">
        <f t="shared" si="8"/>
        <v>0</v>
      </c>
      <c r="O193" s="50">
        <f t="shared" si="9"/>
        <v>0</v>
      </c>
      <c r="P193" s="45">
        <v>2022</v>
      </c>
    </row>
    <row r="194" spans="1:17" ht="21.65" hidden="1" customHeight="1" x14ac:dyDescent="0.35">
      <c r="A194" s="212" t="s">
        <v>569</v>
      </c>
      <c r="B194" s="22" t="s">
        <v>29</v>
      </c>
      <c r="C194" s="28" t="s">
        <v>697</v>
      </c>
      <c r="D194" s="28">
        <v>182602</v>
      </c>
      <c r="E194" s="35">
        <v>366954</v>
      </c>
      <c r="F194" s="20">
        <v>0</v>
      </c>
      <c r="G194" s="35">
        <v>699456</v>
      </c>
      <c r="H194" s="35">
        <v>944240</v>
      </c>
      <c r="I194" s="35">
        <v>15367231.939999999</v>
      </c>
      <c r="J194" s="35">
        <v>41075747.071000002</v>
      </c>
      <c r="K194" s="35">
        <v>0</v>
      </c>
      <c r="L194" s="35">
        <v>21455426</v>
      </c>
      <c r="M194" s="35">
        <v>21864808</v>
      </c>
      <c r="N194" s="50">
        <f t="shared" si="8"/>
        <v>794340</v>
      </c>
      <c r="O194" s="50">
        <f t="shared" si="9"/>
        <v>56852361.011000007</v>
      </c>
      <c r="P194" s="45">
        <v>2022</v>
      </c>
      <c r="Q194" s="172"/>
    </row>
    <row r="195" spans="1:17" ht="21.65" hidden="1" customHeight="1" x14ac:dyDescent="0.35">
      <c r="A195" s="212" t="s">
        <v>572</v>
      </c>
      <c r="B195" s="22" t="s">
        <v>66</v>
      </c>
      <c r="C195" s="28" t="s">
        <v>104</v>
      </c>
      <c r="D195" s="28">
        <v>4228</v>
      </c>
      <c r="E195" s="20">
        <v>140727.69</v>
      </c>
      <c r="F195" s="20">
        <v>144955.69</v>
      </c>
      <c r="G195" s="20">
        <v>9285.33</v>
      </c>
      <c r="H195" s="20">
        <v>9359</v>
      </c>
      <c r="I195" s="20">
        <v>220537</v>
      </c>
      <c r="J195" s="20">
        <v>3353828</v>
      </c>
      <c r="K195" s="20">
        <v>3564774</v>
      </c>
      <c r="L195" s="20">
        <v>120726</v>
      </c>
      <c r="M195" s="20">
        <v>71466</v>
      </c>
      <c r="N195" s="50">
        <f t="shared" si="8"/>
        <v>145029.36000000002</v>
      </c>
      <c r="O195" s="50">
        <f t="shared" si="9"/>
        <v>3525105</v>
      </c>
      <c r="P195" s="45">
        <v>2022</v>
      </c>
    </row>
    <row r="196" spans="1:17" ht="21.65" hidden="1" customHeight="1" x14ac:dyDescent="0.35">
      <c r="A196" s="223" t="s">
        <v>128</v>
      </c>
      <c r="B196" s="22" t="s">
        <v>131</v>
      </c>
      <c r="C196" s="29" t="s">
        <v>698</v>
      </c>
      <c r="D196" s="28">
        <f>3192851.27</f>
        <v>3192851.27</v>
      </c>
      <c r="E196" s="50">
        <v>181550.87</v>
      </c>
      <c r="F196" s="50">
        <v>0</v>
      </c>
      <c r="G196" s="50">
        <v>13976</v>
      </c>
      <c r="H196" s="50">
        <v>10269</v>
      </c>
      <c r="I196" s="50">
        <v>151849279</v>
      </c>
      <c r="J196" s="50">
        <v>8241341</v>
      </c>
      <c r="K196" s="50">
        <v>0</v>
      </c>
      <c r="L196" s="50">
        <v>606173</v>
      </c>
      <c r="M196" s="50">
        <v>487189</v>
      </c>
      <c r="N196" s="50">
        <f t="shared" si="8"/>
        <v>3370695.14</v>
      </c>
      <c r="O196" s="50">
        <f t="shared" si="9"/>
        <v>159971636</v>
      </c>
      <c r="P196" s="45">
        <v>2022</v>
      </c>
    </row>
    <row r="197" spans="1:17" ht="21.65" hidden="1" customHeight="1" x14ac:dyDescent="0.35">
      <c r="A197" s="223" t="s">
        <v>128</v>
      </c>
      <c r="B197" s="22" t="s">
        <v>131</v>
      </c>
      <c r="C197" s="50" t="s">
        <v>1586</v>
      </c>
      <c r="D197" s="28">
        <v>0</v>
      </c>
      <c r="E197" s="50">
        <v>13645.85</v>
      </c>
      <c r="F197" s="50">
        <v>0</v>
      </c>
      <c r="G197" s="50">
        <v>2026.3</v>
      </c>
      <c r="H197" s="50">
        <v>10399.61</v>
      </c>
      <c r="I197" s="50">
        <v>0</v>
      </c>
      <c r="J197" s="50">
        <v>504795</v>
      </c>
      <c r="K197" s="50">
        <v>0</v>
      </c>
      <c r="L197" s="50">
        <v>52936</v>
      </c>
      <c r="M197" s="50">
        <v>384708</v>
      </c>
      <c r="N197" s="50">
        <f t="shared" si="8"/>
        <v>22019.16</v>
      </c>
      <c r="O197" s="50">
        <f t="shared" si="9"/>
        <v>836567</v>
      </c>
      <c r="P197" s="45">
        <v>2022</v>
      </c>
    </row>
    <row r="198" spans="1:17" ht="21.65" hidden="1" customHeight="1" x14ac:dyDescent="0.35">
      <c r="A198" s="211" t="s">
        <v>595</v>
      </c>
      <c r="B198" s="22" t="s">
        <v>66</v>
      </c>
      <c r="C198" s="33" t="s">
        <v>48</v>
      </c>
      <c r="D198" s="28">
        <v>60940</v>
      </c>
      <c r="E198" s="20">
        <v>0</v>
      </c>
      <c r="F198" s="20">
        <v>0</v>
      </c>
      <c r="G198" s="20">
        <v>0</v>
      </c>
      <c r="H198" s="20">
        <v>0</v>
      </c>
      <c r="I198" s="20">
        <v>277000</v>
      </c>
      <c r="J198" s="20">
        <v>0</v>
      </c>
      <c r="K198" s="20">
        <v>0</v>
      </c>
      <c r="L198" s="20">
        <v>0</v>
      </c>
      <c r="M198" s="20">
        <v>0</v>
      </c>
      <c r="N198" s="50">
        <f t="shared" si="8"/>
        <v>60940</v>
      </c>
      <c r="O198" s="50">
        <f t="shared" si="9"/>
        <v>277000</v>
      </c>
      <c r="P198" s="45">
        <v>2022</v>
      </c>
      <c r="Q198" s="176">
        <f>+O198/N198</f>
        <v>4.5454545454545459</v>
      </c>
    </row>
    <row r="199" spans="1:17" ht="21.65" hidden="1" customHeight="1" x14ac:dyDescent="0.35">
      <c r="A199" s="223" t="s">
        <v>124</v>
      </c>
      <c r="B199" s="22" t="s">
        <v>136</v>
      </c>
      <c r="C199" s="50" t="s">
        <v>431</v>
      </c>
      <c r="D199" s="28">
        <v>0</v>
      </c>
      <c r="E199" s="50">
        <v>0</v>
      </c>
      <c r="F199" s="50">
        <v>0</v>
      </c>
      <c r="G199" s="50">
        <v>0</v>
      </c>
      <c r="H199" s="50"/>
      <c r="I199" s="50"/>
      <c r="J199" s="50"/>
      <c r="K199" s="50"/>
      <c r="L199" s="50"/>
      <c r="M199" s="50"/>
      <c r="N199" s="50">
        <f t="shared" si="8"/>
        <v>0</v>
      </c>
      <c r="O199" s="50">
        <f t="shared" si="9"/>
        <v>0</v>
      </c>
      <c r="P199" s="45">
        <v>2022</v>
      </c>
    </row>
    <row r="200" spans="1:17" ht="21.65" hidden="1" customHeight="1" x14ac:dyDescent="0.35">
      <c r="A200" s="223" t="s">
        <v>648</v>
      </c>
      <c r="B200" s="22" t="s">
        <v>66</v>
      </c>
      <c r="C200" s="50" t="s">
        <v>451</v>
      </c>
      <c r="D200" s="28">
        <v>166196.60999999999</v>
      </c>
      <c r="E200" s="50">
        <v>0</v>
      </c>
      <c r="F200" s="50">
        <v>0</v>
      </c>
      <c r="G200" s="50">
        <v>0</v>
      </c>
      <c r="H200" s="50">
        <v>0</v>
      </c>
      <c r="I200" s="50">
        <v>1321444.68</v>
      </c>
      <c r="J200" s="50"/>
      <c r="K200" s="50"/>
      <c r="L200" s="50"/>
      <c r="M200" s="50"/>
      <c r="N200" s="50">
        <f t="shared" si="8"/>
        <v>166196.60999999999</v>
      </c>
      <c r="O200" s="50">
        <f t="shared" si="9"/>
        <v>1321444.68</v>
      </c>
      <c r="P200" s="45">
        <v>2022</v>
      </c>
    </row>
    <row r="201" spans="1:17" ht="21.65" hidden="1" customHeight="1" x14ac:dyDescent="0.35">
      <c r="A201" s="224" t="s">
        <v>603</v>
      </c>
      <c r="B201" s="22" t="s">
        <v>66</v>
      </c>
      <c r="C201" s="33" t="s">
        <v>64</v>
      </c>
      <c r="D201" s="28">
        <f>31758+16787+54572+152026+8030+60</f>
        <v>263233</v>
      </c>
      <c r="E201" s="20">
        <v>8030</v>
      </c>
      <c r="F201" s="20"/>
      <c r="G201" s="20"/>
      <c r="H201" s="20"/>
      <c r="I201" s="20">
        <v>2313840</v>
      </c>
      <c r="J201" s="20">
        <f>1622+9245+1540+6738+54555</f>
        <v>73700</v>
      </c>
      <c r="K201" s="20"/>
      <c r="L201" s="20"/>
      <c r="M201" s="20"/>
      <c r="N201" s="50">
        <f t="shared" si="8"/>
        <v>271263</v>
      </c>
      <c r="O201" s="50">
        <f t="shared" si="9"/>
        <v>2387540</v>
      </c>
      <c r="P201" s="45">
        <v>2022</v>
      </c>
    </row>
    <row r="202" spans="1:17" ht="21.65" hidden="1" customHeight="1" x14ac:dyDescent="0.35">
      <c r="A202" s="211" t="s">
        <v>612</v>
      </c>
      <c r="B202" s="22" t="s">
        <v>66</v>
      </c>
      <c r="C202" s="20" t="s">
        <v>451</v>
      </c>
      <c r="D202" s="28">
        <v>120770</v>
      </c>
      <c r="E202" s="20">
        <v>0</v>
      </c>
      <c r="F202" s="20">
        <v>0</v>
      </c>
      <c r="G202" s="20">
        <v>0</v>
      </c>
      <c r="H202" s="20">
        <v>14.7</v>
      </c>
      <c r="I202" s="20">
        <v>716405</v>
      </c>
      <c r="J202" s="20">
        <v>0</v>
      </c>
      <c r="K202" s="20">
        <v>0</v>
      </c>
      <c r="L202" s="20">
        <v>0</v>
      </c>
      <c r="M202" s="20">
        <v>87200</v>
      </c>
      <c r="N202" s="50">
        <f t="shared" si="8"/>
        <v>120784.7</v>
      </c>
      <c r="O202" s="50">
        <f t="shared" si="9"/>
        <v>803605</v>
      </c>
      <c r="P202" s="45">
        <v>2022</v>
      </c>
    </row>
    <row r="203" spans="1:17" ht="21.65" hidden="1" customHeight="1" x14ac:dyDescent="0.35">
      <c r="A203" s="211" t="s">
        <v>649</v>
      </c>
      <c r="B203" s="22" t="s">
        <v>66</v>
      </c>
      <c r="C203" s="33" t="s">
        <v>48</v>
      </c>
      <c r="D203" s="28">
        <v>46944</v>
      </c>
      <c r="E203" s="20">
        <v>0</v>
      </c>
      <c r="F203" s="20"/>
      <c r="G203" s="20">
        <v>0</v>
      </c>
      <c r="H203" s="20">
        <v>0</v>
      </c>
      <c r="I203" s="20">
        <v>371976</v>
      </c>
      <c r="J203" s="20">
        <v>0</v>
      </c>
      <c r="K203" s="20"/>
      <c r="L203" s="20">
        <v>0</v>
      </c>
      <c r="M203" s="20">
        <v>0</v>
      </c>
      <c r="N203" s="50">
        <f t="shared" si="8"/>
        <v>46944</v>
      </c>
      <c r="O203" s="50">
        <f t="shared" si="9"/>
        <v>371976</v>
      </c>
      <c r="P203" s="45">
        <v>2022</v>
      </c>
      <c r="Q203" s="176">
        <f t="shared" ref="Q203:Q204" si="10">+O203/N203</f>
        <v>7.9238241308793453</v>
      </c>
    </row>
    <row r="204" spans="1:17" ht="21.65" hidden="1" customHeight="1" x14ac:dyDescent="0.35">
      <c r="A204" s="211" t="s">
        <v>615</v>
      </c>
      <c r="B204" s="22" t="s">
        <v>66</v>
      </c>
      <c r="C204" s="33" t="s">
        <v>48</v>
      </c>
      <c r="D204" s="28">
        <v>609343</v>
      </c>
      <c r="E204" s="20">
        <v>0</v>
      </c>
      <c r="F204" s="20">
        <v>0</v>
      </c>
      <c r="G204" s="20">
        <v>0</v>
      </c>
      <c r="H204" s="20">
        <v>0</v>
      </c>
      <c r="I204" s="20">
        <v>609343</v>
      </c>
      <c r="J204" s="20">
        <v>0</v>
      </c>
      <c r="K204" s="20">
        <v>0</v>
      </c>
      <c r="L204" s="20">
        <v>0</v>
      </c>
      <c r="M204" s="20">
        <v>0</v>
      </c>
      <c r="N204" s="50">
        <f t="shared" si="8"/>
        <v>609343</v>
      </c>
      <c r="O204" s="50">
        <f t="shared" si="9"/>
        <v>609343</v>
      </c>
      <c r="P204" s="45">
        <v>2022</v>
      </c>
      <c r="Q204" s="176">
        <f t="shared" si="10"/>
        <v>1</v>
      </c>
    </row>
    <row r="205" spans="1:17" s="168" customFormat="1" ht="28.25" customHeight="1" x14ac:dyDescent="0.35"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70">
        <f>SUBTOTAL(9,N2:N204)</f>
        <v>47.248000000000005</v>
      </c>
      <c r="O205" s="170">
        <f>SUBTOTAL(9,O2:O204)</f>
        <v>1374392293</v>
      </c>
      <c r="P205" s="66"/>
    </row>
  </sheetData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L94:M94" xr:uid="{00000000-0002-0000-0900-000000000000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7"/>
  <sheetViews>
    <sheetView workbookViewId="0">
      <selection activeCell="E18" sqref="E18"/>
    </sheetView>
  </sheetViews>
  <sheetFormatPr baseColWidth="10" defaultRowHeight="14.5" x14ac:dyDescent="0.35"/>
  <cols>
    <col min="1" max="1" width="29.81640625" bestFit="1" customWidth="1"/>
    <col min="2" max="2" width="15.54296875" style="13" customWidth="1"/>
    <col min="3" max="3" width="24.6328125" style="13" bestFit="1" customWidth="1"/>
    <col min="4" max="4" width="20.1796875" bestFit="1" customWidth="1"/>
  </cols>
  <sheetData>
    <row r="1" spans="1:4" x14ac:dyDescent="0.35">
      <c r="A1" s="5" t="s">
        <v>722</v>
      </c>
      <c r="B1" s="6">
        <v>2022</v>
      </c>
    </row>
    <row r="3" spans="1:4" x14ac:dyDescent="0.35">
      <c r="A3" s="5" t="s">
        <v>711</v>
      </c>
      <c r="B3" s="5" t="s">
        <v>794</v>
      </c>
      <c r="C3" t="s">
        <v>1604</v>
      </c>
      <c r="D3" t="s">
        <v>1605</v>
      </c>
    </row>
    <row r="4" spans="1:4" x14ac:dyDescent="0.35">
      <c r="A4" t="s">
        <v>1599</v>
      </c>
      <c r="B4" t="s">
        <v>729</v>
      </c>
      <c r="C4" s="7">
        <v>558410.07999999996</v>
      </c>
      <c r="D4" s="7">
        <v>533842674</v>
      </c>
    </row>
    <row r="5" spans="1:4" x14ac:dyDescent="0.35">
      <c r="A5" t="s">
        <v>1606</v>
      </c>
      <c r="B5"/>
      <c r="C5" s="7">
        <v>558410.07999999996</v>
      </c>
      <c r="D5" s="7">
        <v>533842674</v>
      </c>
    </row>
    <row r="6" spans="1:4" x14ac:dyDescent="0.35">
      <c r="A6" t="s">
        <v>704</v>
      </c>
      <c r="B6" t="s">
        <v>843</v>
      </c>
      <c r="C6" s="7">
        <v>0.71</v>
      </c>
      <c r="D6" s="7">
        <v>311786</v>
      </c>
    </row>
    <row r="7" spans="1:4" x14ac:dyDescent="0.35">
      <c r="B7" t="s">
        <v>758</v>
      </c>
      <c r="C7" s="7">
        <v>0.14000000000000001</v>
      </c>
      <c r="D7" s="7">
        <v>63121</v>
      </c>
    </row>
    <row r="8" spans="1:4" x14ac:dyDescent="0.35">
      <c r="A8" t="s">
        <v>1607</v>
      </c>
      <c r="B8"/>
      <c r="C8" s="7">
        <v>0.85</v>
      </c>
      <c r="D8" s="7">
        <v>374907</v>
      </c>
    </row>
    <row r="9" spans="1:4" x14ac:dyDescent="0.35">
      <c r="A9" t="s">
        <v>104</v>
      </c>
      <c r="B9" t="s">
        <v>737</v>
      </c>
      <c r="C9" s="7">
        <v>5019.2529999999997</v>
      </c>
      <c r="D9" s="7">
        <v>190957</v>
      </c>
    </row>
    <row r="10" spans="1:4" x14ac:dyDescent="0.35">
      <c r="B10" t="s">
        <v>846</v>
      </c>
      <c r="C10" s="7">
        <v>64</v>
      </c>
      <c r="D10" s="7">
        <v>5536</v>
      </c>
    </row>
    <row r="11" spans="1:4" x14ac:dyDescent="0.35">
      <c r="B11" t="s">
        <v>744</v>
      </c>
      <c r="C11" s="7">
        <v>57570.76</v>
      </c>
      <c r="D11" s="7">
        <v>1907105</v>
      </c>
    </row>
    <row r="12" spans="1:4" x14ac:dyDescent="0.35">
      <c r="B12" t="s">
        <v>754</v>
      </c>
      <c r="C12" s="7">
        <v>34938.962</v>
      </c>
      <c r="D12" s="7">
        <v>882315</v>
      </c>
    </row>
    <row r="13" spans="1:4" x14ac:dyDescent="0.35">
      <c r="B13" t="s">
        <v>766</v>
      </c>
      <c r="C13" s="7">
        <v>63922.824999999997</v>
      </c>
      <c r="D13" s="7">
        <v>1436607</v>
      </c>
    </row>
    <row r="14" spans="1:4" x14ac:dyDescent="0.35">
      <c r="A14" t="s">
        <v>1608</v>
      </c>
      <c r="B14"/>
      <c r="C14" s="7">
        <v>161515.79999999999</v>
      </c>
      <c r="D14" s="7">
        <v>4422520</v>
      </c>
    </row>
    <row r="15" spans="1:4" x14ac:dyDescent="0.35">
      <c r="A15" t="s">
        <v>64</v>
      </c>
      <c r="B15" t="s">
        <v>732</v>
      </c>
      <c r="C15" s="7">
        <v>47949.86</v>
      </c>
      <c r="D15" s="7">
        <v>390487.02299999999</v>
      </c>
    </row>
    <row r="16" spans="1:4" x14ac:dyDescent="0.35">
      <c r="A16" t="s">
        <v>1618</v>
      </c>
      <c r="B16"/>
      <c r="C16" s="7">
        <v>47949.86</v>
      </c>
      <c r="D16" s="7">
        <v>390487.02299999999</v>
      </c>
    </row>
    <row r="17" spans="1:4" x14ac:dyDescent="0.35">
      <c r="A17" t="s">
        <v>698</v>
      </c>
      <c r="B17" t="s">
        <v>768</v>
      </c>
      <c r="C17" s="7">
        <v>3796</v>
      </c>
      <c r="D17" s="7">
        <v>149013</v>
      </c>
    </row>
    <row r="18" spans="1:4" x14ac:dyDescent="0.35">
      <c r="B18" t="s">
        <v>732</v>
      </c>
      <c r="C18" s="7">
        <v>596286.73</v>
      </c>
      <c r="D18" s="7">
        <v>26379725</v>
      </c>
    </row>
    <row r="19" spans="1:4" x14ac:dyDescent="0.35">
      <c r="B19" t="s">
        <v>798</v>
      </c>
      <c r="C19" s="7">
        <v>1572</v>
      </c>
      <c r="D19" s="7">
        <v>73875</v>
      </c>
    </row>
    <row r="20" spans="1:4" x14ac:dyDescent="0.35">
      <c r="B20" t="s">
        <v>799</v>
      </c>
      <c r="C20" s="7">
        <v>16925</v>
      </c>
      <c r="D20" s="7">
        <v>701793</v>
      </c>
    </row>
    <row r="21" spans="1:4" x14ac:dyDescent="0.35">
      <c r="B21" t="s">
        <v>731</v>
      </c>
      <c r="C21" s="7">
        <v>844714.99</v>
      </c>
      <c r="D21" s="7">
        <v>39546883</v>
      </c>
    </row>
    <row r="22" spans="1:4" x14ac:dyDescent="0.35">
      <c r="B22" t="s">
        <v>769</v>
      </c>
      <c r="C22" s="7">
        <v>39314.15</v>
      </c>
      <c r="D22" s="7">
        <v>1684530</v>
      </c>
    </row>
    <row r="23" spans="1:4" x14ac:dyDescent="0.35">
      <c r="A23" t="s">
        <v>1609</v>
      </c>
      <c r="B23"/>
      <c r="C23" s="7">
        <v>1502608.8699999999</v>
      </c>
      <c r="D23" s="7">
        <v>68535819</v>
      </c>
    </row>
    <row r="24" spans="1:4" x14ac:dyDescent="0.35">
      <c r="A24" t="s">
        <v>1586</v>
      </c>
      <c r="B24" t="s">
        <v>731</v>
      </c>
      <c r="C24" s="7">
        <v>13645.85</v>
      </c>
      <c r="D24" s="7">
        <v>504795</v>
      </c>
    </row>
    <row r="25" spans="1:4" x14ac:dyDescent="0.35">
      <c r="A25" t="s">
        <v>1619</v>
      </c>
      <c r="B25"/>
      <c r="C25" s="7">
        <v>13645.85</v>
      </c>
      <c r="D25" s="7">
        <v>504795</v>
      </c>
    </row>
    <row r="26" spans="1:4" x14ac:dyDescent="0.35">
      <c r="A26" t="s">
        <v>708</v>
      </c>
      <c r="B26" t="s">
        <v>768</v>
      </c>
      <c r="C26" s="7">
        <v>47</v>
      </c>
      <c r="D26" s="7">
        <v>6063</v>
      </c>
    </row>
    <row r="27" spans="1:4" x14ac:dyDescent="0.35">
      <c r="B27" t="s">
        <v>732</v>
      </c>
      <c r="C27" s="7">
        <v>2455</v>
      </c>
      <c r="D27" s="7">
        <v>795369</v>
      </c>
    </row>
    <row r="28" spans="1:4" x14ac:dyDescent="0.35">
      <c r="B28" t="s">
        <v>798</v>
      </c>
      <c r="C28" s="7">
        <v>990</v>
      </c>
      <c r="D28" s="7">
        <v>379656</v>
      </c>
    </row>
    <row r="29" spans="1:4" x14ac:dyDescent="0.35">
      <c r="B29" t="s">
        <v>731</v>
      </c>
      <c r="C29" s="7">
        <v>8826</v>
      </c>
      <c r="D29" s="7">
        <v>2147877</v>
      </c>
    </row>
    <row r="30" spans="1:4" x14ac:dyDescent="0.35">
      <c r="A30" t="s">
        <v>1614</v>
      </c>
      <c r="B30"/>
      <c r="C30" s="7">
        <v>12318</v>
      </c>
      <c r="D30" s="7">
        <v>3328965</v>
      </c>
    </row>
    <row r="31" spans="1:4" x14ac:dyDescent="0.35">
      <c r="A31" t="s">
        <v>699</v>
      </c>
      <c r="B31" t="s">
        <v>830</v>
      </c>
      <c r="C31" s="7">
        <v>40</v>
      </c>
      <c r="D31" s="7">
        <v>23022</v>
      </c>
    </row>
    <row r="32" spans="1:4" x14ac:dyDescent="0.35">
      <c r="B32" t="s">
        <v>743</v>
      </c>
      <c r="C32" s="7">
        <v>29005</v>
      </c>
      <c r="D32" s="7">
        <v>5376147</v>
      </c>
    </row>
    <row r="33" spans="1:4" x14ac:dyDescent="0.35">
      <c r="B33" t="s">
        <v>744</v>
      </c>
      <c r="C33" s="7">
        <v>395909</v>
      </c>
      <c r="D33" s="7">
        <v>86562136</v>
      </c>
    </row>
    <row r="34" spans="1:4" x14ac:dyDescent="0.35">
      <c r="B34" t="s">
        <v>753</v>
      </c>
      <c r="C34" s="7">
        <v>101793</v>
      </c>
      <c r="D34" s="7">
        <v>17574924</v>
      </c>
    </row>
    <row r="35" spans="1:4" x14ac:dyDescent="0.35">
      <c r="A35" t="s">
        <v>1615</v>
      </c>
      <c r="B35"/>
      <c r="C35" s="7">
        <v>526747</v>
      </c>
      <c r="D35" s="7">
        <v>109536229</v>
      </c>
    </row>
    <row r="36" spans="1:4" x14ac:dyDescent="0.35">
      <c r="A36" t="s">
        <v>701</v>
      </c>
      <c r="B36" t="s">
        <v>735</v>
      </c>
      <c r="C36" s="7">
        <v>100</v>
      </c>
      <c r="D36" s="7">
        <v>76434</v>
      </c>
    </row>
    <row r="37" spans="1:4" x14ac:dyDescent="0.35">
      <c r="B37" t="s">
        <v>761</v>
      </c>
      <c r="C37" s="7">
        <v>40</v>
      </c>
      <c r="D37" s="7">
        <v>29665</v>
      </c>
    </row>
    <row r="38" spans="1:4" x14ac:dyDescent="0.35">
      <c r="B38" t="s">
        <v>774</v>
      </c>
      <c r="C38" s="7">
        <v>120</v>
      </c>
      <c r="D38" s="7">
        <v>87598</v>
      </c>
    </row>
    <row r="39" spans="1:4" x14ac:dyDescent="0.35">
      <c r="B39" t="s">
        <v>733</v>
      </c>
      <c r="C39" s="7">
        <v>400</v>
      </c>
      <c r="D39" s="7">
        <v>303853</v>
      </c>
    </row>
    <row r="40" spans="1:4" x14ac:dyDescent="0.35">
      <c r="B40" t="s">
        <v>830</v>
      </c>
      <c r="C40" s="7">
        <v>400</v>
      </c>
      <c r="D40" s="7">
        <v>298442</v>
      </c>
    </row>
    <row r="41" spans="1:4" x14ac:dyDescent="0.35">
      <c r="B41" t="s">
        <v>843</v>
      </c>
      <c r="C41" s="7">
        <v>440</v>
      </c>
      <c r="D41" s="7">
        <v>341151</v>
      </c>
    </row>
    <row r="42" spans="1:4" x14ac:dyDescent="0.35">
      <c r="B42" t="s">
        <v>744</v>
      </c>
      <c r="C42" s="7">
        <v>4540</v>
      </c>
      <c r="D42" s="7">
        <v>4153250</v>
      </c>
    </row>
    <row r="43" spans="1:4" x14ac:dyDescent="0.35">
      <c r="B43" t="s">
        <v>746</v>
      </c>
      <c r="C43" s="7">
        <v>120</v>
      </c>
      <c r="D43" s="7">
        <v>99738</v>
      </c>
    </row>
    <row r="44" spans="1:4" x14ac:dyDescent="0.35">
      <c r="B44" t="s">
        <v>754</v>
      </c>
      <c r="C44" s="7">
        <v>180</v>
      </c>
      <c r="D44" s="7">
        <v>142683</v>
      </c>
    </row>
    <row r="45" spans="1:4" x14ac:dyDescent="0.35">
      <c r="A45" t="s">
        <v>1616</v>
      </c>
      <c r="B45"/>
      <c r="C45" s="7">
        <v>6340</v>
      </c>
      <c r="D45" s="7">
        <v>5532814</v>
      </c>
    </row>
    <row r="46" spans="1:4" x14ac:dyDescent="0.35">
      <c r="A46" t="s">
        <v>59</v>
      </c>
      <c r="B46" t="s">
        <v>733</v>
      </c>
      <c r="C46" s="7">
        <v>31093.338</v>
      </c>
      <c r="D46" s="7">
        <v>1263388</v>
      </c>
    </row>
    <row r="47" spans="1:4" x14ac:dyDescent="0.35">
      <c r="A47" t="s">
        <v>1610</v>
      </c>
      <c r="B47"/>
      <c r="C47" s="7">
        <v>31093.338</v>
      </c>
      <c r="D47" s="7">
        <v>1263388</v>
      </c>
    </row>
    <row r="48" spans="1:4" x14ac:dyDescent="0.35">
      <c r="A48" t="s">
        <v>1594</v>
      </c>
      <c r="B48" t="s">
        <v>733</v>
      </c>
      <c r="C48" s="7">
        <v>9097.5499999999993</v>
      </c>
      <c r="D48" s="7">
        <v>2225608.912</v>
      </c>
    </row>
    <row r="49" spans="1:4" x14ac:dyDescent="0.35">
      <c r="A49" t="s">
        <v>1620</v>
      </c>
      <c r="B49"/>
      <c r="C49" s="7">
        <v>9097.5499999999993</v>
      </c>
      <c r="D49" s="7">
        <v>2225608.912</v>
      </c>
    </row>
    <row r="50" spans="1:4" x14ac:dyDescent="0.35">
      <c r="A50" t="s">
        <v>18</v>
      </c>
      <c r="B50" t="s">
        <v>762</v>
      </c>
      <c r="C50" s="7">
        <v>4.0319337419999997</v>
      </c>
      <c r="D50" s="7">
        <v>147862816</v>
      </c>
    </row>
    <row r="51" spans="1:4" x14ac:dyDescent="0.35">
      <c r="B51" t="s">
        <v>843</v>
      </c>
      <c r="C51" s="7">
        <v>8.18</v>
      </c>
      <c r="D51" s="7">
        <v>294263827</v>
      </c>
    </row>
    <row r="52" spans="1:4" x14ac:dyDescent="0.35">
      <c r="B52" t="s">
        <v>847</v>
      </c>
      <c r="C52" s="7">
        <v>0.27</v>
      </c>
      <c r="D52" s="7">
        <v>9648371</v>
      </c>
    </row>
    <row r="53" spans="1:4" x14ac:dyDescent="0.35">
      <c r="B53" t="s">
        <v>758</v>
      </c>
      <c r="C53" s="7">
        <v>2.19</v>
      </c>
      <c r="D53" s="7">
        <v>79623653</v>
      </c>
    </row>
    <row r="54" spans="1:4" x14ac:dyDescent="0.35">
      <c r="A54" t="s">
        <v>1611</v>
      </c>
      <c r="B54"/>
      <c r="C54" s="7">
        <v>14.671933741999998</v>
      </c>
      <c r="D54" s="7">
        <v>531398667</v>
      </c>
    </row>
    <row r="55" spans="1:4" x14ac:dyDescent="0.35">
      <c r="A55" t="s">
        <v>6</v>
      </c>
      <c r="B55" t="s">
        <v>737</v>
      </c>
      <c r="C55" s="7">
        <v>24299</v>
      </c>
      <c r="D55" s="7">
        <v>3573993</v>
      </c>
    </row>
    <row r="56" spans="1:4" x14ac:dyDescent="0.35">
      <c r="B56" t="s">
        <v>742</v>
      </c>
      <c r="C56" s="7">
        <v>2946</v>
      </c>
      <c r="D56" s="7">
        <v>220322</v>
      </c>
    </row>
    <row r="57" spans="1:4" x14ac:dyDescent="0.35">
      <c r="B57" t="s">
        <v>729</v>
      </c>
      <c r="C57" s="7">
        <v>49106</v>
      </c>
      <c r="D57" s="7">
        <v>2483352</v>
      </c>
    </row>
    <row r="58" spans="1:4" x14ac:dyDescent="0.35">
      <c r="B58" t="s">
        <v>779</v>
      </c>
      <c r="C58" s="7">
        <v>182942</v>
      </c>
      <c r="D58" s="7">
        <v>21366392</v>
      </c>
    </row>
    <row r="59" spans="1:4" x14ac:dyDescent="0.35">
      <c r="B59" t="s">
        <v>850</v>
      </c>
      <c r="C59" s="7">
        <v>2690</v>
      </c>
      <c r="D59" s="7">
        <v>317593</v>
      </c>
    </row>
    <row r="60" spans="1:4" x14ac:dyDescent="0.35">
      <c r="B60" t="s">
        <v>731</v>
      </c>
      <c r="C60" s="7">
        <v>8816</v>
      </c>
      <c r="D60" s="7">
        <v>594500</v>
      </c>
    </row>
    <row r="61" spans="1:4" x14ac:dyDescent="0.35">
      <c r="B61" t="s">
        <v>848</v>
      </c>
      <c r="C61" s="7">
        <v>40461</v>
      </c>
      <c r="D61" s="7">
        <v>3434732</v>
      </c>
    </row>
    <row r="62" spans="1:4" x14ac:dyDescent="0.35">
      <c r="B62" t="s">
        <v>849</v>
      </c>
      <c r="C62" s="7">
        <v>5500</v>
      </c>
      <c r="D62" s="7">
        <v>785469</v>
      </c>
    </row>
    <row r="63" spans="1:4" x14ac:dyDescent="0.35">
      <c r="B63" t="s">
        <v>758</v>
      </c>
      <c r="C63" s="7">
        <v>148210</v>
      </c>
      <c r="D63" s="7">
        <v>15223269</v>
      </c>
    </row>
    <row r="64" spans="1:4" x14ac:dyDescent="0.35">
      <c r="A64" t="s">
        <v>1612</v>
      </c>
      <c r="B64"/>
      <c r="C64" s="7">
        <v>464970</v>
      </c>
      <c r="D64" s="7">
        <v>47999622</v>
      </c>
    </row>
    <row r="65" spans="1:4" x14ac:dyDescent="0.35">
      <c r="A65" t="s">
        <v>700</v>
      </c>
      <c r="B65" t="s">
        <v>774</v>
      </c>
      <c r="C65" s="7">
        <v>100</v>
      </c>
      <c r="D65" s="7">
        <v>131315</v>
      </c>
    </row>
    <row r="66" spans="1:4" x14ac:dyDescent="0.35">
      <c r="B66" t="s">
        <v>733</v>
      </c>
      <c r="C66" s="7">
        <v>80</v>
      </c>
      <c r="D66" s="7">
        <v>96661</v>
      </c>
    </row>
    <row r="67" spans="1:4" x14ac:dyDescent="0.35">
      <c r="B67" t="s">
        <v>830</v>
      </c>
      <c r="C67" s="7">
        <v>580</v>
      </c>
      <c r="D67" s="7">
        <v>634237</v>
      </c>
    </row>
    <row r="68" spans="1:4" x14ac:dyDescent="0.35">
      <c r="B68" t="s">
        <v>843</v>
      </c>
      <c r="C68" s="7">
        <v>80</v>
      </c>
      <c r="D68" s="7">
        <v>90676</v>
      </c>
    </row>
    <row r="69" spans="1:4" x14ac:dyDescent="0.35">
      <c r="B69" t="s">
        <v>742</v>
      </c>
      <c r="C69" s="7">
        <v>60</v>
      </c>
      <c r="D69" s="7">
        <v>64976</v>
      </c>
    </row>
    <row r="70" spans="1:4" x14ac:dyDescent="0.35">
      <c r="B70" t="s">
        <v>744</v>
      </c>
      <c r="C70" s="7">
        <v>2840</v>
      </c>
      <c r="D70" s="7">
        <v>3827195</v>
      </c>
    </row>
    <row r="71" spans="1:4" x14ac:dyDescent="0.35">
      <c r="B71" t="s">
        <v>729</v>
      </c>
      <c r="C71" s="7">
        <v>20</v>
      </c>
      <c r="D71" s="7">
        <v>15489</v>
      </c>
    </row>
    <row r="72" spans="1:4" x14ac:dyDescent="0.35">
      <c r="B72" t="s">
        <v>746</v>
      </c>
      <c r="C72" s="7">
        <v>240</v>
      </c>
      <c r="D72" s="7">
        <v>237529</v>
      </c>
    </row>
    <row r="73" spans="1:4" x14ac:dyDescent="0.35">
      <c r="B73" t="s">
        <v>754</v>
      </c>
      <c r="C73" s="7">
        <v>100</v>
      </c>
      <c r="D73" s="7">
        <v>126512</v>
      </c>
    </row>
    <row r="74" spans="1:4" x14ac:dyDescent="0.35">
      <c r="B74" t="s">
        <v>839</v>
      </c>
      <c r="C74" s="7">
        <v>60</v>
      </c>
      <c r="D74" s="7">
        <v>66222</v>
      </c>
    </row>
    <row r="75" spans="1:4" x14ac:dyDescent="0.35">
      <c r="A75" t="s">
        <v>1617</v>
      </c>
      <c r="B75"/>
      <c r="C75" s="7">
        <v>4160</v>
      </c>
      <c r="D75" s="7">
        <v>5290812</v>
      </c>
    </row>
    <row r="76" spans="1:4" x14ac:dyDescent="0.35">
      <c r="A76" t="s">
        <v>70</v>
      </c>
      <c r="B76" t="s">
        <v>761</v>
      </c>
      <c r="C76" s="7">
        <v>1744</v>
      </c>
      <c r="D76" s="7">
        <v>2201381</v>
      </c>
    </row>
    <row r="77" spans="1:4" x14ac:dyDescent="0.35">
      <c r="B77" t="s">
        <v>774</v>
      </c>
      <c r="C77" s="7">
        <v>160</v>
      </c>
      <c r="D77" s="7">
        <v>205256</v>
      </c>
    </row>
    <row r="78" spans="1:4" x14ac:dyDescent="0.35">
      <c r="B78" t="s">
        <v>762</v>
      </c>
      <c r="C78" s="7">
        <v>680</v>
      </c>
      <c r="D78" s="7">
        <v>879535</v>
      </c>
    </row>
    <row r="79" spans="1:4" x14ac:dyDescent="0.35">
      <c r="B79" t="s">
        <v>763</v>
      </c>
      <c r="C79" s="7">
        <v>140</v>
      </c>
      <c r="D79" s="7">
        <v>176061</v>
      </c>
    </row>
    <row r="80" spans="1:4" x14ac:dyDescent="0.35">
      <c r="B80" t="s">
        <v>733</v>
      </c>
      <c r="C80" s="7">
        <v>8337</v>
      </c>
      <c r="D80" s="7">
        <v>4597504</v>
      </c>
    </row>
    <row r="81" spans="1:4" x14ac:dyDescent="0.35">
      <c r="B81" t="s">
        <v>742</v>
      </c>
      <c r="C81" s="7">
        <v>5354</v>
      </c>
      <c r="D81" s="7">
        <v>6375174</v>
      </c>
    </row>
    <row r="82" spans="1:4" x14ac:dyDescent="0.35">
      <c r="B82" t="s">
        <v>743</v>
      </c>
      <c r="C82" s="7">
        <v>2241</v>
      </c>
      <c r="D82" s="7">
        <v>2673377</v>
      </c>
    </row>
    <row r="83" spans="1:4" x14ac:dyDescent="0.35">
      <c r="B83" t="s">
        <v>744</v>
      </c>
      <c r="C83" s="7">
        <v>68731</v>
      </c>
      <c r="D83" s="7">
        <v>66856438</v>
      </c>
    </row>
    <row r="84" spans="1:4" x14ac:dyDescent="0.35">
      <c r="B84" t="s">
        <v>729</v>
      </c>
      <c r="C84" s="7">
        <v>298</v>
      </c>
      <c r="D84" s="7">
        <v>377532</v>
      </c>
    </row>
    <row r="85" spans="1:4" x14ac:dyDescent="0.35">
      <c r="B85" t="s">
        <v>765</v>
      </c>
      <c r="C85" s="7">
        <v>661</v>
      </c>
      <c r="D85" s="7">
        <v>805311</v>
      </c>
    </row>
    <row r="86" spans="1:4" x14ac:dyDescent="0.35">
      <c r="B86" t="s">
        <v>746</v>
      </c>
      <c r="C86" s="7">
        <v>1019</v>
      </c>
      <c r="D86" s="7">
        <v>1301049</v>
      </c>
    </row>
    <row r="87" spans="1:4" x14ac:dyDescent="0.35">
      <c r="B87" t="s">
        <v>753</v>
      </c>
      <c r="C87" s="7">
        <v>80</v>
      </c>
      <c r="D87" s="7">
        <v>100225</v>
      </c>
    </row>
    <row r="88" spans="1:4" x14ac:dyDescent="0.35">
      <c r="B88" t="s">
        <v>754</v>
      </c>
      <c r="C88" s="7">
        <v>573</v>
      </c>
      <c r="D88" s="7">
        <v>706948</v>
      </c>
    </row>
    <row r="89" spans="1:4" x14ac:dyDescent="0.35">
      <c r="B89" t="s">
        <v>789</v>
      </c>
      <c r="C89" s="7">
        <v>595</v>
      </c>
      <c r="D89" s="7">
        <v>738090</v>
      </c>
    </row>
    <row r="90" spans="1:4" x14ac:dyDescent="0.35">
      <c r="A90" t="s">
        <v>1613</v>
      </c>
      <c r="B90"/>
      <c r="C90" s="7">
        <v>90613</v>
      </c>
      <c r="D90" s="7">
        <v>87993881</v>
      </c>
    </row>
    <row r="91" spans="1:4" x14ac:dyDescent="0.35">
      <c r="A91" t="s">
        <v>654</v>
      </c>
      <c r="B91"/>
      <c r="C91" s="7">
        <v>3429484.8699337416</v>
      </c>
      <c r="D91" s="7">
        <v>1402641188.9349999</v>
      </c>
    </row>
    <row r="92" spans="1:4" x14ac:dyDescent="0.35">
      <c r="B92"/>
      <c r="C92"/>
    </row>
    <row r="93" spans="1:4" x14ac:dyDescent="0.35">
      <c r="B93"/>
      <c r="C93"/>
    </row>
    <row r="94" spans="1:4" x14ac:dyDescent="0.35">
      <c r="B94"/>
      <c r="C94"/>
    </row>
    <row r="95" spans="1:4" x14ac:dyDescent="0.35">
      <c r="B95"/>
      <c r="C95"/>
    </row>
    <row r="96" spans="1:4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F454"/>
  <sheetViews>
    <sheetView zoomScaleNormal="100" workbookViewId="0">
      <pane ySplit="1" topLeftCell="A64" activePane="bottomLeft" state="frozen"/>
      <selection pane="bottomLeft" activeCell="C421" sqref="C421"/>
    </sheetView>
  </sheetViews>
  <sheetFormatPr baseColWidth="10" defaultColWidth="11.54296875" defaultRowHeight="14.5" x14ac:dyDescent="0.35"/>
  <cols>
    <col min="1" max="1" width="36.81640625" style="1" customWidth="1"/>
    <col min="2" max="2" width="24.08984375" style="1" bestFit="1" customWidth="1"/>
    <col min="3" max="3" width="31.6328125" style="1" bestFit="1" customWidth="1"/>
    <col min="4" max="4" width="21.54296875" style="72" bestFit="1" customWidth="1"/>
    <col min="5" max="5" width="20.6328125" style="72" bestFit="1" customWidth="1"/>
    <col min="6" max="16384" width="11.54296875" style="1"/>
  </cols>
  <sheetData>
    <row r="1" spans="1:6" ht="22.25" customHeight="1" x14ac:dyDescent="0.35">
      <c r="A1" s="61" t="s">
        <v>617</v>
      </c>
      <c r="B1" s="62" t="s">
        <v>711</v>
      </c>
      <c r="C1" s="62" t="s">
        <v>794</v>
      </c>
      <c r="D1" s="67" t="s">
        <v>795</v>
      </c>
      <c r="E1" s="67" t="s">
        <v>796</v>
      </c>
      <c r="F1" s="63" t="s">
        <v>722</v>
      </c>
    </row>
    <row r="2" spans="1:6" s="9" customFormat="1" ht="20.399999999999999" hidden="1" customHeight="1" x14ac:dyDescent="0.35">
      <c r="A2" s="68" t="s">
        <v>133</v>
      </c>
      <c r="B2" s="69" t="s">
        <v>18</v>
      </c>
      <c r="C2" s="69" t="s">
        <v>728</v>
      </c>
      <c r="D2" s="50">
        <v>6.3E-2</v>
      </c>
      <c r="E2" s="50">
        <v>1240248</v>
      </c>
      <c r="F2" s="52">
        <v>2018</v>
      </c>
    </row>
    <row r="3" spans="1:6" s="9" customFormat="1" ht="20.399999999999999" hidden="1" customHeight="1" x14ac:dyDescent="0.35">
      <c r="A3" s="68" t="s">
        <v>38</v>
      </c>
      <c r="B3" s="69" t="s">
        <v>6</v>
      </c>
      <c r="C3" s="69" t="s">
        <v>729</v>
      </c>
      <c r="D3" s="50">
        <v>24401</v>
      </c>
      <c r="E3" s="50">
        <v>679077</v>
      </c>
      <c r="F3" s="52">
        <v>2018</v>
      </c>
    </row>
    <row r="4" spans="1:6" s="9" customFormat="1" ht="20.399999999999999" hidden="1" customHeight="1" x14ac:dyDescent="0.35">
      <c r="A4" s="68" t="s">
        <v>317</v>
      </c>
      <c r="B4" s="69" t="s">
        <v>698</v>
      </c>
      <c r="C4" s="69" t="s">
        <v>730</v>
      </c>
      <c r="D4" s="50">
        <v>29942</v>
      </c>
      <c r="E4" s="50">
        <v>1134965</v>
      </c>
      <c r="F4" s="52">
        <v>2018</v>
      </c>
    </row>
    <row r="5" spans="1:6" s="9" customFormat="1" ht="20.399999999999999" hidden="1" customHeight="1" x14ac:dyDescent="0.35">
      <c r="A5" s="68" t="s">
        <v>317</v>
      </c>
      <c r="B5" s="69" t="s">
        <v>698</v>
      </c>
      <c r="C5" s="69" t="s">
        <v>731</v>
      </c>
      <c r="D5" s="50">
        <v>372094</v>
      </c>
      <c r="E5" s="50">
        <v>14186771</v>
      </c>
      <c r="F5" s="52">
        <v>2018</v>
      </c>
    </row>
    <row r="6" spans="1:6" s="9" customFormat="1" ht="20.399999999999999" hidden="1" customHeight="1" x14ac:dyDescent="0.35">
      <c r="A6" s="68" t="s">
        <v>317</v>
      </c>
      <c r="B6" s="69" t="s">
        <v>698</v>
      </c>
      <c r="C6" s="69" t="s">
        <v>732</v>
      </c>
      <c r="D6" s="50">
        <v>25657</v>
      </c>
      <c r="E6" s="50">
        <v>998526</v>
      </c>
      <c r="F6" s="52">
        <v>2018</v>
      </c>
    </row>
    <row r="7" spans="1:6" s="9" customFormat="1" ht="20.399999999999999" hidden="1" customHeight="1" x14ac:dyDescent="0.35">
      <c r="A7" s="68" t="s">
        <v>54</v>
      </c>
      <c r="B7" s="69" t="s">
        <v>59</v>
      </c>
      <c r="C7" s="69" t="s">
        <v>733</v>
      </c>
      <c r="D7" s="50">
        <v>11284</v>
      </c>
      <c r="E7" s="50">
        <v>338520</v>
      </c>
      <c r="F7" s="52">
        <v>2018</v>
      </c>
    </row>
    <row r="8" spans="1:6" s="9" customFormat="1" ht="20.399999999999999" hidden="1" customHeight="1" x14ac:dyDescent="0.35">
      <c r="A8" s="68" t="s">
        <v>67</v>
      </c>
      <c r="B8" s="69" t="s">
        <v>734</v>
      </c>
      <c r="C8" s="69" t="s">
        <v>735</v>
      </c>
      <c r="D8" s="50">
        <v>60</v>
      </c>
      <c r="E8" s="50">
        <v>55099.970999999998</v>
      </c>
      <c r="F8" s="52">
        <v>2018</v>
      </c>
    </row>
    <row r="9" spans="1:6" s="9" customFormat="1" ht="20.399999999999999" hidden="1" customHeight="1" x14ac:dyDescent="0.35">
      <c r="A9" s="68" t="s">
        <v>67</v>
      </c>
      <c r="B9" s="69" t="s">
        <v>734</v>
      </c>
      <c r="C9" s="69" t="s">
        <v>736</v>
      </c>
      <c r="D9" s="50">
        <v>260</v>
      </c>
      <c r="E9" s="50">
        <v>96713.24</v>
      </c>
      <c r="F9" s="52">
        <v>2018</v>
      </c>
    </row>
    <row r="10" spans="1:6" s="9" customFormat="1" ht="20.399999999999999" hidden="1" customHeight="1" x14ac:dyDescent="0.35">
      <c r="A10" s="68" t="s">
        <v>67</v>
      </c>
      <c r="B10" s="69" t="s">
        <v>734</v>
      </c>
      <c r="C10" s="69" t="s">
        <v>737</v>
      </c>
      <c r="D10" s="50">
        <v>34430</v>
      </c>
      <c r="E10" s="50">
        <v>2993403.0959999999</v>
      </c>
      <c r="F10" s="52">
        <v>2018</v>
      </c>
    </row>
    <row r="11" spans="1:6" s="9" customFormat="1" ht="20.399999999999999" hidden="1" customHeight="1" x14ac:dyDescent="0.35">
      <c r="A11" s="68" t="s">
        <v>67</v>
      </c>
      <c r="B11" s="69" t="s">
        <v>734</v>
      </c>
      <c r="C11" s="69" t="s">
        <v>733</v>
      </c>
      <c r="D11" s="50">
        <v>680</v>
      </c>
      <c r="E11" s="50">
        <v>195556.33199999999</v>
      </c>
      <c r="F11" s="52">
        <v>2018</v>
      </c>
    </row>
    <row r="12" spans="1:6" s="9" customFormat="1" ht="20.399999999999999" hidden="1" customHeight="1" x14ac:dyDescent="0.35">
      <c r="A12" s="68" t="s">
        <v>67</v>
      </c>
      <c r="B12" s="69" t="s">
        <v>734</v>
      </c>
      <c r="C12" s="69" t="s">
        <v>738</v>
      </c>
      <c r="D12" s="50">
        <v>200</v>
      </c>
      <c r="E12" s="50">
        <v>65972.042000000001</v>
      </c>
      <c r="F12" s="52">
        <v>2018</v>
      </c>
    </row>
    <row r="13" spans="1:6" s="9" customFormat="1" ht="20.399999999999999" hidden="1" customHeight="1" x14ac:dyDescent="0.35">
      <c r="A13" s="68" t="s">
        <v>67</v>
      </c>
      <c r="B13" s="69" t="s">
        <v>734</v>
      </c>
      <c r="C13" s="69" t="s">
        <v>739</v>
      </c>
      <c r="D13" s="50">
        <v>1200</v>
      </c>
      <c r="E13" s="50">
        <v>490504.228</v>
      </c>
      <c r="F13" s="52">
        <v>2018</v>
      </c>
    </row>
    <row r="14" spans="1:6" s="9" customFormat="1" ht="20.399999999999999" hidden="1" customHeight="1" x14ac:dyDescent="0.35">
      <c r="A14" s="68" t="s">
        <v>67</v>
      </c>
      <c r="B14" s="69" t="s">
        <v>734</v>
      </c>
      <c r="C14" s="69" t="s">
        <v>740</v>
      </c>
      <c r="D14" s="50">
        <v>850</v>
      </c>
      <c r="E14" s="50">
        <v>463134.66899999999</v>
      </c>
      <c r="F14" s="52">
        <v>2018</v>
      </c>
    </row>
    <row r="15" spans="1:6" s="9" customFormat="1" ht="20.399999999999999" hidden="1" customHeight="1" x14ac:dyDescent="0.35">
      <c r="A15" s="68" t="s">
        <v>67</v>
      </c>
      <c r="B15" s="69" t="s">
        <v>734</v>
      </c>
      <c r="C15" s="69" t="s">
        <v>741</v>
      </c>
      <c r="D15" s="50">
        <v>100</v>
      </c>
      <c r="E15" s="50">
        <v>30660.937000000002</v>
      </c>
      <c r="F15" s="52">
        <v>2018</v>
      </c>
    </row>
    <row r="16" spans="1:6" s="9" customFormat="1" ht="20.399999999999999" hidden="1" customHeight="1" x14ac:dyDescent="0.35">
      <c r="A16" s="68" t="s">
        <v>67</v>
      </c>
      <c r="B16" s="69" t="s">
        <v>734</v>
      </c>
      <c r="C16" s="69" t="s">
        <v>742</v>
      </c>
      <c r="D16" s="50">
        <v>320</v>
      </c>
      <c r="E16" s="50">
        <v>176401.772</v>
      </c>
      <c r="F16" s="52">
        <v>2018</v>
      </c>
    </row>
    <row r="17" spans="1:6" s="9" customFormat="1" ht="20.399999999999999" hidden="1" customHeight="1" x14ac:dyDescent="0.35">
      <c r="A17" s="68" t="s">
        <v>67</v>
      </c>
      <c r="B17" s="69" t="s">
        <v>734</v>
      </c>
      <c r="C17" s="69" t="s">
        <v>743</v>
      </c>
      <c r="D17" s="50">
        <v>51025</v>
      </c>
      <c r="E17" s="50">
        <v>4911807.0719999997</v>
      </c>
      <c r="F17" s="52">
        <v>2018</v>
      </c>
    </row>
    <row r="18" spans="1:6" s="9" customFormat="1" ht="20.399999999999999" hidden="1" customHeight="1" x14ac:dyDescent="0.35">
      <c r="A18" s="68" t="s">
        <v>67</v>
      </c>
      <c r="B18" s="69" t="s">
        <v>734</v>
      </c>
      <c r="C18" s="69" t="s">
        <v>744</v>
      </c>
      <c r="D18" s="50">
        <v>100</v>
      </c>
      <c r="E18" s="50">
        <v>51333.428999999996</v>
      </c>
      <c r="F18" s="52">
        <v>2018</v>
      </c>
    </row>
    <row r="19" spans="1:6" s="9" customFormat="1" ht="20.399999999999999" hidden="1" customHeight="1" x14ac:dyDescent="0.35">
      <c r="A19" s="68" t="s">
        <v>67</v>
      </c>
      <c r="B19" s="69" t="s">
        <v>734</v>
      </c>
      <c r="C19" s="69" t="s">
        <v>745</v>
      </c>
      <c r="D19" s="50">
        <v>20</v>
      </c>
      <c r="E19" s="50">
        <v>6961.308</v>
      </c>
      <c r="F19" s="52">
        <v>2018</v>
      </c>
    </row>
    <row r="20" spans="1:6" s="9" customFormat="1" ht="20.399999999999999" hidden="1" customHeight="1" x14ac:dyDescent="0.35">
      <c r="A20" s="68" t="s">
        <v>67</v>
      </c>
      <c r="B20" s="69" t="s">
        <v>734</v>
      </c>
      <c r="C20" s="69" t="s">
        <v>729</v>
      </c>
      <c r="D20" s="50">
        <v>920</v>
      </c>
      <c r="E20" s="50">
        <v>287139.43199999997</v>
      </c>
      <c r="F20" s="52">
        <v>2018</v>
      </c>
    </row>
    <row r="21" spans="1:6" s="9" customFormat="1" ht="20.399999999999999" hidden="1" customHeight="1" x14ac:dyDescent="0.35">
      <c r="A21" s="68" t="s">
        <v>67</v>
      </c>
      <c r="B21" s="69" t="s">
        <v>734</v>
      </c>
      <c r="C21" s="69" t="s">
        <v>746</v>
      </c>
      <c r="D21" s="50">
        <v>100</v>
      </c>
      <c r="E21" s="50">
        <v>38519.616999999998</v>
      </c>
      <c r="F21" s="52">
        <v>2018</v>
      </c>
    </row>
    <row r="22" spans="1:6" s="9" customFormat="1" ht="20.399999999999999" hidden="1" customHeight="1" x14ac:dyDescent="0.35">
      <c r="A22" s="68" t="s">
        <v>67</v>
      </c>
      <c r="B22" s="69" t="s">
        <v>734</v>
      </c>
      <c r="C22" s="69" t="s">
        <v>747</v>
      </c>
      <c r="D22" s="50">
        <v>80</v>
      </c>
      <c r="E22" s="50">
        <v>27235.292000000001</v>
      </c>
      <c r="F22" s="52">
        <v>2018</v>
      </c>
    </row>
    <row r="23" spans="1:6" s="9" customFormat="1" ht="20.399999999999999" hidden="1" customHeight="1" x14ac:dyDescent="0.35">
      <c r="A23" s="68" t="s">
        <v>67</v>
      </c>
      <c r="B23" s="69" t="s">
        <v>734</v>
      </c>
      <c r="C23" s="69" t="s">
        <v>731</v>
      </c>
      <c r="D23" s="50">
        <v>80</v>
      </c>
      <c r="E23" s="50">
        <v>24542.876</v>
      </c>
      <c r="F23" s="52">
        <v>2018</v>
      </c>
    </row>
    <row r="24" spans="1:6" s="9" customFormat="1" ht="20.399999999999999" hidden="1" customHeight="1" x14ac:dyDescent="0.35">
      <c r="A24" s="68" t="s">
        <v>67</v>
      </c>
      <c r="B24" s="69" t="s">
        <v>734</v>
      </c>
      <c r="C24" s="69" t="s">
        <v>748</v>
      </c>
      <c r="D24" s="50">
        <v>80</v>
      </c>
      <c r="E24" s="50">
        <v>27423.788</v>
      </c>
      <c r="F24" s="52">
        <v>2018</v>
      </c>
    </row>
    <row r="25" spans="1:6" s="9" customFormat="1" ht="20.399999999999999" hidden="1" customHeight="1" x14ac:dyDescent="0.35">
      <c r="A25" s="68" t="s">
        <v>67</v>
      </c>
      <c r="B25" s="69" t="s">
        <v>734</v>
      </c>
      <c r="C25" s="69" t="s">
        <v>749</v>
      </c>
      <c r="D25" s="50">
        <v>23450</v>
      </c>
      <c r="E25" s="50">
        <v>2106198.6740000001</v>
      </c>
      <c r="F25" s="52">
        <v>2018</v>
      </c>
    </row>
    <row r="26" spans="1:6" s="9" customFormat="1" ht="20.399999999999999" hidden="1" customHeight="1" x14ac:dyDescent="0.35">
      <c r="A26" s="68" t="s">
        <v>67</v>
      </c>
      <c r="B26" s="69" t="s">
        <v>734</v>
      </c>
      <c r="C26" s="69" t="s">
        <v>750</v>
      </c>
      <c r="D26" s="50">
        <v>21246</v>
      </c>
      <c r="E26" s="50">
        <v>3596707.6439999999</v>
      </c>
      <c r="F26" s="52">
        <v>2018</v>
      </c>
    </row>
    <row r="27" spans="1:6" s="9" customFormat="1" ht="20.399999999999999" hidden="1" customHeight="1" x14ac:dyDescent="0.35">
      <c r="A27" s="68" t="s">
        <v>67</v>
      </c>
      <c r="B27" s="69" t="s">
        <v>734</v>
      </c>
      <c r="C27" s="69" t="s">
        <v>751</v>
      </c>
      <c r="D27" s="50">
        <v>49591</v>
      </c>
      <c r="E27" s="50">
        <v>4131716.0290000001</v>
      </c>
      <c r="F27" s="52">
        <v>2018</v>
      </c>
    </row>
    <row r="28" spans="1:6" s="9" customFormat="1" ht="20.399999999999999" hidden="1" customHeight="1" x14ac:dyDescent="0.35">
      <c r="A28" s="68" t="s">
        <v>67</v>
      </c>
      <c r="B28" s="69" t="s">
        <v>734</v>
      </c>
      <c r="C28" s="69" t="s">
        <v>752</v>
      </c>
      <c r="D28" s="50">
        <v>71116</v>
      </c>
      <c r="E28" s="50">
        <v>6200263.0269999998</v>
      </c>
      <c r="F28" s="52">
        <v>2018</v>
      </c>
    </row>
    <row r="29" spans="1:6" s="9" customFormat="1" ht="20.399999999999999" hidden="1" customHeight="1" x14ac:dyDescent="0.35">
      <c r="A29" s="68" t="s">
        <v>67</v>
      </c>
      <c r="B29" s="69" t="s">
        <v>734</v>
      </c>
      <c r="C29" s="69" t="s">
        <v>753</v>
      </c>
      <c r="D29" s="50">
        <v>30025</v>
      </c>
      <c r="E29" s="50">
        <v>2380790.2999999998</v>
      </c>
      <c r="F29" s="52">
        <v>2018</v>
      </c>
    </row>
    <row r="30" spans="1:6" s="9" customFormat="1" ht="20.399999999999999" hidden="1" customHeight="1" x14ac:dyDescent="0.35">
      <c r="A30" s="68" t="s">
        <v>67</v>
      </c>
      <c r="B30" s="69" t="s">
        <v>734</v>
      </c>
      <c r="C30" s="69" t="s">
        <v>754</v>
      </c>
      <c r="D30" s="50">
        <v>40</v>
      </c>
      <c r="E30" s="50">
        <v>13321.224</v>
      </c>
      <c r="F30" s="52">
        <v>2018</v>
      </c>
    </row>
    <row r="31" spans="1:6" s="9" customFormat="1" ht="20.399999999999999" hidden="1" customHeight="1" x14ac:dyDescent="0.35">
      <c r="A31" s="68" t="s">
        <v>67</v>
      </c>
      <c r="B31" s="69" t="s">
        <v>734</v>
      </c>
      <c r="C31" s="69" t="s">
        <v>755</v>
      </c>
      <c r="D31" s="50">
        <v>360</v>
      </c>
      <c r="E31" s="50">
        <v>119547.245</v>
      </c>
      <c r="F31" s="52">
        <v>2018</v>
      </c>
    </row>
    <row r="32" spans="1:6" s="9" customFormat="1" ht="20.399999999999999" hidden="1" customHeight="1" x14ac:dyDescent="0.35">
      <c r="A32" s="68" t="s">
        <v>67</v>
      </c>
      <c r="B32" s="69" t="s">
        <v>734</v>
      </c>
      <c r="C32" s="69" t="s">
        <v>756</v>
      </c>
      <c r="D32" s="50">
        <v>80</v>
      </c>
      <c r="E32" s="50">
        <v>21144.799999999999</v>
      </c>
      <c r="F32" s="52">
        <v>2018</v>
      </c>
    </row>
    <row r="33" spans="1:6" s="9" customFormat="1" ht="20.399999999999999" hidden="1" customHeight="1" x14ac:dyDescent="0.35">
      <c r="A33" s="68" t="s">
        <v>67</v>
      </c>
      <c r="B33" s="69" t="s">
        <v>734</v>
      </c>
      <c r="C33" s="69" t="s">
        <v>757</v>
      </c>
      <c r="D33" s="50">
        <v>17185</v>
      </c>
      <c r="E33" s="50">
        <v>1403119.889</v>
      </c>
      <c r="F33" s="52">
        <v>2018</v>
      </c>
    </row>
    <row r="34" spans="1:6" s="9" customFormat="1" ht="20.399999999999999" hidden="1" customHeight="1" x14ac:dyDescent="0.35">
      <c r="A34" s="68" t="s">
        <v>67</v>
      </c>
      <c r="B34" s="69" t="s">
        <v>734</v>
      </c>
      <c r="C34" s="69" t="s">
        <v>758</v>
      </c>
      <c r="D34" s="50">
        <v>35100</v>
      </c>
      <c r="E34" s="50">
        <v>4087569.807</v>
      </c>
      <c r="F34" s="52">
        <v>2018</v>
      </c>
    </row>
    <row r="35" spans="1:6" s="9" customFormat="1" ht="20.399999999999999" hidden="1" customHeight="1" x14ac:dyDescent="0.35">
      <c r="A35" s="68" t="s">
        <v>67</v>
      </c>
      <c r="B35" s="69" t="s">
        <v>734</v>
      </c>
      <c r="C35" s="69" t="s">
        <v>759</v>
      </c>
      <c r="D35" s="50">
        <v>15457</v>
      </c>
      <c r="E35" s="50">
        <v>1352089.5789999999</v>
      </c>
      <c r="F35" s="52">
        <v>2018</v>
      </c>
    </row>
    <row r="36" spans="1:6" s="9" customFormat="1" ht="20.399999999999999" hidden="1" customHeight="1" x14ac:dyDescent="0.35">
      <c r="A36" s="68" t="s">
        <v>67</v>
      </c>
      <c r="B36" s="69" t="s">
        <v>734</v>
      </c>
      <c r="C36" s="69" t="s">
        <v>760</v>
      </c>
      <c r="D36" s="50">
        <v>80524</v>
      </c>
      <c r="E36" s="50">
        <v>11524090.241</v>
      </c>
      <c r="F36" s="52">
        <v>2018</v>
      </c>
    </row>
    <row r="37" spans="1:6" s="9" customFormat="1" ht="20.399999999999999" hidden="1" customHeight="1" x14ac:dyDescent="0.35">
      <c r="A37" s="68" t="s">
        <v>67</v>
      </c>
      <c r="B37" s="69" t="s">
        <v>70</v>
      </c>
      <c r="C37" s="69" t="s">
        <v>735</v>
      </c>
      <c r="D37" s="50">
        <v>66</v>
      </c>
      <c r="E37" s="50">
        <v>56934.362999999998</v>
      </c>
      <c r="F37" s="52">
        <v>2018</v>
      </c>
    </row>
    <row r="38" spans="1:6" s="9" customFormat="1" ht="20.399999999999999" hidden="1" customHeight="1" x14ac:dyDescent="0.35">
      <c r="A38" s="68" t="s">
        <v>67</v>
      </c>
      <c r="B38" s="69" t="s">
        <v>70</v>
      </c>
      <c r="C38" s="69" t="s">
        <v>761</v>
      </c>
      <c r="D38" s="50">
        <v>917</v>
      </c>
      <c r="E38" s="50">
        <v>680757.68900000001</v>
      </c>
      <c r="F38" s="52">
        <v>2018</v>
      </c>
    </row>
    <row r="39" spans="1:6" s="9" customFormat="1" ht="20.399999999999999" hidden="1" customHeight="1" x14ac:dyDescent="0.35">
      <c r="A39" s="68" t="s">
        <v>67</v>
      </c>
      <c r="B39" s="69" t="s">
        <v>70</v>
      </c>
      <c r="C39" s="69" t="s">
        <v>736</v>
      </c>
      <c r="D39" s="50">
        <v>330</v>
      </c>
      <c r="E39" s="50">
        <v>294275.34600000002</v>
      </c>
      <c r="F39" s="52">
        <v>2018</v>
      </c>
    </row>
    <row r="40" spans="1:6" s="9" customFormat="1" ht="20.399999999999999" hidden="1" customHeight="1" x14ac:dyDescent="0.35">
      <c r="A40" s="68" t="s">
        <v>67</v>
      </c>
      <c r="B40" s="69" t="s">
        <v>70</v>
      </c>
      <c r="C40" s="69" t="s">
        <v>762</v>
      </c>
      <c r="D40" s="50">
        <v>782</v>
      </c>
      <c r="E40" s="50">
        <v>696754.31900000002</v>
      </c>
      <c r="F40" s="52">
        <v>2018</v>
      </c>
    </row>
    <row r="41" spans="1:6" s="9" customFormat="1" ht="20.399999999999999" hidden="1" customHeight="1" x14ac:dyDescent="0.35">
      <c r="A41" s="68" t="s">
        <v>67</v>
      </c>
      <c r="B41" s="69" t="s">
        <v>70</v>
      </c>
      <c r="C41" s="69" t="s">
        <v>737</v>
      </c>
      <c r="D41" s="50">
        <v>2087</v>
      </c>
      <c r="E41" s="50">
        <v>1884260.466</v>
      </c>
      <c r="F41" s="52">
        <v>2018</v>
      </c>
    </row>
    <row r="42" spans="1:6" s="9" customFormat="1" ht="20.399999999999999" hidden="1" customHeight="1" x14ac:dyDescent="0.35">
      <c r="A42" s="68" t="s">
        <v>67</v>
      </c>
      <c r="B42" s="69" t="s">
        <v>70</v>
      </c>
      <c r="C42" s="69" t="s">
        <v>763</v>
      </c>
      <c r="D42" s="50">
        <v>1923</v>
      </c>
      <c r="E42" s="50">
        <v>1674472.577</v>
      </c>
      <c r="F42" s="52">
        <v>2018</v>
      </c>
    </row>
    <row r="43" spans="1:6" s="9" customFormat="1" ht="20.399999999999999" hidden="1" customHeight="1" x14ac:dyDescent="0.35">
      <c r="A43" s="68" t="s">
        <v>67</v>
      </c>
      <c r="B43" s="69" t="s">
        <v>70</v>
      </c>
      <c r="C43" s="69" t="s">
        <v>733</v>
      </c>
      <c r="D43" s="50">
        <v>5807</v>
      </c>
      <c r="E43" s="50">
        <v>1403897.7720000001</v>
      </c>
      <c r="F43" s="52">
        <v>2018</v>
      </c>
    </row>
    <row r="44" spans="1:6" s="9" customFormat="1" ht="20.399999999999999" hidden="1" customHeight="1" x14ac:dyDescent="0.35">
      <c r="A44" s="68" t="s">
        <v>67</v>
      </c>
      <c r="B44" s="69" t="s">
        <v>70</v>
      </c>
      <c r="C44" s="69" t="s">
        <v>742</v>
      </c>
      <c r="D44" s="50">
        <v>15120</v>
      </c>
      <c r="E44" s="50">
        <v>12571018.659</v>
      </c>
      <c r="F44" s="52">
        <v>2018</v>
      </c>
    </row>
    <row r="45" spans="1:6" s="9" customFormat="1" ht="20.399999999999999" hidden="1" customHeight="1" x14ac:dyDescent="0.35">
      <c r="A45" s="68" t="s">
        <v>67</v>
      </c>
      <c r="B45" s="69" t="s">
        <v>70</v>
      </c>
      <c r="C45" s="69" t="s">
        <v>743</v>
      </c>
      <c r="D45" s="50">
        <v>12006</v>
      </c>
      <c r="E45" s="50">
        <v>10653272.761</v>
      </c>
      <c r="F45" s="52">
        <v>2018</v>
      </c>
    </row>
    <row r="46" spans="1:6" s="9" customFormat="1" ht="20.399999999999999" hidden="1" customHeight="1" x14ac:dyDescent="0.35">
      <c r="A46" s="68" t="s">
        <v>67</v>
      </c>
      <c r="B46" s="69" t="s">
        <v>70</v>
      </c>
      <c r="C46" s="69" t="s">
        <v>744</v>
      </c>
      <c r="D46" s="50">
        <v>2440</v>
      </c>
      <c r="E46" s="50">
        <v>2044949.645</v>
      </c>
      <c r="F46" s="52">
        <v>2018</v>
      </c>
    </row>
    <row r="47" spans="1:6" s="9" customFormat="1" ht="20.399999999999999" hidden="1" customHeight="1" x14ac:dyDescent="0.35">
      <c r="A47" s="68" t="s">
        <v>67</v>
      </c>
      <c r="B47" s="69" t="s">
        <v>70</v>
      </c>
      <c r="C47" s="69" t="s">
        <v>729</v>
      </c>
      <c r="D47" s="50">
        <v>2282</v>
      </c>
      <c r="E47" s="50">
        <v>1713117.284</v>
      </c>
      <c r="F47" s="52">
        <v>2018</v>
      </c>
    </row>
    <row r="48" spans="1:6" s="9" customFormat="1" ht="20.399999999999999" hidden="1" customHeight="1" x14ac:dyDescent="0.35">
      <c r="A48" s="68" t="s">
        <v>67</v>
      </c>
      <c r="B48" s="69" t="s">
        <v>70</v>
      </c>
      <c r="C48" s="69" t="s">
        <v>764</v>
      </c>
      <c r="D48" s="50">
        <v>228</v>
      </c>
      <c r="E48" s="50">
        <v>158804.83799999999</v>
      </c>
      <c r="F48" s="52">
        <v>2018</v>
      </c>
    </row>
    <row r="49" spans="1:6" s="9" customFormat="1" ht="20.399999999999999" hidden="1" customHeight="1" x14ac:dyDescent="0.35">
      <c r="A49" s="68" t="s">
        <v>67</v>
      </c>
      <c r="B49" s="69" t="s">
        <v>70</v>
      </c>
      <c r="C49" s="69" t="s">
        <v>765</v>
      </c>
      <c r="D49" s="50">
        <v>2314</v>
      </c>
      <c r="E49" s="50">
        <v>1902066.088</v>
      </c>
      <c r="F49" s="52">
        <v>2018</v>
      </c>
    </row>
    <row r="50" spans="1:6" s="9" customFormat="1" ht="20.399999999999999" hidden="1" customHeight="1" x14ac:dyDescent="0.35">
      <c r="A50" s="68" t="s">
        <v>67</v>
      </c>
      <c r="B50" s="69" t="s">
        <v>70</v>
      </c>
      <c r="C50" s="69" t="s">
        <v>746</v>
      </c>
      <c r="D50" s="50">
        <v>1330</v>
      </c>
      <c r="E50" s="50">
        <v>1254746.8019999999</v>
      </c>
      <c r="F50" s="52">
        <v>2018</v>
      </c>
    </row>
    <row r="51" spans="1:6" s="9" customFormat="1" ht="20.399999999999999" hidden="1" customHeight="1" x14ac:dyDescent="0.35">
      <c r="A51" s="68" t="s">
        <v>67</v>
      </c>
      <c r="B51" s="69" t="s">
        <v>70</v>
      </c>
      <c r="C51" s="69" t="s">
        <v>747</v>
      </c>
      <c r="D51" s="50">
        <v>22</v>
      </c>
      <c r="E51" s="50">
        <v>20975.567999999999</v>
      </c>
      <c r="F51" s="52">
        <v>2018</v>
      </c>
    </row>
    <row r="52" spans="1:6" s="9" customFormat="1" ht="20.399999999999999" hidden="1" customHeight="1" x14ac:dyDescent="0.35">
      <c r="A52" s="68" t="s">
        <v>67</v>
      </c>
      <c r="B52" s="69" t="s">
        <v>70</v>
      </c>
      <c r="C52" s="69" t="s">
        <v>749</v>
      </c>
      <c r="D52" s="50">
        <v>424</v>
      </c>
      <c r="E52" s="50">
        <v>336816.94300000003</v>
      </c>
      <c r="F52" s="52">
        <v>2018</v>
      </c>
    </row>
    <row r="53" spans="1:6" s="9" customFormat="1" ht="20.399999999999999" hidden="1" customHeight="1" x14ac:dyDescent="0.35">
      <c r="A53" s="68" t="s">
        <v>67</v>
      </c>
      <c r="B53" s="69" t="s">
        <v>70</v>
      </c>
      <c r="C53" s="69" t="s">
        <v>750</v>
      </c>
      <c r="D53" s="50">
        <v>974</v>
      </c>
      <c r="E53" s="50">
        <v>882675.076</v>
      </c>
      <c r="F53" s="52">
        <v>2018</v>
      </c>
    </row>
    <row r="54" spans="1:6" s="9" customFormat="1" ht="20.399999999999999" hidden="1" customHeight="1" x14ac:dyDescent="0.35">
      <c r="A54" s="68" t="s">
        <v>67</v>
      </c>
      <c r="B54" s="69" t="s">
        <v>70</v>
      </c>
      <c r="C54" s="69" t="s">
        <v>752</v>
      </c>
      <c r="D54" s="50">
        <v>1437</v>
      </c>
      <c r="E54" s="50">
        <v>1084855.459</v>
      </c>
      <c r="F54" s="52">
        <v>2018</v>
      </c>
    </row>
    <row r="55" spans="1:6" s="9" customFormat="1" ht="20.399999999999999" hidden="1" customHeight="1" x14ac:dyDescent="0.35">
      <c r="A55" s="68" t="s">
        <v>67</v>
      </c>
      <c r="B55" s="69" t="s">
        <v>70</v>
      </c>
      <c r="C55" s="69" t="s">
        <v>754</v>
      </c>
      <c r="D55" s="50">
        <v>413</v>
      </c>
      <c r="E55" s="50">
        <v>369332.27100000001</v>
      </c>
      <c r="F55" s="52">
        <v>2018</v>
      </c>
    </row>
    <row r="56" spans="1:6" s="9" customFormat="1" ht="20.399999999999999" hidden="1" customHeight="1" x14ac:dyDescent="0.35">
      <c r="A56" s="68" t="s">
        <v>67</v>
      </c>
      <c r="B56" s="69" t="s">
        <v>70</v>
      </c>
      <c r="C56" s="69" t="s">
        <v>755</v>
      </c>
      <c r="D56" s="50">
        <v>485</v>
      </c>
      <c r="E56" s="50">
        <v>433765.45600000001</v>
      </c>
      <c r="F56" s="52">
        <v>2018</v>
      </c>
    </row>
    <row r="57" spans="1:6" s="9" customFormat="1" ht="20.399999999999999" hidden="1" customHeight="1" x14ac:dyDescent="0.35">
      <c r="A57" s="68" t="s">
        <v>67</v>
      </c>
      <c r="B57" s="69" t="s">
        <v>70</v>
      </c>
      <c r="C57" s="69" t="s">
        <v>766</v>
      </c>
      <c r="D57" s="50">
        <v>198</v>
      </c>
      <c r="E57" s="50">
        <v>179156.89499999999</v>
      </c>
      <c r="F57" s="52">
        <v>2018</v>
      </c>
    </row>
    <row r="58" spans="1:6" s="9" customFormat="1" ht="20.399999999999999" hidden="1" customHeight="1" x14ac:dyDescent="0.35">
      <c r="A58" s="68" t="s">
        <v>67</v>
      </c>
      <c r="B58" s="69" t="s">
        <v>70</v>
      </c>
      <c r="C58" s="69" t="s">
        <v>756</v>
      </c>
      <c r="D58" s="50">
        <v>148</v>
      </c>
      <c r="E58" s="50">
        <v>92378.46</v>
      </c>
      <c r="F58" s="52">
        <v>2018</v>
      </c>
    </row>
    <row r="59" spans="1:6" s="9" customFormat="1" ht="20.399999999999999" hidden="1" customHeight="1" x14ac:dyDescent="0.35">
      <c r="A59" s="68" t="s">
        <v>67</v>
      </c>
      <c r="B59" s="69" t="s">
        <v>70</v>
      </c>
      <c r="C59" s="69" t="s">
        <v>758</v>
      </c>
      <c r="D59" s="50">
        <v>16032</v>
      </c>
      <c r="E59" s="50">
        <v>5935666.2029999997</v>
      </c>
      <c r="F59" s="52">
        <v>2018</v>
      </c>
    </row>
    <row r="60" spans="1:6" s="9" customFormat="1" ht="20.399999999999999" hidden="1" customHeight="1" x14ac:dyDescent="0.35">
      <c r="A60" s="68" t="s">
        <v>67</v>
      </c>
      <c r="B60" s="69" t="s">
        <v>70</v>
      </c>
      <c r="C60" s="69" t="s">
        <v>759</v>
      </c>
      <c r="D60" s="50">
        <v>80</v>
      </c>
      <c r="E60" s="50">
        <v>23450.7</v>
      </c>
      <c r="F60" s="52">
        <v>2018</v>
      </c>
    </row>
    <row r="61" spans="1:6" s="9" customFormat="1" ht="20.399999999999999" hidden="1" customHeight="1" x14ac:dyDescent="0.35">
      <c r="A61" s="68" t="s">
        <v>67</v>
      </c>
      <c r="B61" s="69" t="s">
        <v>70</v>
      </c>
      <c r="C61" s="69" t="s">
        <v>760</v>
      </c>
      <c r="D61" s="50">
        <v>27503</v>
      </c>
      <c r="E61" s="50">
        <v>16890111.287</v>
      </c>
      <c r="F61" s="52">
        <v>2018</v>
      </c>
    </row>
    <row r="62" spans="1:6" s="9" customFormat="1" ht="20.399999999999999" hidden="1" customHeight="1" x14ac:dyDescent="0.35">
      <c r="A62" s="68" t="s">
        <v>75</v>
      </c>
      <c r="B62" s="69" t="s">
        <v>1599</v>
      </c>
      <c r="C62" s="69" t="s">
        <v>767</v>
      </c>
      <c r="D62" s="50">
        <v>70502</v>
      </c>
      <c r="E62" s="50">
        <v>21115662</v>
      </c>
      <c r="F62" s="52">
        <v>2018</v>
      </c>
    </row>
    <row r="63" spans="1:6" s="9" customFormat="1" ht="20.399999999999999" hidden="1" customHeight="1" x14ac:dyDescent="0.35">
      <c r="A63" s="68" t="s">
        <v>75</v>
      </c>
      <c r="B63" s="69" t="s">
        <v>1599</v>
      </c>
      <c r="C63" s="69" t="s">
        <v>729</v>
      </c>
      <c r="D63" s="50">
        <v>383027</v>
      </c>
      <c r="E63" s="50">
        <v>161345610</v>
      </c>
      <c r="F63" s="52">
        <v>2018</v>
      </c>
    </row>
    <row r="64" spans="1:6" s="9" customFormat="1" ht="20.399999999999999" customHeight="1" x14ac:dyDescent="0.35">
      <c r="A64" s="68" t="s">
        <v>75</v>
      </c>
      <c r="B64" s="69" t="s">
        <v>702</v>
      </c>
      <c r="C64" s="69" t="s">
        <v>768</v>
      </c>
      <c r="D64" s="50">
        <v>5924</v>
      </c>
      <c r="E64" s="50">
        <v>1048668</v>
      </c>
      <c r="F64" s="52">
        <v>2018</v>
      </c>
    </row>
    <row r="65" spans="1:6" s="9" customFormat="1" ht="20.399999999999999" customHeight="1" x14ac:dyDescent="0.35">
      <c r="A65" s="68" t="s">
        <v>75</v>
      </c>
      <c r="B65" s="69" t="s">
        <v>702</v>
      </c>
      <c r="C65" s="69" t="s">
        <v>744</v>
      </c>
      <c r="D65" s="50">
        <v>11002</v>
      </c>
      <c r="E65" s="50">
        <v>2599985</v>
      </c>
      <c r="F65" s="52">
        <v>2018</v>
      </c>
    </row>
    <row r="66" spans="1:6" s="9" customFormat="1" ht="20.399999999999999" customHeight="1" x14ac:dyDescent="0.35">
      <c r="A66" s="68" t="s">
        <v>75</v>
      </c>
      <c r="B66" s="69" t="s">
        <v>702</v>
      </c>
      <c r="C66" s="69" t="s">
        <v>730</v>
      </c>
      <c r="D66" s="50">
        <v>53</v>
      </c>
      <c r="E66" s="50">
        <v>12313</v>
      </c>
      <c r="F66" s="52">
        <v>2018</v>
      </c>
    </row>
    <row r="67" spans="1:6" s="9" customFormat="1" ht="20.399999999999999" customHeight="1" x14ac:dyDescent="0.35">
      <c r="A67" s="68" t="s">
        <v>75</v>
      </c>
      <c r="B67" s="69" t="s">
        <v>702</v>
      </c>
      <c r="C67" s="69" t="s">
        <v>731</v>
      </c>
      <c r="D67" s="50">
        <v>23541</v>
      </c>
      <c r="E67" s="50">
        <v>5264464</v>
      </c>
      <c r="F67" s="52">
        <v>2018</v>
      </c>
    </row>
    <row r="68" spans="1:6" s="9" customFormat="1" ht="20.399999999999999" customHeight="1" x14ac:dyDescent="0.35">
      <c r="A68" s="68" t="s">
        <v>75</v>
      </c>
      <c r="B68" s="69" t="s">
        <v>702</v>
      </c>
      <c r="C68" s="69" t="s">
        <v>769</v>
      </c>
      <c r="D68" s="50">
        <v>15</v>
      </c>
      <c r="E68" s="50">
        <v>3375</v>
      </c>
      <c r="F68" s="52">
        <v>2018</v>
      </c>
    </row>
    <row r="69" spans="1:6" s="9" customFormat="1" ht="20.399999999999999" customHeight="1" x14ac:dyDescent="0.35">
      <c r="A69" s="68" t="s">
        <v>75</v>
      </c>
      <c r="B69" s="69" t="s">
        <v>702</v>
      </c>
      <c r="C69" s="69" t="s">
        <v>770</v>
      </c>
      <c r="D69" s="50">
        <v>20165</v>
      </c>
      <c r="E69" s="50">
        <v>4309265</v>
      </c>
      <c r="F69" s="52">
        <v>2018</v>
      </c>
    </row>
    <row r="70" spans="1:6" s="9" customFormat="1" ht="20.399999999999999" customHeight="1" x14ac:dyDescent="0.35">
      <c r="A70" s="68" t="s">
        <v>75</v>
      </c>
      <c r="B70" s="69" t="s">
        <v>702</v>
      </c>
      <c r="C70" s="69" t="s">
        <v>758</v>
      </c>
      <c r="D70" s="50">
        <v>34517</v>
      </c>
      <c r="E70" s="50">
        <v>6946384</v>
      </c>
      <c r="F70" s="52">
        <v>2018</v>
      </c>
    </row>
    <row r="71" spans="1:6" s="9" customFormat="1" ht="20.399999999999999" hidden="1" customHeight="1" x14ac:dyDescent="0.35">
      <c r="A71" s="68" t="s">
        <v>79</v>
      </c>
      <c r="B71" s="69" t="s">
        <v>698</v>
      </c>
      <c r="C71" s="69" t="s">
        <v>732</v>
      </c>
      <c r="D71" s="50">
        <v>135007</v>
      </c>
      <c r="E71" s="50">
        <v>5125158</v>
      </c>
      <c r="F71" s="52">
        <v>2018</v>
      </c>
    </row>
    <row r="72" spans="1:6" s="9" customFormat="1" ht="20.399999999999999" hidden="1" customHeight="1" x14ac:dyDescent="0.35">
      <c r="A72" s="68" t="s">
        <v>79</v>
      </c>
      <c r="B72" s="69" t="s">
        <v>698</v>
      </c>
      <c r="C72" s="69" t="s">
        <v>771</v>
      </c>
      <c r="D72" s="50">
        <v>1101</v>
      </c>
      <c r="E72" s="50">
        <v>42402</v>
      </c>
      <c r="F72" s="52">
        <v>2018</v>
      </c>
    </row>
    <row r="73" spans="1:6" s="9" customFormat="1" ht="20.399999999999999" hidden="1" customHeight="1" x14ac:dyDescent="0.35">
      <c r="A73" s="68" t="s">
        <v>79</v>
      </c>
      <c r="B73" s="69" t="s">
        <v>698</v>
      </c>
      <c r="C73" s="70" t="s">
        <v>730</v>
      </c>
      <c r="D73" s="50">
        <v>5714</v>
      </c>
      <c r="E73" s="50">
        <v>219839</v>
      </c>
      <c r="F73" s="52">
        <v>2018</v>
      </c>
    </row>
    <row r="74" spans="1:6" s="9" customFormat="1" ht="20.399999999999999" hidden="1" customHeight="1" x14ac:dyDescent="0.35">
      <c r="A74" s="68" t="s">
        <v>79</v>
      </c>
      <c r="B74" s="69" t="s">
        <v>698</v>
      </c>
      <c r="C74" s="69" t="s">
        <v>731</v>
      </c>
      <c r="D74" s="50">
        <v>1005499</v>
      </c>
      <c r="E74" s="50">
        <v>38599438</v>
      </c>
      <c r="F74" s="52">
        <v>2018</v>
      </c>
    </row>
    <row r="75" spans="1:6" s="9" customFormat="1" ht="20.399999999999999" hidden="1" customHeight="1" x14ac:dyDescent="0.35">
      <c r="A75" s="68" t="s">
        <v>79</v>
      </c>
      <c r="B75" s="69" t="s">
        <v>698</v>
      </c>
      <c r="C75" s="69" t="s">
        <v>769</v>
      </c>
      <c r="D75" s="50">
        <v>3401</v>
      </c>
      <c r="E75" s="50">
        <v>132759</v>
      </c>
      <c r="F75" s="52">
        <v>2018</v>
      </c>
    </row>
    <row r="76" spans="1:6" s="9" customFormat="1" ht="20.399999999999999" hidden="1" customHeight="1" x14ac:dyDescent="0.35">
      <c r="A76" s="68" t="s">
        <v>89</v>
      </c>
      <c r="B76" s="69" t="s">
        <v>18</v>
      </c>
      <c r="C76" s="69" t="s">
        <v>758</v>
      </c>
      <c r="D76" s="50">
        <v>4.452</v>
      </c>
      <c r="E76" s="50">
        <v>100232469</v>
      </c>
      <c r="F76" s="52">
        <v>2018</v>
      </c>
    </row>
    <row r="77" spans="1:6" s="9" customFormat="1" ht="20.399999999999999" hidden="1" customHeight="1" x14ac:dyDescent="0.35">
      <c r="A77" s="68" t="s">
        <v>89</v>
      </c>
      <c r="B77" s="69" t="s">
        <v>704</v>
      </c>
      <c r="C77" s="69" t="s">
        <v>758</v>
      </c>
      <c r="D77" s="50">
        <v>0.189</v>
      </c>
      <c r="E77" s="50">
        <v>48742</v>
      </c>
      <c r="F77" s="52">
        <v>2018</v>
      </c>
    </row>
    <row r="78" spans="1:6" s="9" customFormat="1" ht="20.399999999999999" hidden="1" customHeight="1" x14ac:dyDescent="0.35">
      <c r="A78" s="68" t="s">
        <v>93</v>
      </c>
      <c r="B78" s="69" t="s">
        <v>18</v>
      </c>
      <c r="C78" s="69" t="s">
        <v>772</v>
      </c>
      <c r="D78" s="50">
        <v>3.32</v>
      </c>
      <c r="E78" s="50">
        <v>80479252</v>
      </c>
      <c r="F78" s="52">
        <v>2018</v>
      </c>
    </row>
    <row r="79" spans="1:6" s="9" customFormat="1" ht="20.399999999999999" hidden="1" customHeight="1" x14ac:dyDescent="0.35">
      <c r="A79" s="68" t="s">
        <v>93</v>
      </c>
      <c r="B79" s="69" t="s">
        <v>18</v>
      </c>
      <c r="C79" s="69" t="s">
        <v>758</v>
      </c>
      <c r="D79" s="50">
        <v>3.29</v>
      </c>
      <c r="E79" s="50">
        <v>76651561</v>
      </c>
      <c r="F79" s="52">
        <v>2018</v>
      </c>
    </row>
    <row r="80" spans="1:6" s="9" customFormat="1" ht="20.399999999999999" hidden="1" customHeight="1" x14ac:dyDescent="0.35">
      <c r="A80" s="68" t="s">
        <v>93</v>
      </c>
      <c r="B80" s="69" t="s">
        <v>18</v>
      </c>
      <c r="C80" s="69" t="s">
        <v>773</v>
      </c>
      <c r="D80" s="50">
        <v>0.63</v>
      </c>
      <c r="E80" s="50">
        <v>15875293</v>
      </c>
      <c r="F80" s="52">
        <v>2018</v>
      </c>
    </row>
    <row r="81" spans="1:6" s="9" customFormat="1" ht="20.399999999999999" hidden="1" customHeight="1" x14ac:dyDescent="0.35">
      <c r="A81" s="68" t="s">
        <v>93</v>
      </c>
      <c r="B81" s="69" t="s">
        <v>704</v>
      </c>
      <c r="C81" s="69" t="s">
        <v>772</v>
      </c>
      <c r="D81" s="50">
        <v>0.47</v>
      </c>
      <c r="E81" s="50">
        <v>124722</v>
      </c>
      <c r="F81" s="52">
        <v>2018</v>
      </c>
    </row>
    <row r="82" spans="1:6" s="9" customFormat="1" ht="20.399999999999999" hidden="1" customHeight="1" x14ac:dyDescent="0.35">
      <c r="A82" s="68" t="s">
        <v>93</v>
      </c>
      <c r="B82" s="69" t="s">
        <v>704</v>
      </c>
      <c r="C82" s="69" t="s">
        <v>758</v>
      </c>
      <c r="D82" s="50">
        <v>0.18</v>
      </c>
      <c r="E82" s="50">
        <v>61226</v>
      </c>
      <c r="F82" s="52">
        <v>2018</v>
      </c>
    </row>
    <row r="83" spans="1:6" s="9" customFormat="1" ht="20.399999999999999" hidden="1" customHeight="1" x14ac:dyDescent="0.35">
      <c r="A83" s="68" t="s">
        <v>101</v>
      </c>
      <c r="B83" s="69" t="s">
        <v>104</v>
      </c>
      <c r="C83" s="69" t="s">
        <v>737</v>
      </c>
      <c r="D83" s="50">
        <v>19761</v>
      </c>
      <c r="E83" s="50">
        <v>639306.39300000004</v>
      </c>
      <c r="F83" s="52">
        <v>2018</v>
      </c>
    </row>
    <row r="84" spans="1:6" s="9" customFormat="1" ht="20.399999999999999" hidden="1" customHeight="1" x14ac:dyDescent="0.35">
      <c r="A84" s="68" t="s">
        <v>101</v>
      </c>
      <c r="B84" s="69" t="s">
        <v>104</v>
      </c>
      <c r="C84" s="69" t="s">
        <v>774</v>
      </c>
      <c r="D84" s="50">
        <v>32872</v>
      </c>
      <c r="E84" s="50">
        <v>937266.73600000003</v>
      </c>
      <c r="F84" s="52">
        <v>2018</v>
      </c>
    </row>
    <row r="85" spans="1:6" s="9" customFormat="1" ht="20.399999999999999" hidden="1" customHeight="1" x14ac:dyDescent="0.35">
      <c r="A85" s="68" t="s">
        <v>101</v>
      </c>
      <c r="B85" s="69" t="s">
        <v>705</v>
      </c>
      <c r="C85" s="69" t="s">
        <v>737</v>
      </c>
      <c r="D85" s="50">
        <v>10001</v>
      </c>
      <c r="E85" s="50">
        <v>639306.39300000004</v>
      </c>
      <c r="F85" s="52">
        <v>2018</v>
      </c>
    </row>
    <row r="86" spans="1:6" s="9" customFormat="1" ht="20.399999999999999" hidden="1" customHeight="1" x14ac:dyDescent="0.35">
      <c r="A86" s="68" t="s">
        <v>101</v>
      </c>
      <c r="B86" s="69" t="s">
        <v>705</v>
      </c>
      <c r="C86" s="69" t="s">
        <v>775</v>
      </c>
      <c r="D86" s="50">
        <v>922</v>
      </c>
      <c r="E86" s="50">
        <v>82237.487999999998</v>
      </c>
      <c r="F86" s="52">
        <v>2018</v>
      </c>
    </row>
    <row r="87" spans="1:6" s="9" customFormat="1" ht="20.399999999999999" hidden="1" customHeight="1" x14ac:dyDescent="0.35">
      <c r="A87" s="68" t="s">
        <v>106</v>
      </c>
      <c r="B87" s="69" t="s">
        <v>6</v>
      </c>
      <c r="C87" s="69" t="s">
        <v>776</v>
      </c>
      <c r="D87" s="50">
        <v>73434</v>
      </c>
      <c r="E87" s="50">
        <v>1994982</v>
      </c>
      <c r="F87" s="52">
        <v>2018</v>
      </c>
    </row>
    <row r="88" spans="1:6" s="9" customFormat="1" ht="20.399999999999999" hidden="1" customHeight="1" x14ac:dyDescent="0.35">
      <c r="A88" s="68" t="s">
        <v>110</v>
      </c>
      <c r="B88" s="69" t="s">
        <v>104</v>
      </c>
      <c r="C88" s="69" t="s">
        <v>744</v>
      </c>
      <c r="D88" s="50">
        <v>88844</v>
      </c>
      <c r="E88" s="50">
        <v>3602341</v>
      </c>
      <c r="F88" s="52">
        <v>2018</v>
      </c>
    </row>
    <row r="89" spans="1:6" s="9" customFormat="1" ht="20.399999999999999" hidden="1" customHeight="1" x14ac:dyDescent="0.35">
      <c r="A89" s="68" t="s">
        <v>110</v>
      </c>
      <c r="B89" s="69" t="s">
        <v>104</v>
      </c>
      <c r="C89" s="69" t="s">
        <v>777</v>
      </c>
      <c r="D89" s="50">
        <v>50893</v>
      </c>
      <c r="E89" s="50">
        <v>2074491</v>
      </c>
      <c r="F89" s="52">
        <v>2018</v>
      </c>
    </row>
    <row r="90" spans="1:6" s="9" customFormat="1" ht="20.399999999999999" hidden="1" customHeight="1" x14ac:dyDescent="0.35">
      <c r="A90" s="68" t="s">
        <v>110</v>
      </c>
      <c r="B90" s="69" t="s">
        <v>104</v>
      </c>
      <c r="C90" s="69" t="s">
        <v>774</v>
      </c>
      <c r="D90" s="50">
        <v>32060</v>
      </c>
      <c r="E90" s="50">
        <v>1225416</v>
      </c>
      <c r="F90" s="52">
        <v>2018</v>
      </c>
    </row>
    <row r="91" spans="1:6" s="9" customFormat="1" ht="20.399999999999999" hidden="1" customHeight="1" x14ac:dyDescent="0.35">
      <c r="A91" s="68" t="s">
        <v>569</v>
      </c>
      <c r="B91" s="69" t="s">
        <v>6</v>
      </c>
      <c r="C91" s="69" t="s">
        <v>778</v>
      </c>
      <c r="D91" s="50">
        <v>27500</v>
      </c>
      <c r="E91" s="50">
        <v>742102.06184414867</v>
      </c>
      <c r="F91" s="52">
        <v>2018</v>
      </c>
    </row>
    <row r="92" spans="1:6" s="9" customFormat="1" ht="20.399999999999999" hidden="1" customHeight="1" x14ac:dyDescent="0.35">
      <c r="A92" s="68" t="s">
        <v>569</v>
      </c>
      <c r="B92" s="69" t="s">
        <v>6</v>
      </c>
      <c r="C92" s="69" t="s">
        <v>731</v>
      </c>
      <c r="D92" s="50">
        <v>34000</v>
      </c>
      <c r="E92" s="50">
        <v>582476.91247690353</v>
      </c>
      <c r="F92" s="52">
        <v>2018</v>
      </c>
    </row>
    <row r="93" spans="1:6" s="9" customFormat="1" ht="20.399999999999999" hidden="1" customHeight="1" x14ac:dyDescent="0.35">
      <c r="A93" s="68" t="s">
        <v>569</v>
      </c>
      <c r="B93" s="69" t="s">
        <v>6</v>
      </c>
      <c r="C93" s="69" t="s">
        <v>755</v>
      </c>
      <c r="D93" s="50">
        <v>136565</v>
      </c>
      <c r="E93" s="50">
        <v>3685278.8391180425</v>
      </c>
      <c r="F93" s="52">
        <v>2018</v>
      </c>
    </row>
    <row r="94" spans="1:6" s="9" customFormat="1" ht="20.399999999999999" hidden="1" customHeight="1" x14ac:dyDescent="0.35">
      <c r="A94" s="68" t="s">
        <v>569</v>
      </c>
      <c r="B94" s="69" t="s">
        <v>6</v>
      </c>
      <c r="C94" s="69" t="s">
        <v>779</v>
      </c>
      <c r="D94" s="50">
        <v>233000</v>
      </c>
      <c r="E94" s="50">
        <v>10032571.221239913</v>
      </c>
      <c r="F94" s="52">
        <v>2018</v>
      </c>
    </row>
    <row r="95" spans="1:6" s="9" customFormat="1" ht="20.399999999999999" hidden="1" customHeight="1" x14ac:dyDescent="0.35">
      <c r="A95" s="68" t="s">
        <v>569</v>
      </c>
      <c r="B95" s="69" t="s">
        <v>6</v>
      </c>
      <c r="C95" s="69" t="s">
        <v>780</v>
      </c>
      <c r="D95" s="50">
        <v>5600</v>
      </c>
      <c r="E95" s="50">
        <v>151118.96532099028</v>
      </c>
      <c r="F95" s="52">
        <v>2018</v>
      </c>
    </row>
    <row r="96" spans="1:6" s="9" customFormat="1" ht="20.399999999999999" hidden="1" customHeight="1" x14ac:dyDescent="0.35">
      <c r="A96" s="68" t="s">
        <v>128</v>
      </c>
      <c r="B96" s="69" t="s">
        <v>698</v>
      </c>
      <c r="C96" s="70" t="s">
        <v>732</v>
      </c>
      <c r="D96" s="50">
        <v>40230</v>
      </c>
      <c r="E96" s="50">
        <v>1758366</v>
      </c>
      <c r="F96" s="52">
        <v>2018</v>
      </c>
    </row>
    <row r="97" spans="1:6" s="9" customFormat="1" ht="20.399999999999999" hidden="1" customHeight="1" x14ac:dyDescent="0.35">
      <c r="A97" s="68" t="s">
        <v>128</v>
      </c>
      <c r="B97" s="69" t="s">
        <v>698</v>
      </c>
      <c r="C97" s="70" t="s">
        <v>781</v>
      </c>
      <c r="D97" s="50">
        <v>1400</v>
      </c>
      <c r="E97" s="50">
        <v>56000</v>
      </c>
      <c r="F97" s="52">
        <v>2018</v>
      </c>
    </row>
    <row r="98" spans="1:6" s="9" customFormat="1" ht="20.399999999999999" hidden="1" customHeight="1" x14ac:dyDescent="0.35">
      <c r="A98" s="68" t="s">
        <v>128</v>
      </c>
      <c r="B98" s="69" t="s">
        <v>698</v>
      </c>
      <c r="C98" s="70" t="s">
        <v>730</v>
      </c>
      <c r="D98" s="50">
        <v>17275</v>
      </c>
      <c r="E98" s="50">
        <v>872264</v>
      </c>
      <c r="F98" s="52">
        <v>2018</v>
      </c>
    </row>
    <row r="99" spans="1:6" s="9" customFormat="1" ht="20.399999999999999" hidden="1" customHeight="1" x14ac:dyDescent="0.35">
      <c r="A99" s="68" t="s">
        <v>128</v>
      </c>
      <c r="B99" s="69" t="s">
        <v>698</v>
      </c>
      <c r="C99" s="70" t="s">
        <v>731</v>
      </c>
      <c r="D99" s="50">
        <v>384898</v>
      </c>
      <c r="E99" s="50">
        <v>16593971</v>
      </c>
      <c r="F99" s="52">
        <v>2018</v>
      </c>
    </row>
    <row r="100" spans="1:6" s="9" customFormat="1" ht="20.399999999999999" hidden="1" customHeight="1" x14ac:dyDescent="0.35">
      <c r="A100" s="68" t="s">
        <v>128</v>
      </c>
      <c r="B100" s="69" t="s">
        <v>698</v>
      </c>
      <c r="C100" s="70" t="s">
        <v>769</v>
      </c>
      <c r="D100" s="50">
        <v>8375</v>
      </c>
      <c r="E100" s="50">
        <v>418540</v>
      </c>
      <c r="F100" s="52">
        <v>2018</v>
      </c>
    </row>
    <row r="101" spans="1:6" s="9" customFormat="1" ht="20.399999999999999" hidden="1" customHeight="1" x14ac:dyDescent="0.35">
      <c r="A101" s="68" t="s">
        <v>133</v>
      </c>
      <c r="B101" s="69" t="s">
        <v>18</v>
      </c>
      <c r="C101" s="69" t="s">
        <v>728</v>
      </c>
      <c r="D101" s="50">
        <v>3.0000000000000001E-3</v>
      </c>
      <c r="E101" s="50">
        <v>80075</v>
      </c>
      <c r="F101" s="52">
        <v>2019</v>
      </c>
    </row>
    <row r="102" spans="1:6" s="9" customFormat="1" ht="20.399999999999999" hidden="1" customHeight="1" x14ac:dyDescent="0.35">
      <c r="A102" s="68" t="s">
        <v>317</v>
      </c>
      <c r="B102" s="69" t="s">
        <v>698</v>
      </c>
      <c r="C102" s="69" t="s">
        <v>731</v>
      </c>
      <c r="D102" s="50">
        <v>328788</v>
      </c>
      <c r="E102" s="50">
        <v>12783555</v>
      </c>
      <c r="F102" s="52">
        <v>2019</v>
      </c>
    </row>
    <row r="103" spans="1:6" s="9" customFormat="1" ht="20.399999999999999" hidden="1" customHeight="1" x14ac:dyDescent="0.35">
      <c r="A103" s="68" t="s">
        <v>317</v>
      </c>
      <c r="B103" s="69" t="s">
        <v>698</v>
      </c>
      <c r="C103" s="69" t="s">
        <v>732</v>
      </c>
      <c r="D103" s="50">
        <v>35250</v>
      </c>
      <c r="E103" s="50">
        <v>1273577</v>
      </c>
      <c r="F103" s="52">
        <v>2019</v>
      </c>
    </row>
    <row r="104" spans="1:6" s="9" customFormat="1" ht="20.399999999999999" hidden="1" customHeight="1" x14ac:dyDescent="0.35">
      <c r="A104" s="68" t="s">
        <v>54</v>
      </c>
      <c r="B104" s="69" t="s">
        <v>59</v>
      </c>
      <c r="C104" s="69" t="s">
        <v>733</v>
      </c>
      <c r="D104" s="50">
        <v>4368</v>
      </c>
      <c r="E104" s="50">
        <v>131040</v>
      </c>
      <c r="F104" s="52">
        <v>2019</v>
      </c>
    </row>
    <row r="105" spans="1:6" s="9" customFormat="1" ht="20.399999999999999" hidden="1" customHeight="1" x14ac:dyDescent="0.35">
      <c r="A105" s="68" t="s">
        <v>67</v>
      </c>
      <c r="B105" s="69" t="s">
        <v>734</v>
      </c>
      <c r="C105" s="69" t="s">
        <v>762</v>
      </c>
      <c r="D105" s="50">
        <v>2.0430000000000001</v>
      </c>
      <c r="E105" s="50">
        <v>4662.1450000000004</v>
      </c>
      <c r="F105" s="52">
        <v>2019</v>
      </c>
    </row>
    <row r="106" spans="1:6" s="9" customFormat="1" ht="20.399999999999999" hidden="1" customHeight="1" x14ac:dyDescent="0.35">
      <c r="A106" s="68" t="s">
        <v>67</v>
      </c>
      <c r="B106" s="69" t="s">
        <v>734</v>
      </c>
      <c r="C106" s="69" t="s">
        <v>735</v>
      </c>
      <c r="D106" s="50">
        <v>439.92</v>
      </c>
      <c r="E106" s="50">
        <v>175825.21799999999</v>
      </c>
      <c r="F106" s="52">
        <v>2019</v>
      </c>
    </row>
    <row r="107" spans="1:6" s="9" customFormat="1" ht="20.399999999999999" hidden="1" customHeight="1" x14ac:dyDescent="0.35">
      <c r="A107" s="68" t="s">
        <v>67</v>
      </c>
      <c r="B107" s="69" t="s">
        <v>734</v>
      </c>
      <c r="C107" s="69" t="s">
        <v>737</v>
      </c>
      <c r="D107" s="50">
        <v>35755.440000000002</v>
      </c>
      <c r="E107" s="50">
        <v>3277431.091</v>
      </c>
      <c r="F107" s="52">
        <v>2019</v>
      </c>
    </row>
    <row r="108" spans="1:6" s="9" customFormat="1" ht="20.399999999999999" hidden="1" customHeight="1" x14ac:dyDescent="0.35">
      <c r="A108" s="68" t="s">
        <v>67</v>
      </c>
      <c r="B108" s="69" t="s">
        <v>734</v>
      </c>
      <c r="C108" s="69" t="s">
        <v>733</v>
      </c>
      <c r="D108" s="50">
        <v>50251.474999999999</v>
      </c>
      <c r="E108" s="50">
        <v>6509347.6840000004</v>
      </c>
      <c r="F108" s="52">
        <v>2019</v>
      </c>
    </row>
    <row r="109" spans="1:6" s="9" customFormat="1" ht="20.399999999999999" hidden="1" customHeight="1" x14ac:dyDescent="0.35">
      <c r="A109" s="68" t="s">
        <v>67</v>
      </c>
      <c r="B109" s="69" t="s">
        <v>734</v>
      </c>
      <c r="C109" s="69" t="s">
        <v>782</v>
      </c>
      <c r="D109" s="50">
        <v>1060.0340000000001</v>
      </c>
      <c r="E109" s="50">
        <v>586821.696</v>
      </c>
      <c r="F109" s="52">
        <v>2019</v>
      </c>
    </row>
    <row r="110" spans="1:6" s="9" customFormat="1" ht="20.399999999999999" hidden="1" customHeight="1" x14ac:dyDescent="0.35">
      <c r="A110" s="68" t="s">
        <v>67</v>
      </c>
      <c r="B110" s="69" t="s">
        <v>734</v>
      </c>
      <c r="C110" s="69" t="s">
        <v>740</v>
      </c>
      <c r="D110" s="50">
        <v>640</v>
      </c>
      <c r="E110" s="50">
        <v>348132.72</v>
      </c>
      <c r="F110" s="52">
        <v>2019</v>
      </c>
    </row>
    <row r="111" spans="1:6" s="9" customFormat="1" ht="20.399999999999999" hidden="1" customHeight="1" x14ac:dyDescent="0.35">
      <c r="A111" s="68" t="s">
        <v>67</v>
      </c>
      <c r="B111" s="69" t="s">
        <v>734</v>
      </c>
      <c r="C111" s="69" t="s">
        <v>783</v>
      </c>
      <c r="D111" s="50">
        <v>740</v>
      </c>
      <c r="E111" s="50">
        <v>323447.69</v>
      </c>
      <c r="F111" s="52">
        <v>2019</v>
      </c>
    </row>
    <row r="112" spans="1:6" s="9" customFormat="1" ht="20.399999999999999" hidden="1" customHeight="1" x14ac:dyDescent="0.35">
      <c r="A112" s="68" t="s">
        <v>67</v>
      </c>
      <c r="B112" s="69" t="s">
        <v>734</v>
      </c>
      <c r="C112" s="69" t="s">
        <v>742</v>
      </c>
      <c r="D112" s="50">
        <v>360</v>
      </c>
      <c r="E112" s="50">
        <v>204683.87700000001</v>
      </c>
      <c r="F112" s="52">
        <v>2019</v>
      </c>
    </row>
    <row r="113" spans="1:6" s="9" customFormat="1" ht="20.399999999999999" hidden="1" customHeight="1" x14ac:dyDescent="0.35">
      <c r="A113" s="68" t="s">
        <v>67</v>
      </c>
      <c r="B113" s="69" t="s">
        <v>734</v>
      </c>
      <c r="C113" s="69" t="s">
        <v>784</v>
      </c>
      <c r="D113" s="50">
        <v>131972.63200000001</v>
      </c>
      <c r="E113" s="50">
        <v>13887462.924000001</v>
      </c>
      <c r="F113" s="52">
        <v>2019</v>
      </c>
    </row>
    <row r="114" spans="1:6" s="9" customFormat="1" ht="20.399999999999999" hidden="1" customHeight="1" x14ac:dyDescent="0.35">
      <c r="A114" s="68" t="s">
        <v>67</v>
      </c>
      <c r="B114" s="69" t="s">
        <v>734</v>
      </c>
      <c r="C114" s="69" t="s">
        <v>785</v>
      </c>
      <c r="D114" s="50">
        <v>33003.612000000001</v>
      </c>
      <c r="E114" s="50">
        <v>2822576.82</v>
      </c>
      <c r="F114" s="52">
        <v>2019</v>
      </c>
    </row>
    <row r="115" spans="1:6" s="9" customFormat="1" ht="20.399999999999999" hidden="1" customHeight="1" x14ac:dyDescent="0.35">
      <c r="A115" s="68" t="s">
        <v>67</v>
      </c>
      <c r="B115" s="69" t="s">
        <v>734</v>
      </c>
      <c r="C115" s="69" t="s">
        <v>744</v>
      </c>
      <c r="D115" s="50">
        <v>120</v>
      </c>
      <c r="E115" s="50">
        <v>76506.596999999994</v>
      </c>
      <c r="F115" s="52">
        <v>2019</v>
      </c>
    </row>
    <row r="116" spans="1:6" s="9" customFormat="1" ht="20.399999999999999" hidden="1" customHeight="1" x14ac:dyDescent="0.35">
      <c r="A116" s="68" t="s">
        <v>67</v>
      </c>
      <c r="B116" s="69" t="s">
        <v>734</v>
      </c>
      <c r="C116" s="69" t="s">
        <v>729</v>
      </c>
      <c r="D116" s="50">
        <v>1560</v>
      </c>
      <c r="E116" s="50">
        <v>666909.87600000005</v>
      </c>
      <c r="F116" s="52">
        <v>2019</v>
      </c>
    </row>
    <row r="117" spans="1:6" s="9" customFormat="1" ht="20.399999999999999" hidden="1" customHeight="1" x14ac:dyDescent="0.35">
      <c r="A117" s="68" t="s">
        <v>67</v>
      </c>
      <c r="B117" s="69" t="s">
        <v>734</v>
      </c>
      <c r="C117" s="69" t="s">
        <v>746</v>
      </c>
      <c r="D117" s="50">
        <v>10720.864</v>
      </c>
      <c r="E117" s="50">
        <v>1620371.3910000001</v>
      </c>
      <c r="F117" s="52">
        <v>2019</v>
      </c>
    </row>
    <row r="118" spans="1:6" s="9" customFormat="1" ht="20.399999999999999" hidden="1" customHeight="1" x14ac:dyDescent="0.35">
      <c r="A118" s="68" t="s">
        <v>67</v>
      </c>
      <c r="B118" s="69" t="s">
        <v>734</v>
      </c>
      <c r="C118" s="69" t="s">
        <v>747</v>
      </c>
      <c r="D118" s="50">
        <v>120</v>
      </c>
      <c r="E118" s="50">
        <v>50574.671999999999</v>
      </c>
      <c r="F118" s="52">
        <v>2019</v>
      </c>
    </row>
    <row r="119" spans="1:6" s="9" customFormat="1" ht="20.399999999999999" hidden="1" customHeight="1" x14ac:dyDescent="0.35">
      <c r="A119" s="68" t="s">
        <v>67</v>
      </c>
      <c r="B119" s="69" t="s">
        <v>734</v>
      </c>
      <c r="C119" s="69" t="s">
        <v>748</v>
      </c>
      <c r="D119" s="50">
        <v>60</v>
      </c>
      <c r="E119" s="50">
        <v>25579.583999999999</v>
      </c>
      <c r="F119" s="52">
        <v>2019</v>
      </c>
    </row>
    <row r="120" spans="1:6" s="9" customFormat="1" ht="20.399999999999999" hidden="1" customHeight="1" x14ac:dyDescent="0.35">
      <c r="A120" s="68" t="s">
        <v>67</v>
      </c>
      <c r="B120" s="69" t="s">
        <v>734</v>
      </c>
      <c r="C120" s="69" t="s">
        <v>749</v>
      </c>
      <c r="D120" s="50">
        <v>12000.173000000001</v>
      </c>
      <c r="E120" s="50">
        <v>1477074.834</v>
      </c>
      <c r="F120" s="52">
        <v>2019</v>
      </c>
    </row>
    <row r="121" spans="1:6" s="9" customFormat="1" ht="20.399999999999999" hidden="1" customHeight="1" x14ac:dyDescent="0.35">
      <c r="A121" s="68" t="s">
        <v>67</v>
      </c>
      <c r="B121" s="69" t="s">
        <v>734</v>
      </c>
      <c r="C121" s="69" t="s">
        <v>753</v>
      </c>
      <c r="D121" s="50">
        <v>137096.70199999999</v>
      </c>
      <c r="E121" s="50">
        <v>11805065.457</v>
      </c>
      <c r="F121" s="52">
        <v>2019</v>
      </c>
    </row>
    <row r="122" spans="1:6" s="9" customFormat="1" ht="20.399999999999999" hidden="1" customHeight="1" x14ac:dyDescent="0.35">
      <c r="A122" s="68" t="s">
        <v>67</v>
      </c>
      <c r="B122" s="69" t="s">
        <v>734</v>
      </c>
      <c r="C122" s="69" t="s">
        <v>754</v>
      </c>
      <c r="D122" s="50">
        <v>440</v>
      </c>
      <c r="E122" s="50">
        <v>204756.9</v>
      </c>
      <c r="F122" s="52">
        <v>2019</v>
      </c>
    </row>
    <row r="123" spans="1:6" s="9" customFormat="1" ht="20.399999999999999" hidden="1" customHeight="1" x14ac:dyDescent="0.35">
      <c r="A123" s="68" t="s">
        <v>67</v>
      </c>
      <c r="B123" s="69" t="s">
        <v>734</v>
      </c>
      <c r="C123" s="69" t="s">
        <v>755</v>
      </c>
      <c r="D123" s="50">
        <v>32689.506000000001</v>
      </c>
      <c r="E123" s="50">
        <v>2859546.469</v>
      </c>
      <c r="F123" s="52">
        <v>2019</v>
      </c>
    </row>
    <row r="124" spans="1:6" s="9" customFormat="1" ht="20.399999999999999" hidden="1" customHeight="1" x14ac:dyDescent="0.35">
      <c r="A124" s="68" t="s">
        <v>67</v>
      </c>
      <c r="B124" s="69" t="s">
        <v>734</v>
      </c>
      <c r="C124" s="69" t="s">
        <v>766</v>
      </c>
      <c r="D124" s="50">
        <v>34515.169000000002</v>
      </c>
      <c r="E124" s="50">
        <v>3040784.148</v>
      </c>
      <c r="F124" s="52">
        <v>2019</v>
      </c>
    </row>
    <row r="125" spans="1:6" s="9" customFormat="1" ht="20.399999999999999" hidden="1" customHeight="1" x14ac:dyDescent="0.35">
      <c r="A125" s="68" t="s">
        <v>67</v>
      </c>
      <c r="B125" s="69" t="s">
        <v>734</v>
      </c>
      <c r="C125" s="69" t="s">
        <v>786</v>
      </c>
      <c r="D125" s="50">
        <v>60.015999999999998</v>
      </c>
      <c r="E125" s="50">
        <v>24846.36</v>
      </c>
      <c r="F125" s="52">
        <v>2019</v>
      </c>
    </row>
    <row r="126" spans="1:6" s="9" customFormat="1" ht="20.399999999999999" hidden="1" customHeight="1" x14ac:dyDescent="0.35">
      <c r="A126" s="68" t="s">
        <v>67</v>
      </c>
      <c r="B126" s="69" t="s">
        <v>734</v>
      </c>
      <c r="C126" s="69" t="s">
        <v>757</v>
      </c>
      <c r="D126" s="50">
        <v>35678.434000000001</v>
      </c>
      <c r="E126" s="50">
        <v>3037501.898</v>
      </c>
      <c r="F126" s="52">
        <v>2019</v>
      </c>
    </row>
    <row r="127" spans="1:6" s="9" customFormat="1" ht="20.399999999999999" hidden="1" customHeight="1" x14ac:dyDescent="0.35">
      <c r="A127" s="68" t="s">
        <v>67</v>
      </c>
      <c r="B127" s="69" t="s">
        <v>734</v>
      </c>
      <c r="C127" s="69" t="s">
        <v>758</v>
      </c>
      <c r="D127" s="50">
        <v>16268.802</v>
      </c>
      <c r="E127" s="50">
        <v>2114063.389</v>
      </c>
      <c r="F127" s="52">
        <v>2019</v>
      </c>
    </row>
    <row r="128" spans="1:6" s="9" customFormat="1" ht="20.399999999999999" hidden="1" customHeight="1" x14ac:dyDescent="0.35">
      <c r="A128" s="68" t="s">
        <v>67</v>
      </c>
      <c r="B128" s="69" t="s">
        <v>734</v>
      </c>
      <c r="C128" s="69" t="s">
        <v>759</v>
      </c>
      <c r="D128" s="50">
        <v>400</v>
      </c>
      <c r="E128" s="50">
        <v>169857.63</v>
      </c>
      <c r="F128" s="52">
        <v>2019</v>
      </c>
    </row>
    <row r="129" spans="1:6" s="9" customFormat="1" ht="20.399999999999999" hidden="1" customHeight="1" x14ac:dyDescent="0.35">
      <c r="A129" s="68" t="s">
        <v>67</v>
      </c>
      <c r="B129" s="69" t="s">
        <v>734</v>
      </c>
      <c r="C129" s="69" t="s">
        <v>787</v>
      </c>
      <c r="D129" s="50">
        <v>20</v>
      </c>
      <c r="E129" s="50">
        <v>13712.6</v>
      </c>
      <c r="F129" s="52">
        <v>2019</v>
      </c>
    </row>
    <row r="130" spans="1:6" s="9" customFormat="1" ht="20.399999999999999" hidden="1" customHeight="1" x14ac:dyDescent="0.35">
      <c r="A130" s="68" t="s">
        <v>67</v>
      </c>
      <c r="B130" s="69" t="s">
        <v>70</v>
      </c>
      <c r="C130" s="69" t="s">
        <v>735</v>
      </c>
      <c r="D130" s="50">
        <v>60</v>
      </c>
      <c r="E130" s="50">
        <v>25934.856</v>
      </c>
      <c r="F130" s="52">
        <v>2019</v>
      </c>
    </row>
    <row r="131" spans="1:6" s="9" customFormat="1" ht="20.399999999999999" hidden="1" customHeight="1" x14ac:dyDescent="0.35">
      <c r="A131" s="68" t="s">
        <v>67</v>
      </c>
      <c r="B131" s="69" t="s">
        <v>70</v>
      </c>
      <c r="C131" s="69" t="s">
        <v>761</v>
      </c>
      <c r="D131" s="50">
        <v>793.02</v>
      </c>
      <c r="E131" s="50">
        <v>697609.772</v>
      </c>
      <c r="F131" s="52">
        <v>2019</v>
      </c>
    </row>
    <row r="132" spans="1:6" s="9" customFormat="1" ht="20.399999999999999" hidden="1" customHeight="1" x14ac:dyDescent="0.35">
      <c r="A132" s="68" t="s">
        <v>67</v>
      </c>
      <c r="B132" s="69" t="s">
        <v>70</v>
      </c>
      <c r="C132" s="69" t="s">
        <v>762</v>
      </c>
      <c r="D132" s="50">
        <v>1509.951</v>
      </c>
      <c r="E132" s="50">
        <v>1510675.4620000001</v>
      </c>
      <c r="F132" s="52">
        <v>2019</v>
      </c>
    </row>
    <row r="133" spans="1:6" s="9" customFormat="1" ht="20.399999999999999" hidden="1" customHeight="1" x14ac:dyDescent="0.35">
      <c r="A133" s="68" t="s">
        <v>67</v>
      </c>
      <c r="B133" s="69" t="s">
        <v>70</v>
      </c>
      <c r="C133" s="69" t="s">
        <v>737</v>
      </c>
      <c r="D133" s="50">
        <v>3545.2190000000001</v>
      </c>
      <c r="E133" s="50">
        <v>3132088.193</v>
      </c>
      <c r="F133" s="52">
        <v>2019</v>
      </c>
    </row>
    <row r="134" spans="1:6" s="9" customFormat="1" ht="20.399999999999999" hidden="1" customHeight="1" x14ac:dyDescent="0.35">
      <c r="A134" s="68" t="s">
        <v>67</v>
      </c>
      <c r="B134" s="69" t="s">
        <v>70</v>
      </c>
      <c r="C134" s="69" t="s">
        <v>763</v>
      </c>
      <c r="D134" s="50">
        <v>432.59</v>
      </c>
      <c r="E134" s="50">
        <v>407332.69500000001</v>
      </c>
      <c r="F134" s="52">
        <v>2019</v>
      </c>
    </row>
    <row r="135" spans="1:6" s="9" customFormat="1" ht="20.399999999999999" hidden="1" customHeight="1" x14ac:dyDescent="0.35">
      <c r="A135" s="68" t="s">
        <v>67</v>
      </c>
      <c r="B135" s="69" t="s">
        <v>70</v>
      </c>
      <c r="C135" s="69" t="s">
        <v>733</v>
      </c>
      <c r="D135" s="50">
        <v>18211.957999999999</v>
      </c>
      <c r="E135" s="50">
        <v>9588818.2980000004</v>
      </c>
      <c r="F135" s="52">
        <v>2019</v>
      </c>
    </row>
    <row r="136" spans="1:6" s="9" customFormat="1" ht="20.399999999999999" hidden="1" customHeight="1" x14ac:dyDescent="0.35">
      <c r="A136" s="68" t="s">
        <v>67</v>
      </c>
      <c r="B136" s="69" t="s">
        <v>70</v>
      </c>
      <c r="C136" s="69" t="s">
        <v>782</v>
      </c>
      <c r="D136" s="50">
        <v>480</v>
      </c>
      <c r="E136" s="50">
        <v>287176.7</v>
      </c>
      <c r="F136" s="52">
        <v>2019</v>
      </c>
    </row>
    <row r="137" spans="1:6" s="9" customFormat="1" ht="20.399999999999999" hidden="1" customHeight="1" x14ac:dyDescent="0.35">
      <c r="A137" s="68" t="s">
        <v>67</v>
      </c>
      <c r="B137" s="69" t="s">
        <v>70</v>
      </c>
      <c r="C137" s="69" t="s">
        <v>740</v>
      </c>
      <c r="D137" s="50">
        <v>200</v>
      </c>
      <c r="E137" s="50">
        <v>125996.45</v>
      </c>
      <c r="F137" s="52">
        <v>2019</v>
      </c>
    </row>
    <row r="138" spans="1:6" s="9" customFormat="1" ht="20.399999999999999" hidden="1" customHeight="1" x14ac:dyDescent="0.35">
      <c r="A138" s="68" t="s">
        <v>67</v>
      </c>
      <c r="B138" s="69" t="s">
        <v>70</v>
      </c>
      <c r="C138" s="69" t="s">
        <v>742</v>
      </c>
      <c r="D138" s="50">
        <v>18835.03</v>
      </c>
      <c r="E138" s="50">
        <v>16759043.528000001</v>
      </c>
      <c r="F138" s="52">
        <v>2019</v>
      </c>
    </row>
    <row r="139" spans="1:6" s="9" customFormat="1" ht="20.399999999999999" hidden="1" customHeight="1" x14ac:dyDescent="0.35">
      <c r="A139" s="68" t="s">
        <v>67</v>
      </c>
      <c r="B139" s="69" t="s">
        <v>70</v>
      </c>
      <c r="C139" s="69" t="s">
        <v>784</v>
      </c>
      <c r="D139" s="50">
        <v>5856.48</v>
      </c>
      <c r="E139" s="50">
        <v>5698452.3770000003</v>
      </c>
      <c r="F139" s="52">
        <v>2019</v>
      </c>
    </row>
    <row r="140" spans="1:6" s="9" customFormat="1" ht="20.399999999999999" hidden="1" customHeight="1" x14ac:dyDescent="0.35">
      <c r="A140" s="68" t="s">
        <v>67</v>
      </c>
      <c r="B140" s="69" t="s">
        <v>70</v>
      </c>
      <c r="C140" s="69" t="s">
        <v>744</v>
      </c>
      <c r="D140" s="50">
        <v>1883.97</v>
      </c>
      <c r="E140" s="50">
        <v>1768991.2379999999</v>
      </c>
      <c r="F140" s="52">
        <v>2019</v>
      </c>
    </row>
    <row r="141" spans="1:6" s="9" customFormat="1" ht="20.399999999999999" hidden="1" customHeight="1" x14ac:dyDescent="0.35">
      <c r="A141" s="68" t="s">
        <v>67</v>
      </c>
      <c r="B141" s="69" t="s">
        <v>70</v>
      </c>
      <c r="C141" s="69" t="s">
        <v>788</v>
      </c>
      <c r="D141" s="50">
        <v>1005.884</v>
      </c>
      <c r="E141" s="50">
        <v>235791.51500000001</v>
      </c>
      <c r="F141" s="52">
        <v>2019</v>
      </c>
    </row>
    <row r="142" spans="1:6" s="9" customFormat="1" ht="20.399999999999999" hidden="1" customHeight="1" x14ac:dyDescent="0.35">
      <c r="A142" s="68" t="s">
        <v>67</v>
      </c>
      <c r="B142" s="69" t="s">
        <v>70</v>
      </c>
      <c r="C142" s="69" t="s">
        <v>729</v>
      </c>
      <c r="D142" s="50">
        <v>787.56299999999999</v>
      </c>
      <c r="E142" s="50">
        <v>697884.69200000004</v>
      </c>
      <c r="F142" s="52">
        <v>2019</v>
      </c>
    </row>
    <row r="143" spans="1:6" s="9" customFormat="1" ht="20.399999999999999" hidden="1" customHeight="1" x14ac:dyDescent="0.35">
      <c r="A143" s="68" t="s">
        <v>67</v>
      </c>
      <c r="B143" s="69" t="s">
        <v>70</v>
      </c>
      <c r="C143" s="69" t="s">
        <v>765</v>
      </c>
      <c r="D143" s="50">
        <v>3019.4090000000001</v>
      </c>
      <c r="E143" s="50">
        <v>2752054.2119999998</v>
      </c>
      <c r="F143" s="52">
        <v>2019</v>
      </c>
    </row>
    <row r="144" spans="1:6" s="9" customFormat="1" ht="20.399999999999999" hidden="1" customHeight="1" x14ac:dyDescent="0.35">
      <c r="A144" s="68" t="s">
        <v>67</v>
      </c>
      <c r="B144" s="69" t="s">
        <v>70</v>
      </c>
      <c r="C144" s="69" t="s">
        <v>746</v>
      </c>
      <c r="D144" s="50">
        <v>3581.1860000000001</v>
      </c>
      <c r="E144" s="50">
        <v>3487715.93</v>
      </c>
      <c r="F144" s="52">
        <v>2019</v>
      </c>
    </row>
    <row r="145" spans="1:6" s="9" customFormat="1" ht="20.399999999999999" hidden="1" customHeight="1" x14ac:dyDescent="0.35">
      <c r="A145" s="68" t="s">
        <v>67</v>
      </c>
      <c r="B145" s="69" t="s">
        <v>70</v>
      </c>
      <c r="C145" s="69" t="s">
        <v>747</v>
      </c>
      <c r="D145" s="50">
        <v>300.94600000000003</v>
      </c>
      <c r="E145" s="50">
        <v>280903.277</v>
      </c>
      <c r="F145" s="52">
        <v>2019</v>
      </c>
    </row>
    <row r="146" spans="1:6" s="9" customFormat="1" ht="20.399999999999999" hidden="1" customHeight="1" x14ac:dyDescent="0.35">
      <c r="A146" s="68" t="s">
        <v>67</v>
      </c>
      <c r="B146" s="69" t="s">
        <v>70</v>
      </c>
      <c r="C146" s="69" t="s">
        <v>749</v>
      </c>
      <c r="D146" s="50">
        <v>692.35299999999995</v>
      </c>
      <c r="E146" s="50">
        <v>1318614.7590000001</v>
      </c>
      <c r="F146" s="52">
        <v>2019</v>
      </c>
    </row>
    <row r="147" spans="1:6" s="9" customFormat="1" ht="20.399999999999999" hidden="1" customHeight="1" x14ac:dyDescent="0.35">
      <c r="A147" s="68" t="s">
        <v>67</v>
      </c>
      <c r="B147" s="69" t="s">
        <v>70</v>
      </c>
      <c r="C147" s="69" t="s">
        <v>750</v>
      </c>
      <c r="D147" s="50">
        <v>881.77200000000005</v>
      </c>
      <c r="E147" s="50">
        <v>819992.83600000001</v>
      </c>
      <c r="F147" s="52">
        <v>2019</v>
      </c>
    </row>
    <row r="148" spans="1:6" s="9" customFormat="1" ht="20.399999999999999" hidden="1" customHeight="1" x14ac:dyDescent="0.35">
      <c r="A148" s="68" t="s">
        <v>67</v>
      </c>
      <c r="B148" s="69" t="s">
        <v>70</v>
      </c>
      <c r="C148" s="69" t="s">
        <v>754</v>
      </c>
      <c r="D148" s="50">
        <v>1742.8009999999999</v>
      </c>
      <c r="E148" s="50">
        <v>1510053.148</v>
      </c>
      <c r="F148" s="52">
        <v>2019</v>
      </c>
    </row>
    <row r="149" spans="1:6" s="9" customFormat="1" ht="20.399999999999999" hidden="1" customHeight="1" x14ac:dyDescent="0.35">
      <c r="A149" s="68" t="s">
        <v>67</v>
      </c>
      <c r="B149" s="69" t="s">
        <v>70</v>
      </c>
      <c r="C149" s="69" t="s">
        <v>755</v>
      </c>
      <c r="D149" s="50">
        <v>529.81899999999996</v>
      </c>
      <c r="E149" s="50">
        <v>622824.52899999998</v>
      </c>
      <c r="F149" s="52">
        <v>2019</v>
      </c>
    </row>
    <row r="150" spans="1:6" s="9" customFormat="1" ht="20.399999999999999" hidden="1" customHeight="1" x14ac:dyDescent="0.35">
      <c r="A150" s="68" t="s">
        <v>67</v>
      </c>
      <c r="B150" s="69" t="s">
        <v>70</v>
      </c>
      <c r="C150" s="69" t="s">
        <v>766</v>
      </c>
      <c r="D150" s="50">
        <v>59.113999999999997</v>
      </c>
      <c r="E150" s="50">
        <v>54513.959000000003</v>
      </c>
      <c r="F150" s="52">
        <v>2019</v>
      </c>
    </row>
    <row r="151" spans="1:6" s="9" customFormat="1" ht="20.399999999999999" hidden="1" customHeight="1" x14ac:dyDescent="0.35">
      <c r="A151" s="68" t="s">
        <v>67</v>
      </c>
      <c r="B151" s="69" t="s">
        <v>70</v>
      </c>
      <c r="C151" s="69" t="s">
        <v>758</v>
      </c>
      <c r="D151" s="50">
        <v>22610.453000000001</v>
      </c>
      <c r="E151" s="50">
        <v>7952913.2390000001</v>
      </c>
      <c r="F151" s="52">
        <v>2019</v>
      </c>
    </row>
    <row r="152" spans="1:6" s="9" customFormat="1" ht="20.399999999999999" hidden="1" customHeight="1" x14ac:dyDescent="0.35">
      <c r="A152" s="68" t="s">
        <v>67</v>
      </c>
      <c r="B152" s="69" t="s">
        <v>70</v>
      </c>
      <c r="C152" s="69" t="s">
        <v>789</v>
      </c>
      <c r="D152" s="50">
        <v>1652.912</v>
      </c>
      <c r="E152" s="50">
        <v>1458268.5870000001</v>
      </c>
      <c r="F152" s="52">
        <v>2019</v>
      </c>
    </row>
    <row r="153" spans="1:6" s="9" customFormat="1" ht="20.399999999999999" hidden="1" customHeight="1" x14ac:dyDescent="0.35">
      <c r="A153" s="68" t="s">
        <v>67</v>
      </c>
      <c r="B153" s="69" t="s">
        <v>70</v>
      </c>
      <c r="C153" s="69" t="s">
        <v>759</v>
      </c>
      <c r="D153" s="50">
        <v>60</v>
      </c>
      <c r="E153" s="50">
        <v>24394.86</v>
      </c>
      <c r="F153" s="52">
        <v>2019</v>
      </c>
    </row>
    <row r="154" spans="1:6" s="9" customFormat="1" ht="20.399999999999999" hidden="1" customHeight="1" x14ac:dyDescent="0.35">
      <c r="A154" s="68" t="s">
        <v>67</v>
      </c>
      <c r="B154" s="69" t="s">
        <v>70</v>
      </c>
      <c r="C154" s="69" t="s">
        <v>787</v>
      </c>
      <c r="D154" s="50">
        <v>40.012999999999998</v>
      </c>
      <c r="E154" s="50">
        <v>32994.042000000001</v>
      </c>
      <c r="F154" s="52">
        <v>2019</v>
      </c>
    </row>
    <row r="155" spans="1:6" s="9" customFormat="1" ht="20.399999999999999" customHeight="1" x14ac:dyDescent="0.35">
      <c r="A155" s="68" t="s">
        <v>75</v>
      </c>
      <c r="B155" s="69" t="s">
        <v>702</v>
      </c>
      <c r="C155" s="69" t="s">
        <v>731</v>
      </c>
      <c r="D155" s="50">
        <v>97201</v>
      </c>
      <c r="E155" s="50">
        <v>22031441</v>
      </c>
      <c r="F155" s="52">
        <v>2019</v>
      </c>
    </row>
    <row r="156" spans="1:6" s="9" customFormat="1" ht="20.399999999999999" hidden="1" customHeight="1" x14ac:dyDescent="0.35">
      <c r="A156" s="68" t="s">
        <v>75</v>
      </c>
      <c r="B156" s="69" t="s">
        <v>1599</v>
      </c>
      <c r="C156" s="69" t="s">
        <v>767</v>
      </c>
      <c r="D156" s="50">
        <v>39023</v>
      </c>
      <c r="E156" s="50">
        <v>15984675</v>
      </c>
      <c r="F156" s="52">
        <v>2019</v>
      </c>
    </row>
    <row r="157" spans="1:6" s="9" customFormat="1" ht="20.399999999999999" hidden="1" customHeight="1" x14ac:dyDescent="0.35">
      <c r="A157" s="68" t="s">
        <v>75</v>
      </c>
      <c r="B157" s="69" t="s">
        <v>1599</v>
      </c>
      <c r="C157" s="69" t="s">
        <v>729</v>
      </c>
      <c r="D157" s="50">
        <v>493951</v>
      </c>
      <c r="E157" s="50">
        <v>201048595</v>
      </c>
      <c r="F157" s="52">
        <v>2019</v>
      </c>
    </row>
    <row r="158" spans="1:6" s="9" customFormat="1" ht="20.399999999999999" hidden="1" customHeight="1" x14ac:dyDescent="0.35">
      <c r="A158" s="68" t="s">
        <v>75</v>
      </c>
      <c r="B158" s="69" t="s">
        <v>1599</v>
      </c>
      <c r="C158" s="69" t="s">
        <v>744</v>
      </c>
      <c r="D158" s="50">
        <v>4451</v>
      </c>
      <c r="E158" s="50">
        <v>2126639</v>
      </c>
      <c r="F158" s="52">
        <v>2019</v>
      </c>
    </row>
    <row r="159" spans="1:6" s="9" customFormat="1" ht="20.399999999999999" hidden="1" customHeight="1" x14ac:dyDescent="0.35">
      <c r="A159" s="68" t="s">
        <v>79</v>
      </c>
      <c r="B159" s="69" t="s">
        <v>698</v>
      </c>
      <c r="C159" s="69" t="s">
        <v>732</v>
      </c>
      <c r="D159" s="50">
        <v>166195</v>
      </c>
      <c r="E159" s="50">
        <v>6717794</v>
      </c>
      <c r="F159" s="52">
        <v>2019</v>
      </c>
    </row>
    <row r="160" spans="1:6" s="9" customFormat="1" ht="20.399999999999999" hidden="1" customHeight="1" x14ac:dyDescent="0.35">
      <c r="A160" s="68" t="s">
        <v>79</v>
      </c>
      <c r="B160" s="69" t="s">
        <v>698</v>
      </c>
      <c r="C160" s="69" t="s">
        <v>771</v>
      </c>
      <c r="D160" s="50">
        <v>1105</v>
      </c>
      <c r="E160" s="50">
        <v>42845</v>
      </c>
      <c r="F160" s="52">
        <v>2019</v>
      </c>
    </row>
    <row r="161" spans="1:6" s="9" customFormat="1" ht="20.399999999999999" hidden="1" customHeight="1" x14ac:dyDescent="0.35">
      <c r="A161" s="68" t="s">
        <v>79</v>
      </c>
      <c r="B161" s="69" t="s">
        <v>698</v>
      </c>
      <c r="C161" s="69" t="s">
        <v>730</v>
      </c>
      <c r="D161" s="50">
        <v>632</v>
      </c>
      <c r="E161" s="50">
        <v>27720</v>
      </c>
      <c r="F161" s="52">
        <v>2019</v>
      </c>
    </row>
    <row r="162" spans="1:6" s="9" customFormat="1" ht="20.399999999999999" hidden="1" customHeight="1" x14ac:dyDescent="0.35">
      <c r="A162" s="68" t="s">
        <v>79</v>
      </c>
      <c r="B162" s="69" t="s">
        <v>698</v>
      </c>
      <c r="C162" s="69" t="s">
        <v>731</v>
      </c>
      <c r="D162" s="50">
        <v>871587</v>
      </c>
      <c r="E162" s="50">
        <v>34697666</v>
      </c>
      <c r="F162" s="52">
        <v>2019</v>
      </c>
    </row>
    <row r="163" spans="1:6" s="9" customFormat="1" ht="20.399999999999999" hidden="1" customHeight="1" x14ac:dyDescent="0.35">
      <c r="A163" s="68" t="s">
        <v>79</v>
      </c>
      <c r="B163" s="69" t="s">
        <v>698</v>
      </c>
      <c r="C163" s="69" t="s">
        <v>769</v>
      </c>
      <c r="D163" s="50">
        <v>7696</v>
      </c>
      <c r="E163" s="50">
        <v>307896</v>
      </c>
      <c r="F163" s="52">
        <v>2019</v>
      </c>
    </row>
    <row r="164" spans="1:6" s="9" customFormat="1" ht="20.399999999999999" hidden="1" customHeight="1" x14ac:dyDescent="0.35">
      <c r="A164" s="68" t="s">
        <v>89</v>
      </c>
      <c r="B164" s="69" t="s">
        <v>18</v>
      </c>
      <c r="C164" s="69" t="s">
        <v>758</v>
      </c>
      <c r="D164" s="50">
        <v>5.7830000000000004</v>
      </c>
      <c r="E164" s="50">
        <v>141239790</v>
      </c>
      <c r="F164" s="52">
        <v>2019</v>
      </c>
    </row>
    <row r="165" spans="1:6" s="9" customFormat="1" ht="20.399999999999999" hidden="1" customHeight="1" x14ac:dyDescent="0.35">
      <c r="A165" s="68" t="s">
        <v>93</v>
      </c>
      <c r="B165" s="69" t="s">
        <v>18</v>
      </c>
      <c r="C165" s="69" t="s">
        <v>772</v>
      </c>
      <c r="D165" s="50">
        <v>4.9800000000000004</v>
      </c>
      <c r="E165" s="50">
        <v>141290591</v>
      </c>
      <c r="F165" s="52">
        <v>2019</v>
      </c>
    </row>
    <row r="166" spans="1:6" s="9" customFormat="1" ht="20.399999999999999" hidden="1" customHeight="1" x14ac:dyDescent="0.35">
      <c r="A166" s="68" t="s">
        <v>93</v>
      </c>
      <c r="B166" s="69" t="s">
        <v>18</v>
      </c>
      <c r="C166" s="69" t="s">
        <v>758</v>
      </c>
      <c r="D166" s="50">
        <v>0.45</v>
      </c>
      <c r="E166" s="50">
        <v>12048128</v>
      </c>
      <c r="F166" s="52">
        <v>2019</v>
      </c>
    </row>
    <row r="167" spans="1:6" s="9" customFormat="1" ht="20.399999999999999" hidden="1" customHeight="1" x14ac:dyDescent="0.35">
      <c r="A167" s="68" t="s">
        <v>93</v>
      </c>
      <c r="B167" s="69" t="s">
        <v>18</v>
      </c>
      <c r="C167" s="69" t="s">
        <v>773</v>
      </c>
      <c r="D167" s="50">
        <v>0.59</v>
      </c>
      <c r="E167" s="50">
        <v>17169519</v>
      </c>
      <c r="F167" s="52">
        <v>2019</v>
      </c>
    </row>
    <row r="168" spans="1:6" s="9" customFormat="1" ht="20.399999999999999" hidden="1" customHeight="1" x14ac:dyDescent="0.35">
      <c r="A168" s="68" t="s">
        <v>93</v>
      </c>
      <c r="B168" s="69" t="s">
        <v>704</v>
      </c>
      <c r="C168" s="69" t="s">
        <v>772</v>
      </c>
      <c r="D168" s="50">
        <v>0.43</v>
      </c>
      <c r="E168" s="50">
        <v>144938</v>
      </c>
      <c r="F168" s="52">
        <v>2019</v>
      </c>
    </row>
    <row r="169" spans="1:6" s="9" customFormat="1" ht="20.399999999999999" hidden="1" customHeight="1" x14ac:dyDescent="0.35">
      <c r="A169" s="68" t="s">
        <v>93</v>
      </c>
      <c r="B169" s="69" t="s">
        <v>704</v>
      </c>
      <c r="C169" s="69" t="s">
        <v>758</v>
      </c>
      <c r="D169" s="50">
        <v>0.04</v>
      </c>
      <c r="E169" s="50">
        <v>15907</v>
      </c>
      <c r="F169" s="52">
        <v>2019</v>
      </c>
    </row>
    <row r="170" spans="1:6" s="9" customFormat="1" ht="20.399999999999999" hidden="1" customHeight="1" x14ac:dyDescent="0.35">
      <c r="A170" s="68" t="s">
        <v>101</v>
      </c>
      <c r="B170" s="69" t="s">
        <v>104</v>
      </c>
      <c r="C170" s="69" t="s">
        <v>737</v>
      </c>
      <c r="D170" s="50">
        <v>19761</v>
      </c>
      <c r="E170" s="50">
        <v>639306.39300000004</v>
      </c>
      <c r="F170" s="52">
        <v>2019</v>
      </c>
    </row>
    <row r="171" spans="1:6" s="9" customFormat="1" ht="20.399999999999999" hidden="1" customHeight="1" x14ac:dyDescent="0.35">
      <c r="A171" s="68" t="s">
        <v>101</v>
      </c>
      <c r="B171" s="69" t="s">
        <v>104</v>
      </c>
      <c r="C171" s="69" t="s">
        <v>774</v>
      </c>
      <c r="D171" s="50">
        <v>32872</v>
      </c>
      <c r="E171" s="50">
        <v>937266.73600000003</v>
      </c>
      <c r="F171" s="52">
        <v>2019</v>
      </c>
    </row>
    <row r="172" spans="1:6" s="9" customFormat="1" ht="20.399999999999999" hidden="1" customHeight="1" x14ac:dyDescent="0.35">
      <c r="A172" s="68" t="s">
        <v>101</v>
      </c>
      <c r="B172" s="69" t="s">
        <v>705</v>
      </c>
      <c r="C172" s="69" t="s">
        <v>737</v>
      </c>
      <c r="D172" s="50">
        <v>10001</v>
      </c>
      <c r="E172" s="50">
        <v>639306.39300000004</v>
      </c>
      <c r="F172" s="52">
        <v>2019</v>
      </c>
    </row>
    <row r="173" spans="1:6" s="9" customFormat="1" ht="20.399999999999999" hidden="1" customHeight="1" x14ac:dyDescent="0.35">
      <c r="A173" s="68" t="s">
        <v>101</v>
      </c>
      <c r="B173" s="69" t="s">
        <v>705</v>
      </c>
      <c r="C173" s="69" t="s">
        <v>775</v>
      </c>
      <c r="D173" s="50">
        <v>922</v>
      </c>
      <c r="E173" s="50">
        <v>82237.487999999998</v>
      </c>
      <c r="F173" s="52">
        <v>2019</v>
      </c>
    </row>
    <row r="174" spans="1:6" s="9" customFormat="1" ht="20.399999999999999" hidden="1" customHeight="1" x14ac:dyDescent="0.35">
      <c r="A174" s="68" t="s">
        <v>106</v>
      </c>
      <c r="B174" s="69" t="s">
        <v>6</v>
      </c>
      <c r="C174" s="69" t="s">
        <v>790</v>
      </c>
      <c r="D174" s="50">
        <v>25</v>
      </c>
      <c r="E174" s="50">
        <v>2069</v>
      </c>
      <c r="F174" s="52">
        <v>2019</v>
      </c>
    </row>
    <row r="175" spans="1:6" s="9" customFormat="1" ht="20.399999999999999" hidden="1" customHeight="1" x14ac:dyDescent="0.35">
      <c r="A175" s="68" t="s">
        <v>106</v>
      </c>
      <c r="B175" s="69" t="s">
        <v>6</v>
      </c>
      <c r="C175" s="69" t="s">
        <v>791</v>
      </c>
      <c r="D175" s="50">
        <v>600</v>
      </c>
      <c r="E175" s="50">
        <v>46456</v>
      </c>
      <c r="F175" s="52">
        <v>2019</v>
      </c>
    </row>
    <row r="176" spans="1:6" s="9" customFormat="1" ht="20.399999999999999" hidden="1" customHeight="1" x14ac:dyDescent="0.35">
      <c r="A176" s="68" t="s">
        <v>106</v>
      </c>
      <c r="B176" s="69" t="s">
        <v>6</v>
      </c>
      <c r="C176" s="69" t="s">
        <v>742</v>
      </c>
      <c r="D176" s="50">
        <v>6285</v>
      </c>
      <c r="E176" s="50">
        <v>176056</v>
      </c>
      <c r="F176" s="52">
        <v>2019</v>
      </c>
    </row>
    <row r="177" spans="1:6" s="9" customFormat="1" ht="20.399999999999999" hidden="1" customHeight="1" x14ac:dyDescent="0.35">
      <c r="A177" s="68" t="s">
        <v>106</v>
      </c>
      <c r="B177" s="69" t="s">
        <v>6</v>
      </c>
      <c r="C177" s="69" t="s">
        <v>742</v>
      </c>
      <c r="D177" s="50">
        <v>38646.843000000001</v>
      </c>
      <c r="E177" s="50">
        <v>1038659</v>
      </c>
      <c r="F177" s="52">
        <v>2019</v>
      </c>
    </row>
    <row r="178" spans="1:6" s="9" customFormat="1" ht="20.399999999999999" hidden="1" customHeight="1" x14ac:dyDescent="0.35">
      <c r="A178" s="68" t="s">
        <v>106</v>
      </c>
      <c r="B178" s="69" t="s">
        <v>6</v>
      </c>
      <c r="C178" s="69" t="s">
        <v>747</v>
      </c>
      <c r="D178" s="50">
        <v>3480</v>
      </c>
      <c r="E178" s="50">
        <v>216898</v>
      </c>
      <c r="F178" s="52">
        <v>2019</v>
      </c>
    </row>
    <row r="179" spans="1:6" s="9" customFormat="1" ht="20.399999999999999" hidden="1" customHeight="1" x14ac:dyDescent="0.35">
      <c r="A179" s="68" t="s">
        <v>106</v>
      </c>
      <c r="B179" s="69" t="s">
        <v>6</v>
      </c>
      <c r="C179" s="69" t="s">
        <v>790</v>
      </c>
      <c r="D179" s="50">
        <v>300</v>
      </c>
      <c r="E179" s="50">
        <v>20283</v>
      </c>
      <c r="F179" s="52">
        <v>2019</v>
      </c>
    </row>
    <row r="180" spans="1:6" s="9" customFormat="1" ht="20.399999999999999" hidden="1" customHeight="1" x14ac:dyDescent="0.35">
      <c r="A180" s="68" t="s">
        <v>110</v>
      </c>
      <c r="B180" s="69" t="s">
        <v>104</v>
      </c>
      <c r="C180" s="69" t="s">
        <v>744</v>
      </c>
      <c r="D180" s="50">
        <v>66636</v>
      </c>
      <c r="E180" s="50">
        <v>2997931</v>
      </c>
      <c r="F180" s="52">
        <v>2019</v>
      </c>
    </row>
    <row r="181" spans="1:6" s="9" customFormat="1" ht="20.399999999999999" hidden="1" customHeight="1" x14ac:dyDescent="0.35">
      <c r="A181" s="68" t="s">
        <v>110</v>
      </c>
      <c r="B181" s="69" t="s">
        <v>104</v>
      </c>
      <c r="C181" s="69" t="s">
        <v>777</v>
      </c>
      <c r="D181" s="50">
        <v>32331</v>
      </c>
      <c r="E181" s="50">
        <v>1444315</v>
      </c>
      <c r="F181" s="52">
        <v>2019</v>
      </c>
    </row>
    <row r="182" spans="1:6" s="9" customFormat="1" ht="20.399999999999999" hidden="1" customHeight="1" x14ac:dyDescent="0.35">
      <c r="A182" s="68" t="s">
        <v>110</v>
      </c>
      <c r="B182" s="69" t="s">
        <v>104</v>
      </c>
      <c r="C182" s="69" t="s">
        <v>774</v>
      </c>
      <c r="D182" s="50">
        <v>43791</v>
      </c>
      <c r="E182" s="50">
        <v>1912565</v>
      </c>
      <c r="F182" s="52">
        <v>2019</v>
      </c>
    </row>
    <row r="183" spans="1:6" s="9" customFormat="1" ht="20.399999999999999" hidden="1" customHeight="1" x14ac:dyDescent="0.35">
      <c r="A183" s="68" t="s">
        <v>569</v>
      </c>
      <c r="B183" s="69" t="s">
        <v>6</v>
      </c>
      <c r="C183" s="69" t="s">
        <v>755</v>
      </c>
      <c r="D183" s="50">
        <v>292529</v>
      </c>
      <c r="E183" s="50">
        <v>9661037.1280473601</v>
      </c>
      <c r="F183" s="52">
        <v>2019</v>
      </c>
    </row>
    <row r="184" spans="1:6" s="9" customFormat="1" ht="20.399999999999999" hidden="1" customHeight="1" x14ac:dyDescent="0.35">
      <c r="A184" s="68" t="s">
        <v>569</v>
      </c>
      <c r="B184" s="69" t="s">
        <v>6</v>
      </c>
      <c r="C184" s="69" t="s">
        <v>792</v>
      </c>
      <c r="D184" s="50">
        <v>1112</v>
      </c>
      <c r="E184" s="50">
        <v>41609.127899045641</v>
      </c>
      <c r="F184" s="52">
        <v>2019</v>
      </c>
    </row>
    <row r="185" spans="1:6" s="9" customFormat="1" ht="20.399999999999999" hidden="1" customHeight="1" x14ac:dyDescent="0.35">
      <c r="A185" s="68" t="s">
        <v>569</v>
      </c>
      <c r="B185" s="69" t="s">
        <v>6</v>
      </c>
      <c r="C185" s="69" t="s">
        <v>793</v>
      </c>
      <c r="D185" s="50">
        <v>5504</v>
      </c>
      <c r="E185" s="50">
        <v>184803.61092135878</v>
      </c>
      <c r="F185" s="52">
        <v>2019</v>
      </c>
    </row>
    <row r="186" spans="1:6" s="9" customFormat="1" ht="20.399999999999999" hidden="1" customHeight="1" x14ac:dyDescent="0.35">
      <c r="A186" s="68" t="s">
        <v>569</v>
      </c>
      <c r="B186" s="69" t="s">
        <v>6</v>
      </c>
      <c r="C186" s="69" t="s">
        <v>779</v>
      </c>
      <c r="D186" s="50">
        <v>162550</v>
      </c>
      <c r="E186" s="50">
        <v>8565785.2961136959</v>
      </c>
      <c r="F186" s="52">
        <v>2019</v>
      </c>
    </row>
    <row r="187" spans="1:6" s="9" customFormat="1" ht="20.399999999999999" hidden="1" customHeight="1" x14ac:dyDescent="0.35">
      <c r="A187" s="68" t="s">
        <v>569</v>
      </c>
      <c r="B187" s="69" t="s">
        <v>6</v>
      </c>
      <c r="C187" s="69" t="s">
        <v>731</v>
      </c>
      <c r="D187" s="50">
        <v>14614</v>
      </c>
      <c r="E187" s="50">
        <v>306402.83701853751</v>
      </c>
      <c r="F187" s="52">
        <v>2019</v>
      </c>
    </row>
    <row r="188" spans="1:6" s="9" customFormat="1" ht="20.399999999999999" hidden="1" customHeight="1" x14ac:dyDescent="0.35">
      <c r="A188" s="68" t="s">
        <v>128</v>
      </c>
      <c r="B188" s="69" t="s">
        <v>698</v>
      </c>
      <c r="C188" s="70" t="s">
        <v>793</v>
      </c>
      <c r="D188" s="50">
        <v>35</v>
      </c>
      <c r="E188" s="50">
        <v>1400</v>
      </c>
      <c r="F188" s="52">
        <v>2019</v>
      </c>
    </row>
    <row r="189" spans="1:6" s="9" customFormat="1" ht="20.399999999999999" hidden="1" customHeight="1" x14ac:dyDescent="0.35">
      <c r="A189" s="68" t="s">
        <v>128</v>
      </c>
      <c r="B189" s="69" t="s">
        <v>698</v>
      </c>
      <c r="C189" s="70" t="s">
        <v>732</v>
      </c>
      <c r="D189" s="50">
        <v>25699</v>
      </c>
      <c r="E189" s="50">
        <v>1122957</v>
      </c>
      <c r="F189" s="52">
        <v>2019</v>
      </c>
    </row>
    <row r="190" spans="1:6" s="9" customFormat="1" ht="20.399999999999999" hidden="1" customHeight="1" x14ac:dyDescent="0.35">
      <c r="A190" s="68" t="s">
        <v>128</v>
      </c>
      <c r="B190" s="69" t="s">
        <v>698</v>
      </c>
      <c r="C190" s="70" t="s">
        <v>781</v>
      </c>
      <c r="D190" s="50">
        <v>790</v>
      </c>
      <c r="E190" s="50">
        <v>31600</v>
      </c>
      <c r="F190" s="52">
        <v>2019</v>
      </c>
    </row>
    <row r="191" spans="1:6" s="9" customFormat="1" ht="20.399999999999999" hidden="1" customHeight="1" x14ac:dyDescent="0.35">
      <c r="A191" s="68" t="s">
        <v>128</v>
      </c>
      <c r="B191" s="69" t="s">
        <v>698</v>
      </c>
      <c r="C191" s="70" t="s">
        <v>730</v>
      </c>
      <c r="D191" s="50">
        <v>5256</v>
      </c>
      <c r="E191" s="50">
        <v>282330</v>
      </c>
      <c r="F191" s="52">
        <v>2019</v>
      </c>
    </row>
    <row r="192" spans="1:6" s="9" customFormat="1" ht="20.399999999999999" hidden="1" customHeight="1" x14ac:dyDescent="0.35">
      <c r="A192" s="68" t="s">
        <v>128</v>
      </c>
      <c r="B192" s="69" t="s">
        <v>698</v>
      </c>
      <c r="C192" s="70" t="s">
        <v>731</v>
      </c>
      <c r="D192" s="50">
        <v>309554</v>
      </c>
      <c r="E192" s="50">
        <v>13294733</v>
      </c>
      <c r="F192" s="52">
        <v>2019</v>
      </c>
    </row>
    <row r="193" spans="1:6" s="9" customFormat="1" ht="20.399999999999999" hidden="1" customHeight="1" x14ac:dyDescent="0.35">
      <c r="A193" s="68" t="s">
        <v>128</v>
      </c>
      <c r="B193" s="69" t="s">
        <v>698</v>
      </c>
      <c r="C193" s="70" t="s">
        <v>769</v>
      </c>
      <c r="D193" s="50">
        <v>3716</v>
      </c>
      <c r="E193" s="50">
        <v>148640</v>
      </c>
      <c r="F193" s="52">
        <v>2019</v>
      </c>
    </row>
    <row r="194" spans="1:6" s="9" customFormat="1" ht="20.399999999999999" hidden="1" customHeight="1" x14ac:dyDescent="0.35">
      <c r="A194" s="64" t="s">
        <v>300</v>
      </c>
      <c r="B194" s="69" t="s">
        <v>698</v>
      </c>
      <c r="C194" s="64" t="s">
        <v>797</v>
      </c>
      <c r="D194" s="30">
        <v>103878</v>
      </c>
      <c r="E194" s="30">
        <v>4259671</v>
      </c>
      <c r="F194" s="52">
        <v>2020</v>
      </c>
    </row>
    <row r="195" spans="1:6" s="9" customFormat="1" ht="20.399999999999999" hidden="1" customHeight="1" x14ac:dyDescent="0.35">
      <c r="A195" s="64" t="s">
        <v>300</v>
      </c>
      <c r="B195" s="69" t="s">
        <v>698</v>
      </c>
      <c r="C195" s="64" t="s">
        <v>798</v>
      </c>
      <c r="D195" s="30">
        <v>182</v>
      </c>
      <c r="E195" s="30">
        <v>7361</v>
      </c>
      <c r="F195" s="52">
        <v>2020</v>
      </c>
    </row>
    <row r="196" spans="1:6" s="9" customFormat="1" ht="20.399999999999999" hidden="1" customHeight="1" x14ac:dyDescent="0.35">
      <c r="A196" s="64" t="s">
        <v>300</v>
      </c>
      <c r="B196" s="69" t="s">
        <v>698</v>
      </c>
      <c r="C196" s="64" t="s">
        <v>799</v>
      </c>
      <c r="D196" s="30">
        <v>45</v>
      </c>
      <c r="E196" s="30">
        <v>1823</v>
      </c>
      <c r="F196" s="52">
        <v>2020</v>
      </c>
    </row>
    <row r="197" spans="1:6" s="9" customFormat="1" ht="20.399999999999999" hidden="1" customHeight="1" x14ac:dyDescent="0.35">
      <c r="A197" s="64" t="s">
        <v>300</v>
      </c>
      <c r="B197" s="69" t="s">
        <v>698</v>
      </c>
      <c r="C197" s="64" t="s">
        <v>800</v>
      </c>
      <c r="D197" s="30">
        <v>806290</v>
      </c>
      <c r="E197" s="30">
        <v>31979317</v>
      </c>
      <c r="F197" s="52">
        <v>2020</v>
      </c>
    </row>
    <row r="198" spans="1:6" s="9" customFormat="1" ht="20.399999999999999" hidden="1" customHeight="1" x14ac:dyDescent="0.35">
      <c r="A198" s="64" t="s">
        <v>300</v>
      </c>
      <c r="B198" s="69" t="s">
        <v>698</v>
      </c>
      <c r="C198" s="64" t="s">
        <v>801</v>
      </c>
      <c r="D198" s="30">
        <v>2430</v>
      </c>
      <c r="E198" s="30">
        <v>99642</v>
      </c>
      <c r="F198" s="52">
        <v>2020</v>
      </c>
    </row>
    <row r="199" spans="1:6" s="9" customFormat="1" ht="20.399999999999999" hidden="1" customHeight="1" x14ac:dyDescent="0.35">
      <c r="A199" s="64" t="s">
        <v>317</v>
      </c>
      <c r="B199" s="69" t="s">
        <v>698</v>
      </c>
      <c r="C199" s="64" t="s">
        <v>800</v>
      </c>
      <c r="D199" s="30">
        <v>306761</v>
      </c>
      <c r="E199" s="30">
        <v>11956108</v>
      </c>
      <c r="F199" s="52">
        <v>2020</v>
      </c>
    </row>
    <row r="200" spans="1:6" s="9" customFormat="1" ht="20.399999999999999" hidden="1" customHeight="1" x14ac:dyDescent="0.35">
      <c r="A200" s="64" t="s">
        <v>317</v>
      </c>
      <c r="B200" s="69" t="s">
        <v>698</v>
      </c>
      <c r="C200" s="64" t="s">
        <v>797</v>
      </c>
      <c r="D200" s="30">
        <v>89856</v>
      </c>
      <c r="E200" s="30">
        <v>3303521</v>
      </c>
      <c r="F200" s="52">
        <v>2020</v>
      </c>
    </row>
    <row r="201" spans="1:6" s="9" customFormat="1" ht="20.399999999999999" hidden="1" customHeight="1" x14ac:dyDescent="0.35">
      <c r="A201" s="64" t="s">
        <v>317</v>
      </c>
      <c r="B201" s="69" t="s">
        <v>698</v>
      </c>
      <c r="C201" s="64" t="s">
        <v>799</v>
      </c>
      <c r="D201" s="30">
        <v>4097</v>
      </c>
      <c r="E201" s="30">
        <v>15035</v>
      </c>
      <c r="F201" s="52">
        <v>2020</v>
      </c>
    </row>
    <row r="202" spans="1:6" s="9" customFormat="1" ht="20.399999999999999" customHeight="1" x14ac:dyDescent="0.35">
      <c r="A202" s="64" t="s">
        <v>346</v>
      </c>
      <c r="B202" s="69" t="s">
        <v>702</v>
      </c>
      <c r="C202" s="64" t="s">
        <v>800</v>
      </c>
      <c r="D202" s="30">
        <v>54727</v>
      </c>
      <c r="E202" s="30">
        <v>11820442</v>
      </c>
      <c r="F202" s="52">
        <v>2020</v>
      </c>
    </row>
    <row r="203" spans="1:6" s="9" customFormat="1" ht="20.399999999999999" hidden="1" customHeight="1" x14ac:dyDescent="0.35">
      <c r="A203" s="64" t="s">
        <v>346</v>
      </c>
      <c r="B203" s="69" t="s">
        <v>1599</v>
      </c>
      <c r="C203" s="64" t="s">
        <v>802</v>
      </c>
      <c r="D203" s="30">
        <v>457943</v>
      </c>
      <c r="E203" s="30">
        <v>166008591</v>
      </c>
      <c r="F203" s="52">
        <v>2020</v>
      </c>
    </row>
    <row r="204" spans="1:6" s="9" customFormat="1" ht="20.399999999999999" customHeight="1" x14ac:dyDescent="0.35">
      <c r="A204" s="64" t="s">
        <v>346</v>
      </c>
      <c r="B204" s="69" t="s">
        <v>702</v>
      </c>
      <c r="C204" s="64" t="s">
        <v>797</v>
      </c>
      <c r="D204" s="30">
        <v>621</v>
      </c>
      <c r="E204" s="30">
        <v>70854</v>
      </c>
      <c r="F204" s="52">
        <v>2020</v>
      </c>
    </row>
    <row r="205" spans="1:6" s="9" customFormat="1" ht="20.399999999999999" customHeight="1" x14ac:dyDescent="0.35">
      <c r="A205" s="64" t="s">
        <v>346</v>
      </c>
      <c r="B205" s="69" t="s">
        <v>702</v>
      </c>
      <c r="C205" s="64" t="s">
        <v>801</v>
      </c>
      <c r="D205" s="30">
        <v>657</v>
      </c>
      <c r="E205" s="30">
        <v>183540</v>
      </c>
      <c r="F205" s="52">
        <v>2020</v>
      </c>
    </row>
    <row r="206" spans="1:6" s="9" customFormat="1" ht="20.399999999999999" hidden="1" customHeight="1" x14ac:dyDescent="0.35">
      <c r="A206" s="64" t="s">
        <v>373</v>
      </c>
      <c r="B206" s="69" t="s">
        <v>18</v>
      </c>
      <c r="C206" s="64" t="s">
        <v>803</v>
      </c>
      <c r="D206" s="30">
        <v>1.3418000000000001</v>
      </c>
      <c r="E206" s="30">
        <v>40179763</v>
      </c>
      <c r="F206" s="52">
        <v>2020</v>
      </c>
    </row>
    <row r="207" spans="1:6" s="9" customFormat="1" ht="20.399999999999999" hidden="1" customHeight="1" x14ac:dyDescent="0.35">
      <c r="A207" s="64" t="s">
        <v>373</v>
      </c>
      <c r="B207" s="69" t="s">
        <v>18</v>
      </c>
      <c r="C207" s="64" t="s">
        <v>804</v>
      </c>
      <c r="D207" s="30">
        <v>3.9710000000000001</v>
      </c>
      <c r="E207" s="30">
        <v>116610022</v>
      </c>
      <c r="F207" s="52">
        <v>2020</v>
      </c>
    </row>
    <row r="208" spans="1:6" s="9" customFormat="1" ht="20.399999999999999" hidden="1" customHeight="1" x14ac:dyDescent="0.35">
      <c r="A208" s="64" t="s">
        <v>373</v>
      </c>
      <c r="B208" s="69" t="s">
        <v>709</v>
      </c>
      <c r="C208" s="64" t="s">
        <v>804</v>
      </c>
      <c r="D208" s="30">
        <v>0.59050000000000002</v>
      </c>
      <c r="E208" s="30">
        <v>219911</v>
      </c>
      <c r="F208" s="52">
        <v>2020</v>
      </c>
    </row>
    <row r="209" spans="1:6" s="9" customFormat="1" ht="20.399999999999999" hidden="1" customHeight="1" x14ac:dyDescent="0.35">
      <c r="A209" s="64" t="s">
        <v>374</v>
      </c>
      <c r="B209" s="69" t="s">
        <v>104</v>
      </c>
      <c r="C209" s="64" t="s">
        <v>805</v>
      </c>
      <c r="D209" s="30">
        <v>4419</v>
      </c>
      <c r="E209" s="30">
        <v>346380</v>
      </c>
      <c r="F209" s="52">
        <v>2020</v>
      </c>
    </row>
    <row r="210" spans="1:6" s="9" customFormat="1" ht="20.399999999999999" hidden="1" customHeight="1" x14ac:dyDescent="0.35">
      <c r="A210" s="64" t="s">
        <v>374</v>
      </c>
      <c r="B210" s="69" t="s">
        <v>104</v>
      </c>
      <c r="C210" s="64" t="s">
        <v>806</v>
      </c>
      <c r="D210" s="30">
        <v>96</v>
      </c>
      <c r="E210" s="30">
        <v>15072</v>
      </c>
      <c r="F210" s="52">
        <v>2020</v>
      </c>
    </row>
    <row r="211" spans="1:6" s="9" customFormat="1" ht="20.399999999999999" hidden="1" customHeight="1" x14ac:dyDescent="0.35">
      <c r="A211" s="64" t="s">
        <v>376</v>
      </c>
      <c r="B211" s="69" t="s">
        <v>18</v>
      </c>
      <c r="C211" s="64" t="s">
        <v>807</v>
      </c>
      <c r="D211" s="30">
        <v>5.87</v>
      </c>
      <c r="E211" s="30">
        <v>209070903</v>
      </c>
      <c r="F211" s="52">
        <v>2020</v>
      </c>
    </row>
    <row r="212" spans="1:6" s="9" customFormat="1" ht="20.399999999999999" hidden="1" customHeight="1" x14ac:dyDescent="0.35">
      <c r="A212" s="64" t="s">
        <v>376</v>
      </c>
      <c r="B212" s="69" t="s">
        <v>18</v>
      </c>
      <c r="C212" s="64" t="s">
        <v>808</v>
      </c>
      <c r="D212" s="30">
        <v>0.3</v>
      </c>
      <c r="E212" s="30">
        <v>10975584</v>
      </c>
      <c r="F212" s="52">
        <v>2020</v>
      </c>
    </row>
    <row r="213" spans="1:6" s="9" customFormat="1" ht="20.399999999999999" hidden="1" customHeight="1" x14ac:dyDescent="0.35">
      <c r="A213" s="64" t="s">
        <v>376</v>
      </c>
      <c r="B213" s="69" t="s">
        <v>709</v>
      </c>
      <c r="C213" s="64" t="s">
        <v>807</v>
      </c>
      <c r="D213" s="30">
        <v>0.45</v>
      </c>
      <c r="E213" s="30">
        <v>193308</v>
      </c>
      <c r="F213" s="52">
        <v>2020</v>
      </c>
    </row>
    <row r="214" spans="1:6" s="9" customFormat="1" ht="20.399999999999999" hidden="1" customHeight="1" x14ac:dyDescent="0.35">
      <c r="A214" s="64" t="s">
        <v>382</v>
      </c>
      <c r="B214" s="69" t="s">
        <v>104</v>
      </c>
      <c r="C214" s="64" t="s">
        <v>809</v>
      </c>
      <c r="D214" s="30">
        <v>202</v>
      </c>
      <c r="E214" s="30">
        <v>89494</v>
      </c>
      <c r="F214" s="52">
        <v>2020</v>
      </c>
    </row>
    <row r="215" spans="1:6" s="9" customFormat="1" ht="20.399999999999999" hidden="1" customHeight="1" x14ac:dyDescent="0.35">
      <c r="A215" s="64" t="s">
        <v>382</v>
      </c>
      <c r="B215" s="69" t="s">
        <v>104</v>
      </c>
      <c r="C215" s="64" t="s">
        <v>810</v>
      </c>
      <c r="D215" s="30">
        <v>4256</v>
      </c>
      <c r="E215" s="30">
        <v>147967.08499999999</v>
      </c>
      <c r="F215" s="52">
        <v>2020</v>
      </c>
    </row>
    <row r="216" spans="1:6" s="9" customFormat="1" ht="20.399999999999999" hidden="1" customHeight="1" x14ac:dyDescent="0.35">
      <c r="A216" s="64" t="s">
        <v>382</v>
      </c>
      <c r="B216" s="69" t="s">
        <v>710</v>
      </c>
      <c r="C216" s="64" t="s">
        <v>811</v>
      </c>
      <c r="D216" s="30">
        <v>6967</v>
      </c>
      <c r="E216" s="30">
        <v>1032507</v>
      </c>
      <c r="F216" s="52">
        <v>2020</v>
      </c>
    </row>
    <row r="217" spans="1:6" s="9" customFormat="1" ht="20.399999999999999" hidden="1" customHeight="1" x14ac:dyDescent="0.35">
      <c r="A217" s="64" t="s">
        <v>382</v>
      </c>
      <c r="B217" s="69" t="s">
        <v>104</v>
      </c>
      <c r="C217" s="64" t="s">
        <v>812</v>
      </c>
      <c r="D217" s="30">
        <v>2315</v>
      </c>
      <c r="E217" s="30">
        <v>227758</v>
      </c>
      <c r="F217" s="52">
        <v>2020</v>
      </c>
    </row>
    <row r="218" spans="1:6" s="9" customFormat="1" ht="20.399999999999999" hidden="1" customHeight="1" x14ac:dyDescent="0.35">
      <c r="A218" s="64" t="s">
        <v>382</v>
      </c>
      <c r="B218" s="69" t="s">
        <v>104</v>
      </c>
      <c r="C218" s="64" t="s">
        <v>811</v>
      </c>
      <c r="D218" s="30">
        <v>10119</v>
      </c>
      <c r="E218" s="30">
        <v>310901</v>
      </c>
      <c r="F218" s="52">
        <v>2020</v>
      </c>
    </row>
    <row r="219" spans="1:6" s="9" customFormat="1" ht="20.399999999999999" hidden="1" customHeight="1" x14ac:dyDescent="0.35">
      <c r="A219" s="64" t="s">
        <v>106</v>
      </c>
      <c r="B219" s="69" t="s">
        <v>6</v>
      </c>
      <c r="C219" s="64" t="s">
        <v>812</v>
      </c>
      <c r="D219" s="30">
        <v>28463.793000000001</v>
      </c>
      <c r="E219" s="30">
        <v>704336</v>
      </c>
      <c r="F219" s="52">
        <v>2020</v>
      </c>
    </row>
    <row r="220" spans="1:6" s="9" customFormat="1" ht="20.399999999999999" hidden="1" customHeight="1" x14ac:dyDescent="0.35">
      <c r="A220" s="64" t="s">
        <v>106</v>
      </c>
      <c r="B220" s="69" t="s">
        <v>6</v>
      </c>
      <c r="C220" s="64" t="s">
        <v>813</v>
      </c>
      <c r="D220" s="30">
        <v>432</v>
      </c>
      <c r="E220" s="30">
        <v>19404</v>
      </c>
      <c r="F220" s="52">
        <v>2020</v>
      </c>
    </row>
    <row r="221" spans="1:6" s="9" customFormat="1" ht="20.399999999999999" hidden="1" customHeight="1" x14ac:dyDescent="0.35">
      <c r="A221" s="64" t="s">
        <v>106</v>
      </c>
      <c r="B221" s="69" t="s">
        <v>6</v>
      </c>
      <c r="C221" s="64" t="s">
        <v>814</v>
      </c>
      <c r="D221" s="30">
        <v>25</v>
      </c>
      <c r="E221" s="30">
        <v>2100</v>
      </c>
      <c r="F221" s="52">
        <v>2020</v>
      </c>
    </row>
    <row r="222" spans="1:6" s="9" customFormat="1" ht="20.399999999999999" hidden="1" customHeight="1" x14ac:dyDescent="0.35">
      <c r="A222" s="64" t="s">
        <v>106</v>
      </c>
      <c r="B222" s="69" t="s">
        <v>6</v>
      </c>
      <c r="C222" s="64" t="s">
        <v>815</v>
      </c>
      <c r="D222" s="30">
        <v>1215</v>
      </c>
      <c r="E222" s="30">
        <v>68362</v>
      </c>
      <c r="F222" s="52">
        <v>2020</v>
      </c>
    </row>
    <row r="223" spans="1:6" s="9" customFormat="1" ht="20.399999999999999" hidden="1" customHeight="1" x14ac:dyDescent="0.35">
      <c r="A223" s="64" t="s">
        <v>110</v>
      </c>
      <c r="B223" s="69" t="s">
        <v>104</v>
      </c>
      <c r="C223" s="64" t="s">
        <v>805</v>
      </c>
      <c r="D223" s="30">
        <v>68552.460000000006</v>
      </c>
      <c r="E223" s="30">
        <v>3076614.29</v>
      </c>
      <c r="F223" s="52">
        <v>2020</v>
      </c>
    </row>
    <row r="224" spans="1:6" s="9" customFormat="1" ht="20.399999999999999" hidden="1" customHeight="1" x14ac:dyDescent="0.35">
      <c r="A224" s="64" t="s">
        <v>110</v>
      </c>
      <c r="B224" s="69" t="s">
        <v>104</v>
      </c>
      <c r="C224" s="64" t="s">
        <v>816</v>
      </c>
      <c r="D224" s="30">
        <v>113779.51999999999</v>
      </c>
      <c r="E224" s="30">
        <v>5023960.91</v>
      </c>
      <c r="F224" s="52">
        <v>2020</v>
      </c>
    </row>
    <row r="225" spans="1:6" s="9" customFormat="1" ht="20.399999999999999" hidden="1" customHeight="1" x14ac:dyDescent="0.35">
      <c r="A225" s="64" t="s">
        <v>128</v>
      </c>
      <c r="B225" s="69" t="s">
        <v>698</v>
      </c>
      <c r="C225" s="64" t="s">
        <v>817</v>
      </c>
      <c r="D225" s="50">
        <v>25.961367917693099</v>
      </c>
      <c r="E225" s="30">
        <v>29427.140164498109</v>
      </c>
      <c r="F225" s="52">
        <v>2020</v>
      </c>
    </row>
    <row r="226" spans="1:6" s="9" customFormat="1" ht="20.399999999999999" hidden="1" customHeight="1" x14ac:dyDescent="0.35">
      <c r="A226" s="64" t="s">
        <v>128</v>
      </c>
      <c r="B226" s="69" t="s">
        <v>698</v>
      </c>
      <c r="C226" s="64" t="s">
        <v>797</v>
      </c>
      <c r="D226" s="50">
        <v>19062.319831908419</v>
      </c>
      <c r="E226" s="30">
        <v>2269378.7576339003</v>
      </c>
      <c r="F226" s="52">
        <v>2020</v>
      </c>
    </row>
    <row r="227" spans="1:6" s="9" customFormat="1" ht="20.399999999999999" hidden="1" customHeight="1" x14ac:dyDescent="0.35">
      <c r="A227" s="64" t="s">
        <v>128</v>
      </c>
      <c r="B227" s="69" t="s">
        <v>698</v>
      </c>
      <c r="C227" s="64" t="s">
        <v>798</v>
      </c>
      <c r="D227" s="50">
        <v>585.98516157078689</v>
      </c>
      <c r="E227" s="30">
        <v>32046.120659218006</v>
      </c>
      <c r="F227" s="52">
        <v>2020</v>
      </c>
    </row>
    <row r="228" spans="1:6" s="9" customFormat="1" ht="20.399999999999999" hidden="1" customHeight="1" x14ac:dyDescent="0.35">
      <c r="A228" s="64" t="s">
        <v>128</v>
      </c>
      <c r="B228" s="69" t="s">
        <v>698</v>
      </c>
      <c r="C228" s="64" t="s">
        <v>799</v>
      </c>
      <c r="D228" s="50">
        <v>3898.6557078684245</v>
      </c>
      <c r="E228" s="30">
        <v>415843.5509345638</v>
      </c>
      <c r="F228" s="52">
        <v>2020</v>
      </c>
    </row>
    <row r="229" spans="1:6" s="9" customFormat="1" ht="20.399999999999999" hidden="1" customHeight="1" x14ac:dyDescent="0.35">
      <c r="A229" s="64" t="s">
        <v>128</v>
      </c>
      <c r="B229" s="69" t="s">
        <v>698</v>
      </c>
      <c r="C229" s="64" t="s">
        <v>800</v>
      </c>
      <c r="D229" s="50">
        <v>229612.72241124476</v>
      </c>
      <c r="E229" s="30">
        <v>14488292.06012967</v>
      </c>
      <c r="F229" s="52">
        <v>2020</v>
      </c>
    </row>
    <row r="230" spans="1:6" s="9" customFormat="1" ht="20.399999999999999" hidden="1" customHeight="1" x14ac:dyDescent="0.35">
      <c r="A230" s="64" t="s">
        <v>128</v>
      </c>
      <c r="B230" s="69" t="s">
        <v>698</v>
      </c>
      <c r="C230" s="64" t="s">
        <v>801</v>
      </c>
      <c r="D230" s="50">
        <v>2756.3555194899286</v>
      </c>
      <c r="E230" s="30">
        <v>350521.37047815073</v>
      </c>
      <c r="F230" s="52">
        <v>2020</v>
      </c>
    </row>
    <row r="231" spans="1:6" s="9" customFormat="1" ht="20.399999999999999" hidden="1" customHeight="1" x14ac:dyDescent="0.35">
      <c r="A231" s="64" t="s">
        <v>133</v>
      </c>
      <c r="B231" s="69" t="s">
        <v>18</v>
      </c>
      <c r="C231" s="64" t="s">
        <v>818</v>
      </c>
      <c r="D231" s="30">
        <v>0.04</v>
      </c>
      <c r="E231" s="30">
        <v>493759</v>
      </c>
      <c r="F231" s="52">
        <v>2020</v>
      </c>
    </row>
    <row r="232" spans="1:6" s="9" customFormat="1" ht="20.399999999999999" hidden="1" customHeight="1" x14ac:dyDescent="0.35">
      <c r="A232" s="162" t="s">
        <v>569</v>
      </c>
      <c r="B232" s="69" t="s">
        <v>6</v>
      </c>
      <c r="C232" s="69" t="s">
        <v>779</v>
      </c>
      <c r="D232" s="30">
        <v>111355</v>
      </c>
      <c r="E232" s="30">
        <v>4149920</v>
      </c>
      <c r="F232" s="52">
        <v>2020</v>
      </c>
    </row>
    <row r="233" spans="1:6" s="9" customFormat="1" ht="20.399999999999999" hidden="1" customHeight="1" x14ac:dyDescent="0.35">
      <c r="A233" s="162" t="s">
        <v>569</v>
      </c>
      <c r="B233" s="69" t="s">
        <v>6</v>
      </c>
      <c r="C233" s="64" t="s">
        <v>806</v>
      </c>
      <c r="D233" s="30">
        <v>4369</v>
      </c>
      <c r="E233" s="30">
        <v>180328</v>
      </c>
      <c r="F233" s="52">
        <v>2020</v>
      </c>
    </row>
    <row r="234" spans="1:6" s="9" customFormat="1" ht="20.399999999999999" hidden="1" customHeight="1" x14ac:dyDescent="0.35">
      <c r="A234" s="162" t="s">
        <v>569</v>
      </c>
      <c r="B234" s="69" t="s">
        <v>6</v>
      </c>
      <c r="C234" s="64" t="s">
        <v>819</v>
      </c>
      <c r="D234" s="30">
        <v>172301</v>
      </c>
      <c r="E234" s="30">
        <v>6114970</v>
      </c>
      <c r="F234" s="52">
        <v>2020</v>
      </c>
    </row>
    <row r="235" spans="1:6" s="9" customFormat="1" ht="20.399999999999999" hidden="1" customHeight="1" x14ac:dyDescent="0.35">
      <c r="A235" s="162" t="s">
        <v>569</v>
      </c>
      <c r="B235" s="69" t="s">
        <v>6</v>
      </c>
      <c r="C235" s="64" t="s">
        <v>820</v>
      </c>
      <c r="D235" s="30">
        <v>21697</v>
      </c>
      <c r="E235" s="30">
        <v>788303</v>
      </c>
      <c r="F235" s="52">
        <v>2020</v>
      </c>
    </row>
    <row r="236" spans="1:6" s="9" customFormat="1" ht="20.399999999999999" hidden="1" customHeight="1" x14ac:dyDescent="0.35">
      <c r="A236" s="64" t="s">
        <v>329</v>
      </c>
      <c r="B236" s="69" t="s">
        <v>70</v>
      </c>
      <c r="C236" s="64" t="s">
        <v>821</v>
      </c>
      <c r="D236" s="30">
        <v>5063.43</v>
      </c>
      <c r="E236" s="30">
        <v>4248200.3047599997</v>
      </c>
      <c r="F236" s="52">
        <v>2020</v>
      </c>
    </row>
    <row r="237" spans="1:6" s="9" customFormat="1" ht="20.399999999999999" hidden="1" customHeight="1" x14ac:dyDescent="0.35">
      <c r="A237" s="64" t="s">
        <v>329</v>
      </c>
      <c r="B237" s="69" t="s">
        <v>70</v>
      </c>
      <c r="C237" s="64" t="s">
        <v>820</v>
      </c>
      <c r="D237" s="30">
        <v>3680.11</v>
      </c>
      <c r="E237" s="30">
        <v>2752602.4303799998</v>
      </c>
      <c r="F237" s="52">
        <v>2020</v>
      </c>
    </row>
    <row r="238" spans="1:6" s="9" customFormat="1" ht="20.399999999999999" hidden="1" customHeight="1" x14ac:dyDescent="0.35">
      <c r="A238" s="64" t="s">
        <v>329</v>
      </c>
      <c r="B238" s="69" t="s">
        <v>70</v>
      </c>
      <c r="C238" s="64" t="s">
        <v>812</v>
      </c>
      <c r="D238" s="30">
        <v>20771.29</v>
      </c>
      <c r="E238" s="30">
        <v>15726638.49673</v>
      </c>
      <c r="F238" s="52">
        <v>2020</v>
      </c>
    </row>
    <row r="239" spans="1:6" s="9" customFormat="1" ht="20.399999999999999" hidden="1" customHeight="1" x14ac:dyDescent="0.35">
      <c r="A239" s="64" t="s">
        <v>329</v>
      </c>
      <c r="B239" s="69" t="s">
        <v>70</v>
      </c>
      <c r="C239" s="64" t="s">
        <v>816</v>
      </c>
      <c r="D239" s="30">
        <v>2181.85</v>
      </c>
      <c r="E239" s="30">
        <v>1628909.7362299999</v>
      </c>
      <c r="F239" s="52">
        <v>2020</v>
      </c>
    </row>
    <row r="240" spans="1:6" s="9" customFormat="1" ht="20.399999999999999" hidden="1" customHeight="1" x14ac:dyDescent="0.35">
      <c r="A240" s="64" t="s">
        <v>329</v>
      </c>
      <c r="B240" s="69" t="s">
        <v>70</v>
      </c>
      <c r="C240" s="64" t="s">
        <v>822</v>
      </c>
      <c r="D240" s="30">
        <v>1556.34</v>
      </c>
      <c r="E240" s="30">
        <v>1180139.47416</v>
      </c>
      <c r="F240" s="52">
        <v>2020</v>
      </c>
    </row>
    <row r="241" spans="1:6" s="9" customFormat="1" ht="20.399999999999999" hidden="1" customHeight="1" x14ac:dyDescent="0.35">
      <c r="A241" s="64" t="s">
        <v>329</v>
      </c>
      <c r="B241" s="69" t="s">
        <v>70</v>
      </c>
      <c r="C241" s="64" t="s">
        <v>804</v>
      </c>
      <c r="D241" s="30">
        <v>597.67999999999995</v>
      </c>
      <c r="E241" s="30">
        <v>498805.38929999998</v>
      </c>
      <c r="F241" s="52">
        <v>2020</v>
      </c>
    </row>
    <row r="242" spans="1:6" s="9" customFormat="1" ht="20.399999999999999" hidden="1" customHeight="1" x14ac:dyDescent="0.35">
      <c r="A242" s="64" t="s">
        <v>329</v>
      </c>
      <c r="B242" s="69" t="s">
        <v>70</v>
      </c>
      <c r="C242" s="64" t="s">
        <v>823</v>
      </c>
      <c r="D242" s="30">
        <v>496.23</v>
      </c>
      <c r="E242" s="30">
        <v>391062.13699999999</v>
      </c>
      <c r="F242" s="52">
        <v>2020</v>
      </c>
    </row>
    <row r="243" spans="1:6" s="9" customFormat="1" ht="20.399999999999999" hidden="1" customHeight="1" x14ac:dyDescent="0.35">
      <c r="A243" s="64" t="s">
        <v>329</v>
      </c>
      <c r="B243" s="69" t="s">
        <v>70</v>
      </c>
      <c r="C243" s="64" t="s">
        <v>824</v>
      </c>
      <c r="D243" s="30">
        <v>34272.43</v>
      </c>
      <c r="E243" s="30">
        <v>13845620.41945</v>
      </c>
      <c r="F243" s="52">
        <v>2020</v>
      </c>
    </row>
    <row r="244" spans="1:6" s="9" customFormat="1" ht="20.399999999999999" hidden="1" customHeight="1" x14ac:dyDescent="0.35">
      <c r="A244" s="64" t="s">
        <v>329</v>
      </c>
      <c r="B244" s="69" t="s">
        <v>70</v>
      </c>
      <c r="C244" s="64" t="s">
        <v>805</v>
      </c>
      <c r="D244" s="30">
        <v>2508.9699999999998</v>
      </c>
      <c r="E244" s="30">
        <v>2124263.9149000002</v>
      </c>
      <c r="F244" s="52">
        <v>2020</v>
      </c>
    </row>
    <row r="245" spans="1:6" s="9" customFormat="1" ht="20.399999999999999" hidden="1" customHeight="1" x14ac:dyDescent="0.35">
      <c r="A245" s="64" t="s">
        <v>329</v>
      </c>
      <c r="B245" s="69" t="s">
        <v>70</v>
      </c>
      <c r="C245" s="64" t="s">
        <v>825</v>
      </c>
      <c r="D245" s="30">
        <v>5248.08</v>
      </c>
      <c r="E245" s="30">
        <v>4010259.3870199998</v>
      </c>
      <c r="F245" s="52">
        <v>2020</v>
      </c>
    </row>
    <row r="246" spans="1:6" s="9" customFormat="1" ht="20.399999999999999" hidden="1" customHeight="1" x14ac:dyDescent="0.35">
      <c r="A246" s="64" t="s">
        <v>329</v>
      </c>
      <c r="B246" s="69" t="s">
        <v>70</v>
      </c>
      <c r="C246" s="64" t="s">
        <v>802</v>
      </c>
      <c r="D246" s="30">
        <v>1978.11</v>
      </c>
      <c r="E246" s="30">
        <v>1502838.1288099999</v>
      </c>
      <c r="F246" s="52">
        <v>2020</v>
      </c>
    </row>
    <row r="247" spans="1:6" s="9" customFormat="1" ht="20.399999999999999" hidden="1" customHeight="1" x14ac:dyDescent="0.35">
      <c r="A247" s="64" t="s">
        <v>329</v>
      </c>
      <c r="B247" s="69" t="s">
        <v>70</v>
      </c>
      <c r="C247" s="64" t="s">
        <v>826</v>
      </c>
      <c r="D247" s="30">
        <v>1387.95</v>
      </c>
      <c r="E247" s="30">
        <v>995666.12349999999</v>
      </c>
      <c r="F247" s="52">
        <v>2020</v>
      </c>
    </row>
    <row r="248" spans="1:6" s="9" customFormat="1" ht="20.399999999999999" hidden="1" customHeight="1" x14ac:dyDescent="0.35">
      <c r="A248" s="64" t="s">
        <v>329</v>
      </c>
      <c r="B248" s="69" t="s">
        <v>70</v>
      </c>
      <c r="C248" s="64" t="s">
        <v>827</v>
      </c>
      <c r="D248" s="30">
        <v>2756.4</v>
      </c>
      <c r="E248" s="30">
        <v>2393914.5085900002</v>
      </c>
      <c r="F248" s="52">
        <v>2020</v>
      </c>
    </row>
    <row r="249" spans="1:6" s="9" customFormat="1" ht="20.399999999999999" hidden="1" customHeight="1" x14ac:dyDescent="0.35">
      <c r="A249" s="64" t="s">
        <v>329</v>
      </c>
      <c r="B249" s="69" t="s">
        <v>70</v>
      </c>
      <c r="C249" s="64" t="s">
        <v>815</v>
      </c>
      <c r="D249" s="30">
        <v>758.2</v>
      </c>
      <c r="E249" s="30">
        <v>591401.28084999998</v>
      </c>
      <c r="F249" s="52">
        <v>2020</v>
      </c>
    </row>
    <row r="250" spans="1:6" s="9" customFormat="1" ht="20.399999999999999" hidden="1" customHeight="1" x14ac:dyDescent="0.35">
      <c r="A250" s="64" t="s">
        <v>329</v>
      </c>
      <c r="B250" s="69" t="s">
        <v>700</v>
      </c>
      <c r="C250" s="64" t="s">
        <v>818</v>
      </c>
      <c r="D250" s="30">
        <v>360</v>
      </c>
      <c r="E250" s="30">
        <v>199093.56640000001</v>
      </c>
      <c r="F250" s="52">
        <v>2020</v>
      </c>
    </row>
    <row r="251" spans="1:6" s="9" customFormat="1" ht="20.399999999999999" hidden="1" customHeight="1" x14ac:dyDescent="0.35">
      <c r="A251" s="64" t="s">
        <v>329</v>
      </c>
      <c r="B251" s="69" t="s">
        <v>700</v>
      </c>
      <c r="C251" s="64" t="s">
        <v>810</v>
      </c>
      <c r="D251" s="30">
        <v>320</v>
      </c>
      <c r="E251" s="30">
        <v>216863.56151999999</v>
      </c>
      <c r="F251" s="52">
        <v>2020</v>
      </c>
    </row>
    <row r="252" spans="1:6" s="9" customFormat="1" ht="20.399999999999999" hidden="1" customHeight="1" x14ac:dyDescent="0.35">
      <c r="A252" s="64" t="s">
        <v>329</v>
      </c>
      <c r="B252" s="69" t="s">
        <v>700</v>
      </c>
      <c r="C252" s="64" t="s">
        <v>827</v>
      </c>
      <c r="D252" s="30">
        <v>500</v>
      </c>
      <c r="E252" s="30">
        <v>364169.31364000001</v>
      </c>
      <c r="F252" s="52">
        <v>2020</v>
      </c>
    </row>
    <row r="253" spans="1:6" s="9" customFormat="1" ht="20.399999999999999" hidden="1" customHeight="1" x14ac:dyDescent="0.35">
      <c r="A253" s="64" t="s">
        <v>329</v>
      </c>
      <c r="B253" s="69" t="s">
        <v>700</v>
      </c>
      <c r="C253" s="64" t="s">
        <v>828</v>
      </c>
      <c r="D253" s="30">
        <v>2420</v>
      </c>
      <c r="E253" s="30">
        <v>1717755.8224899999</v>
      </c>
      <c r="F253" s="52">
        <v>2020</v>
      </c>
    </row>
    <row r="254" spans="1:6" s="9" customFormat="1" ht="20.399999999999999" hidden="1" customHeight="1" x14ac:dyDescent="0.35">
      <c r="A254" s="64" t="s">
        <v>329</v>
      </c>
      <c r="B254" s="69" t="s">
        <v>700</v>
      </c>
      <c r="C254" s="64" t="s">
        <v>812</v>
      </c>
      <c r="D254" s="30">
        <v>440</v>
      </c>
      <c r="E254" s="30">
        <v>288831.20821999997</v>
      </c>
      <c r="F254" s="52">
        <v>2020</v>
      </c>
    </row>
    <row r="255" spans="1:6" s="9" customFormat="1" ht="20.399999999999999" hidden="1" customHeight="1" x14ac:dyDescent="0.35">
      <c r="A255" s="64" t="s">
        <v>329</v>
      </c>
      <c r="B255" s="69" t="s">
        <v>699</v>
      </c>
      <c r="C255" s="64" t="s">
        <v>824</v>
      </c>
      <c r="D255" s="30">
        <v>58202.66</v>
      </c>
      <c r="E255" s="30">
        <v>8111212.1277700001</v>
      </c>
      <c r="F255" s="52">
        <v>2020</v>
      </c>
    </row>
    <row r="256" spans="1:6" s="9" customFormat="1" ht="20.399999999999999" hidden="1" customHeight="1" x14ac:dyDescent="0.35">
      <c r="A256" s="64" t="s">
        <v>329</v>
      </c>
      <c r="B256" s="69" t="s">
        <v>699</v>
      </c>
      <c r="C256" s="64" t="s">
        <v>822</v>
      </c>
      <c r="D256" s="30">
        <v>58558.55</v>
      </c>
      <c r="E256" s="30">
        <v>7308121.1622900004</v>
      </c>
      <c r="F256" s="52">
        <v>2020</v>
      </c>
    </row>
    <row r="257" spans="1:6" s="9" customFormat="1" ht="20.399999999999999" hidden="1" customHeight="1" x14ac:dyDescent="0.35">
      <c r="A257" s="64" t="s">
        <v>329</v>
      </c>
      <c r="B257" s="69" t="s">
        <v>699</v>
      </c>
      <c r="C257" s="64" t="s">
        <v>829</v>
      </c>
      <c r="D257" s="30">
        <v>323629.34999999998</v>
      </c>
      <c r="E257" s="30">
        <v>33912201.300130002</v>
      </c>
      <c r="F257" s="52">
        <v>2020</v>
      </c>
    </row>
    <row r="258" spans="1:6" s="9" customFormat="1" ht="20.399999999999999" hidden="1" customHeight="1" x14ac:dyDescent="0.35">
      <c r="A258" s="64" t="s">
        <v>329</v>
      </c>
      <c r="B258" s="69" t="s">
        <v>699</v>
      </c>
      <c r="C258" s="64" t="s">
        <v>830</v>
      </c>
      <c r="D258" s="30">
        <v>40.19</v>
      </c>
      <c r="E258" s="30">
        <v>12976.71925</v>
      </c>
      <c r="F258" s="52">
        <v>2020</v>
      </c>
    </row>
    <row r="259" spans="1:6" s="9" customFormat="1" ht="20.399999999999999" hidden="1" customHeight="1" x14ac:dyDescent="0.35">
      <c r="A259" s="64" t="s">
        <v>329</v>
      </c>
      <c r="B259" s="69" t="s">
        <v>699</v>
      </c>
      <c r="C259" s="64" t="s">
        <v>821</v>
      </c>
      <c r="D259" s="30">
        <v>71568.34</v>
      </c>
      <c r="E259" s="30">
        <v>8736371.4622499999</v>
      </c>
      <c r="F259" s="52">
        <v>2020</v>
      </c>
    </row>
    <row r="260" spans="1:6" s="9" customFormat="1" ht="20.399999999999999" hidden="1" customHeight="1" x14ac:dyDescent="0.35">
      <c r="A260" s="64" t="s">
        <v>329</v>
      </c>
      <c r="B260" s="69" t="s">
        <v>701</v>
      </c>
      <c r="C260" s="64" t="s">
        <v>824</v>
      </c>
      <c r="D260" s="30">
        <v>1500</v>
      </c>
      <c r="E260" s="30">
        <v>632107.36835</v>
      </c>
      <c r="F260" s="52">
        <v>2020</v>
      </c>
    </row>
    <row r="261" spans="1:6" s="9" customFormat="1" ht="20.399999999999999" hidden="1" customHeight="1" x14ac:dyDescent="0.35">
      <c r="A261" s="64" t="s">
        <v>329</v>
      </c>
      <c r="B261" s="69" t="s">
        <v>701</v>
      </c>
      <c r="C261" s="64" t="s">
        <v>818</v>
      </c>
      <c r="D261" s="30">
        <v>1900</v>
      </c>
      <c r="E261" s="30">
        <v>804825.57348000002</v>
      </c>
      <c r="F261" s="52">
        <v>2020</v>
      </c>
    </row>
    <row r="262" spans="1:6" s="9" customFormat="1" ht="20.399999999999999" hidden="1" customHeight="1" x14ac:dyDescent="0.35">
      <c r="A262" s="64" t="s">
        <v>329</v>
      </c>
      <c r="B262" s="69" t="s">
        <v>701</v>
      </c>
      <c r="C262" s="64" t="s">
        <v>810</v>
      </c>
      <c r="D262" s="30">
        <v>860</v>
      </c>
      <c r="E262" s="30">
        <v>362615.40849</v>
      </c>
      <c r="F262" s="52">
        <v>2020</v>
      </c>
    </row>
    <row r="263" spans="1:6" s="9" customFormat="1" ht="20.399999999999999" hidden="1" customHeight="1" x14ac:dyDescent="0.35">
      <c r="A263" s="64" t="s">
        <v>329</v>
      </c>
      <c r="B263" s="69" t="s">
        <v>701</v>
      </c>
      <c r="C263" s="64" t="s">
        <v>827</v>
      </c>
      <c r="D263" s="30">
        <v>60</v>
      </c>
      <c r="E263" s="30">
        <v>26067.752629999999</v>
      </c>
      <c r="F263" s="52">
        <v>2020</v>
      </c>
    </row>
    <row r="264" spans="1:6" s="9" customFormat="1" ht="20.399999999999999" hidden="1" customHeight="1" x14ac:dyDescent="0.35">
      <c r="A264" s="64" t="s">
        <v>329</v>
      </c>
      <c r="B264" s="69" t="s">
        <v>701</v>
      </c>
      <c r="C264" s="64" t="s">
        <v>816</v>
      </c>
      <c r="D264" s="30">
        <v>380</v>
      </c>
      <c r="E264" s="30">
        <v>159543.43376000001</v>
      </c>
      <c r="F264" s="52">
        <v>2020</v>
      </c>
    </row>
    <row r="265" spans="1:6" s="9" customFormat="1" ht="20.399999999999999" hidden="1" customHeight="1" x14ac:dyDescent="0.35">
      <c r="A265" s="64" t="s">
        <v>329</v>
      </c>
      <c r="B265" s="69" t="s">
        <v>701</v>
      </c>
      <c r="C265" s="64" t="s">
        <v>831</v>
      </c>
      <c r="D265" s="30">
        <v>80</v>
      </c>
      <c r="E265" s="30">
        <v>34014.129979999998</v>
      </c>
      <c r="F265" s="52">
        <v>2020</v>
      </c>
    </row>
    <row r="266" spans="1:6" s="9" customFormat="1" ht="20.399999999999999" hidden="1" customHeight="1" x14ac:dyDescent="0.35">
      <c r="A266" s="64" t="s">
        <v>329</v>
      </c>
      <c r="B266" s="69" t="s">
        <v>701</v>
      </c>
      <c r="C266" s="64" t="s">
        <v>830</v>
      </c>
      <c r="D266" s="30">
        <v>860</v>
      </c>
      <c r="E266" s="30">
        <v>360249.74660000001</v>
      </c>
      <c r="F266" s="52">
        <v>2020</v>
      </c>
    </row>
    <row r="267" spans="1:6" s="9" customFormat="1" ht="20.399999999999999" hidden="1" customHeight="1" x14ac:dyDescent="0.35">
      <c r="A267" s="37" t="s">
        <v>382</v>
      </c>
      <c r="B267" s="69" t="s">
        <v>710</v>
      </c>
      <c r="C267" s="37" t="s">
        <v>809</v>
      </c>
      <c r="D267" s="30">
        <v>101.9</v>
      </c>
      <c r="E267" s="30">
        <v>9090.6</v>
      </c>
      <c r="F267" s="52">
        <v>2021</v>
      </c>
    </row>
    <row r="268" spans="1:6" s="9" customFormat="1" ht="20.399999999999999" hidden="1" customHeight="1" x14ac:dyDescent="0.35">
      <c r="A268" s="37" t="s">
        <v>300</v>
      </c>
      <c r="B268" s="69" t="s">
        <v>698</v>
      </c>
      <c r="C268" s="37" t="s">
        <v>797</v>
      </c>
      <c r="D268" s="30">
        <v>279842</v>
      </c>
      <c r="E268" s="30">
        <v>11630495</v>
      </c>
      <c r="F268" s="52">
        <v>2021</v>
      </c>
    </row>
    <row r="269" spans="1:6" s="9" customFormat="1" ht="20.399999999999999" hidden="1" customHeight="1" x14ac:dyDescent="0.35">
      <c r="A269" s="37" t="s">
        <v>300</v>
      </c>
      <c r="B269" s="69" t="s">
        <v>698</v>
      </c>
      <c r="C269" s="37" t="s">
        <v>799</v>
      </c>
      <c r="D269" s="30">
        <v>90</v>
      </c>
      <c r="E269" s="30">
        <v>3645</v>
      </c>
      <c r="F269" s="52">
        <v>2021</v>
      </c>
    </row>
    <row r="270" spans="1:6" s="9" customFormat="1" ht="20.399999999999999" hidden="1" customHeight="1" x14ac:dyDescent="0.35">
      <c r="A270" s="37" t="s">
        <v>300</v>
      </c>
      <c r="B270" s="69" t="s">
        <v>698</v>
      </c>
      <c r="C270" s="37" t="s">
        <v>800</v>
      </c>
      <c r="D270" s="30">
        <v>764522</v>
      </c>
      <c r="E270" s="30">
        <v>30410987</v>
      </c>
      <c r="F270" s="52">
        <v>2021</v>
      </c>
    </row>
    <row r="271" spans="1:6" s="9" customFormat="1" ht="20.399999999999999" hidden="1" customHeight="1" x14ac:dyDescent="0.35">
      <c r="A271" s="37" t="s">
        <v>300</v>
      </c>
      <c r="B271" s="69" t="s">
        <v>698</v>
      </c>
      <c r="C271" s="37" t="s">
        <v>801</v>
      </c>
      <c r="D271" s="30">
        <v>7683</v>
      </c>
      <c r="E271" s="30">
        <v>314997</v>
      </c>
      <c r="F271" s="52">
        <v>2021</v>
      </c>
    </row>
    <row r="272" spans="1:6" s="9" customFormat="1" ht="20.399999999999999" hidden="1" customHeight="1" x14ac:dyDescent="0.35">
      <c r="A272" s="37" t="s">
        <v>422</v>
      </c>
      <c r="B272" s="69" t="s">
        <v>64</v>
      </c>
      <c r="C272" s="37" t="s">
        <v>797</v>
      </c>
      <c r="D272" s="30">
        <v>28407</v>
      </c>
      <c r="E272" s="30">
        <v>291015.65000000002</v>
      </c>
      <c r="F272" s="52">
        <v>2021</v>
      </c>
    </row>
    <row r="273" spans="1:6" s="9" customFormat="1" ht="20.399999999999999" hidden="1" customHeight="1" x14ac:dyDescent="0.35">
      <c r="A273" s="37" t="s">
        <v>317</v>
      </c>
      <c r="B273" s="69" t="s">
        <v>698</v>
      </c>
      <c r="C273" s="37" t="s">
        <v>797</v>
      </c>
      <c r="D273" s="30">
        <v>84807</v>
      </c>
      <c r="E273" s="30">
        <v>3137477</v>
      </c>
      <c r="F273" s="52">
        <v>2021</v>
      </c>
    </row>
    <row r="274" spans="1:6" s="9" customFormat="1" ht="20.399999999999999" hidden="1" customHeight="1" x14ac:dyDescent="0.35">
      <c r="A274" s="37" t="s">
        <v>317</v>
      </c>
      <c r="B274" s="69" t="s">
        <v>698</v>
      </c>
      <c r="C274" s="37" t="s">
        <v>799</v>
      </c>
      <c r="D274" s="30">
        <v>6793</v>
      </c>
      <c r="E274" s="30">
        <v>246779</v>
      </c>
      <c r="F274" s="52">
        <v>2021</v>
      </c>
    </row>
    <row r="275" spans="1:6" s="9" customFormat="1" ht="20.399999999999999" hidden="1" customHeight="1" x14ac:dyDescent="0.35">
      <c r="A275" s="37" t="s">
        <v>317</v>
      </c>
      <c r="B275" s="69" t="s">
        <v>698</v>
      </c>
      <c r="C275" s="37" t="s">
        <v>800</v>
      </c>
      <c r="D275" s="30">
        <v>272099</v>
      </c>
      <c r="E275" s="30">
        <v>10352331</v>
      </c>
      <c r="F275" s="52">
        <v>2021</v>
      </c>
    </row>
    <row r="276" spans="1:6" s="9" customFormat="1" ht="20.399999999999999" hidden="1" customHeight="1" x14ac:dyDescent="0.35">
      <c r="A276" s="37" t="s">
        <v>323</v>
      </c>
      <c r="B276" s="69" t="s">
        <v>59</v>
      </c>
      <c r="C276" s="37" t="s">
        <v>824</v>
      </c>
      <c r="D276" s="30">
        <v>9396</v>
      </c>
      <c r="E276" s="30">
        <v>518248</v>
      </c>
      <c r="F276" s="52">
        <v>2021</v>
      </c>
    </row>
    <row r="277" spans="1:6" s="9" customFormat="1" ht="20.399999999999999" hidden="1" customHeight="1" x14ac:dyDescent="0.35">
      <c r="A277" s="49" t="s">
        <v>285</v>
      </c>
      <c r="B277" s="69" t="s">
        <v>6</v>
      </c>
      <c r="C277" s="37" t="s">
        <v>802</v>
      </c>
      <c r="D277" s="30">
        <v>52576</v>
      </c>
      <c r="E277" s="30">
        <v>1597344.93</v>
      </c>
      <c r="F277" s="52">
        <v>2021</v>
      </c>
    </row>
    <row r="278" spans="1:6" s="9" customFormat="1" ht="20.399999999999999" customHeight="1" x14ac:dyDescent="0.35">
      <c r="A278" s="37" t="s">
        <v>346</v>
      </c>
      <c r="B278" s="69" t="s">
        <v>702</v>
      </c>
      <c r="C278" s="37" t="s">
        <v>800</v>
      </c>
      <c r="D278" s="30">
        <v>208942</v>
      </c>
      <c r="E278" s="30">
        <v>18354288</v>
      </c>
      <c r="F278" s="52">
        <v>2021</v>
      </c>
    </row>
    <row r="279" spans="1:6" s="9" customFormat="1" ht="20.399999999999999" customHeight="1" x14ac:dyDescent="0.35">
      <c r="A279" s="37" t="s">
        <v>346</v>
      </c>
      <c r="B279" s="69" t="s">
        <v>702</v>
      </c>
      <c r="C279" s="37" t="s">
        <v>797</v>
      </c>
      <c r="D279" s="30">
        <v>11207</v>
      </c>
      <c r="E279" s="30">
        <v>2378738</v>
      </c>
      <c r="F279" s="52">
        <v>2021</v>
      </c>
    </row>
    <row r="280" spans="1:6" s="9" customFormat="1" ht="20.399999999999999" customHeight="1" x14ac:dyDescent="0.35">
      <c r="A280" s="37" t="s">
        <v>346</v>
      </c>
      <c r="B280" s="69" t="s">
        <v>702</v>
      </c>
      <c r="C280" s="37" t="s">
        <v>798</v>
      </c>
      <c r="D280" s="30">
        <v>45</v>
      </c>
      <c r="E280" s="30">
        <v>9450</v>
      </c>
      <c r="F280" s="52">
        <v>2021</v>
      </c>
    </row>
    <row r="281" spans="1:6" s="9" customFormat="1" ht="20.399999999999999" customHeight="1" x14ac:dyDescent="0.35">
      <c r="A281" s="37" t="s">
        <v>346</v>
      </c>
      <c r="B281" s="69" t="s">
        <v>702</v>
      </c>
      <c r="C281" s="37" t="s">
        <v>801</v>
      </c>
      <c r="D281" s="30">
        <v>24</v>
      </c>
      <c r="E281" s="30">
        <v>5808</v>
      </c>
      <c r="F281" s="52">
        <v>2021</v>
      </c>
    </row>
    <row r="282" spans="1:6" s="9" customFormat="1" ht="20.399999999999999" customHeight="1" x14ac:dyDescent="0.35">
      <c r="A282" s="37" t="s">
        <v>346</v>
      </c>
      <c r="B282" s="69" t="s">
        <v>702</v>
      </c>
      <c r="C282" s="37" t="s">
        <v>803</v>
      </c>
      <c r="D282" s="30">
        <v>34930</v>
      </c>
      <c r="E282" s="30">
        <v>9588152</v>
      </c>
      <c r="F282" s="52">
        <v>2021</v>
      </c>
    </row>
    <row r="283" spans="1:6" s="9" customFormat="1" ht="20.399999999999999" hidden="1" customHeight="1" x14ac:dyDescent="0.35">
      <c r="A283" s="37" t="s">
        <v>346</v>
      </c>
      <c r="B283" s="69" t="s">
        <v>1599</v>
      </c>
      <c r="C283" s="37" t="s">
        <v>805</v>
      </c>
      <c r="D283" s="30">
        <v>4462</v>
      </c>
      <c r="E283" s="30">
        <v>2136176</v>
      </c>
      <c r="F283" s="52">
        <v>2021</v>
      </c>
    </row>
    <row r="284" spans="1:6" s="9" customFormat="1" ht="20.399999999999999" hidden="1" customHeight="1" x14ac:dyDescent="0.35">
      <c r="A284" s="37" t="s">
        <v>346</v>
      </c>
      <c r="B284" s="69" t="s">
        <v>1599</v>
      </c>
      <c r="C284" s="37" t="s">
        <v>802</v>
      </c>
      <c r="D284" s="30">
        <v>449962</v>
      </c>
      <c r="E284" s="30">
        <v>263836896</v>
      </c>
      <c r="F284" s="52">
        <v>2021</v>
      </c>
    </row>
    <row r="285" spans="1:6" s="9" customFormat="1" ht="20.399999999999999" hidden="1" customHeight="1" x14ac:dyDescent="0.35">
      <c r="A285" s="37" t="s">
        <v>346</v>
      </c>
      <c r="B285" s="69" t="s">
        <v>1599</v>
      </c>
      <c r="C285" s="37" t="s">
        <v>803</v>
      </c>
      <c r="D285" s="30">
        <v>43473</v>
      </c>
      <c r="E285" s="30">
        <v>25901182</v>
      </c>
      <c r="F285" s="52">
        <v>2021</v>
      </c>
    </row>
    <row r="286" spans="1:6" s="9" customFormat="1" ht="20.399999999999999" hidden="1" customHeight="1" x14ac:dyDescent="0.35">
      <c r="A286" s="37" t="s">
        <v>373</v>
      </c>
      <c r="B286" s="69" t="s">
        <v>18</v>
      </c>
      <c r="C286" s="37" t="s">
        <v>804</v>
      </c>
      <c r="D286" s="166">
        <v>3.9935</v>
      </c>
      <c r="E286" s="30">
        <v>123373492</v>
      </c>
      <c r="F286" s="52">
        <v>2021</v>
      </c>
    </row>
    <row r="287" spans="1:6" s="9" customFormat="1" ht="20.399999999999999" hidden="1" customHeight="1" x14ac:dyDescent="0.35">
      <c r="A287" s="37" t="s">
        <v>373</v>
      </c>
      <c r="B287" s="69" t="s">
        <v>709</v>
      </c>
      <c r="C287" s="37" t="s">
        <v>804</v>
      </c>
      <c r="D287" s="30">
        <v>0.28789999999999999</v>
      </c>
      <c r="E287" s="30">
        <v>129693</v>
      </c>
      <c r="F287" s="52">
        <v>2021</v>
      </c>
    </row>
    <row r="288" spans="1:6" s="9" customFormat="1" ht="20.399999999999999" hidden="1" customHeight="1" x14ac:dyDescent="0.35">
      <c r="A288" s="37" t="s">
        <v>374</v>
      </c>
      <c r="B288" s="69" t="s">
        <v>104</v>
      </c>
      <c r="C288" s="37" t="s">
        <v>805</v>
      </c>
      <c r="D288" s="30">
        <v>6181</v>
      </c>
      <c r="E288" s="30">
        <v>416709</v>
      </c>
      <c r="F288" s="52">
        <v>2021</v>
      </c>
    </row>
    <row r="289" spans="1:6" s="9" customFormat="1" ht="20.399999999999999" hidden="1" customHeight="1" x14ac:dyDescent="0.35">
      <c r="A289" s="37" t="s">
        <v>374</v>
      </c>
      <c r="B289" s="69" t="s">
        <v>104</v>
      </c>
      <c r="C289" s="37" t="s">
        <v>806</v>
      </c>
      <c r="D289" s="30">
        <v>32</v>
      </c>
      <c r="E289" s="30">
        <v>4896</v>
      </c>
      <c r="F289" s="52">
        <v>2021</v>
      </c>
    </row>
    <row r="290" spans="1:6" s="9" customFormat="1" ht="20.399999999999999" hidden="1" customHeight="1" x14ac:dyDescent="0.35">
      <c r="A290" s="37" t="s">
        <v>374</v>
      </c>
      <c r="B290" s="69" t="s">
        <v>104</v>
      </c>
      <c r="C290" s="37" t="s">
        <v>800</v>
      </c>
      <c r="D290" s="30">
        <v>7</v>
      </c>
      <c r="E290" s="30">
        <v>900</v>
      </c>
      <c r="F290" s="52">
        <v>2021</v>
      </c>
    </row>
    <row r="291" spans="1:6" s="9" customFormat="1" ht="20.399999999999999" hidden="1" customHeight="1" x14ac:dyDescent="0.35">
      <c r="A291" s="37" t="s">
        <v>376</v>
      </c>
      <c r="B291" s="69" t="s">
        <v>18</v>
      </c>
      <c r="C291" s="37" t="s">
        <v>832</v>
      </c>
      <c r="D291" s="166">
        <v>5.42</v>
      </c>
      <c r="E291" s="30">
        <v>176991434</v>
      </c>
      <c r="F291" s="52">
        <v>2021</v>
      </c>
    </row>
    <row r="292" spans="1:6" s="9" customFormat="1" ht="20.399999999999999" hidden="1" customHeight="1" x14ac:dyDescent="0.35">
      <c r="A292" s="37" t="s">
        <v>376</v>
      </c>
      <c r="B292" s="69" t="s">
        <v>18</v>
      </c>
      <c r="C292" s="37" t="s">
        <v>807</v>
      </c>
      <c r="D292" s="166">
        <v>4.09</v>
      </c>
      <c r="E292" s="30">
        <v>133917185</v>
      </c>
      <c r="F292" s="52">
        <v>2021</v>
      </c>
    </row>
    <row r="293" spans="1:6" s="9" customFormat="1" ht="20.399999999999999" hidden="1" customHeight="1" x14ac:dyDescent="0.35">
      <c r="A293" s="37" t="s">
        <v>376</v>
      </c>
      <c r="B293" s="69" t="s">
        <v>18</v>
      </c>
      <c r="C293" s="37" t="s">
        <v>803</v>
      </c>
      <c r="D293" s="166">
        <v>1.88</v>
      </c>
      <c r="E293" s="30">
        <v>60940508</v>
      </c>
      <c r="F293" s="52">
        <v>2021</v>
      </c>
    </row>
    <row r="294" spans="1:6" s="9" customFormat="1" ht="20.399999999999999" hidden="1" customHeight="1" x14ac:dyDescent="0.35">
      <c r="A294" s="37" t="s">
        <v>376</v>
      </c>
      <c r="B294" s="69" t="s">
        <v>18</v>
      </c>
      <c r="C294" s="37" t="s">
        <v>808</v>
      </c>
      <c r="D294" s="166">
        <v>0.49</v>
      </c>
      <c r="E294" s="30">
        <v>9844743</v>
      </c>
      <c r="F294" s="52">
        <v>2021</v>
      </c>
    </row>
    <row r="295" spans="1:6" s="9" customFormat="1" ht="20.399999999999999" hidden="1" customHeight="1" x14ac:dyDescent="0.35">
      <c r="A295" s="37" t="s">
        <v>376</v>
      </c>
      <c r="B295" s="69" t="s">
        <v>709</v>
      </c>
      <c r="C295" s="37" t="s">
        <v>832</v>
      </c>
      <c r="D295" s="30">
        <v>0.5</v>
      </c>
      <c r="E295" s="30">
        <v>208597</v>
      </c>
      <c r="F295" s="52">
        <v>2021</v>
      </c>
    </row>
    <row r="296" spans="1:6" s="9" customFormat="1" ht="20.399999999999999" hidden="1" customHeight="1" x14ac:dyDescent="0.35">
      <c r="A296" s="37" t="s">
        <v>376</v>
      </c>
      <c r="B296" s="69" t="s">
        <v>709</v>
      </c>
      <c r="C296" s="37" t="s">
        <v>803</v>
      </c>
      <c r="D296" s="30">
        <v>0.14000000000000001</v>
      </c>
      <c r="E296" s="30">
        <v>62161</v>
      </c>
      <c r="F296" s="52">
        <v>2021</v>
      </c>
    </row>
    <row r="297" spans="1:6" s="9" customFormat="1" ht="20.399999999999999" hidden="1" customHeight="1" x14ac:dyDescent="0.35">
      <c r="A297" s="37" t="s">
        <v>376</v>
      </c>
      <c r="B297" s="69" t="s">
        <v>709</v>
      </c>
      <c r="C297" s="37" t="s">
        <v>807</v>
      </c>
      <c r="D297" s="30">
        <v>0.39</v>
      </c>
      <c r="E297" s="30">
        <v>182303</v>
      </c>
      <c r="F297" s="52">
        <v>2021</v>
      </c>
    </row>
    <row r="298" spans="1:6" s="9" customFormat="1" ht="20.399999999999999" hidden="1" customHeight="1" x14ac:dyDescent="0.35">
      <c r="A298" s="37" t="s">
        <v>382</v>
      </c>
      <c r="B298" s="69" t="s">
        <v>104</v>
      </c>
      <c r="C298" s="37" t="s">
        <v>811</v>
      </c>
      <c r="D298" s="30">
        <v>5066.51</v>
      </c>
      <c r="E298" s="30">
        <v>178986.22899999999</v>
      </c>
      <c r="F298" s="52">
        <v>2021</v>
      </c>
    </row>
    <row r="299" spans="1:6" s="9" customFormat="1" ht="20.399999999999999" hidden="1" customHeight="1" x14ac:dyDescent="0.35">
      <c r="A299" s="37" t="s">
        <v>382</v>
      </c>
      <c r="B299" s="69" t="s">
        <v>710</v>
      </c>
      <c r="C299" s="37" t="s">
        <v>811</v>
      </c>
      <c r="D299" s="30">
        <v>15261.31</v>
      </c>
      <c r="E299" s="30">
        <v>125263.87699999999</v>
      </c>
      <c r="F299" s="52">
        <v>2021</v>
      </c>
    </row>
    <row r="300" spans="1:6" s="9" customFormat="1" ht="20.399999999999999" hidden="1" customHeight="1" x14ac:dyDescent="0.35">
      <c r="A300" s="37" t="s">
        <v>382</v>
      </c>
      <c r="B300" s="69" t="s">
        <v>104</v>
      </c>
      <c r="C300" s="37" t="s">
        <v>808</v>
      </c>
      <c r="D300" s="30">
        <v>4453.4799999999996</v>
      </c>
      <c r="E300" s="30">
        <v>141287</v>
      </c>
      <c r="F300" s="52">
        <v>2021</v>
      </c>
    </row>
    <row r="301" spans="1:6" s="9" customFormat="1" ht="20.399999999999999" hidden="1" customHeight="1" x14ac:dyDescent="0.35">
      <c r="A301" s="37" t="s">
        <v>106</v>
      </c>
      <c r="B301" s="69" t="s">
        <v>6</v>
      </c>
      <c r="C301" s="37" t="s">
        <v>812</v>
      </c>
      <c r="D301" s="30">
        <v>24929</v>
      </c>
      <c r="E301" s="30">
        <v>842275</v>
      </c>
      <c r="F301" s="52">
        <v>2021</v>
      </c>
    </row>
    <row r="302" spans="1:6" s="9" customFormat="1" ht="20.399999999999999" hidden="1" customHeight="1" x14ac:dyDescent="0.35">
      <c r="A302" s="37" t="s">
        <v>106</v>
      </c>
      <c r="B302" s="69" t="s">
        <v>6</v>
      </c>
      <c r="C302" s="37" t="s">
        <v>802</v>
      </c>
      <c r="D302" s="30">
        <v>65999</v>
      </c>
      <c r="E302" s="30">
        <v>2641247</v>
      </c>
      <c r="F302" s="52">
        <v>2021</v>
      </c>
    </row>
    <row r="303" spans="1:6" s="9" customFormat="1" ht="20.399999999999999" hidden="1" customHeight="1" x14ac:dyDescent="0.35">
      <c r="A303" s="37" t="s">
        <v>106</v>
      </c>
      <c r="B303" s="69" t="s">
        <v>6</v>
      </c>
      <c r="C303" s="37" t="s">
        <v>815</v>
      </c>
      <c r="D303" s="30">
        <v>1809</v>
      </c>
      <c r="E303" s="30">
        <v>101860</v>
      </c>
      <c r="F303" s="52">
        <v>2021</v>
      </c>
    </row>
    <row r="304" spans="1:6" s="9" customFormat="1" ht="20.399999999999999" hidden="1" customHeight="1" x14ac:dyDescent="0.35">
      <c r="A304" s="37" t="s">
        <v>106</v>
      </c>
      <c r="B304" s="69" t="s">
        <v>6</v>
      </c>
      <c r="C304" s="37" t="s">
        <v>814</v>
      </c>
      <c r="D304" s="30">
        <v>50</v>
      </c>
      <c r="E304" s="30">
        <v>5990</v>
      </c>
      <c r="F304" s="52">
        <v>2021</v>
      </c>
    </row>
    <row r="305" spans="1:6" s="9" customFormat="1" ht="20.399999999999999" hidden="1" customHeight="1" x14ac:dyDescent="0.35">
      <c r="A305" s="37" t="s">
        <v>106</v>
      </c>
      <c r="B305" s="69" t="s">
        <v>6</v>
      </c>
      <c r="C305" s="37" t="s">
        <v>833</v>
      </c>
      <c r="D305" s="30">
        <v>5500</v>
      </c>
      <c r="E305" s="30">
        <v>580051</v>
      </c>
      <c r="F305" s="52">
        <v>2021</v>
      </c>
    </row>
    <row r="306" spans="1:6" s="9" customFormat="1" ht="20.399999999999999" hidden="1" customHeight="1" x14ac:dyDescent="0.35">
      <c r="A306" s="37" t="s">
        <v>569</v>
      </c>
      <c r="B306" s="69" t="s">
        <v>6</v>
      </c>
      <c r="C306" s="69" t="s">
        <v>779</v>
      </c>
      <c r="D306" s="30">
        <v>178000</v>
      </c>
      <c r="E306" s="30">
        <v>7334738</v>
      </c>
      <c r="F306" s="52">
        <v>2021</v>
      </c>
    </row>
    <row r="307" spans="1:6" s="9" customFormat="1" ht="20.399999999999999" hidden="1" customHeight="1" x14ac:dyDescent="0.35">
      <c r="A307" s="37" t="s">
        <v>569</v>
      </c>
      <c r="B307" s="69" t="s">
        <v>6</v>
      </c>
      <c r="C307" s="37" t="s">
        <v>803</v>
      </c>
      <c r="D307" s="30">
        <v>234000</v>
      </c>
      <c r="E307" s="30">
        <v>10462469</v>
      </c>
      <c r="F307" s="52">
        <v>2021</v>
      </c>
    </row>
    <row r="308" spans="1:6" s="9" customFormat="1" ht="20.399999999999999" hidden="1" customHeight="1" x14ac:dyDescent="0.35">
      <c r="A308" s="37" t="s">
        <v>572</v>
      </c>
      <c r="B308" s="69" t="s">
        <v>104</v>
      </c>
      <c r="C308" s="37" t="s">
        <v>805</v>
      </c>
      <c r="D308" s="30">
        <v>62458.65</v>
      </c>
      <c r="E308" s="30">
        <v>2768796</v>
      </c>
      <c r="F308" s="52">
        <v>2021</v>
      </c>
    </row>
    <row r="309" spans="1:6" s="9" customFormat="1" ht="20.399999999999999" hidden="1" customHeight="1" x14ac:dyDescent="0.35">
      <c r="A309" s="37" t="s">
        <v>572</v>
      </c>
      <c r="B309" s="69" t="s">
        <v>104</v>
      </c>
      <c r="C309" s="37" t="s">
        <v>834</v>
      </c>
      <c r="D309" s="30">
        <v>43439.54</v>
      </c>
      <c r="E309" s="30">
        <v>1879936</v>
      </c>
      <c r="F309" s="52">
        <v>2021</v>
      </c>
    </row>
    <row r="310" spans="1:6" s="9" customFormat="1" ht="20.399999999999999" hidden="1" customHeight="1" x14ac:dyDescent="0.35">
      <c r="A310" s="37" t="s">
        <v>572</v>
      </c>
      <c r="B310" s="69" t="s">
        <v>104</v>
      </c>
      <c r="C310" s="37" t="s">
        <v>808</v>
      </c>
      <c r="D310" s="30">
        <v>60741.440000000002</v>
      </c>
      <c r="E310" s="30">
        <v>2691172</v>
      </c>
      <c r="F310" s="52">
        <v>2021</v>
      </c>
    </row>
    <row r="311" spans="1:6" s="9" customFormat="1" ht="20.399999999999999" hidden="1" customHeight="1" x14ac:dyDescent="0.35">
      <c r="A311" s="37" t="s">
        <v>603</v>
      </c>
      <c r="B311" s="69" t="s">
        <v>64</v>
      </c>
      <c r="C311" s="37" t="s">
        <v>797</v>
      </c>
      <c r="D311" s="30">
        <v>8030</v>
      </c>
      <c r="E311" s="30">
        <v>73700</v>
      </c>
      <c r="F311" s="52">
        <v>2021</v>
      </c>
    </row>
    <row r="312" spans="1:6" s="9" customFormat="1" ht="20.399999999999999" hidden="1" customHeight="1" x14ac:dyDescent="0.35">
      <c r="A312" s="37" t="s">
        <v>522</v>
      </c>
      <c r="B312" s="69" t="s">
        <v>706</v>
      </c>
      <c r="C312" s="37" t="s">
        <v>804</v>
      </c>
      <c r="D312" s="30">
        <v>2309.6159999999995</v>
      </c>
      <c r="E312" s="30">
        <v>2001126.4685800003</v>
      </c>
      <c r="F312" s="52">
        <v>2021</v>
      </c>
    </row>
    <row r="313" spans="1:6" s="9" customFormat="1" ht="20.399999999999999" hidden="1" customHeight="1" x14ac:dyDescent="0.35">
      <c r="A313" s="37" t="s">
        <v>522</v>
      </c>
      <c r="B313" s="69" t="s">
        <v>706</v>
      </c>
      <c r="C313" s="16" t="s">
        <v>835</v>
      </c>
      <c r="D313" s="30">
        <v>619.26800000000003</v>
      </c>
      <c r="E313" s="30">
        <v>558707.98763999995</v>
      </c>
      <c r="F313" s="52">
        <v>2021</v>
      </c>
    </row>
    <row r="314" spans="1:6" s="9" customFormat="1" ht="20.399999999999999" hidden="1" customHeight="1" x14ac:dyDescent="0.35">
      <c r="A314" s="37" t="s">
        <v>522</v>
      </c>
      <c r="B314" s="69" t="s">
        <v>706</v>
      </c>
      <c r="C314" s="37" t="s">
        <v>824</v>
      </c>
      <c r="D314" s="30">
        <v>35558.684199999996</v>
      </c>
      <c r="E314" s="30">
        <v>14902128.235380001</v>
      </c>
      <c r="F314" s="52">
        <v>2021</v>
      </c>
    </row>
    <row r="315" spans="1:6" s="9" customFormat="1" ht="20.399999999999999" hidden="1" customHeight="1" x14ac:dyDescent="0.35">
      <c r="A315" s="37" t="s">
        <v>522</v>
      </c>
      <c r="B315" s="69" t="s">
        <v>706</v>
      </c>
      <c r="C315" s="37" t="s">
        <v>808</v>
      </c>
      <c r="D315" s="30">
        <v>300.08499999999998</v>
      </c>
      <c r="E315" s="30">
        <v>351597.18469000002</v>
      </c>
      <c r="F315" s="52">
        <v>2021</v>
      </c>
    </row>
    <row r="316" spans="1:6" s="9" customFormat="1" ht="20.399999999999999" hidden="1" customHeight="1" x14ac:dyDescent="0.35">
      <c r="A316" s="37" t="s">
        <v>522</v>
      </c>
      <c r="B316" s="69" t="s">
        <v>706</v>
      </c>
      <c r="C316" s="16" t="s">
        <v>805</v>
      </c>
      <c r="D316" s="30">
        <v>1119.3595</v>
      </c>
      <c r="E316" s="30">
        <v>1109867.79715</v>
      </c>
      <c r="F316" s="52">
        <v>2021</v>
      </c>
    </row>
    <row r="317" spans="1:6" s="9" customFormat="1" ht="20.399999999999999" hidden="1" customHeight="1" x14ac:dyDescent="0.35">
      <c r="A317" s="37" t="s">
        <v>522</v>
      </c>
      <c r="B317" s="69" t="s">
        <v>706</v>
      </c>
      <c r="C317" s="37" t="s">
        <v>808</v>
      </c>
      <c r="D317" s="30">
        <v>6480.8940999999968</v>
      </c>
      <c r="E317" s="30">
        <v>5557799.0921600042</v>
      </c>
      <c r="F317" s="52">
        <v>2021</v>
      </c>
    </row>
    <row r="318" spans="1:6" s="9" customFormat="1" ht="20.399999999999999" hidden="1" customHeight="1" x14ac:dyDescent="0.35">
      <c r="A318" s="37" t="s">
        <v>522</v>
      </c>
      <c r="B318" s="69" t="s">
        <v>706</v>
      </c>
      <c r="C318" s="37" t="s">
        <v>802</v>
      </c>
      <c r="D318" s="30">
        <v>1039.0385000000001</v>
      </c>
      <c r="E318" s="30">
        <v>1042153.1654000002</v>
      </c>
      <c r="F318" s="52">
        <v>2021</v>
      </c>
    </row>
    <row r="319" spans="1:6" s="9" customFormat="1" ht="20.399999999999999" hidden="1" customHeight="1" x14ac:dyDescent="0.35">
      <c r="A319" s="37" t="s">
        <v>522</v>
      </c>
      <c r="B319" s="69" t="s">
        <v>706</v>
      </c>
      <c r="C319" s="16" t="s">
        <v>826</v>
      </c>
      <c r="D319" s="30">
        <v>2885.9524999999999</v>
      </c>
      <c r="E319" s="30">
        <v>2717676.9518199302</v>
      </c>
      <c r="F319" s="52">
        <v>2021</v>
      </c>
    </row>
    <row r="320" spans="1:6" s="9" customFormat="1" ht="20.399999999999999" hidden="1" customHeight="1" x14ac:dyDescent="0.35">
      <c r="A320" s="37" t="s">
        <v>522</v>
      </c>
      <c r="B320" s="69" t="s">
        <v>706</v>
      </c>
      <c r="C320" s="16" t="s">
        <v>836</v>
      </c>
      <c r="D320" s="30">
        <v>2879.1080000000002</v>
      </c>
      <c r="E320" s="30">
        <v>2758103.0019700001</v>
      </c>
      <c r="F320" s="52">
        <v>2021</v>
      </c>
    </row>
    <row r="321" spans="1:6" s="9" customFormat="1" ht="20.399999999999999" hidden="1" customHeight="1" x14ac:dyDescent="0.35">
      <c r="A321" s="37" t="s">
        <v>522</v>
      </c>
      <c r="B321" s="69" t="s">
        <v>706</v>
      </c>
      <c r="C321" s="16" t="s">
        <v>822</v>
      </c>
      <c r="D321" s="30">
        <v>2775.441600000001</v>
      </c>
      <c r="E321" s="30">
        <v>2344653.1494401768</v>
      </c>
      <c r="F321" s="52">
        <v>2021</v>
      </c>
    </row>
    <row r="322" spans="1:6" s="9" customFormat="1" ht="20.399999999999999" hidden="1" customHeight="1" x14ac:dyDescent="0.35">
      <c r="A322" s="37" t="s">
        <v>522</v>
      </c>
      <c r="B322" s="69" t="s">
        <v>706</v>
      </c>
      <c r="C322" s="37" t="s">
        <v>834</v>
      </c>
      <c r="D322" s="30">
        <v>2577.6365500000006</v>
      </c>
      <c r="E322" s="30">
        <v>2281101.95169</v>
      </c>
      <c r="F322" s="52">
        <v>2021</v>
      </c>
    </row>
    <row r="323" spans="1:6" s="9" customFormat="1" ht="20.399999999999999" hidden="1" customHeight="1" x14ac:dyDescent="0.35">
      <c r="A323" s="37" t="s">
        <v>522</v>
      </c>
      <c r="B323" s="69" t="s">
        <v>706</v>
      </c>
      <c r="C323" s="16" t="s">
        <v>836</v>
      </c>
      <c r="D323" s="30">
        <v>120.10900000000001</v>
      </c>
      <c r="E323" s="30">
        <v>120119.87887999999</v>
      </c>
      <c r="F323" s="52">
        <v>2021</v>
      </c>
    </row>
    <row r="324" spans="1:6" s="9" customFormat="1" ht="20.399999999999999" hidden="1" customHeight="1" x14ac:dyDescent="0.35">
      <c r="A324" s="37" t="s">
        <v>522</v>
      </c>
      <c r="B324" s="69" t="s">
        <v>706</v>
      </c>
      <c r="C324" s="16" t="s">
        <v>831</v>
      </c>
      <c r="D324" s="30">
        <v>60.036000000000001</v>
      </c>
      <c r="E324" s="30">
        <v>80951.319439999992</v>
      </c>
      <c r="F324" s="52">
        <v>2021</v>
      </c>
    </row>
    <row r="325" spans="1:6" s="9" customFormat="1" ht="20.399999999999999" hidden="1" customHeight="1" x14ac:dyDescent="0.35">
      <c r="A325" s="37" t="s">
        <v>522</v>
      </c>
      <c r="B325" s="69" t="s">
        <v>706</v>
      </c>
      <c r="C325" s="16" t="s">
        <v>812</v>
      </c>
      <c r="D325" s="30">
        <v>20863.316770000005</v>
      </c>
      <c r="E325" s="30">
        <v>16640765.66472717</v>
      </c>
      <c r="F325" s="52">
        <v>2021</v>
      </c>
    </row>
    <row r="326" spans="1:6" s="9" customFormat="1" ht="20.399999999999999" hidden="1" customHeight="1" x14ac:dyDescent="0.35">
      <c r="A326" s="37" t="s">
        <v>522</v>
      </c>
      <c r="B326" s="69" t="s">
        <v>706</v>
      </c>
      <c r="C326" s="16" t="s">
        <v>820</v>
      </c>
      <c r="D326" s="30">
        <v>2159.0410000000002</v>
      </c>
      <c r="E326" s="30">
        <v>1757209.8294445737</v>
      </c>
      <c r="F326" s="52">
        <v>2021</v>
      </c>
    </row>
    <row r="327" spans="1:6" s="9" customFormat="1" ht="20.399999999999999" hidden="1" customHeight="1" x14ac:dyDescent="0.35">
      <c r="A327" s="37" t="s">
        <v>522</v>
      </c>
      <c r="B327" s="69" t="s">
        <v>706</v>
      </c>
      <c r="C327" s="16" t="s">
        <v>837</v>
      </c>
      <c r="D327" s="30">
        <v>8451.1457499999997</v>
      </c>
      <c r="E327" s="30">
        <v>7518645.6232700003</v>
      </c>
      <c r="F327" s="52">
        <v>2021</v>
      </c>
    </row>
    <row r="328" spans="1:6" s="9" customFormat="1" ht="20.399999999999999" hidden="1" customHeight="1" x14ac:dyDescent="0.35">
      <c r="A328" s="37" t="s">
        <v>522</v>
      </c>
      <c r="B328" s="69" t="s">
        <v>707</v>
      </c>
      <c r="C328" s="37" t="s">
        <v>824</v>
      </c>
      <c r="D328" s="30">
        <v>340</v>
      </c>
      <c r="E328" s="30">
        <v>305068.61152000003</v>
      </c>
      <c r="F328" s="52">
        <v>2021</v>
      </c>
    </row>
    <row r="329" spans="1:6" s="9" customFormat="1" ht="20.399999999999999" hidden="1" customHeight="1" x14ac:dyDescent="0.35">
      <c r="A329" s="37" t="s">
        <v>522</v>
      </c>
      <c r="B329" s="69" t="s">
        <v>707</v>
      </c>
      <c r="C329" s="16" t="s">
        <v>818</v>
      </c>
      <c r="D329" s="30">
        <v>180</v>
      </c>
      <c r="E329" s="30">
        <v>148071.38271999999</v>
      </c>
      <c r="F329" s="52">
        <v>2021</v>
      </c>
    </row>
    <row r="330" spans="1:6" s="9" customFormat="1" ht="20.399999999999999" hidden="1" customHeight="1" x14ac:dyDescent="0.35">
      <c r="A330" s="37" t="s">
        <v>522</v>
      </c>
      <c r="B330" s="69" t="s">
        <v>707</v>
      </c>
      <c r="C330" s="37" t="s">
        <v>808</v>
      </c>
      <c r="D330" s="30">
        <v>400</v>
      </c>
      <c r="E330" s="30">
        <v>328109.07499999995</v>
      </c>
      <c r="F330" s="52">
        <v>2021</v>
      </c>
    </row>
    <row r="331" spans="1:6" s="9" customFormat="1" ht="20.399999999999999" hidden="1" customHeight="1" x14ac:dyDescent="0.35">
      <c r="A331" s="37" t="s">
        <v>522</v>
      </c>
      <c r="B331" s="69" t="s">
        <v>707</v>
      </c>
      <c r="C331" s="37" t="s">
        <v>808</v>
      </c>
      <c r="D331" s="30">
        <v>22</v>
      </c>
      <c r="E331" s="30">
        <v>17871.617830000003</v>
      </c>
      <c r="F331" s="52">
        <v>2021</v>
      </c>
    </row>
    <row r="332" spans="1:6" s="9" customFormat="1" ht="20.399999999999999" hidden="1" customHeight="1" x14ac:dyDescent="0.35">
      <c r="A332" s="37" t="s">
        <v>522</v>
      </c>
      <c r="B332" s="69" t="s">
        <v>707</v>
      </c>
      <c r="C332" s="16" t="s">
        <v>827</v>
      </c>
      <c r="D332" s="30">
        <v>760</v>
      </c>
      <c r="E332" s="30">
        <v>602427.69201</v>
      </c>
      <c r="F332" s="52">
        <v>2021</v>
      </c>
    </row>
    <row r="333" spans="1:6" s="9" customFormat="1" ht="20.399999999999999" hidden="1" customHeight="1" x14ac:dyDescent="0.35">
      <c r="A333" s="37" t="s">
        <v>522</v>
      </c>
      <c r="B333" s="69" t="s">
        <v>707</v>
      </c>
      <c r="C333" s="37" t="s">
        <v>834</v>
      </c>
      <c r="D333" s="30">
        <v>40</v>
      </c>
      <c r="E333" s="30">
        <v>36020.011119999996</v>
      </c>
      <c r="F333" s="52">
        <v>2021</v>
      </c>
    </row>
    <row r="334" spans="1:6" s="9" customFormat="1" ht="20.399999999999999" hidden="1" customHeight="1" x14ac:dyDescent="0.35">
      <c r="A334" s="37" t="s">
        <v>522</v>
      </c>
      <c r="B334" s="69" t="s">
        <v>707</v>
      </c>
      <c r="C334" s="16" t="s">
        <v>838</v>
      </c>
      <c r="D334" s="30">
        <v>2420</v>
      </c>
      <c r="E334" s="30">
        <v>1963190.0984000005</v>
      </c>
      <c r="F334" s="52">
        <v>2021</v>
      </c>
    </row>
    <row r="335" spans="1:6" s="9" customFormat="1" ht="20.399999999999999" hidden="1" customHeight="1" x14ac:dyDescent="0.35">
      <c r="A335" s="37" t="s">
        <v>522</v>
      </c>
      <c r="B335" s="69" t="s">
        <v>707</v>
      </c>
      <c r="C335" s="16" t="s">
        <v>812</v>
      </c>
      <c r="D335" s="30">
        <v>220</v>
      </c>
      <c r="E335" s="30">
        <v>155358.53165999998</v>
      </c>
      <c r="F335" s="52">
        <v>2021</v>
      </c>
    </row>
    <row r="336" spans="1:6" s="9" customFormat="1" ht="20.399999999999999" hidden="1" customHeight="1" x14ac:dyDescent="0.35">
      <c r="A336" s="37" t="s">
        <v>522</v>
      </c>
      <c r="B336" s="69" t="s">
        <v>707</v>
      </c>
      <c r="C336" s="16" t="s">
        <v>839</v>
      </c>
      <c r="D336" s="30">
        <v>80</v>
      </c>
      <c r="E336" s="30">
        <v>73560.967730000004</v>
      </c>
      <c r="F336" s="52">
        <v>2021</v>
      </c>
    </row>
    <row r="337" spans="1:6" s="9" customFormat="1" ht="20.399999999999999" hidden="1" customHeight="1" x14ac:dyDescent="0.35">
      <c r="A337" s="37" t="s">
        <v>522</v>
      </c>
      <c r="B337" s="69" t="s">
        <v>699</v>
      </c>
      <c r="C337" s="37" t="s">
        <v>824</v>
      </c>
      <c r="D337" s="30">
        <v>81105.237000000008</v>
      </c>
      <c r="E337" s="30">
        <v>17959737.220410001</v>
      </c>
      <c r="F337" s="52">
        <v>2021</v>
      </c>
    </row>
    <row r="338" spans="1:6" s="9" customFormat="1" ht="20.399999999999999" hidden="1" customHeight="1" x14ac:dyDescent="0.35">
      <c r="A338" s="37" t="s">
        <v>522</v>
      </c>
      <c r="B338" s="69" t="s">
        <v>699</v>
      </c>
      <c r="C338" s="16" t="s">
        <v>827</v>
      </c>
      <c r="D338" s="30">
        <v>0</v>
      </c>
      <c r="E338" s="30">
        <v>1429.38822</v>
      </c>
      <c r="F338" s="52">
        <v>2021</v>
      </c>
    </row>
    <row r="339" spans="1:6" s="9" customFormat="1" ht="20.399999999999999" hidden="1" customHeight="1" x14ac:dyDescent="0.35">
      <c r="A339" s="37" t="s">
        <v>522</v>
      </c>
      <c r="B339" s="69" t="s">
        <v>699</v>
      </c>
      <c r="C339" s="16" t="s">
        <v>822</v>
      </c>
      <c r="D339" s="30">
        <v>17009.466</v>
      </c>
      <c r="E339" s="30">
        <v>2156851.5554400003</v>
      </c>
      <c r="F339" s="52">
        <v>2021</v>
      </c>
    </row>
    <row r="340" spans="1:6" s="9" customFormat="1" ht="20.399999999999999" hidden="1" customHeight="1" x14ac:dyDescent="0.35">
      <c r="A340" s="37" t="s">
        <v>522</v>
      </c>
      <c r="B340" s="69" t="s">
        <v>699</v>
      </c>
      <c r="C340" s="16" t="s">
        <v>836</v>
      </c>
      <c r="D340" s="30">
        <v>324075.29599999991</v>
      </c>
      <c r="E340" s="30">
        <v>39921467.48189</v>
      </c>
      <c r="F340" s="52">
        <v>2021</v>
      </c>
    </row>
    <row r="341" spans="1:6" s="9" customFormat="1" ht="20.399999999999999" hidden="1" customHeight="1" x14ac:dyDescent="0.35">
      <c r="A341" s="37" t="s">
        <v>522</v>
      </c>
      <c r="B341" s="69" t="s">
        <v>699</v>
      </c>
      <c r="C341" s="16" t="s">
        <v>838</v>
      </c>
      <c r="D341" s="30">
        <v>60</v>
      </c>
      <c r="E341" s="30">
        <v>24055.113090000003</v>
      </c>
      <c r="F341" s="52">
        <v>2021</v>
      </c>
    </row>
    <row r="342" spans="1:6" s="9" customFormat="1" ht="20.399999999999999" hidden="1" customHeight="1" x14ac:dyDescent="0.35">
      <c r="A342" s="37" t="s">
        <v>522</v>
      </c>
      <c r="B342" s="69" t="s">
        <v>699</v>
      </c>
      <c r="C342" s="16" t="s">
        <v>837</v>
      </c>
      <c r="D342" s="30">
        <v>134155.91899999999</v>
      </c>
      <c r="E342" s="30">
        <v>18572613.619449995</v>
      </c>
      <c r="F342" s="52">
        <v>2021</v>
      </c>
    </row>
    <row r="343" spans="1:6" s="9" customFormat="1" ht="20.399999999999999" hidden="1" customHeight="1" x14ac:dyDescent="0.35">
      <c r="A343" s="37" t="s">
        <v>522</v>
      </c>
      <c r="B343" s="69" t="s">
        <v>701</v>
      </c>
      <c r="C343" s="37" t="s">
        <v>824</v>
      </c>
      <c r="D343" s="30">
        <v>1680</v>
      </c>
      <c r="E343" s="30">
        <v>824410.01839999983</v>
      </c>
      <c r="F343" s="52">
        <v>2021</v>
      </c>
    </row>
    <row r="344" spans="1:6" s="9" customFormat="1" ht="20.399999999999999" hidden="1" customHeight="1" x14ac:dyDescent="0.35">
      <c r="A344" s="37" t="s">
        <v>522</v>
      </c>
      <c r="B344" s="69" t="s">
        <v>701</v>
      </c>
      <c r="C344" s="16" t="s">
        <v>818</v>
      </c>
      <c r="D344" s="30">
        <v>1740</v>
      </c>
      <c r="E344" s="30">
        <v>867223.27763999975</v>
      </c>
      <c r="F344" s="52">
        <v>2021</v>
      </c>
    </row>
    <row r="345" spans="1:6" s="9" customFormat="1" ht="20.399999999999999" hidden="1" customHeight="1" x14ac:dyDescent="0.35">
      <c r="A345" s="37" t="s">
        <v>522</v>
      </c>
      <c r="B345" s="69" t="s">
        <v>701</v>
      </c>
      <c r="C345" s="37" t="s">
        <v>808</v>
      </c>
      <c r="D345" s="30">
        <v>580</v>
      </c>
      <c r="E345" s="30">
        <v>304557.73035999999</v>
      </c>
      <c r="F345" s="52">
        <v>2021</v>
      </c>
    </row>
    <row r="346" spans="1:6" s="9" customFormat="1" ht="20.399999999999999" hidden="1" customHeight="1" x14ac:dyDescent="0.35">
      <c r="A346" s="37" t="s">
        <v>522</v>
      </c>
      <c r="B346" s="69" t="s">
        <v>701</v>
      </c>
      <c r="C346" s="37" t="s">
        <v>808</v>
      </c>
      <c r="D346" s="30">
        <v>20</v>
      </c>
      <c r="E346" s="30">
        <v>11875.693670000001</v>
      </c>
      <c r="F346" s="52">
        <v>2021</v>
      </c>
    </row>
    <row r="347" spans="1:6" s="9" customFormat="1" ht="20.399999999999999" hidden="1" customHeight="1" x14ac:dyDescent="0.35">
      <c r="A347" s="37" t="s">
        <v>522</v>
      </c>
      <c r="B347" s="69" t="s">
        <v>701</v>
      </c>
      <c r="C347" s="16" t="s">
        <v>827</v>
      </c>
      <c r="D347" s="30">
        <v>260</v>
      </c>
      <c r="E347" s="30">
        <v>139195.75154</v>
      </c>
      <c r="F347" s="52">
        <v>2021</v>
      </c>
    </row>
    <row r="348" spans="1:6" s="9" customFormat="1" ht="20.399999999999999" hidden="1" customHeight="1" x14ac:dyDescent="0.35">
      <c r="A348" s="37" t="s">
        <v>522</v>
      </c>
      <c r="B348" s="69" t="s">
        <v>701</v>
      </c>
      <c r="C348" s="37" t="s">
        <v>834</v>
      </c>
      <c r="D348" s="30">
        <v>840</v>
      </c>
      <c r="E348" s="30">
        <v>491357.26504999993</v>
      </c>
      <c r="F348" s="52">
        <v>2021</v>
      </c>
    </row>
    <row r="349" spans="1:6" s="9" customFormat="1" ht="20.399999999999999" hidden="1" customHeight="1" x14ac:dyDescent="0.35">
      <c r="A349" s="37" t="s">
        <v>522</v>
      </c>
      <c r="B349" s="69" t="s">
        <v>701</v>
      </c>
      <c r="C349" s="16" t="s">
        <v>840</v>
      </c>
      <c r="D349" s="30">
        <v>40</v>
      </c>
      <c r="E349" s="30">
        <v>27335.64014</v>
      </c>
      <c r="F349" s="52">
        <v>2021</v>
      </c>
    </row>
    <row r="350" spans="1:6" s="9" customFormat="1" ht="20.399999999999999" hidden="1" customHeight="1" x14ac:dyDescent="0.35">
      <c r="A350" s="37" t="s">
        <v>522</v>
      </c>
      <c r="B350" s="69" t="s">
        <v>701</v>
      </c>
      <c r="C350" s="16" t="s">
        <v>831</v>
      </c>
      <c r="D350" s="30">
        <v>460</v>
      </c>
      <c r="E350" s="30">
        <v>246666.86753999998</v>
      </c>
      <c r="F350" s="52">
        <v>2021</v>
      </c>
    </row>
    <row r="351" spans="1:6" s="9" customFormat="1" ht="20.399999999999999" hidden="1" customHeight="1" x14ac:dyDescent="0.35">
      <c r="A351" s="37" t="s">
        <v>522</v>
      </c>
      <c r="B351" s="69" t="s">
        <v>701</v>
      </c>
      <c r="C351" s="16" t="s">
        <v>838</v>
      </c>
      <c r="D351" s="30">
        <v>1340</v>
      </c>
      <c r="E351" s="30">
        <v>683278.77962000016</v>
      </c>
      <c r="F351" s="52">
        <v>2021</v>
      </c>
    </row>
    <row r="352" spans="1:6" s="9" customFormat="1" ht="20.399999999999999" hidden="1" customHeight="1" x14ac:dyDescent="0.35">
      <c r="A352" s="71" t="s">
        <v>841</v>
      </c>
      <c r="B352" s="69" t="s">
        <v>1586</v>
      </c>
      <c r="C352" s="71" t="s">
        <v>800</v>
      </c>
      <c r="D352" s="50">
        <v>341082.58</v>
      </c>
      <c r="E352" s="50">
        <v>8910597</v>
      </c>
      <c r="F352" s="52">
        <v>2021</v>
      </c>
    </row>
    <row r="353" spans="1:6" s="9" customFormat="1" ht="20.399999999999999" hidden="1" customHeight="1" x14ac:dyDescent="0.35">
      <c r="A353" s="71" t="s">
        <v>841</v>
      </c>
      <c r="B353" s="69" t="s">
        <v>698</v>
      </c>
      <c r="C353" s="71" t="s">
        <v>800</v>
      </c>
      <c r="D353" s="50">
        <v>287290.23999999999</v>
      </c>
      <c r="E353" s="50">
        <v>11860404</v>
      </c>
      <c r="F353" s="52">
        <v>2021</v>
      </c>
    </row>
    <row r="354" spans="1:6" s="9" customFormat="1" ht="20.399999999999999" hidden="1" customHeight="1" x14ac:dyDescent="0.35">
      <c r="A354" s="71" t="s">
        <v>841</v>
      </c>
      <c r="B354" s="69" t="s">
        <v>698</v>
      </c>
      <c r="C354" s="71" t="s">
        <v>799</v>
      </c>
      <c r="D354" s="50">
        <v>1395.3</v>
      </c>
      <c r="E354" s="50">
        <v>74945</v>
      </c>
      <c r="F354" s="52">
        <v>2021</v>
      </c>
    </row>
    <row r="355" spans="1:6" s="9" customFormat="1" ht="20.399999999999999" hidden="1" customHeight="1" x14ac:dyDescent="0.35">
      <c r="A355" s="71" t="s">
        <v>841</v>
      </c>
      <c r="B355" s="69" t="s">
        <v>698</v>
      </c>
      <c r="C355" s="71" t="s">
        <v>797</v>
      </c>
      <c r="D355" s="50">
        <v>82744.429999999993</v>
      </c>
      <c r="E355" s="50">
        <v>3315486</v>
      </c>
      <c r="F355" s="52">
        <v>2021</v>
      </c>
    </row>
    <row r="356" spans="1:6" s="9" customFormat="1" ht="20.399999999999999" hidden="1" customHeight="1" x14ac:dyDescent="0.35">
      <c r="A356" s="71" t="s">
        <v>841</v>
      </c>
      <c r="B356" s="69" t="s">
        <v>698</v>
      </c>
      <c r="C356" s="71" t="s">
        <v>798</v>
      </c>
      <c r="D356" s="50">
        <v>83</v>
      </c>
      <c r="E356" s="50">
        <v>3320</v>
      </c>
      <c r="F356" s="52">
        <v>2021</v>
      </c>
    </row>
    <row r="357" spans="1:6" s="9" customFormat="1" ht="20.399999999999999" hidden="1" customHeight="1" x14ac:dyDescent="0.35">
      <c r="A357" s="71" t="s">
        <v>841</v>
      </c>
      <c r="B357" s="69" t="s">
        <v>698</v>
      </c>
      <c r="C357" s="71" t="s">
        <v>801</v>
      </c>
      <c r="D357" s="50">
        <v>6359.35</v>
      </c>
      <c r="E357" s="50">
        <v>249126</v>
      </c>
      <c r="F357" s="52">
        <v>2021</v>
      </c>
    </row>
    <row r="358" spans="1:6" s="9" customFormat="1" ht="20.399999999999999" hidden="1" customHeight="1" x14ac:dyDescent="0.35">
      <c r="A358" s="19" t="s">
        <v>285</v>
      </c>
      <c r="B358" s="69" t="s">
        <v>6</v>
      </c>
      <c r="C358" s="65" t="s">
        <v>802</v>
      </c>
      <c r="D358" s="20">
        <v>23001</v>
      </c>
      <c r="E358" s="20">
        <v>1023137</v>
      </c>
      <c r="F358" s="52">
        <v>2022</v>
      </c>
    </row>
    <row r="359" spans="1:6" s="9" customFormat="1" ht="20.399999999999999" hidden="1" customHeight="1" x14ac:dyDescent="0.35">
      <c r="A359" s="19" t="s">
        <v>285</v>
      </c>
      <c r="B359" s="69" t="s">
        <v>6</v>
      </c>
      <c r="C359" s="65" t="s">
        <v>802</v>
      </c>
      <c r="D359" s="20">
        <v>26105</v>
      </c>
      <c r="E359" s="20">
        <v>1460215</v>
      </c>
      <c r="F359" s="52">
        <v>2022</v>
      </c>
    </row>
    <row r="360" spans="1:6" s="9" customFormat="1" ht="20.399999999999999" hidden="1" customHeight="1" x14ac:dyDescent="0.35">
      <c r="A360" s="17" t="s">
        <v>300</v>
      </c>
      <c r="B360" s="69" t="s">
        <v>698</v>
      </c>
      <c r="C360" s="65" t="s">
        <v>842</v>
      </c>
      <c r="D360" s="20">
        <v>400</v>
      </c>
      <c r="E360" s="20">
        <v>18200</v>
      </c>
      <c r="F360" s="52">
        <v>2022</v>
      </c>
    </row>
    <row r="361" spans="1:6" s="9" customFormat="1" ht="20.399999999999999" hidden="1" customHeight="1" x14ac:dyDescent="0.35">
      <c r="A361" s="17" t="s">
        <v>300</v>
      </c>
      <c r="B361" s="69" t="s">
        <v>698</v>
      </c>
      <c r="C361" s="65" t="s">
        <v>797</v>
      </c>
      <c r="D361" s="20">
        <v>485904</v>
      </c>
      <c r="E361" s="20">
        <v>21800120</v>
      </c>
      <c r="F361" s="52">
        <v>2022</v>
      </c>
    </row>
    <row r="362" spans="1:6" s="9" customFormat="1" ht="20.399999999999999" hidden="1" customHeight="1" x14ac:dyDescent="0.35">
      <c r="A362" s="17" t="s">
        <v>300</v>
      </c>
      <c r="B362" s="69" t="s">
        <v>698</v>
      </c>
      <c r="C362" s="65" t="s">
        <v>798</v>
      </c>
      <c r="D362" s="20">
        <v>110</v>
      </c>
      <c r="E362" s="20">
        <v>4785</v>
      </c>
      <c r="F362" s="52">
        <v>2022</v>
      </c>
    </row>
    <row r="363" spans="1:6" s="9" customFormat="1" ht="20.399999999999999" hidden="1" customHeight="1" x14ac:dyDescent="0.35">
      <c r="A363" s="17" t="s">
        <v>300</v>
      </c>
      <c r="B363" s="69" t="s">
        <v>698</v>
      </c>
      <c r="C363" s="65" t="s">
        <v>799</v>
      </c>
      <c r="D363" s="20">
        <v>2930</v>
      </c>
      <c r="E363" s="20">
        <v>134463</v>
      </c>
      <c r="F363" s="52">
        <v>2022</v>
      </c>
    </row>
    <row r="364" spans="1:6" s="9" customFormat="1" ht="20.399999999999999" hidden="1" customHeight="1" x14ac:dyDescent="0.35">
      <c r="A364" s="17" t="s">
        <v>300</v>
      </c>
      <c r="B364" s="69" t="s">
        <v>698</v>
      </c>
      <c r="C364" s="65" t="s">
        <v>800</v>
      </c>
      <c r="D364" s="20">
        <v>586238</v>
      </c>
      <c r="E364" s="20">
        <v>27805009</v>
      </c>
      <c r="F364" s="52">
        <v>2022</v>
      </c>
    </row>
    <row r="365" spans="1:6" s="9" customFormat="1" ht="20.399999999999999" hidden="1" customHeight="1" x14ac:dyDescent="0.35">
      <c r="A365" s="17" t="s">
        <v>300</v>
      </c>
      <c r="B365" s="69" t="s">
        <v>698</v>
      </c>
      <c r="C365" s="65" t="s">
        <v>801</v>
      </c>
      <c r="D365" s="20">
        <v>36830</v>
      </c>
      <c r="E365" s="20">
        <v>1572723</v>
      </c>
      <c r="F365" s="52">
        <v>2022</v>
      </c>
    </row>
    <row r="366" spans="1:6" s="9" customFormat="1" ht="20.399999999999999" hidden="1" customHeight="1" x14ac:dyDescent="0.35">
      <c r="A366" s="17" t="s">
        <v>422</v>
      </c>
      <c r="B366" s="69" t="s">
        <v>64</v>
      </c>
      <c r="C366" s="65" t="s">
        <v>797</v>
      </c>
      <c r="D366" s="20">
        <v>47949.86</v>
      </c>
      <c r="E366" s="20">
        <v>390487.02299999999</v>
      </c>
      <c r="F366" s="52">
        <v>2022</v>
      </c>
    </row>
    <row r="367" spans="1:6" s="9" customFormat="1" ht="20.399999999999999" hidden="1" customHeight="1" x14ac:dyDescent="0.35">
      <c r="A367" s="17" t="s">
        <v>317</v>
      </c>
      <c r="B367" s="69" t="s">
        <v>698</v>
      </c>
      <c r="C367" s="65" t="s">
        <v>842</v>
      </c>
      <c r="D367" s="20">
        <v>3396</v>
      </c>
      <c r="E367" s="20">
        <v>130813</v>
      </c>
      <c r="F367" s="52">
        <v>2022</v>
      </c>
    </row>
    <row r="368" spans="1:6" s="9" customFormat="1" ht="20.399999999999999" hidden="1" customHeight="1" x14ac:dyDescent="0.35">
      <c r="A368" s="17" t="s">
        <v>317</v>
      </c>
      <c r="B368" s="69" t="s">
        <v>698</v>
      </c>
      <c r="C368" s="65" t="s">
        <v>797</v>
      </c>
      <c r="D368" s="20">
        <v>65923</v>
      </c>
      <c r="E368" s="20">
        <v>2585006</v>
      </c>
      <c r="F368" s="52">
        <v>2022</v>
      </c>
    </row>
    <row r="369" spans="1:6" s="9" customFormat="1" ht="20.399999999999999" hidden="1" customHeight="1" x14ac:dyDescent="0.35">
      <c r="A369" s="17" t="s">
        <v>317</v>
      </c>
      <c r="B369" s="69" t="s">
        <v>698</v>
      </c>
      <c r="C369" s="65" t="s">
        <v>799</v>
      </c>
      <c r="D369" s="20">
        <v>13462</v>
      </c>
      <c r="E369" s="20">
        <v>532510</v>
      </c>
      <c r="F369" s="52">
        <v>2022</v>
      </c>
    </row>
    <row r="370" spans="1:6" s="9" customFormat="1" ht="20.399999999999999" hidden="1" customHeight="1" x14ac:dyDescent="0.35">
      <c r="A370" s="17" t="s">
        <v>317</v>
      </c>
      <c r="B370" s="69" t="s">
        <v>698</v>
      </c>
      <c r="C370" s="65" t="s">
        <v>800</v>
      </c>
      <c r="D370" s="20">
        <v>125865</v>
      </c>
      <c r="E370" s="20">
        <v>5710850</v>
      </c>
      <c r="F370" s="52">
        <v>2022</v>
      </c>
    </row>
    <row r="371" spans="1:6" s="9" customFormat="1" ht="20.399999999999999" hidden="1" customHeight="1" x14ac:dyDescent="0.35">
      <c r="A371" s="17" t="s">
        <v>323</v>
      </c>
      <c r="B371" s="69" t="s">
        <v>59</v>
      </c>
      <c r="C371" s="65" t="s">
        <v>824</v>
      </c>
      <c r="D371" s="20">
        <v>31093.338</v>
      </c>
      <c r="E371" s="20">
        <v>1263388</v>
      </c>
      <c r="F371" s="52">
        <v>2022</v>
      </c>
    </row>
    <row r="372" spans="1:6" s="9" customFormat="1" ht="20.399999999999999" hidden="1" customHeight="1" x14ac:dyDescent="0.35">
      <c r="A372" s="17" t="s">
        <v>522</v>
      </c>
      <c r="B372" s="69" t="s">
        <v>701</v>
      </c>
      <c r="C372" s="65" t="s">
        <v>831</v>
      </c>
      <c r="D372" s="20">
        <v>100</v>
      </c>
      <c r="E372" s="20">
        <v>76434</v>
      </c>
      <c r="F372" s="52">
        <v>2022</v>
      </c>
    </row>
    <row r="373" spans="1:6" s="9" customFormat="1" ht="20.399999999999999" hidden="1" customHeight="1" x14ac:dyDescent="0.35">
      <c r="A373" s="17" t="s">
        <v>522</v>
      </c>
      <c r="B373" s="69" t="s">
        <v>706</v>
      </c>
      <c r="C373" s="65" t="s">
        <v>825</v>
      </c>
      <c r="D373" s="20">
        <v>66</v>
      </c>
      <c r="E373" s="20">
        <v>82182</v>
      </c>
      <c r="F373" s="52">
        <v>2022</v>
      </c>
    </row>
    <row r="374" spans="1:6" s="9" customFormat="1" ht="20.399999999999999" hidden="1" customHeight="1" x14ac:dyDescent="0.35">
      <c r="A374" s="17" t="s">
        <v>522</v>
      </c>
      <c r="B374" s="69" t="s">
        <v>706</v>
      </c>
      <c r="C374" s="65" t="s">
        <v>825</v>
      </c>
      <c r="D374" s="20">
        <v>1678</v>
      </c>
      <c r="E374" s="20">
        <v>2119199</v>
      </c>
      <c r="F374" s="52">
        <v>2022</v>
      </c>
    </row>
    <row r="375" spans="1:6" s="9" customFormat="1" ht="20.399999999999999" hidden="1" customHeight="1" x14ac:dyDescent="0.35">
      <c r="A375" s="17" t="s">
        <v>522</v>
      </c>
      <c r="B375" s="69" t="s">
        <v>701</v>
      </c>
      <c r="C375" s="65" t="s">
        <v>825</v>
      </c>
      <c r="D375" s="20">
        <v>40</v>
      </c>
      <c r="E375" s="20">
        <v>29665</v>
      </c>
      <c r="F375" s="52">
        <v>2022</v>
      </c>
    </row>
    <row r="376" spans="1:6" s="9" customFormat="1" ht="20.399999999999999" hidden="1" customHeight="1" x14ac:dyDescent="0.35">
      <c r="A376" s="17" t="s">
        <v>522</v>
      </c>
      <c r="B376" s="69" t="s">
        <v>706</v>
      </c>
      <c r="C376" s="65" t="s">
        <v>810</v>
      </c>
      <c r="D376" s="20">
        <v>160</v>
      </c>
      <c r="E376" s="20">
        <v>205256</v>
      </c>
      <c r="F376" s="52">
        <v>2022</v>
      </c>
    </row>
    <row r="377" spans="1:6" s="9" customFormat="1" ht="20.399999999999999" hidden="1" customHeight="1" x14ac:dyDescent="0.35">
      <c r="A377" s="17" t="s">
        <v>522</v>
      </c>
      <c r="B377" s="69" t="s">
        <v>707</v>
      </c>
      <c r="C377" s="65" t="s">
        <v>810</v>
      </c>
      <c r="D377" s="20">
        <v>100</v>
      </c>
      <c r="E377" s="20">
        <v>131315</v>
      </c>
      <c r="F377" s="52">
        <v>2022</v>
      </c>
    </row>
    <row r="378" spans="1:6" s="9" customFormat="1" ht="20.399999999999999" hidden="1" customHeight="1" x14ac:dyDescent="0.35">
      <c r="A378" s="17" t="s">
        <v>522</v>
      </c>
      <c r="B378" s="69" t="s">
        <v>701</v>
      </c>
      <c r="C378" s="65" t="s">
        <v>810</v>
      </c>
      <c r="D378" s="20">
        <v>120</v>
      </c>
      <c r="E378" s="20">
        <v>87598</v>
      </c>
      <c r="F378" s="52">
        <v>2022</v>
      </c>
    </row>
    <row r="379" spans="1:6" s="9" customFormat="1" ht="20.399999999999999" hidden="1" customHeight="1" x14ac:dyDescent="0.35">
      <c r="A379" s="17" t="s">
        <v>522</v>
      </c>
      <c r="B379" s="69" t="s">
        <v>706</v>
      </c>
      <c r="C379" s="65" t="s">
        <v>804</v>
      </c>
      <c r="D379" s="20">
        <v>680</v>
      </c>
      <c r="E379" s="20">
        <v>879535</v>
      </c>
      <c r="F379" s="52">
        <v>2022</v>
      </c>
    </row>
    <row r="380" spans="1:6" s="9" customFormat="1" ht="20.399999999999999" hidden="1" customHeight="1" x14ac:dyDescent="0.35">
      <c r="A380" s="17" t="s">
        <v>522</v>
      </c>
      <c r="B380" s="69" t="s">
        <v>706</v>
      </c>
      <c r="C380" s="65" t="s">
        <v>823</v>
      </c>
      <c r="D380" s="20">
        <v>140</v>
      </c>
      <c r="E380" s="20">
        <v>176061</v>
      </c>
      <c r="F380" s="52">
        <v>2022</v>
      </c>
    </row>
    <row r="381" spans="1:6" s="9" customFormat="1" ht="20.399999999999999" hidden="1" customHeight="1" x14ac:dyDescent="0.35">
      <c r="A381" s="17" t="s">
        <v>522</v>
      </c>
      <c r="B381" s="69" t="s">
        <v>706</v>
      </c>
      <c r="C381" s="65" t="s">
        <v>824</v>
      </c>
      <c r="D381" s="20">
        <v>1553</v>
      </c>
      <c r="E381" s="20">
        <v>1972278</v>
      </c>
      <c r="F381" s="52">
        <v>2022</v>
      </c>
    </row>
    <row r="382" spans="1:6" s="9" customFormat="1" ht="20.399999999999999" hidden="1" customHeight="1" x14ac:dyDescent="0.35">
      <c r="A382" s="17" t="s">
        <v>522</v>
      </c>
      <c r="B382" s="69" t="s">
        <v>706</v>
      </c>
      <c r="C382" s="65" t="s">
        <v>824</v>
      </c>
      <c r="D382" s="20">
        <v>368</v>
      </c>
      <c r="E382" s="20">
        <v>436921</v>
      </c>
      <c r="F382" s="52">
        <v>2022</v>
      </c>
    </row>
    <row r="383" spans="1:6" s="9" customFormat="1" ht="20.399999999999999" hidden="1" customHeight="1" x14ac:dyDescent="0.35">
      <c r="A383" s="17" t="s">
        <v>522</v>
      </c>
      <c r="B383" s="69" t="s">
        <v>707</v>
      </c>
      <c r="C383" s="65" t="s">
        <v>824</v>
      </c>
      <c r="D383" s="20">
        <v>80</v>
      </c>
      <c r="E383" s="20">
        <v>96661</v>
      </c>
      <c r="F383" s="52">
        <v>2022</v>
      </c>
    </row>
    <row r="384" spans="1:6" s="9" customFormat="1" ht="20.399999999999999" hidden="1" customHeight="1" x14ac:dyDescent="0.35">
      <c r="A384" s="17" t="s">
        <v>522</v>
      </c>
      <c r="B384" s="69" t="s">
        <v>701</v>
      </c>
      <c r="C384" s="65" t="s">
        <v>824</v>
      </c>
      <c r="D384" s="20">
        <v>400</v>
      </c>
      <c r="E384" s="20">
        <v>303853</v>
      </c>
      <c r="F384" s="52">
        <v>2022</v>
      </c>
    </row>
    <row r="385" spans="1:6" s="9" customFormat="1" ht="20.399999999999999" hidden="1" customHeight="1" x14ac:dyDescent="0.35">
      <c r="A385" s="17" t="s">
        <v>522</v>
      </c>
      <c r="B385" s="69" t="s">
        <v>706</v>
      </c>
      <c r="C385" s="65" t="s">
        <v>824</v>
      </c>
      <c r="D385" s="20">
        <v>6416</v>
      </c>
      <c r="E385" s="20">
        <v>2188305</v>
      </c>
      <c r="F385" s="52">
        <v>2022</v>
      </c>
    </row>
    <row r="386" spans="1:6" s="9" customFormat="1" ht="20.399999999999999" hidden="1" customHeight="1" x14ac:dyDescent="0.35">
      <c r="A386" s="17" t="s">
        <v>522</v>
      </c>
      <c r="B386" s="69" t="s">
        <v>707</v>
      </c>
      <c r="C386" s="65" t="s">
        <v>830</v>
      </c>
      <c r="D386" s="20">
        <v>580</v>
      </c>
      <c r="E386" s="20">
        <v>634237</v>
      </c>
      <c r="F386" s="52">
        <v>2022</v>
      </c>
    </row>
    <row r="387" spans="1:6" s="9" customFormat="1" ht="20.399999999999999" hidden="1" customHeight="1" x14ac:dyDescent="0.35">
      <c r="A387" s="17" t="s">
        <v>522</v>
      </c>
      <c r="B387" s="69" t="s">
        <v>701</v>
      </c>
      <c r="C387" s="65" t="s">
        <v>830</v>
      </c>
      <c r="D387" s="20">
        <v>400</v>
      </c>
      <c r="E387" s="20">
        <v>298442</v>
      </c>
      <c r="F387" s="52">
        <v>2022</v>
      </c>
    </row>
    <row r="388" spans="1:6" s="9" customFormat="1" ht="20.399999999999999" hidden="1" customHeight="1" x14ac:dyDescent="0.35">
      <c r="A388" s="17" t="s">
        <v>522</v>
      </c>
      <c r="B388" s="69" t="s">
        <v>699</v>
      </c>
      <c r="C388" s="65" t="s">
        <v>830</v>
      </c>
      <c r="D388" s="20">
        <v>40</v>
      </c>
      <c r="E388" s="20">
        <v>23022</v>
      </c>
      <c r="F388" s="52">
        <v>2022</v>
      </c>
    </row>
    <row r="389" spans="1:6" s="9" customFormat="1" ht="20.399999999999999" hidden="1" customHeight="1" x14ac:dyDescent="0.35">
      <c r="A389" s="17" t="s">
        <v>522</v>
      </c>
      <c r="B389" s="69" t="s">
        <v>707</v>
      </c>
      <c r="C389" s="65" t="s">
        <v>843</v>
      </c>
      <c r="D389" s="20">
        <v>60</v>
      </c>
      <c r="E389" s="20">
        <v>63698</v>
      </c>
      <c r="F389" s="52">
        <v>2022</v>
      </c>
    </row>
    <row r="390" spans="1:6" s="9" customFormat="1" ht="20.399999999999999" hidden="1" customHeight="1" x14ac:dyDescent="0.35">
      <c r="A390" s="17" t="s">
        <v>522</v>
      </c>
      <c r="B390" s="69" t="s">
        <v>707</v>
      </c>
      <c r="C390" s="65" t="s">
        <v>843</v>
      </c>
      <c r="D390" s="20">
        <v>20</v>
      </c>
      <c r="E390" s="20">
        <v>26978</v>
      </c>
      <c r="F390" s="52">
        <v>2022</v>
      </c>
    </row>
    <row r="391" spans="1:6" s="9" customFormat="1" ht="20.399999999999999" hidden="1" customHeight="1" x14ac:dyDescent="0.35">
      <c r="A391" s="17" t="s">
        <v>522</v>
      </c>
      <c r="B391" s="69" t="s">
        <v>701</v>
      </c>
      <c r="C391" s="65" t="s">
        <v>843</v>
      </c>
      <c r="D391" s="20">
        <v>440</v>
      </c>
      <c r="E391" s="20">
        <v>341151</v>
      </c>
      <c r="F391" s="52">
        <v>2022</v>
      </c>
    </row>
    <row r="392" spans="1:6" s="9" customFormat="1" ht="20.399999999999999" hidden="1" customHeight="1" x14ac:dyDescent="0.35">
      <c r="A392" s="17" t="s">
        <v>522</v>
      </c>
      <c r="B392" s="69" t="s">
        <v>706</v>
      </c>
      <c r="C392" s="65" t="s">
        <v>812</v>
      </c>
      <c r="D392" s="20">
        <v>1763</v>
      </c>
      <c r="E392" s="20">
        <v>2159428</v>
      </c>
      <c r="F392" s="52">
        <v>2022</v>
      </c>
    </row>
    <row r="393" spans="1:6" s="9" customFormat="1" ht="20.399999999999999" hidden="1" customHeight="1" x14ac:dyDescent="0.35">
      <c r="A393" s="17" t="s">
        <v>522</v>
      </c>
      <c r="B393" s="69" t="s">
        <v>706</v>
      </c>
      <c r="C393" s="65" t="s">
        <v>812</v>
      </c>
      <c r="D393" s="20">
        <v>3591</v>
      </c>
      <c r="E393" s="20">
        <v>4215746</v>
      </c>
      <c r="F393" s="52">
        <v>2022</v>
      </c>
    </row>
    <row r="394" spans="1:6" s="9" customFormat="1" ht="20.399999999999999" hidden="1" customHeight="1" x14ac:dyDescent="0.35">
      <c r="A394" s="17" t="s">
        <v>522</v>
      </c>
      <c r="B394" s="69" t="s">
        <v>707</v>
      </c>
      <c r="C394" s="65" t="s">
        <v>812</v>
      </c>
      <c r="D394" s="20">
        <v>60</v>
      </c>
      <c r="E394" s="20">
        <v>64976</v>
      </c>
      <c r="F394" s="52">
        <v>2022</v>
      </c>
    </row>
    <row r="395" spans="1:6" s="9" customFormat="1" ht="20.399999999999999" hidden="1" customHeight="1" x14ac:dyDescent="0.35">
      <c r="A395" s="17" t="s">
        <v>522</v>
      </c>
      <c r="B395" s="69" t="s">
        <v>706</v>
      </c>
      <c r="C395" s="65" t="s">
        <v>844</v>
      </c>
      <c r="D395" s="20">
        <v>2241</v>
      </c>
      <c r="E395" s="20">
        <v>2673377</v>
      </c>
      <c r="F395" s="52">
        <v>2022</v>
      </c>
    </row>
    <row r="396" spans="1:6" s="9" customFormat="1" ht="20.399999999999999" hidden="1" customHeight="1" x14ac:dyDescent="0.35">
      <c r="A396" s="17" t="s">
        <v>522</v>
      </c>
      <c r="B396" s="69" t="s">
        <v>699</v>
      </c>
      <c r="C396" s="65" t="s">
        <v>844</v>
      </c>
      <c r="D396" s="20">
        <v>29005</v>
      </c>
      <c r="E396" s="20">
        <v>5376147</v>
      </c>
      <c r="F396" s="52">
        <v>2022</v>
      </c>
    </row>
    <row r="397" spans="1:6" s="9" customFormat="1" ht="20.399999999999999" hidden="1" customHeight="1" x14ac:dyDescent="0.35">
      <c r="A397" s="17" t="s">
        <v>522</v>
      </c>
      <c r="B397" s="69" t="s">
        <v>706</v>
      </c>
      <c r="C397" s="65" t="s">
        <v>805</v>
      </c>
      <c r="D397" s="20">
        <v>26783</v>
      </c>
      <c r="E397" s="20">
        <v>37837012</v>
      </c>
      <c r="F397" s="52">
        <v>2022</v>
      </c>
    </row>
    <row r="398" spans="1:6" s="9" customFormat="1" ht="20.399999999999999" hidden="1" customHeight="1" x14ac:dyDescent="0.35">
      <c r="A398" s="17" t="s">
        <v>522</v>
      </c>
      <c r="B398" s="69" t="s">
        <v>706</v>
      </c>
      <c r="C398" s="65" t="s">
        <v>805</v>
      </c>
      <c r="D398" s="20">
        <v>16915</v>
      </c>
      <c r="E398" s="20">
        <v>22797650</v>
      </c>
      <c r="F398" s="52">
        <v>2022</v>
      </c>
    </row>
    <row r="399" spans="1:6" s="9" customFormat="1" ht="20.399999999999999" hidden="1" customHeight="1" x14ac:dyDescent="0.35">
      <c r="A399" s="17" t="s">
        <v>522</v>
      </c>
      <c r="B399" s="69" t="s">
        <v>707</v>
      </c>
      <c r="C399" s="65" t="s">
        <v>805</v>
      </c>
      <c r="D399" s="20">
        <v>2840</v>
      </c>
      <c r="E399" s="20">
        <v>3827195</v>
      </c>
      <c r="F399" s="52">
        <v>2022</v>
      </c>
    </row>
    <row r="400" spans="1:6" s="9" customFormat="1" ht="20.399999999999999" hidden="1" customHeight="1" x14ac:dyDescent="0.35">
      <c r="A400" s="17" t="s">
        <v>522</v>
      </c>
      <c r="B400" s="69" t="s">
        <v>701</v>
      </c>
      <c r="C400" s="65" t="s">
        <v>805</v>
      </c>
      <c r="D400" s="20">
        <v>4540</v>
      </c>
      <c r="E400" s="20">
        <v>4153250</v>
      </c>
      <c r="F400" s="52">
        <v>2022</v>
      </c>
    </row>
    <row r="401" spans="1:6" s="9" customFormat="1" ht="20.399999999999999" hidden="1" customHeight="1" x14ac:dyDescent="0.35">
      <c r="A401" s="17" t="s">
        <v>522</v>
      </c>
      <c r="B401" s="69" t="s">
        <v>706</v>
      </c>
      <c r="C401" s="65" t="s">
        <v>805</v>
      </c>
      <c r="D401" s="20">
        <v>25033</v>
      </c>
      <c r="E401" s="20">
        <v>6221776</v>
      </c>
      <c r="F401" s="52">
        <v>2022</v>
      </c>
    </row>
    <row r="402" spans="1:6" s="9" customFormat="1" ht="20.399999999999999" hidden="1" customHeight="1" x14ac:dyDescent="0.35">
      <c r="A402" s="17" t="s">
        <v>522</v>
      </c>
      <c r="B402" s="69" t="s">
        <v>699</v>
      </c>
      <c r="C402" s="65" t="s">
        <v>805</v>
      </c>
      <c r="D402" s="20">
        <v>255142</v>
      </c>
      <c r="E402" s="20">
        <v>55201748</v>
      </c>
      <c r="F402" s="52">
        <v>2022</v>
      </c>
    </row>
    <row r="403" spans="1:6" s="9" customFormat="1" ht="20.399999999999999" hidden="1" customHeight="1" x14ac:dyDescent="0.35">
      <c r="A403" s="17" t="s">
        <v>522</v>
      </c>
      <c r="B403" s="69" t="s">
        <v>699</v>
      </c>
      <c r="C403" s="65" t="s">
        <v>805</v>
      </c>
      <c r="D403" s="20">
        <v>105551</v>
      </c>
      <c r="E403" s="20">
        <v>23782278</v>
      </c>
      <c r="F403" s="52">
        <v>2022</v>
      </c>
    </row>
    <row r="404" spans="1:6" s="9" customFormat="1" ht="20.399999999999999" hidden="1" customHeight="1" x14ac:dyDescent="0.35">
      <c r="A404" s="17" t="s">
        <v>522</v>
      </c>
      <c r="B404" s="69" t="s">
        <v>699</v>
      </c>
      <c r="C404" s="65" t="s">
        <v>805</v>
      </c>
      <c r="D404" s="20">
        <v>35216</v>
      </c>
      <c r="E404" s="20">
        <v>7578110</v>
      </c>
      <c r="F404" s="52">
        <v>2022</v>
      </c>
    </row>
    <row r="405" spans="1:6" s="9" customFormat="1" ht="20.399999999999999" hidden="1" customHeight="1" x14ac:dyDescent="0.35">
      <c r="A405" s="17" t="s">
        <v>522</v>
      </c>
      <c r="B405" s="69" t="s">
        <v>706</v>
      </c>
      <c r="C405" s="65" t="s">
        <v>802</v>
      </c>
      <c r="D405" s="20">
        <v>64</v>
      </c>
      <c r="E405" s="20">
        <v>79007</v>
      </c>
      <c r="F405" s="52">
        <v>2022</v>
      </c>
    </row>
    <row r="406" spans="1:6" s="9" customFormat="1" ht="20.399999999999999" hidden="1" customHeight="1" x14ac:dyDescent="0.35">
      <c r="A406" s="17" t="s">
        <v>522</v>
      </c>
      <c r="B406" s="69" t="s">
        <v>706</v>
      </c>
      <c r="C406" s="65" t="s">
        <v>802</v>
      </c>
      <c r="D406" s="20">
        <v>234</v>
      </c>
      <c r="E406" s="20">
        <v>298525</v>
      </c>
      <c r="F406" s="52">
        <v>2022</v>
      </c>
    </row>
    <row r="407" spans="1:6" s="9" customFormat="1" ht="20.399999999999999" hidden="1" customHeight="1" x14ac:dyDescent="0.35">
      <c r="A407" s="17" t="s">
        <v>522</v>
      </c>
      <c r="B407" s="69" t="s">
        <v>707</v>
      </c>
      <c r="C407" s="65" t="s">
        <v>802</v>
      </c>
      <c r="D407" s="20">
        <v>20</v>
      </c>
      <c r="E407" s="20">
        <v>15489</v>
      </c>
      <c r="F407" s="52">
        <v>2022</v>
      </c>
    </row>
    <row r="408" spans="1:6" s="9" customFormat="1" ht="20.399999999999999" hidden="1" customHeight="1" x14ac:dyDescent="0.35">
      <c r="A408" s="17" t="s">
        <v>522</v>
      </c>
      <c r="B408" s="69" t="s">
        <v>706</v>
      </c>
      <c r="C408" s="65" t="s">
        <v>826</v>
      </c>
      <c r="D408" s="20">
        <v>661</v>
      </c>
      <c r="E408" s="20">
        <v>805311</v>
      </c>
      <c r="F408" s="52">
        <v>2022</v>
      </c>
    </row>
    <row r="409" spans="1:6" s="9" customFormat="1" ht="20.399999999999999" hidden="1" customHeight="1" x14ac:dyDescent="0.35">
      <c r="A409" s="17" t="s">
        <v>522</v>
      </c>
      <c r="B409" s="69" t="s">
        <v>706</v>
      </c>
      <c r="C409" s="65" t="s">
        <v>827</v>
      </c>
      <c r="D409" s="20">
        <v>899</v>
      </c>
      <c r="E409" s="20">
        <v>1151481</v>
      </c>
      <c r="F409" s="52">
        <v>2022</v>
      </c>
    </row>
    <row r="410" spans="1:6" s="9" customFormat="1" ht="20.399999999999999" hidden="1" customHeight="1" x14ac:dyDescent="0.35">
      <c r="A410" s="17" t="s">
        <v>522</v>
      </c>
      <c r="B410" s="69" t="s">
        <v>706</v>
      </c>
      <c r="C410" s="65" t="s">
        <v>827</v>
      </c>
      <c r="D410" s="20">
        <v>120</v>
      </c>
      <c r="E410" s="20">
        <v>149568</v>
      </c>
      <c r="F410" s="52">
        <v>2022</v>
      </c>
    </row>
    <row r="411" spans="1:6" s="9" customFormat="1" ht="20.399999999999999" hidden="1" customHeight="1" x14ac:dyDescent="0.35">
      <c r="A411" s="17" t="s">
        <v>522</v>
      </c>
      <c r="B411" s="69" t="s">
        <v>707</v>
      </c>
      <c r="C411" s="65" t="s">
        <v>827</v>
      </c>
      <c r="D411" s="20">
        <v>240</v>
      </c>
      <c r="E411" s="20">
        <v>237529</v>
      </c>
      <c r="F411" s="52">
        <v>2022</v>
      </c>
    </row>
    <row r="412" spans="1:6" s="9" customFormat="1" ht="20.399999999999999" hidden="1" customHeight="1" x14ac:dyDescent="0.35">
      <c r="A412" s="17" t="s">
        <v>522</v>
      </c>
      <c r="B412" s="69" t="s">
        <v>701</v>
      </c>
      <c r="C412" s="65" t="s">
        <v>827</v>
      </c>
      <c r="D412" s="20">
        <v>120</v>
      </c>
      <c r="E412" s="20">
        <v>99738</v>
      </c>
      <c r="F412" s="52">
        <v>2022</v>
      </c>
    </row>
    <row r="413" spans="1:6" s="9" customFormat="1" ht="20.399999999999999" hidden="1" customHeight="1" x14ac:dyDescent="0.35">
      <c r="A413" s="17" t="s">
        <v>522</v>
      </c>
      <c r="B413" s="69" t="s">
        <v>706</v>
      </c>
      <c r="C413" s="65" t="s">
        <v>845</v>
      </c>
      <c r="D413" s="20">
        <v>80</v>
      </c>
      <c r="E413" s="20">
        <v>100225</v>
      </c>
      <c r="F413" s="52">
        <v>2022</v>
      </c>
    </row>
    <row r="414" spans="1:6" s="9" customFormat="1" ht="20.399999999999999" hidden="1" customHeight="1" x14ac:dyDescent="0.35">
      <c r="A414" s="17" t="s">
        <v>522</v>
      </c>
      <c r="B414" s="69" t="s">
        <v>699</v>
      </c>
      <c r="C414" s="65" t="s">
        <v>845</v>
      </c>
      <c r="D414" s="20">
        <v>101793</v>
      </c>
      <c r="E414" s="20">
        <v>17574924</v>
      </c>
      <c r="F414" s="52">
        <v>2022</v>
      </c>
    </row>
    <row r="415" spans="1:6" s="9" customFormat="1" ht="20.399999999999999" hidden="1" customHeight="1" x14ac:dyDescent="0.35">
      <c r="A415" s="17" t="s">
        <v>522</v>
      </c>
      <c r="B415" s="69" t="s">
        <v>706</v>
      </c>
      <c r="C415" s="65" t="s">
        <v>834</v>
      </c>
      <c r="D415" s="20">
        <v>110</v>
      </c>
      <c r="E415" s="20">
        <v>137807</v>
      </c>
      <c r="F415" s="52">
        <v>2022</v>
      </c>
    </row>
    <row r="416" spans="1:6" s="9" customFormat="1" ht="20.399999999999999" hidden="1" customHeight="1" x14ac:dyDescent="0.35">
      <c r="A416" s="17" t="s">
        <v>522</v>
      </c>
      <c r="B416" s="69" t="s">
        <v>706</v>
      </c>
      <c r="C416" s="65" t="s">
        <v>834</v>
      </c>
      <c r="D416" s="20">
        <v>463</v>
      </c>
      <c r="E416" s="20">
        <v>569141</v>
      </c>
      <c r="F416" s="52">
        <v>2022</v>
      </c>
    </row>
    <row r="417" spans="1:6" s="9" customFormat="1" ht="20.399999999999999" hidden="1" customHeight="1" x14ac:dyDescent="0.35">
      <c r="A417" s="17" t="s">
        <v>522</v>
      </c>
      <c r="B417" s="69" t="s">
        <v>707</v>
      </c>
      <c r="C417" s="65" t="s">
        <v>834</v>
      </c>
      <c r="D417" s="20">
        <v>100</v>
      </c>
      <c r="E417" s="20">
        <v>126512</v>
      </c>
      <c r="F417" s="52">
        <v>2022</v>
      </c>
    </row>
    <row r="418" spans="1:6" s="9" customFormat="1" ht="20.399999999999999" hidden="1" customHeight="1" x14ac:dyDescent="0.35">
      <c r="A418" s="17" t="s">
        <v>522</v>
      </c>
      <c r="B418" s="69" t="s">
        <v>701</v>
      </c>
      <c r="C418" s="65" t="s">
        <v>834</v>
      </c>
      <c r="D418" s="20">
        <v>180</v>
      </c>
      <c r="E418" s="20">
        <v>142683</v>
      </c>
      <c r="F418" s="52">
        <v>2022</v>
      </c>
    </row>
    <row r="419" spans="1:6" s="9" customFormat="1" ht="20.399999999999999" hidden="1" customHeight="1" x14ac:dyDescent="0.35">
      <c r="A419" s="17" t="s">
        <v>522</v>
      </c>
      <c r="B419" s="69" t="s">
        <v>707</v>
      </c>
      <c r="C419" s="65" t="s">
        <v>839</v>
      </c>
      <c r="D419" s="20">
        <v>60</v>
      </c>
      <c r="E419" s="20">
        <v>66222</v>
      </c>
      <c r="F419" s="52">
        <v>2022</v>
      </c>
    </row>
    <row r="420" spans="1:6" s="9" customFormat="1" ht="20.399999999999999" hidden="1" customHeight="1" x14ac:dyDescent="0.35">
      <c r="A420" s="17" t="s">
        <v>522</v>
      </c>
      <c r="B420" s="69" t="s">
        <v>706</v>
      </c>
      <c r="C420" s="65" t="s">
        <v>820</v>
      </c>
      <c r="D420" s="20">
        <v>595</v>
      </c>
      <c r="E420" s="20">
        <v>738090</v>
      </c>
      <c r="F420" s="52">
        <v>2022</v>
      </c>
    </row>
    <row r="421" spans="1:6" s="9" customFormat="1" ht="20.399999999999999" customHeight="1" x14ac:dyDescent="0.35">
      <c r="A421" s="17" t="s">
        <v>346</v>
      </c>
      <c r="B421" s="69" t="s">
        <v>702</v>
      </c>
      <c r="C421" s="65" t="s">
        <v>842</v>
      </c>
      <c r="D421" s="20">
        <v>47</v>
      </c>
      <c r="E421" s="20">
        <v>6063</v>
      </c>
      <c r="F421" s="52">
        <v>2022</v>
      </c>
    </row>
    <row r="422" spans="1:6" s="9" customFormat="1" ht="20.399999999999999" customHeight="1" x14ac:dyDescent="0.35">
      <c r="A422" s="17" t="s">
        <v>346</v>
      </c>
      <c r="B422" s="69" t="s">
        <v>702</v>
      </c>
      <c r="C422" s="65" t="s">
        <v>797</v>
      </c>
      <c r="D422" s="20">
        <v>2455</v>
      </c>
      <c r="E422" s="20">
        <v>795369</v>
      </c>
      <c r="F422" s="52">
        <v>2022</v>
      </c>
    </row>
    <row r="423" spans="1:6" s="9" customFormat="1" ht="20.399999999999999" customHeight="1" x14ac:dyDescent="0.35">
      <c r="A423" s="17" t="s">
        <v>346</v>
      </c>
      <c r="B423" s="69" t="s">
        <v>702</v>
      </c>
      <c r="C423" s="65" t="s">
        <v>798</v>
      </c>
      <c r="D423" s="20">
        <v>990</v>
      </c>
      <c r="E423" s="20">
        <v>379656</v>
      </c>
      <c r="F423" s="52">
        <v>2022</v>
      </c>
    </row>
    <row r="424" spans="1:6" s="9" customFormat="1" ht="20.399999999999999" hidden="1" customHeight="1" x14ac:dyDescent="0.35">
      <c r="A424" s="17" t="s">
        <v>346</v>
      </c>
      <c r="B424" s="69" t="s">
        <v>1599</v>
      </c>
      <c r="C424" s="65" t="s">
        <v>802</v>
      </c>
      <c r="D424" s="20">
        <v>558410.07999999996</v>
      </c>
      <c r="E424" s="20">
        <v>533842674</v>
      </c>
      <c r="F424" s="52">
        <v>2022</v>
      </c>
    </row>
    <row r="425" spans="1:6" s="9" customFormat="1" ht="20.399999999999999" customHeight="1" x14ac:dyDescent="0.35">
      <c r="A425" s="17" t="s">
        <v>346</v>
      </c>
      <c r="B425" s="69" t="s">
        <v>702</v>
      </c>
      <c r="C425" s="65" t="s">
        <v>800</v>
      </c>
      <c r="D425" s="20">
        <v>8826</v>
      </c>
      <c r="E425" s="20">
        <v>2147877</v>
      </c>
      <c r="F425" s="52">
        <v>2022</v>
      </c>
    </row>
    <row r="426" spans="1:6" s="9" customFormat="1" ht="20.399999999999999" hidden="1" customHeight="1" x14ac:dyDescent="0.35">
      <c r="A426" s="17" t="s">
        <v>373</v>
      </c>
      <c r="B426" s="69" t="s">
        <v>431</v>
      </c>
      <c r="C426" s="65" t="s">
        <v>804</v>
      </c>
      <c r="D426" s="20">
        <v>4.0319337419999997</v>
      </c>
      <c r="E426" s="20">
        <v>147862816</v>
      </c>
      <c r="F426" s="52">
        <v>2022</v>
      </c>
    </row>
    <row r="427" spans="1:6" s="9" customFormat="1" ht="20.399999999999999" hidden="1" customHeight="1" x14ac:dyDescent="0.35">
      <c r="A427" s="17" t="s">
        <v>374</v>
      </c>
      <c r="B427" s="69" t="s">
        <v>104</v>
      </c>
      <c r="C427" s="16" t="s">
        <v>805</v>
      </c>
      <c r="D427" s="20">
        <v>9235</v>
      </c>
      <c r="E427" s="20">
        <v>632832</v>
      </c>
      <c r="F427" s="52">
        <v>2022</v>
      </c>
    </row>
    <row r="428" spans="1:6" s="9" customFormat="1" ht="20.399999999999999" hidden="1" customHeight="1" x14ac:dyDescent="0.35">
      <c r="A428" s="17" t="s">
        <v>374</v>
      </c>
      <c r="B428" s="69" t="s">
        <v>104</v>
      </c>
      <c r="C428" s="16" t="s">
        <v>846</v>
      </c>
      <c r="D428" s="20">
        <v>64</v>
      </c>
      <c r="E428" s="20">
        <v>5536</v>
      </c>
      <c r="F428" s="52">
        <v>2022</v>
      </c>
    </row>
    <row r="429" spans="1:6" s="9" customFormat="1" ht="20.399999999999999" hidden="1" customHeight="1" x14ac:dyDescent="0.35">
      <c r="A429" s="17" t="s">
        <v>376</v>
      </c>
      <c r="B429" s="69" t="s">
        <v>431</v>
      </c>
      <c r="C429" s="65" t="s">
        <v>843</v>
      </c>
      <c r="D429" s="20">
        <v>8.18</v>
      </c>
      <c r="E429" s="20">
        <v>294263827</v>
      </c>
      <c r="F429" s="52">
        <v>2022</v>
      </c>
    </row>
    <row r="430" spans="1:6" s="9" customFormat="1" ht="20.399999999999999" hidden="1" customHeight="1" x14ac:dyDescent="0.35">
      <c r="A430" s="17" t="s">
        <v>376</v>
      </c>
      <c r="B430" s="69" t="s">
        <v>709</v>
      </c>
      <c r="C430" s="65" t="s">
        <v>843</v>
      </c>
      <c r="D430" s="20">
        <v>0.71</v>
      </c>
      <c r="E430" s="20">
        <v>311786</v>
      </c>
      <c r="F430" s="52">
        <v>2022</v>
      </c>
    </row>
    <row r="431" spans="1:6" s="9" customFormat="1" ht="20.399999999999999" hidden="1" customHeight="1" x14ac:dyDescent="0.35">
      <c r="A431" s="17" t="s">
        <v>376</v>
      </c>
      <c r="B431" s="69" t="s">
        <v>431</v>
      </c>
      <c r="C431" s="65" t="s">
        <v>847</v>
      </c>
      <c r="D431" s="20">
        <v>0.27</v>
      </c>
      <c r="E431" s="20">
        <v>9648371</v>
      </c>
      <c r="F431" s="52">
        <v>2022</v>
      </c>
    </row>
    <row r="432" spans="1:6" s="9" customFormat="1" ht="20.399999999999999" hidden="1" customHeight="1" x14ac:dyDescent="0.35">
      <c r="A432" s="17" t="s">
        <v>376</v>
      </c>
      <c r="B432" s="69" t="s">
        <v>431</v>
      </c>
      <c r="C432" s="65" t="s">
        <v>803</v>
      </c>
      <c r="D432" s="20">
        <v>2.19</v>
      </c>
      <c r="E432" s="20">
        <v>79623653</v>
      </c>
      <c r="F432" s="52">
        <v>2022</v>
      </c>
    </row>
    <row r="433" spans="1:6" s="9" customFormat="1" ht="20.399999999999999" hidden="1" customHeight="1" x14ac:dyDescent="0.35">
      <c r="A433" s="17" t="s">
        <v>376</v>
      </c>
      <c r="B433" s="69" t="s">
        <v>709</v>
      </c>
      <c r="C433" s="65" t="s">
        <v>803</v>
      </c>
      <c r="D433" s="20">
        <v>0.14000000000000001</v>
      </c>
      <c r="E433" s="20">
        <v>63121</v>
      </c>
      <c r="F433" s="52">
        <v>2022</v>
      </c>
    </row>
    <row r="434" spans="1:6" s="9" customFormat="1" ht="20.399999999999999" hidden="1" customHeight="1" x14ac:dyDescent="0.35">
      <c r="A434" s="17" t="s">
        <v>382</v>
      </c>
      <c r="B434" s="69" t="s">
        <v>104</v>
      </c>
      <c r="C434" s="65" t="s">
        <v>811</v>
      </c>
      <c r="D434" s="20">
        <v>5019.2529999999997</v>
      </c>
      <c r="E434" s="20">
        <v>190957</v>
      </c>
      <c r="F434" s="52">
        <v>2022</v>
      </c>
    </row>
    <row r="435" spans="1:6" s="9" customFormat="1" ht="20.399999999999999" hidden="1" customHeight="1" x14ac:dyDescent="0.35">
      <c r="A435" s="17" t="s">
        <v>382</v>
      </c>
      <c r="B435" s="69" t="s">
        <v>104</v>
      </c>
      <c r="C435" s="65" t="s">
        <v>834</v>
      </c>
      <c r="D435" s="20">
        <v>2594.2719999999999</v>
      </c>
      <c r="E435" s="20">
        <v>99543</v>
      </c>
      <c r="F435" s="52">
        <v>2022</v>
      </c>
    </row>
    <row r="436" spans="1:6" s="9" customFormat="1" ht="20.399999999999999" hidden="1" customHeight="1" x14ac:dyDescent="0.35">
      <c r="A436" s="17" t="s">
        <v>382</v>
      </c>
      <c r="B436" s="69" t="s">
        <v>104</v>
      </c>
      <c r="C436" s="65" t="s">
        <v>808</v>
      </c>
      <c r="D436" s="20">
        <v>3875.5749999999998</v>
      </c>
      <c r="E436" s="20">
        <v>139823</v>
      </c>
      <c r="F436" s="52">
        <v>2022</v>
      </c>
    </row>
    <row r="437" spans="1:6" s="9" customFormat="1" ht="20.399999999999999" hidden="1" customHeight="1" x14ac:dyDescent="0.35">
      <c r="A437" s="19" t="s">
        <v>638</v>
      </c>
      <c r="B437" s="69" t="s">
        <v>1594</v>
      </c>
      <c r="C437" s="65" t="s">
        <v>824</v>
      </c>
      <c r="D437" s="20">
        <v>9097.5499999999993</v>
      </c>
      <c r="E437" s="20">
        <v>2225608.912</v>
      </c>
      <c r="F437" s="52">
        <v>2022</v>
      </c>
    </row>
    <row r="438" spans="1:6" s="9" customFormat="1" ht="20.399999999999999" hidden="1" customHeight="1" x14ac:dyDescent="0.35">
      <c r="A438" s="17" t="s">
        <v>106</v>
      </c>
      <c r="B438" s="69" t="s">
        <v>6</v>
      </c>
      <c r="C438" s="65" t="s">
        <v>812</v>
      </c>
      <c r="D438" s="20">
        <v>2946</v>
      </c>
      <c r="E438" s="20">
        <v>220322</v>
      </c>
      <c r="F438" s="52">
        <v>2022</v>
      </c>
    </row>
    <row r="439" spans="1:6" s="9" customFormat="1" ht="20.399999999999999" hidden="1" customHeight="1" x14ac:dyDescent="0.35">
      <c r="A439" s="17" t="s">
        <v>106</v>
      </c>
      <c r="B439" s="69" t="s">
        <v>6</v>
      </c>
      <c r="C439" s="65" t="s">
        <v>848</v>
      </c>
      <c r="D439" s="20">
        <v>40461</v>
      </c>
      <c r="E439" s="20">
        <v>3434732</v>
      </c>
      <c r="F439" s="52">
        <v>2022</v>
      </c>
    </row>
    <row r="440" spans="1:6" s="9" customFormat="1" ht="20.399999999999999" hidden="1" customHeight="1" x14ac:dyDescent="0.35">
      <c r="A440" s="17" t="s">
        <v>106</v>
      </c>
      <c r="B440" s="69" t="s">
        <v>6</v>
      </c>
      <c r="C440" s="65" t="s">
        <v>849</v>
      </c>
      <c r="D440" s="20">
        <v>5500</v>
      </c>
      <c r="E440" s="20">
        <v>785469</v>
      </c>
      <c r="F440" s="52">
        <v>2022</v>
      </c>
    </row>
    <row r="441" spans="1:6" s="9" customFormat="1" ht="28" hidden="1" x14ac:dyDescent="0.35">
      <c r="A441" s="17" t="s">
        <v>569</v>
      </c>
      <c r="B441" s="69" t="s">
        <v>6</v>
      </c>
      <c r="C441" s="65" t="s">
        <v>811</v>
      </c>
      <c r="D441" s="20">
        <v>24299</v>
      </c>
      <c r="E441" s="20">
        <v>3573993</v>
      </c>
      <c r="F441" s="52">
        <v>2022</v>
      </c>
    </row>
    <row r="442" spans="1:6" s="9" customFormat="1" ht="28" hidden="1" x14ac:dyDescent="0.35">
      <c r="A442" s="17" t="s">
        <v>569</v>
      </c>
      <c r="B442" s="69" t="s">
        <v>6</v>
      </c>
      <c r="C442" s="69" t="s">
        <v>779</v>
      </c>
      <c r="D442" s="20">
        <v>182942</v>
      </c>
      <c r="E442" s="20">
        <v>21366392</v>
      </c>
      <c r="F442" s="52">
        <v>2022</v>
      </c>
    </row>
    <row r="443" spans="1:6" s="9" customFormat="1" ht="28" hidden="1" x14ac:dyDescent="0.35">
      <c r="A443" s="17" t="s">
        <v>569</v>
      </c>
      <c r="B443" s="69" t="s">
        <v>6</v>
      </c>
      <c r="C443" s="65" t="s">
        <v>850</v>
      </c>
      <c r="D443" s="20">
        <v>2690</v>
      </c>
      <c r="E443" s="20">
        <v>317593</v>
      </c>
      <c r="F443" s="52">
        <v>2022</v>
      </c>
    </row>
    <row r="444" spans="1:6" s="9" customFormat="1" ht="28" hidden="1" x14ac:dyDescent="0.35">
      <c r="A444" s="17" t="s">
        <v>569</v>
      </c>
      <c r="B444" s="69" t="s">
        <v>6</v>
      </c>
      <c r="C444" s="65" t="s">
        <v>800</v>
      </c>
      <c r="D444" s="20">
        <v>8816</v>
      </c>
      <c r="E444" s="20">
        <v>594500</v>
      </c>
      <c r="F444" s="52">
        <v>2022</v>
      </c>
    </row>
    <row r="445" spans="1:6" s="9" customFormat="1" ht="28" hidden="1" x14ac:dyDescent="0.35">
      <c r="A445" s="17" t="s">
        <v>569</v>
      </c>
      <c r="B445" s="69" t="s">
        <v>6</v>
      </c>
      <c r="C445" s="65" t="s">
        <v>803</v>
      </c>
      <c r="D445" s="20">
        <v>148210</v>
      </c>
      <c r="E445" s="20">
        <v>15223269</v>
      </c>
      <c r="F445" s="52">
        <v>2022</v>
      </c>
    </row>
    <row r="446" spans="1:6" s="9" customFormat="1" ht="20.399999999999999" hidden="1" customHeight="1" x14ac:dyDescent="0.35">
      <c r="A446" s="17" t="s">
        <v>110</v>
      </c>
      <c r="B446" s="69" t="s">
        <v>104</v>
      </c>
      <c r="C446" s="65" t="s">
        <v>805</v>
      </c>
      <c r="D446" s="20">
        <v>48335.76</v>
      </c>
      <c r="E446" s="20">
        <v>1274273</v>
      </c>
      <c r="F446" s="52">
        <v>2022</v>
      </c>
    </row>
    <row r="447" spans="1:6" s="9" customFormat="1" ht="20.399999999999999" hidden="1" customHeight="1" x14ac:dyDescent="0.35">
      <c r="A447" s="17" t="s">
        <v>110</v>
      </c>
      <c r="B447" s="69" t="s">
        <v>104</v>
      </c>
      <c r="C447" s="65" t="s">
        <v>834</v>
      </c>
      <c r="D447" s="20">
        <v>32344.69</v>
      </c>
      <c r="E447" s="20">
        <v>782772</v>
      </c>
      <c r="F447" s="52">
        <v>2022</v>
      </c>
    </row>
    <row r="448" spans="1:6" s="9" customFormat="1" ht="20.399999999999999" hidden="1" customHeight="1" x14ac:dyDescent="0.35">
      <c r="A448" s="17" t="s">
        <v>110</v>
      </c>
      <c r="B448" s="69" t="s">
        <v>104</v>
      </c>
      <c r="C448" s="65" t="s">
        <v>808</v>
      </c>
      <c r="D448" s="20">
        <v>60047.25</v>
      </c>
      <c r="E448" s="20">
        <v>1296784</v>
      </c>
      <c r="F448" s="52">
        <v>2022</v>
      </c>
    </row>
    <row r="449" spans="1:6" s="9" customFormat="1" ht="20.399999999999999" hidden="1" customHeight="1" x14ac:dyDescent="0.35">
      <c r="A449" s="52" t="s">
        <v>128</v>
      </c>
      <c r="B449" s="69" t="s">
        <v>698</v>
      </c>
      <c r="C449" s="65" t="s">
        <v>797</v>
      </c>
      <c r="D449" s="20">
        <v>44459.73</v>
      </c>
      <c r="E449" s="20">
        <v>1994599</v>
      </c>
      <c r="F449" s="52">
        <v>2022</v>
      </c>
    </row>
    <row r="450" spans="1:6" s="9" customFormat="1" ht="20.399999999999999" hidden="1" customHeight="1" x14ac:dyDescent="0.35">
      <c r="A450" s="52" t="s">
        <v>128</v>
      </c>
      <c r="B450" s="69" t="s">
        <v>698</v>
      </c>
      <c r="C450" s="65" t="s">
        <v>798</v>
      </c>
      <c r="D450" s="20">
        <v>1462</v>
      </c>
      <c r="E450" s="20">
        <v>69090</v>
      </c>
      <c r="F450" s="52">
        <v>2022</v>
      </c>
    </row>
    <row r="451" spans="1:6" s="9" customFormat="1" ht="20.399999999999999" hidden="1" customHeight="1" x14ac:dyDescent="0.35">
      <c r="A451" s="52" t="s">
        <v>128</v>
      </c>
      <c r="B451" s="69" t="s">
        <v>698</v>
      </c>
      <c r="C451" s="65" t="s">
        <v>799</v>
      </c>
      <c r="D451" s="20">
        <v>533</v>
      </c>
      <c r="E451" s="20">
        <v>34820</v>
      </c>
      <c r="F451" s="52">
        <v>2022</v>
      </c>
    </row>
    <row r="452" spans="1:6" s="9" customFormat="1" ht="20.399999999999999" hidden="1" customHeight="1" x14ac:dyDescent="0.35">
      <c r="A452" s="52" t="s">
        <v>128</v>
      </c>
      <c r="B452" s="69" t="s">
        <v>1586</v>
      </c>
      <c r="C452" s="65" t="s">
        <v>800</v>
      </c>
      <c r="D452" s="20">
        <v>13645.85</v>
      </c>
      <c r="E452" s="20">
        <v>504795</v>
      </c>
      <c r="F452" s="52">
        <v>2022</v>
      </c>
    </row>
    <row r="453" spans="1:6" s="9" customFormat="1" ht="20.399999999999999" hidden="1" customHeight="1" x14ac:dyDescent="0.35">
      <c r="A453" s="52" t="s">
        <v>128</v>
      </c>
      <c r="B453" s="69" t="s">
        <v>698</v>
      </c>
      <c r="C453" s="65" t="s">
        <v>800</v>
      </c>
      <c r="D453" s="20">
        <v>132611.99</v>
      </c>
      <c r="E453" s="20">
        <v>6031024</v>
      </c>
      <c r="F453" s="52">
        <v>2022</v>
      </c>
    </row>
    <row r="454" spans="1:6" s="9" customFormat="1" ht="20.399999999999999" hidden="1" customHeight="1" x14ac:dyDescent="0.35">
      <c r="A454" s="52" t="s">
        <v>128</v>
      </c>
      <c r="B454" s="69" t="s">
        <v>698</v>
      </c>
      <c r="C454" s="65" t="s">
        <v>801</v>
      </c>
      <c r="D454" s="20">
        <v>2484.15</v>
      </c>
      <c r="E454" s="20">
        <v>111807</v>
      </c>
      <c r="F454" s="52">
        <v>2022</v>
      </c>
    </row>
  </sheetData>
  <autoFilter ref="A1:F454" xr:uid="{00000000-0009-0000-0000-00000B000000}">
    <filterColumn colId="1">
      <filters>
        <filter val="ENGRAI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2"/>
  <sheetViews>
    <sheetView tabSelected="1" zoomScale="97" zoomScaleNormal="145" workbookViewId="0">
      <pane ySplit="1" topLeftCell="A2" activePane="bottomLeft" state="frozen"/>
      <selection pane="bottomLeft" activeCell="A15" sqref="A15"/>
    </sheetView>
  </sheetViews>
  <sheetFormatPr baseColWidth="10" defaultRowHeight="14.5" x14ac:dyDescent="0.35"/>
  <cols>
    <col min="1" max="1" width="57.6328125" bestFit="1" customWidth="1"/>
    <col min="2" max="3" width="29.08984375" bestFit="1" customWidth="1"/>
    <col min="4" max="4" width="20.81640625" bestFit="1" customWidth="1"/>
    <col min="5" max="5" width="35.81640625" bestFit="1" customWidth="1"/>
    <col min="6" max="7" width="20.1796875" bestFit="1" customWidth="1"/>
    <col min="8" max="8" width="19.453125" bestFit="1" customWidth="1"/>
    <col min="9" max="9" width="13.90625" bestFit="1" customWidth="1"/>
    <col min="10" max="10" width="28.08984375" bestFit="1" customWidth="1"/>
    <col min="11" max="11" width="12.81640625" bestFit="1" customWidth="1"/>
    <col min="12" max="12" width="16.81640625" bestFit="1" customWidth="1"/>
    <col min="13" max="13" width="30.1796875" bestFit="1" customWidth="1"/>
    <col min="14" max="14" width="47.81640625" bestFit="1" customWidth="1"/>
    <col min="15" max="15" width="26.36328125" bestFit="1" customWidth="1"/>
    <col min="16" max="16" width="32.08984375" bestFit="1" customWidth="1"/>
    <col min="17" max="17" width="32.6328125" bestFit="1" customWidth="1"/>
    <col min="18" max="18" width="33.90625" bestFit="1" customWidth="1"/>
    <col min="19" max="19" width="19.453125" bestFit="1" customWidth="1"/>
    <col min="20" max="20" width="20.1796875" bestFit="1" customWidth="1"/>
    <col min="21" max="21" width="49.1796875" bestFit="1" customWidth="1"/>
    <col min="22" max="22" width="11.36328125" bestFit="1" customWidth="1"/>
    <col min="23" max="23" width="12.81640625" bestFit="1" customWidth="1"/>
    <col min="24" max="24" width="19.453125" bestFit="1" customWidth="1"/>
    <col min="25" max="25" width="20.1796875" bestFit="1" customWidth="1"/>
    <col min="26" max="26" width="19.453125" bestFit="1" customWidth="1"/>
    <col min="27" max="27" width="22" bestFit="1" customWidth="1"/>
  </cols>
  <sheetData>
    <row r="1" spans="1:27" s="1" customFormat="1" ht="26.4" customHeight="1" x14ac:dyDescent="0.35">
      <c r="A1" s="74" t="s">
        <v>0</v>
      </c>
      <c r="B1" s="75" t="s">
        <v>1</v>
      </c>
      <c r="C1" s="75" t="s">
        <v>1</v>
      </c>
      <c r="D1" s="75" t="s">
        <v>133</v>
      </c>
      <c r="E1" s="75" t="s">
        <v>14</v>
      </c>
      <c r="F1" s="75" t="s">
        <v>24</v>
      </c>
      <c r="G1" s="75" t="s">
        <v>30</v>
      </c>
      <c r="H1" s="75" t="s">
        <v>38</v>
      </c>
      <c r="I1" s="75" t="s">
        <v>43</v>
      </c>
      <c r="J1" s="75" t="s">
        <v>51</v>
      </c>
      <c r="K1" s="75" t="s">
        <v>62</v>
      </c>
      <c r="L1" s="75" t="s">
        <v>54</v>
      </c>
      <c r="M1" s="75" t="s">
        <v>67</v>
      </c>
      <c r="N1" s="75" t="s">
        <v>75</v>
      </c>
      <c r="O1" s="75" t="s">
        <v>79</v>
      </c>
      <c r="P1" s="75" t="s">
        <v>89</v>
      </c>
      <c r="Q1" s="75" t="s">
        <v>93</v>
      </c>
      <c r="R1" s="75" t="s">
        <v>96</v>
      </c>
      <c r="S1" s="75" t="s">
        <v>101</v>
      </c>
      <c r="T1" s="75" t="s">
        <v>106</v>
      </c>
      <c r="U1" s="75" t="s">
        <v>110</v>
      </c>
      <c r="V1" s="75" t="s">
        <v>112</v>
      </c>
      <c r="W1" s="75" t="s">
        <v>116</v>
      </c>
      <c r="X1" s="75" t="s">
        <v>118</v>
      </c>
      <c r="Y1" s="75" t="s">
        <v>121</v>
      </c>
      <c r="Z1" s="75" t="s">
        <v>124</v>
      </c>
      <c r="AA1" s="74" t="s">
        <v>128</v>
      </c>
    </row>
    <row r="2" spans="1:27" s="1" customFormat="1" ht="23.4" customHeight="1" x14ac:dyDescent="0.35">
      <c r="A2" s="69" t="s">
        <v>860</v>
      </c>
      <c r="B2" s="69" t="s">
        <v>255</v>
      </c>
      <c r="C2" s="69" t="s">
        <v>255</v>
      </c>
      <c r="D2" s="69" t="s">
        <v>262</v>
      </c>
      <c r="E2" s="69" t="s">
        <v>255</v>
      </c>
      <c r="F2" s="69" t="s">
        <v>255</v>
      </c>
      <c r="G2" s="69" t="s">
        <v>255</v>
      </c>
      <c r="H2" s="69" t="s">
        <v>41</v>
      </c>
      <c r="I2" s="69" t="s">
        <v>46</v>
      </c>
      <c r="J2" s="69" t="s">
        <v>41</v>
      </c>
      <c r="K2" s="69" t="s">
        <v>46</v>
      </c>
      <c r="L2" s="69" t="s">
        <v>57</v>
      </c>
      <c r="M2" s="69" t="s">
        <v>41</v>
      </c>
      <c r="N2" s="69" t="s">
        <v>41</v>
      </c>
      <c r="O2" s="69" t="s">
        <v>41</v>
      </c>
      <c r="P2" s="69" t="s">
        <v>41</v>
      </c>
      <c r="Q2" s="69" t="s">
        <v>41</v>
      </c>
      <c r="R2" s="69" t="s">
        <v>255</v>
      </c>
      <c r="S2" s="69" t="s">
        <v>41</v>
      </c>
      <c r="T2" s="69" t="s">
        <v>57</v>
      </c>
      <c r="U2" s="69" t="s">
        <v>41</v>
      </c>
      <c r="V2" s="69" t="s">
        <v>46</v>
      </c>
      <c r="W2" s="69" t="s">
        <v>46</v>
      </c>
      <c r="X2" s="69" t="s">
        <v>41</v>
      </c>
      <c r="Y2" s="69" t="s">
        <v>255</v>
      </c>
      <c r="Z2" s="69" t="s">
        <v>41</v>
      </c>
      <c r="AA2" s="69" t="s">
        <v>41</v>
      </c>
    </row>
    <row r="3" spans="1:27" s="1" customFormat="1" ht="23.4" customHeight="1" x14ac:dyDescent="0.35">
      <c r="A3" s="69" t="s">
        <v>851</v>
      </c>
      <c r="B3" s="69">
        <v>2584</v>
      </c>
      <c r="C3" s="69">
        <v>76676</v>
      </c>
      <c r="D3" s="69">
        <v>371962</v>
      </c>
      <c r="E3" s="69">
        <v>250124</v>
      </c>
      <c r="F3" s="69"/>
      <c r="G3" s="69">
        <f>427300+143125</f>
        <v>570425</v>
      </c>
      <c r="H3" s="69">
        <v>305747</v>
      </c>
      <c r="I3" s="69">
        <v>8658661.1429999992</v>
      </c>
      <c r="J3" s="69">
        <v>30624697</v>
      </c>
      <c r="K3" s="69">
        <v>3609594</v>
      </c>
      <c r="L3" s="69">
        <v>96271</v>
      </c>
      <c r="M3" s="69">
        <v>24872142</v>
      </c>
      <c r="N3" s="69">
        <v>101515094</v>
      </c>
      <c r="O3" s="69">
        <v>69518821</v>
      </c>
      <c r="P3" s="69">
        <v>17985332</v>
      </c>
      <c r="Q3" s="69">
        <v>49031264</v>
      </c>
      <c r="R3" s="69">
        <v>265256</v>
      </c>
      <c r="S3" s="69">
        <v>677547</v>
      </c>
      <c r="T3" s="69">
        <v>320023</v>
      </c>
      <c r="U3" s="69">
        <v>615792</v>
      </c>
      <c r="V3" s="69">
        <v>305878</v>
      </c>
      <c r="W3" s="69">
        <v>1713724</v>
      </c>
      <c r="X3" s="69">
        <v>2606972</v>
      </c>
      <c r="Y3" s="69">
        <v>7333</v>
      </c>
      <c r="Z3" s="69">
        <f>356801+18622+457+2757+5497+37294+7857+249+9054</f>
        <v>438588</v>
      </c>
      <c r="AA3" s="69">
        <v>64766368</v>
      </c>
    </row>
    <row r="4" spans="1:27" s="1" customFormat="1" ht="23.4" customHeight="1" x14ac:dyDescent="0.35">
      <c r="A4" s="69" t="s">
        <v>852</v>
      </c>
      <c r="B4" s="69">
        <v>396</v>
      </c>
      <c r="C4" s="69">
        <v>390</v>
      </c>
      <c r="D4" s="69">
        <v>19400</v>
      </c>
      <c r="E4" s="69">
        <v>138022</v>
      </c>
      <c r="F4" s="69"/>
      <c r="G4" s="69">
        <v>56454</v>
      </c>
      <c r="H4" s="69">
        <v>265641</v>
      </c>
      <c r="I4" s="69">
        <v>3567973.7259999998</v>
      </c>
      <c r="J4" s="69">
        <v>3202319</v>
      </c>
      <c r="K4" s="69">
        <v>1437424</v>
      </c>
      <c r="L4" s="69">
        <v>165698</v>
      </c>
      <c r="M4" s="69">
        <v>6906052</v>
      </c>
      <c r="N4" s="69">
        <v>21833368</v>
      </c>
      <c r="O4" s="69">
        <v>1546117</v>
      </c>
      <c r="P4" s="69">
        <v>965605</v>
      </c>
      <c r="Q4" s="69">
        <v>1492715</v>
      </c>
      <c r="R4" s="69">
        <v>15002</v>
      </c>
      <c r="S4" s="69">
        <v>312690.27899999998</v>
      </c>
      <c r="T4" s="69">
        <v>662389</v>
      </c>
      <c r="U4" s="69">
        <v>3058457</v>
      </c>
      <c r="V4" s="69">
        <v>144</v>
      </c>
      <c r="W4" s="69">
        <v>1437424</v>
      </c>
      <c r="X4" s="69">
        <v>9089660</v>
      </c>
      <c r="Y4" s="69">
        <v>131</v>
      </c>
      <c r="Z4" s="69">
        <v>33098</v>
      </c>
      <c r="AA4" s="69">
        <v>2588547</v>
      </c>
    </row>
    <row r="5" spans="1:27" s="1" customFormat="1" ht="23.4" customHeight="1" x14ac:dyDescent="0.35">
      <c r="A5" s="69" t="s">
        <v>853</v>
      </c>
      <c r="B5" s="69">
        <v>15292</v>
      </c>
      <c r="C5" s="69">
        <v>65874</v>
      </c>
      <c r="D5" s="69">
        <v>573548</v>
      </c>
      <c r="E5" s="69">
        <v>1260229</v>
      </c>
      <c r="F5" s="69">
        <v>1470</v>
      </c>
      <c r="G5" s="69">
        <v>7074259</v>
      </c>
      <c r="H5" s="69">
        <v>929122</v>
      </c>
      <c r="I5" s="69">
        <v>2042780.118</v>
      </c>
      <c r="J5" s="69">
        <f>124615+502905+370459+452+217698+173994+587294+1081096+53238+30472</f>
        <v>3142223</v>
      </c>
      <c r="K5" s="69">
        <v>944104</v>
      </c>
      <c r="L5" s="69">
        <v>76125</v>
      </c>
      <c r="M5" s="69">
        <v>24215482</v>
      </c>
      <c r="N5" s="69">
        <v>23314619</v>
      </c>
      <c r="O5" s="69">
        <v>5225042</v>
      </c>
      <c r="P5" s="69">
        <v>29709761</v>
      </c>
      <c r="Q5" s="69">
        <v>33389882</v>
      </c>
      <c r="R5" s="69">
        <v>342071</v>
      </c>
      <c r="S5" s="69">
        <v>579406.09900000005</v>
      </c>
      <c r="T5" s="69">
        <v>1004835</v>
      </c>
      <c r="U5" s="69">
        <v>915782</v>
      </c>
      <c r="V5" s="69">
        <v>30751</v>
      </c>
      <c r="W5" s="69">
        <v>949104</v>
      </c>
      <c r="X5" s="69">
        <v>3323503</v>
      </c>
      <c r="Y5" s="69">
        <v>12075</v>
      </c>
      <c r="Z5" s="69">
        <v>897191</v>
      </c>
      <c r="AA5" s="69">
        <v>21345637</v>
      </c>
    </row>
    <row r="6" spans="1:27" s="1" customFormat="1" ht="23.4" customHeight="1" x14ac:dyDescent="0.35">
      <c r="A6" s="69" t="s">
        <v>854</v>
      </c>
      <c r="B6" s="69">
        <v>63</v>
      </c>
      <c r="C6" s="69">
        <v>2858</v>
      </c>
      <c r="D6" s="69">
        <v>3280</v>
      </c>
      <c r="E6" s="69">
        <v>3360</v>
      </c>
      <c r="F6" s="69">
        <v>12814</v>
      </c>
      <c r="G6" s="69">
        <v>9162</v>
      </c>
      <c r="H6" s="69">
        <v>246429</v>
      </c>
      <c r="I6" s="69">
        <v>1204456.155</v>
      </c>
      <c r="J6" s="69">
        <v>240599</v>
      </c>
      <c r="K6" s="69">
        <v>346648</v>
      </c>
      <c r="L6" s="69">
        <v>6297</v>
      </c>
      <c r="M6" s="69">
        <v>5272876</v>
      </c>
      <c r="N6" s="69">
        <v>20</v>
      </c>
      <c r="O6" s="69">
        <v>152903</v>
      </c>
      <c r="P6" s="69">
        <v>5752843</v>
      </c>
      <c r="Q6" s="69">
        <v>15618230</v>
      </c>
      <c r="R6" s="69">
        <v>1008892</v>
      </c>
      <c r="S6" s="69">
        <v>29866.9</v>
      </c>
      <c r="T6" s="69">
        <v>77521</v>
      </c>
      <c r="U6" s="69">
        <v>120847</v>
      </c>
      <c r="V6" s="69">
        <v>2049</v>
      </c>
      <c r="W6" s="69">
        <v>346648</v>
      </c>
      <c r="X6" s="69">
        <v>313756</v>
      </c>
      <c r="Y6" s="69"/>
      <c r="Z6" s="69">
        <v>23495</v>
      </c>
      <c r="AA6" s="69">
        <v>1483978</v>
      </c>
    </row>
    <row r="7" spans="1:27" s="1" customFormat="1" ht="23.4" customHeight="1" x14ac:dyDescent="0.35">
      <c r="A7" s="69" t="s">
        <v>855</v>
      </c>
      <c r="B7" s="69"/>
      <c r="C7" s="69">
        <v>344864</v>
      </c>
      <c r="D7" s="69">
        <v>208537</v>
      </c>
      <c r="E7" s="69">
        <v>1371124</v>
      </c>
      <c r="F7" s="69">
        <v>48395</v>
      </c>
      <c r="G7" s="69">
        <v>1559689</v>
      </c>
      <c r="H7" s="69">
        <v>396836</v>
      </c>
      <c r="I7" s="69">
        <v>1541239.7109999999</v>
      </c>
      <c r="J7" s="69">
        <v>5792073</v>
      </c>
      <c r="K7" s="69">
        <v>544041</v>
      </c>
      <c r="L7" s="69">
        <v>79252</v>
      </c>
      <c r="M7" s="69">
        <v>11472496</v>
      </c>
      <c r="N7" s="69">
        <v>21210355</v>
      </c>
      <c r="O7" s="69">
        <v>6001001</v>
      </c>
      <c r="P7" s="69">
        <v>7337601</v>
      </c>
      <c r="Q7" s="69">
        <v>16698695</v>
      </c>
      <c r="R7" s="69">
        <v>685251</v>
      </c>
      <c r="S7" s="69">
        <v>474897.27500000002</v>
      </c>
      <c r="T7" s="69">
        <v>790066</v>
      </c>
      <c r="U7" s="69">
        <v>766704</v>
      </c>
      <c r="V7" s="69">
        <v>37909</v>
      </c>
      <c r="W7" s="69">
        <v>616879.45900000003</v>
      </c>
      <c r="X7" s="69">
        <v>2039172</v>
      </c>
      <c r="Y7" s="69">
        <v>79200</v>
      </c>
      <c r="Z7" s="69">
        <v>47449</v>
      </c>
      <c r="AA7" s="69">
        <v>10692134</v>
      </c>
    </row>
    <row r="8" spans="1:27" s="1" customFormat="1" ht="23.4" customHeight="1" x14ac:dyDescent="0.35">
      <c r="A8" s="69" t="s">
        <v>856</v>
      </c>
      <c r="B8" s="69"/>
      <c r="C8" s="69">
        <v>14</v>
      </c>
      <c r="D8" s="69">
        <v>12992</v>
      </c>
      <c r="E8" s="69"/>
      <c r="F8" s="69"/>
      <c r="G8" s="69"/>
      <c r="H8" s="69">
        <v>488726</v>
      </c>
      <c r="I8" s="69">
        <v>172531.49</v>
      </c>
      <c r="J8" s="69">
        <v>4530352</v>
      </c>
      <c r="K8" s="69">
        <v>697188</v>
      </c>
      <c r="L8" s="69"/>
      <c r="M8" s="69">
        <v>8160988</v>
      </c>
      <c r="N8" s="69">
        <v>16245573</v>
      </c>
      <c r="O8" s="69">
        <v>2849310</v>
      </c>
      <c r="P8" s="69">
        <v>10960502</v>
      </c>
      <c r="Q8" s="69">
        <v>1197227</v>
      </c>
      <c r="R8" s="69">
        <v>2565</v>
      </c>
      <c r="S8" s="69">
        <v>100061.21799999999</v>
      </c>
      <c r="T8" s="69">
        <v>44239</v>
      </c>
      <c r="U8" s="69">
        <v>30859</v>
      </c>
      <c r="V8" s="69">
        <v>293</v>
      </c>
      <c r="W8" s="69">
        <v>697188</v>
      </c>
      <c r="X8" s="69">
        <v>1129014</v>
      </c>
      <c r="Y8" s="69"/>
      <c r="Z8" s="69">
        <v>299209</v>
      </c>
      <c r="AA8" s="69">
        <v>1588322</v>
      </c>
    </row>
    <row r="9" spans="1:27" s="1" customFormat="1" ht="23.4" customHeight="1" x14ac:dyDescent="0.35">
      <c r="A9" s="69" t="s">
        <v>857</v>
      </c>
      <c r="B9" s="69"/>
      <c r="C9" s="69"/>
      <c r="D9" s="69"/>
      <c r="E9" s="69">
        <v>49579</v>
      </c>
      <c r="F9" s="69">
        <v>74837</v>
      </c>
      <c r="G9" s="69">
        <v>72996</v>
      </c>
      <c r="H9" s="69">
        <v>2741910</v>
      </c>
      <c r="I9" s="69">
        <v>10029.128000000001</v>
      </c>
      <c r="J9" s="69">
        <v>191537</v>
      </c>
      <c r="K9" s="69">
        <v>132256</v>
      </c>
      <c r="L9" s="69">
        <v>11842</v>
      </c>
      <c r="M9" s="69">
        <v>5797376</v>
      </c>
      <c r="N9" s="69">
        <v>7344937</v>
      </c>
      <c r="O9" s="69">
        <v>740304</v>
      </c>
      <c r="P9" s="69">
        <v>588711</v>
      </c>
      <c r="Q9" s="69">
        <v>13707111</v>
      </c>
      <c r="R9" s="69">
        <v>551876</v>
      </c>
      <c r="S9" s="69">
        <v>480900.81300000002</v>
      </c>
      <c r="T9" s="69">
        <v>23267</v>
      </c>
      <c r="U9" s="69"/>
      <c r="V9" s="69">
        <v>18149</v>
      </c>
      <c r="W9" s="69">
        <v>132255</v>
      </c>
      <c r="X9" s="69">
        <v>231208</v>
      </c>
      <c r="Y9" s="69"/>
      <c r="Z9" s="69">
        <v>875791</v>
      </c>
      <c r="AA9" s="69">
        <v>1646800</v>
      </c>
    </row>
    <row r="10" spans="1:27" s="1" customFormat="1" ht="23.4" customHeight="1" x14ac:dyDescent="0.35">
      <c r="A10" s="69" t="s">
        <v>858</v>
      </c>
      <c r="B10" s="69"/>
      <c r="C10" s="69"/>
      <c r="D10" s="69">
        <v>5000</v>
      </c>
      <c r="E10" s="69"/>
      <c r="F10" s="69"/>
      <c r="G10" s="69"/>
      <c r="H10" s="69"/>
      <c r="I10" s="69">
        <v>2380191.9</v>
      </c>
      <c r="J10" s="69"/>
      <c r="K10" s="69">
        <v>374572</v>
      </c>
      <c r="L10" s="69"/>
      <c r="M10" s="69"/>
      <c r="N10" s="69"/>
      <c r="O10" s="69"/>
      <c r="P10" s="69"/>
      <c r="Q10" s="69">
        <v>7298587</v>
      </c>
      <c r="R10" s="69">
        <v>0</v>
      </c>
      <c r="S10" s="69">
        <v>0</v>
      </c>
      <c r="T10" s="69">
        <v>5000</v>
      </c>
      <c r="U10" s="69">
        <v>249178</v>
      </c>
      <c r="V10" s="69"/>
      <c r="W10" s="69">
        <v>371572</v>
      </c>
      <c r="X10" s="69"/>
      <c r="Y10" s="69"/>
      <c r="Z10" s="69"/>
      <c r="AA10" s="69"/>
    </row>
    <row r="11" spans="1:27" s="1" customFormat="1" ht="23.4" customHeight="1" x14ac:dyDescent="0.35">
      <c r="A11" s="69" t="s">
        <v>859</v>
      </c>
      <c r="B11" s="69">
        <v>18335</v>
      </c>
      <c r="C11" s="69">
        <v>490676</v>
      </c>
      <c r="D11" s="69">
        <v>1194719</v>
      </c>
      <c r="E11" s="69">
        <v>3072438</v>
      </c>
      <c r="F11" s="69">
        <v>137516.27600000001</v>
      </c>
      <c r="G11" s="69"/>
      <c r="H11" s="69">
        <v>5374411</v>
      </c>
      <c r="I11" s="69">
        <v>19577863.370999996</v>
      </c>
      <c r="J11" s="69">
        <v>47723800</v>
      </c>
      <c r="K11" s="69">
        <v>8085827</v>
      </c>
      <c r="L11" s="69">
        <v>435485</v>
      </c>
      <c r="M11" s="69">
        <v>86697412</v>
      </c>
      <c r="N11" s="69">
        <v>191463966</v>
      </c>
      <c r="O11" s="69">
        <v>86033498</v>
      </c>
      <c r="P11" s="69">
        <v>73300355</v>
      </c>
      <c r="Q11" s="69">
        <v>138433711</v>
      </c>
      <c r="R11" s="69">
        <v>2870913</v>
      </c>
      <c r="S11" s="69">
        <v>2655369.5839999998</v>
      </c>
      <c r="T11" s="69">
        <v>2927340</v>
      </c>
      <c r="U11" s="69">
        <v>5757619</v>
      </c>
      <c r="V11" s="69">
        <v>395173</v>
      </c>
      <c r="W11" s="69">
        <v>6264794.4589999998</v>
      </c>
      <c r="X11" s="69">
        <v>18733285</v>
      </c>
      <c r="Y11" s="69">
        <v>98739</v>
      </c>
      <c r="Z11" s="69">
        <v>2614821</v>
      </c>
      <c r="AA11" s="69">
        <v>104111786</v>
      </c>
    </row>
    <row r="12" spans="1:27" s="77" customFormat="1" ht="23.4" customHeight="1" x14ac:dyDescent="0.35">
      <c r="A12" s="36" t="s">
        <v>696</v>
      </c>
      <c r="B12" s="36">
        <v>2018</v>
      </c>
      <c r="C12" s="36">
        <v>2018</v>
      </c>
      <c r="D12" s="36">
        <v>2018</v>
      </c>
      <c r="E12" s="36">
        <v>2018</v>
      </c>
      <c r="F12" s="36">
        <v>2018</v>
      </c>
      <c r="G12" s="36">
        <v>2018</v>
      </c>
      <c r="H12" s="36">
        <v>2018</v>
      </c>
      <c r="I12" s="36">
        <v>2018</v>
      </c>
      <c r="J12" s="36">
        <v>2018</v>
      </c>
      <c r="K12" s="36">
        <v>2018</v>
      </c>
      <c r="L12" s="36">
        <v>2018</v>
      </c>
      <c r="M12" s="36">
        <v>2018</v>
      </c>
      <c r="N12" s="36">
        <v>2018</v>
      </c>
      <c r="O12" s="36">
        <v>2018</v>
      </c>
      <c r="P12" s="36">
        <v>2018</v>
      </c>
      <c r="Q12" s="36">
        <v>2018</v>
      </c>
      <c r="R12" s="36">
        <v>2018</v>
      </c>
      <c r="S12" s="36">
        <v>2018</v>
      </c>
      <c r="T12" s="36">
        <v>2018</v>
      </c>
      <c r="U12" s="36">
        <v>2018</v>
      </c>
      <c r="V12" s="36">
        <v>2018</v>
      </c>
      <c r="W12" s="36">
        <v>2018</v>
      </c>
      <c r="X12" s="36">
        <v>2018</v>
      </c>
      <c r="Y12" s="36">
        <v>2018</v>
      </c>
      <c r="Z12" s="36">
        <v>2018</v>
      </c>
      <c r="AA12" s="36">
        <v>2018</v>
      </c>
    </row>
  </sheetData>
  <autoFilter ref="A1:AA12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2"/>
  <sheetViews>
    <sheetView workbookViewId="0">
      <selection activeCell="C17" sqref="C17"/>
    </sheetView>
  </sheetViews>
  <sheetFormatPr baseColWidth="10" defaultColWidth="11.54296875" defaultRowHeight="24" customHeight="1" x14ac:dyDescent="0.35"/>
  <cols>
    <col min="1" max="1" width="65.81640625" style="78" bestFit="1" customWidth="1"/>
    <col min="2" max="3" width="26.54296875" style="78" bestFit="1" customWidth="1"/>
    <col min="4" max="4" width="19.81640625" style="78" bestFit="1" customWidth="1"/>
    <col min="5" max="5" width="32.453125" style="78" bestFit="1" customWidth="1"/>
    <col min="6" max="7" width="19.08984375" style="78" bestFit="1" customWidth="1"/>
    <col min="8" max="9" width="30.1796875" style="78" bestFit="1" customWidth="1"/>
    <col min="10" max="10" width="19.08984375" style="78" bestFit="1" customWidth="1"/>
    <col min="11" max="11" width="18.453125" style="78" bestFit="1" customWidth="1"/>
    <col min="12" max="12" width="13.6328125" style="78" bestFit="1" customWidth="1"/>
    <col min="13" max="13" width="19.08984375" style="78" bestFit="1" customWidth="1"/>
    <col min="14" max="14" width="16.36328125" style="78" bestFit="1" customWidth="1"/>
    <col min="15" max="15" width="25.54296875" style="78" bestFit="1" customWidth="1"/>
    <col min="16" max="16" width="16.36328125" style="78" bestFit="1" customWidth="1"/>
    <col min="17" max="17" width="15.1796875" style="78" bestFit="1" customWidth="1"/>
    <col min="18" max="18" width="27" style="78" bestFit="1" customWidth="1"/>
    <col min="19" max="19" width="43" style="78" bestFit="1" customWidth="1"/>
    <col min="20" max="20" width="23.1796875" style="78" bestFit="1" customWidth="1"/>
    <col min="21" max="21" width="30.36328125" style="78" bestFit="1" customWidth="1"/>
    <col min="22" max="22" width="29.453125" style="78" bestFit="1" customWidth="1"/>
    <col min="23" max="23" width="29" style="78" bestFit="1" customWidth="1"/>
    <col min="24" max="24" width="30.90625" style="78" bestFit="1" customWidth="1"/>
    <col min="25" max="25" width="18.453125" style="78" bestFit="1" customWidth="1"/>
    <col min="26" max="26" width="18" style="78" bestFit="1" customWidth="1"/>
    <col min="27" max="27" width="42.6328125" style="78" bestFit="1" customWidth="1"/>
    <col min="28" max="29" width="15.08984375" style="78" bestFit="1" customWidth="1"/>
    <col min="30" max="30" width="18.453125" style="78" bestFit="1" customWidth="1"/>
    <col min="31" max="31" width="19.08984375" style="78" bestFit="1" customWidth="1"/>
    <col min="32" max="32" width="18.453125" style="78" bestFit="1" customWidth="1"/>
    <col min="33" max="33" width="19.6328125" style="78" bestFit="1" customWidth="1"/>
    <col min="34" max="16384" width="11.54296875" style="78"/>
  </cols>
  <sheetData>
    <row r="1" spans="1:33" ht="24" customHeight="1" x14ac:dyDescent="0.35">
      <c r="A1" s="80" t="s">
        <v>0</v>
      </c>
      <c r="B1" s="80" t="s">
        <v>1</v>
      </c>
      <c r="C1" s="80" t="s">
        <v>1</v>
      </c>
      <c r="D1" s="80" t="s">
        <v>133</v>
      </c>
      <c r="E1" s="80" t="s">
        <v>14</v>
      </c>
      <c r="F1" s="80" t="s">
        <v>24</v>
      </c>
      <c r="G1" s="80" t="s">
        <v>140</v>
      </c>
      <c r="H1" s="80" t="s">
        <v>142</v>
      </c>
      <c r="I1" s="80" t="s">
        <v>142</v>
      </c>
      <c r="J1" s="80" t="s">
        <v>30</v>
      </c>
      <c r="K1" s="80" t="s">
        <v>38</v>
      </c>
      <c r="L1" s="80" t="s">
        <v>151</v>
      </c>
      <c r="M1" s="80" t="s">
        <v>154</v>
      </c>
      <c r="N1" s="80" t="s">
        <v>43</v>
      </c>
      <c r="O1" s="80" t="s">
        <v>51</v>
      </c>
      <c r="P1" s="80" t="s">
        <v>62</v>
      </c>
      <c r="Q1" s="80" t="s">
        <v>54</v>
      </c>
      <c r="R1" s="80" t="s">
        <v>67</v>
      </c>
      <c r="S1" s="80" t="s">
        <v>75</v>
      </c>
      <c r="T1" s="80" t="s">
        <v>79</v>
      </c>
      <c r="U1" s="80" t="s">
        <v>84</v>
      </c>
      <c r="V1" s="80" t="s">
        <v>89</v>
      </c>
      <c r="W1" s="80" t="s">
        <v>93</v>
      </c>
      <c r="X1" s="80" t="s">
        <v>96</v>
      </c>
      <c r="Y1" s="80" t="s">
        <v>101</v>
      </c>
      <c r="Z1" s="80" t="s">
        <v>106</v>
      </c>
      <c r="AA1" s="80" t="s">
        <v>110</v>
      </c>
      <c r="AB1" s="80" t="s">
        <v>112</v>
      </c>
      <c r="AC1" s="80" t="s">
        <v>116</v>
      </c>
      <c r="AD1" s="80" t="s">
        <v>118</v>
      </c>
      <c r="AE1" s="80" t="s">
        <v>121</v>
      </c>
      <c r="AF1" s="80" t="s">
        <v>124</v>
      </c>
      <c r="AG1" s="80" t="s">
        <v>128</v>
      </c>
    </row>
    <row r="2" spans="1:33" ht="24" customHeight="1" x14ac:dyDescent="0.35">
      <c r="A2" s="50" t="s">
        <v>860</v>
      </c>
      <c r="B2" s="50" t="s">
        <v>255</v>
      </c>
      <c r="C2" s="50" t="s">
        <v>255</v>
      </c>
      <c r="D2" s="50" t="s">
        <v>262</v>
      </c>
      <c r="E2" s="50" t="s">
        <v>255</v>
      </c>
      <c r="F2" s="50" t="s">
        <v>255</v>
      </c>
      <c r="G2" s="50" t="s">
        <v>255</v>
      </c>
      <c r="H2" s="50" t="s">
        <v>255</v>
      </c>
      <c r="I2" s="50" t="s">
        <v>255</v>
      </c>
      <c r="J2" s="50" t="s">
        <v>255</v>
      </c>
      <c r="K2" s="50" t="s">
        <v>41</v>
      </c>
      <c r="L2" s="50" t="s">
        <v>46</v>
      </c>
      <c r="M2" s="50" t="s">
        <v>255</v>
      </c>
      <c r="N2" s="50" t="s">
        <v>46</v>
      </c>
      <c r="O2" s="50" t="s">
        <v>41</v>
      </c>
      <c r="P2" s="50" t="s">
        <v>46</v>
      </c>
      <c r="Q2" s="50" t="s">
        <v>57</v>
      </c>
      <c r="R2" s="50" t="s">
        <v>41</v>
      </c>
      <c r="S2" s="50" t="s">
        <v>41</v>
      </c>
      <c r="T2" s="50" t="s">
        <v>41</v>
      </c>
      <c r="U2" s="50" t="s">
        <v>262</v>
      </c>
      <c r="V2" s="50" t="s">
        <v>41</v>
      </c>
      <c r="W2" s="50" t="s">
        <v>41</v>
      </c>
      <c r="X2" s="50" t="s">
        <v>255</v>
      </c>
      <c r="Y2" s="50" t="s">
        <v>41</v>
      </c>
      <c r="Z2" s="50" t="s">
        <v>57</v>
      </c>
      <c r="AA2" s="50" t="s">
        <v>41</v>
      </c>
      <c r="AB2" s="50" t="s">
        <v>46</v>
      </c>
      <c r="AC2" s="50" t="s">
        <v>46</v>
      </c>
      <c r="AD2" s="50" t="s">
        <v>41</v>
      </c>
      <c r="AE2" s="50" t="s">
        <v>255</v>
      </c>
      <c r="AF2" s="50" t="s">
        <v>41</v>
      </c>
      <c r="AG2" s="50" t="s">
        <v>41</v>
      </c>
    </row>
    <row r="3" spans="1:33" ht="24" customHeight="1" x14ac:dyDescent="0.35">
      <c r="A3" s="50" t="s">
        <v>851</v>
      </c>
      <c r="B3" s="50">
        <v>7825</v>
      </c>
      <c r="C3" s="50">
        <v>4034</v>
      </c>
      <c r="D3" s="50">
        <v>102977</v>
      </c>
      <c r="E3" s="50">
        <v>344427</v>
      </c>
      <c r="F3" s="50"/>
      <c r="G3" s="50">
        <v>2025</v>
      </c>
      <c r="H3" s="50">
        <v>73280</v>
      </c>
      <c r="I3" s="50">
        <v>17583</v>
      </c>
      <c r="J3" s="50">
        <v>299091</v>
      </c>
      <c r="K3" s="50"/>
      <c r="L3" s="50">
        <v>522681</v>
      </c>
      <c r="M3" s="50">
        <f>1495+2475+4653+1844</f>
        <v>10467</v>
      </c>
      <c r="N3" s="50">
        <v>8521615.0360000003</v>
      </c>
      <c r="O3" s="50">
        <v>27986990</v>
      </c>
      <c r="P3" s="50">
        <v>5036942</v>
      </c>
      <c r="Q3" s="50">
        <v>209693.18299999999</v>
      </c>
      <c r="R3" s="50">
        <v>20126401</v>
      </c>
      <c r="S3" s="50">
        <v>110673849</v>
      </c>
      <c r="T3" s="50">
        <v>65340697</v>
      </c>
      <c r="U3" s="50">
        <f>1000+1000+7266+134+1687+18549+48445+16537</f>
        <v>94618</v>
      </c>
      <c r="V3" s="50">
        <v>21560625</v>
      </c>
      <c r="W3" s="50">
        <v>54775794</v>
      </c>
      <c r="X3" s="50">
        <v>129731</v>
      </c>
      <c r="Y3" s="50">
        <v>677744</v>
      </c>
      <c r="Z3" s="50">
        <v>608030</v>
      </c>
      <c r="AA3" s="50">
        <v>690815</v>
      </c>
      <c r="AB3" s="50">
        <v>620159</v>
      </c>
      <c r="AC3" s="50">
        <v>1310931</v>
      </c>
      <c r="AD3" s="50">
        <v>4656311</v>
      </c>
      <c r="AE3" s="50">
        <v>12484</v>
      </c>
      <c r="AF3" s="50">
        <v>1001983</v>
      </c>
      <c r="AG3" s="50">
        <v>54690141</v>
      </c>
    </row>
    <row r="4" spans="1:33" ht="24" customHeight="1" x14ac:dyDescent="0.35">
      <c r="A4" s="50" t="s">
        <v>852</v>
      </c>
      <c r="B4" s="50">
        <v>456</v>
      </c>
      <c r="C4" s="50">
        <v>73</v>
      </c>
      <c r="D4" s="50">
        <v>9000</v>
      </c>
      <c r="E4" s="50">
        <v>161489</v>
      </c>
      <c r="F4" s="50"/>
      <c r="G4" s="50"/>
      <c r="H4" s="50">
        <v>1457</v>
      </c>
      <c r="I4" s="50">
        <v>15</v>
      </c>
      <c r="J4" s="50">
        <v>40443</v>
      </c>
      <c r="K4" s="50">
        <v>1504</v>
      </c>
      <c r="L4" s="50"/>
      <c r="M4" s="50">
        <f>662</f>
        <v>662</v>
      </c>
      <c r="N4" s="50">
        <v>93818.660999999993</v>
      </c>
      <c r="O4" s="50">
        <v>227943</v>
      </c>
      <c r="P4" s="50">
        <v>3427573</v>
      </c>
      <c r="Q4" s="50">
        <v>9105.259</v>
      </c>
      <c r="R4" s="50">
        <v>8244536</v>
      </c>
      <c r="S4" s="50">
        <v>26460794</v>
      </c>
      <c r="T4" s="50">
        <v>1326444</v>
      </c>
      <c r="U4" s="50">
        <v>0</v>
      </c>
      <c r="V4" s="50">
        <v>1832046</v>
      </c>
      <c r="W4" s="50">
        <v>1731918</v>
      </c>
      <c r="X4" s="50">
        <v>2744</v>
      </c>
      <c r="Y4" s="50">
        <v>312690.27899999998</v>
      </c>
      <c r="Z4" s="50">
        <v>600101</v>
      </c>
      <c r="AA4" s="50">
        <v>2694194</v>
      </c>
      <c r="AB4" s="50">
        <v>400</v>
      </c>
      <c r="AC4" s="50">
        <v>807407</v>
      </c>
      <c r="AD4" s="50">
        <v>11594668</v>
      </c>
      <c r="AE4" s="50">
        <v>163</v>
      </c>
      <c r="AF4" s="50">
        <v>72450</v>
      </c>
      <c r="AG4" s="50">
        <v>1595743</v>
      </c>
    </row>
    <row r="5" spans="1:33" ht="24" customHeight="1" x14ac:dyDescent="0.35">
      <c r="A5" s="50" t="s">
        <v>853</v>
      </c>
      <c r="B5" s="50">
        <v>31309</v>
      </c>
      <c r="C5" s="50">
        <v>13526</v>
      </c>
      <c r="D5" s="50">
        <v>74532</v>
      </c>
      <c r="E5" s="50">
        <v>1437044</v>
      </c>
      <c r="F5" s="50">
        <v>5</v>
      </c>
      <c r="G5" s="50">
        <v>73011</v>
      </c>
      <c r="H5" s="50">
        <v>633432</v>
      </c>
      <c r="I5" s="50">
        <v>90891</v>
      </c>
      <c r="J5" s="50">
        <v>2454907</v>
      </c>
      <c r="K5" s="50">
        <v>259982</v>
      </c>
      <c r="L5" s="50">
        <v>225489</v>
      </c>
      <c r="M5" s="50">
        <f>690+25+1280+5125+17000+1000+1239+12625+1478</f>
        <v>40462</v>
      </c>
      <c r="N5" s="50">
        <v>1937226.4550000001</v>
      </c>
      <c r="O5" s="50">
        <v>3441680</v>
      </c>
      <c r="P5" s="50">
        <v>2476819</v>
      </c>
      <c r="Q5" s="50">
        <v>155924.96100000001</v>
      </c>
      <c r="R5" s="50">
        <v>22901592</v>
      </c>
      <c r="S5" s="50">
        <v>23618375</v>
      </c>
      <c r="T5" s="50">
        <v>4128688</v>
      </c>
      <c r="U5" s="50">
        <f>82779+26460+33184+5521+284212+20080+14430+121241</f>
        <v>587907</v>
      </c>
      <c r="V5" s="50">
        <v>38850622</v>
      </c>
      <c r="W5" s="50">
        <v>33922375</v>
      </c>
      <c r="X5" s="50">
        <v>153754</v>
      </c>
      <c r="Y5" s="50">
        <v>579406.09900000005</v>
      </c>
      <c r="Z5" s="50">
        <v>1124745</v>
      </c>
      <c r="AA5" s="50">
        <v>1798217</v>
      </c>
      <c r="AB5" s="50">
        <v>175759</v>
      </c>
      <c r="AC5" s="50">
        <v>974661</v>
      </c>
      <c r="AD5" s="50">
        <v>3785603</v>
      </c>
      <c r="AE5" s="50">
        <v>101781</v>
      </c>
      <c r="AF5" s="50">
        <v>646659</v>
      </c>
      <c r="AG5" s="50">
        <v>19828104</v>
      </c>
    </row>
    <row r="6" spans="1:33" ht="24" customHeight="1" x14ac:dyDescent="0.35">
      <c r="A6" s="50" t="s">
        <v>854</v>
      </c>
      <c r="B6" s="50">
        <v>4</v>
      </c>
      <c r="C6" s="50">
        <v>4</v>
      </c>
      <c r="D6" s="50">
        <v>21197</v>
      </c>
      <c r="E6" s="50">
        <v>5644</v>
      </c>
      <c r="F6" s="50">
        <v>657</v>
      </c>
      <c r="G6" s="50">
        <v>2434</v>
      </c>
      <c r="H6" s="50">
        <v>1905</v>
      </c>
      <c r="I6" s="50">
        <v>431</v>
      </c>
      <c r="J6" s="50">
        <v>4666</v>
      </c>
      <c r="K6" s="50">
        <v>363722</v>
      </c>
      <c r="L6" s="50">
        <v>33052</v>
      </c>
      <c r="M6" s="50">
        <v>8068</v>
      </c>
      <c r="N6" s="50">
        <v>986369</v>
      </c>
      <c r="O6" s="50">
        <v>334188</v>
      </c>
      <c r="P6" s="50">
        <v>1476394</v>
      </c>
      <c r="Q6" s="50">
        <v>84561.816999999995</v>
      </c>
      <c r="R6" s="50">
        <v>28</v>
      </c>
      <c r="S6" s="50"/>
      <c r="T6" s="50">
        <v>1818244</v>
      </c>
      <c r="U6" s="50">
        <v>131246.60800000001</v>
      </c>
      <c r="V6" s="50">
        <v>7838925</v>
      </c>
      <c r="W6" s="50">
        <v>11321885</v>
      </c>
      <c r="X6" s="50">
        <v>16051</v>
      </c>
      <c r="Y6" s="50">
        <v>29866.9</v>
      </c>
      <c r="Z6" s="50">
        <v>49718</v>
      </c>
      <c r="AA6" s="50">
        <v>96827</v>
      </c>
      <c r="AB6" s="50">
        <v>45981</v>
      </c>
      <c r="AC6" s="50">
        <v>211647</v>
      </c>
      <c r="AD6" s="50">
        <v>463260</v>
      </c>
      <c r="AE6" s="50">
        <v>548</v>
      </c>
      <c r="AF6" s="50">
        <v>20426</v>
      </c>
      <c r="AG6" s="50">
        <v>1486379</v>
      </c>
    </row>
    <row r="7" spans="1:33" ht="24" customHeight="1" x14ac:dyDescent="0.35">
      <c r="A7" s="50" t="s">
        <v>855</v>
      </c>
      <c r="B7" s="50">
        <v>49063</v>
      </c>
      <c r="C7" s="50">
        <v>102761</v>
      </c>
      <c r="D7" s="50">
        <v>63225</v>
      </c>
      <c r="E7" s="50">
        <v>1170026</v>
      </c>
      <c r="F7" s="50">
        <v>18098</v>
      </c>
      <c r="G7" s="50"/>
      <c r="H7" s="50"/>
      <c r="I7" s="50"/>
      <c r="J7" s="50">
        <v>989744</v>
      </c>
      <c r="K7" s="50">
        <v>226524</v>
      </c>
      <c r="L7" s="50">
        <v>148407</v>
      </c>
      <c r="M7" s="50">
        <f>91789+53522+2453</f>
        <v>147764</v>
      </c>
      <c r="N7" s="50">
        <v>1699369.67</v>
      </c>
      <c r="O7" s="50">
        <v>5867066</v>
      </c>
      <c r="P7" s="50">
        <v>838215</v>
      </c>
      <c r="Q7" s="50">
        <v>25854.179</v>
      </c>
      <c r="R7" s="50">
        <v>18052261</v>
      </c>
      <c r="S7" s="50">
        <v>21683657</v>
      </c>
      <c r="T7" s="50">
        <v>6427710</v>
      </c>
      <c r="U7" s="50">
        <f>677070.404+364198+248835+23010+41025</f>
        <v>1354138.4040000001</v>
      </c>
      <c r="V7" s="50">
        <v>8555427</v>
      </c>
      <c r="W7" s="50">
        <v>9366437</v>
      </c>
      <c r="X7" s="50">
        <v>421677</v>
      </c>
      <c r="Y7" s="50">
        <v>474897.27500000002</v>
      </c>
      <c r="Z7" s="50">
        <v>704057</v>
      </c>
      <c r="AA7" s="50">
        <v>553224</v>
      </c>
      <c r="AB7" s="50">
        <v>156621</v>
      </c>
      <c r="AC7" s="50">
        <v>586501</v>
      </c>
      <c r="AD7" s="50">
        <v>2461786</v>
      </c>
      <c r="AE7" s="50"/>
      <c r="AF7" s="50">
        <v>841755</v>
      </c>
      <c r="AG7" s="50">
        <v>11213771</v>
      </c>
    </row>
    <row r="8" spans="1:33" ht="24" customHeight="1" x14ac:dyDescent="0.35">
      <c r="A8" s="50" t="s">
        <v>856</v>
      </c>
      <c r="B8" s="50">
        <v>0</v>
      </c>
      <c r="C8" s="50">
        <v>0</v>
      </c>
      <c r="D8" s="50"/>
      <c r="E8" s="50"/>
      <c r="F8" s="50"/>
      <c r="G8" s="50"/>
      <c r="H8" s="50"/>
      <c r="I8" s="50"/>
      <c r="J8" s="50"/>
      <c r="K8" s="50">
        <v>1072522</v>
      </c>
      <c r="L8" s="50"/>
      <c r="M8" s="50"/>
      <c r="N8" s="50">
        <v>3780.7089999999998</v>
      </c>
      <c r="O8" s="50">
        <v>2967372</v>
      </c>
      <c r="P8" s="50">
        <v>555263</v>
      </c>
      <c r="Q8" s="50"/>
      <c r="R8" s="50">
        <v>7449430</v>
      </c>
      <c r="S8" s="50">
        <v>10408614</v>
      </c>
      <c r="T8" s="50">
        <v>2268659</v>
      </c>
      <c r="U8" s="50">
        <v>0</v>
      </c>
      <c r="V8" s="50">
        <v>7516331</v>
      </c>
      <c r="W8" s="50">
        <v>783248</v>
      </c>
      <c r="X8" s="50">
        <v>78</v>
      </c>
      <c r="Y8" s="50">
        <v>100061.21799999999</v>
      </c>
      <c r="Z8" s="50">
        <v>37570</v>
      </c>
      <c r="AA8" s="50">
        <v>23615</v>
      </c>
      <c r="AB8" s="50">
        <v>458</v>
      </c>
      <c r="AC8" s="50">
        <v>611964</v>
      </c>
      <c r="AD8" s="50">
        <v>1384535</v>
      </c>
      <c r="AE8" s="50"/>
      <c r="AF8" s="50">
        <v>201877</v>
      </c>
      <c r="AG8" s="50">
        <v>1766009</v>
      </c>
    </row>
    <row r="9" spans="1:33" ht="24" customHeight="1" x14ac:dyDescent="0.35">
      <c r="A9" s="50" t="s">
        <v>857</v>
      </c>
      <c r="B9" s="50"/>
      <c r="C9" s="50">
        <v>27643</v>
      </c>
      <c r="D9" s="50">
        <v>43</v>
      </c>
      <c r="E9" s="50">
        <v>52184</v>
      </c>
      <c r="F9" s="50"/>
      <c r="G9" s="50"/>
      <c r="H9" s="50"/>
      <c r="I9" s="50"/>
      <c r="J9" s="50">
        <v>24877</v>
      </c>
      <c r="K9" s="50">
        <v>246501</v>
      </c>
      <c r="L9" s="50"/>
      <c r="M9" s="50"/>
      <c r="N9" s="50">
        <v>112581.758</v>
      </c>
      <c r="O9" s="50">
        <v>299527</v>
      </c>
      <c r="P9" s="50">
        <v>510155</v>
      </c>
      <c r="Q9" s="50">
        <v>836.2</v>
      </c>
      <c r="R9" s="50">
        <v>727774</v>
      </c>
      <c r="S9" s="50">
        <v>9048841</v>
      </c>
      <c r="T9" s="50">
        <v>723209</v>
      </c>
      <c r="U9" s="50">
        <v>0</v>
      </c>
      <c r="V9" s="50">
        <v>24704471</v>
      </c>
      <c r="W9" s="50">
        <v>1144188</v>
      </c>
      <c r="X9" s="50">
        <v>634334</v>
      </c>
      <c r="Y9" s="50">
        <v>480900.81300000002</v>
      </c>
      <c r="Z9" s="50">
        <v>75605</v>
      </c>
      <c r="AA9" s="50">
        <v>28536</v>
      </c>
      <c r="AB9" s="50">
        <v>134633</v>
      </c>
      <c r="AC9" s="50">
        <v>112756</v>
      </c>
      <c r="AD9" s="50">
        <v>291659</v>
      </c>
      <c r="AE9" s="50"/>
      <c r="AF9" s="50">
        <v>71129</v>
      </c>
      <c r="AG9" s="50">
        <v>255106</v>
      </c>
    </row>
    <row r="10" spans="1:33" ht="24" customHeight="1" x14ac:dyDescent="0.35">
      <c r="A10" s="50" t="s">
        <v>858</v>
      </c>
      <c r="B10" s="50"/>
      <c r="C10" s="50">
        <v>0</v>
      </c>
      <c r="D10" s="50">
        <v>85122</v>
      </c>
      <c r="E10" s="50"/>
      <c r="F10" s="50">
        <v>500</v>
      </c>
      <c r="G10" s="50"/>
      <c r="H10" s="50"/>
      <c r="I10" s="50"/>
      <c r="J10" s="50"/>
      <c r="K10" s="50"/>
      <c r="L10" s="50">
        <v>5000</v>
      </c>
      <c r="M10" s="50"/>
      <c r="N10" s="50">
        <v>671478.6</v>
      </c>
      <c r="O10" s="50"/>
      <c r="P10" s="50">
        <v>2431518</v>
      </c>
      <c r="Q10" s="50">
        <v>655.20000000000005</v>
      </c>
      <c r="R10" s="50"/>
      <c r="S10" s="50"/>
      <c r="T10" s="50"/>
      <c r="U10" s="50">
        <v>0</v>
      </c>
      <c r="V10" s="50">
        <v>0</v>
      </c>
      <c r="W10" s="50">
        <v>9388018</v>
      </c>
      <c r="X10" s="50">
        <v>0</v>
      </c>
      <c r="Y10" s="50">
        <v>0</v>
      </c>
      <c r="Z10" s="50">
        <v>5000</v>
      </c>
      <c r="AA10" s="50">
        <v>150845</v>
      </c>
      <c r="AB10" s="50">
        <v>4290</v>
      </c>
      <c r="AC10" s="50">
        <v>5000</v>
      </c>
      <c r="AD10" s="50">
        <v>0</v>
      </c>
      <c r="AE10" s="50"/>
      <c r="AF10" s="50"/>
      <c r="AG10" s="50"/>
    </row>
    <row r="11" spans="1:33" ht="24" customHeight="1" x14ac:dyDescent="0.35">
      <c r="A11" s="50" t="s">
        <v>859</v>
      </c>
      <c r="B11" s="50">
        <v>88657</v>
      </c>
      <c r="C11" s="50">
        <v>148041</v>
      </c>
      <c r="D11" s="50">
        <v>356096</v>
      </c>
      <c r="E11" s="50">
        <v>3170814</v>
      </c>
      <c r="F11" s="50">
        <v>19260</v>
      </c>
      <c r="G11" s="50">
        <v>77470</v>
      </c>
      <c r="H11" s="50">
        <v>710074</v>
      </c>
      <c r="I11" s="50">
        <v>108920</v>
      </c>
      <c r="J11" s="50"/>
      <c r="K11" s="50">
        <v>2170755</v>
      </c>
      <c r="L11" s="50">
        <v>934629</v>
      </c>
      <c r="M11" s="50">
        <v>207423</v>
      </c>
      <c r="N11" s="50">
        <v>14026239.889</v>
      </c>
      <c r="O11" s="50">
        <v>41124766</v>
      </c>
      <c r="P11" s="50">
        <v>16752879</v>
      </c>
      <c r="Q11" s="50">
        <v>486630.799</v>
      </c>
      <c r="R11" s="50">
        <v>77502022</v>
      </c>
      <c r="S11" s="50">
        <v>201894130</v>
      </c>
      <c r="T11" s="50">
        <v>82033651</v>
      </c>
      <c r="U11" s="50">
        <v>2167910.0120000001</v>
      </c>
      <c r="V11" s="50">
        <v>110858447</v>
      </c>
      <c r="W11" s="50">
        <v>122433863</v>
      </c>
      <c r="X11" s="50">
        <v>1358369</v>
      </c>
      <c r="Y11" s="50">
        <v>2655566.5839999998</v>
      </c>
      <c r="Z11" s="50">
        <v>3204826</v>
      </c>
      <c r="AA11" s="50">
        <v>6036273</v>
      </c>
      <c r="AB11" s="50">
        <v>1138301</v>
      </c>
      <c r="AC11" s="50">
        <v>4620867</v>
      </c>
      <c r="AD11" s="50">
        <v>24637822</v>
      </c>
      <c r="AE11" s="50">
        <v>114976</v>
      </c>
      <c r="AF11" s="50">
        <v>2856279</v>
      </c>
      <c r="AG11" s="50">
        <f>SUM(AG3:AG10)</f>
        <v>90835253</v>
      </c>
    </row>
    <row r="12" spans="1:33" s="79" customFormat="1" ht="24" customHeight="1" x14ac:dyDescent="0.35">
      <c r="A12" s="76" t="s">
        <v>696</v>
      </c>
      <c r="B12" s="76">
        <v>2019</v>
      </c>
      <c r="C12" s="76">
        <v>2019</v>
      </c>
      <c r="D12" s="76">
        <v>2019</v>
      </c>
      <c r="E12" s="76">
        <v>2019</v>
      </c>
      <c r="F12" s="76">
        <v>2019</v>
      </c>
      <c r="G12" s="76">
        <v>2019</v>
      </c>
      <c r="H12" s="76">
        <v>2019</v>
      </c>
      <c r="I12" s="76">
        <v>2019</v>
      </c>
      <c r="J12" s="76">
        <v>2019</v>
      </c>
      <c r="K12" s="76">
        <v>2019</v>
      </c>
      <c r="L12" s="76">
        <v>2019</v>
      </c>
      <c r="M12" s="76">
        <v>2019</v>
      </c>
      <c r="N12" s="76">
        <v>2019</v>
      </c>
      <c r="O12" s="76">
        <v>2019</v>
      </c>
      <c r="P12" s="76">
        <v>2019</v>
      </c>
      <c r="Q12" s="76">
        <v>2019</v>
      </c>
      <c r="R12" s="76">
        <v>2019</v>
      </c>
      <c r="S12" s="76">
        <v>2019</v>
      </c>
      <c r="T12" s="76">
        <v>2019</v>
      </c>
      <c r="U12" s="76">
        <v>2019</v>
      </c>
      <c r="V12" s="76">
        <v>2019</v>
      </c>
      <c r="W12" s="76">
        <v>2019</v>
      </c>
      <c r="X12" s="76">
        <v>2019</v>
      </c>
      <c r="Y12" s="76">
        <v>2019</v>
      </c>
      <c r="Z12" s="76">
        <v>2019</v>
      </c>
      <c r="AA12" s="76">
        <v>2019</v>
      </c>
      <c r="AB12" s="76">
        <v>2019</v>
      </c>
      <c r="AC12" s="76">
        <v>2019</v>
      </c>
      <c r="AD12" s="76">
        <v>2019</v>
      </c>
      <c r="AE12" s="76">
        <v>2019</v>
      </c>
      <c r="AF12" s="76">
        <v>2019</v>
      </c>
      <c r="AG12" s="76">
        <v>2019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79"/>
  <sheetViews>
    <sheetView workbookViewId="0">
      <pane xSplit="1" ySplit="57" topLeftCell="AC59" activePane="bottomRight" state="frozen"/>
      <selection pane="topRight" activeCell="B1" sqref="B1"/>
      <selection pane="bottomLeft" activeCell="A58" sqref="A58"/>
      <selection pane="bottomRight" activeCell="AE59" sqref="AE59"/>
    </sheetView>
  </sheetViews>
  <sheetFormatPr baseColWidth="10" defaultColWidth="11.54296875" defaultRowHeight="14.5" x14ac:dyDescent="0.35"/>
  <cols>
    <col min="1" max="1" width="30.36328125" style="1" bestFit="1" customWidth="1"/>
    <col min="2" max="2" width="12.1796875" style="1" bestFit="1" customWidth="1"/>
    <col min="3" max="3" width="31.08984375" style="1" bestFit="1" customWidth="1"/>
    <col min="4" max="4" width="12.54296875" style="1" bestFit="1" customWidth="1"/>
    <col min="5" max="5" width="15.54296875" style="1" bestFit="1" customWidth="1"/>
    <col min="6" max="6" width="34.6328125" style="1" bestFit="1" customWidth="1"/>
    <col min="7" max="7" width="12" style="1" bestFit="1" customWidth="1"/>
    <col min="8" max="8" width="21.08984375" style="1" bestFit="1" customWidth="1"/>
    <col min="9" max="9" width="17" style="1" bestFit="1" customWidth="1"/>
    <col min="10" max="10" width="14" style="1" bestFit="1" customWidth="1"/>
    <col min="11" max="11" width="24.36328125" style="1" bestFit="1" customWidth="1"/>
    <col min="12" max="12" width="37.453125" style="1" bestFit="1" customWidth="1"/>
    <col min="13" max="13" width="13.81640625" style="1" bestFit="1" customWidth="1"/>
    <col min="14" max="14" width="37.81640625" style="1" bestFit="1" customWidth="1"/>
    <col min="15" max="15" width="19.08984375" style="1" bestFit="1" customWidth="1"/>
    <col min="16" max="16" width="23.1796875" style="1" bestFit="1" customWidth="1"/>
    <col min="17" max="17" width="26.90625" style="1" bestFit="1" customWidth="1"/>
    <col min="18" max="18" width="12.6328125" style="1" bestFit="1" customWidth="1"/>
    <col min="19" max="19" width="12.1796875" style="1" bestFit="1" customWidth="1"/>
    <col min="20" max="20" width="13.90625" style="1" bestFit="1" customWidth="1"/>
    <col min="21" max="21" width="28.08984375" style="1" bestFit="1" customWidth="1"/>
    <col min="22" max="22" width="42.81640625" style="1" bestFit="1" customWidth="1"/>
    <col min="23" max="23" width="19.1796875" style="1" bestFit="1" customWidth="1"/>
    <col min="24" max="24" width="12.1796875" style="1" bestFit="1" customWidth="1"/>
    <col min="25" max="25" width="34.453125" style="1" bestFit="1" customWidth="1"/>
    <col min="26" max="26" width="38.6328125" style="1" bestFit="1" customWidth="1"/>
    <col min="27" max="27" width="23.6328125" style="1" bestFit="1" customWidth="1"/>
    <col min="28" max="28" width="30" style="1" bestFit="1" customWidth="1"/>
    <col min="29" max="29" width="25.54296875" style="1" bestFit="1" customWidth="1"/>
    <col min="30" max="30" width="15.90625" style="1" bestFit="1" customWidth="1"/>
    <col min="31" max="31" width="36.1796875" style="1" bestFit="1" customWidth="1"/>
    <col min="32" max="32" width="15.54296875" style="1" bestFit="1" customWidth="1"/>
    <col min="33" max="34" width="28.54296875" style="1" bestFit="1" customWidth="1"/>
    <col min="35" max="35" width="16.36328125" style="1" bestFit="1" customWidth="1"/>
    <col min="36" max="36" width="15.54296875" style="1" bestFit="1" customWidth="1"/>
    <col min="37" max="37" width="20" style="1" bestFit="1" customWidth="1"/>
    <col min="38" max="38" width="17.81640625" style="1" bestFit="1" customWidth="1"/>
    <col min="39" max="39" width="16.54296875" style="1" bestFit="1" customWidth="1"/>
    <col min="40" max="40" width="61" style="1" bestFit="1" customWidth="1"/>
    <col min="41" max="41" width="12.81640625" style="1" bestFit="1" customWidth="1"/>
    <col min="42" max="42" width="19.54296875" style="1" bestFit="1" customWidth="1"/>
    <col min="43" max="43" width="17" style="1" bestFit="1" customWidth="1"/>
    <col min="44" max="44" width="21.453125" style="1" bestFit="1" customWidth="1"/>
    <col min="45" max="45" width="13.81640625" style="1" bestFit="1" customWidth="1"/>
    <col min="46" max="46" width="20.54296875" style="1" bestFit="1" customWidth="1"/>
    <col min="47" max="47" width="10.453125" style="1" bestFit="1" customWidth="1"/>
    <col min="48" max="48" width="34.453125" style="1" bestFit="1" customWidth="1"/>
    <col min="49" max="49" width="15" style="1" bestFit="1" customWidth="1"/>
    <col min="50" max="50" width="12.1796875" style="1" bestFit="1" customWidth="1"/>
    <col min="51" max="51" width="19.54296875" style="1" bestFit="1" customWidth="1"/>
    <col min="52" max="52" width="27.453125" style="1" bestFit="1" customWidth="1"/>
    <col min="53" max="53" width="28.90625" style="1" bestFit="1" customWidth="1"/>
    <col min="54" max="54" width="12.81640625" style="1" bestFit="1" customWidth="1"/>
    <col min="55" max="55" width="12.1796875" style="1" bestFit="1" customWidth="1"/>
    <col min="56" max="56" width="12.81640625" style="1" bestFit="1" customWidth="1"/>
    <col min="57" max="57" width="21.36328125" style="1" bestFit="1" customWidth="1"/>
    <col min="58" max="58" width="28.6328125" style="1" bestFit="1" customWidth="1"/>
    <col min="59" max="59" width="13.90625" style="1" bestFit="1" customWidth="1"/>
    <col min="60" max="60" width="30.453125" style="1" bestFit="1" customWidth="1"/>
    <col min="61" max="61" width="16.453125" style="1" bestFit="1" customWidth="1"/>
    <col min="62" max="62" width="17.90625" style="1" bestFit="1" customWidth="1"/>
    <col min="63" max="16384" width="11.54296875" style="1"/>
  </cols>
  <sheetData>
    <row r="1" spans="1:62" ht="23.4" customHeight="1" x14ac:dyDescent="0.35">
      <c r="A1" s="81" t="s">
        <v>617</v>
      </c>
      <c r="B1" s="81" t="s">
        <v>248</v>
      </c>
      <c r="C1" s="81" t="s">
        <v>250</v>
      </c>
      <c r="D1" s="81" t="s">
        <v>428</v>
      </c>
      <c r="E1" s="82" t="s">
        <v>434</v>
      </c>
      <c r="F1" s="81" t="s">
        <v>14</v>
      </c>
      <c r="G1" s="81" t="s">
        <v>264</v>
      </c>
      <c r="H1" s="82" t="s">
        <v>445</v>
      </c>
      <c r="I1" s="81" t="s">
        <v>273</v>
      </c>
      <c r="J1" s="81" t="s">
        <v>276</v>
      </c>
      <c r="K1" s="81" t="s">
        <v>278</v>
      </c>
      <c r="L1" s="81" t="s">
        <v>282</v>
      </c>
      <c r="M1" s="81" t="s">
        <v>292</v>
      </c>
      <c r="N1" s="81" t="s">
        <v>861</v>
      </c>
      <c r="O1" s="81" t="s">
        <v>300</v>
      </c>
      <c r="P1" s="82" t="s">
        <v>314</v>
      </c>
      <c r="Q1" s="81" t="s">
        <v>317</v>
      </c>
      <c r="R1" s="81" t="s">
        <v>323</v>
      </c>
      <c r="S1" s="81" t="s">
        <v>38</v>
      </c>
      <c r="T1" s="81" t="s">
        <v>62</v>
      </c>
      <c r="U1" s="81" t="s">
        <v>517</v>
      </c>
      <c r="V1" s="81" t="s">
        <v>73</v>
      </c>
      <c r="W1" s="81" t="s">
        <v>341</v>
      </c>
      <c r="X1" s="81" t="s">
        <v>344</v>
      </c>
      <c r="Y1" s="81" t="s">
        <v>346</v>
      </c>
      <c r="Z1" s="81" t="s">
        <v>348</v>
      </c>
      <c r="AA1" s="81" t="s">
        <v>540</v>
      </c>
      <c r="AB1" s="81" t="s">
        <v>360</v>
      </c>
      <c r="AC1" s="81" t="s">
        <v>363</v>
      </c>
      <c r="AD1" s="81" t="s">
        <v>370</v>
      </c>
      <c r="AE1" s="81" t="s">
        <v>373</v>
      </c>
      <c r="AF1" s="81" t="s">
        <v>374</v>
      </c>
      <c r="AG1" s="81" t="s">
        <v>376</v>
      </c>
      <c r="AH1" s="81" t="s">
        <v>377</v>
      </c>
      <c r="AI1" s="81" t="s">
        <v>382</v>
      </c>
      <c r="AJ1" s="81" t="s">
        <v>384</v>
      </c>
      <c r="AK1" s="81" t="s">
        <v>106</v>
      </c>
      <c r="AL1" s="81" t="s">
        <v>388</v>
      </c>
      <c r="AM1" s="81" t="s">
        <v>118</v>
      </c>
      <c r="AN1" s="81" t="s">
        <v>391</v>
      </c>
      <c r="AO1" s="81" t="s">
        <v>116</v>
      </c>
      <c r="AP1" s="81" t="s">
        <v>400</v>
      </c>
      <c r="AQ1" s="81" t="s">
        <v>124</v>
      </c>
      <c r="AR1" s="81" t="s">
        <v>128</v>
      </c>
      <c r="AS1" s="81" t="s">
        <v>402</v>
      </c>
      <c r="AT1" s="81" t="s">
        <v>862</v>
      </c>
      <c r="AU1" s="81" t="s">
        <v>863</v>
      </c>
      <c r="AV1" s="81" t="s">
        <v>864</v>
      </c>
      <c r="AW1" s="81" t="s">
        <v>329</v>
      </c>
      <c r="AX1" s="81" t="s">
        <v>865</v>
      </c>
      <c r="AY1" s="81" t="s">
        <v>351</v>
      </c>
      <c r="AZ1" s="81" t="s">
        <v>354</v>
      </c>
      <c r="BA1" s="81" t="s">
        <v>866</v>
      </c>
      <c r="BB1" s="81" t="s">
        <v>112</v>
      </c>
      <c r="BC1" s="81" t="s">
        <v>269</v>
      </c>
      <c r="BD1" s="81" t="s">
        <v>289</v>
      </c>
      <c r="BE1" s="81" t="s">
        <v>867</v>
      </c>
      <c r="BF1" s="81" t="s">
        <v>868</v>
      </c>
      <c r="BG1" s="81" t="s">
        <v>43</v>
      </c>
      <c r="BH1" s="81" t="s">
        <v>869</v>
      </c>
      <c r="BI1" s="81" t="s">
        <v>422</v>
      </c>
      <c r="BJ1" s="81" t="s">
        <v>870</v>
      </c>
    </row>
    <row r="2" spans="1:62" ht="25.75" hidden="1" customHeight="1" x14ac:dyDescent="0.35">
      <c r="A2" s="83" t="s">
        <v>871</v>
      </c>
      <c r="B2" s="83">
        <v>7</v>
      </c>
      <c r="C2" s="83">
        <v>0</v>
      </c>
      <c r="D2" s="83">
        <v>28</v>
      </c>
      <c r="E2" s="83">
        <v>32</v>
      </c>
      <c r="F2" s="83">
        <v>71</v>
      </c>
      <c r="G2" s="83">
        <v>0</v>
      </c>
      <c r="H2" s="83">
        <v>0</v>
      </c>
      <c r="I2" s="83">
        <v>2</v>
      </c>
      <c r="J2" s="83">
        <v>68</v>
      </c>
      <c r="K2" s="83">
        <v>3</v>
      </c>
      <c r="L2" s="83">
        <v>0</v>
      </c>
      <c r="M2" s="83">
        <v>55</v>
      </c>
      <c r="N2" s="83">
        <v>0</v>
      </c>
      <c r="O2" s="83">
        <v>273</v>
      </c>
      <c r="P2" s="83">
        <v>0</v>
      </c>
      <c r="Q2" s="83">
        <v>167</v>
      </c>
      <c r="R2" s="83">
        <v>0</v>
      </c>
      <c r="S2" s="83">
        <v>0</v>
      </c>
      <c r="T2" s="83">
        <v>0</v>
      </c>
      <c r="U2" s="83">
        <v>98</v>
      </c>
      <c r="V2" s="83">
        <v>10</v>
      </c>
      <c r="W2" s="83">
        <v>0</v>
      </c>
      <c r="X2" s="83">
        <v>77</v>
      </c>
      <c r="Y2" s="83">
        <v>0</v>
      </c>
      <c r="Z2" s="83">
        <v>0</v>
      </c>
      <c r="AA2" s="83">
        <v>4</v>
      </c>
      <c r="AB2" s="83">
        <v>278</v>
      </c>
      <c r="AC2" s="83">
        <v>68</v>
      </c>
      <c r="AD2" s="83">
        <v>3</v>
      </c>
      <c r="AE2" s="83">
        <v>0</v>
      </c>
      <c r="AF2" s="83">
        <v>0</v>
      </c>
      <c r="AG2" s="83">
        <v>0</v>
      </c>
      <c r="AH2" s="83">
        <v>11</v>
      </c>
      <c r="AI2" s="83">
        <v>79</v>
      </c>
      <c r="AJ2" s="83">
        <v>0</v>
      </c>
      <c r="AK2" s="83">
        <v>75</v>
      </c>
      <c r="AL2" s="83">
        <v>0</v>
      </c>
      <c r="AM2" s="83">
        <v>113</v>
      </c>
      <c r="AN2" s="83">
        <v>38</v>
      </c>
      <c r="AO2" s="83">
        <v>0</v>
      </c>
      <c r="AP2" s="83">
        <v>2</v>
      </c>
      <c r="AQ2" s="83">
        <v>56</v>
      </c>
      <c r="AR2" s="83"/>
      <c r="AS2" s="83"/>
      <c r="AT2" s="83">
        <v>101</v>
      </c>
      <c r="AU2" s="83"/>
      <c r="AV2" s="83"/>
      <c r="AW2" s="83">
        <v>7</v>
      </c>
      <c r="AX2" s="83"/>
      <c r="AY2" s="83"/>
      <c r="AZ2" s="83"/>
      <c r="BA2" s="83">
        <v>58</v>
      </c>
      <c r="BB2" s="83"/>
      <c r="BC2" s="83"/>
      <c r="BD2" s="83">
        <v>24</v>
      </c>
      <c r="BE2" s="83"/>
      <c r="BF2" s="83"/>
      <c r="BG2" s="83"/>
      <c r="BH2" s="83">
        <v>9</v>
      </c>
      <c r="BI2" s="83"/>
      <c r="BJ2" s="83"/>
    </row>
    <row r="3" spans="1:62" ht="25.75" hidden="1" customHeight="1" x14ac:dyDescent="0.35">
      <c r="A3" s="83" t="s">
        <v>872</v>
      </c>
      <c r="B3" s="83">
        <v>0</v>
      </c>
      <c r="C3" s="83">
        <v>0</v>
      </c>
      <c r="D3" s="83">
        <v>325000</v>
      </c>
      <c r="E3" s="83">
        <v>1112368</v>
      </c>
      <c r="F3" s="83">
        <v>461688</v>
      </c>
      <c r="G3" s="83">
        <v>0</v>
      </c>
      <c r="H3" s="83">
        <v>0</v>
      </c>
      <c r="I3" s="83">
        <v>12491</v>
      </c>
      <c r="J3" s="85">
        <v>2259406</v>
      </c>
      <c r="K3" s="83">
        <v>120413</v>
      </c>
      <c r="L3" s="83">
        <v>0</v>
      </c>
      <c r="M3" s="83">
        <v>0</v>
      </c>
      <c r="N3" s="83">
        <v>0</v>
      </c>
      <c r="O3" s="83">
        <v>38626</v>
      </c>
      <c r="P3" s="83">
        <v>0</v>
      </c>
      <c r="Q3" s="83">
        <v>23881936</v>
      </c>
      <c r="R3" s="83">
        <v>0</v>
      </c>
      <c r="S3" s="83">
        <v>0</v>
      </c>
      <c r="T3" s="83">
        <v>0</v>
      </c>
      <c r="U3" s="83">
        <v>662578518</v>
      </c>
      <c r="V3" s="83">
        <v>236098</v>
      </c>
      <c r="W3" s="83">
        <v>0</v>
      </c>
      <c r="X3" s="83">
        <v>0</v>
      </c>
      <c r="Y3" s="83">
        <v>0</v>
      </c>
      <c r="Z3" s="83">
        <v>0</v>
      </c>
      <c r="AA3" s="83">
        <v>0</v>
      </c>
      <c r="AB3" s="83">
        <v>1011427</v>
      </c>
      <c r="AC3" s="83">
        <v>383529</v>
      </c>
      <c r="AD3" s="83">
        <v>0</v>
      </c>
      <c r="AE3" s="83">
        <v>0</v>
      </c>
      <c r="AF3" s="83">
        <v>0</v>
      </c>
      <c r="AG3" s="83">
        <v>0</v>
      </c>
      <c r="AH3" s="83">
        <v>387803</v>
      </c>
      <c r="AI3" s="83">
        <v>395610</v>
      </c>
      <c r="AJ3" s="83">
        <v>0</v>
      </c>
      <c r="AK3" s="83">
        <v>729799</v>
      </c>
      <c r="AL3" s="83">
        <v>0</v>
      </c>
      <c r="AM3" s="83">
        <v>16187082</v>
      </c>
      <c r="AN3" s="83">
        <v>209911</v>
      </c>
      <c r="AO3" s="83">
        <v>0</v>
      </c>
      <c r="AP3" s="83">
        <v>83775</v>
      </c>
      <c r="AQ3" s="83">
        <v>1254524</v>
      </c>
      <c r="AR3" s="83"/>
      <c r="AS3" s="83"/>
      <c r="AT3" s="83">
        <v>68085781</v>
      </c>
      <c r="AU3" s="83"/>
      <c r="AV3" s="83"/>
      <c r="AW3" s="83">
        <v>10388</v>
      </c>
      <c r="AX3" s="83"/>
      <c r="AY3" s="83"/>
      <c r="AZ3" s="83"/>
      <c r="BA3" s="83">
        <v>452129</v>
      </c>
      <c r="BB3" s="83"/>
      <c r="BC3" s="83"/>
      <c r="BD3" s="83">
        <v>955767</v>
      </c>
      <c r="BE3" s="83"/>
      <c r="BF3" s="83"/>
      <c r="BG3" s="83"/>
      <c r="BH3" s="83">
        <v>19119</v>
      </c>
      <c r="BI3" s="83"/>
      <c r="BJ3" s="83"/>
    </row>
    <row r="4" spans="1:62" ht="25.75" hidden="1" customHeight="1" x14ac:dyDescent="0.35">
      <c r="A4" s="83" t="s">
        <v>873</v>
      </c>
      <c r="B4" s="83">
        <v>0</v>
      </c>
      <c r="C4" s="83">
        <v>0</v>
      </c>
      <c r="D4" s="83">
        <v>0</v>
      </c>
      <c r="E4" s="83">
        <v>65</v>
      </c>
      <c r="F4" s="83">
        <v>95</v>
      </c>
      <c r="G4" s="83">
        <v>0</v>
      </c>
      <c r="H4" s="83">
        <v>0</v>
      </c>
      <c r="I4" s="83">
        <v>26</v>
      </c>
      <c r="J4" s="83">
        <v>87</v>
      </c>
      <c r="K4" s="83">
        <v>0</v>
      </c>
      <c r="L4" s="83">
        <v>0</v>
      </c>
      <c r="M4" s="83">
        <v>79</v>
      </c>
      <c r="N4" s="83">
        <v>0</v>
      </c>
      <c r="O4" s="83">
        <v>64</v>
      </c>
      <c r="P4" s="83">
        <v>0</v>
      </c>
      <c r="Q4" s="83">
        <v>0</v>
      </c>
      <c r="R4" s="83">
        <v>0</v>
      </c>
      <c r="S4" s="83">
        <v>0</v>
      </c>
      <c r="T4" s="83">
        <v>0</v>
      </c>
      <c r="U4" s="83">
        <v>87</v>
      </c>
      <c r="V4" s="83">
        <v>95</v>
      </c>
      <c r="W4" s="83">
        <v>0</v>
      </c>
      <c r="X4" s="83">
        <v>88</v>
      </c>
      <c r="Y4" s="83">
        <v>0</v>
      </c>
      <c r="Z4" s="83">
        <v>0</v>
      </c>
      <c r="AA4" s="83">
        <v>100</v>
      </c>
      <c r="AB4" s="83">
        <v>89</v>
      </c>
      <c r="AC4" s="83">
        <v>70</v>
      </c>
      <c r="AD4" s="83">
        <v>0</v>
      </c>
      <c r="AE4" s="83">
        <v>0</v>
      </c>
      <c r="AF4" s="83">
        <v>0</v>
      </c>
      <c r="AG4" s="83">
        <v>0</v>
      </c>
      <c r="AH4" s="83">
        <v>98</v>
      </c>
      <c r="AI4" s="83">
        <v>97</v>
      </c>
      <c r="AJ4" s="83">
        <v>0</v>
      </c>
      <c r="AK4" s="83">
        <v>91</v>
      </c>
      <c r="AL4" s="83">
        <v>0</v>
      </c>
      <c r="AM4" s="83">
        <v>0</v>
      </c>
      <c r="AN4" s="83">
        <v>90</v>
      </c>
      <c r="AO4" s="83">
        <v>0</v>
      </c>
      <c r="AP4" s="83">
        <v>0</v>
      </c>
      <c r="AQ4" s="83">
        <v>77</v>
      </c>
      <c r="AR4" s="83"/>
      <c r="AS4" s="83"/>
      <c r="AT4" s="83">
        <v>0</v>
      </c>
      <c r="AU4" s="83"/>
      <c r="AV4" s="83"/>
      <c r="AW4" s="83"/>
      <c r="AX4" s="83"/>
      <c r="AY4" s="83"/>
      <c r="AZ4" s="83"/>
      <c r="BA4" s="83">
        <v>34</v>
      </c>
      <c r="BB4" s="83"/>
      <c r="BC4" s="83"/>
      <c r="BD4" s="83">
        <v>64</v>
      </c>
      <c r="BE4" s="83"/>
      <c r="BF4" s="83"/>
      <c r="BG4" s="83"/>
      <c r="BH4" s="83"/>
      <c r="BI4" s="83"/>
      <c r="BJ4" s="83"/>
    </row>
    <row r="5" spans="1:62" ht="25.75" hidden="1" customHeight="1" x14ac:dyDescent="0.35">
      <c r="A5" s="83" t="s">
        <v>874</v>
      </c>
      <c r="B5" s="83">
        <v>0</v>
      </c>
      <c r="C5" s="83">
        <v>0</v>
      </c>
      <c r="D5" s="83">
        <v>2</v>
      </c>
      <c r="E5" s="83">
        <v>11</v>
      </c>
      <c r="F5" s="83">
        <v>4</v>
      </c>
      <c r="G5" s="83">
        <v>0</v>
      </c>
      <c r="H5" s="83">
        <v>0</v>
      </c>
      <c r="I5" s="83">
        <v>1</v>
      </c>
      <c r="J5" s="83">
        <v>1</v>
      </c>
      <c r="K5" s="83">
        <v>1</v>
      </c>
      <c r="L5" s="83">
        <v>0</v>
      </c>
      <c r="M5" s="83">
        <v>4</v>
      </c>
      <c r="N5" s="83">
        <v>0</v>
      </c>
      <c r="O5" s="83">
        <v>151</v>
      </c>
      <c r="P5" s="83">
        <v>0</v>
      </c>
      <c r="Q5" s="83">
        <v>98</v>
      </c>
      <c r="R5" s="83">
        <v>0</v>
      </c>
      <c r="S5" s="83">
        <v>0</v>
      </c>
      <c r="T5" s="83">
        <v>0</v>
      </c>
      <c r="U5" s="83">
        <v>6</v>
      </c>
      <c r="V5" s="83">
        <v>1</v>
      </c>
      <c r="W5" s="83">
        <v>0</v>
      </c>
      <c r="X5" s="83">
        <v>27</v>
      </c>
      <c r="Y5" s="83">
        <v>0</v>
      </c>
      <c r="Z5" s="83">
        <v>0</v>
      </c>
      <c r="AA5" s="83">
        <v>0</v>
      </c>
      <c r="AB5" s="83">
        <v>33</v>
      </c>
      <c r="AC5" s="83">
        <v>2</v>
      </c>
      <c r="AD5" s="83">
        <v>8</v>
      </c>
      <c r="AE5" s="83">
        <v>0</v>
      </c>
      <c r="AF5" s="83">
        <v>0</v>
      </c>
      <c r="AG5" s="83">
        <v>0</v>
      </c>
      <c r="AH5" s="83">
        <v>1</v>
      </c>
      <c r="AI5" s="83">
        <v>2</v>
      </c>
      <c r="AJ5" s="83">
        <v>0</v>
      </c>
      <c r="AK5" s="83">
        <v>7</v>
      </c>
      <c r="AL5" s="83">
        <v>0</v>
      </c>
      <c r="AM5" s="83">
        <v>30</v>
      </c>
      <c r="AN5" s="83">
        <v>3</v>
      </c>
      <c r="AO5" s="83">
        <v>0</v>
      </c>
      <c r="AP5" s="83">
        <v>0</v>
      </c>
      <c r="AQ5" s="83">
        <v>9</v>
      </c>
      <c r="AR5" s="83"/>
      <c r="AS5" s="83"/>
      <c r="AT5" s="83">
        <v>0</v>
      </c>
      <c r="AU5" s="83"/>
      <c r="AV5" s="83"/>
      <c r="AW5" s="83"/>
      <c r="AX5" s="83"/>
      <c r="AY5" s="83"/>
      <c r="AZ5" s="83"/>
      <c r="BA5" s="83">
        <v>7</v>
      </c>
      <c r="BB5" s="83"/>
      <c r="BC5" s="83"/>
      <c r="BD5" s="83">
        <v>2</v>
      </c>
      <c r="BE5" s="83"/>
      <c r="BF5" s="83"/>
      <c r="BG5" s="83"/>
      <c r="BH5" s="83">
        <v>1</v>
      </c>
      <c r="BI5" s="83"/>
      <c r="BJ5" s="83"/>
    </row>
    <row r="6" spans="1:62" ht="25.75" hidden="1" customHeight="1" x14ac:dyDescent="0.35">
      <c r="A6" s="83" t="s">
        <v>875</v>
      </c>
      <c r="B6" s="83">
        <v>0</v>
      </c>
      <c r="C6" s="83">
        <v>0</v>
      </c>
      <c r="D6" s="83">
        <v>72391</v>
      </c>
      <c r="E6" s="83">
        <v>598967</v>
      </c>
      <c r="F6" s="83">
        <v>247018</v>
      </c>
      <c r="G6" s="83">
        <v>0</v>
      </c>
      <c r="H6" s="83">
        <v>0</v>
      </c>
      <c r="I6" s="83">
        <v>34745</v>
      </c>
      <c r="J6" s="85">
        <v>328674</v>
      </c>
      <c r="K6" s="83">
        <v>53854</v>
      </c>
      <c r="L6" s="83">
        <v>0</v>
      </c>
      <c r="M6" s="83">
        <v>0</v>
      </c>
      <c r="N6" s="83">
        <v>0</v>
      </c>
      <c r="O6" s="83">
        <v>96715</v>
      </c>
      <c r="P6" s="83">
        <v>0</v>
      </c>
      <c r="Q6" s="83">
        <v>20020214</v>
      </c>
      <c r="R6" s="83">
        <v>0</v>
      </c>
      <c r="S6" s="83">
        <v>0</v>
      </c>
      <c r="T6" s="83">
        <v>0</v>
      </c>
      <c r="U6" s="83">
        <v>105333697</v>
      </c>
      <c r="V6" s="83">
        <v>12527</v>
      </c>
      <c r="W6" s="83">
        <v>0</v>
      </c>
      <c r="X6" s="83">
        <v>0</v>
      </c>
      <c r="Y6" s="83">
        <v>0</v>
      </c>
      <c r="Z6" s="83">
        <v>0</v>
      </c>
      <c r="AA6" s="83">
        <v>0</v>
      </c>
      <c r="AB6" s="83">
        <v>1006377</v>
      </c>
      <c r="AC6" s="83">
        <v>161346</v>
      </c>
      <c r="AD6" s="83">
        <v>0</v>
      </c>
      <c r="AE6" s="83">
        <v>0</v>
      </c>
      <c r="AF6" s="83">
        <v>0</v>
      </c>
      <c r="AG6" s="83">
        <v>0</v>
      </c>
      <c r="AH6" s="83">
        <v>8922</v>
      </c>
      <c r="AI6" s="83">
        <v>40022</v>
      </c>
      <c r="AJ6" s="83">
        <v>0</v>
      </c>
      <c r="AK6" s="83">
        <v>610029</v>
      </c>
      <c r="AL6" s="83">
        <v>0</v>
      </c>
      <c r="AM6" s="83">
        <v>1101477</v>
      </c>
      <c r="AN6" s="83">
        <v>38579</v>
      </c>
      <c r="AO6" s="83">
        <v>0</v>
      </c>
      <c r="AP6" s="83">
        <v>0</v>
      </c>
      <c r="AQ6" s="83">
        <v>377226</v>
      </c>
      <c r="AR6" s="83"/>
      <c r="AS6" s="83"/>
      <c r="AT6" s="83">
        <v>30719.927</v>
      </c>
      <c r="AU6" s="83"/>
      <c r="AV6" s="83"/>
      <c r="AW6" s="83"/>
      <c r="AX6" s="83"/>
      <c r="AY6" s="83"/>
      <c r="AZ6" s="83"/>
      <c r="BA6" s="83">
        <v>864033</v>
      </c>
      <c r="BB6" s="83"/>
      <c r="BC6" s="83"/>
      <c r="BD6" s="83">
        <v>529953</v>
      </c>
      <c r="BE6" s="83"/>
      <c r="BF6" s="83"/>
      <c r="BG6" s="83"/>
      <c r="BH6" s="83">
        <v>7902</v>
      </c>
      <c r="BI6" s="83"/>
      <c r="BJ6" s="83"/>
    </row>
    <row r="7" spans="1:62" ht="25.75" hidden="1" customHeight="1" x14ac:dyDescent="0.35">
      <c r="A7" s="83" t="s">
        <v>876</v>
      </c>
      <c r="B7" s="83">
        <v>0</v>
      </c>
      <c r="C7" s="83">
        <v>0</v>
      </c>
      <c r="D7" s="83">
        <v>0</v>
      </c>
      <c r="E7" s="83">
        <v>35</v>
      </c>
      <c r="F7" s="83">
        <v>5</v>
      </c>
      <c r="G7" s="83">
        <v>0</v>
      </c>
      <c r="H7" s="83">
        <v>0</v>
      </c>
      <c r="I7" s="83">
        <v>74</v>
      </c>
      <c r="J7" s="83">
        <v>13</v>
      </c>
      <c r="K7" s="83">
        <v>0</v>
      </c>
      <c r="L7" s="83">
        <v>0</v>
      </c>
      <c r="M7" s="83">
        <v>21</v>
      </c>
      <c r="N7" s="83">
        <v>0</v>
      </c>
      <c r="O7" s="83">
        <v>36</v>
      </c>
      <c r="P7" s="83">
        <v>0</v>
      </c>
      <c r="Q7" s="83">
        <v>0</v>
      </c>
      <c r="R7" s="83">
        <v>0</v>
      </c>
      <c r="S7" s="83">
        <v>0</v>
      </c>
      <c r="T7" s="83">
        <v>0</v>
      </c>
      <c r="U7" s="83">
        <v>13</v>
      </c>
      <c r="V7" s="83">
        <v>5</v>
      </c>
      <c r="W7" s="83">
        <v>0</v>
      </c>
      <c r="X7" s="83">
        <v>12</v>
      </c>
      <c r="Y7" s="83">
        <v>0</v>
      </c>
      <c r="Z7" s="83">
        <v>0</v>
      </c>
      <c r="AA7" s="83">
        <v>0</v>
      </c>
      <c r="AB7" s="83">
        <v>11</v>
      </c>
      <c r="AC7" s="83">
        <v>30</v>
      </c>
      <c r="AD7" s="83">
        <v>0</v>
      </c>
      <c r="AE7" s="83">
        <v>0</v>
      </c>
      <c r="AF7" s="83">
        <v>0</v>
      </c>
      <c r="AG7" s="83">
        <v>0</v>
      </c>
      <c r="AH7" s="83">
        <v>2</v>
      </c>
      <c r="AI7" s="83">
        <v>2</v>
      </c>
      <c r="AJ7" s="83">
        <v>0</v>
      </c>
      <c r="AK7" s="83">
        <v>9</v>
      </c>
      <c r="AL7" s="83">
        <v>0</v>
      </c>
      <c r="AM7" s="83">
        <v>0</v>
      </c>
      <c r="AN7" s="83">
        <v>10</v>
      </c>
      <c r="AO7" s="83">
        <v>0</v>
      </c>
      <c r="AP7" s="83">
        <v>0</v>
      </c>
      <c r="AQ7" s="83">
        <v>23</v>
      </c>
      <c r="AR7" s="83"/>
      <c r="AS7" s="83"/>
      <c r="AT7" s="83">
        <v>3</v>
      </c>
      <c r="AU7" s="83"/>
      <c r="AV7" s="83"/>
      <c r="AW7" s="83"/>
      <c r="AX7" s="83"/>
      <c r="AY7" s="83"/>
      <c r="AZ7" s="83"/>
      <c r="BA7" s="83">
        <v>66</v>
      </c>
      <c r="BB7" s="83"/>
      <c r="BC7" s="83"/>
      <c r="BD7" s="83">
        <v>36</v>
      </c>
      <c r="BE7" s="83"/>
      <c r="BF7" s="83"/>
      <c r="BG7" s="83"/>
      <c r="BH7" s="83"/>
      <c r="BI7" s="83"/>
      <c r="BJ7" s="83"/>
    </row>
    <row r="8" spans="1:62" ht="25.75" hidden="1" customHeight="1" x14ac:dyDescent="0.35">
      <c r="A8" s="83" t="s">
        <v>877</v>
      </c>
      <c r="B8" s="83">
        <f>+B3+B6</f>
        <v>0</v>
      </c>
      <c r="C8" s="83">
        <f t="shared" ref="C8:BH8" si="0">+C3+C6</f>
        <v>0</v>
      </c>
      <c r="D8" s="83">
        <f t="shared" si="0"/>
        <v>397391</v>
      </c>
      <c r="E8" s="83">
        <f t="shared" si="0"/>
        <v>1711335</v>
      </c>
      <c r="F8" s="83">
        <f t="shared" si="0"/>
        <v>708706</v>
      </c>
      <c r="G8" s="83">
        <f t="shared" si="0"/>
        <v>0</v>
      </c>
      <c r="H8" s="83">
        <f t="shared" si="0"/>
        <v>0</v>
      </c>
      <c r="I8" s="83">
        <f t="shared" si="0"/>
        <v>47236</v>
      </c>
      <c r="J8" s="83">
        <f t="shared" si="0"/>
        <v>2588080</v>
      </c>
      <c r="K8" s="83">
        <f t="shared" si="0"/>
        <v>174267</v>
      </c>
      <c r="L8" s="83">
        <f t="shared" si="0"/>
        <v>0</v>
      </c>
      <c r="M8" s="83">
        <f t="shared" si="0"/>
        <v>0</v>
      </c>
      <c r="N8" s="83">
        <f t="shared" si="0"/>
        <v>0</v>
      </c>
      <c r="O8" s="83">
        <f t="shared" si="0"/>
        <v>135341</v>
      </c>
      <c r="P8" s="83">
        <f t="shared" si="0"/>
        <v>0</v>
      </c>
      <c r="Q8" s="83">
        <f t="shared" si="0"/>
        <v>43902150</v>
      </c>
      <c r="R8" s="83">
        <f t="shared" si="0"/>
        <v>0</v>
      </c>
      <c r="S8" s="83">
        <f t="shared" si="0"/>
        <v>0</v>
      </c>
      <c r="T8" s="83">
        <f t="shared" si="0"/>
        <v>0</v>
      </c>
      <c r="U8" s="83">
        <f t="shared" si="0"/>
        <v>767912215</v>
      </c>
      <c r="V8" s="83">
        <f t="shared" si="0"/>
        <v>248625</v>
      </c>
      <c r="W8" s="83">
        <f t="shared" si="0"/>
        <v>0</v>
      </c>
      <c r="X8" s="83">
        <f t="shared" si="0"/>
        <v>0</v>
      </c>
      <c r="Y8" s="83">
        <f t="shared" si="0"/>
        <v>0</v>
      </c>
      <c r="Z8" s="83">
        <f t="shared" si="0"/>
        <v>0</v>
      </c>
      <c r="AA8" s="83">
        <f t="shared" si="0"/>
        <v>0</v>
      </c>
      <c r="AB8" s="83">
        <f t="shared" si="0"/>
        <v>2017804</v>
      </c>
      <c r="AC8" s="83">
        <f t="shared" si="0"/>
        <v>544875</v>
      </c>
      <c r="AD8" s="83">
        <f t="shared" si="0"/>
        <v>0</v>
      </c>
      <c r="AE8" s="83">
        <f t="shared" si="0"/>
        <v>0</v>
      </c>
      <c r="AF8" s="83">
        <f t="shared" si="0"/>
        <v>0</v>
      </c>
      <c r="AG8" s="83">
        <f t="shared" si="0"/>
        <v>0</v>
      </c>
      <c r="AH8" s="83">
        <f t="shared" si="0"/>
        <v>396725</v>
      </c>
      <c r="AI8" s="83">
        <f t="shared" si="0"/>
        <v>435632</v>
      </c>
      <c r="AJ8" s="83">
        <f t="shared" si="0"/>
        <v>0</v>
      </c>
      <c r="AK8" s="83">
        <f t="shared" si="0"/>
        <v>1339828</v>
      </c>
      <c r="AL8" s="83">
        <f t="shared" si="0"/>
        <v>0</v>
      </c>
      <c r="AM8" s="83">
        <f t="shared" si="0"/>
        <v>17288559</v>
      </c>
      <c r="AN8" s="83">
        <f t="shared" si="0"/>
        <v>248490</v>
      </c>
      <c r="AO8" s="83">
        <f t="shared" si="0"/>
        <v>0</v>
      </c>
      <c r="AP8" s="83">
        <f t="shared" si="0"/>
        <v>83775</v>
      </c>
      <c r="AQ8" s="83">
        <f t="shared" si="0"/>
        <v>1631750</v>
      </c>
      <c r="AR8" s="83">
        <f t="shared" si="0"/>
        <v>0</v>
      </c>
      <c r="AS8" s="83">
        <f t="shared" si="0"/>
        <v>0</v>
      </c>
      <c r="AT8" s="83">
        <f t="shared" si="0"/>
        <v>68116500.927000001</v>
      </c>
      <c r="AU8" s="83">
        <f t="shared" si="0"/>
        <v>0</v>
      </c>
      <c r="AV8" s="83">
        <f t="shared" si="0"/>
        <v>0</v>
      </c>
      <c r="AW8" s="83">
        <f t="shared" si="0"/>
        <v>10388</v>
      </c>
      <c r="AX8" s="83">
        <f t="shared" si="0"/>
        <v>0</v>
      </c>
      <c r="AY8" s="83">
        <f t="shared" si="0"/>
        <v>0</v>
      </c>
      <c r="AZ8" s="83">
        <f t="shared" si="0"/>
        <v>0</v>
      </c>
      <c r="BA8" s="83">
        <f t="shared" si="0"/>
        <v>1316162</v>
      </c>
      <c r="BB8" s="83">
        <f t="shared" si="0"/>
        <v>0</v>
      </c>
      <c r="BC8" s="83">
        <f t="shared" si="0"/>
        <v>0</v>
      </c>
      <c r="BD8" s="83">
        <f t="shared" si="0"/>
        <v>1485720</v>
      </c>
      <c r="BE8" s="83">
        <f t="shared" si="0"/>
        <v>0</v>
      </c>
      <c r="BF8" s="83">
        <f t="shared" si="0"/>
        <v>0</v>
      </c>
      <c r="BG8" s="83">
        <f t="shared" si="0"/>
        <v>0</v>
      </c>
      <c r="BH8" s="83">
        <f t="shared" si="0"/>
        <v>27021</v>
      </c>
      <c r="BI8" s="83"/>
      <c r="BJ8" s="83"/>
    </row>
    <row r="9" spans="1:62" ht="25.75" hidden="1" customHeight="1" x14ac:dyDescent="0.35">
      <c r="A9" s="83" t="s">
        <v>878</v>
      </c>
      <c r="B9" s="83">
        <f>B11+B32+B36+B71+B73</f>
        <v>282713</v>
      </c>
      <c r="C9" s="83">
        <f t="shared" ref="C9:BH9" si="1">C11+C32+C36+C71+C73</f>
        <v>440753</v>
      </c>
      <c r="D9" s="83">
        <f t="shared" si="1"/>
        <v>111553</v>
      </c>
      <c r="E9" s="83">
        <f t="shared" si="1"/>
        <v>928738.08</v>
      </c>
      <c r="F9" s="83">
        <f t="shared" si="1"/>
        <v>1587011</v>
      </c>
      <c r="G9" s="83">
        <f t="shared" si="1"/>
        <v>49178</v>
      </c>
      <c r="H9" s="83">
        <f t="shared" si="1"/>
        <v>8830</v>
      </c>
      <c r="I9" s="83">
        <f t="shared" si="1"/>
        <v>47236</v>
      </c>
      <c r="J9" s="83">
        <f t="shared" si="1"/>
        <v>604412</v>
      </c>
      <c r="K9" s="83">
        <f t="shared" si="1"/>
        <v>148572</v>
      </c>
      <c r="L9" s="83">
        <f t="shared" si="1"/>
        <v>78125</v>
      </c>
      <c r="M9" s="83">
        <f t="shared" si="1"/>
        <v>1243837</v>
      </c>
      <c r="N9" s="83">
        <f t="shared" si="1"/>
        <v>166964</v>
      </c>
      <c r="O9" s="83">
        <f t="shared" si="1"/>
        <v>39979717</v>
      </c>
      <c r="P9" s="83">
        <f t="shared" si="1"/>
        <v>0</v>
      </c>
      <c r="Q9" s="83">
        <f t="shared" si="1"/>
        <v>31266491.899999999</v>
      </c>
      <c r="R9" s="83">
        <f>R11+R32+R36+R71+R73</f>
        <v>497119</v>
      </c>
      <c r="S9" s="83">
        <f>S11+S32+S36+S71+S73</f>
        <v>343076</v>
      </c>
      <c r="T9" s="83">
        <f>T11+T32+T36+T71+T73</f>
        <v>4817434</v>
      </c>
      <c r="U9" s="83">
        <f t="shared" si="1"/>
        <v>719604.65500000003</v>
      </c>
      <c r="V9" s="83">
        <f t="shared" si="1"/>
        <v>275378</v>
      </c>
      <c r="W9" s="83">
        <f t="shared" si="1"/>
        <v>8364292</v>
      </c>
      <c r="X9" s="83">
        <f t="shared" si="1"/>
        <v>631821</v>
      </c>
      <c r="Y9" s="83">
        <f t="shared" si="1"/>
        <v>176477824</v>
      </c>
      <c r="Z9" s="83">
        <f t="shared" si="1"/>
        <v>43800</v>
      </c>
      <c r="AA9" s="83">
        <f t="shared" si="1"/>
        <v>46080</v>
      </c>
      <c r="AB9" s="83">
        <f t="shared" si="1"/>
        <v>2206231.8830000004</v>
      </c>
      <c r="AC9" s="83">
        <f t="shared" si="1"/>
        <v>375336</v>
      </c>
      <c r="AD9" s="83">
        <f t="shared" si="1"/>
        <v>0</v>
      </c>
      <c r="AE9" s="83">
        <f t="shared" si="1"/>
        <v>70835423</v>
      </c>
      <c r="AF9" s="83">
        <f t="shared" si="1"/>
        <v>185541</v>
      </c>
      <c r="AG9" s="83">
        <f t="shared" si="1"/>
        <v>156937059</v>
      </c>
      <c r="AH9" s="83">
        <f t="shared" si="1"/>
        <v>387416</v>
      </c>
      <c r="AI9" s="83">
        <f t="shared" si="1"/>
        <v>1263757.575</v>
      </c>
      <c r="AJ9" s="83">
        <f t="shared" si="1"/>
        <v>307422.68599999999</v>
      </c>
      <c r="AK9" s="83">
        <f t="shared" si="1"/>
        <v>961338</v>
      </c>
      <c r="AL9" s="83">
        <f t="shared" si="1"/>
        <v>35670</v>
      </c>
      <c r="AM9" s="83">
        <f t="shared" si="1"/>
        <v>7869436.4609999983</v>
      </c>
      <c r="AN9" s="83">
        <f t="shared" si="1"/>
        <v>205319</v>
      </c>
      <c r="AO9" s="83">
        <f t="shared" si="1"/>
        <v>1676826</v>
      </c>
      <c r="AP9" s="83">
        <f t="shared" si="1"/>
        <v>83775</v>
      </c>
      <c r="AQ9" s="83">
        <f t="shared" si="1"/>
        <v>1115052</v>
      </c>
      <c r="AR9" s="83">
        <f t="shared" si="1"/>
        <v>86185951</v>
      </c>
      <c r="AS9" s="83">
        <f t="shared" si="1"/>
        <v>5200777.2399999993</v>
      </c>
      <c r="AT9" s="83">
        <f t="shared" si="1"/>
        <v>301062.14799999999</v>
      </c>
      <c r="AU9" s="83">
        <f t="shared" si="1"/>
        <v>0</v>
      </c>
      <c r="AV9" s="83">
        <f>AV11+AV32+AV36+AV71+AV73</f>
        <v>92900</v>
      </c>
      <c r="AW9" s="83">
        <f>AW11+AW32+AW36+AW71+AW73</f>
        <v>57722963</v>
      </c>
      <c r="AX9" s="83">
        <f>AX11+AX32+AX36+AX71+AX73</f>
        <v>117467</v>
      </c>
      <c r="AY9" s="83">
        <f>AY11+AY32+AY36+AY71+AY73</f>
        <v>51459.302000000003</v>
      </c>
      <c r="AZ9" s="83">
        <f t="shared" si="1"/>
        <v>0</v>
      </c>
      <c r="BA9" s="83">
        <f t="shared" si="1"/>
        <v>74850</v>
      </c>
      <c r="BB9" s="83">
        <f t="shared" si="1"/>
        <v>931409</v>
      </c>
      <c r="BC9" s="83">
        <f t="shared" si="1"/>
        <v>177555</v>
      </c>
      <c r="BD9" s="83">
        <f t="shared" si="1"/>
        <v>966239</v>
      </c>
      <c r="BE9" s="83">
        <f t="shared" si="1"/>
        <v>0</v>
      </c>
      <c r="BF9" s="83">
        <f t="shared" si="1"/>
        <v>158782.07</v>
      </c>
      <c r="BG9" s="83">
        <f t="shared" si="1"/>
        <v>12983173</v>
      </c>
      <c r="BH9" s="83">
        <f t="shared" si="1"/>
        <v>0</v>
      </c>
      <c r="BI9" s="83"/>
      <c r="BJ9" s="83"/>
    </row>
    <row r="10" spans="1:62" ht="25.75" hidden="1" customHeight="1" x14ac:dyDescent="0.35">
      <c r="A10" s="83" t="s">
        <v>879</v>
      </c>
      <c r="B10" s="83">
        <f>B8-B9</f>
        <v>-282713</v>
      </c>
      <c r="C10" s="83">
        <f t="shared" ref="C10:BH10" si="2">C8-C9</f>
        <v>-440753</v>
      </c>
      <c r="D10" s="83">
        <f t="shared" si="2"/>
        <v>285838</v>
      </c>
      <c r="E10" s="83">
        <f t="shared" si="2"/>
        <v>782596.92</v>
      </c>
      <c r="F10" s="83">
        <f t="shared" si="2"/>
        <v>-878305</v>
      </c>
      <c r="G10" s="83">
        <f t="shared" si="2"/>
        <v>-49178</v>
      </c>
      <c r="H10" s="83">
        <f t="shared" si="2"/>
        <v>-8830</v>
      </c>
      <c r="I10" s="83">
        <f t="shared" si="2"/>
        <v>0</v>
      </c>
      <c r="J10" s="83">
        <f t="shared" si="2"/>
        <v>1983668</v>
      </c>
      <c r="K10" s="83">
        <f t="shared" si="2"/>
        <v>25695</v>
      </c>
      <c r="L10" s="83">
        <f t="shared" si="2"/>
        <v>-78125</v>
      </c>
      <c r="M10" s="83">
        <f t="shared" si="2"/>
        <v>-1243837</v>
      </c>
      <c r="N10" s="83">
        <f t="shared" si="2"/>
        <v>-166964</v>
      </c>
      <c r="O10" s="83">
        <f t="shared" si="2"/>
        <v>-39844376</v>
      </c>
      <c r="P10" s="83">
        <f t="shared" si="2"/>
        <v>0</v>
      </c>
      <c r="Q10" s="83">
        <f t="shared" si="2"/>
        <v>12635658.100000001</v>
      </c>
      <c r="R10" s="83">
        <f t="shared" si="2"/>
        <v>-497119</v>
      </c>
      <c r="S10" s="83">
        <f t="shared" si="2"/>
        <v>-343076</v>
      </c>
      <c r="T10" s="83">
        <f>T8-T9</f>
        <v>-4817434</v>
      </c>
      <c r="U10" s="83">
        <f t="shared" si="2"/>
        <v>767192610.34500003</v>
      </c>
      <c r="V10" s="83">
        <f t="shared" si="2"/>
        <v>-26753</v>
      </c>
      <c r="W10" s="83">
        <f t="shared" si="2"/>
        <v>-8364292</v>
      </c>
      <c r="X10" s="83">
        <f t="shared" si="2"/>
        <v>-631821</v>
      </c>
      <c r="Y10" s="83">
        <f t="shared" si="2"/>
        <v>-176477824</v>
      </c>
      <c r="Z10" s="83">
        <f t="shared" si="2"/>
        <v>-43800</v>
      </c>
      <c r="AA10" s="83">
        <f t="shared" si="2"/>
        <v>-46080</v>
      </c>
      <c r="AB10" s="83">
        <f t="shared" si="2"/>
        <v>-188427.88300000038</v>
      </c>
      <c r="AC10" s="83">
        <f t="shared" si="2"/>
        <v>169539</v>
      </c>
      <c r="AD10" s="83">
        <f t="shared" si="2"/>
        <v>0</v>
      </c>
      <c r="AE10" s="83">
        <f t="shared" si="2"/>
        <v>-70835423</v>
      </c>
      <c r="AF10" s="83">
        <f t="shared" si="2"/>
        <v>-185541</v>
      </c>
      <c r="AG10" s="83">
        <f t="shared" si="2"/>
        <v>-156937059</v>
      </c>
      <c r="AH10" s="83">
        <f t="shared" si="2"/>
        <v>9309</v>
      </c>
      <c r="AI10" s="83">
        <f t="shared" si="2"/>
        <v>-828125.57499999995</v>
      </c>
      <c r="AJ10" s="83">
        <f t="shared" si="2"/>
        <v>-307422.68599999999</v>
      </c>
      <c r="AK10" s="83">
        <f t="shared" si="2"/>
        <v>378490</v>
      </c>
      <c r="AL10" s="83">
        <f t="shared" si="2"/>
        <v>-35670</v>
      </c>
      <c r="AM10" s="83">
        <f t="shared" si="2"/>
        <v>9419122.5390000008</v>
      </c>
      <c r="AN10" s="83">
        <f t="shared" si="2"/>
        <v>43171</v>
      </c>
      <c r="AO10" s="83">
        <f t="shared" si="2"/>
        <v>-1676826</v>
      </c>
      <c r="AP10" s="83">
        <f t="shared" si="2"/>
        <v>0</v>
      </c>
      <c r="AQ10" s="83">
        <f t="shared" si="2"/>
        <v>516698</v>
      </c>
      <c r="AR10" s="83">
        <f t="shared" si="2"/>
        <v>-86185951</v>
      </c>
      <c r="AS10" s="83">
        <f t="shared" si="2"/>
        <v>-5200777.2399999993</v>
      </c>
      <c r="AT10" s="83">
        <f t="shared" si="2"/>
        <v>67815438.778999999</v>
      </c>
      <c r="AU10" s="83">
        <f t="shared" si="2"/>
        <v>0</v>
      </c>
      <c r="AV10" s="83">
        <f t="shared" si="2"/>
        <v>-92900</v>
      </c>
      <c r="AW10" s="83">
        <f t="shared" si="2"/>
        <v>-57712575</v>
      </c>
      <c r="AX10" s="83">
        <f t="shared" si="2"/>
        <v>-117467</v>
      </c>
      <c r="AY10" s="83">
        <f t="shared" si="2"/>
        <v>-51459.302000000003</v>
      </c>
      <c r="AZ10" s="83">
        <f t="shared" si="2"/>
        <v>0</v>
      </c>
      <c r="BA10" s="83">
        <f t="shared" si="2"/>
        <v>1241312</v>
      </c>
      <c r="BB10" s="83">
        <f t="shared" si="2"/>
        <v>-931409</v>
      </c>
      <c r="BC10" s="83">
        <f t="shared" si="2"/>
        <v>-177555</v>
      </c>
      <c r="BD10" s="83">
        <f t="shared" si="2"/>
        <v>519481</v>
      </c>
      <c r="BE10" s="83">
        <f t="shared" si="2"/>
        <v>0</v>
      </c>
      <c r="BF10" s="83">
        <f t="shared" si="2"/>
        <v>-158782.07</v>
      </c>
      <c r="BG10" s="83">
        <f t="shared" si="2"/>
        <v>-12983173</v>
      </c>
      <c r="BH10" s="83">
        <f t="shared" si="2"/>
        <v>27021</v>
      </c>
      <c r="BI10" s="83"/>
      <c r="BJ10" s="83"/>
    </row>
    <row r="11" spans="1:62" ht="25.75" hidden="1" customHeight="1" x14ac:dyDescent="0.35">
      <c r="A11" s="84" t="s">
        <v>880</v>
      </c>
      <c r="B11" s="84">
        <f t="shared" ref="B11:BI11" si="3">SUM(B13:B31)</f>
        <v>256421</v>
      </c>
      <c r="C11" s="84">
        <f t="shared" si="3"/>
        <v>14498</v>
      </c>
      <c r="D11" s="84">
        <f t="shared" si="3"/>
        <v>46922</v>
      </c>
      <c r="E11" s="84">
        <f t="shared" si="3"/>
        <v>557840</v>
      </c>
      <c r="F11" s="84">
        <f t="shared" si="3"/>
        <v>428875</v>
      </c>
      <c r="G11" s="84">
        <f t="shared" si="3"/>
        <v>9630</v>
      </c>
      <c r="H11" s="84">
        <f t="shared" si="3"/>
        <v>0</v>
      </c>
      <c r="I11" s="84">
        <f t="shared" si="3"/>
        <v>0</v>
      </c>
      <c r="J11" s="84">
        <f t="shared" si="3"/>
        <v>299171</v>
      </c>
      <c r="K11" s="84">
        <f t="shared" si="3"/>
        <v>8078</v>
      </c>
      <c r="L11" s="84">
        <f t="shared" si="3"/>
        <v>45886</v>
      </c>
      <c r="M11" s="84">
        <f t="shared" si="3"/>
        <v>1036741</v>
      </c>
      <c r="N11" s="84">
        <f t="shared" si="3"/>
        <v>89449</v>
      </c>
      <c r="O11" s="84">
        <f t="shared" si="3"/>
        <v>30740595</v>
      </c>
      <c r="P11" s="84">
        <f t="shared" si="3"/>
        <v>0</v>
      </c>
      <c r="Q11" s="84">
        <f t="shared" si="3"/>
        <v>23321098.899999999</v>
      </c>
      <c r="R11" s="84">
        <f t="shared" si="3"/>
        <v>266166</v>
      </c>
      <c r="S11" s="84">
        <f t="shared" si="3"/>
        <v>23414</v>
      </c>
      <c r="T11" s="84">
        <f t="shared" si="3"/>
        <v>0</v>
      </c>
      <c r="U11" s="84">
        <f t="shared" si="3"/>
        <v>362792.446</v>
      </c>
      <c r="V11" s="84">
        <f t="shared" si="3"/>
        <v>218504</v>
      </c>
      <c r="W11" s="84">
        <f t="shared" si="3"/>
        <v>286461</v>
      </c>
      <c r="X11" s="84">
        <f t="shared" si="3"/>
        <v>555842</v>
      </c>
      <c r="Y11" s="84">
        <f t="shared" si="3"/>
        <v>114663518</v>
      </c>
      <c r="Z11" s="84">
        <f t="shared" si="3"/>
        <v>42300</v>
      </c>
      <c r="AA11" s="84">
        <f t="shared" si="3"/>
        <v>0</v>
      </c>
      <c r="AB11" s="84">
        <f t="shared" si="3"/>
        <v>2017804.736</v>
      </c>
      <c r="AC11" s="84">
        <f t="shared" si="3"/>
        <v>18870</v>
      </c>
      <c r="AD11" s="84">
        <f t="shared" si="3"/>
        <v>0</v>
      </c>
      <c r="AE11" s="84">
        <f t="shared" si="3"/>
        <v>23764693</v>
      </c>
      <c r="AF11" s="84">
        <f t="shared" si="3"/>
        <v>117350</v>
      </c>
      <c r="AG11" s="84">
        <f t="shared" si="3"/>
        <v>99402852</v>
      </c>
      <c r="AH11" s="84">
        <f t="shared" si="3"/>
        <v>18201</v>
      </c>
      <c r="AI11" s="84">
        <f t="shared" si="3"/>
        <v>495657.60399999999</v>
      </c>
      <c r="AJ11" s="84">
        <f t="shared" si="3"/>
        <v>297730.21600000001</v>
      </c>
      <c r="AK11" s="84">
        <f t="shared" si="3"/>
        <v>121005</v>
      </c>
      <c r="AL11" s="84">
        <f t="shared" si="3"/>
        <v>21694</v>
      </c>
      <c r="AM11" s="84">
        <f t="shared" si="3"/>
        <v>1514433.8459999999</v>
      </c>
      <c r="AN11" s="84">
        <f t="shared" si="3"/>
        <v>114628</v>
      </c>
      <c r="AO11" s="84">
        <f t="shared" si="3"/>
        <v>0</v>
      </c>
      <c r="AP11" s="84">
        <f t="shared" si="3"/>
        <v>0</v>
      </c>
      <c r="AQ11" s="84">
        <f t="shared" si="3"/>
        <v>621692</v>
      </c>
      <c r="AR11" s="84">
        <f t="shared" si="3"/>
        <v>60575848</v>
      </c>
      <c r="AS11" s="84">
        <f t="shared" si="3"/>
        <v>414710.17999999993</v>
      </c>
      <c r="AT11" s="84">
        <f t="shared" si="3"/>
        <v>195293.77100000001</v>
      </c>
      <c r="AU11" s="84">
        <f t="shared" si="3"/>
        <v>0</v>
      </c>
      <c r="AV11" s="84">
        <f t="shared" si="3"/>
        <v>33000</v>
      </c>
      <c r="AW11" s="84">
        <f t="shared" si="3"/>
        <v>16657084</v>
      </c>
      <c r="AX11" s="84">
        <f t="shared" si="3"/>
        <v>8724</v>
      </c>
      <c r="AY11" s="84">
        <f t="shared" si="3"/>
        <v>1836.5250000000001</v>
      </c>
      <c r="AZ11" s="84">
        <f t="shared" si="3"/>
        <v>0</v>
      </c>
      <c r="BA11" s="84">
        <f t="shared" si="3"/>
        <v>16400</v>
      </c>
      <c r="BB11" s="84">
        <f t="shared" si="3"/>
        <v>620159</v>
      </c>
      <c r="BC11" s="84">
        <f t="shared" si="3"/>
        <v>168257</v>
      </c>
      <c r="BD11" s="84">
        <f t="shared" si="3"/>
        <v>729957</v>
      </c>
      <c r="BE11" s="84">
        <f t="shared" si="3"/>
        <v>0</v>
      </c>
      <c r="BF11" s="84">
        <f t="shared" si="3"/>
        <v>46573.005000000005</v>
      </c>
      <c r="BG11" s="84">
        <f t="shared" si="3"/>
        <v>9184414</v>
      </c>
      <c r="BH11" s="84">
        <f t="shared" si="3"/>
        <v>0</v>
      </c>
      <c r="BI11" s="84">
        <f t="shared" si="3"/>
        <v>5276775.9400000004</v>
      </c>
      <c r="BJ11" s="84">
        <f>SUM(B11:BI11)</f>
        <v>395729846.16900003</v>
      </c>
    </row>
    <row r="12" spans="1:62" ht="25.75" hidden="1" customHeight="1" x14ac:dyDescent="0.35">
      <c r="A12" s="83" t="s">
        <v>881</v>
      </c>
      <c r="B12" s="84">
        <f>SUM(B13:B31)</f>
        <v>256421</v>
      </c>
      <c r="C12" s="83">
        <f>SUM(C13:C31)</f>
        <v>14498</v>
      </c>
      <c r="D12" s="83">
        <f>SUM(D13:D31)</f>
        <v>46922</v>
      </c>
      <c r="E12" s="83">
        <f>SUM(E13:E31)</f>
        <v>557840</v>
      </c>
      <c r="F12" s="83">
        <f>SUM(F13:F31)</f>
        <v>428875</v>
      </c>
      <c r="G12" s="83">
        <v>9630</v>
      </c>
      <c r="H12" s="83">
        <v>0</v>
      </c>
      <c r="I12" s="83">
        <v>0</v>
      </c>
      <c r="J12" s="83">
        <f>SUM(J13:J31)</f>
        <v>299171</v>
      </c>
      <c r="K12" s="83">
        <f>SUM(K13:K31)</f>
        <v>8078</v>
      </c>
      <c r="L12" s="83">
        <v>45886</v>
      </c>
      <c r="M12" s="83">
        <v>1036741</v>
      </c>
      <c r="N12" s="83">
        <v>89449</v>
      </c>
      <c r="O12" s="83">
        <v>30740595</v>
      </c>
      <c r="P12" s="83">
        <v>0</v>
      </c>
      <c r="Q12" s="83">
        <f>SUM(Q13:Q31)</f>
        <v>23321098.899999999</v>
      </c>
      <c r="R12" s="83">
        <v>266166</v>
      </c>
      <c r="S12" s="83">
        <v>23418</v>
      </c>
      <c r="T12" s="83">
        <v>3405834</v>
      </c>
      <c r="U12" s="83">
        <f>SUM(U13:U31)</f>
        <v>362792.446</v>
      </c>
      <c r="V12" s="83">
        <v>218504</v>
      </c>
      <c r="W12" s="83">
        <f>SUM(W13:W31)</f>
        <v>286461</v>
      </c>
      <c r="X12" s="83">
        <v>555842</v>
      </c>
      <c r="Y12" s="83">
        <f>SUM(Y13:Y31)</f>
        <v>114663518</v>
      </c>
      <c r="Z12" s="83">
        <v>42300</v>
      </c>
      <c r="AA12" s="83">
        <v>0</v>
      </c>
      <c r="AB12" s="83">
        <f>SUM(AB13:AB31)</f>
        <v>2017804.736</v>
      </c>
      <c r="AC12" s="83">
        <v>18870</v>
      </c>
      <c r="AD12" s="83">
        <v>0</v>
      </c>
      <c r="AE12" s="83">
        <v>23764693</v>
      </c>
      <c r="AF12" s="83">
        <f>SUM(AF13:AF31)</f>
        <v>117350</v>
      </c>
      <c r="AG12" s="83">
        <v>99402850</v>
      </c>
      <c r="AH12" s="83">
        <f>SUM(AH13:AH31)</f>
        <v>18201</v>
      </c>
      <c r="AI12" s="83">
        <v>560158</v>
      </c>
      <c r="AJ12" s="83">
        <f>SUM(AJ13:AJ31)</f>
        <v>297730.21600000001</v>
      </c>
      <c r="AK12" s="83">
        <v>121005</v>
      </c>
      <c r="AL12" s="83">
        <f>SUM(AL13:AL31)</f>
        <v>21694</v>
      </c>
      <c r="AM12" s="83">
        <f>SUM(AM13:AM31)</f>
        <v>1514433.8459999999</v>
      </c>
      <c r="AN12" s="83">
        <f>SUM(AN13:AN31)</f>
        <v>114628</v>
      </c>
      <c r="AO12" s="83">
        <v>2061100</v>
      </c>
      <c r="AP12" s="83">
        <v>0</v>
      </c>
      <c r="AQ12" s="83">
        <v>621692</v>
      </c>
      <c r="AR12" s="83">
        <f>SUM(AR13:AR31)</f>
        <v>60575848</v>
      </c>
      <c r="AS12" s="83">
        <v>414710.18</v>
      </c>
      <c r="AT12" s="83">
        <f>SUM(AT13:AT31)</f>
        <v>195293.77100000001</v>
      </c>
      <c r="AU12" s="83"/>
      <c r="AV12" s="83">
        <f>SUM(AV13:AV31)</f>
        <v>33000</v>
      </c>
      <c r="AW12" s="83">
        <f>SUM(AW13:AW31)</f>
        <v>16657084</v>
      </c>
      <c r="AX12" s="83">
        <f>SUM(AX13:AX31)</f>
        <v>8724</v>
      </c>
      <c r="AY12" s="83">
        <v>1836.5250000000001</v>
      </c>
      <c r="AZ12" s="83">
        <v>0</v>
      </c>
      <c r="BA12" s="83">
        <f>SUM(BA13:BA31)</f>
        <v>16400</v>
      </c>
      <c r="BB12" s="83">
        <f>SUM(BB13:BB31)</f>
        <v>620159</v>
      </c>
      <c r="BC12" s="83">
        <f>SUM(BC13:BC31)</f>
        <v>168257</v>
      </c>
      <c r="BD12" s="83">
        <f>SUM(BD13:BD31)</f>
        <v>729957</v>
      </c>
      <c r="BE12" s="83"/>
      <c r="BF12" s="83">
        <f>SUM(BF13:BF31)</f>
        <v>46573.005000000005</v>
      </c>
      <c r="BG12" s="83">
        <f>SUM(BG13:BG31)</f>
        <v>9184414</v>
      </c>
      <c r="BH12" s="83"/>
      <c r="BI12" s="83">
        <v>5276775.9400000004</v>
      </c>
      <c r="BJ12" s="84">
        <f t="shared" ref="BJ12:BJ75" si="4">SUM(B12:BI12)</f>
        <v>401261282.56500006</v>
      </c>
    </row>
    <row r="13" spans="1:62" ht="25.75" hidden="1" customHeight="1" x14ac:dyDescent="0.35">
      <c r="A13" s="83" t="s">
        <v>882</v>
      </c>
      <c r="B13" s="83">
        <v>0</v>
      </c>
      <c r="C13" s="83">
        <v>0</v>
      </c>
      <c r="D13" s="83">
        <v>0</v>
      </c>
      <c r="E13" s="83">
        <v>7959</v>
      </c>
      <c r="F13" s="83">
        <v>0</v>
      </c>
      <c r="G13" s="83">
        <v>0</v>
      </c>
      <c r="H13" s="83">
        <v>0</v>
      </c>
      <c r="I13" s="83">
        <v>0</v>
      </c>
      <c r="J13" s="83">
        <v>1119</v>
      </c>
      <c r="K13" s="83">
        <v>0</v>
      </c>
      <c r="L13" s="83">
        <v>11828</v>
      </c>
      <c r="M13" s="83">
        <v>0</v>
      </c>
      <c r="N13" s="83">
        <v>0</v>
      </c>
      <c r="O13" s="83">
        <v>4345801</v>
      </c>
      <c r="P13" s="83">
        <v>0</v>
      </c>
      <c r="Q13" s="83">
        <v>956828.9</v>
      </c>
      <c r="R13" s="83">
        <v>234</v>
      </c>
      <c r="S13" s="83">
        <v>167</v>
      </c>
      <c r="T13" s="83">
        <v>0</v>
      </c>
      <c r="U13" s="83">
        <v>84273</v>
      </c>
      <c r="V13" s="83">
        <v>0</v>
      </c>
      <c r="W13" s="83">
        <v>23888</v>
      </c>
      <c r="X13" s="83">
        <v>1695</v>
      </c>
      <c r="Y13" s="83">
        <v>78938234</v>
      </c>
      <c r="Z13" s="83">
        <v>0</v>
      </c>
      <c r="AA13" s="83">
        <v>0</v>
      </c>
      <c r="AB13" s="83">
        <v>0</v>
      </c>
      <c r="AC13" s="83">
        <v>10354</v>
      </c>
      <c r="AD13" s="83">
        <v>0</v>
      </c>
      <c r="AE13" s="83">
        <v>8850844</v>
      </c>
      <c r="AF13" s="83">
        <v>6135</v>
      </c>
      <c r="AG13" s="83">
        <v>76564160</v>
      </c>
      <c r="AH13" s="83">
        <v>1303</v>
      </c>
      <c r="AI13" s="83">
        <v>0</v>
      </c>
      <c r="AJ13" s="83">
        <v>0</v>
      </c>
      <c r="AK13" s="83">
        <v>17615</v>
      </c>
      <c r="AL13" s="83">
        <v>0</v>
      </c>
      <c r="AM13" s="83">
        <v>6368.9859999999999</v>
      </c>
      <c r="AN13" s="83">
        <v>0</v>
      </c>
      <c r="AO13" s="83">
        <v>0</v>
      </c>
      <c r="AP13" s="83">
        <v>0</v>
      </c>
      <c r="AQ13" s="83">
        <v>107049</v>
      </c>
      <c r="AR13" s="83">
        <v>53251060</v>
      </c>
      <c r="AS13" s="83">
        <v>44476.03</v>
      </c>
      <c r="AT13" s="83">
        <v>0</v>
      </c>
      <c r="AU13" s="83"/>
      <c r="AV13" s="83">
        <v>2000</v>
      </c>
      <c r="AW13" s="83">
        <v>8151848</v>
      </c>
      <c r="AX13" s="83">
        <v>5046</v>
      </c>
      <c r="AY13" s="83">
        <v>0</v>
      </c>
      <c r="AZ13" s="83"/>
      <c r="BA13" s="83">
        <v>2000</v>
      </c>
      <c r="BB13" s="83">
        <v>102017</v>
      </c>
      <c r="BC13" s="83"/>
      <c r="BD13" s="83">
        <v>160</v>
      </c>
      <c r="BE13" s="83"/>
      <c r="BF13" s="83"/>
      <c r="BG13" s="83">
        <v>3299380</v>
      </c>
      <c r="BH13" s="83"/>
      <c r="BI13" s="83">
        <v>868659.53500000003</v>
      </c>
      <c r="BJ13" s="84">
        <f t="shared" si="4"/>
        <v>235662502.45100001</v>
      </c>
    </row>
    <row r="14" spans="1:62" ht="25.75" hidden="1" customHeight="1" x14ac:dyDescent="0.35">
      <c r="A14" s="83" t="s">
        <v>883</v>
      </c>
      <c r="B14" s="83">
        <v>0</v>
      </c>
      <c r="C14" s="83">
        <v>0</v>
      </c>
      <c r="D14" s="83">
        <v>0</v>
      </c>
      <c r="E14" s="83">
        <v>0</v>
      </c>
      <c r="F14" s="83">
        <v>0</v>
      </c>
      <c r="G14" s="83"/>
      <c r="H14" s="83">
        <v>0</v>
      </c>
      <c r="I14" s="83">
        <v>0</v>
      </c>
      <c r="J14" s="83"/>
      <c r="K14" s="83">
        <v>0</v>
      </c>
      <c r="L14" s="83"/>
      <c r="M14" s="83"/>
      <c r="N14" s="83">
        <v>0</v>
      </c>
      <c r="O14" s="83"/>
      <c r="P14" s="83">
        <v>0</v>
      </c>
      <c r="Q14" s="83"/>
      <c r="R14" s="83"/>
      <c r="S14" s="83">
        <v>0</v>
      </c>
      <c r="T14" s="83">
        <v>0</v>
      </c>
      <c r="U14" s="83">
        <v>0</v>
      </c>
      <c r="V14" s="83"/>
      <c r="W14" s="83">
        <v>105385</v>
      </c>
      <c r="X14" s="83">
        <v>487207</v>
      </c>
      <c r="Y14" s="83">
        <v>0</v>
      </c>
      <c r="Z14" s="83"/>
      <c r="AA14" s="83">
        <v>0</v>
      </c>
      <c r="AB14" s="83">
        <v>242136.495</v>
      </c>
      <c r="AC14" s="83"/>
      <c r="AD14" s="83">
        <v>0</v>
      </c>
      <c r="AE14" s="83"/>
      <c r="AF14" s="83"/>
      <c r="AG14" s="83">
        <v>0</v>
      </c>
      <c r="AH14" s="83">
        <v>0</v>
      </c>
      <c r="AI14" s="83"/>
      <c r="AJ14" s="83"/>
      <c r="AK14" s="83"/>
      <c r="AL14" s="83"/>
      <c r="AM14" s="83">
        <v>0</v>
      </c>
      <c r="AN14" s="83"/>
      <c r="AO14" s="83">
        <v>0</v>
      </c>
      <c r="AP14" s="83">
        <v>0</v>
      </c>
      <c r="AQ14" s="83">
        <v>0</v>
      </c>
      <c r="AR14" s="83"/>
      <c r="AS14" s="83">
        <v>0</v>
      </c>
      <c r="AT14" s="83"/>
      <c r="AU14" s="83"/>
      <c r="AV14" s="83">
        <v>0</v>
      </c>
      <c r="AW14" s="83">
        <v>454960</v>
      </c>
      <c r="AX14" s="83">
        <v>0</v>
      </c>
      <c r="AY14" s="83">
        <v>0</v>
      </c>
      <c r="AZ14" s="83"/>
      <c r="BA14" s="83">
        <v>0</v>
      </c>
      <c r="BB14" s="83"/>
      <c r="BC14" s="83"/>
      <c r="BD14" s="83"/>
      <c r="BE14" s="83"/>
      <c r="BF14" s="83"/>
      <c r="BG14" s="83">
        <v>1812222</v>
      </c>
      <c r="BH14" s="83"/>
      <c r="BI14" s="83"/>
      <c r="BJ14" s="84">
        <f t="shared" si="4"/>
        <v>3101910.4950000001</v>
      </c>
    </row>
    <row r="15" spans="1:62" ht="25.75" hidden="1" customHeight="1" x14ac:dyDescent="0.35">
      <c r="A15" s="83" t="s">
        <v>884</v>
      </c>
      <c r="B15" s="83">
        <v>754</v>
      </c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83">
        <v>0</v>
      </c>
      <c r="AB15" s="83">
        <v>0</v>
      </c>
      <c r="AC15" s="83">
        <v>0</v>
      </c>
      <c r="AD15" s="83">
        <v>0</v>
      </c>
      <c r="AE15" s="83">
        <v>0</v>
      </c>
      <c r="AF15" s="83">
        <v>0</v>
      </c>
      <c r="AG15" s="83">
        <v>24296</v>
      </c>
      <c r="AH15" s="83">
        <v>0</v>
      </c>
      <c r="AI15" s="83">
        <v>0</v>
      </c>
      <c r="AJ15" s="83">
        <v>0</v>
      </c>
      <c r="AK15" s="83">
        <v>0</v>
      </c>
      <c r="AL15" s="83">
        <v>0</v>
      </c>
      <c r="AM15" s="83">
        <v>0</v>
      </c>
      <c r="AN15" s="83">
        <v>0</v>
      </c>
      <c r="AO15" s="83">
        <v>0</v>
      </c>
      <c r="AP15" s="83">
        <v>0</v>
      </c>
      <c r="AQ15" s="83">
        <v>0</v>
      </c>
      <c r="AR15" s="83"/>
      <c r="AS15" s="83">
        <v>0</v>
      </c>
      <c r="AT15" s="83">
        <v>0</v>
      </c>
      <c r="AU15" s="83"/>
      <c r="AV15" s="83">
        <v>0</v>
      </c>
      <c r="AW15" s="83">
        <v>0</v>
      </c>
      <c r="AX15" s="83">
        <v>0</v>
      </c>
      <c r="AY15" s="83">
        <v>0</v>
      </c>
      <c r="AZ15" s="83"/>
      <c r="BA15" s="83">
        <v>0</v>
      </c>
      <c r="BB15" s="83">
        <v>2834</v>
      </c>
      <c r="BC15" s="83"/>
      <c r="BD15" s="83"/>
      <c r="BE15" s="83"/>
      <c r="BF15" s="83"/>
      <c r="BG15" s="83"/>
      <c r="BH15" s="83"/>
      <c r="BI15" s="83"/>
      <c r="BJ15" s="84">
        <f t="shared" si="4"/>
        <v>27884</v>
      </c>
    </row>
    <row r="16" spans="1:62" ht="25.75" hidden="1" customHeight="1" x14ac:dyDescent="0.35">
      <c r="A16" s="83" t="s">
        <v>885</v>
      </c>
      <c r="B16" s="83">
        <v>1500</v>
      </c>
      <c r="C16" s="83">
        <v>0</v>
      </c>
      <c r="D16" s="83">
        <v>0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  <c r="Q16" s="83">
        <v>0</v>
      </c>
      <c r="R16" s="83">
        <v>0</v>
      </c>
      <c r="S16" s="83">
        <v>0</v>
      </c>
      <c r="T16" s="83">
        <v>0</v>
      </c>
      <c r="U16" s="83">
        <v>0</v>
      </c>
      <c r="V16" s="83">
        <v>0</v>
      </c>
      <c r="W16" s="83">
        <v>0</v>
      </c>
      <c r="X16" s="83">
        <v>0</v>
      </c>
      <c r="Y16" s="83"/>
      <c r="Z16" s="83">
        <v>0</v>
      </c>
      <c r="AA16" s="83">
        <v>0</v>
      </c>
      <c r="AB16" s="83">
        <v>0</v>
      </c>
      <c r="AC16" s="83">
        <v>0</v>
      </c>
      <c r="AD16" s="83">
        <v>0</v>
      </c>
      <c r="AE16" s="83">
        <v>0</v>
      </c>
      <c r="AF16" s="83">
        <v>0</v>
      </c>
      <c r="AG16" s="83">
        <v>0</v>
      </c>
      <c r="AH16" s="83">
        <v>0</v>
      </c>
      <c r="AI16" s="83">
        <v>0</v>
      </c>
      <c r="AJ16" s="83"/>
      <c r="AK16" s="83">
        <v>0</v>
      </c>
      <c r="AL16" s="83">
        <v>0</v>
      </c>
      <c r="AM16" s="83">
        <v>0</v>
      </c>
      <c r="AN16" s="83">
        <v>0</v>
      </c>
      <c r="AO16" s="83">
        <v>0</v>
      </c>
      <c r="AP16" s="83">
        <v>0</v>
      </c>
      <c r="AQ16" s="83">
        <v>0</v>
      </c>
      <c r="AR16" s="83"/>
      <c r="AS16" s="83">
        <v>0</v>
      </c>
      <c r="AT16" s="83">
        <v>0</v>
      </c>
      <c r="AU16" s="83"/>
      <c r="AV16" s="83">
        <v>100</v>
      </c>
      <c r="AW16" s="83">
        <v>0</v>
      </c>
      <c r="AX16" s="83">
        <v>0</v>
      </c>
      <c r="AY16" s="83">
        <v>0</v>
      </c>
      <c r="AZ16" s="83"/>
      <c r="BA16" s="83">
        <v>0</v>
      </c>
      <c r="BB16" s="83">
        <v>0</v>
      </c>
      <c r="BC16" s="83"/>
      <c r="BD16" s="83"/>
      <c r="BE16" s="83"/>
      <c r="BF16" s="83"/>
      <c r="BG16" s="83"/>
      <c r="BH16" s="83"/>
      <c r="BI16" s="83"/>
      <c r="BJ16" s="84">
        <f t="shared" si="4"/>
        <v>1600</v>
      </c>
    </row>
    <row r="17" spans="1:62" ht="25.75" hidden="1" customHeight="1" x14ac:dyDescent="0.35">
      <c r="A17" s="83" t="s">
        <v>886</v>
      </c>
      <c r="B17" s="83">
        <v>0</v>
      </c>
      <c r="C17" s="83">
        <v>1418</v>
      </c>
      <c r="D17" s="83">
        <v>0</v>
      </c>
      <c r="E17" s="83">
        <v>0</v>
      </c>
      <c r="F17" s="83">
        <v>0</v>
      </c>
      <c r="G17" s="83">
        <v>2000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  <c r="Q17" s="83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83">
        <v>0</v>
      </c>
      <c r="Y17" s="83">
        <v>0</v>
      </c>
      <c r="Z17" s="83">
        <v>0</v>
      </c>
      <c r="AA17" s="83">
        <v>0</v>
      </c>
      <c r="AB17" s="83">
        <v>0</v>
      </c>
      <c r="AC17" s="83">
        <v>0</v>
      </c>
      <c r="AD17" s="83">
        <v>0</v>
      </c>
      <c r="AE17" s="83">
        <v>68636</v>
      </c>
      <c r="AF17" s="83">
        <v>0</v>
      </c>
      <c r="AG17" s="83">
        <v>8919409</v>
      </c>
      <c r="AH17" s="83">
        <v>0</v>
      </c>
      <c r="AI17" s="83">
        <v>0</v>
      </c>
      <c r="AJ17" s="83">
        <v>0</v>
      </c>
      <c r="AK17" s="83">
        <v>4816</v>
      </c>
      <c r="AL17" s="83">
        <v>0</v>
      </c>
      <c r="AM17" s="83">
        <v>0</v>
      </c>
      <c r="AN17" s="83">
        <v>0</v>
      </c>
      <c r="AO17" s="83">
        <v>0</v>
      </c>
      <c r="AP17" s="83">
        <v>0</v>
      </c>
      <c r="AQ17" s="83">
        <v>0</v>
      </c>
      <c r="AR17" s="83"/>
      <c r="AS17" s="83">
        <v>0</v>
      </c>
      <c r="AT17" s="83">
        <v>0</v>
      </c>
      <c r="AU17" s="83"/>
      <c r="AV17" s="83">
        <v>0</v>
      </c>
      <c r="AW17" s="83">
        <v>0</v>
      </c>
      <c r="AX17" s="83">
        <v>0</v>
      </c>
      <c r="AY17" s="83">
        <v>0</v>
      </c>
      <c r="AZ17" s="83"/>
      <c r="BA17" s="83">
        <v>0</v>
      </c>
      <c r="BB17" s="83">
        <v>102440</v>
      </c>
      <c r="BC17" s="83"/>
      <c r="BD17" s="83"/>
      <c r="BE17" s="83"/>
      <c r="BF17" s="83">
        <v>3600</v>
      </c>
      <c r="BG17" s="83"/>
      <c r="BH17" s="83"/>
      <c r="BI17" s="83"/>
      <c r="BJ17" s="84">
        <f t="shared" si="4"/>
        <v>9102319</v>
      </c>
    </row>
    <row r="18" spans="1:62" ht="25.75" hidden="1" customHeight="1" x14ac:dyDescent="0.35">
      <c r="A18" s="83" t="s">
        <v>887</v>
      </c>
      <c r="B18" s="83">
        <v>233317</v>
      </c>
      <c r="C18" s="83">
        <v>7645</v>
      </c>
      <c r="D18" s="83">
        <v>44603</v>
      </c>
      <c r="E18" s="83">
        <v>25788</v>
      </c>
      <c r="F18" s="83">
        <v>0</v>
      </c>
      <c r="G18" s="83">
        <v>0</v>
      </c>
      <c r="H18" s="83">
        <v>0</v>
      </c>
      <c r="I18" s="83">
        <v>0</v>
      </c>
      <c r="J18" s="83">
        <v>202354</v>
      </c>
      <c r="K18" s="83">
        <v>0</v>
      </c>
      <c r="L18" s="83">
        <v>6104</v>
      </c>
      <c r="M18" s="83">
        <v>40439</v>
      </c>
      <c r="N18" s="83">
        <v>0</v>
      </c>
      <c r="O18" s="83">
        <v>3963990</v>
      </c>
      <c r="P18" s="83">
        <v>0</v>
      </c>
      <c r="Q18" s="83">
        <v>2396312</v>
      </c>
      <c r="R18" s="83">
        <v>142084</v>
      </c>
      <c r="S18" s="83">
        <v>0</v>
      </c>
      <c r="T18" s="83">
        <v>0</v>
      </c>
      <c r="U18" s="83">
        <v>121261.925</v>
      </c>
      <c r="V18" s="83">
        <v>137569</v>
      </c>
      <c r="W18" s="83">
        <v>0</v>
      </c>
      <c r="X18" s="83">
        <v>0</v>
      </c>
      <c r="Y18" s="83">
        <v>0</v>
      </c>
      <c r="Z18" s="83">
        <v>0</v>
      </c>
      <c r="AA18" s="83">
        <v>0</v>
      </c>
      <c r="AB18" s="83">
        <v>0</v>
      </c>
      <c r="AC18" s="83">
        <v>469</v>
      </c>
      <c r="AD18" s="83">
        <v>0</v>
      </c>
      <c r="AE18" s="83">
        <v>0</v>
      </c>
      <c r="AF18" s="83">
        <v>0</v>
      </c>
      <c r="AG18" s="83">
        <v>0</v>
      </c>
      <c r="AH18" s="83">
        <v>0</v>
      </c>
      <c r="AI18" s="83">
        <v>57833.317999999999</v>
      </c>
      <c r="AJ18" s="83">
        <v>79801.873000000007</v>
      </c>
      <c r="AK18" s="83">
        <v>44584</v>
      </c>
      <c r="AL18" s="83">
        <v>0</v>
      </c>
      <c r="AM18" s="83">
        <v>702275.86800000002</v>
      </c>
      <c r="AN18" s="83">
        <v>42664</v>
      </c>
      <c r="AO18" s="83">
        <v>0</v>
      </c>
      <c r="AP18" s="83">
        <v>0</v>
      </c>
      <c r="AQ18" s="83">
        <v>0</v>
      </c>
      <c r="AR18" s="83"/>
      <c r="AS18" s="83">
        <v>0</v>
      </c>
      <c r="AT18" s="83">
        <v>65389.834000000003</v>
      </c>
      <c r="AU18" s="83"/>
      <c r="AV18" s="83">
        <v>5000</v>
      </c>
      <c r="AW18" s="83">
        <v>0</v>
      </c>
      <c r="AX18" s="83">
        <v>0</v>
      </c>
      <c r="AY18" s="83">
        <v>0</v>
      </c>
      <c r="AZ18" s="83"/>
      <c r="BA18" s="83">
        <v>5000</v>
      </c>
      <c r="BB18" s="83">
        <v>23414</v>
      </c>
      <c r="BC18" s="83"/>
      <c r="BD18" s="83">
        <v>408037</v>
      </c>
      <c r="BE18" s="83"/>
      <c r="BF18" s="83"/>
      <c r="BG18" s="83"/>
      <c r="BH18" s="83"/>
      <c r="BI18" s="83">
        <v>922296.40700000001</v>
      </c>
      <c r="BJ18" s="84">
        <f t="shared" si="4"/>
        <v>9678232.2249999996</v>
      </c>
    </row>
    <row r="19" spans="1:62" ht="25.75" hidden="1" customHeight="1" x14ac:dyDescent="0.35">
      <c r="A19" s="83" t="s">
        <v>888</v>
      </c>
      <c r="B19" s="83">
        <v>0</v>
      </c>
      <c r="C19" s="83">
        <v>8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4402</v>
      </c>
      <c r="N19" s="83">
        <v>0</v>
      </c>
      <c r="O19" s="83">
        <v>6600265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83">
        <v>0</v>
      </c>
      <c r="Y19" s="83">
        <v>0</v>
      </c>
      <c r="Z19" s="83">
        <v>39300</v>
      </c>
      <c r="AA19" s="83">
        <v>0</v>
      </c>
      <c r="AB19" s="83">
        <v>0</v>
      </c>
      <c r="AC19" s="83">
        <v>0</v>
      </c>
      <c r="AD19" s="83">
        <v>0</v>
      </c>
      <c r="AE19" s="83">
        <v>13141320</v>
      </c>
      <c r="AF19" s="83">
        <v>2125</v>
      </c>
      <c r="AG19" s="83">
        <v>7160321</v>
      </c>
      <c r="AH19" s="83">
        <v>350</v>
      </c>
      <c r="AI19" s="83">
        <v>0</v>
      </c>
      <c r="AJ19" s="83">
        <v>0</v>
      </c>
      <c r="AK19" s="83">
        <v>0</v>
      </c>
      <c r="AL19" s="83">
        <v>0</v>
      </c>
      <c r="AM19" s="83">
        <v>0</v>
      </c>
      <c r="AN19" s="83">
        <v>0</v>
      </c>
      <c r="AO19" s="83">
        <v>0</v>
      </c>
      <c r="AP19" s="83">
        <v>0</v>
      </c>
      <c r="AQ19" s="83">
        <v>0</v>
      </c>
      <c r="AR19" s="83"/>
      <c r="AS19" s="83">
        <v>0</v>
      </c>
      <c r="AT19" s="83">
        <v>0</v>
      </c>
      <c r="AU19" s="83"/>
      <c r="AV19" s="83">
        <v>0</v>
      </c>
      <c r="AW19" s="83">
        <v>0</v>
      </c>
      <c r="AX19" s="83">
        <v>0</v>
      </c>
      <c r="AY19" s="83">
        <v>0</v>
      </c>
      <c r="AZ19" s="83"/>
      <c r="BA19" s="83">
        <v>0</v>
      </c>
      <c r="BB19" s="83">
        <v>3450</v>
      </c>
      <c r="BC19" s="83"/>
      <c r="BD19" s="83"/>
      <c r="BE19" s="83"/>
      <c r="BF19" s="83"/>
      <c r="BG19" s="83"/>
      <c r="BH19" s="83"/>
      <c r="BI19" s="83"/>
      <c r="BJ19" s="84">
        <f t="shared" si="4"/>
        <v>26951541</v>
      </c>
    </row>
    <row r="20" spans="1:62" ht="25.75" hidden="1" customHeight="1" x14ac:dyDescent="0.35">
      <c r="A20" s="83" t="s">
        <v>889</v>
      </c>
      <c r="B20" s="83">
        <v>17790</v>
      </c>
      <c r="C20" s="83">
        <v>0</v>
      </c>
      <c r="D20" s="83">
        <v>0</v>
      </c>
      <c r="E20" s="83">
        <v>1417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648075</v>
      </c>
      <c r="P20" s="83">
        <v>0</v>
      </c>
      <c r="Q20" s="83">
        <v>0</v>
      </c>
      <c r="R20" s="83">
        <v>6734</v>
      </c>
      <c r="S20" s="83">
        <v>0</v>
      </c>
      <c r="T20" s="83">
        <v>0</v>
      </c>
      <c r="U20" s="83">
        <v>0</v>
      </c>
      <c r="V20" s="83">
        <v>18051</v>
      </c>
      <c r="W20" s="83">
        <v>0</v>
      </c>
      <c r="X20" s="83">
        <v>0</v>
      </c>
      <c r="Y20" s="83">
        <v>0</v>
      </c>
      <c r="Z20" s="83">
        <v>0</v>
      </c>
      <c r="AA20" s="83">
        <v>0</v>
      </c>
      <c r="AB20" s="83">
        <v>0</v>
      </c>
      <c r="AC20" s="83">
        <v>0</v>
      </c>
      <c r="AD20" s="83">
        <v>0</v>
      </c>
      <c r="AE20" s="83">
        <v>80455</v>
      </c>
      <c r="AF20" s="83">
        <v>2274</v>
      </c>
      <c r="AG20" s="83">
        <v>1355373</v>
      </c>
      <c r="AH20" s="83">
        <v>0</v>
      </c>
      <c r="AI20" s="83">
        <v>6667.4610000000002</v>
      </c>
      <c r="AJ20" s="83">
        <v>0</v>
      </c>
      <c r="AK20" s="83">
        <v>0</v>
      </c>
      <c r="AL20" s="83">
        <v>0</v>
      </c>
      <c r="AM20" s="83">
        <v>105465.322</v>
      </c>
      <c r="AN20" s="83">
        <v>842</v>
      </c>
      <c r="AO20" s="83">
        <v>0</v>
      </c>
      <c r="AP20" s="83">
        <v>0</v>
      </c>
      <c r="AQ20" s="83">
        <v>0</v>
      </c>
      <c r="AR20" s="83"/>
      <c r="AS20" s="83">
        <v>0</v>
      </c>
      <c r="AT20" s="83">
        <v>2000</v>
      </c>
      <c r="AU20" s="83"/>
      <c r="AV20" s="83">
        <v>0</v>
      </c>
      <c r="AW20" s="83">
        <v>0</v>
      </c>
      <c r="AX20" s="83">
        <v>0</v>
      </c>
      <c r="AY20" s="83">
        <v>0</v>
      </c>
      <c r="AZ20" s="83"/>
      <c r="BA20" s="83">
        <v>0</v>
      </c>
      <c r="BB20" s="83">
        <v>0</v>
      </c>
      <c r="BC20" s="83"/>
      <c r="BD20" s="83"/>
      <c r="BE20" s="83"/>
      <c r="BF20" s="83"/>
      <c r="BG20" s="83"/>
      <c r="BH20" s="83"/>
      <c r="BI20" s="83"/>
      <c r="BJ20" s="84">
        <f t="shared" si="4"/>
        <v>2245143.7830000003</v>
      </c>
    </row>
    <row r="21" spans="1:62" ht="25.75" hidden="1" customHeight="1" x14ac:dyDescent="0.35">
      <c r="A21" s="83" t="s">
        <v>890</v>
      </c>
      <c r="B21" s="83">
        <v>0</v>
      </c>
      <c r="C21" s="83">
        <v>0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14547368</v>
      </c>
      <c r="P21" s="83">
        <v>0</v>
      </c>
      <c r="Q21" s="83">
        <v>13599997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0</v>
      </c>
      <c r="Y21" s="83">
        <v>0</v>
      </c>
      <c r="Z21" s="83">
        <v>0</v>
      </c>
      <c r="AA21" s="83">
        <v>0</v>
      </c>
      <c r="AB21" s="83">
        <v>0</v>
      </c>
      <c r="AC21" s="83">
        <v>0</v>
      </c>
      <c r="AD21" s="83">
        <v>0</v>
      </c>
      <c r="AE21" s="83">
        <v>0</v>
      </c>
      <c r="AF21" s="83">
        <v>0</v>
      </c>
      <c r="AG21" s="83">
        <v>0</v>
      </c>
      <c r="AH21" s="83">
        <v>0</v>
      </c>
      <c r="AI21" s="83">
        <v>0</v>
      </c>
      <c r="AJ21" s="83">
        <v>0</v>
      </c>
      <c r="AK21" s="83">
        <v>0</v>
      </c>
      <c r="AL21" s="83">
        <v>0</v>
      </c>
      <c r="AM21" s="83">
        <v>0</v>
      </c>
      <c r="AN21" s="83">
        <v>0</v>
      </c>
      <c r="AO21" s="83">
        <v>0</v>
      </c>
      <c r="AP21" s="83">
        <v>0</v>
      </c>
      <c r="AQ21" s="83">
        <v>0</v>
      </c>
      <c r="AR21" s="83"/>
      <c r="AS21" s="83">
        <v>0</v>
      </c>
      <c r="AT21" s="83">
        <v>0</v>
      </c>
      <c r="AU21" s="83"/>
      <c r="AV21" s="83">
        <v>0</v>
      </c>
      <c r="AW21" s="83">
        <v>0</v>
      </c>
      <c r="AX21" s="83">
        <v>0</v>
      </c>
      <c r="AY21" s="83">
        <v>0</v>
      </c>
      <c r="AZ21" s="83"/>
      <c r="BA21" s="83">
        <v>0</v>
      </c>
      <c r="BB21" s="83">
        <v>0</v>
      </c>
      <c r="BC21" s="83"/>
      <c r="BD21" s="83"/>
      <c r="BE21" s="83"/>
      <c r="BF21" s="83"/>
      <c r="BG21" s="83"/>
      <c r="BH21" s="83"/>
      <c r="BI21" s="83"/>
      <c r="BJ21" s="84">
        <f t="shared" si="4"/>
        <v>28147365</v>
      </c>
    </row>
    <row r="22" spans="1:62" ht="25.75" hidden="1" customHeight="1" x14ac:dyDescent="0.35">
      <c r="A22" s="83" t="s">
        <v>891</v>
      </c>
      <c r="B22" s="83">
        <v>0</v>
      </c>
      <c r="C22" s="83">
        <v>0</v>
      </c>
      <c r="D22" s="83">
        <v>0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3">
        <v>0</v>
      </c>
      <c r="O22" s="83">
        <v>60508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236</v>
      </c>
      <c r="W22" s="83">
        <v>0</v>
      </c>
      <c r="X22" s="83">
        <v>0</v>
      </c>
      <c r="Y22" s="83">
        <v>9626321</v>
      </c>
      <c r="Z22" s="83">
        <v>0</v>
      </c>
      <c r="AA22" s="83"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41872</v>
      </c>
      <c r="AG22" s="83">
        <v>0</v>
      </c>
      <c r="AH22" s="83">
        <v>0</v>
      </c>
      <c r="AI22" s="83">
        <v>0</v>
      </c>
      <c r="AJ22" s="83">
        <v>0</v>
      </c>
      <c r="AK22" s="83">
        <v>0</v>
      </c>
      <c r="AL22" s="83">
        <v>0</v>
      </c>
      <c r="AM22" s="83">
        <v>0</v>
      </c>
      <c r="AN22" s="83">
        <v>0</v>
      </c>
      <c r="AO22" s="83">
        <v>0</v>
      </c>
      <c r="AP22" s="83">
        <v>0</v>
      </c>
      <c r="AQ22" s="83">
        <v>0</v>
      </c>
      <c r="AR22" s="83"/>
      <c r="AS22" s="83">
        <v>0</v>
      </c>
      <c r="AT22" s="83">
        <v>0</v>
      </c>
      <c r="AU22" s="83"/>
      <c r="AV22" s="83">
        <v>0</v>
      </c>
      <c r="AW22" s="83">
        <v>0</v>
      </c>
      <c r="AX22" s="83">
        <v>0</v>
      </c>
      <c r="AY22" s="83">
        <v>0</v>
      </c>
      <c r="AZ22" s="83"/>
      <c r="BA22" s="83">
        <v>0</v>
      </c>
      <c r="BB22" s="83">
        <v>0</v>
      </c>
      <c r="BC22" s="83">
        <v>158483</v>
      </c>
      <c r="BD22" s="83"/>
      <c r="BE22" s="83"/>
      <c r="BF22" s="83"/>
      <c r="BG22" s="83"/>
      <c r="BH22" s="83"/>
      <c r="BI22" s="83"/>
      <c r="BJ22" s="84">
        <f t="shared" si="4"/>
        <v>9887420</v>
      </c>
    </row>
    <row r="23" spans="1:62" ht="25.75" hidden="1" customHeight="1" x14ac:dyDescent="0.35">
      <c r="A23" s="83" t="s">
        <v>892</v>
      </c>
      <c r="B23" s="83">
        <v>570</v>
      </c>
      <c r="C23" s="83">
        <v>0</v>
      </c>
      <c r="D23" s="83">
        <v>0</v>
      </c>
      <c r="E23" s="83">
        <v>304</v>
      </c>
      <c r="F23" s="83">
        <v>9998</v>
      </c>
      <c r="G23" s="83">
        <v>2000</v>
      </c>
      <c r="H23" s="83">
        <v>0</v>
      </c>
      <c r="I23" s="83">
        <v>0</v>
      </c>
      <c r="J23" s="83">
        <v>6169</v>
      </c>
      <c r="K23" s="83">
        <v>0</v>
      </c>
      <c r="L23" s="83">
        <v>0</v>
      </c>
      <c r="M23" s="83">
        <v>0</v>
      </c>
      <c r="N23" s="83">
        <v>0</v>
      </c>
      <c r="O23" s="83">
        <v>78883</v>
      </c>
      <c r="P23" s="83">
        <v>0</v>
      </c>
      <c r="Q23" s="83">
        <v>23975</v>
      </c>
      <c r="R23" s="83">
        <v>0</v>
      </c>
      <c r="S23" s="83">
        <v>185</v>
      </c>
      <c r="T23" s="83">
        <v>0</v>
      </c>
      <c r="U23" s="83">
        <v>0</v>
      </c>
      <c r="V23" s="83">
        <v>0</v>
      </c>
      <c r="W23" s="83">
        <v>1793</v>
      </c>
      <c r="X23" s="83">
        <v>0</v>
      </c>
      <c r="Y23" s="83">
        <v>0</v>
      </c>
      <c r="Z23" s="83">
        <v>3000</v>
      </c>
      <c r="AA23" s="83">
        <v>0</v>
      </c>
      <c r="AB23" s="83">
        <v>40089.019999999997</v>
      </c>
      <c r="AC23" s="83">
        <v>5316</v>
      </c>
      <c r="AD23" s="83">
        <v>0</v>
      </c>
      <c r="AE23" s="83">
        <v>68636</v>
      </c>
      <c r="AF23" s="83">
        <v>800</v>
      </c>
      <c r="AG23" s="83">
        <v>119256</v>
      </c>
      <c r="AH23" s="83">
        <v>330</v>
      </c>
      <c r="AI23" s="83">
        <v>0</v>
      </c>
      <c r="AJ23" s="83">
        <v>0</v>
      </c>
      <c r="AK23" s="83">
        <v>0</v>
      </c>
      <c r="AL23" s="83">
        <v>0</v>
      </c>
      <c r="AM23" s="83">
        <v>0</v>
      </c>
      <c r="AN23" s="83">
        <v>1301</v>
      </c>
      <c r="AO23" s="83">
        <v>0</v>
      </c>
      <c r="AP23" s="83">
        <v>0</v>
      </c>
      <c r="AQ23" s="83">
        <v>0</v>
      </c>
      <c r="AR23" s="83">
        <v>52401</v>
      </c>
      <c r="AS23" s="83">
        <v>0</v>
      </c>
      <c r="AT23" s="83">
        <v>0</v>
      </c>
      <c r="AU23" s="83"/>
      <c r="AV23" s="83">
        <v>18000</v>
      </c>
      <c r="AW23" s="83">
        <v>0</v>
      </c>
      <c r="AX23" s="83">
        <v>0</v>
      </c>
      <c r="AY23" s="83">
        <v>576</v>
      </c>
      <c r="AZ23" s="83"/>
      <c r="BA23" s="83">
        <v>1500</v>
      </c>
      <c r="BB23" s="83">
        <v>3</v>
      </c>
      <c r="BC23" s="83"/>
      <c r="BD23" s="83"/>
      <c r="BE23" s="83"/>
      <c r="BF23" s="83">
        <v>1780</v>
      </c>
      <c r="BG23" s="83">
        <v>21983</v>
      </c>
      <c r="BH23" s="83"/>
      <c r="BI23" s="83">
        <v>6380.8140000000003</v>
      </c>
      <c r="BJ23" s="84">
        <f t="shared" si="4"/>
        <v>465228.83400000003</v>
      </c>
    </row>
    <row r="24" spans="1:62" ht="25.75" hidden="1" customHeight="1" x14ac:dyDescent="0.35">
      <c r="A24" s="83" t="s">
        <v>893</v>
      </c>
      <c r="B24" s="83">
        <v>960</v>
      </c>
      <c r="C24" s="83">
        <v>88</v>
      </c>
      <c r="D24" s="83">
        <v>67</v>
      </c>
      <c r="E24" s="83">
        <v>470</v>
      </c>
      <c r="F24" s="83">
        <v>1014</v>
      </c>
      <c r="G24" s="83">
        <v>100</v>
      </c>
      <c r="H24" s="83">
        <v>0</v>
      </c>
      <c r="I24" s="83">
        <v>0</v>
      </c>
      <c r="J24" s="83"/>
      <c r="K24" s="83">
        <v>0</v>
      </c>
      <c r="L24" s="83">
        <v>0</v>
      </c>
      <c r="M24" s="83">
        <v>566</v>
      </c>
      <c r="N24" s="83">
        <v>0</v>
      </c>
      <c r="O24" s="83">
        <v>277</v>
      </c>
      <c r="P24" s="83">
        <v>0</v>
      </c>
      <c r="Q24" s="83">
        <v>36017</v>
      </c>
      <c r="R24" s="83">
        <v>18</v>
      </c>
      <c r="S24" s="83">
        <v>470</v>
      </c>
      <c r="T24" s="83">
        <v>0</v>
      </c>
      <c r="U24" s="83">
        <v>548.9</v>
      </c>
      <c r="V24" s="83">
        <v>386</v>
      </c>
      <c r="W24" s="83">
        <v>624</v>
      </c>
      <c r="X24" s="83">
        <v>1118</v>
      </c>
      <c r="Y24" s="83">
        <v>398206</v>
      </c>
      <c r="Z24" s="83">
        <v>0</v>
      </c>
      <c r="AA24" s="83">
        <v>0</v>
      </c>
      <c r="AB24" s="83">
        <v>0</v>
      </c>
      <c r="AC24" s="83">
        <v>0</v>
      </c>
      <c r="AD24" s="83">
        <v>0</v>
      </c>
      <c r="AE24" s="83">
        <v>872</v>
      </c>
      <c r="AF24" s="83">
        <v>328</v>
      </c>
      <c r="AG24" s="83">
        <v>10641</v>
      </c>
      <c r="AH24" s="83">
        <v>0</v>
      </c>
      <c r="AI24" s="83">
        <v>1038.3489999999999</v>
      </c>
      <c r="AJ24" s="83">
        <v>148</v>
      </c>
      <c r="AK24" s="83">
        <v>1265</v>
      </c>
      <c r="AL24" s="83">
        <v>0</v>
      </c>
      <c r="AM24" s="83">
        <v>1944.2170000000001</v>
      </c>
      <c r="AN24" s="83">
        <v>63</v>
      </c>
      <c r="AO24" s="83">
        <v>0</v>
      </c>
      <c r="AP24" s="83">
        <v>0</v>
      </c>
      <c r="AQ24" s="83">
        <v>7</v>
      </c>
      <c r="AR24" s="83">
        <v>262723</v>
      </c>
      <c r="AS24" s="83">
        <v>10913.48</v>
      </c>
      <c r="AT24" s="83">
        <v>44824</v>
      </c>
      <c r="AU24" s="83"/>
      <c r="AV24" s="83">
        <v>300</v>
      </c>
      <c r="AW24" s="83">
        <v>8715</v>
      </c>
      <c r="AX24" s="83">
        <v>234</v>
      </c>
      <c r="AY24" s="83">
        <v>0</v>
      </c>
      <c r="AZ24" s="83"/>
      <c r="BA24" s="83">
        <v>300</v>
      </c>
      <c r="BB24" s="83">
        <v>0</v>
      </c>
      <c r="BC24" s="83"/>
      <c r="BD24" s="83"/>
      <c r="BE24" s="83"/>
      <c r="BF24" s="83">
        <v>42</v>
      </c>
      <c r="BG24" s="83"/>
      <c r="BH24" s="83"/>
      <c r="BI24" s="83">
        <v>383290</v>
      </c>
      <c r="BJ24" s="84">
        <f t="shared" si="4"/>
        <v>1168577.946</v>
      </c>
    </row>
    <row r="25" spans="1:62" ht="25.75" hidden="1" customHeight="1" x14ac:dyDescent="0.35">
      <c r="A25" s="83" t="s">
        <v>894</v>
      </c>
      <c r="B25" s="83">
        <v>0</v>
      </c>
      <c r="C25" s="83">
        <f>407+435</f>
        <v>842</v>
      </c>
      <c r="D25" s="83">
        <v>1575</v>
      </c>
      <c r="E25" s="83">
        <v>0</v>
      </c>
      <c r="F25" s="83">
        <v>7691</v>
      </c>
      <c r="G25" s="83">
        <v>1150</v>
      </c>
      <c r="H25" s="83">
        <v>0</v>
      </c>
      <c r="I25" s="83">
        <v>0</v>
      </c>
      <c r="J25" s="83">
        <v>1044</v>
      </c>
      <c r="K25" s="83">
        <v>0</v>
      </c>
      <c r="L25" s="83">
        <v>0</v>
      </c>
      <c r="M25" s="83">
        <v>7613</v>
      </c>
      <c r="N25" s="83">
        <v>0</v>
      </c>
      <c r="O25" s="83">
        <v>7758</v>
      </c>
      <c r="P25" s="83">
        <v>0</v>
      </c>
      <c r="Q25" s="83">
        <v>7756</v>
      </c>
      <c r="R25" s="83">
        <v>167</v>
      </c>
      <c r="S25" s="83">
        <v>1126</v>
      </c>
      <c r="T25" s="83">
        <v>0</v>
      </c>
      <c r="U25" s="83">
        <v>111602.128</v>
      </c>
      <c r="V25" s="83">
        <v>850</v>
      </c>
      <c r="W25" s="83">
        <v>2169</v>
      </c>
      <c r="X25" s="83">
        <v>1414</v>
      </c>
      <c r="Y25" s="83">
        <v>1840243</v>
      </c>
      <c r="Z25" s="83">
        <v>0</v>
      </c>
      <c r="AA25" s="83">
        <v>0</v>
      </c>
      <c r="AB25" s="83">
        <v>1311.384</v>
      </c>
      <c r="AC25" s="83">
        <v>0</v>
      </c>
      <c r="AD25" s="83">
        <v>0</v>
      </c>
      <c r="AE25" s="83">
        <v>4826</v>
      </c>
      <c r="AF25" s="83">
        <v>4128</v>
      </c>
      <c r="AG25" s="83">
        <v>12429</v>
      </c>
      <c r="AH25" s="83">
        <v>0</v>
      </c>
      <c r="AI25" s="83">
        <v>61106.192000000003</v>
      </c>
      <c r="AJ25" s="83">
        <v>103112.21</v>
      </c>
      <c r="AK25" s="83">
        <v>13073</v>
      </c>
      <c r="AL25" s="83">
        <v>0</v>
      </c>
      <c r="AM25" s="83">
        <v>33527.633000000002</v>
      </c>
      <c r="AN25" s="83">
        <v>1207</v>
      </c>
      <c r="AO25" s="83">
        <v>0</v>
      </c>
      <c r="AP25" s="83">
        <v>0</v>
      </c>
      <c r="AQ25" s="83">
        <v>1247</v>
      </c>
      <c r="AR25" s="83">
        <v>7009650</v>
      </c>
      <c r="AS25" s="83">
        <v>149318.16</v>
      </c>
      <c r="AT25" s="83">
        <v>41534.392999999996</v>
      </c>
      <c r="AU25" s="83"/>
      <c r="AV25" s="83">
        <v>3600</v>
      </c>
      <c r="AW25" s="83">
        <v>0</v>
      </c>
      <c r="AX25" s="83">
        <v>20</v>
      </c>
      <c r="AY25" s="83">
        <v>0</v>
      </c>
      <c r="AZ25" s="83"/>
      <c r="BA25" s="83">
        <v>3600</v>
      </c>
      <c r="BB25" s="83">
        <v>19</v>
      </c>
      <c r="BC25" s="83"/>
      <c r="BD25" s="83"/>
      <c r="BE25" s="83"/>
      <c r="BF25" s="83">
        <v>275.18</v>
      </c>
      <c r="BG25" s="83">
        <v>639052</v>
      </c>
      <c r="BH25" s="83"/>
      <c r="BI25" s="83">
        <v>1990823</v>
      </c>
      <c r="BJ25" s="84">
        <f t="shared" si="4"/>
        <v>12066859.279999999</v>
      </c>
    </row>
    <row r="26" spans="1:62" ht="25.75" hidden="1" customHeight="1" x14ac:dyDescent="0.35">
      <c r="A26" s="83" t="s">
        <v>895</v>
      </c>
      <c r="B26" s="83">
        <v>0</v>
      </c>
      <c r="C26" s="83"/>
      <c r="D26" s="83">
        <v>0</v>
      </c>
      <c r="E26" s="83">
        <v>0</v>
      </c>
      <c r="F26" s="83">
        <v>246803</v>
      </c>
      <c r="G26" s="83">
        <v>0</v>
      </c>
      <c r="H26" s="83">
        <v>0</v>
      </c>
      <c r="I26" s="83">
        <v>0</v>
      </c>
      <c r="J26" s="83">
        <v>0</v>
      </c>
      <c r="K26" s="83">
        <v>0</v>
      </c>
      <c r="L26" s="83">
        <v>0</v>
      </c>
      <c r="M26" s="83">
        <v>0</v>
      </c>
      <c r="N26" s="83">
        <v>0</v>
      </c>
      <c r="O26" s="83">
        <v>114879</v>
      </c>
      <c r="P26" s="83">
        <v>0</v>
      </c>
      <c r="Q26" s="83">
        <v>55896</v>
      </c>
      <c r="R26" s="83">
        <v>0</v>
      </c>
      <c r="S26" s="83">
        <v>20080</v>
      </c>
      <c r="T26" s="83">
        <v>0</v>
      </c>
      <c r="U26" s="83">
        <v>3545.75</v>
      </c>
      <c r="V26" s="83">
        <v>0</v>
      </c>
      <c r="W26" s="83">
        <v>0</v>
      </c>
      <c r="X26" s="83">
        <v>14</v>
      </c>
      <c r="Y26" s="83">
        <v>5179309</v>
      </c>
      <c r="Z26" s="83">
        <v>0</v>
      </c>
      <c r="AA26" s="83">
        <v>0</v>
      </c>
      <c r="AB26" s="83">
        <v>0</v>
      </c>
      <c r="AC26" s="83">
        <v>0</v>
      </c>
      <c r="AD26" s="83">
        <v>0</v>
      </c>
      <c r="AE26" s="83">
        <v>0</v>
      </c>
      <c r="AF26" s="83">
        <v>4912</v>
      </c>
      <c r="AG26" s="83">
        <v>0</v>
      </c>
      <c r="AH26" s="83">
        <v>0</v>
      </c>
      <c r="AI26" s="83">
        <v>0</v>
      </c>
      <c r="AJ26" s="83">
        <v>0</v>
      </c>
      <c r="AK26" s="83">
        <v>84</v>
      </c>
      <c r="AL26" s="83">
        <v>0</v>
      </c>
      <c r="AM26" s="83">
        <v>1822.59</v>
      </c>
      <c r="AN26" s="83">
        <v>0</v>
      </c>
      <c r="AO26" s="83">
        <v>0</v>
      </c>
      <c r="AP26" s="83">
        <v>0</v>
      </c>
      <c r="AQ26" s="83">
        <v>422947</v>
      </c>
      <c r="AR26" s="83"/>
      <c r="AS26" s="83">
        <v>186233.66</v>
      </c>
      <c r="AT26" s="83">
        <v>0</v>
      </c>
      <c r="AU26" s="83"/>
      <c r="AV26" s="83">
        <v>0</v>
      </c>
      <c r="AW26" s="83">
        <v>85648</v>
      </c>
      <c r="AX26" s="83">
        <v>0</v>
      </c>
      <c r="AY26" s="83">
        <v>0</v>
      </c>
      <c r="AZ26" s="83"/>
      <c r="BA26" s="83">
        <v>0</v>
      </c>
      <c r="BB26" s="83">
        <v>102460</v>
      </c>
      <c r="BC26" s="83"/>
      <c r="BD26" s="83"/>
      <c r="BE26" s="83"/>
      <c r="BF26" s="83"/>
      <c r="BG26" s="83"/>
      <c r="BH26" s="83"/>
      <c r="BI26" s="83">
        <v>67018.631999999998</v>
      </c>
      <c r="BJ26" s="84">
        <f t="shared" si="4"/>
        <v>6491652.6320000002</v>
      </c>
    </row>
    <row r="27" spans="1:62" ht="25.75" hidden="1" customHeight="1" x14ac:dyDescent="0.35">
      <c r="A27" s="83" t="s">
        <v>896</v>
      </c>
      <c r="B27" s="83">
        <v>0</v>
      </c>
      <c r="C27" s="83">
        <f>84+295</f>
        <v>379</v>
      </c>
      <c r="D27" s="83">
        <v>677</v>
      </c>
      <c r="E27" s="83">
        <v>0</v>
      </c>
      <c r="F27" s="83">
        <v>26807</v>
      </c>
      <c r="G27" s="83">
        <v>2000</v>
      </c>
      <c r="H27" s="83">
        <v>0</v>
      </c>
      <c r="I27" s="83">
        <v>0</v>
      </c>
      <c r="J27" s="83">
        <v>2402</v>
      </c>
      <c r="K27" s="83">
        <v>0</v>
      </c>
      <c r="L27" s="83">
        <v>10949</v>
      </c>
      <c r="M27" s="83">
        <v>3337</v>
      </c>
      <c r="N27" s="83">
        <v>0</v>
      </c>
      <c r="O27" s="83">
        <v>14390</v>
      </c>
      <c r="P27" s="83">
        <v>0</v>
      </c>
      <c r="Q27" s="83">
        <v>0</v>
      </c>
      <c r="R27" s="83">
        <v>28</v>
      </c>
      <c r="S27" s="83">
        <v>1350</v>
      </c>
      <c r="T27" s="83">
        <v>0</v>
      </c>
      <c r="U27" s="83">
        <v>3136.0479999999998</v>
      </c>
      <c r="V27" s="83">
        <v>0</v>
      </c>
      <c r="W27" s="83">
        <v>252</v>
      </c>
      <c r="X27" s="83">
        <v>5066</v>
      </c>
      <c r="Y27" s="83">
        <v>160088</v>
      </c>
      <c r="Z27" s="83">
        <v>0</v>
      </c>
      <c r="AA27" s="83">
        <v>0</v>
      </c>
      <c r="AB27" s="83">
        <v>0</v>
      </c>
      <c r="AC27" s="83">
        <v>2731</v>
      </c>
      <c r="AD27" s="83">
        <v>0</v>
      </c>
      <c r="AE27" s="83">
        <v>4876</v>
      </c>
      <c r="AF27" s="83">
        <v>0</v>
      </c>
      <c r="AG27" s="83">
        <v>1110664</v>
      </c>
      <c r="AH27" s="83">
        <v>0</v>
      </c>
      <c r="AI27" s="83">
        <v>2563.1999999999998</v>
      </c>
      <c r="AJ27" s="83">
        <v>8110.8419999999996</v>
      </c>
      <c r="AK27" s="83">
        <v>5415</v>
      </c>
      <c r="AL27" s="83">
        <v>210</v>
      </c>
      <c r="AM27" s="83">
        <v>43884.434999999998</v>
      </c>
      <c r="AN27" s="83">
        <v>151</v>
      </c>
      <c r="AO27" s="83">
        <v>0</v>
      </c>
      <c r="AP27" s="83">
        <v>0</v>
      </c>
      <c r="AQ27" s="83">
        <v>4117</v>
      </c>
      <c r="AR27" s="83">
        <v>14</v>
      </c>
      <c r="AS27" s="83">
        <v>23386.5</v>
      </c>
      <c r="AT27" s="83">
        <v>1629.1959999999999</v>
      </c>
      <c r="AU27" s="83"/>
      <c r="AV27" s="83">
        <v>1000</v>
      </c>
      <c r="AW27" s="83">
        <v>51273</v>
      </c>
      <c r="AX27" s="83">
        <v>3</v>
      </c>
      <c r="AY27" s="83">
        <v>0</v>
      </c>
      <c r="AZ27" s="83"/>
      <c r="BA27" s="83">
        <v>1000</v>
      </c>
      <c r="BB27" s="83">
        <v>3008</v>
      </c>
      <c r="BC27" s="83">
        <v>1001</v>
      </c>
      <c r="BD27" s="83"/>
      <c r="BE27" s="83"/>
      <c r="BF27" s="83">
        <v>425.58</v>
      </c>
      <c r="BG27" s="83">
        <v>1371954</v>
      </c>
      <c r="BH27" s="83"/>
      <c r="BI27" s="83">
        <v>3327.5239999999999</v>
      </c>
      <c r="BJ27" s="84">
        <f t="shared" si="4"/>
        <v>2871605.3250000002</v>
      </c>
    </row>
    <row r="28" spans="1:62" ht="25.75" hidden="1" customHeight="1" x14ac:dyDescent="0.35">
      <c r="A28" s="83" t="s">
        <v>897</v>
      </c>
      <c r="B28" s="83">
        <v>0</v>
      </c>
      <c r="C28" s="83">
        <v>35</v>
      </c>
      <c r="D28" s="83">
        <v>0</v>
      </c>
      <c r="E28" s="83">
        <v>0</v>
      </c>
      <c r="F28" s="83">
        <v>17575</v>
      </c>
      <c r="G28" s="83">
        <v>1000</v>
      </c>
      <c r="H28" s="83">
        <v>0</v>
      </c>
      <c r="I28" s="83">
        <v>0</v>
      </c>
      <c r="J28" s="83">
        <v>0</v>
      </c>
      <c r="K28" s="83">
        <f>2698+4242</f>
        <v>6940</v>
      </c>
      <c r="L28" s="83">
        <v>0</v>
      </c>
      <c r="M28" s="83">
        <v>6571</v>
      </c>
      <c r="N28" s="83">
        <v>0</v>
      </c>
      <c r="O28" s="83">
        <v>218258</v>
      </c>
      <c r="P28" s="83">
        <v>0</v>
      </c>
      <c r="Q28" s="83">
        <v>4485</v>
      </c>
      <c r="R28" s="83">
        <v>97390</v>
      </c>
      <c r="S28" s="83">
        <v>3</v>
      </c>
      <c r="T28" s="83">
        <v>0</v>
      </c>
      <c r="U28" s="83">
        <v>16159.788</v>
      </c>
      <c r="V28" s="83">
        <v>515</v>
      </c>
      <c r="W28" s="83">
        <v>49397</v>
      </c>
      <c r="X28" s="83">
        <v>52595</v>
      </c>
      <c r="Y28" s="83">
        <v>11716010</v>
      </c>
      <c r="Z28" s="83">
        <v>0</v>
      </c>
      <c r="AA28" s="83">
        <v>0</v>
      </c>
      <c r="AB28" s="83">
        <v>605341.23800000001</v>
      </c>
      <c r="AC28" s="83">
        <v>0</v>
      </c>
      <c r="AD28" s="83">
        <v>0</v>
      </c>
      <c r="AE28" s="83">
        <v>704696</v>
      </c>
      <c r="AF28" s="83">
        <v>0</v>
      </c>
      <c r="AG28" s="83">
        <v>449161</v>
      </c>
      <c r="AH28" s="83">
        <v>0</v>
      </c>
      <c r="AI28" s="83">
        <v>0</v>
      </c>
      <c r="AJ28" s="83">
        <v>90888.388999999996</v>
      </c>
      <c r="AK28" s="83">
        <v>1811</v>
      </c>
      <c r="AL28" s="83">
        <v>0</v>
      </c>
      <c r="AM28" s="83">
        <v>0</v>
      </c>
      <c r="AN28" s="83">
        <v>0</v>
      </c>
      <c r="AO28" s="83">
        <v>0</v>
      </c>
      <c r="AP28" s="83">
        <v>0</v>
      </c>
      <c r="AQ28" s="83">
        <v>77546</v>
      </c>
      <c r="AR28" s="83"/>
      <c r="AS28" s="83">
        <v>0</v>
      </c>
      <c r="AT28" s="83">
        <v>2254.8440000000001</v>
      </c>
      <c r="AU28" s="83"/>
      <c r="AV28" s="83">
        <v>1000</v>
      </c>
      <c r="AW28" s="83">
        <v>1152826</v>
      </c>
      <c r="AX28" s="83">
        <v>13</v>
      </c>
      <c r="AY28" s="83">
        <v>0</v>
      </c>
      <c r="AZ28" s="83"/>
      <c r="BA28" s="83">
        <v>1000</v>
      </c>
      <c r="BB28" s="83">
        <v>34356</v>
      </c>
      <c r="BC28" s="83">
        <v>1118</v>
      </c>
      <c r="BD28" s="83">
        <v>119088</v>
      </c>
      <c r="BE28" s="83"/>
      <c r="BF28" s="83">
        <v>2560.84</v>
      </c>
      <c r="BG28" s="83">
        <v>24634</v>
      </c>
      <c r="BH28" s="83"/>
      <c r="BI28" s="83">
        <v>111989.914</v>
      </c>
      <c r="BJ28" s="84">
        <f t="shared" si="4"/>
        <v>15567218.013000002</v>
      </c>
    </row>
    <row r="29" spans="1:62" ht="25.75" hidden="1" customHeight="1" x14ac:dyDescent="0.35">
      <c r="A29" s="83" t="s">
        <v>898</v>
      </c>
      <c r="B29" s="83">
        <v>0</v>
      </c>
      <c r="C29" s="83">
        <v>0</v>
      </c>
      <c r="D29" s="83">
        <v>0</v>
      </c>
      <c r="E29" s="83">
        <v>521902</v>
      </c>
      <c r="F29" s="83">
        <v>92386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6048</v>
      </c>
      <c r="M29" s="83">
        <v>959646</v>
      </c>
      <c r="N29" s="83">
        <v>0</v>
      </c>
      <c r="O29" s="83">
        <v>133154</v>
      </c>
      <c r="P29" s="83">
        <v>0</v>
      </c>
      <c r="Q29" s="83">
        <v>67872</v>
      </c>
      <c r="R29" s="83">
        <v>19511</v>
      </c>
      <c r="S29" s="83">
        <v>33</v>
      </c>
      <c r="T29" s="83">
        <v>0</v>
      </c>
      <c r="U29" s="83">
        <v>443.15699999999998</v>
      </c>
      <c r="V29" s="83">
        <v>3422</v>
      </c>
      <c r="W29" s="83">
        <v>0</v>
      </c>
      <c r="X29" s="83">
        <v>1410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781947</v>
      </c>
      <c r="AF29" s="83">
        <v>13861</v>
      </c>
      <c r="AG29" s="83">
        <v>376238</v>
      </c>
      <c r="AH29" s="83">
        <v>0</v>
      </c>
      <c r="AI29" s="83">
        <v>257.60500000000002</v>
      </c>
      <c r="AJ29" s="83">
        <v>15017.953</v>
      </c>
      <c r="AK29" s="83">
        <v>2028</v>
      </c>
      <c r="AL29" s="83">
        <v>21484</v>
      </c>
      <c r="AM29" s="83">
        <v>523417.59399999998</v>
      </c>
      <c r="AN29" s="83">
        <v>68400</v>
      </c>
      <c r="AO29" s="83">
        <v>0</v>
      </c>
      <c r="AP29" s="83">
        <v>0</v>
      </c>
      <c r="AQ29" s="83">
        <v>808</v>
      </c>
      <c r="AR29" s="83"/>
      <c r="AS29" s="83">
        <v>382.35</v>
      </c>
      <c r="AT29" s="83">
        <v>31536.642</v>
      </c>
      <c r="AU29" s="83"/>
      <c r="AV29" s="83">
        <v>0</v>
      </c>
      <c r="AW29" s="83">
        <v>3609153</v>
      </c>
      <c r="AX29" s="83">
        <v>2496</v>
      </c>
      <c r="AY29" s="83">
        <v>1260.5250000000001</v>
      </c>
      <c r="AZ29" s="83"/>
      <c r="BA29" s="83">
        <v>0</v>
      </c>
      <c r="BB29" s="83">
        <v>137855</v>
      </c>
      <c r="BC29" s="83">
        <v>7655</v>
      </c>
      <c r="BD29" s="83">
        <v>202672</v>
      </c>
      <c r="BE29" s="83"/>
      <c r="BF29" s="83">
        <v>9839.3549999999996</v>
      </c>
      <c r="BG29" s="83">
        <v>1991814</v>
      </c>
      <c r="BH29" s="83"/>
      <c r="BI29" s="83">
        <v>875322.56099999999</v>
      </c>
      <c r="BJ29" s="84">
        <f t="shared" si="4"/>
        <v>10479272.742000002</v>
      </c>
    </row>
    <row r="30" spans="1:62" ht="25.75" hidden="1" customHeight="1" x14ac:dyDescent="0.35">
      <c r="A30" s="83" t="s">
        <v>899</v>
      </c>
      <c r="B30" s="83">
        <v>0</v>
      </c>
      <c r="C30" s="83">
        <f>652+3228</f>
        <v>3880</v>
      </c>
      <c r="D30" s="83">
        <v>0</v>
      </c>
      <c r="E30" s="83">
        <v>0</v>
      </c>
      <c r="F30" s="83">
        <v>26601</v>
      </c>
      <c r="G30" s="83">
        <v>1000</v>
      </c>
      <c r="H30" s="83">
        <v>0</v>
      </c>
      <c r="I30" s="83">
        <v>0</v>
      </c>
      <c r="J30" s="83">
        <v>36601</v>
      </c>
      <c r="K30" s="83">
        <v>1138</v>
      </c>
      <c r="L30" s="83">
        <v>10957</v>
      </c>
      <c r="M30" s="83">
        <v>14167</v>
      </c>
      <c r="N30" s="83">
        <v>0</v>
      </c>
      <c r="O30" s="83">
        <v>6989</v>
      </c>
      <c r="P30" s="83">
        <v>0</v>
      </c>
      <c r="Q30" s="83">
        <v>5789109</v>
      </c>
      <c r="R30" s="83">
        <v>0</v>
      </c>
      <c r="S30" s="83">
        <v>0</v>
      </c>
      <c r="T30" s="83">
        <v>0</v>
      </c>
      <c r="U30" s="83">
        <v>21769.5</v>
      </c>
      <c r="V30" s="83">
        <v>57475</v>
      </c>
      <c r="W30" s="83">
        <v>102953</v>
      </c>
      <c r="X30" s="83">
        <v>5323</v>
      </c>
      <c r="Y30" s="83">
        <v>0</v>
      </c>
      <c r="Z30" s="83">
        <v>0</v>
      </c>
      <c r="AA30" s="83">
        <v>0</v>
      </c>
      <c r="AB30" s="83">
        <v>0</v>
      </c>
      <c r="AC30" s="83">
        <v>0</v>
      </c>
      <c r="AD30" s="83">
        <v>0</v>
      </c>
      <c r="AE30" s="83">
        <v>7291</v>
      </c>
      <c r="AF30" s="83">
        <v>0</v>
      </c>
      <c r="AG30" s="83">
        <v>28447</v>
      </c>
      <c r="AH30" s="83">
        <v>278</v>
      </c>
      <c r="AI30" s="83">
        <v>0</v>
      </c>
      <c r="AJ30" s="83">
        <v>0</v>
      </c>
      <c r="AK30" s="83">
        <v>15686</v>
      </c>
      <c r="AL30" s="83">
        <v>0</v>
      </c>
      <c r="AM30" s="83">
        <v>77902.447</v>
      </c>
      <c r="AN30" s="83">
        <v>0</v>
      </c>
      <c r="AO30" s="83">
        <v>0</v>
      </c>
      <c r="AP30" s="83">
        <v>0</v>
      </c>
      <c r="AQ30" s="83">
        <v>5112</v>
      </c>
      <c r="AR30" s="83"/>
      <c r="AS30" s="83">
        <v>0</v>
      </c>
      <c r="AT30" s="83">
        <v>6124.8620000000001</v>
      </c>
      <c r="AU30" s="83"/>
      <c r="AV30" s="83">
        <v>2000</v>
      </c>
      <c r="AW30" s="83">
        <v>3008536</v>
      </c>
      <c r="AX30" s="83">
        <v>912</v>
      </c>
      <c r="AY30" s="83">
        <v>0</v>
      </c>
      <c r="AZ30" s="83"/>
      <c r="BA30" s="83">
        <v>2000</v>
      </c>
      <c r="BB30" s="83">
        <v>108303</v>
      </c>
      <c r="BC30" s="83"/>
      <c r="BD30" s="83"/>
      <c r="BE30" s="83"/>
      <c r="BF30" s="83">
        <v>28050.05</v>
      </c>
      <c r="BG30" s="83"/>
      <c r="BH30" s="83"/>
      <c r="BI30" s="83"/>
      <c r="BJ30" s="84">
        <f t="shared" si="4"/>
        <v>9368604.8590000011</v>
      </c>
    </row>
    <row r="31" spans="1:62" ht="25.75" hidden="1" customHeight="1" x14ac:dyDescent="0.35">
      <c r="A31" s="83" t="s">
        <v>900</v>
      </c>
      <c r="B31" s="83">
        <v>1530</v>
      </c>
      <c r="C31" s="83">
        <v>203</v>
      </c>
      <c r="D31" s="83">
        <v>0</v>
      </c>
      <c r="E31" s="83">
        <v>0</v>
      </c>
      <c r="F31" s="83">
        <v>0</v>
      </c>
      <c r="G31" s="83">
        <v>380</v>
      </c>
      <c r="H31" s="83">
        <v>0</v>
      </c>
      <c r="I31" s="83">
        <v>0</v>
      </c>
      <c r="J31" s="83">
        <v>49482</v>
      </c>
      <c r="K31" s="83">
        <v>0</v>
      </c>
      <c r="L31" s="83">
        <v>0</v>
      </c>
      <c r="M31" s="83">
        <v>0</v>
      </c>
      <c r="N31" s="83">
        <v>89449</v>
      </c>
      <c r="O31" s="83">
        <v>0</v>
      </c>
      <c r="P31" s="83">
        <v>0</v>
      </c>
      <c r="Q31" s="83">
        <v>382851</v>
      </c>
      <c r="R31" s="83">
        <v>0</v>
      </c>
      <c r="S31" s="83">
        <v>0</v>
      </c>
      <c r="T31" s="83">
        <v>0</v>
      </c>
      <c r="U31" s="83">
        <v>52.25</v>
      </c>
      <c r="V31" s="83">
        <v>0</v>
      </c>
      <c r="W31" s="83">
        <v>0</v>
      </c>
      <c r="X31" s="83">
        <v>0</v>
      </c>
      <c r="Y31" s="83">
        <v>6805107</v>
      </c>
      <c r="Z31" s="83">
        <v>0</v>
      </c>
      <c r="AA31" s="83">
        <v>0</v>
      </c>
      <c r="AB31" s="83">
        <v>1128926.5989999999</v>
      </c>
      <c r="AC31" s="83">
        <v>0</v>
      </c>
      <c r="AD31" s="83">
        <v>0</v>
      </c>
      <c r="AE31" s="83">
        <v>50294</v>
      </c>
      <c r="AF31" s="83">
        <v>40915</v>
      </c>
      <c r="AG31" s="83">
        <v>3272457</v>
      </c>
      <c r="AH31" s="83">
        <v>15940</v>
      </c>
      <c r="AI31" s="83">
        <f>363214+2977.479</f>
        <v>366191.47899999999</v>
      </c>
      <c r="AJ31" s="83">
        <v>650.94899999999996</v>
      </c>
      <c r="AK31" s="83">
        <v>14628</v>
      </c>
      <c r="AL31" s="83">
        <v>0</v>
      </c>
      <c r="AM31" s="83">
        <v>17824.754000000001</v>
      </c>
      <c r="AN31" s="83">
        <v>0</v>
      </c>
      <c r="AO31" s="83">
        <v>0</v>
      </c>
      <c r="AP31" s="83">
        <v>0</v>
      </c>
      <c r="AQ31" s="83">
        <v>2859</v>
      </c>
      <c r="AR31" s="83"/>
      <c r="AS31" s="83">
        <v>0</v>
      </c>
      <c r="AT31" s="83">
        <v>0</v>
      </c>
      <c r="AU31" s="83"/>
      <c r="AV31" s="83">
        <v>0</v>
      </c>
      <c r="AW31" s="83">
        <v>134125</v>
      </c>
      <c r="AX31" s="83">
        <v>0</v>
      </c>
      <c r="AY31" s="83">
        <v>0</v>
      </c>
      <c r="AZ31" s="83"/>
      <c r="BA31" s="83">
        <v>0</v>
      </c>
      <c r="BB31" s="83">
        <v>0</v>
      </c>
      <c r="BC31" s="83"/>
      <c r="BD31" s="83"/>
      <c r="BE31" s="83"/>
      <c r="BF31" s="83"/>
      <c r="BG31" s="83">
        <v>23375</v>
      </c>
      <c r="BH31" s="83"/>
      <c r="BI31" s="83">
        <v>47667.553</v>
      </c>
      <c r="BJ31" s="84">
        <f t="shared" si="4"/>
        <v>12444908.583999999</v>
      </c>
    </row>
    <row r="32" spans="1:62" ht="25.75" hidden="1" customHeight="1" x14ac:dyDescent="0.35">
      <c r="A32" s="84" t="s">
        <v>901</v>
      </c>
      <c r="B32" s="84">
        <f>SUM(B34:B35)</f>
        <v>1800</v>
      </c>
      <c r="C32" s="84">
        <f t="shared" ref="C32:BI32" si="5">SUM(C34:C35)</f>
        <v>773</v>
      </c>
      <c r="D32" s="84">
        <f t="shared" si="5"/>
        <v>996</v>
      </c>
      <c r="E32" s="84">
        <f t="shared" si="5"/>
        <v>38964.080000000002</v>
      </c>
      <c r="F32" s="84">
        <f t="shared" si="5"/>
        <v>48407</v>
      </c>
      <c r="G32" s="84">
        <f t="shared" si="5"/>
        <v>0</v>
      </c>
      <c r="H32" s="84">
        <f t="shared" si="5"/>
        <v>0</v>
      </c>
      <c r="I32" s="84">
        <f t="shared" si="5"/>
        <v>0</v>
      </c>
      <c r="J32" s="84">
        <f t="shared" si="5"/>
        <v>10290</v>
      </c>
      <c r="K32" s="84">
        <f t="shared" si="5"/>
        <v>66</v>
      </c>
      <c r="L32" s="84">
        <f t="shared" si="5"/>
        <v>20215</v>
      </c>
      <c r="M32" s="84">
        <f t="shared" si="5"/>
        <v>3713</v>
      </c>
      <c r="N32" s="84">
        <f t="shared" si="5"/>
        <v>0</v>
      </c>
      <c r="O32" s="84">
        <f t="shared" si="5"/>
        <v>654562</v>
      </c>
      <c r="P32" s="84">
        <f t="shared" si="5"/>
        <v>0</v>
      </c>
      <c r="Q32" s="84">
        <f t="shared" si="5"/>
        <v>187449</v>
      </c>
      <c r="R32" s="84">
        <f t="shared" si="5"/>
        <v>2156</v>
      </c>
      <c r="S32" s="84">
        <f t="shared" si="5"/>
        <v>1122</v>
      </c>
      <c r="T32" s="84">
        <f>SUM(T34:T35)</f>
        <v>1866946</v>
      </c>
      <c r="U32" s="84">
        <f t="shared" si="5"/>
        <v>10357.858</v>
      </c>
      <c r="V32" s="84">
        <f t="shared" si="5"/>
        <v>0</v>
      </c>
      <c r="W32" s="84">
        <f t="shared" si="5"/>
        <v>305409</v>
      </c>
      <c r="X32" s="84">
        <f t="shared" si="5"/>
        <v>2680</v>
      </c>
      <c r="Y32" s="84">
        <f t="shared" si="5"/>
        <v>21950992</v>
      </c>
      <c r="Z32" s="84">
        <f t="shared" si="5"/>
        <v>0</v>
      </c>
      <c r="AA32" s="84">
        <f t="shared" si="5"/>
        <v>13680</v>
      </c>
      <c r="AB32" s="84">
        <f t="shared" si="5"/>
        <v>25518.147000000001</v>
      </c>
      <c r="AC32" s="84">
        <f t="shared" si="5"/>
        <v>14612</v>
      </c>
      <c r="AD32" s="84">
        <f t="shared" si="5"/>
        <v>0</v>
      </c>
      <c r="AE32" s="84">
        <f t="shared" si="5"/>
        <v>1454865</v>
      </c>
      <c r="AF32" s="84">
        <f>SUM(AF34:AF35)</f>
        <v>5095</v>
      </c>
      <c r="AG32" s="84">
        <f t="shared" si="5"/>
        <v>1780008</v>
      </c>
      <c r="AH32" s="84">
        <f t="shared" si="5"/>
        <v>492</v>
      </c>
      <c r="AI32" s="84">
        <f t="shared" si="5"/>
        <v>130520</v>
      </c>
      <c r="AJ32" s="84">
        <f t="shared" si="5"/>
        <v>0</v>
      </c>
      <c r="AK32" s="84">
        <f t="shared" si="5"/>
        <v>353602</v>
      </c>
      <c r="AL32" s="84">
        <f t="shared" si="5"/>
        <v>18</v>
      </c>
      <c r="AM32" s="84">
        <f t="shared" si="5"/>
        <v>572197.59100000001</v>
      </c>
      <c r="AN32" s="84">
        <f t="shared" si="5"/>
        <v>6690</v>
      </c>
      <c r="AO32" s="84">
        <f>SUM(AO34:AO35)</f>
        <v>505220</v>
      </c>
      <c r="AP32" s="84">
        <f t="shared" si="5"/>
        <v>0</v>
      </c>
      <c r="AQ32" s="84">
        <f t="shared" si="5"/>
        <v>26427</v>
      </c>
      <c r="AR32" s="84">
        <f t="shared" si="5"/>
        <v>1282066</v>
      </c>
      <c r="AS32" s="84">
        <f t="shared" si="5"/>
        <v>2694194.41</v>
      </c>
      <c r="AT32" s="84">
        <f t="shared" si="5"/>
        <v>3427.123</v>
      </c>
      <c r="AU32" s="84">
        <f t="shared" si="5"/>
        <v>0</v>
      </c>
      <c r="AV32" s="84">
        <f t="shared" si="5"/>
        <v>25000</v>
      </c>
      <c r="AW32" s="84">
        <f t="shared" si="5"/>
        <v>5469487</v>
      </c>
      <c r="AX32" s="84">
        <f t="shared" si="5"/>
        <v>1156</v>
      </c>
      <c r="AY32" s="84">
        <f t="shared" si="5"/>
        <v>952</v>
      </c>
      <c r="AZ32" s="84">
        <f t="shared" si="5"/>
        <v>0</v>
      </c>
      <c r="BA32" s="84">
        <f t="shared" si="5"/>
        <v>31000</v>
      </c>
      <c r="BB32" s="84">
        <f t="shared" si="5"/>
        <v>400</v>
      </c>
      <c r="BC32" s="84">
        <f t="shared" si="5"/>
        <v>0</v>
      </c>
      <c r="BD32" s="84">
        <f t="shared" si="5"/>
        <v>2980</v>
      </c>
      <c r="BE32" s="84">
        <f t="shared" si="5"/>
        <v>0</v>
      </c>
      <c r="BF32" s="84">
        <f t="shared" si="5"/>
        <v>2150</v>
      </c>
      <c r="BG32" s="84">
        <f t="shared" si="5"/>
        <v>1743749</v>
      </c>
      <c r="BH32" s="84">
        <f t="shared" si="5"/>
        <v>0</v>
      </c>
      <c r="BI32" s="84">
        <f t="shared" si="5"/>
        <v>13660.518</v>
      </c>
      <c r="BJ32" s="84">
        <f t="shared" si="4"/>
        <v>41266064.726999998</v>
      </c>
    </row>
    <row r="33" spans="1:62" ht="25.75" hidden="1" customHeight="1" x14ac:dyDescent="0.35">
      <c r="A33" s="83" t="s">
        <v>902</v>
      </c>
      <c r="B33" s="83">
        <v>1800</v>
      </c>
      <c r="C33" s="83">
        <v>773</v>
      </c>
      <c r="D33" s="83">
        <f>SUM(D34:D35)</f>
        <v>996</v>
      </c>
      <c r="E33" s="83">
        <f>SUM(E34:E35)</f>
        <v>38964.080000000002</v>
      </c>
      <c r="F33" s="83">
        <v>48407</v>
      </c>
      <c r="G33" s="83">
        <v>0</v>
      </c>
      <c r="H33" s="83">
        <v>0</v>
      </c>
      <c r="I33" s="83">
        <v>0</v>
      </c>
      <c r="J33" s="83">
        <v>10290</v>
      </c>
      <c r="K33" s="83">
        <v>66</v>
      </c>
      <c r="L33" s="83">
        <v>20215</v>
      </c>
      <c r="M33" s="83">
        <v>3713</v>
      </c>
      <c r="N33" s="83">
        <v>0</v>
      </c>
      <c r="O33" s="83">
        <v>21633</v>
      </c>
      <c r="P33" s="83">
        <v>0</v>
      </c>
      <c r="Q33" s="83">
        <v>187449</v>
      </c>
      <c r="R33" s="83">
        <v>2156</v>
      </c>
      <c r="S33" s="83">
        <v>1122</v>
      </c>
      <c r="T33" s="83"/>
      <c r="U33" s="83">
        <f>SUM(U34:U35)</f>
        <v>10357.858</v>
      </c>
      <c r="V33" s="83">
        <v>0</v>
      </c>
      <c r="W33" s="83">
        <v>305409</v>
      </c>
      <c r="X33" s="83">
        <f>SUM(X34:X35)</f>
        <v>2680</v>
      </c>
      <c r="Y33" s="83">
        <v>21950992</v>
      </c>
      <c r="Z33" s="83">
        <v>0</v>
      </c>
      <c r="AA33" s="83">
        <f>SUM(AA34:AA35)</f>
        <v>13680</v>
      </c>
      <c r="AB33" s="83">
        <v>25518.147000000001</v>
      </c>
      <c r="AC33" s="83">
        <v>14612</v>
      </c>
      <c r="AD33" s="83">
        <v>0</v>
      </c>
      <c r="AE33" s="83">
        <f>SUM(AE34:AE35)</f>
        <v>1454865</v>
      </c>
      <c r="AF33" s="83"/>
      <c r="AG33" s="83">
        <v>1780009</v>
      </c>
      <c r="AH33" s="83">
        <v>492</v>
      </c>
      <c r="AI33" s="83">
        <f>SUM(AI34:AI35)</f>
        <v>130520</v>
      </c>
      <c r="AJ33" s="83">
        <v>0</v>
      </c>
      <c r="AK33" s="83">
        <v>353602</v>
      </c>
      <c r="AL33" s="83">
        <f>SUM(AL34:AL35)</f>
        <v>18</v>
      </c>
      <c r="AM33" s="83">
        <f>SUM(AM34:AM35)</f>
        <v>572197.59100000001</v>
      </c>
      <c r="AN33" s="83">
        <f>SUM(AN34:AN35)</f>
        <v>6690</v>
      </c>
      <c r="AO33" s="83"/>
      <c r="AP33" s="83">
        <v>0</v>
      </c>
      <c r="AQ33" s="83">
        <v>26427</v>
      </c>
      <c r="AR33" s="83">
        <v>1282066</v>
      </c>
      <c r="AS33" s="83">
        <v>2694194.41</v>
      </c>
      <c r="AT33" s="83">
        <v>3427.123</v>
      </c>
      <c r="AU33" s="83"/>
      <c r="AV33" s="83">
        <v>25000</v>
      </c>
      <c r="AW33" s="83">
        <v>5469487</v>
      </c>
      <c r="AX33" s="83">
        <v>1156</v>
      </c>
      <c r="AY33" s="83">
        <v>952</v>
      </c>
      <c r="AZ33" s="83"/>
      <c r="BA33" s="84">
        <v>31000</v>
      </c>
      <c r="BB33" s="84">
        <v>400</v>
      </c>
      <c r="BC33" s="83">
        <v>0</v>
      </c>
      <c r="BD33" s="83">
        <v>2980</v>
      </c>
      <c r="BE33" s="83"/>
      <c r="BF33" s="83">
        <v>2150</v>
      </c>
      <c r="BG33" s="83">
        <f>SUM(BG34:BG35)</f>
        <v>1743749</v>
      </c>
      <c r="BH33" s="83"/>
      <c r="BI33" s="83">
        <v>13661</v>
      </c>
      <c r="BJ33" s="84">
        <f t="shared" si="4"/>
        <v>38255876.208999999</v>
      </c>
    </row>
    <row r="34" spans="1:62" ht="25.75" hidden="1" customHeight="1" x14ac:dyDescent="0.35">
      <c r="A34" s="83" t="s">
        <v>903</v>
      </c>
      <c r="B34" s="83">
        <v>0</v>
      </c>
      <c r="C34" s="83">
        <v>0</v>
      </c>
      <c r="D34" s="83">
        <v>0</v>
      </c>
      <c r="E34" s="83">
        <v>3205.08</v>
      </c>
      <c r="F34" s="83">
        <v>0</v>
      </c>
      <c r="G34" s="83">
        <v>0</v>
      </c>
      <c r="H34" s="83">
        <v>0</v>
      </c>
      <c r="I34" s="83">
        <v>0</v>
      </c>
      <c r="J34" s="83">
        <v>128</v>
      </c>
      <c r="K34" s="83">
        <v>0</v>
      </c>
      <c r="L34" s="83">
        <v>0</v>
      </c>
      <c r="M34" s="83">
        <v>3038</v>
      </c>
      <c r="N34" s="83">
        <v>0</v>
      </c>
      <c r="O34" s="83">
        <v>632929</v>
      </c>
      <c r="P34" s="83">
        <v>0</v>
      </c>
      <c r="Q34" s="83">
        <v>115337</v>
      </c>
      <c r="R34" s="83">
        <v>2049</v>
      </c>
      <c r="S34" s="83">
        <v>0</v>
      </c>
      <c r="T34" s="83">
        <v>1866946</v>
      </c>
      <c r="U34" s="83">
        <v>3923.355</v>
      </c>
      <c r="V34" s="83">
        <v>0</v>
      </c>
      <c r="W34" s="83">
        <v>0</v>
      </c>
      <c r="X34" s="83">
        <v>10</v>
      </c>
      <c r="Y34" s="83">
        <v>21043833</v>
      </c>
      <c r="Z34" s="83">
        <v>0</v>
      </c>
      <c r="AA34" s="83">
        <v>0</v>
      </c>
      <c r="AB34" s="83">
        <v>25518.147000000001</v>
      </c>
      <c r="AC34" s="83">
        <v>5712</v>
      </c>
      <c r="AD34" s="83">
        <v>0</v>
      </c>
      <c r="AE34" s="83">
        <v>657460</v>
      </c>
      <c r="AF34" s="83">
        <v>5095</v>
      </c>
      <c r="AG34" s="83">
        <v>1338988</v>
      </c>
      <c r="AH34" s="83">
        <v>0</v>
      </c>
      <c r="AI34" s="83">
        <f>122472+1561</f>
        <v>124033</v>
      </c>
      <c r="AJ34" s="83">
        <v>0</v>
      </c>
      <c r="AK34" s="83">
        <v>351637</v>
      </c>
      <c r="AL34" s="83">
        <v>18</v>
      </c>
      <c r="AM34" s="83">
        <v>531151.09</v>
      </c>
      <c r="AN34" s="83">
        <v>0</v>
      </c>
      <c r="AO34" s="83">
        <v>505220</v>
      </c>
      <c r="AP34" s="83">
        <v>0</v>
      </c>
      <c r="AQ34" s="83">
        <v>11753</v>
      </c>
      <c r="AR34" s="83">
        <v>893373</v>
      </c>
      <c r="AS34" s="83">
        <v>2662695.4900000002</v>
      </c>
      <c r="AT34" s="83">
        <v>668</v>
      </c>
      <c r="AU34" s="83"/>
      <c r="AV34" s="83">
        <v>0</v>
      </c>
      <c r="AW34" s="83">
        <v>4371619</v>
      </c>
      <c r="AX34" s="83">
        <v>0</v>
      </c>
      <c r="AY34" s="83">
        <v>0</v>
      </c>
      <c r="AZ34" s="83"/>
      <c r="BA34" s="83">
        <v>6000</v>
      </c>
      <c r="BB34" s="83">
        <v>218</v>
      </c>
      <c r="BC34" s="83">
        <v>0</v>
      </c>
      <c r="BD34" s="83">
        <v>2980</v>
      </c>
      <c r="BE34" s="83"/>
      <c r="BF34" s="83">
        <v>0</v>
      </c>
      <c r="BG34" s="83">
        <v>1619747</v>
      </c>
      <c r="BH34" s="83"/>
      <c r="BI34" s="83"/>
      <c r="BJ34" s="84">
        <f>SUM(B34:BI34)</f>
        <v>36785284.162</v>
      </c>
    </row>
    <row r="35" spans="1:62" ht="25.75" hidden="1" customHeight="1" x14ac:dyDescent="0.35">
      <c r="A35" s="83" t="s">
        <v>904</v>
      </c>
      <c r="B35" s="83">
        <v>1800</v>
      </c>
      <c r="C35" s="83">
        <f>217+556</f>
        <v>773</v>
      </c>
      <c r="D35" s="83">
        <v>996</v>
      </c>
      <c r="E35" s="83">
        <v>35759</v>
      </c>
      <c r="F35" s="83">
        <v>48407</v>
      </c>
      <c r="G35" s="83">
        <v>0</v>
      </c>
      <c r="H35" s="83">
        <v>0</v>
      </c>
      <c r="I35" s="83">
        <v>0</v>
      </c>
      <c r="J35" s="83">
        <v>10162</v>
      </c>
      <c r="K35" s="83">
        <v>66</v>
      </c>
      <c r="L35" s="83">
        <v>20215</v>
      </c>
      <c r="M35" s="83">
        <v>675</v>
      </c>
      <c r="N35" s="83">
        <v>0</v>
      </c>
      <c r="O35" s="83">
        <v>21633</v>
      </c>
      <c r="P35" s="83">
        <v>0</v>
      </c>
      <c r="Q35" s="83">
        <v>72112</v>
      </c>
      <c r="R35" s="83">
        <v>107</v>
      </c>
      <c r="S35" s="83">
        <v>1122</v>
      </c>
      <c r="T35" s="83">
        <v>0</v>
      </c>
      <c r="U35" s="83">
        <v>6434.5029999999997</v>
      </c>
      <c r="V35" s="83">
        <v>0</v>
      </c>
      <c r="W35" s="83">
        <v>305409</v>
      </c>
      <c r="X35" s="83">
        <v>2670</v>
      </c>
      <c r="Y35" s="83">
        <v>907159</v>
      </c>
      <c r="Z35" s="83">
        <v>0</v>
      </c>
      <c r="AA35" s="83">
        <v>13680</v>
      </c>
      <c r="AB35" s="83">
        <v>0</v>
      </c>
      <c r="AC35" s="83">
        <v>8900</v>
      </c>
      <c r="AD35" s="83">
        <v>0</v>
      </c>
      <c r="AE35" s="83">
        <v>797405</v>
      </c>
      <c r="AF35" s="83">
        <v>0</v>
      </c>
      <c r="AG35" s="83">
        <f>436465+4555</f>
        <v>441020</v>
      </c>
      <c r="AH35" s="83">
        <v>492</v>
      </c>
      <c r="AI35" s="83">
        <v>6487</v>
      </c>
      <c r="AJ35" s="83">
        <v>0</v>
      </c>
      <c r="AK35" s="83">
        <v>1965</v>
      </c>
      <c r="AL35" s="83">
        <v>0</v>
      </c>
      <c r="AM35" s="83">
        <v>41046.500999999997</v>
      </c>
      <c r="AN35" s="83">
        <v>6690</v>
      </c>
      <c r="AO35" s="83">
        <v>0</v>
      </c>
      <c r="AP35" s="83">
        <v>0</v>
      </c>
      <c r="AQ35" s="83">
        <v>14674</v>
      </c>
      <c r="AR35" s="83">
        <v>388693</v>
      </c>
      <c r="AS35" s="83">
        <v>31498.92</v>
      </c>
      <c r="AT35" s="83">
        <v>2759.123</v>
      </c>
      <c r="AU35" s="83"/>
      <c r="AV35" s="83">
        <v>25000</v>
      </c>
      <c r="AW35" s="83">
        <v>1097868</v>
      </c>
      <c r="AX35" s="83">
        <v>1156</v>
      </c>
      <c r="AY35" s="83">
        <v>952</v>
      </c>
      <c r="AZ35" s="83"/>
      <c r="BA35" s="83">
        <v>25000</v>
      </c>
      <c r="BB35" s="83">
        <v>182</v>
      </c>
      <c r="BC35" s="83">
        <v>0</v>
      </c>
      <c r="BD35" s="83"/>
      <c r="BE35" s="83"/>
      <c r="BF35" s="83">
        <v>2150</v>
      </c>
      <c r="BG35" s="83">
        <v>124002</v>
      </c>
      <c r="BH35" s="83"/>
      <c r="BI35" s="83">
        <v>13660.518</v>
      </c>
      <c r="BJ35" s="84">
        <f t="shared" si="4"/>
        <v>4480780.5650000004</v>
      </c>
    </row>
    <row r="36" spans="1:62" ht="25.75" hidden="1" customHeight="1" x14ac:dyDescent="0.35">
      <c r="A36" s="84" t="s">
        <v>905</v>
      </c>
      <c r="B36" s="84">
        <f>SUM(B38:B52)</f>
        <v>24484</v>
      </c>
      <c r="C36" s="84">
        <f t="shared" ref="C36:BI36" si="6">SUM(C38:C52)</f>
        <v>370196</v>
      </c>
      <c r="D36" s="84">
        <f t="shared" si="6"/>
        <v>55642</v>
      </c>
      <c r="E36" s="84">
        <f t="shared" si="6"/>
        <v>331495</v>
      </c>
      <c r="F36" s="84">
        <f t="shared" si="6"/>
        <v>1082485</v>
      </c>
      <c r="G36" s="84">
        <f t="shared" si="6"/>
        <v>39548</v>
      </c>
      <c r="H36" s="84">
        <f t="shared" si="6"/>
        <v>8830</v>
      </c>
      <c r="I36" s="84">
        <f t="shared" si="6"/>
        <v>47236</v>
      </c>
      <c r="J36" s="84">
        <f t="shared" si="6"/>
        <v>133362</v>
      </c>
      <c r="K36" s="84">
        <f t="shared" si="6"/>
        <v>123634</v>
      </c>
      <c r="L36" s="84">
        <f t="shared" si="6"/>
        <v>3138</v>
      </c>
      <c r="M36" s="84">
        <f t="shared" si="6"/>
        <v>170107</v>
      </c>
      <c r="N36" s="84">
        <f t="shared" si="6"/>
        <v>77515</v>
      </c>
      <c r="O36" s="84">
        <f t="shared" si="6"/>
        <v>4724071</v>
      </c>
      <c r="P36" s="84">
        <f t="shared" si="6"/>
        <v>0</v>
      </c>
      <c r="Q36" s="84">
        <f t="shared" si="6"/>
        <v>3833932</v>
      </c>
      <c r="R36" s="84">
        <f t="shared" si="6"/>
        <v>179996</v>
      </c>
      <c r="S36" s="84">
        <f t="shared" si="6"/>
        <v>141485</v>
      </c>
      <c r="T36" s="84">
        <f>SUM(T38:T52)</f>
        <v>1846554</v>
      </c>
      <c r="U36" s="84">
        <f t="shared" si="6"/>
        <v>236375.45200000002</v>
      </c>
      <c r="V36" s="84">
        <f t="shared" si="6"/>
        <v>56874</v>
      </c>
      <c r="W36" s="84">
        <f t="shared" si="6"/>
        <v>7294481</v>
      </c>
      <c r="X36" s="84">
        <f t="shared" si="6"/>
        <v>59315</v>
      </c>
      <c r="Y36" s="84">
        <f t="shared" si="6"/>
        <v>23575011</v>
      </c>
      <c r="Z36" s="84">
        <f t="shared" si="6"/>
        <v>1500</v>
      </c>
      <c r="AA36" s="84">
        <f t="shared" si="6"/>
        <v>32400</v>
      </c>
      <c r="AB36" s="84">
        <f t="shared" si="6"/>
        <v>162909</v>
      </c>
      <c r="AC36" s="84">
        <f t="shared" si="6"/>
        <v>243257</v>
      </c>
      <c r="AD36" s="84">
        <f t="shared" si="6"/>
        <v>0</v>
      </c>
      <c r="AE36" s="84">
        <f t="shared" si="6"/>
        <v>38003946</v>
      </c>
      <c r="AF36" s="84">
        <f>SUM(AF38:AF52)</f>
        <v>26103</v>
      </c>
      <c r="AG36" s="84">
        <f t="shared" si="6"/>
        <v>31385315</v>
      </c>
      <c r="AH36" s="84">
        <f t="shared" si="6"/>
        <v>309554</v>
      </c>
      <c r="AI36" s="84">
        <f t="shared" si="6"/>
        <v>501648.97099999996</v>
      </c>
      <c r="AJ36" s="84">
        <f t="shared" si="6"/>
        <v>9692.4699999999993</v>
      </c>
      <c r="AK36" s="84">
        <f t="shared" si="6"/>
        <v>344260</v>
      </c>
      <c r="AL36" s="84">
        <f t="shared" si="6"/>
        <v>2000</v>
      </c>
      <c r="AM36" s="84">
        <f t="shared" si="6"/>
        <v>3805376.1579999989</v>
      </c>
      <c r="AN36" s="84">
        <f t="shared" si="6"/>
        <v>79304</v>
      </c>
      <c r="AO36" s="84">
        <f>SUM(AO38:AO52)</f>
        <v>667894</v>
      </c>
      <c r="AP36" s="84">
        <f t="shared" si="6"/>
        <v>83775</v>
      </c>
      <c r="AQ36" s="84">
        <f t="shared" si="6"/>
        <v>429768</v>
      </c>
      <c r="AR36" s="84">
        <f t="shared" si="6"/>
        <v>22466029</v>
      </c>
      <c r="AS36" s="84">
        <f t="shared" si="6"/>
        <v>1797353.05</v>
      </c>
      <c r="AT36" s="84">
        <f t="shared" si="6"/>
        <v>93232.679000000004</v>
      </c>
      <c r="AU36" s="84">
        <f t="shared" si="6"/>
        <v>0</v>
      </c>
      <c r="AV36" s="84">
        <f t="shared" si="6"/>
        <v>34900</v>
      </c>
      <c r="AW36" s="84">
        <f t="shared" si="6"/>
        <v>28047571</v>
      </c>
      <c r="AX36" s="84">
        <f t="shared" si="6"/>
        <v>40957</v>
      </c>
      <c r="AY36" s="84">
        <f t="shared" si="6"/>
        <v>48670.777000000002</v>
      </c>
      <c r="AZ36" s="84">
        <f t="shared" si="6"/>
        <v>0</v>
      </c>
      <c r="BA36" s="84">
        <f t="shared" si="6"/>
        <v>27450</v>
      </c>
      <c r="BB36" s="84">
        <f t="shared" si="6"/>
        <v>175759</v>
      </c>
      <c r="BC36" s="84">
        <f t="shared" si="6"/>
        <v>5980</v>
      </c>
      <c r="BD36" s="84">
        <f t="shared" si="6"/>
        <v>233302</v>
      </c>
      <c r="BE36" s="84">
        <f t="shared" si="6"/>
        <v>0</v>
      </c>
      <c r="BF36" s="84">
        <f t="shared" si="6"/>
        <v>108229.065</v>
      </c>
      <c r="BG36" s="84">
        <f t="shared" si="6"/>
        <v>1940276</v>
      </c>
      <c r="BH36" s="84">
        <f t="shared" si="6"/>
        <v>0</v>
      </c>
      <c r="BI36" s="84">
        <f t="shared" si="6"/>
        <v>3661141.6130000004</v>
      </c>
      <c r="BJ36" s="84">
        <f t="shared" si="4"/>
        <v>179185320.23500001</v>
      </c>
    </row>
    <row r="37" spans="1:62" ht="25.75" hidden="1" customHeight="1" x14ac:dyDescent="0.35">
      <c r="A37" s="83" t="s">
        <v>906</v>
      </c>
      <c r="B37" s="83">
        <f>SUM(B38:B52)</f>
        <v>24484</v>
      </c>
      <c r="C37" s="83">
        <v>370196</v>
      </c>
      <c r="D37" s="83">
        <v>76100</v>
      </c>
      <c r="E37" s="83">
        <v>331495</v>
      </c>
      <c r="F37" s="83">
        <v>1082485</v>
      </c>
      <c r="G37" s="83">
        <v>39548</v>
      </c>
      <c r="H37" s="83">
        <v>8830</v>
      </c>
      <c r="I37" s="83">
        <f>SUM(I38:I52)</f>
        <v>47236</v>
      </c>
      <c r="J37" s="83">
        <f>SUM(J38:J52)</f>
        <v>133362</v>
      </c>
      <c r="K37" s="83">
        <f>SUM(K38:K52)</f>
        <v>123634</v>
      </c>
      <c r="L37" s="83">
        <v>3138</v>
      </c>
      <c r="M37" s="83">
        <f>SUM(M38:M52)</f>
        <v>170107</v>
      </c>
      <c r="N37" s="83">
        <v>77515</v>
      </c>
      <c r="O37" s="83">
        <f>SUM(O38:O52)</f>
        <v>4724071</v>
      </c>
      <c r="P37" s="83">
        <v>0</v>
      </c>
      <c r="Q37" s="83">
        <v>3463932</v>
      </c>
      <c r="R37" s="83">
        <f>SUM(R38:R52)</f>
        <v>179996</v>
      </c>
      <c r="S37" s="83">
        <f>SUM(S38:S52)</f>
        <v>141485</v>
      </c>
      <c r="T37" s="83"/>
      <c r="U37" s="83">
        <f>SUM(U38:U52)</f>
        <v>236375.45200000002</v>
      </c>
      <c r="V37" s="83">
        <v>56874</v>
      </c>
      <c r="W37" s="83">
        <f>SUM(W38:W52)</f>
        <v>7294481</v>
      </c>
      <c r="X37" s="83">
        <f>SUM(X38:X52)</f>
        <v>59315</v>
      </c>
      <c r="Y37" s="83">
        <v>23575011</v>
      </c>
      <c r="Z37" s="83">
        <v>1500</v>
      </c>
      <c r="AA37" s="83">
        <f>SUM(AA38:AA52)</f>
        <v>32400</v>
      </c>
      <c r="AB37" s="83">
        <v>162909.25899999999</v>
      </c>
      <c r="AC37" s="83">
        <f>SUM(AC38:AC52)</f>
        <v>243257</v>
      </c>
      <c r="AD37" s="83">
        <v>0</v>
      </c>
      <c r="AE37" s="83">
        <v>38003946</v>
      </c>
      <c r="AF37" s="83"/>
      <c r="AG37" s="83">
        <v>31385315</v>
      </c>
      <c r="AH37" s="83">
        <v>309554</v>
      </c>
      <c r="AI37" s="83">
        <v>501649</v>
      </c>
      <c r="AJ37" s="83">
        <v>9692.4699999999993</v>
      </c>
      <c r="AK37" s="83">
        <v>344260</v>
      </c>
      <c r="AL37" s="84">
        <f>SUM(AL38:AL52)</f>
        <v>2000</v>
      </c>
      <c r="AM37" s="83">
        <f>SUM(AM38:AM52)</f>
        <v>3805376.1579999989</v>
      </c>
      <c r="AN37" s="83">
        <f>SUM(AN38:AN52)</f>
        <v>79304</v>
      </c>
      <c r="AO37" s="83"/>
      <c r="AP37" s="83">
        <v>83775</v>
      </c>
      <c r="AQ37" s="83">
        <v>429768</v>
      </c>
      <c r="AR37" s="83">
        <f>AR38+AR39+AR40+AR41+AR42+AR43+AR44+AR45+AR46+AR47+AR48+AR49+AR50+AR51+AR52</f>
        <v>22466029</v>
      </c>
      <c r="AS37" s="83">
        <f>SUM(AS38:AS52)</f>
        <v>1797353.05</v>
      </c>
      <c r="AT37" s="83">
        <v>93232.679000000004</v>
      </c>
      <c r="AU37" s="83"/>
      <c r="AV37" s="83">
        <f>SUM(AV38:AV52)</f>
        <v>34900</v>
      </c>
      <c r="AW37" s="83">
        <f>SUM(AW38:AW52)</f>
        <v>28047571</v>
      </c>
      <c r="AX37" s="83">
        <f>SUM(AX38:AX52)</f>
        <v>40957</v>
      </c>
      <c r="AY37" s="83">
        <f>SUM(AY38:AY52)</f>
        <v>48670.777000000002</v>
      </c>
      <c r="AZ37" s="83"/>
      <c r="BA37" s="83">
        <f>SUM(BA38:BA52)</f>
        <v>27450</v>
      </c>
      <c r="BB37" s="83">
        <f>SUM(BB38:BB52)</f>
        <v>175759</v>
      </c>
      <c r="BC37" s="83">
        <f>SUM(BC38:BC52)</f>
        <v>5980</v>
      </c>
      <c r="BD37" s="83">
        <f>SUM(BD38:BD52)</f>
        <v>233302</v>
      </c>
      <c r="BE37" s="83"/>
      <c r="BF37" s="83">
        <f>SUM(BF38:BF52)</f>
        <v>108229.065</v>
      </c>
      <c r="BG37" s="83">
        <v>1940276</v>
      </c>
      <c r="BH37" s="83"/>
      <c r="BI37" s="83">
        <v>3661141.6130000004</v>
      </c>
      <c r="BJ37" s="84">
        <f t="shared" si="4"/>
        <v>176295227.523</v>
      </c>
    </row>
    <row r="38" spans="1:62" ht="25.75" hidden="1" customHeight="1" x14ac:dyDescent="0.35">
      <c r="A38" s="83" t="s">
        <v>907</v>
      </c>
      <c r="B38" s="83">
        <v>0</v>
      </c>
      <c r="C38" s="83">
        <v>59811</v>
      </c>
      <c r="D38" s="83">
        <v>0</v>
      </c>
      <c r="E38" s="83">
        <v>0</v>
      </c>
      <c r="F38" s="83">
        <v>359941</v>
      </c>
      <c r="G38" s="83">
        <v>10200</v>
      </c>
      <c r="H38" s="83">
        <v>0</v>
      </c>
      <c r="I38" s="83">
        <v>34745</v>
      </c>
      <c r="J38" s="83">
        <v>0</v>
      </c>
      <c r="K38" s="83">
        <v>53854</v>
      </c>
      <c r="L38" s="83">
        <v>0</v>
      </c>
      <c r="M38" s="83">
        <v>0</v>
      </c>
      <c r="N38" s="83">
        <v>0</v>
      </c>
      <c r="O38" s="83">
        <v>0</v>
      </c>
      <c r="P38" s="83"/>
      <c r="Q38" s="83">
        <v>0</v>
      </c>
      <c r="R38" s="83">
        <v>0</v>
      </c>
      <c r="S38" s="83">
        <v>0</v>
      </c>
      <c r="T38" s="83">
        <v>1846554</v>
      </c>
      <c r="U38" s="83">
        <v>0</v>
      </c>
      <c r="V38" s="83">
        <v>31357</v>
      </c>
      <c r="W38" s="83">
        <v>2133779</v>
      </c>
      <c r="X38" s="83">
        <v>0</v>
      </c>
      <c r="Y38" s="83">
        <v>0</v>
      </c>
      <c r="Z38" s="83">
        <v>0</v>
      </c>
      <c r="AA38" s="83">
        <v>32400</v>
      </c>
      <c r="AB38" s="83">
        <v>0</v>
      </c>
      <c r="AC38" s="83">
        <v>0</v>
      </c>
      <c r="AD38" s="83">
        <v>0</v>
      </c>
      <c r="AE38" s="83">
        <v>32195033</v>
      </c>
      <c r="AF38" s="83">
        <v>26103</v>
      </c>
      <c r="AG38" s="83">
        <v>12882696</v>
      </c>
      <c r="AH38" s="83">
        <v>0</v>
      </c>
      <c r="AI38" s="83">
        <v>358279</v>
      </c>
      <c r="AJ38" s="83"/>
      <c r="AK38" s="83">
        <v>0</v>
      </c>
      <c r="AL38" s="83">
        <v>0</v>
      </c>
      <c r="AM38" s="83">
        <v>335330.09999999998</v>
      </c>
      <c r="AN38" s="83">
        <v>0</v>
      </c>
      <c r="AO38" s="83">
        <v>667894</v>
      </c>
      <c r="AP38" s="83">
        <v>0</v>
      </c>
      <c r="AQ38" s="83">
        <v>0</v>
      </c>
      <c r="AR38" s="83">
        <v>4877803</v>
      </c>
      <c r="AS38" s="83">
        <v>639776.31000000006</v>
      </c>
      <c r="AT38" s="83">
        <v>0</v>
      </c>
      <c r="AU38" s="83"/>
      <c r="AV38" s="83">
        <v>0</v>
      </c>
      <c r="AW38" s="83">
        <v>579234</v>
      </c>
      <c r="AX38" s="83">
        <v>0</v>
      </c>
      <c r="AY38" s="83">
        <v>0</v>
      </c>
      <c r="AZ38" s="83"/>
      <c r="BA38" s="83">
        <v>0</v>
      </c>
      <c r="BB38" s="83">
        <v>15600</v>
      </c>
      <c r="BC38" s="83"/>
      <c r="BD38" s="83"/>
      <c r="BE38" s="83"/>
      <c r="BF38" s="83"/>
      <c r="BG38" s="83"/>
      <c r="BH38" s="83"/>
      <c r="BI38" s="83">
        <v>1060</v>
      </c>
      <c r="BJ38" s="84">
        <f t="shared" si="4"/>
        <v>57141449.410000004</v>
      </c>
    </row>
    <row r="39" spans="1:62" ht="25.75" hidden="1" customHeight="1" x14ac:dyDescent="0.35">
      <c r="A39" s="83" t="s">
        <v>908</v>
      </c>
      <c r="B39" s="83">
        <v>19248</v>
      </c>
      <c r="C39" s="83">
        <f>3271+9700</f>
        <v>12971</v>
      </c>
      <c r="D39" s="83">
        <v>43200</v>
      </c>
      <c r="E39" s="83">
        <v>3600</v>
      </c>
      <c r="F39" s="83">
        <v>100165</v>
      </c>
      <c r="G39" s="83">
        <v>7250</v>
      </c>
      <c r="H39" s="83">
        <v>1680</v>
      </c>
      <c r="I39" s="83">
        <v>0</v>
      </c>
      <c r="J39" s="83">
        <v>24513</v>
      </c>
      <c r="K39" s="83">
        <v>0</v>
      </c>
      <c r="L39" s="83">
        <v>0</v>
      </c>
      <c r="M39" s="83">
        <v>88439</v>
      </c>
      <c r="N39" s="83">
        <v>2965</v>
      </c>
      <c r="O39" s="83">
        <v>1498488</v>
      </c>
      <c r="P39" s="83">
        <v>0</v>
      </c>
      <c r="Q39" s="83">
        <v>119753</v>
      </c>
      <c r="R39" s="83">
        <v>6775</v>
      </c>
      <c r="S39" s="83">
        <v>6041</v>
      </c>
      <c r="T39" s="83">
        <v>0</v>
      </c>
      <c r="U39" s="83">
        <v>0</v>
      </c>
      <c r="V39" s="83">
        <v>2565</v>
      </c>
      <c r="W39" s="83">
        <v>99097</v>
      </c>
      <c r="X39" s="83">
        <v>1463</v>
      </c>
      <c r="Y39" s="83">
        <v>4473797</v>
      </c>
      <c r="Z39" s="83">
        <v>0</v>
      </c>
      <c r="AA39" s="83">
        <v>0</v>
      </c>
      <c r="AB39" s="83">
        <v>0</v>
      </c>
      <c r="AC39" s="83">
        <v>34699</v>
      </c>
      <c r="AD39" s="83">
        <v>0</v>
      </c>
      <c r="AE39" s="83">
        <v>1093760</v>
      </c>
      <c r="AF39" s="83">
        <v>0</v>
      </c>
      <c r="AG39" s="83">
        <v>400480</v>
      </c>
      <c r="AH39" s="83">
        <v>0</v>
      </c>
      <c r="AI39" s="83">
        <v>67404.213000000003</v>
      </c>
      <c r="AJ39" s="83">
        <v>0</v>
      </c>
      <c r="AK39" s="83">
        <v>17784</v>
      </c>
      <c r="AL39" s="83">
        <v>1200</v>
      </c>
      <c r="AM39" s="83">
        <v>916763.05799999996</v>
      </c>
      <c r="AN39" s="83">
        <v>10200</v>
      </c>
      <c r="AO39" s="83">
        <v>0</v>
      </c>
      <c r="AP39" s="83">
        <v>0</v>
      </c>
      <c r="AQ39" s="83">
        <v>136098</v>
      </c>
      <c r="AR39" s="83">
        <v>9438137</v>
      </c>
      <c r="AS39" s="83">
        <v>149685.48000000001</v>
      </c>
      <c r="AT39" s="83">
        <v>11676.4</v>
      </c>
      <c r="AU39" s="83"/>
      <c r="AV39" s="83">
        <v>500</v>
      </c>
      <c r="AW39" s="83">
        <v>4077872</v>
      </c>
      <c r="AX39" s="83">
        <v>2771</v>
      </c>
      <c r="AY39" s="83">
        <v>0</v>
      </c>
      <c r="AZ39" s="83"/>
      <c r="BA39" s="83">
        <v>500</v>
      </c>
      <c r="BB39" s="83">
        <v>6600</v>
      </c>
      <c r="BC39" s="83">
        <v>5400</v>
      </c>
      <c r="BD39" s="83"/>
      <c r="BE39" s="83"/>
      <c r="BF39" s="83">
        <v>2500</v>
      </c>
      <c r="BG39" s="83">
        <v>118994</v>
      </c>
      <c r="BH39" s="83"/>
      <c r="BI39" s="83">
        <v>191953.71799999999</v>
      </c>
      <c r="BJ39" s="84">
        <f t="shared" si="4"/>
        <v>23196987.868999995</v>
      </c>
    </row>
    <row r="40" spans="1:62" ht="25.75" hidden="1" customHeight="1" x14ac:dyDescent="0.35">
      <c r="A40" s="83" t="s">
        <v>909</v>
      </c>
      <c r="B40" s="83">
        <v>4943</v>
      </c>
      <c r="C40" s="83">
        <v>0</v>
      </c>
      <c r="D40" s="83">
        <v>0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83">
        <v>0</v>
      </c>
      <c r="R40" s="83">
        <v>0</v>
      </c>
      <c r="S40" s="83">
        <v>0</v>
      </c>
      <c r="T40" s="83">
        <v>0</v>
      </c>
      <c r="U40" s="83">
        <v>0</v>
      </c>
      <c r="V40" s="83">
        <v>0</v>
      </c>
      <c r="W40" s="83">
        <v>0</v>
      </c>
      <c r="X40" s="83">
        <v>0</v>
      </c>
      <c r="Y40" s="83">
        <v>0</v>
      </c>
      <c r="Z40" s="83">
        <v>0</v>
      </c>
      <c r="AA40" s="83">
        <v>0</v>
      </c>
      <c r="AB40" s="83">
        <v>0</v>
      </c>
      <c r="AC40" s="83">
        <v>0</v>
      </c>
      <c r="AD40" s="83">
        <v>0</v>
      </c>
      <c r="AE40" s="83">
        <v>0</v>
      </c>
      <c r="AF40" s="83">
        <v>0</v>
      </c>
      <c r="AG40" s="83">
        <v>0</v>
      </c>
      <c r="AH40" s="83">
        <v>0</v>
      </c>
      <c r="AI40" s="83">
        <v>0</v>
      </c>
      <c r="AJ40" s="83">
        <v>0</v>
      </c>
      <c r="AK40" s="83">
        <v>0</v>
      </c>
      <c r="AL40" s="83">
        <v>0</v>
      </c>
      <c r="AM40" s="83">
        <v>0</v>
      </c>
      <c r="AN40" s="83">
        <v>0</v>
      </c>
      <c r="AO40" s="83">
        <v>0</v>
      </c>
      <c r="AP40" s="83">
        <v>0</v>
      </c>
      <c r="AQ40" s="83">
        <v>0</v>
      </c>
      <c r="AR40" s="83">
        <v>0</v>
      </c>
      <c r="AS40" s="83">
        <v>0</v>
      </c>
      <c r="AT40" s="83">
        <v>0</v>
      </c>
      <c r="AU40" s="83"/>
      <c r="AV40" s="83">
        <v>21650</v>
      </c>
      <c r="AW40" s="83">
        <v>0</v>
      </c>
      <c r="AX40" s="83">
        <v>0</v>
      </c>
      <c r="AY40" s="83">
        <v>0</v>
      </c>
      <c r="AZ40" s="83"/>
      <c r="BA40" s="83">
        <v>21600</v>
      </c>
      <c r="BB40" s="83">
        <v>0</v>
      </c>
      <c r="BC40" s="83"/>
      <c r="BD40" s="83"/>
      <c r="BE40" s="83"/>
      <c r="BF40" s="83"/>
      <c r="BG40" s="83"/>
      <c r="BH40" s="83"/>
      <c r="BI40" s="83">
        <v>2959.32</v>
      </c>
      <c r="BJ40" s="84">
        <f t="shared" si="4"/>
        <v>51152.32</v>
      </c>
    </row>
    <row r="41" spans="1:62" ht="25.75" hidden="1" customHeight="1" x14ac:dyDescent="0.35">
      <c r="A41" s="83" t="s">
        <v>910</v>
      </c>
      <c r="B41" s="83">
        <v>0</v>
      </c>
      <c r="C41" s="83">
        <f>715+1682</f>
        <v>2397</v>
      </c>
      <c r="D41" s="83">
        <v>5379</v>
      </c>
      <c r="E41" s="83">
        <v>222461</v>
      </c>
      <c r="F41" s="83">
        <v>43005</v>
      </c>
      <c r="G41" s="83">
        <v>380</v>
      </c>
      <c r="H41" s="83">
        <v>0</v>
      </c>
      <c r="I41" s="83">
        <v>0</v>
      </c>
      <c r="J41" s="83">
        <v>52335</v>
      </c>
      <c r="K41" s="83">
        <v>0</v>
      </c>
      <c r="L41" s="83">
        <v>1636</v>
      </c>
      <c r="M41" s="83">
        <v>18163</v>
      </c>
      <c r="N41" s="83">
        <v>0</v>
      </c>
      <c r="O41" s="83">
        <v>1169814</v>
      </c>
      <c r="P41" s="83">
        <v>0</v>
      </c>
      <c r="Q41" s="83">
        <v>1146987</v>
      </c>
      <c r="R41" s="83">
        <v>43508</v>
      </c>
      <c r="S41" s="83">
        <v>364</v>
      </c>
      <c r="T41" s="83">
        <v>0</v>
      </c>
      <c r="U41" s="83">
        <v>147805.095</v>
      </c>
      <c r="V41" s="83">
        <v>0</v>
      </c>
      <c r="W41" s="83">
        <v>50949</v>
      </c>
      <c r="X41" s="83">
        <v>49541</v>
      </c>
      <c r="Y41" s="83">
        <v>10261449</v>
      </c>
      <c r="Z41" s="83">
        <v>0</v>
      </c>
      <c r="AA41" s="83">
        <v>0</v>
      </c>
      <c r="AB41" s="83">
        <v>0</v>
      </c>
      <c r="AC41" s="83">
        <v>7538</v>
      </c>
      <c r="AD41" s="83">
        <v>0</v>
      </c>
      <c r="AE41" s="83">
        <v>20365</v>
      </c>
      <c r="AF41" s="83">
        <v>0</v>
      </c>
      <c r="AG41" s="83">
        <v>1047862</v>
      </c>
      <c r="AH41" s="83">
        <v>0</v>
      </c>
      <c r="AI41" s="83">
        <v>22624.076000000001</v>
      </c>
      <c r="AJ41" s="83">
        <v>0</v>
      </c>
      <c r="AK41" s="83">
        <v>5176</v>
      </c>
      <c r="AL41" s="83">
        <v>0</v>
      </c>
      <c r="AM41" s="83">
        <v>1057895.3319999999</v>
      </c>
      <c r="AN41" s="83">
        <v>6786</v>
      </c>
      <c r="AO41" s="83">
        <v>0</v>
      </c>
      <c r="AP41" s="83">
        <v>0</v>
      </c>
      <c r="AQ41" s="83">
        <v>48560</v>
      </c>
      <c r="AR41" s="83">
        <v>5356038</v>
      </c>
      <c r="AS41" s="83">
        <v>429.78</v>
      </c>
      <c r="AT41" s="83">
        <v>45671.243000000002</v>
      </c>
      <c r="AU41" s="83"/>
      <c r="AV41" s="83">
        <v>2000</v>
      </c>
      <c r="AW41" s="83">
        <v>410274</v>
      </c>
      <c r="AX41" s="83">
        <v>183</v>
      </c>
      <c r="AY41" s="83">
        <v>0</v>
      </c>
      <c r="AZ41" s="83"/>
      <c r="BA41" s="83">
        <v>2000</v>
      </c>
      <c r="BB41" s="83">
        <v>42903</v>
      </c>
      <c r="BC41" s="83">
        <v>300</v>
      </c>
      <c r="BD41" s="83">
        <v>2058</v>
      </c>
      <c r="BE41" s="83"/>
      <c r="BF41" s="83">
        <v>355.5</v>
      </c>
      <c r="BG41" s="83">
        <v>932743</v>
      </c>
      <c r="BH41" s="83"/>
      <c r="BI41" s="83">
        <v>77248.846000000005</v>
      </c>
      <c r="BJ41" s="84">
        <f t="shared" si="4"/>
        <v>22305183.872000001</v>
      </c>
    </row>
    <row r="42" spans="1:62" ht="25.75" hidden="1" customHeight="1" x14ac:dyDescent="0.35">
      <c r="A42" s="83" t="s">
        <v>911</v>
      </c>
      <c r="B42" s="83">
        <v>0</v>
      </c>
      <c r="C42" s="83">
        <v>141</v>
      </c>
      <c r="D42" s="83">
        <v>128</v>
      </c>
      <c r="E42" s="83">
        <v>174</v>
      </c>
      <c r="F42" s="83">
        <v>21440</v>
      </c>
      <c r="G42" s="83">
        <v>320</v>
      </c>
      <c r="H42" s="83">
        <v>0</v>
      </c>
      <c r="I42" s="83">
        <v>0</v>
      </c>
      <c r="J42" s="83">
        <v>0</v>
      </c>
      <c r="K42" s="83">
        <v>0</v>
      </c>
      <c r="L42" s="83">
        <v>707</v>
      </c>
      <c r="M42" s="83">
        <v>5520</v>
      </c>
      <c r="N42" s="83">
        <v>0</v>
      </c>
      <c r="O42" s="83">
        <v>1168590</v>
      </c>
      <c r="P42" s="83">
        <v>0</v>
      </c>
      <c r="Q42" s="83">
        <v>419240</v>
      </c>
      <c r="R42" s="83">
        <v>0</v>
      </c>
      <c r="S42" s="83">
        <v>11388</v>
      </c>
      <c r="T42" s="83">
        <v>0</v>
      </c>
      <c r="U42" s="83">
        <v>6289.3370000000004</v>
      </c>
      <c r="V42" s="83">
        <v>0</v>
      </c>
      <c r="W42" s="83">
        <v>5917</v>
      </c>
      <c r="X42" s="83">
        <v>1806</v>
      </c>
      <c r="Y42" s="83">
        <v>2037798</v>
      </c>
      <c r="Z42" s="83">
        <v>0</v>
      </c>
      <c r="AA42" s="83">
        <v>0</v>
      </c>
      <c r="AB42" s="83">
        <v>0</v>
      </c>
      <c r="AC42" s="83">
        <v>0</v>
      </c>
      <c r="AD42" s="83">
        <v>0</v>
      </c>
      <c r="AE42" s="83">
        <v>474320</v>
      </c>
      <c r="AF42" s="83">
        <v>0</v>
      </c>
      <c r="AG42" s="83">
        <v>1289322</v>
      </c>
      <c r="AH42" s="83">
        <v>12422</v>
      </c>
      <c r="AI42" s="83">
        <v>7514.9679999999998</v>
      </c>
      <c r="AJ42" s="83">
        <v>0</v>
      </c>
      <c r="AK42" s="83">
        <v>38668</v>
      </c>
      <c r="AL42" s="83">
        <v>411</v>
      </c>
      <c r="AM42" s="83">
        <v>212246.397</v>
      </c>
      <c r="AN42" s="83">
        <v>832</v>
      </c>
      <c r="AO42" s="83">
        <v>0</v>
      </c>
      <c r="AP42" s="83">
        <v>0</v>
      </c>
      <c r="AQ42" s="83">
        <v>11166</v>
      </c>
      <c r="AR42" s="83">
        <v>432741</v>
      </c>
      <c r="AS42" s="83">
        <v>30414.85</v>
      </c>
      <c r="AT42" s="83">
        <v>19704.026999999998</v>
      </c>
      <c r="AU42" s="83"/>
      <c r="AV42" s="83">
        <v>0</v>
      </c>
      <c r="AW42" s="83">
        <v>1754904</v>
      </c>
      <c r="AX42" s="83">
        <v>0</v>
      </c>
      <c r="AY42" s="83">
        <v>0</v>
      </c>
      <c r="AZ42" s="83"/>
      <c r="BA42" s="83">
        <v>0</v>
      </c>
      <c r="BB42" s="83">
        <v>1683</v>
      </c>
      <c r="BC42" s="83">
        <v>280</v>
      </c>
      <c r="BD42" s="83"/>
      <c r="BE42" s="83"/>
      <c r="BF42" s="83"/>
      <c r="BG42" s="83">
        <v>137454</v>
      </c>
      <c r="BH42" s="83"/>
      <c r="BI42" s="83">
        <v>88575</v>
      </c>
      <c r="BJ42" s="84">
        <f t="shared" si="4"/>
        <v>8192116.5789999999</v>
      </c>
    </row>
    <row r="43" spans="1:62" ht="25.75" hidden="1" customHeight="1" x14ac:dyDescent="0.35">
      <c r="A43" s="83" t="s">
        <v>912</v>
      </c>
      <c r="B43" s="83">
        <v>0</v>
      </c>
      <c r="C43" s="83">
        <v>0</v>
      </c>
      <c r="D43" s="83">
        <v>0</v>
      </c>
      <c r="E43" s="83">
        <v>10</v>
      </c>
      <c r="F43" s="83">
        <v>158</v>
      </c>
      <c r="G43" s="83">
        <v>4198</v>
      </c>
      <c r="H43" s="83">
        <v>0</v>
      </c>
      <c r="I43" s="83">
        <v>0</v>
      </c>
      <c r="J43" s="83">
        <v>13129</v>
      </c>
      <c r="K43" s="83">
        <v>0</v>
      </c>
      <c r="L43" s="83">
        <v>225</v>
      </c>
      <c r="M43" s="83">
        <v>1814</v>
      </c>
      <c r="N43" s="83">
        <v>0</v>
      </c>
      <c r="O43" s="83">
        <v>2313</v>
      </c>
      <c r="P43" s="83">
        <v>0</v>
      </c>
      <c r="Q43" s="83">
        <v>459</v>
      </c>
      <c r="R43" s="83">
        <v>0</v>
      </c>
      <c r="S43" s="83">
        <v>0</v>
      </c>
      <c r="T43" s="83">
        <v>0</v>
      </c>
      <c r="U43" s="83">
        <v>0</v>
      </c>
      <c r="V43" s="83">
        <v>0</v>
      </c>
      <c r="W43" s="83">
        <v>0</v>
      </c>
      <c r="X43" s="83">
        <v>0</v>
      </c>
      <c r="Y43" s="83">
        <v>392</v>
      </c>
      <c r="Z43" s="83">
        <v>0</v>
      </c>
      <c r="AA43" s="83">
        <v>0</v>
      </c>
      <c r="AB43" s="83">
        <v>0</v>
      </c>
      <c r="AC43" s="83">
        <v>0</v>
      </c>
      <c r="AD43" s="83">
        <v>0</v>
      </c>
      <c r="AE43" s="83">
        <v>934</v>
      </c>
      <c r="AF43" s="83">
        <v>0</v>
      </c>
      <c r="AG43" s="83">
        <v>1723</v>
      </c>
      <c r="AH43" s="83">
        <v>0</v>
      </c>
      <c r="AI43" s="83">
        <v>0</v>
      </c>
      <c r="AJ43" s="83">
        <v>0</v>
      </c>
      <c r="AK43" s="83">
        <v>0</v>
      </c>
      <c r="AL43" s="83"/>
      <c r="AM43" s="83">
        <v>20222.824000000001</v>
      </c>
      <c r="AN43" s="83">
        <v>50000</v>
      </c>
      <c r="AO43" s="83">
        <v>0</v>
      </c>
      <c r="AP43" s="83">
        <v>0</v>
      </c>
      <c r="AQ43" s="83">
        <v>0</v>
      </c>
      <c r="AR43" s="83">
        <v>32488</v>
      </c>
      <c r="AS43" s="83">
        <v>18373.13</v>
      </c>
      <c r="AT43" s="83">
        <v>2700</v>
      </c>
      <c r="AU43" s="83"/>
      <c r="AV43" s="83">
        <v>1000</v>
      </c>
      <c r="AW43" s="83">
        <v>0</v>
      </c>
      <c r="AX43" s="83">
        <v>135</v>
      </c>
      <c r="AY43" s="83">
        <v>0</v>
      </c>
      <c r="AZ43" s="83"/>
      <c r="BA43" s="83">
        <v>1000</v>
      </c>
      <c r="BB43" s="83">
        <v>187</v>
      </c>
      <c r="BC43" s="83"/>
      <c r="BD43" s="83"/>
      <c r="BE43" s="83"/>
      <c r="BF43" s="83">
        <v>98393</v>
      </c>
      <c r="BG43" s="83">
        <v>729</v>
      </c>
      <c r="BH43" s="83"/>
      <c r="BI43" s="83">
        <v>9725.85</v>
      </c>
      <c r="BJ43" s="84">
        <f t="shared" si="4"/>
        <v>260308.804</v>
      </c>
    </row>
    <row r="44" spans="1:62" ht="25.75" hidden="1" customHeight="1" x14ac:dyDescent="0.35">
      <c r="A44" s="83" t="s">
        <v>913</v>
      </c>
      <c r="B44" s="83">
        <v>0</v>
      </c>
      <c r="C44" s="83">
        <v>0</v>
      </c>
      <c r="D44" s="83">
        <v>0</v>
      </c>
      <c r="E44" s="83">
        <v>180</v>
      </c>
      <c r="F44" s="83">
        <v>2485</v>
      </c>
      <c r="G44" s="83">
        <v>0</v>
      </c>
      <c r="H44" s="83">
        <v>0</v>
      </c>
      <c r="I44" s="83">
        <v>0</v>
      </c>
      <c r="J44" s="83">
        <v>1018</v>
      </c>
      <c r="K44" s="83">
        <v>0</v>
      </c>
      <c r="L44" s="83">
        <v>0</v>
      </c>
      <c r="M44" s="83">
        <v>635</v>
      </c>
      <c r="N44" s="83">
        <v>0</v>
      </c>
      <c r="O44" s="83">
        <v>14078</v>
      </c>
      <c r="P44" s="83">
        <v>0</v>
      </c>
      <c r="Q44" s="83">
        <v>231390</v>
      </c>
      <c r="R44" s="83">
        <v>0</v>
      </c>
      <c r="S44" s="83">
        <v>0</v>
      </c>
      <c r="T44" s="83">
        <v>0</v>
      </c>
      <c r="U44" s="83">
        <v>1552.88</v>
      </c>
      <c r="V44" s="83">
        <v>0</v>
      </c>
      <c r="W44" s="83">
        <v>31423</v>
      </c>
      <c r="X44" s="83">
        <v>80</v>
      </c>
      <c r="Y44" s="83">
        <v>27831</v>
      </c>
      <c r="Z44" s="83">
        <v>0</v>
      </c>
      <c r="AA44" s="83">
        <v>0</v>
      </c>
      <c r="AB44" s="83">
        <v>0</v>
      </c>
      <c r="AC44" s="83">
        <v>0</v>
      </c>
      <c r="AD44" s="83">
        <v>0</v>
      </c>
      <c r="AE44" s="83">
        <v>35926</v>
      </c>
      <c r="AF44" s="83">
        <v>0</v>
      </c>
      <c r="AG44" s="83">
        <v>51693</v>
      </c>
      <c r="AH44" s="83">
        <v>0</v>
      </c>
      <c r="AI44" s="83">
        <v>2095</v>
      </c>
      <c r="AJ44" s="83">
        <v>0</v>
      </c>
      <c r="AK44" s="83">
        <v>779</v>
      </c>
      <c r="AL44" s="83">
        <v>0</v>
      </c>
      <c r="AM44" s="83">
        <v>88141.71</v>
      </c>
      <c r="AN44" s="83">
        <v>0</v>
      </c>
      <c r="AO44" s="83">
        <v>0</v>
      </c>
      <c r="AP44" s="83">
        <v>0</v>
      </c>
      <c r="AQ44" s="83">
        <v>0</v>
      </c>
      <c r="AR44" s="83">
        <v>405916</v>
      </c>
      <c r="AS44" s="83">
        <v>1100</v>
      </c>
      <c r="AT44" s="83">
        <v>270</v>
      </c>
      <c r="AU44" s="83"/>
      <c r="AV44" s="83">
        <v>0</v>
      </c>
      <c r="AW44" s="83">
        <v>14546</v>
      </c>
      <c r="AX44" s="83">
        <v>0</v>
      </c>
      <c r="AY44" s="83">
        <v>33040</v>
      </c>
      <c r="AZ44" s="83"/>
      <c r="BA44" s="83">
        <v>0</v>
      </c>
      <c r="BB44" s="83">
        <v>20</v>
      </c>
      <c r="BC44" s="83"/>
      <c r="BD44" s="83"/>
      <c r="BE44" s="83"/>
      <c r="BF44" s="83"/>
      <c r="BG44" s="83">
        <v>1016</v>
      </c>
      <c r="BH44" s="83"/>
      <c r="BI44" s="83">
        <v>825000</v>
      </c>
      <c r="BJ44" s="84">
        <f t="shared" si="4"/>
        <v>1770215.59</v>
      </c>
    </row>
    <row r="45" spans="1:62" ht="25.75" hidden="1" customHeight="1" x14ac:dyDescent="0.35">
      <c r="A45" s="83" t="s">
        <v>914</v>
      </c>
      <c r="B45" s="83">
        <v>0</v>
      </c>
      <c r="C45" s="83">
        <f>82+107</f>
        <v>189</v>
      </c>
      <c r="D45" s="83">
        <v>0</v>
      </c>
      <c r="E45" s="83">
        <v>1263</v>
      </c>
      <c r="F45" s="83">
        <v>45690</v>
      </c>
      <c r="G45" s="83">
        <v>200</v>
      </c>
      <c r="H45" s="83">
        <v>0</v>
      </c>
      <c r="I45" s="83">
        <v>0</v>
      </c>
      <c r="J45" s="83">
        <v>0</v>
      </c>
      <c r="K45" s="83">
        <v>0</v>
      </c>
      <c r="L45" s="83">
        <v>570</v>
      </c>
      <c r="M45" s="83">
        <v>1917</v>
      </c>
      <c r="N45" s="83">
        <v>179</v>
      </c>
      <c r="O45" s="83">
        <v>48355</v>
      </c>
      <c r="P45" s="83">
        <v>0</v>
      </c>
      <c r="Q45" s="83">
        <v>115873</v>
      </c>
      <c r="R45" s="83">
        <v>0</v>
      </c>
      <c r="S45" s="83">
        <v>4072</v>
      </c>
      <c r="T45" s="83">
        <v>0</v>
      </c>
      <c r="U45" s="83">
        <v>1292.8900000000001</v>
      </c>
      <c r="V45" s="83">
        <v>456</v>
      </c>
      <c r="W45" s="83">
        <v>12008</v>
      </c>
      <c r="X45" s="83">
        <v>6425</v>
      </c>
      <c r="Y45" s="83">
        <v>377683</v>
      </c>
      <c r="Z45" s="83">
        <v>1500</v>
      </c>
      <c r="AA45" s="83">
        <v>0</v>
      </c>
      <c r="AB45" s="83">
        <v>0</v>
      </c>
      <c r="AC45" s="83">
        <v>24789</v>
      </c>
      <c r="AD45" s="83">
        <v>0</v>
      </c>
      <c r="AE45" s="83">
        <v>197115</v>
      </c>
      <c r="AF45" s="83">
        <v>0</v>
      </c>
      <c r="AG45" s="83">
        <v>345047</v>
      </c>
      <c r="AH45" s="83">
        <v>391</v>
      </c>
      <c r="AI45" s="83">
        <v>1370.662</v>
      </c>
      <c r="AJ45" s="83">
        <v>0</v>
      </c>
      <c r="AK45" s="83">
        <v>6603</v>
      </c>
      <c r="AL45" s="83">
        <v>0</v>
      </c>
      <c r="AM45" s="83">
        <v>21563.330999999998</v>
      </c>
      <c r="AN45" s="83">
        <v>1334</v>
      </c>
      <c r="AO45" s="83">
        <v>0</v>
      </c>
      <c r="AP45" s="83">
        <v>0</v>
      </c>
      <c r="AQ45" s="83">
        <v>5846</v>
      </c>
      <c r="AR45" s="83">
        <v>280340</v>
      </c>
      <c r="AS45" s="83">
        <v>29845.54</v>
      </c>
      <c r="AT45" s="83">
        <v>1752.104</v>
      </c>
      <c r="AU45" s="83"/>
      <c r="AV45" s="83">
        <v>2500</v>
      </c>
      <c r="AW45" s="83">
        <v>447252</v>
      </c>
      <c r="AX45" s="83">
        <v>0</v>
      </c>
      <c r="AY45" s="83">
        <v>50</v>
      </c>
      <c r="AZ45" s="83"/>
      <c r="BA45" s="83">
        <v>1500</v>
      </c>
      <c r="BB45" s="83">
        <v>79</v>
      </c>
      <c r="BC45" s="83"/>
      <c r="BD45" s="83"/>
      <c r="BE45" s="83"/>
      <c r="BF45" s="83">
        <v>2785.0650000000001</v>
      </c>
      <c r="BG45" s="83">
        <v>38080</v>
      </c>
      <c r="BH45" s="83"/>
      <c r="BI45" s="83">
        <v>519147</v>
      </c>
      <c r="BJ45" s="84">
        <f t="shared" si="4"/>
        <v>2545062.5920000002</v>
      </c>
    </row>
    <row r="46" spans="1:62" ht="25.75" hidden="1" customHeight="1" x14ac:dyDescent="0.35">
      <c r="A46" s="83" t="s">
        <v>915</v>
      </c>
      <c r="B46" s="83"/>
      <c r="C46" s="83">
        <v>5219</v>
      </c>
      <c r="D46" s="83">
        <v>1119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>
        <v>35483</v>
      </c>
      <c r="P46" s="83"/>
      <c r="Q46" s="83">
        <v>706838</v>
      </c>
      <c r="R46" s="83"/>
      <c r="S46" s="83"/>
      <c r="T46" s="83"/>
      <c r="U46" s="83">
        <v>0</v>
      </c>
      <c r="V46" s="83"/>
      <c r="W46" s="83">
        <v>20924</v>
      </c>
      <c r="X46" s="83"/>
      <c r="Y46" s="83">
        <v>769667</v>
      </c>
      <c r="Z46" s="83"/>
      <c r="AA46" s="83"/>
      <c r="AB46" s="83">
        <v>162909</v>
      </c>
      <c r="AC46" s="83"/>
      <c r="AD46" s="83"/>
      <c r="AE46" s="83">
        <v>627865</v>
      </c>
      <c r="AF46" s="83"/>
      <c r="AG46" s="83">
        <v>1206568</v>
      </c>
      <c r="AH46" s="83">
        <v>2718</v>
      </c>
      <c r="AI46" s="83">
        <v>1073</v>
      </c>
      <c r="AJ46" s="83"/>
      <c r="AK46" s="83">
        <v>17537</v>
      </c>
      <c r="AL46" s="83">
        <v>62</v>
      </c>
      <c r="AM46" s="83">
        <v>103648</v>
      </c>
      <c r="AN46" s="83">
        <v>2006</v>
      </c>
      <c r="AO46" s="83"/>
      <c r="AP46" s="83">
        <v>87</v>
      </c>
      <c r="AQ46" s="83">
        <v>7914</v>
      </c>
      <c r="AR46" s="83">
        <v>441474</v>
      </c>
      <c r="AS46" s="83">
        <v>0</v>
      </c>
      <c r="AT46" s="83">
        <v>6859.4049999999997</v>
      </c>
      <c r="AU46" s="83"/>
      <c r="AV46" s="83">
        <v>500</v>
      </c>
      <c r="AW46" s="83">
        <v>223048</v>
      </c>
      <c r="AX46" s="83">
        <v>171</v>
      </c>
      <c r="AY46" s="83">
        <v>580.77700000000004</v>
      </c>
      <c r="AZ46" s="83"/>
      <c r="BA46" s="83">
        <v>100</v>
      </c>
      <c r="BB46" s="83">
        <v>1418</v>
      </c>
      <c r="BC46" s="83"/>
      <c r="BD46" s="83">
        <v>11844</v>
      </c>
      <c r="BE46" s="83"/>
      <c r="BF46" s="83">
        <v>1115</v>
      </c>
      <c r="BG46" s="83">
        <v>19783</v>
      </c>
      <c r="BH46" s="83"/>
      <c r="BI46" s="83">
        <v>354315</v>
      </c>
      <c r="BJ46" s="84">
        <f t="shared" si="4"/>
        <v>4732845.1819999991</v>
      </c>
    </row>
    <row r="47" spans="1:62" ht="25.75" hidden="1" customHeight="1" x14ac:dyDescent="0.35">
      <c r="A47" s="83" t="s">
        <v>916</v>
      </c>
      <c r="B47" s="83">
        <v>293</v>
      </c>
      <c r="C47" s="83">
        <v>0</v>
      </c>
      <c r="D47" s="83">
        <v>5816</v>
      </c>
      <c r="E47" s="83">
        <v>95916</v>
      </c>
      <c r="F47" s="83">
        <v>0</v>
      </c>
      <c r="G47" s="83">
        <v>15000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526</v>
      </c>
      <c r="N47" s="83">
        <v>0</v>
      </c>
      <c r="O47" s="83">
        <v>0</v>
      </c>
      <c r="P47" s="83">
        <v>0</v>
      </c>
      <c r="Q47" s="83">
        <v>0</v>
      </c>
      <c r="R47" s="83">
        <v>0</v>
      </c>
      <c r="S47" s="83">
        <v>0</v>
      </c>
      <c r="T47" s="83">
        <v>0</v>
      </c>
      <c r="U47" s="83">
        <v>0</v>
      </c>
      <c r="V47" s="83">
        <v>0</v>
      </c>
      <c r="W47" s="83">
        <v>0</v>
      </c>
      <c r="X47" s="83">
        <v>0</v>
      </c>
      <c r="Y47" s="83">
        <v>199999</v>
      </c>
      <c r="Z47" s="83">
        <v>0</v>
      </c>
      <c r="AA47" s="83">
        <v>0</v>
      </c>
      <c r="AB47" s="83">
        <v>0</v>
      </c>
      <c r="AC47" s="83">
        <v>1385</v>
      </c>
      <c r="AD47" s="83">
        <v>0</v>
      </c>
      <c r="AE47" s="83">
        <v>2469931</v>
      </c>
      <c r="AF47" s="83">
        <v>0</v>
      </c>
      <c r="AG47" s="83">
        <v>0</v>
      </c>
      <c r="AH47" s="83">
        <v>0</v>
      </c>
      <c r="AI47" s="83">
        <v>0</v>
      </c>
      <c r="AJ47" s="83">
        <v>0</v>
      </c>
      <c r="AK47" s="83">
        <v>0</v>
      </c>
      <c r="AL47" s="83">
        <v>327</v>
      </c>
      <c r="AM47" s="83">
        <v>194058.894</v>
      </c>
      <c r="AN47" s="83">
        <v>0</v>
      </c>
      <c r="AO47" s="83">
        <v>0</v>
      </c>
      <c r="AP47" s="83">
        <v>0</v>
      </c>
      <c r="AQ47" s="83">
        <v>0</v>
      </c>
      <c r="AR47" s="83">
        <v>0</v>
      </c>
      <c r="AS47" s="83">
        <v>66406.75</v>
      </c>
      <c r="AT47" s="83">
        <v>90.5</v>
      </c>
      <c r="AU47" s="83"/>
      <c r="AV47" s="83">
        <v>0</v>
      </c>
      <c r="AW47" s="83">
        <v>0</v>
      </c>
      <c r="AX47" s="83">
        <v>0</v>
      </c>
      <c r="AY47" s="83">
        <v>0</v>
      </c>
      <c r="AZ47" s="83"/>
      <c r="BA47" s="83">
        <v>0</v>
      </c>
      <c r="BB47" s="83">
        <v>0</v>
      </c>
      <c r="BC47" s="83"/>
      <c r="BD47" s="83"/>
      <c r="BE47" s="83"/>
      <c r="BF47" s="83"/>
      <c r="BG47" s="83">
        <v>287541</v>
      </c>
      <c r="BH47" s="83"/>
      <c r="BI47" s="83"/>
      <c r="BJ47" s="84">
        <f t="shared" si="4"/>
        <v>3337290.1439999999</v>
      </c>
    </row>
    <row r="48" spans="1:62" ht="25.75" hidden="1" customHeight="1" x14ac:dyDescent="0.35">
      <c r="A48" s="83" t="s">
        <v>917</v>
      </c>
      <c r="B48" s="83">
        <v>0</v>
      </c>
      <c r="C48" s="83">
        <f>273440+8131</f>
        <v>281571</v>
      </c>
      <c r="D48" s="83">
        <v>0</v>
      </c>
      <c r="E48" s="83">
        <v>0</v>
      </c>
      <c r="F48" s="83">
        <v>403127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3">
        <v>0</v>
      </c>
      <c r="M48" s="83">
        <v>23000</v>
      </c>
      <c r="N48" s="83">
        <v>0</v>
      </c>
      <c r="O48" s="83">
        <v>632597</v>
      </c>
      <c r="P48" s="83">
        <v>0</v>
      </c>
      <c r="Q48" s="83">
        <v>1056183</v>
      </c>
      <c r="R48" s="83">
        <v>14500</v>
      </c>
      <c r="S48" s="83">
        <v>119546</v>
      </c>
      <c r="T48" s="83">
        <v>0</v>
      </c>
      <c r="U48" s="83">
        <v>2797.6460000000002</v>
      </c>
      <c r="V48" s="83">
        <v>716</v>
      </c>
      <c r="W48" s="83">
        <v>4874886</v>
      </c>
      <c r="X48" s="83">
        <v>0</v>
      </c>
      <c r="Y48" s="83">
        <v>4827391</v>
      </c>
      <c r="Z48" s="83">
        <v>0</v>
      </c>
      <c r="AA48" s="83">
        <v>0</v>
      </c>
      <c r="AB48" s="83">
        <v>0</v>
      </c>
      <c r="AC48" s="83">
        <v>163303</v>
      </c>
      <c r="AD48" s="83">
        <v>0</v>
      </c>
      <c r="AE48" s="83">
        <v>361558</v>
      </c>
      <c r="AF48" s="83">
        <v>0</v>
      </c>
      <c r="AG48" s="83">
        <v>2511802</v>
      </c>
      <c r="AH48" s="83">
        <v>25695</v>
      </c>
      <c r="AI48" s="83">
        <v>35591.957999999999</v>
      </c>
      <c r="AJ48" s="83">
        <v>0</v>
      </c>
      <c r="AK48" s="83">
        <v>147213</v>
      </c>
      <c r="AL48" s="83">
        <v>0</v>
      </c>
      <c r="AM48" s="83">
        <v>198896.033</v>
      </c>
      <c r="AN48" s="83">
        <v>8146</v>
      </c>
      <c r="AO48" s="83">
        <v>0</v>
      </c>
      <c r="AP48" s="83">
        <v>0</v>
      </c>
      <c r="AQ48" s="83">
        <v>29200</v>
      </c>
      <c r="AR48" s="83">
        <v>685318</v>
      </c>
      <c r="AS48" s="83">
        <v>87826.21</v>
      </c>
      <c r="AT48" s="83">
        <v>4009</v>
      </c>
      <c r="AU48" s="83"/>
      <c r="AV48" s="83">
        <v>750</v>
      </c>
      <c r="AW48" s="83">
        <v>10946146</v>
      </c>
      <c r="AX48" s="83">
        <v>35002</v>
      </c>
      <c r="AY48" s="83">
        <v>15000</v>
      </c>
      <c r="AZ48" s="83"/>
      <c r="BA48" s="83">
        <v>750</v>
      </c>
      <c r="BB48" s="83">
        <v>7301</v>
      </c>
      <c r="BC48" s="83"/>
      <c r="BD48" s="83">
        <v>9400</v>
      </c>
      <c r="BE48" s="83"/>
      <c r="BF48" s="83"/>
      <c r="BG48" s="83">
        <v>42948</v>
      </c>
      <c r="BH48" s="83"/>
      <c r="BI48" s="83">
        <v>1498211</v>
      </c>
      <c r="BJ48" s="84">
        <f t="shared" si="4"/>
        <v>29050380.847000003</v>
      </c>
    </row>
    <row r="49" spans="1:62" ht="25.75" hidden="1" customHeight="1" x14ac:dyDescent="0.35">
      <c r="A49" s="83" t="s">
        <v>918</v>
      </c>
      <c r="B49" s="83">
        <v>0</v>
      </c>
      <c r="C49" s="83">
        <v>120</v>
      </c>
      <c r="D49" s="83">
        <v>0</v>
      </c>
      <c r="E49" s="83">
        <v>0</v>
      </c>
      <c r="F49" s="83">
        <v>3350</v>
      </c>
      <c r="G49" s="83">
        <v>0</v>
      </c>
      <c r="H49" s="83">
        <v>0</v>
      </c>
      <c r="I49" s="83">
        <v>0</v>
      </c>
      <c r="J49" s="83">
        <v>42367</v>
      </c>
      <c r="K49" s="83">
        <v>0</v>
      </c>
      <c r="L49" s="83">
        <v>0</v>
      </c>
      <c r="M49" s="83">
        <v>0</v>
      </c>
      <c r="N49" s="83">
        <v>0</v>
      </c>
      <c r="O49" s="83">
        <v>2526</v>
      </c>
      <c r="P49" s="83">
        <v>0</v>
      </c>
      <c r="Q49" s="83">
        <v>22461</v>
      </c>
      <c r="R49" s="83">
        <v>0</v>
      </c>
      <c r="S49" s="83">
        <v>0</v>
      </c>
      <c r="T49" s="83">
        <v>0</v>
      </c>
      <c r="U49" s="83">
        <v>0</v>
      </c>
      <c r="V49" s="83">
        <v>0</v>
      </c>
      <c r="W49" s="83">
        <v>1200</v>
      </c>
      <c r="X49" s="83">
        <v>0</v>
      </c>
      <c r="Y49" s="83">
        <v>16656</v>
      </c>
      <c r="Z49" s="83">
        <v>0</v>
      </c>
      <c r="AA49" s="83">
        <v>0</v>
      </c>
      <c r="AB49" s="83">
        <v>0</v>
      </c>
      <c r="AC49" s="83">
        <v>0</v>
      </c>
      <c r="AD49" s="83">
        <v>0</v>
      </c>
      <c r="AE49" s="83">
        <v>6231</v>
      </c>
      <c r="AF49" s="83">
        <v>0</v>
      </c>
      <c r="AG49" s="83">
        <v>129024</v>
      </c>
      <c r="AH49" s="83">
        <v>0</v>
      </c>
      <c r="AI49" s="83">
        <v>0</v>
      </c>
      <c r="AJ49" s="83">
        <v>0</v>
      </c>
      <c r="AK49" s="83">
        <v>0</v>
      </c>
      <c r="AL49" s="83">
        <v>0</v>
      </c>
      <c r="AM49" s="83">
        <v>0</v>
      </c>
      <c r="AN49" s="83">
        <v>0</v>
      </c>
      <c r="AO49" s="83">
        <v>0</v>
      </c>
      <c r="AP49" s="83">
        <v>0</v>
      </c>
      <c r="AQ49" s="83">
        <v>0</v>
      </c>
      <c r="AR49" s="83">
        <v>84021</v>
      </c>
      <c r="AS49" s="83">
        <v>6818.73</v>
      </c>
      <c r="AT49" s="83">
        <v>300</v>
      </c>
      <c r="AU49" s="83"/>
      <c r="AV49" s="83">
        <v>0</v>
      </c>
      <c r="AW49" s="83">
        <v>71894</v>
      </c>
      <c r="AX49" s="83">
        <v>0</v>
      </c>
      <c r="AY49" s="83">
        <v>0</v>
      </c>
      <c r="AZ49" s="83"/>
      <c r="BA49" s="83">
        <v>0</v>
      </c>
      <c r="BB49" s="83">
        <v>12351</v>
      </c>
      <c r="BC49" s="83"/>
      <c r="BD49" s="83"/>
      <c r="BE49" s="83"/>
      <c r="BF49" s="83"/>
      <c r="BG49" s="83"/>
      <c r="BH49" s="83"/>
      <c r="BI49" s="83">
        <v>3687</v>
      </c>
      <c r="BJ49" s="84">
        <f t="shared" si="4"/>
        <v>403006.73</v>
      </c>
    </row>
    <row r="50" spans="1:62" ht="25.75" hidden="1" customHeight="1" x14ac:dyDescent="0.35">
      <c r="A50" s="83" t="s">
        <v>919</v>
      </c>
      <c r="B50" s="83">
        <v>0</v>
      </c>
      <c r="C50" s="83">
        <v>0</v>
      </c>
      <c r="D50" s="83">
        <v>0</v>
      </c>
      <c r="E50" s="83">
        <v>0</v>
      </c>
      <c r="F50" s="83">
        <v>71761</v>
      </c>
      <c r="G50" s="83">
        <v>0</v>
      </c>
      <c r="H50" s="83">
        <v>0</v>
      </c>
      <c r="I50" s="83">
        <v>0</v>
      </c>
      <c r="J50" s="83">
        <v>0</v>
      </c>
      <c r="K50" s="83">
        <v>1905</v>
      </c>
      <c r="L50" s="83">
        <v>0</v>
      </c>
      <c r="M50" s="83">
        <v>0</v>
      </c>
      <c r="N50" s="83">
        <v>48025</v>
      </c>
      <c r="O50" s="83">
        <v>12305</v>
      </c>
      <c r="P50" s="83">
        <v>0</v>
      </c>
      <c r="Q50" s="83">
        <v>0</v>
      </c>
      <c r="R50" s="83">
        <v>0</v>
      </c>
      <c r="S50" s="83">
        <v>74</v>
      </c>
      <c r="T50" s="83">
        <v>0</v>
      </c>
      <c r="U50" s="83">
        <v>0</v>
      </c>
      <c r="V50" s="83">
        <v>0</v>
      </c>
      <c r="W50" s="83">
        <v>8512</v>
      </c>
      <c r="X50" s="83">
        <v>0</v>
      </c>
      <c r="Y50" s="83">
        <v>0</v>
      </c>
      <c r="Z50" s="83">
        <v>0</v>
      </c>
      <c r="AA50" s="83">
        <v>0</v>
      </c>
      <c r="AB50" s="83">
        <v>0</v>
      </c>
      <c r="AC50" s="83">
        <v>0</v>
      </c>
      <c r="AD50" s="83">
        <v>0</v>
      </c>
      <c r="AE50" s="83">
        <v>97690</v>
      </c>
      <c r="AF50" s="83">
        <v>0</v>
      </c>
      <c r="AG50" s="83">
        <v>270676</v>
      </c>
      <c r="AH50" s="83">
        <v>124474</v>
      </c>
      <c r="AI50" s="83">
        <v>0</v>
      </c>
      <c r="AJ50" s="83">
        <v>0</v>
      </c>
      <c r="AK50" s="83">
        <v>110500</v>
      </c>
      <c r="AL50" s="83">
        <v>0</v>
      </c>
      <c r="AM50" s="83">
        <v>0</v>
      </c>
      <c r="AN50" s="83">
        <v>0</v>
      </c>
      <c r="AO50" s="83">
        <v>0</v>
      </c>
      <c r="AP50" s="83">
        <v>29833</v>
      </c>
      <c r="AQ50" s="83">
        <v>0</v>
      </c>
      <c r="AR50" s="83">
        <v>313306</v>
      </c>
      <c r="AS50" s="83">
        <v>2901.15</v>
      </c>
      <c r="AT50" s="83">
        <v>0</v>
      </c>
      <c r="AU50" s="83"/>
      <c r="AV50" s="83">
        <v>0</v>
      </c>
      <c r="AW50" s="83">
        <v>9397521</v>
      </c>
      <c r="AX50" s="83">
        <v>0</v>
      </c>
      <c r="AY50" s="83">
        <v>0</v>
      </c>
      <c r="AZ50" s="83"/>
      <c r="BA50" s="83">
        <v>0</v>
      </c>
      <c r="BB50" s="83"/>
      <c r="BC50" s="83"/>
      <c r="BD50" s="83">
        <v>210000</v>
      </c>
      <c r="BE50" s="83"/>
      <c r="BF50" s="83">
        <v>3080.5</v>
      </c>
      <c r="BG50" s="83">
        <v>95</v>
      </c>
      <c r="BH50" s="83"/>
      <c r="BI50" s="83"/>
      <c r="BJ50" s="84">
        <f t="shared" si="4"/>
        <v>10702658.65</v>
      </c>
    </row>
    <row r="51" spans="1:62" ht="25.75" hidden="1" customHeight="1" x14ac:dyDescent="0.35">
      <c r="A51" s="83" t="s">
        <v>920</v>
      </c>
      <c r="B51" s="83">
        <v>0</v>
      </c>
      <c r="C51" s="83">
        <f>314+1206</f>
        <v>1520</v>
      </c>
      <c r="D51" s="83">
        <v>0</v>
      </c>
      <c r="E51" s="83">
        <v>1171</v>
      </c>
      <c r="F51" s="83">
        <v>0</v>
      </c>
      <c r="G51" s="83">
        <v>2000</v>
      </c>
      <c r="H51" s="83">
        <v>7150</v>
      </c>
      <c r="I51" s="83">
        <v>12491</v>
      </c>
      <c r="J51" s="83">
        <v>0</v>
      </c>
      <c r="K51" s="83">
        <v>67875</v>
      </c>
      <c r="L51" s="83">
        <v>0</v>
      </c>
      <c r="M51" s="83">
        <v>30093</v>
      </c>
      <c r="N51" s="83">
        <v>26346</v>
      </c>
      <c r="O51" s="83">
        <v>0</v>
      </c>
      <c r="P51" s="83">
        <v>0</v>
      </c>
      <c r="Q51" s="83">
        <v>0</v>
      </c>
      <c r="R51" s="83">
        <v>111987</v>
      </c>
      <c r="S51" s="83">
        <v>0</v>
      </c>
      <c r="T51" s="83">
        <v>0</v>
      </c>
      <c r="U51" s="83">
        <v>62810.601000000002</v>
      </c>
      <c r="V51" s="83">
        <v>0</v>
      </c>
      <c r="W51" s="83">
        <v>232</v>
      </c>
      <c r="X51" s="83">
        <v>0</v>
      </c>
      <c r="Y51" s="83">
        <v>0</v>
      </c>
      <c r="Z51" s="83">
        <v>0</v>
      </c>
      <c r="AA51" s="83">
        <v>0</v>
      </c>
      <c r="AB51" s="83">
        <v>0</v>
      </c>
      <c r="AC51" s="83">
        <v>11543</v>
      </c>
      <c r="AD51" s="83">
        <v>0</v>
      </c>
      <c r="AE51" s="83">
        <v>322255</v>
      </c>
      <c r="AF51" s="83">
        <v>0</v>
      </c>
      <c r="AG51" s="83">
        <v>11147834</v>
      </c>
      <c r="AH51" s="83">
        <v>143854</v>
      </c>
      <c r="AI51" s="83">
        <v>0</v>
      </c>
      <c r="AJ51" s="83">
        <v>9692.4699999999993</v>
      </c>
      <c r="AK51" s="83">
        <v>0</v>
      </c>
      <c r="AL51" s="83">
        <v>0</v>
      </c>
      <c r="AM51" s="83">
        <v>288899.04300000001</v>
      </c>
      <c r="AN51" s="83">
        <v>0</v>
      </c>
      <c r="AO51" s="83">
        <v>0</v>
      </c>
      <c r="AP51" s="83">
        <v>53855</v>
      </c>
      <c r="AQ51" s="83">
        <v>7604</v>
      </c>
      <c r="AR51" s="83">
        <v>0</v>
      </c>
      <c r="AS51" s="83">
        <v>240644.9</v>
      </c>
      <c r="AT51" s="83">
        <v>0</v>
      </c>
      <c r="AU51" s="83"/>
      <c r="AV51" s="83">
        <v>6000</v>
      </c>
      <c r="AW51" s="83">
        <v>0</v>
      </c>
      <c r="AX51" s="83">
        <v>30</v>
      </c>
      <c r="AY51" s="83">
        <v>0</v>
      </c>
      <c r="AZ51" s="83"/>
      <c r="BA51" s="83">
        <v>0</v>
      </c>
      <c r="BB51" s="83">
        <v>6235</v>
      </c>
      <c r="BC51" s="83"/>
      <c r="BD51" s="83"/>
      <c r="BE51" s="83"/>
      <c r="BF51" s="83"/>
      <c r="BG51" s="83"/>
      <c r="BH51" s="83"/>
      <c r="BI51" s="83">
        <v>55509.417999999998</v>
      </c>
      <c r="BJ51" s="84">
        <f t="shared" si="4"/>
        <v>12617631.432</v>
      </c>
    </row>
    <row r="52" spans="1:62" ht="25.75" hidden="1" customHeight="1" x14ac:dyDescent="0.35">
      <c r="A52" s="83" t="s">
        <v>921</v>
      </c>
      <c r="B52" s="83">
        <v>0</v>
      </c>
      <c r="C52" s="83">
        <f>159+6098</f>
        <v>6257</v>
      </c>
      <c r="D52" s="83">
        <v>0</v>
      </c>
      <c r="E52" s="83">
        <v>6720</v>
      </c>
      <c r="F52" s="83">
        <v>31363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3">
        <v>0</v>
      </c>
      <c r="O52" s="83">
        <v>139522</v>
      </c>
      <c r="P52" s="83">
        <v>0</v>
      </c>
      <c r="Q52" s="83">
        <v>14748</v>
      </c>
      <c r="R52" s="83">
        <v>3226</v>
      </c>
      <c r="S52" s="83">
        <v>0</v>
      </c>
      <c r="T52" s="83">
        <v>0</v>
      </c>
      <c r="U52" s="83">
        <v>13827.003000000001</v>
      </c>
      <c r="V52" s="83">
        <v>21780</v>
      </c>
      <c r="W52" s="83">
        <v>55554</v>
      </c>
      <c r="X52" s="83">
        <v>0</v>
      </c>
      <c r="Y52" s="83">
        <v>582348</v>
      </c>
      <c r="Z52" s="83">
        <v>0</v>
      </c>
      <c r="AA52" s="83">
        <v>0</v>
      </c>
      <c r="AB52" s="83">
        <v>0</v>
      </c>
      <c r="AC52" s="83">
        <v>0</v>
      </c>
      <c r="AD52" s="83">
        <v>0</v>
      </c>
      <c r="AE52" s="83">
        <v>100963</v>
      </c>
      <c r="AF52" s="83">
        <v>0</v>
      </c>
      <c r="AG52" s="83">
        <v>100588</v>
      </c>
      <c r="AH52" s="83">
        <v>0</v>
      </c>
      <c r="AI52" s="83">
        <v>5696.0940000000001</v>
      </c>
      <c r="AJ52" s="83">
        <v>0</v>
      </c>
      <c r="AK52" s="83">
        <v>0</v>
      </c>
      <c r="AL52" s="83">
        <v>0</v>
      </c>
      <c r="AM52" s="83">
        <v>367711.43599999999</v>
      </c>
      <c r="AN52" s="83">
        <v>0</v>
      </c>
      <c r="AO52" s="83">
        <v>0</v>
      </c>
      <c r="AP52" s="83">
        <v>0</v>
      </c>
      <c r="AQ52" s="83">
        <v>183380</v>
      </c>
      <c r="AR52" s="83">
        <f>49462+68985</f>
        <v>118447</v>
      </c>
      <c r="AS52" s="83">
        <v>523130.22</v>
      </c>
      <c r="AT52" s="83">
        <v>200</v>
      </c>
      <c r="AU52" s="83"/>
      <c r="AV52" s="83">
        <v>0</v>
      </c>
      <c r="AW52" s="83">
        <f>10857+114023</f>
        <v>124880</v>
      </c>
      <c r="AX52" s="83">
        <v>2665</v>
      </c>
      <c r="AY52" s="83">
        <v>0</v>
      </c>
      <c r="AZ52" s="83"/>
      <c r="BA52" s="83">
        <v>0</v>
      </c>
      <c r="BB52" s="83">
        <v>81382</v>
      </c>
      <c r="BC52" s="83"/>
      <c r="BD52" s="83"/>
      <c r="BE52" s="83"/>
      <c r="BF52" s="83"/>
      <c r="BG52" s="83">
        <v>360893</v>
      </c>
      <c r="BH52" s="83"/>
      <c r="BI52" s="83">
        <v>33749.461000000003</v>
      </c>
      <c r="BJ52" s="84">
        <f t="shared" si="4"/>
        <v>2879030.2140000002</v>
      </c>
    </row>
    <row r="53" spans="1:62" ht="25.75" hidden="1" customHeight="1" x14ac:dyDescent="0.35">
      <c r="A53" s="84" t="s">
        <v>922</v>
      </c>
      <c r="B53" s="84">
        <f t="shared" ref="B53:BI53" si="7">SUM(B55:B62)</f>
        <v>11808</v>
      </c>
      <c r="C53" s="84">
        <f t="shared" si="7"/>
        <v>48000</v>
      </c>
      <c r="D53" s="84">
        <f t="shared" si="7"/>
        <v>141</v>
      </c>
      <c r="E53" s="84">
        <f t="shared" si="7"/>
        <v>137239</v>
      </c>
      <c r="F53" s="84">
        <f t="shared" si="7"/>
        <v>15880</v>
      </c>
      <c r="G53" s="84">
        <f t="shared" si="7"/>
        <v>5335</v>
      </c>
      <c r="H53" s="84">
        <f t="shared" si="7"/>
        <v>7728</v>
      </c>
      <c r="I53" s="84">
        <f t="shared" si="7"/>
        <v>0</v>
      </c>
      <c r="J53" s="84">
        <f t="shared" si="7"/>
        <v>0</v>
      </c>
      <c r="K53" s="84">
        <f t="shared" si="7"/>
        <v>0</v>
      </c>
      <c r="L53" s="84">
        <f t="shared" si="7"/>
        <v>6233</v>
      </c>
      <c r="M53" s="84">
        <f t="shared" si="7"/>
        <v>16603</v>
      </c>
      <c r="N53" s="84">
        <f t="shared" si="7"/>
        <v>0</v>
      </c>
      <c r="O53" s="84">
        <f t="shared" si="7"/>
        <v>229092</v>
      </c>
      <c r="P53" s="84">
        <f t="shared" si="7"/>
        <v>0</v>
      </c>
      <c r="Q53" s="84">
        <f t="shared" si="7"/>
        <v>881686</v>
      </c>
      <c r="R53" s="84">
        <f t="shared" si="7"/>
        <v>30839</v>
      </c>
      <c r="S53" s="84">
        <f t="shared" si="7"/>
        <v>36542</v>
      </c>
      <c r="T53" s="84">
        <f t="shared" si="7"/>
        <v>494564</v>
      </c>
      <c r="U53" s="84">
        <f t="shared" si="7"/>
        <v>28096.472999999998</v>
      </c>
      <c r="V53" s="84">
        <f t="shared" si="7"/>
        <v>32262</v>
      </c>
      <c r="W53" s="84">
        <f t="shared" si="7"/>
        <v>131197</v>
      </c>
      <c r="X53" s="84">
        <f t="shared" si="7"/>
        <v>57274</v>
      </c>
      <c r="Y53" s="84">
        <f t="shared" si="7"/>
        <v>0</v>
      </c>
      <c r="Z53" s="84">
        <f t="shared" si="7"/>
        <v>20602</v>
      </c>
      <c r="AA53" s="84">
        <f t="shared" si="7"/>
        <v>11200</v>
      </c>
      <c r="AB53" s="84">
        <f t="shared" si="7"/>
        <v>38529.987000000001</v>
      </c>
      <c r="AC53" s="84">
        <f t="shared" si="7"/>
        <v>0</v>
      </c>
      <c r="AD53" s="84">
        <f t="shared" si="7"/>
        <v>0</v>
      </c>
      <c r="AE53" s="84">
        <f t="shared" si="7"/>
        <v>9377924</v>
      </c>
      <c r="AF53" s="84">
        <f>SUM(AF55:AF62)</f>
        <v>73450</v>
      </c>
      <c r="AG53" s="84">
        <f t="shared" si="7"/>
        <v>14114212</v>
      </c>
      <c r="AH53" s="84">
        <f t="shared" si="7"/>
        <v>0</v>
      </c>
      <c r="AI53" s="84">
        <f t="shared" si="7"/>
        <v>25767.01</v>
      </c>
      <c r="AJ53" s="84">
        <f t="shared" si="7"/>
        <v>23211.612000000001</v>
      </c>
      <c r="AK53" s="84">
        <f t="shared" si="7"/>
        <v>7948</v>
      </c>
      <c r="AL53" s="84">
        <f t="shared" si="7"/>
        <v>4146</v>
      </c>
      <c r="AM53" s="84">
        <f t="shared" si="7"/>
        <v>400267.55200000003</v>
      </c>
      <c r="AN53" s="84">
        <f t="shared" si="7"/>
        <v>4028</v>
      </c>
      <c r="AO53" s="84">
        <f>SUM(AO55:AO62)</f>
        <v>124830</v>
      </c>
      <c r="AP53" s="84">
        <f t="shared" si="7"/>
        <v>0</v>
      </c>
      <c r="AQ53" s="84">
        <f t="shared" si="7"/>
        <v>9566</v>
      </c>
      <c r="AR53" s="84">
        <f t="shared" si="7"/>
        <v>1479942</v>
      </c>
      <c r="AS53" s="84">
        <f t="shared" si="7"/>
        <v>96827.63</v>
      </c>
      <c r="AT53" s="84">
        <f t="shared" si="7"/>
        <v>548946.72499999998</v>
      </c>
      <c r="AU53" s="84">
        <f t="shared" si="7"/>
        <v>0</v>
      </c>
      <c r="AV53" s="84">
        <f t="shared" si="7"/>
        <v>3125</v>
      </c>
      <c r="AW53" s="84">
        <f t="shared" si="7"/>
        <v>368311</v>
      </c>
      <c r="AX53" s="84">
        <f>SUM(AX55:AX62)</f>
        <v>7</v>
      </c>
      <c r="AY53" s="84">
        <f t="shared" si="7"/>
        <v>14768</v>
      </c>
      <c r="AZ53" s="84">
        <f t="shared" si="7"/>
        <v>0</v>
      </c>
      <c r="BA53" s="84">
        <f t="shared" si="7"/>
        <v>7340</v>
      </c>
      <c r="BB53" s="84">
        <f t="shared" si="7"/>
        <v>45981</v>
      </c>
      <c r="BC53" s="84">
        <f t="shared" si="7"/>
        <v>4558</v>
      </c>
      <c r="BD53" s="84">
        <f t="shared" si="7"/>
        <v>72772</v>
      </c>
      <c r="BE53" s="84">
        <f t="shared" si="7"/>
        <v>0</v>
      </c>
      <c r="BF53" s="84">
        <f t="shared" si="7"/>
        <v>3579.95</v>
      </c>
      <c r="BG53" s="84">
        <f t="shared" si="7"/>
        <v>920848</v>
      </c>
      <c r="BH53" s="84">
        <f t="shared" si="7"/>
        <v>0</v>
      </c>
      <c r="BI53" s="84">
        <f t="shared" si="7"/>
        <v>22135301.804000001</v>
      </c>
      <c r="BJ53" s="84">
        <f t="shared" si="4"/>
        <v>52108509.743000001</v>
      </c>
    </row>
    <row r="54" spans="1:62" ht="25.75" hidden="1" customHeight="1" x14ac:dyDescent="0.35">
      <c r="A54" s="83" t="s">
        <v>923</v>
      </c>
      <c r="B54" s="83"/>
      <c r="C54" s="83">
        <v>48000</v>
      </c>
      <c r="D54" s="83">
        <f>SUM(D55:D62)</f>
        <v>141</v>
      </c>
      <c r="E54" s="83">
        <f>SUM(E55:E62)</f>
        <v>137239</v>
      </c>
      <c r="F54" s="83">
        <f>SUM(F55:F62)</f>
        <v>15880</v>
      </c>
      <c r="G54" s="83">
        <v>5335</v>
      </c>
      <c r="H54" s="83">
        <f>SUM(H55:H62)</f>
        <v>7728</v>
      </c>
      <c r="I54" s="83">
        <v>0</v>
      </c>
      <c r="J54" s="83">
        <v>0</v>
      </c>
      <c r="K54" s="83">
        <v>0</v>
      </c>
      <c r="L54" s="83">
        <v>6233</v>
      </c>
      <c r="M54" s="83">
        <v>16603</v>
      </c>
      <c r="N54" s="83">
        <v>0</v>
      </c>
      <c r="O54" s="83">
        <v>229092</v>
      </c>
      <c r="P54" s="83">
        <v>0</v>
      </c>
      <c r="Q54" s="83">
        <v>881686</v>
      </c>
      <c r="R54" s="83">
        <v>30839</v>
      </c>
      <c r="S54" s="83">
        <f>SUM(S55:S62)</f>
        <v>36542</v>
      </c>
      <c r="T54" s="83">
        <f>SUM(T55:T62)</f>
        <v>494564</v>
      </c>
      <c r="U54" s="83">
        <f>SUM(U55:U62)</f>
        <v>28096.472999999998</v>
      </c>
      <c r="V54" s="83">
        <v>32262</v>
      </c>
      <c r="W54" s="83">
        <v>131197</v>
      </c>
      <c r="X54" s="83">
        <f>SUM(X55:X62)</f>
        <v>57274</v>
      </c>
      <c r="Y54" s="83">
        <v>0</v>
      </c>
      <c r="Z54" s="83">
        <v>20602</v>
      </c>
      <c r="AA54" s="83">
        <v>0</v>
      </c>
      <c r="AB54" s="83">
        <v>38529.987000000001</v>
      </c>
      <c r="AC54" s="83">
        <v>0</v>
      </c>
      <c r="AD54" s="83">
        <v>0</v>
      </c>
      <c r="AE54" s="83">
        <v>9377924</v>
      </c>
      <c r="AF54" s="83"/>
      <c r="AG54" s="83">
        <v>14114212</v>
      </c>
      <c r="AH54" s="83">
        <v>0</v>
      </c>
      <c r="AI54" s="83">
        <v>28913</v>
      </c>
      <c r="AJ54" s="83">
        <f>SUM(AJ55:AJ62)</f>
        <v>23211.612000000001</v>
      </c>
      <c r="AK54" s="83">
        <v>7948</v>
      </c>
      <c r="AL54" s="83">
        <f>SUM(AL55:AL62)</f>
        <v>4146</v>
      </c>
      <c r="AM54" s="83">
        <v>400267.55200000003</v>
      </c>
      <c r="AN54" s="83">
        <f>SUM(AN55:AN62)</f>
        <v>4028</v>
      </c>
      <c r="AO54" s="83"/>
      <c r="AP54" s="83">
        <v>0</v>
      </c>
      <c r="AQ54" s="83">
        <v>9566</v>
      </c>
      <c r="AR54" s="83">
        <f>AR55+AR56+AR57+AR58+AR59+AR60+AR61+AR62</f>
        <v>1479942</v>
      </c>
      <c r="AS54" s="83">
        <v>96827.63</v>
      </c>
      <c r="AT54" s="83">
        <f>SUM(AT55:AT62)</f>
        <v>548946.72499999998</v>
      </c>
      <c r="AU54" s="83"/>
      <c r="AV54" s="83">
        <v>3125</v>
      </c>
      <c r="AW54" s="83">
        <f>SUM(AW55:AW62)</f>
        <v>368311</v>
      </c>
      <c r="AX54" s="83"/>
      <c r="AY54" s="83">
        <f>SUM(AY55:AY62)</f>
        <v>14768</v>
      </c>
      <c r="AZ54" s="83"/>
      <c r="BA54" s="83">
        <f>SUM(BA55:BA62)</f>
        <v>7340</v>
      </c>
      <c r="BB54" s="83">
        <f>SUM(BB55:BB62)</f>
        <v>45981</v>
      </c>
      <c r="BC54" s="83">
        <f>SUM(BC55:BC62)</f>
        <v>4558</v>
      </c>
      <c r="BD54" s="83">
        <f>SUM(BD55:BD62)</f>
        <v>72772</v>
      </c>
      <c r="BE54" s="83"/>
      <c r="BF54" s="83">
        <f>SUM(BF55:BF62)</f>
        <v>3579.95</v>
      </c>
      <c r="BG54" s="83">
        <v>920848</v>
      </c>
      <c r="BH54" s="83"/>
      <c r="BI54" s="83">
        <v>22135301.804000001</v>
      </c>
      <c r="BJ54" s="84">
        <f t="shared" si="4"/>
        <v>51890360.733000003</v>
      </c>
    </row>
    <row r="55" spans="1:62" ht="25.75" hidden="1" customHeight="1" x14ac:dyDescent="0.35">
      <c r="A55" s="83" t="s">
        <v>924</v>
      </c>
      <c r="B55" s="83">
        <v>11808</v>
      </c>
      <c r="C55" s="83">
        <v>0</v>
      </c>
      <c r="D55" s="83">
        <v>0</v>
      </c>
      <c r="E55" s="83">
        <v>21197</v>
      </c>
      <c r="F55" s="83">
        <v>14402</v>
      </c>
      <c r="G55" s="83">
        <v>0</v>
      </c>
      <c r="H55" s="83">
        <v>0</v>
      </c>
      <c r="I55" s="83">
        <v>0</v>
      </c>
      <c r="J55" s="83">
        <v>0</v>
      </c>
      <c r="K55" s="83">
        <v>0</v>
      </c>
      <c r="L55" s="83">
        <v>4933</v>
      </c>
      <c r="M55" s="83">
        <v>5603</v>
      </c>
      <c r="N55" s="83">
        <v>0</v>
      </c>
      <c r="O55" s="83">
        <v>0</v>
      </c>
      <c r="P55" s="83">
        <v>0</v>
      </c>
      <c r="Q55" s="83">
        <v>704286</v>
      </c>
      <c r="R55" s="83">
        <v>2579</v>
      </c>
      <c r="S55" s="83">
        <v>0</v>
      </c>
      <c r="T55" s="83">
        <v>494564</v>
      </c>
      <c r="U55" s="83">
        <v>1307.633</v>
      </c>
      <c r="V55" s="83">
        <v>22696</v>
      </c>
      <c r="W55" s="83">
        <v>42067</v>
      </c>
      <c r="X55" s="83">
        <v>20745</v>
      </c>
      <c r="Y55" s="83">
        <v>0</v>
      </c>
      <c r="Z55" s="83">
        <v>17278</v>
      </c>
      <c r="AA55" s="83">
        <v>0</v>
      </c>
      <c r="AB55" s="83">
        <v>38529.987000000001</v>
      </c>
      <c r="AC55" s="83">
        <v>0</v>
      </c>
      <c r="AD55" s="83">
        <v>0</v>
      </c>
      <c r="AE55" s="83">
        <v>542709</v>
      </c>
      <c r="AF55" s="83">
        <v>73450</v>
      </c>
      <c r="AG55" s="83">
        <v>881039</v>
      </c>
      <c r="AH55" s="83">
        <v>0</v>
      </c>
      <c r="AI55" s="83">
        <v>85.409000000000006</v>
      </c>
      <c r="AJ55" s="83">
        <v>0</v>
      </c>
      <c r="AK55" s="83">
        <v>4843</v>
      </c>
      <c r="AL55" s="83">
        <v>0</v>
      </c>
      <c r="AM55" s="83">
        <v>22273.901000000002</v>
      </c>
      <c r="AN55" s="83">
        <v>0</v>
      </c>
      <c r="AO55" s="83">
        <v>124830</v>
      </c>
      <c r="AP55" s="83">
        <v>0</v>
      </c>
      <c r="AQ55" s="83">
        <v>0</v>
      </c>
      <c r="AR55" s="83">
        <v>1476068</v>
      </c>
      <c r="AS55" s="83">
        <v>92125.3</v>
      </c>
      <c r="AT55" s="83">
        <v>5024.1869999999999</v>
      </c>
      <c r="AU55" s="83"/>
      <c r="AV55" s="83">
        <v>500</v>
      </c>
      <c r="AW55" s="83">
        <v>0</v>
      </c>
      <c r="AX55" s="83">
        <v>0</v>
      </c>
      <c r="AY55" s="83">
        <v>0</v>
      </c>
      <c r="AZ55" s="83"/>
      <c r="BA55" s="83">
        <v>3000</v>
      </c>
      <c r="BB55" s="83">
        <v>18278</v>
      </c>
      <c r="BC55" s="83"/>
      <c r="BD55" s="83">
        <v>13447</v>
      </c>
      <c r="BE55" s="83"/>
      <c r="BF55" s="83"/>
      <c r="BG55" s="83">
        <v>651632</v>
      </c>
      <c r="BH55" s="83"/>
      <c r="BI55" s="83">
        <v>14694428</v>
      </c>
      <c r="BJ55" s="84">
        <f>SUM(B55:BI55)</f>
        <v>20005728.416999999</v>
      </c>
    </row>
    <row r="56" spans="1:62" ht="25.75" hidden="1" customHeight="1" x14ac:dyDescent="0.35">
      <c r="A56" s="83" t="s">
        <v>925</v>
      </c>
      <c r="B56" s="83">
        <v>0</v>
      </c>
      <c r="C56" s="83">
        <v>0</v>
      </c>
      <c r="D56" s="83">
        <v>141</v>
      </c>
      <c r="E56" s="83">
        <v>93643</v>
      </c>
      <c r="F56" s="83">
        <v>467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1300</v>
      </c>
      <c r="M56" s="83">
        <v>3370</v>
      </c>
      <c r="N56" s="83">
        <v>0</v>
      </c>
      <c r="O56" s="83">
        <v>0</v>
      </c>
      <c r="P56" s="83">
        <v>0</v>
      </c>
      <c r="Q56" s="83">
        <v>0</v>
      </c>
      <c r="R56" s="83">
        <v>0</v>
      </c>
      <c r="S56" s="83">
        <v>28633</v>
      </c>
      <c r="T56" s="83">
        <v>0</v>
      </c>
      <c r="U56" s="83">
        <v>780.43</v>
      </c>
      <c r="V56" s="83">
        <v>0</v>
      </c>
      <c r="W56" s="83">
        <v>0</v>
      </c>
      <c r="X56" s="83">
        <v>140</v>
      </c>
      <c r="Y56" s="83">
        <v>0</v>
      </c>
      <c r="Z56" s="83">
        <v>0</v>
      </c>
      <c r="AA56" s="83">
        <v>0</v>
      </c>
      <c r="AB56" s="83">
        <v>0</v>
      </c>
      <c r="AC56" s="83">
        <v>0</v>
      </c>
      <c r="AD56" s="83">
        <v>0</v>
      </c>
      <c r="AE56" s="83">
        <v>0</v>
      </c>
      <c r="AF56" s="83">
        <v>0</v>
      </c>
      <c r="AG56" s="83">
        <v>193442</v>
      </c>
      <c r="AH56" s="83">
        <v>0</v>
      </c>
      <c r="AI56" s="83">
        <v>0</v>
      </c>
      <c r="AJ56" s="83">
        <v>0</v>
      </c>
      <c r="AK56" s="83">
        <v>0</v>
      </c>
      <c r="AL56" s="83">
        <v>0</v>
      </c>
      <c r="AM56" s="83">
        <v>0</v>
      </c>
      <c r="AN56" s="83">
        <v>3202</v>
      </c>
      <c r="AO56" s="83">
        <v>0</v>
      </c>
      <c r="AP56" s="83">
        <v>0</v>
      </c>
      <c r="AQ56" s="83">
        <v>0</v>
      </c>
      <c r="AR56" s="83">
        <v>80</v>
      </c>
      <c r="AS56" s="83">
        <v>0</v>
      </c>
      <c r="AT56" s="83">
        <v>0</v>
      </c>
      <c r="AU56" s="83"/>
      <c r="AV56" s="83">
        <v>0</v>
      </c>
      <c r="AW56" s="83">
        <v>20220</v>
      </c>
      <c r="AX56" s="83">
        <v>0</v>
      </c>
      <c r="AY56" s="83">
        <v>0</v>
      </c>
      <c r="AZ56" s="83"/>
      <c r="BA56" s="83">
        <v>0</v>
      </c>
      <c r="BB56" s="83">
        <v>25</v>
      </c>
      <c r="BC56" s="83">
        <v>1308</v>
      </c>
      <c r="BD56" s="83"/>
      <c r="BE56" s="83"/>
      <c r="BF56" s="83"/>
      <c r="BG56" s="83">
        <v>68533</v>
      </c>
      <c r="BH56" s="83"/>
      <c r="BI56" s="83">
        <v>7268000</v>
      </c>
      <c r="BJ56" s="84">
        <f t="shared" si="4"/>
        <v>7683284.4299999997</v>
      </c>
    </row>
    <row r="57" spans="1:62" ht="25.75" hidden="1" customHeight="1" x14ac:dyDescent="0.35">
      <c r="A57" s="83" t="s">
        <v>926</v>
      </c>
      <c r="B57" s="83">
        <v>0</v>
      </c>
      <c r="C57" s="83">
        <v>2500</v>
      </c>
      <c r="D57" s="83">
        <v>0</v>
      </c>
      <c r="E57" s="83">
        <v>0</v>
      </c>
      <c r="F57" s="83">
        <v>0</v>
      </c>
      <c r="G57" s="83">
        <v>2500</v>
      </c>
      <c r="H57" s="83">
        <v>0</v>
      </c>
      <c r="I57" s="83">
        <v>0</v>
      </c>
      <c r="J57" s="83">
        <v>0</v>
      </c>
      <c r="K57" s="83">
        <v>0</v>
      </c>
      <c r="L57" s="83">
        <v>0</v>
      </c>
      <c r="M57" s="83">
        <v>1426</v>
      </c>
      <c r="N57" s="83">
        <v>0</v>
      </c>
      <c r="O57" s="83">
        <v>0</v>
      </c>
      <c r="P57" s="83">
        <v>0</v>
      </c>
      <c r="Q57" s="83">
        <v>0</v>
      </c>
      <c r="R57" s="83">
        <v>0</v>
      </c>
      <c r="S57" s="83">
        <v>72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2500</v>
      </c>
      <c r="AA57" s="83">
        <v>2500</v>
      </c>
      <c r="AB57" s="83">
        <v>0</v>
      </c>
      <c r="AC57" s="83">
        <v>0</v>
      </c>
      <c r="AD57" s="83">
        <v>0</v>
      </c>
      <c r="AE57" s="83">
        <v>0</v>
      </c>
      <c r="AF57" s="83">
        <v>0</v>
      </c>
      <c r="AG57" s="83">
        <v>0</v>
      </c>
      <c r="AH57" s="83">
        <v>0</v>
      </c>
      <c r="AI57" s="83">
        <v>0</v>
      </c>
      <c r="AJ57" s="83">
        <v>0</v>
      </c>
      <c r="AK57" s="83">
        <v>0</v>
      </c>
      <c r="AL57" s="83">
        <v>0</v>
      </c>
      <c r="AM57" s="83">
        <v>0</v>
      </c>
      <c r="AN57" s="83">
        <v>0</v>
      </c>
      <c r="AO57" s="83">
        <v>0</v>
      </c>
      <c r="AP57" s="83">
        <v>0</v>
      </c>
      <c r="AQ57" s="83">
        <v>0</v>
      </c>
      <c r="AR57" s="83"/>
      <c r="AS57" s="83">
        <v>0</v>
      </c>
      <c r="AT57" s="83">
        <v>0</v>
      </c>
      <c r="AU57" s="83"/>
      <c r="AV57" s="83">
        <v>2500</v>
      </c>
      <c r="AW57" s="83">
        <v>0</v>
      </c>
      <c r="AX57" s="83">
        <v>0</v>
      </c>
      <c r="AY57" s="83">
        <v>0</v>
      </c>
      <c r="AZ57" s="83"/>
      <c r="BA57" s="83">
        <v>2500</v>
      </c>
      <c r="BB57" s="83"/>
      <c r="BC57" s="83">
        <v>2500</v>
      </c>
      <c r="BD57" s="83"/>
      <c r="BE57" s="83"/>
      <c r="BF57" s="83">
        <v>2500</v>
      </c>
      <c r="BG57" s="83"/>
      <c r="BH57" s="83"/>
      <c r="BI57" s="83"/>
      <c r="BJ57" s="84">
        <f t="shared" si="4"/>
        <v>21498</v>
      </c>
    </row>
    <row r="58" spans="1:62" ht="25.75" customHeight="1" x14ac:dyDescent="0.35">
      <c r="A58" s="83" t="s">
        <v>927</v>
      </c>
      <c r="B58" s="83">
        <v>0</v>
      </c>
      <c r="C58" s="83">
        <v>45500</v>
      </c>
      <c r="D58" s="83">
        <v>0</v>
      </c>
      <c r="E58" s="83">
        <v>0</v>
      </c>
      <c r="F58" s="83">
        <v>0</v>
      </c>
      <c r="G58" s="83">
        <v>2835</v>
      </c>
      <c r="H58" s="83">
        <v>7728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824</v>
      </c>
      <c r="AA58" s="83">
        <v>8700</v>
      </c>
      <c r="AB58" s="83">
        <v>0</v>
      </c>
      <c r="AC58" s="83">
        <v>0</v>
      </c>
      <c r="AD58" s="83">
        <v>0</v>
      </c>
      <c r="AE58" s="83">
        <v>74969</v>
      </c>
      <c r="AF58" s="83">
        <v>0</v>
      </c>
      <c r="AG58" s="83">
        <v>0</v>
      </c>
      <c r="AH58" s="83">
        <v>0</v>
      </c>
      <c r="AI58" s="83">
        <v>0</v>
      </c>
      <c r="AJ58" s="83">
        <v>0</v>
      </c>
      <c r="AK58" s="83">
        <v>0</v>
      </c>
      <c r="AL58" s="83">
        <v>4146</v>
      </c>
      <c r="AM58" s="83">
        <v>0</v>
      </c>
      <c r="AN58" s="83">
        <v>0</v>
      </c>
      <c r="AO58" s="83">
        <v>0</v>
      </c>
      <c r="AP58" s="83">
        <v>0</v>
      </c>
      <c r="AQ58" s="83">
        <v>0</v>
      </c>
      <c r="AR58" s="83"/>
      <c r="AS58" s="83">
        <v>0</v>
      </c>
      <c r="AT58" s="83">
        <v>0</v>
      </c>
      <c r="AU58" s="83"/>
      <c r="AV58" s="83">
        <v>125</v>
      </c>
      <c r="AW58" s="83">
        <v>0</v>
      </c>
      <c r="AX58" s="83">
        <v>0</v>
      </c>
      <c r="AY58" s="83">
        <v>14768</v>
      </c>
      <c r="AZ58" s="83"/>
      <c r="BA58" s="83">
        <v>1840</v>
      </c>
      <c r="BB58" s="83"/>
      <c r="BC58" s="83">
        <v>750</v>
      </c>
      <c r="BD58" s="83"/>
      <c r="BE58" s="83"/>
      <c r="BF58" s="83">
        <v>614.45000000000005</v>
      </c>
      <c r="BG58" s="83"/>
      <c r="BH58" s="83"/>
      <c r="BI58" s="83"/>
      <c r="BJ58" s="84">
        <f t="shared" si="4"/>
        <v>162799.45000000001</v>
      </c>
    </row>
    <row r="59" spans="1:62" ht="25.75" customHeight="1" x14ac:dyDescent="0.35">
      <c r="A59" s="83" t="s">
        <v>928</v>
      </c>
      <c r="B59" s="83">
        <v>0</v>
      </c>
      <c r="C59" s="83">
        <v>0</v>
      </c>
      <c r="D59" s="83">
        <v>0</v>
      </c>
      <c r="E59" s="83">
        <v>22399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222219</v>
      </c>
      <c r="P59" s="83">
        <v>0</v>
      </c>
      <c r="Q59" s="83">
        <v>170571</v>
      </c>
      <c r="R59" s="83">
        <v>28257</v>
      </c>
      <c r="S59" s="83">
        <v>0</v>
      </c>
      <c r="T59" s="83">
        <v>0</v>
      </c>
      <c r="U59" s="83">
        <v>23358.429</v>
      </c>
      <c r="V59" s="83">
        <v>9566</v>
      </c>
      <c r="W59" s="83">
        <v>0</v>
      </c>
      <c r="X59" s="83">
        <v>36291</v>
      </c>
      <c r="Y59" s="83">
        <v>0</v>
      </c>
      <c r="Z59" s="83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8687816</v>
      </c>
      <c r="AF59" s="83">
        <v>0</v>
      </c>
      <c r="AG59" s="83">
        <v>12511232</v>
      </c>
      <c r="AH59" s="83">
        <v>0</v>
      </c>
      <c r="AI59" s="83">
        <v>25407.249</v>
      </c>
      <c r="AJ59" s="83">
        <v>23211.612000000001</v>
      </c>
      <c r="AK59" s="83">
        <v>0</v>
      </c>
      <c r="AL59" s="83">
        <v>0</v>
      </c>
      <c r="AM59" s="83">
        <v>243626.23499999999</v>
      </c>
      <c r="AN59" s="83">
        <v>566</v>
      </c>
      <c r="AO59" s="83">
        <v>0</v>
      </c>
      <c r="AP59" s="83">
        <v>0</v>
      </c>
      <c r="AQ59" s="83">
        <v>0</v>
      </c>
      <c r="AR59" s="83"/>
      <c r="AS59" s="83">
        <v>0</v>
      </c>
      <c r="AT59" s="83">
        <v>2821.538</v>
      </c>
      <c r="AU59" s="83"/>
      <c r="AV59" s="83">
        <v>0</v>
      </c>
      <c r="AW59" s="83">
        <v>0</v>
      </c>
      <c r="AX59" s="83">
        <v>0</v>
      </c>
      <c r="AY59" s="83">
        <v>0</v>
      </c>
      <c r="AZ59" s="83"/>
      <c r="BA59" s="83" t="s">
        <v>929</v>
      </c>
      <c r="BB59" s="83">
        <v>25700</v>
      </c>
      <c r="BC59" s="83"/>
      <c r="BD59" s="83">
        <v>46853</v>
      </c>
      <c r="BE59" s="83"/>
      <c r="BF59" s="83">
        <v>250</v>
      </c>
      <c r="BG59" s="83">
        <v>6482</v>
      </c>
      <c r="BH59" s="83"/>
      <c r="BI59" s="83">
        <v>117907.804</v>
      </c>
      <c r="BJ59" s="84">
        <f t="shared" si="4"/>
        <v>22204534.866999999</v>
      </c>
    </row>
    <row r="60" spans="1:62" ht="25.75" customHeight="1" x14ac:dyDescent="0.35">
      <c r="A60" s="83" t="s">
        <v>930</v>
      </c>
      <c r="B60" s="83">
        <v>0</v>
      </c>
      <c r="C60" s="83">
        <v>0</v>
      </c>
      <c r="D60" s="83">
        <v>0</v>
      </c>
      <c r="E60" s="83">
        <v>0</v>
      </c>
      <c r="F60" s="83">
        <v>1011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335</v>
      </c>
      <c r="N60" s="83">
        <v>0</v>
      </c>
      <c r="O60" s="83">
        <v>448</v>
      </c>
      <c r="P60" s="83">
        <v>0</v>
      </c>
      <c r="Q60" s="83">
        <v>669</v>
      </c>
      <c r="R60" s="83">
        <v>3</v>
      </c>
      <c r="S60" s="83">
        <v>1128</v>
      </c>
      <c r="T60" s="83">
        <v>0</v>
      </c>
      <c r="U60" s="83">
        <v>2649.9810000000002</v>
      </c>
      <c r="V60" s="83">
        <v>0</v>
      </c>
      <c r="W60" s="83">
        <v>88811</v>
      </c>
      <c r="X60" s="83">
        <v>98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3">
        <v>0</v>
      </c>
      <c r="AH60" s="83">
        <v>0</v>
      </c>
      <c r="AI60" s="83">
        <v>0</v>
      </c>
      <c r="AJ60" s="83">
        <v>0</v>
      </c>
      <c r="AK60" s="83">
        <v>144</v>
      </c>
      <c r="AL60" s="83">
        <v>0</v>
      </c>
      <c r="AM60" s="83">
        <v>2100.4659999999999</v>
      </c>
      <c r="AN60" s="83">
        <v>0</v>
      </c>
      <c r="AO60" s="83">
        <v>0</v>
      </c>
      <c r="AP60" s="83">
        <v>0</v>
      </c>
      <c r="AQ60" s="83">
        <v>116</v>
      </c>
      <c r="AR60" s="83">
        <v>3457</v>
      </c>
      <c r="AS60" s="83">
        <v>0</v>
      </c>
      <c r="AT60" s="83">
        <v>511101</v>
      </c>
      <c r="AU60" s="83"/>
      <c r="AV60" s="83">
        <v>0</v>
      </c>
      <c r="AW60" s="83">
        <v>0</v>
      </c>
      <c r="AX60" s="83">
        <v>0</v>
      </c>
      <c r="AY60" s="83">
        <v>0</v>
      </c>
      <c r="AZ60" s="83"/>
      <c r="BA60" s="83" t="s">
        <v>929</v>
      </c>
      <c r="BB60" s="83">
        <v>1745</v>
      </c>
      <c r="BC60" s="83"/>
      <c r="BD60" s="83">
        <v>12472</v>
      </c>
      <c r="BE60" s="83"/>
      <c r="BF60" s="83">
        <v>215.5</v>
      </c>
      <c r="BG60" s="83">
        <v>1493</v>
      </c>
      <c r="BH60" s="83"/>
      <c r="BI60" s="83">
        <v>48966</v>
      </c>
      <c r="BJ60" s="84">
        <f t="shared" si="4"/>
        <v>676962.94700000004</v>
      </c>
    </row>
    <row r="61" spans="1:62" ht="25.75" customHeight="1" x14ac:dyDescent="0.35">
      <c r="A61" s="83" t="s">
        <v>931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1369</v>
      </c>
      <c r="N61" s="83">
        <v>0</v>
      </c>
      <c r="O61" s="83">
        <v>0</v>
      </c>
      <c r="P61" s="83">
        <v>0</v>
      </c>
      <c r="Q61" s="83">
        <v>6160</v>
      </c>
      <c r="R61" s="83">
        <v>0</v>
      </c>
      <c r="S61" s="83">
        <v>558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3">
        <v>450000</v>
      </c>
      <c r="AH61" s="83">
        <v>0</v>
      </c>
      <c r="AI61" s="83">
        <v>274.35199999999998</v>
      </c>
      <c r="AJ61" s="83">
        <v>0</v>
      </c>
      <c r="AK61" s="83">
        <v>2501</v>
      </c>
      <c r="AL61" s="83">
        <v>0</v>
      </c>
      <c r="AM61" s="83">
        <v>132266.95000000001</v>
      </c>
      <c r="AN61" s="83">
        <v>260</v>
      </c>
      <c r="AO61" s="83">
        <v>0</v>
      </c>
      <c r="AP61" s="83">
        <v>0</v>
      </c>
      <c r="AQ61" s="83">
        <v>9450</v>
      </c>
      <c r="AR61" s="83">
        <v>337</v>
      </c>
      <c r="AS61" s="83">
        <v>0</v>
      </c>
      <c r="AT61" s="83">
        <v>30000</v>
      </c>
      <c r="AU61" s="83"/>
      <c r="AV61" s="83">
        <v>0</v>
      </c>
      <c r="AW61" s="83">
        <v>300006</v>
      </c>
      <c r="AX61" s="83">
        <v>0</v>
      </c>
      <c r="AY61" s="83">
        <v>0</v>
      </c>
      <c r="AZ61" s="83"/>
      <c r="BA61" s="83" t="s">
        <v>929</v>
      </c>
      <c r="BB61" s="83">
        <v>233</v>
      </c>
      <c r="BC61" s="83"/>
      <c r="BD61" s="83"/>
      <c r="BE61" s="83"/>
      <c r="BF61" s="83"/>
      <c r="BG61" s="83">
        <v>192708</v>
      </c>
      <c r="BH61" s="83"/>
      <c r="BI61" s="83">
        <v>6000</v>
      </c>
      <c r="BJ61" s="84">
        <f t="shared" si="4"/>
        <v>1132123.3020000001</v>
      </c>
    </row>
    <row r="62" spans="1:62" ht="25.75" customHeight="1" x14ac:dyDescent="0.35">
      <c r="A62" s="83" t="s">
        <v>932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4500</v>
      </c>
      <c r="N62" s="83">
        <v>0</v>
      </c>
      <c r="O62" s="83">
        <v>6425</v>
      </c>
      <c r="P62" s="83">
        <v>0</v>
      </c>
      <c r="Q62" s="83">
        <v>0</v>
      </c>
      <c r="R62" s="83">
        <v>0</v>
      </c>
      <c r="S62" s="83">
        <v>6151</v>
      </c>
      <c r="T62" s="83">
        <v>0</v>
      </c>
      <c r="U62" s="83">
        <v>0</v>
      </c>
      <c r="V62" s="83">
        <v>0</v>
      </c>
      <c r="W62" s="83">
        <v>319</v>
      </c>
      <c r="X62" s="83">
        <v>0</v>
      </c>
      <c r="Y62" s="83">
        <v>0</v>
      </c>
      <c r="Z62" s="83">
        <v>0</v>
      </c>
      <c r="AA62" s="83">
        <v>0</v>
      </c>
      <c r="AB62" s="83">
        <v>0</v>
      </c>
      <c r="AC62" s="83">
        <v>0</v>
      </c>
      <c r="AD62" s="83">
        <v>0</v>
      </c>
      <c r="AE62" s="83">
        <v>72430</v>
      </c>
      <c r="AF62" s="83">
        <v>0</v>
      </c>
      <c r="AG62" s="83">
        <v>78499</v>
      </c>
      <c r="AH62" s="83">
        <v>0</v>
      </c>
      <c r="AI62" s="83">
        <v>0</v>
      </c>
      <c r="AJ62" s="83">
        <v>0</v>
      </c>
      <c r="AK62" s="83">
        <v>460</v>
      </c>
      <c r="AL62" s="83">
        <v>0</v>
      </c>
      <c r="AM62" s="83">
        <v>0</v>
      </c>
      <c r="AN62" s="83">
        <v>0</v>
      </c>
      <c r="AO62" s="83">
        <v>0</v>
      </c>
      <c r="AP62" s="83">
        <v>0</v>
      </c>
      <c r="AQ62" s="83">
        <v>0</v>
      </c>
      <c r="AR62" s="83"/>
      <c r="AS62" s="83">
        <v>4702.33</v>
      </c>
      <c r="AT62" s="83">
        <v>0</v>
      </c>
      <c r="AU62" s="83"/>
      <c r="AV62" s="83">
        <v>0</v>
      </c>
      <c r="AW62" s="83">
        <v>48085</v>
      </c>
      <c r="AX62" s="83">
        <v>7</v>
      </c>
      <c r="AY62" s="83">
        <v>0</v>
      </c>
      <c r="AZ62" s="83"/>
      <c r="BA62" s="83" t="s">
        <v>929</v>
      </c>
      <c r="BB62" s="83"/>
      <c r="BC62" s="83"/>
      <c r="BD62" s="83"/>
      <c r="BE62" s="83"/>
      <c r="BF62" s="83"/>
      <c r="BG62" s="83"/>
      <c r="BH62" s="83"/>
      <c r="BI62" s="83"/>
      <c r="BJ62" s="84">
        <f t="shared" si="4"/>
        <v>221578.33</v>
      </c>
    </row>
    <row r="63" spans="1:62" ht="25.75" customHeight="1" x14ac:dyDescent="0.35">
      <c r="A63" s="84" t="s">
        <v>933</v>
      </c>
      <c r="B63" s="84">
        <f>SUM(B65:B70)</f>
        <v>79290</v>
      </c>
      <c r="C63" s="84">
        <f t="shared" ref="C63:BI63" si="8">SUM(C65:C70)</f>
        <v>89271</v>
      </c>
      <c r="D63" s="84">
        <f t="shared" si="8"/>
        <v>22674</v>
      </c>
      <c r="E63" s="84">
        <f t="shared" si="8"/>
        <v>64316</v>
      </c>
      <c r="F63" s="84">
        <f t="shared" si="8"/>
        <v>1290947</v>
      </c>
      <c r="G63" s="84">
        <f t="shared" si="8"/>
        <v>40100</v>
      </c>
      <c r="H63" s="84">
        <f t="shared" si="8"/>
        <v>39116</v>
      </c>
      <c r="I63" s="84">
        <f t="shared" si="8"/>
        <v>0</v>
      </c>
      <c r="J63" s="84">
        <f t="shared" si="8"/>
        <v>744473</v>
      </c>
      <c r="K63" s="84">
        <f t="shared" si="8"/>
        <v>43739</v>
      </c>
      <c r="L63" s="84">
        <f t="shared" si="8"/>
        <v>66377</v>
      </c>
      <c r="M63" s="84">
        <f t="shared" si="8"/>
        <v>198872</v>
      </c>
      <c r="N63" s="84">
        <f t="shared" si="8"/>
        <v>18000</v>
      </c>
      <c r="O63" s="84">
        <f t="shared" si="8"/>
        <v>6680448</v>
      </c>
      <c r="P63" s="84">
        <f t="shared" si="8"/>
        <v>40800</v>
      </c>
      <c r="Q63" s="84">
        <f t="shared" si="8"/>
        <v>6891045</v>
      </c>
      <c r="R63" s="84">
        <f t="shared" si="8"/>
        <v>140964</v>
      </c>
      <c r="S63" s="84">
        <f t="shared" si="8"/>
        <v>33773</v>
      </c>
      <c r="T63" s="84">
        <f t="shared" si="8"/>
        <v>972974</v>
      </c>
      <c r="U63" s="84">
        <f t="shared" si="8"/>
        <v>43108.18</v>
      </c>
      <c r="V63" s="84">
        <f t="shared" si="8"/>
        <v>95689</v>
      </c>
      <c r="W63" s="84">
        <f t="shared" si="8"/>
        <v>417691</v>
      </c>
      <c r="X63" s="84">
        <f t="shared" si="8"/>
        <v>243308</v>
      </c>
      <c r="Y63" s="84">
        <f t="shared" si="8"/>
        <v>20924645</v>
      </c>
      <c r="Z63" s="84">
        <f t="shared" si="8"/>
        <v>97943</v>
      </c>
      <c r="AA63" s="84">
        <f t="shared" si="8"/>
        <v>36000</v>
      </c>
      <c r="AB63" s="84">
        <f t="shared" si="8"/>
        <v>497981.20200000005</v>
      </c>
      <c r="AC63" s="84">
        <f t="shared" si="8"/>
        <v>211356</v>
      </c>
      <c r="AD63" s="84">
        <f t="shared" si="8"/>
        <v>0</v>
      </c>
      <c r="AE63" s="84">
        <f t="shared" si="8"/>
        <v>9486912</v>
      </c>
      <c r="AF63" s="84">
        <f t="shared" si="8"/>
        <v>205592</v>
      </c>
      <c r="AG63" s="84">
        <f t="shared" si="8"/>
        <v>16403382</v>
      </c>
      <c r="AH63" s="84">
        <f t="shared" si="8"/>
        <v>446753</v>
      </c>
      <c r="AI63" s="84">
        <f t="shared" si="8"/>
        <v>464023</v>
      </c>
      <c r="AJ63" s="84">
        <f t="shared" si="8"/>
        <v>0</v>
      </c>
      <c r="AK63" s="84">
        <f t="shared" si="8"/>
        <v>427134</v>
      </c>
      <c r="AL63" s="84">
        <f t="shared" si="8"/>
        <v>97225</v>
      </c>
      <c r="AM63" s="84">
        <f t="shared" si="8"/>
        <v>2157585.3820000002</v>
      </c>
      <c r="AN63" s="84">
        <f t="shared" si="8"/>
        <v>132190</v>
      </c>
      <c r="AO63" s="84">
        <f t="shared" si="8"/>
        <v>478649.505</v>
      </c>
      <c r="AP63" s="84">
        <f t="shared" si="8"/>
        <v>0</v>
      </c>
      <c r="AQ63" s="84">
        <f t="shared" si="8"/>
        <v>627597</v>
      </c>
      <c r="AR63" s="84">
        <f t="shared" si="8"/>
        <v>12800331</v>
      </c>
      <c r="AS63" s="84">
        <f t="shared" si="8"/>
        <v>597131</v>
      </c>
      <c r="AT63" s="84">
        <f t="shared" si="8"/>
        <v>87789.004000000001</v>
      </c>
      <c r="AU63" s="84">
        <f t="shared" si="8"/>
        <v>0</v>
      </c>
      <c r="AV63" s="84">
        <f t="shared" si="8"/>
        <v>194400</v>
      </c>
      <c r="AW63" s="84">
        <f t="shared" si="8"/>
        <v>19585500</v>
      </c>
      <c r="AX63" s="84">
        <f t="shared" si="8"/>
        <v>0</v>
      </c>
      <c r="AY63" s="84">
        <f t="shared" si="8"/>
        <v>9701.612000000001</v>
      </c>
      <c r="AZ63" s="84">
        <f t="shared" si="8"/>
        <v>0</v>
      </c>
      <c r="BA63" s="84">
        <f t="shared" si="8"/>
        <v>198000</v>
      </c>
      <c r="BB63" s="84">
        <f t="shared" si="8"/>
        <v>158621</v>
      </c>
      <c r="BC63" s="84">
        <f t="shared" si="8"/>
        <v>64752</v>
      </c>
      <c r="BD63" s="84">
        <f t="shared" si="8"/>
        <v>172983</v>
      </c>
      <c r="BE63" s="84">
        <f t="shared" si="8"/>
        <v>0</v>
      </c>
      <c r="BF63" s="84">
        <f t="shared" si="8"/>
        <v>35000</v>
      </c>
      <c r="BG63" s="84">
        <f t="shared" si="8"/>
        <v>2112752.5919999997</v>
      </c>
      <c r="BH63" s="84">
        <f t="shared" si="8"/>
        <v>122277</v>
      </c>
      <c r="BI63" s="84">
        <f t="shared" si="8"/>
        <v>535255.179</v>
      </c>
      <c r="BJ63" s="84">
        <f t="shared" si="4"/>
        <v>107626436.65599999</v>
      </c>
    </row>
    <row r="64" spans="1:62" ht="25.75" customHeight="1" x14ac:dyDescent="0.35">
      <c r="A64" s="83" t="s">
        <v>934</v>
      </c>
      <c r="B64" s="83">
        <f>SUM(B65:B70)</f>
        <v>79290</v>
      </c>
      <c r="C64" s="83">
        <f t="shared" ref="C64:F64" si="9">SUM(C65:C70)</f>
        <v>89271</v>
      </c>
      <c r="D64" s="83">
        <f t="shared" si="9"/>
        <v>22674</v>
      </c>
      <c r="E64" s="83">
        <f t="shared" si="9"/>
        <v>64316</v>
      </c>
      <c r="F64" s="83">
        <f t="shared" si="9"/>
        <v>1290947</v>
      </c>
      <c r="G64" s="83">
        <v>40100</v>
      </c>
      <c r="H64" s="83">
        <f>H65+H69</f>
        <v>39116</v>
      </c>
      <c r="I64" s="83">
        <v>0</v>
      </c>
      <c r="J64" s="83">
        <v>741834</v>
      </c>
      <c r="K64" s="83">
        <f>43739</f>
        <v>43739</v>
      </c>
      <c r="L64" s="83">
        <v>66377</v>
      </c>
      <c r="M64" s="83">
        <f>SUM(M65:M70)</f>
        <v>198872</v>
      </c>
      <c r="N64" s="83">
        <v>18000</v>
      </c>
      <c r="O64" s="83">
        <f>SUM(O65:O70)</f>
        <v>6680448</v>
      </c>
      <c r="P64" s="83"/>
      <c r="Q64" s="83">
        <v>6891045</v>
      </c>
      <c r="R64" s="83">
        <f>SUM(R65:R70)</f>
        <v>140964</v>
      </c>
      <c r="S64" s="83">
        <f t="shared" ref="S64:BH64" si="10">SUM(S65:S70)</f>
        <v>33773</v>
      </c>
      <c r="T64" s="83">
        <f t="shared" si="10"/>
        <v>972974</v>
      </c>
      <c r="U64" s="83">
        <f t="shared" si="10"/>
        <v>43108.18</v>
      </c>
      <c r="V64" s="83">
        <f t="shared" si="10"/>
        <v>95689</v>
      </c>
      <c r="W64" s="83">
        <f t="shared" si="10"/>
        <v>417691</v>
      </c>
      <c r="X64" s="83">
        <f t="shared" si="10"/>
        <v>243308</v>
      </c>
      <c r="Y64" s="83">
        <f t="shared" si="10"/>
        <v>20924645</v>
      </c>
      <c r="Z64" s="83">
        <f t="shared" si="10"/>
        <v>97943</v>
      </c>
      <c r="AA64" s="83">
        <f t="shared" si="10"/>
        <v>36000</v>
      </c>
      <c r="AB64" s="83">
        <f t="shared" si="10"/>
        <v>497981.20200000005</v>
      </c>
      <c r="AC64" s="83">
        <f t="shared" si="10"/>
        <v>211356</v>
      </c>
      <c r="AD64" s="83">
        <f t="shared" si="10"/>
        <v>0</v>
      </c>
      <c r="AE64" s="83">
        <f t="shared" si="10"/>
        <v>9486912</v>
      </c>
      <c r="AF64" s="83">
        <f t="shared" si="10"/>
        <v>205592</v>
      </c>
      <c r="AG64" s="83">
        <f t="shared" si="10"/>
        <v>16403382</v>
      </c>
      <c r="AH64" s="83">
        <f t="shared" si="10"/>
        <v>446753</v>
      </c>
      <c r="AI64" s="83">
        <f t="shared" si="10"/>
        <v>464023</v>
      </c>
      <c r="AJ64" s="83">
        <f t="shared" si="10"/>
        <v>0</v>
      </c>
      <c r="AK64" s="83">
        <f t="shared" si="10"/>
        <v>427134</v>
      </c>
      <c r="AL64" s="83">
        <f t="shared" si="10"/>
        <v>97225</v>
      </c>
      <c r="AM64" s="83">
        <f t="shared" si="10"/>
        <v>2157585.3820000002</v>
      </c>
      <c r="AN64" s="83">
        <f t="shared" si="10"/>
        <v>132190</v>
      </c>
      <c r="AO64" s="83">
        <f t="shared" si="10"/>
        <v>478649.505</v>
      </c>
      <c r="AP64" s="83">
        <f t="shared" si="10"/>
        <v>0</v>
      </c>
      <c r="AQ64" s="83">
        <f t="shared" si="10"/>
        <v>627597</v>
      </c>
      <c r="AR64" s="83">
        <f t="shared" si="10"/>
        <v>12800331</v>
      </c>
      <c r="AS64" s="83">
        <f t="shared" si="10"/>
        <v>597131</v>
      </c>
      <c r="AT64" s="83">
        <f t="shared" si="10"/>
        <v>87789.004000000001</v>
      </c>
      <c r="AU64" s="83">
        <f t="shared" si="10"/>
        <v>0</v>
      </c>
      <c r="AV64" s="83">
        <f t="shared" si="10"/>
        <v>194400</v>
      </c>
      <c r="AW64" s="83">
        <f t="shared" si="10"/>
        <v>19585500</v>
      </c>
      <c r="AX64" s="83">
        <f t="shared" si="10"/>
        <v>0</v>
      </c>
      <c r="AY64" s="83">
        <f>SUM(AY65:AY70)</f>
        <v>9701.612000000001</v>
      </c>
      <c r="AZ64" s="83">
        <f t="shared" si="10"/>
        <v>0</v>
      </c>
      <c r="BA64" s="83">
        <f t="shared" si="10"/>
        <v>198000</v>
      </c>
      <c r="BB64" s="83">
        <f t="shared" si="10"/>
        <v>158621</v>
      </c>
      <c r="BC64" s="83">
        <f t="shared" si="10"/>
        <v>64752</v>
      </c>
      <c r="BD64" s="83">
        <f t="shared" si="10"/>
        <v>172983</v>
      </c>
      <c r="BE64" s="83">
        <f t="shared" si="10"/>
        <v>0</v>
      </c>
      <c r="BF64" s="83">
        <f t="shared" si="10"/>
        <v>35000</v>
      </c>
      <c r="BG64" s="83">
        <f t="shared" si="10"/>
        <v>2112752.5919999997</v>
      </c>
      <c r="BH64" s="83">
        <f t="shared" si="10"/>
        <v>122277</v>
      </c>
      <c r="BI64" s="83">
        <v>535255.179</v>
      </c>
      <c r="BJ64" s="84">
        <f t="shared" si="4"/>
        <v>107582997.65599999</v>
      </c>
    </row>
    <row r="65" spans="1:62" ht="25.75" customHeight="1" x14ac:dyDescent="0.35">
      <c r="A65" s="83" t="s">
        <v>935</v>
      </c>
      <c r="B65" s="83">
        <v>79290</v>
      </c>
      <c r="C65" s="83">
        <f>34131+49141</f>
        <v>83272</v>
      </c>
      <c r="D65" s="83">
        <v>22167</v>
      </c>
      <c r="E65" s="83">
        <v>45288</v>
      </c>
      <c r="F65" s="83">
        <v>363603</v>
      </c>
      <c r="G65" s="83">
        <v>36000</v>
      </c>
      <c r="H65" s="83">
        <v>37755</v>
      </c>
      <c r="I65" s="83">
        <v>0</v>
      </c>
      <c r="J65" s="83">
        <v>741834</v>
      </c>
      <c r="K65" s="83">
        <f>43739</f>
        <v>43739</v>
      </c>
      <c r="L65" s="83">
        <v>15819</v>
      </c>
      <c r="M65" s="83">
        <v>155088</v>
      </c>
      <c r="N65" s="83">
        <v>18000</v>
      </c>
      <c r="O65" s="83">
        <v>5834674</v>
      </c>
      <c r="P65" s="84">
        <f>10800+30000</f>
        <v>40800</v>
      </c>
      <c r="Q65" s="83">
        <v>2773872</v>
      </c>
      <c r="R65" s="83">
        <v>140864</v>
      </c>
      <c r="S65" s="83">
        <v>28210</v>
      </c>
      <c r="T65" s="83">
        <v>660498</v>
      </c>
      <c r="U65" s="83">
        <v>33921.112000000001</v>
      </c>
      <c r="V65" s="83">
        <v>46873</v>
      </c>
      <c r="W65" s="83">
        <v>287894</v>
      </c>
      <c r="X65" s="83">
        <v>158594</v>
      </c>
      <c r="Y65" s="83">
        <v>7980363</v>
      </c>
      <c r="Z65" s="83">
        <v>87598</v>
      </c>
      <c r="AA65" s="83">
        <v>36000</v>
      </c>
      <c r="AB65" s="83">
        <v>263930.03700000001</v>
      </c>
      <c r="AC65" s="83">
        <v>211356</v>
      </c>
      <c r="AD65" s="83">
        <v>0</v>
      </c>
      <c r="AE65" s="83">
        <v>2579317</v>
      </c>
      <c r="AF65" s="83">
        <v>155544</v>
      </c>
      <c r="AG65" s="83">
        <v>9866811</v>
      </c>
      <c r="AH65" s="83">
        <v>387913</v>
      </c>
      <c r="AI65" s="83">
        <v>310456</v>
      </c>
      <c r="AJ65" s="83">
        <v>0</v>
      </c>
      <c r="AK65" s="83">
        <v>334179</v>
      </c>
      <c r="AL65" s="83">
        <v>97225</v>
      </c>
      <c r="AM65" s="83">
        <v>1709823</v>
      </c>
      <c r="AN65" s="83">
        <v>57078</v>
      </c>
      <c r="AO65" s="83">
        <v>356043.01500000001</v>
      </c>
      <c r="AP65" s="83">
        <v>0</v>
      </c>
      <c r="AQ65" s="83">
        <v>426467</v>
      </c>
      <c r="AR65" s="83">
        <f>5879562+4055784</f>
        <v>9935346</v>
      </c>
      <c r="AS65" s="83">
        <v>438309</v>
      </c>
      <c r="AT65" s="83">
        <v>76776.370999999999</v>
      </c>
      <c r="AU65" s="83"/>
      <c r="AV65" s="83">
        <v>68400</v>
      </c>
      <c r="AW65" s="83">
        <f>10047392+1298574</f>
        <v>11345966</v>
      </c>
      <c r="AX65" s="83" t="s">
        <v>929</v>
      </c>
      <c r="AY65" s="83">
        <v>8923.7119999999995</v>
      </c>
      <c r="AZ65" s="83"/>
      <c r="BA65" s="83">
        <v>72000</v>
      </c>
      <c r="BB65" s="83">
        <v>68832</v>
      </c>
      <c r="BC65" s="83">
        <v>50129</v>
      </c>
      <c r="BD65" s="83">
        <v>82101</v>
      </c>
      <c r="BE65" s="83"/>
      <c r="BF65" s="83">
        <v>5500</v>
      </c>
      <c r="BG65" s="83">
        <v>1667286.1919999998</v>
      </c>
      <c r="BH65" s="83">
        <v>122277</v>
      </c>
      <c r="BI65" s="83">
        <v>401593.31</v>
      </c>
      <c r="BJ65" s="84">
        <f>SUM(B65:BI65)</f>
        <v>60851597.749000005</v>
      </c>
    </row>
    <row r="66" spans="1:62" ht="25.75" customHeight="1" x14ac:dyDescent="0.35">
      <c r="A66" s="83" t="s">
        <v>936</v>
      </c>
      <c r="B66" s="83">
        <v>0</v>
      </c>
      <c r="C66" s="83">
        <v>0</v>
      </c>
      <c r="D66" s="83">
        <v>0</v>
      </c>
      <c r="E66" s="83">
        <v>9000</v>
      </c>
      <c r="F66" s="83">
        <v>158740</v>
      </c>
      <c r="G66" s="83">
        <v>0</v>
      </c>
      <c r="H66" s="83">
        <v>0</v>
      </c>
      <c r="I66" s="83">
        <v>0</v>
      </c>
      <c r="J66" s="83"/>
      <c r="K66" s="83">
        <v>0</v>
      </c>
      <c r="L66" s="83">
        <v>49989</v>
      </c>
      <c r="M66" s="83">
        <v>34472</v>
      </c>
      <c r="N66" s="83">
        <v>0</v>
      </c>
      <c r="O66" s="83">
        <v>273434</v>
      </c>
      <c r="P66" s="83">
        <v>0</v>
      </c>
      <c r="Q66" s="83">
        <v>1168453</v>
      </c>
      <c r="R66" s="83">
        <v>0</v>
      </c>
      <c r="S66" s="83">
        <v>0</v>
      </c>
      <c r="T66" s="83">
        <v>85088</v>
      </c>
      <c r="U66" s="83">
        <v>0</v>
      </c>
      <c r="V66" s="83">
        <v>40268</v>
      </c>
      <c r="W66" s="83">
        <v>89317</v>
      </c>
      <c r="X66" s="83">
        <v>39167</v>
      </c>
      <c r="Y66" s="83">
        <v>1337843</v>
      </c>
      <c r="Z66" s="83">
        <v>0</v>
      </c>
      <c r="AA66" s="83">
        <v>0</v>
      </c>
      <c r="AB66" s="83">
        <v>184253.04500000001</v>
      </c>
      <c r="AC66" s="83">
        <v>0</v>
      </c>
      <c r="AD66" s="83">
        <v>0</v>
      </c>
      <c r="AE66" s="83">
        <v>5450010</v>
      </c>
      <c r="AF66" s="83">
        <v>0</v>
      </c>
      <c r="AG66" s="83">
        <v>1828350</v>
      </c>
      <c r="AH66" s="83">
        <v>0</v>
      </c>
      <c r="AI66" s="83">
        <v>29516</v>
      </c>
      <c r="AJ66" s="83">
        <v>0</v>
      </c>
      <c r="AK66" s="83">
        <v>6288</v>
      </c>
      <c r="AL66" s="83">
        <v>0</v>
      </c>
      <c r="AM66" s="83">
        <v>339344.42200000002</v>
      </c>
      <c r="AN66" s="83">
        <v>68400</v>
      </c>
      <c r="AO66" s="83">
        <v>31351.49</v>
      </c>
      <c r="AP66" s="83"/>
      <c r="AQ66" s="83">
        <v>134363</v>
      </c>
      <c r="AR66" s="83">
        <v>300165</v>
      </c>
      <c r="AS66" s="83">
        <v>158822</v>
      </c>
      <c r="AT66" s="83">
        <v>11012.633</v>
      </c>
      <c r="AU66" s="83"/>
      <c r="AV66" s="83">
        <v>114000</v>
      </c>
      <c r="AW66" s="83">
        <v>7863247</v>
      </c>
      <c r="AX66" s="83" t="s">
        <v>929</v>
      </c>
      <c r="AY66" s="83" t="s">
        <v>929</v>
      </c>
      <c r="AZ66" s="83"/>
      <c r="BA66" s="83">
        <v>114000</v>
      </c>
      <c r="BB66" s="83">
        <v>21804</v>
      </c>
      <c r="BC66" s="83"/>
      <c r="BD66" s="83">
        <v>73453</v>
      </c>
      <c r="BE66" s="83"/>
      <c r="BF66" s="83">
        <v>26000</v>
      </c>
      <c r="BG66" s="83">
        <v>113577.4</v>
      </c>
      <c r="BH66" s="83"/>
      <c r="BI66" s="83"/>
      <c r="BJ66" s="84">
        <f t="shared" si="4"/>
        <v>20153727.989999998</v>
      </c>
    </row>
    <row r="67" spans="1:62" ht="25.75" customHeight="1" x14ac:dyDescent="0.35">
      <c r="A67" s="83" t="s">
        <v>937</v>
      </c>
      <c r="B67" s="83">
        <v>0</v>
      </c>
      <c r="C67" s="83">
        <f>229+1147</f>
        <v>1376</v>
      </c>
      <c r="D67" s="83">
        <v>499</v>
      </c>
      <c r="E67" s="83">
        <v>499</v>
      </c>
      <c r="F67" s="83">
        <v>560418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2371</v>
      </c>
      <c r="N67" s="83">
        <v>0</v>
      </c>
      <c r="O67" s="83">
        <v>73870</v>
      </c>
      <c r="P67" s="83">
        <v>0</v>
      </c>
      <c r="Q67" s="83">
        <v>2627944</v>
      </c>
      <c r="R67" s="83">
        <v>0</v>
      </c>
      <c r="S67" s="83">
        <v>0</v>
      </c>
      <c r="T67" s="83">
        <v>113694</v>
      </c>
      <c r="U67" s="83">
        <v>3182.4</v>
      </c>
      <c r="V67" s="83">
        <v>0</v>
      </c>
      <c r="W67" s="83">
        <v>19430</v>
      </c>
      <c r="X67" s="83">
        <v>0</v>
      </c>
      <c r="Y67" s="83">
        <v>7367776</v>
      </c>
      <c r="Z67" s="83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3">
        <v>401717</v>
      </c>
      <c r="AH67" s="83">
        <v>13804</v>
      </c>
      <c r="AI67" s="83">
        <v>16458</v>
      </c>
      <c r="AJ67" s="83">
        <v>0</v>
      </c>
      <c r="AK67" s="83">
        <v>13932</v>
      </c>
      <c r="AL67" s="83">
        <v>0</v>
      </c>
      <c r="AM67" s="83">
        <v>33243.934999999998</v>
      </c>
      <c r="AN67" s="83">
        <v>4206</v>
      </c>
      <c r="AO67" s="83">
        <v>0</v>
      </c>
      <c r="AP67" s="83">
        <v>0</v>
      </c>
      <c r="AQ67" s="83">
        <v>250</v>
      </c>
      <c r="AR67" s="83">
        <v>587127</v>
      </c>
      <c r="AS67" s="83"/>
      <c r="AT67" s="83">
        <v>0</v>
      </c>
      <c r="AU67" s="83"/>
      <c r="AV67" s="83"/>
      <c r="AW67" s="83">
        <v>3109</v>
      </c>
      <c r="AX67" s="83" t="s">
        <v>929</v>
      </c>
      <c r="AY67" s="83">
        <v>291.2</v>
      </c>
      <c r="AZ67" s="83"/>
      <c r="BA67" s="83"/>
      <c r="BB67" s="83">
        <v>38613</v>
      </c>
      <c r="BC67" s="83">
        <v>8475</v>
      </c>
      <c r="BD67" s="83">
        <v>5480</v>
      </c>
      <c r="BE67" s="83"/>
      <c r="BF67" s="83">
        <v>2500</v>
      </c>
      <c r="BG67" s="83">
        <v>144980</v>
      </c>
      <c r="BH67" s="83"/>
      <c r="BI67" s="83">
        <v>10242.733</v>
      </c>
      <c r="BJ67" s="84">
        <f t="shared" si="4"/>
        <v>12055488.267999999</v>
      </c>
    </row>
    <row r="68" spans="1:62" ht="25.75" customHeight="1" x14ac:dyDescent="0.35">
      <c r="A68" s="83" t="s">
        <v>938</v>
      </c>
      <c r="B68" s="83">
        <v>0</v>
      </c>
      <c r="C68" s="83">
        <v>0</v>
      </c>
      <c r="D68" s="83">
        <v>0</v>
      </c>
      <c r="E68" s="83">
        <v>0</v>
      </c>
      <c r="F68" s="83">
        <v>3668</v>
      </c>
      <c r="G68" s="83">
        <v>4100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36783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  <c r="V68" s="83">
        <v>0</v>
      </c>
      <c r="W68" s="83">
        <v>703</v>
      </c>
      <c r="X68" s="83">
        <v>0</v>
      </c>
      <c r="Y68" s="83">
        <v>270860</v>
      </c>
      <c r="Z68" s="83">
        <v>0</v>
      </c>
      <c r="AA68" s="83">
        <v>0</v>
      </c>
      <c r="AB68" s="83">
        <v>0</v>
      </c>
      <c r="AC68" s="83">
        <v>0</v>
      </c>
      <c r="AD68" s="83">
        <v>0</v>
      </c>
      <c r="AE68" s="83">
        <v>1105938</v>
      </c>
      <c r="AF68" s="83">
        <v>0</v>
      </c>
      <c r="AG68" s="83">
        <v>1338000</v>
      </c>
      <c r="AH68" s="83">
        <v>43059</v>
      </c>
      <c r="AI68" s="83"/>
      <c r="AJ68" s="83">
        <v>0</v>
      </c>
      <c r="AK68" s="83">
        <v>0</v>
      </c>
      <c r="AL68" s="83">
        <v>0</v>
      </c>
      <c r="AM68" s="83">
        <v>59256.751999999979</v>
      </c>
      <c r="AN68" s="83"/>
      <c r="AO68" s="83">
        <v>0</v>
      </c>
      <c r="AP68" s="83">
        <v>0</v>
      </c>
      <c r="AQ68" s="83">
        <v>0</v>
      </c>
      <c r="AR68" s="83"/>
      <c r="AS68" s="83">
        <v>0</v>
      </c>
      <c r="AT68" s="83">
        <v>0</v>
      </c>
      <c r="AU68" s="83"/>
      <c r="AV68" s="83">
        <v>12000</v>
      </c>
      <c r="AW68" s="83"/>
      <c r="AX68" s="83" t="s">
        <v>929</v>
      </c>
      <c r="AY68" s="83" t="s">
        <v>929</v>
      </c>
      <c r="AZ68" s="83"/>
      <c r="BA68" s="83">
        <v>12000</v>
      </c>
      <c r="BB68" s="83"/>
      <c r="BC68" s="83"/>
      <c r="BD68" s="83"/>
      <c r="BE68" s="83"/>
      <c r="BF68" s="83">
        <v>1000</v>
      </c>
      <c r="BG68" s="83"/>
      <c r="BH68" s="83"/>
      <c r="BI68" s="83">
        <v>41633.561000000002</v>
      </c>
      <c r="BJ68" s="84">
        <f t="shared" si="4"/>
        <v>2929001.3130000001</v>
      </c>
    </row>
    <row r="69" spans="1:62" ht="25.75" customHeight="1" x14ac:dyDescent="0.35">
      <c r="A69" s="83" t="s">
        <v>939</v>
      </c>
      <c r="B69" s="83">
        <v>0</v>
      </c>
      <c r="C69" s="83">
        <f>1147+3360</f>
        <v>4507</v>
      </c>
      <c r="D69" s="83">
        <v>8</v>
      </c>
      <c r="E69" s="83">
        <v>3804</v>
      </c>
      <c r="F69" s="83">
        <v>30931</v>
      </c>
      <c r="G69" s="83">
        <v>0</v>
      </c>
      <c r="H69" s="83">
        <v>1361</v>
      </c>
      <c r="I69" s="83">
        <v>0</v>
      </c>
      <c r="J69" s="83">
        <v>0</v>
      </c>
      <c r="K69" s="83">
        <v>0</v>
      </c>
      <c r="L69" s="83">
        <v>569</v>
      </c>
      <c r="M69" s="83">
        <v>6000</v>
      </c>
      <c r="N69" s="83">
        <v>0</v>
      </c>
      <c r="O69" s="83">
        <v>396696</v>
      </c>
      <c r="P69" s="83">
        <v>0</v>
      </c>
      <c r="Q69" s="83">
        <v>152852</v>
      </c>
      <c r="R69" s="83">
        <v>0</v>
      </c>
      <c r="S69" s="83">
        <v>1192</v>
      </c>
      <c r="T69" s="83">
        <v>113694</v>
      </c>
      <c r="U69" s="83">
        <v>4793.6480000000001</v>
      </c>
      <c r="V69" s="83">
        <v>7904</v>
      </c>
      <c r="W69" s="83">
        <v>7374</v>
      </c>
      <c r="X69" s="83">
        <v>30945</v>
      </c>
      <c r="Y69" s="83">
        <v>996993</v>
      </c>
      <c r="Z69" s="83">
        <v>8773</v>
      </c>
      <c r="AA69" s="83">
        <v>0</v>
      </c>
      <c r="AB69" s="83">
        <v>19919.248</v>
      </c>
      <c r="AC69" s="83">
        <v>0</v>
      </c>
      <c r="AD69" s="83">
        <v>0</v>
      </c>
      <c r="AE69" s="83">
        <v>135337</v>
      </c>
      <c r="AF69" s="83">
        <v>50048</v>
      </c>
      <c r="AG69" s="83">
        <v>1107144</v>
      </c>
      <c r="AH69" s="83">
        <v>1977</v>
      </c>
      <c r="AI69" s="83">
        <v>38166</v>
      </c>
      <c r="AJ69" s="83">
        <v>0</v>
      </c>
      <c r="AK69" s="83">
        <v>30866</v>
      </c>
      <c r="AL69" s="83"/>
      <c r="AM69" s="83"/>
      <c r="AN69" s="83">
        <v>0</v>
      </c>
      <c r="AO69" s="83">
        <v>91255</v>
      </c>
      <c r="AP69" s="83">
        <v>0</v>
      </c>
      <c r="AQ69" s="83">
        <v>42015</v>
      </c>
      <c r="AR69" s="83">
        <v>466048</v>
      </c>
      <c r="AS69" s="83"/>
      <c r="AT69" s="83">
        <v>0</v>
      </c>
      <c r="AU69" s="83"/>
      <c r="AV69" s="83">
        <v>0</v>
      </c>
      <c r="AW69" s="83">
        <v>365099</v>
      </c>
      <c r="AX69" s="83" t="s">
        <v>929</v>
      </c>
      <c r="AY69" s="83" t="s">
        <v>929</v>
      </c>
      <c r="AZ69" s="83"/>
      <c r="BA69" s="83">
        <v>0</v>
      </c>
      <c r="BB69" s="83">
        <v>10561</v>
      </c>
      <c r="BC69" s="83">
        <v>6148</v>
      </c>
      <c r="BD69" s="83">
        <v>8650</v>
      </c>
      <c r="BE69" s="83"/>
      <c r="BF69" s="83"/>
      <c r="BG69" s="83">
        <v>155063</v>
      </c>
      <c r="BH69" s="83"/>
      <c r="BI69" s="83">
        <v>46065.574999999997</v>
      </c>
      <c r="BJ69" s="84">
        <f t="shared" si="4"/>
        <v>4342758.4709999999</v>
      </c>
    </row>
    <row r="70" spans="1:62" ht="25.75" customHeight="1" x14ac:dyDescent="0.35">
      <c r="A70" s="83" t="s">
        <v>940</v>
      </c>
      <c r="B70" s="83">
        <v>0</v>
      </c>
      <c r="C70" s="83">
        <v>116</v>
      </c>
      <c r="D70" s="83">
        <v>0</v>
      </c>
      <c r="E70" s="83">
        <v>5725</v>
      </c>
      <c r="F70" s="83">
        <v>173587</v>
      </c>
      <c r="G70" s="83">
        <v>0</v>
      </c>
      <c r="H70" s="83">
        <v>0</v>
      </c>
      <c r="I70" s="83">
        <v>0</v>
      </c>
      <c r="J70" s="83">
        <v>2639</v>
      </c>
      <c r="K70" s="83">
        <v>0</v>
      </c>
      <c r="L70" s="83">
        <v>0</v>
      </c>
      <c r="M70" s="83">
        <v>941</v>
      </c>
      <c r="N70" s="83">
        <v>0</v>
      </c>
      <c r="O70" s="83">
        <v>64991</v>
      </c>
      <c r="P70" s="83">
        <v>0</v>
      </c>
      <c r="Q70" s="83">
        <v>167924</v>
      </c>
      <c r="R70" s="83">
        <v>100</v>
      </c>
      <c r="S70" s="83">
        <v>4371</v>
      </c>
      <c r="T70" s="83">
        <v>0</v>
      </c>
      <c r="U70" s="83">
        <v>1211.02</v>
      </c>
      <c r="V70" s="83">
        <v>644</v>
      </c>
      <c r="W70" s="83">
        <v>12973</v>
      </c>
      <c r="X70" s="83">
        <v>14602</v>
      </c>
      <c r="Y70" s="83">
        <v>2970810</v>
      </c>
      <c r="Z70" s="83">
        <v>1572</v>
      </c>
      <c r="AA70" s="83">
        <v>0</v>
      </c>
      <c r="AB70" s="83">
        <v>29878.871999999999</v>
      </c>
      <c r="AC70" s="83">
        <v>0</v>
      </c>
      <c r="AD70" s="83">
        <v>0</v>
      </c>
      <c r="AE70" s="83">
        <v>216310</v>
      </c>
      <c r="AF70" s="83"/>
      <c r="AG70" s="83">
        <v>1861360</v>
      </c>
      <c r="AH70" s="83">
        <v>0</v>
      </c>
      <c r="AI70" s="83">
        <v>69427</v>
      </c>
      <c r="AJ70" s="83">
        <f>AI64-AI63</f>
        <v>0</v>
      </c>
      <c r="AK70" s="83">
        <f>32771+9098</f>
        <v>41869</v>
      </c>
      <c r="AL70" s="83">
        <v>0</v>
      </c>
      <c r="AM70" s="83">
        <v>15917.272999999999</v>
      </c>
      <c r="AN70" s="83">
        <v>2506</v>
      </c>
      <c r="AO70" s="83">
        <v>0</v>
      </c>
      <c r="AP70" s="83">
        <v>0</v>
      </c>
      <c r="AQ70" s="83">
        <v>24502</v>
      </c>
      <c r="AR70" s="83">
        <v>1511645</v>
      </c>
      <c r="AS70" s="83"/>
      <c r="AT70" s="83">
        <v>0</v>
      </c>
      <c r="AU70" s="83"/>
      <c r="AV70" s="83">
        <v>0</v>
      </c>
      <c r="AW70" s="83">
        <v>8079</v>
      </c>
      <c r="AX70" s="83" t="s">
        <v>929</v>
      </c>
      <c r="AY70" s="83">
        <v>486.7</v>
      </c>
      <c r="AZ70" s="83"/>
      <c r="BA70" s="83">
        <v>0</v>
      </c>
      <c r="BB70" s="83">
        <v>18811</v>
      </c>
      <c r="BC70" s="83"/>
      <c r="BD70" s="83">
        <v>3299</v>
      </c>
      <c r="BE70" s="83"/>
      <c r="BF70" s="83"/>
      <c r="BG70" s="83">
        <v>31846</v>
      </c>
      <c r="BH70" s="83"/>
      <c r="BI70" s="83">
        <v>35720</v>
      </c>
      <c r="BJ70" s="84">
        <f t="shared" si="4"/>
        <v>7293862.8650000002</v>
      </c>
    </row>
    <row r="71" spans="1:62" ht="25.75" customHeight="1" x14ac:dyDescent="0.35">
      <c r="A71" s="84" t="s">
        <v>941</v>
      </c>
      <c r="B71" s="84">
        <f>B72</f>
        <v>8</v>
      </c>
      <c r="C71" s="84">
        <f t="shared" ref="C71:BI71" si="11">C72</f>
        <v>0</v>
      </c>
      <c r="D71" s="84">
        <f t="shared" si="11"/>
        <v>7993</v>
      </c>
      <c r="E71" s="84">
        <f t="shared" si="11"/>
        <v>439</v>
      </c>
      <c r="F71" s="84">
        <f t="shared" si="11"/>
        <v>2028</v>
      </c>
      <c r="G71" s="84">
        <f t="shared" si="11"/>
        <v>0</v>
      </c>
      <c r="H71" s="84">
        <f t="shared" si="11"/>
        <v>0</v>
      </c>
      <c r="I71" s="84">
        <f t="shared" si="11"/>
        <v>0</v>
      </c>
      <c r="J71" s="84">
        <f t="shared" si="11"/>
        <v>0</v>
      </c>
      <c r="K71" s="84">
        <f t="shared" si="11"/>
        <v>0</v>
      </c>
      <c r="L71" s="84">
        <f t="shared" si="11"/>
        <v>0</v>
      </c>
      <c r="M71" s="84">
        <f t="shared" si="11"/>
        <v>341</v>
      </c>
      <c r="N71" s="84">
        <f t="shared" si="11"/>
        <v>0</v>
      </c>
      <c r="O71" s="84">
        <f t="shared" si="11"/>
        <v>2850670</v>
      </c>
      <c r="P71" s="84">
        <f t="shared" si="11"/>
        <v>0</v>
      </c>
      <c r="Q71" s="84">
        <f t="shared" si="11"/>
        <v>3688397</v>
      </c>
      <c r="R71" s="84">
        <f t="shared" si="11"/>
        <v>0</v>
      </c>
      <c r="S71" s="84">
        <f t="shared" si="11"/>
        <v>135184</v>
      </c>
      <c r="T71" s="84">
        <f t="shared" si="11"/>
        <v>594541</v>
      </c>
      <c r="U71" s="84">
        <f t="shared" si="11"/>
        <v>110078.899</v>
      </c>
      <c r="V71" s="84">
        <f t="shared" si="11"/>
        <v>0</v>
      </c>
      <c r="W71" s="84">
        <f t="shared" si="11"/>
        <v>38069</v>
      </c>
      <c r="X71" s="84">
        <f t="shared" si="11"/>
        <v>13984</v>
      </c>
      <c r="Y71" s="84">
        <f t="shared" si="11"/>
        <v>7098788</v>
      </c>
      <c r="Z71" s="84">
        <f t="shared" si="11"/>
        <v>0</v>
      </c>
      <c r="AA71" s="84">
        <f t="shared" si="11"/>
        <v>0</v>
      </c>
      <c r="AB71" s="84">
        <f t="shared" si="11"/>
        <v>0</v>
      </c>
      <c r="AC71" s="84">
        <f t="shared" si="11"/>
        <v>0</v>
      </c>
      <c r="AD71" s="84">
        <f t="shared" si="11"/>
        <v>0</v>
      </c>
      <c r="AE71" s="84">
        <f t="shared" si="11"/>
        <v>5624256</v>
      </c>
      <c r="AF71" s="84">
        <f t="shared" si="11"/>
        <v>973</v>
      </c>
      <c r="AG71" s="84">
        <f t="shared" si="11"/>
        <v>12296623</v>
      </c>
      <c r="AH71" s="84">
        <f t="shared" si="11"/>
        <v>0</v>
      </c>
      <c r="AI71" s="84">
        <f t="shared" si="11"/>
        <v>107919</v>
      </c>
      <c r="AJ71" s="84">
        <f t="shared" si="11"/>
        <v>0</v>
      </c>
      <c r="AK71" s="84">
        <f t="shared" si="11"/>
        <v>67655</v>
      </c>
      <c r="AL71" s="84">
        <f t="shared" si="11"/>
        <v>11958</v>
      </c>
      <c r="AM71" s="84">
        <f t="shared" si="11"/>
        <v>1625228.327</v>
      </c>
      <c r="AN71" s="84">
        <f t="shared" si="11"/>
        <v>4697</v>
      </c>
      <c r="AO71" s="84">
        <f t="shared" si="11"/>
        <v>503712</v>
      </c>
      <c r="AP71" s="84">
        <f t="shared" si="11"/>
        <v>0</v>
      </c>
      <c r="AQ71" s="84">
        <f t="shared" si="11"/>
        <v>33370</v>
      </c>
      <c r="AR71" s="84">
        <f t="shared" si="11"/>
        <v>1862008</v>
      </c>
      <c r="AS71" s="84">
        <f t="shared" si="11"/>
        <v>23615.13</v>
      </c>
      <c r="AT71" s="84">
        <f t="shared" si="11"/>
        <v>9108.5750000000007</v>
      </c>
      <c r="AU71" s="84">
        <f t="shared" si="11"/>
        <v>0</v>
      </c>
      <c r="AV71" s="84">
        <f t="shared" si="11"/>
        <v>0</v>
      </c>
      <c r="AW71" s="84">
        <f t="shared" si="11"/>
        <v>4255287</v>
      </c>
      <c r="AX71" s="84">
        <f t="shared" si="11"/>
        <v>66630</v>
      </c>
      <c r="AY71" s="84">
        <v>0</v>
      </c>
      <c r="AZ71" s="84">
        <f t="shared" si="11"/>
        <v>0</v>
      </c>
      <c r="BA71" s="84">
        <f t="shared" si="11"/>
        <v>0</v>
      </c>
      <c r="BB71" s="84">
        <f t="shared" si="11"/>
        <v>458</v>
      </c>
      <c r="BC71" s="84">
        <f t="shared" si="11"/>
        <v>0</v>
      </c>
      <c r="BD71" s="84">
        <f t="shared" si="11"/>
        <v>0</v>
      </c>
      <c r="BE71" s="84">
        <f t="shared" si="11"/>
        <v>0</v>
      </c>
      <c r="BF71" s="84">
        <f t="shared" si="11"/>
        <v>1115</v>
      </c>
      <c r="BG71" s="84">
        <f t="shared" si="11"/>
        <v>18357</v>
      </c>
      <c r="BH71" s="84">
        <f t="shared" si="11"/>
        <v>0</v>
      </c>
      <c r="BI71" s="84">
        <f t="shared" si="11"/>
        <v>0</v>
      </c>
      <c r="BJ71" s="84">
        <f t="shared" si="4"/>
        <v>41053490.931000009</v>
      </c>
    </row>
    <row r="72" spans="1:62" ht="25.75" customHeight="1" x14ac:dyDescent="0.35">
      <c r="A72" s="83" t="s">
        <v>942</v>
      </c>
      <c r="B72" s="83">
        <v>8</v>
      </c>
      <c r="C72" s="83">
        <v>0</v>
      </c>
      <c r="D72" s="83">
        <v>7993</v>
      </c>
      <c r="E72" s="83">
        <v>439</v>
      </c>
      <c r="F72" s="83">
        <v>2028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341</v>
      </c>
      <c r="N72" s="83">
        <v>0</v>
      </c>
      <c r="O72" s="83">
        <v>2850670</v>
      </c>
      <c r="P72" s="83">
        <v>0</v>
      </c>
      <c r="Q72" s="83">
        <v>3688397</v>
      </c>
      <c r="R72" s="83">
        <v>0</v>
      </c>
      <c r="S72" s="83">
        <v>135184</v>
      </c>
      <c r="T72" s="83">
        <v>594541</v>
      </c>
      <c r="U72" s="83">
        <v>110078.899</v>
      </c>
      <c r="V72" s="83">
        <v>0</v>
      </c>
      <c r="W72" s="83">
        <v>38069</v>
      </c>
      <c r="X72" s="83">
        <v>13984</v>
      </c>
      <c r="Y72" s="83">
        <v>7098788</v>
      </c>
      <c r="Z72" s="83">
        <v>0</v>
      </c>
      <c r="AA72" s="83">
        <v>0</v>
      </c>
      <c r="AB72" s="83">
        <v>0</v>
      </c>
      <c r="AC72" s="83">
        <v>0</v>
      </c>
      <c r="AD72" s="83">
        <v>0</v>
      </c>
      <c r="AE72" s="83">
        <v>5624256</v>
      </c>
      <c r="AF72" s="83">
        <v>973</v>
      </c>
      <c r="AG72" s="83">
        <f>11111093+1185530</f>
        <v>12296623</v>
      </c>
      <c r="AH72" s="83">
        <v>0</v>
      </c>
      <c r="AI72" s="83">
        <v>107919</v>
      </c>
      <c r="AJ72" s="83">
        <v>0</v>
      </c>
      <c r="AK72" s="83">
        <v>67655</v>
      </c>
      <c r="AL72" s="83">
        <v>11958</v>
      </c>
      <c r="AM72" s="83">
        <v>1625228.327</v>
      </c>
      <c r="AN72" s="83">
        <v>4697</v>
      </c>
      <c r="AO72" s="83">
        <v>503712</v>
      </c>
      <c r="AP72" s="83">
        <v>0</v>
      </c>
      <c r="AQ72" s="83">
        <v>33370</v>
      </c>
      <c r="AR72" s="84">
        <v>1862008</v>
      </c>
      <c r="AS72" s="83">
        <v>23615.13</v>
      </c>
      <c r="AT72" s="83">
        <v>9108.5750000000007</v>
      </c>
      <c r="AU72" s="83"/>
      <c r="AV72" s="83"/>
      <c r="AW72" s="83">
        <v>4255287</v>
      </c>
      <c r="AX72" s="83">
        <v>66630</v>
      </c>
      <c r="AY72" s="83" t="s">
        <v>929</v>
      </c>
      <c r="AZ72" s="83"/>
      <c r="BA72" s="83">
        <v>0</v>
      </c>
      <c r="BB72" s="83">
        <v>458</v>
      </c>
      <c r="BC72" s="83">
        <v>0</v>
      </c>
      <c r="BD72" s="83">
        <v>0</v>
      </c>
      <c r="BE72" s="83"/>
      <c r="BF72" s="83">
        <v>1115</v>
      </c>
      <c r="BG72" s="83">
        <v>18357</v>
      </c>
      <c r="BH72" s="83"/>
      <c r="BI72" s="83"/>
      <c r="BJ72" s="84">
        <f t="shared" si="4"/>
        <v>41053490.931000009</v>
      </c>
    </row>
    <row r="73" spans="1:62" ht="25.75" customHeight="1" x14ac:dyDescent="0.35">
      <c r="A73" s="84" t="s">
        <v>943</v>
      </c>
      <c r="B73" s="84">
        <f>B74</f>
        <v>0</v>
      </c>
      <c r="C73" s="84">
        <f t="shared" ref="C73:BI73" si="12">C74</f>
        <v>55286</v>
      </c>
      <c r="D73" s="84">
        <f t="shared" si="12"/>
        <v>0</v>
      </c>
      <c r="E73" s="84">
        <f t="shared" si="12"/>
        <v>0</v>
      </c>
      <c r="F73" s="84">
        <f t="shared" si="12"/>
        <v>25216</v>
      </c>
      <c r="G73" s="84">
        <f t="shared" si="12"/>
        <v>0</v>
      </c>
      <c r="H73" s="84">
        <f t="shared" si="12"/>
        <v>0</v>
      </c>
      <c r="I73" s="84">
        <f t="shared" si="12"/>
        <v>0</v>
      </c>
      <c r="J73" s="84">
        <f t="shared" si="12"/>
        <v>161589</v>
      </c>
      <c r="K73" s="84">
        <f t="shared" si="12"/>
        <v>16794</v>
      </c>
      <c r="L73" s="84">
        <f t="shared" si="12"/>
        <v>8886</v>
      </c>
      <c r="M73" s="84">
        <f t="shared" si="12"/>
        <v>32935</v>
      </c>
      <c r="N73" s="84">
        <f t="shared" si="12"/>
        <v>0</v>
      </c>
      <c r="O73" s="84">
        <f t="shared" si="12"/>
        <v>1009819</v>
      </c>
      <c r="P73" s="84">
        <f t="shared" si="12"/>
        <v>0</v>
      </c>
      <c r="Q73" s="84">
        <f t="shared" si="12"/>
        <v>235615</v>
      </c>
      <c r="R73" s="84">
        <f t="shared" si="12"/>
        <v>48801</v>
      </c>
      <c r="S73" s="84">
        <f t="shared" si="12"/>
        <v>41871</v>
      </c>
      <c r="T73" s="84">
        <f t="shared" si="12"/>
        <v>509393</v>
      </c>
      <c r="U73" s="84">
        <f t="shared" si="12"/>
        <v>0</v>
      </c>
      <c r="V73" s="84">
        <f t="shared" si="12"/>
        <v>0</v>
      </c>
      <c r="W73" s="84">
        <f t="shared" si="12"/>
        <v>439872</v>
      </c>
      <c r="X73" s="84">
        <f t="shared" si="12"/>
        <v>0</v>
      </c>
      <c r="Y73" s="84">
        <f t="shared" si="12"/>
        <v>9189515</v>
      </c>
      <c r="Z73" s="84">
        <f t="shared" si="12"/>
        <v>0</v>
      </c>
      <c r="AA73" s="84">
        <f t="shared" si="12"/>
        <v>0</v>
      </c>
      <c r="AB73" s="84">
        <f t="shared" si="12"/>
        <v>0</v>
      </c>
      <c r="AC73" s="84">
        <f t="shared" si="12"/>
        <v>98597</v>
      </c>
      <c r="AD73" s="84">
        <f t="shared" si="12"/>
        <v>0</v>
      </c>
      <c r="AE73" s="84">
        <f t="shared" si="12"/>
        <v>1987663</v>
      </c>
      <c r="AF73" s="84">
        <f t="shared" si="12"/>
        <v>36020</v>
      </c>
      <c r="AG73" s="84">
        <f t="shared" si="12"/>
        <v>12072261</v>
      </c>
      <c r="AH73" s="84">
        <f t="shared" si="12"/>
        <v>59169</v>
      </c>
      <c r="AI73" s="84">
        <f t="shared" si="12"/>
        <v>28012</v>
      </c>
      <c r="AJ73" s="84">
        <f t="shared" si="12"/>
        <v>0</v>
      </c>
      <c r="AK73" s="84">
        <f t="shared" si="12"/>
        <v>74816</v>
      </c>
      <c r="AL73" s="84">
        <f t="shared" si="12"/>
        <v>0</v>
      </c>
      <c r="AM73" s="84">
        <f t="shared" si="12"/>
        <v>352200.53899999999</v>
      </c>
      <c r="AN73" s="84">
        <f t="shared" si="12"/>
        <v>0</v>
      </c>
      <c r="AO73" s="84">
        <f t="shared" si="12"/>
        <v>0</v>
      </c>
      <c r="AP73" s="84">
        <f t="shared" si="12"/>
        <v>0</v>
      </c>
      <c r="AQ73" s="84">
        <f t="shared" si="12"/>
        <v>3795</v>
      </c>
      <c r="AR73" s="84">
        <f t="shared" si="12"/>
        <v>0</v>
      </c>
      <c r="AS73" s="84">
        <f t="shared" si="12"/>
        <v>270904.46999999997</v>
      </c>
      <c r="AT73" s="84">
        <f t="shared" si="12"/>
        <v>0</v>
      </c>
      <c r="AU73" s="84">
        <f t="shared" si="12"/>
        <v>0</v>
      </c>
      <c r="AV73" s="84">
        <f t="shared" si="12"/>
        <v>0</v>
      </c>
      <c r="AW73" s="84">
        <f t="shared" si="12"/>
        <v>3293534</v>
      </c>
      <c r="AX73" s="84">
        <v>0</v>
      </c>
      <c r="AY73" s="84">
        <v>0</v>
      </c>
      <c r="AZ73" s="84">
        <f t="shared" si="12"/>
        <v>0</v>
      </c>
      <c r="BA73" s="84">
        <f t="shared" si="12"/>
        <v>0</v>
      </c>
      <c r="BB73" s="84">
        <f t="shared" si="12"/>
        <v>134633</v>
      </c>
      <c r="BC73" s="84">
        <f t="shared" si="12"/>
        <v>3318</v>
      </c>
      <c r="BD73" s="84">
        <f t="shared" si="12"/>
        <v>0</v>
      </c>
      <c r="BE73" s="84">
        <f t="shared" si="12"/>
        <v>0</v>
      </c>
      <c r="BF73" s="84">
        <f t="shared" si="12"/>
        <v>715</v>
      </c>
      <c r="BG73" s="84">
        <f t="shared" si="12"/>
        <v>96377</v>
      </c>
      <c r="BH73" s="84">
        <f t="shared" si="12"/>
        <v>0</v>
      </c>
      <c r="BI73" s="84">
        <f t="shared" si="12"/>
        <v>0</v>
      </c>
      <c r="BJ73" s="84">
        <f t="shared" si="4"/>
        <v>30287607.009</v>
      </c>
    </row>
    <row r="74" spans="1:62" ht="25.75" customHeight="1" x14ac:dyDescent="0.35">
      <c r="A74" s="83" t="s">
        <v>944</v>
      </c>
      <c r="B74" s="83">
        <v>0</v>
      </c>
      <c r="C74" s="83">
        <v>55286</v>
      </c>
      <c r="D74" s="83">
        <v>0</v>
      </c>
      <c r="E74" s="83">
        <v>0</v>
      </c>
      <c r="F74" s="83">
        <v>25216</v>
      </c>
      <c r="G74" s="83">
        <v>0</v>
      </c>
      <c r="H74" s="83">
        <v>0</v>
      </c>
      <c r="I74" s="83">
        <v>0</v>
      </c>
      <c r="J74" s="83">
        <v>161589</v>
      </c>
      <c r="K74" s="83">
        <v>16794</v>
      </c>
      <c r="L74" s="83">
        <v>8886</v>
      </c>
      <c r="M74" s="83">
        <v>32935</v>
      </c>
      <c r="N74" s="83">
        <v>0</v>
      </c>
      <c r="O74" s="83">
        <v>1009819</v>
      </c>
      <c r="P74" s="83">
        <v>0</v>
      </c>
      <c r="Q74" s="83">
        <v>235615</v>
      </c>
      <c r="R74" s="83">
        <v>48801</v>
      </c>
      <c r="S74" s="83">
        <v>41871</v>
      </c>
      <c r="T74" s="83">
        <v>509393</v>
      </c>
      <c r="U74" s="83">
        <v>0</v>
      </c>
      <c r="V74" s="83">
        <v>0</v>
      </c>
      <c r="W74" s="83">
        <v>439872</v>
      </c>
      <c r="X74" s="83">
        <v>0</v>
      </c>
      <c r="Y74" s="83">
        <v>9189515</v>
      </c>
      <c r="Z74" s="83">
        <v>0</v>
      </c>
      <c r="AA74" s="83">
        <v>0</v>
      </c>
      <c r="AB74" s="83">
        <v>0</v>
      </c>
      <c r="AC74" s="83">
        <v>98597</v>
      </c>
      <c r="AD74" s="83">
        <v>0</v>
      </c>
      <c r="AE74" s="83">
        <v>1987663</v>
      </c>
      <c r="AF74" s="83">
        <v>36020</v>
      </c>
      <c r="AG74" s="83">
        <v>12072261</v>
      </c>
      <c r="AH74" s="83">
        <v>59169</v>
      </c>
      <c r="AI74" s="83">
        <v>28012</v>
      </c>
      <c r="AJ74" s="83">
        <v>0</v>
      </c>
      <c r="AK74" s="83">
        <v>74816</v>
      </c>
      <c r="AL74" s="83">
        <v>0</v>
      </c>
      <c r="AM74" s="83">
        <v>352200.53899999999</v>
      </c>
      <c r="AN74" s="83">
        <v>0</v>
      </c>
      <c r="AO74" s="83">
        <v>0</v>
      </c>
      <c r="AP74" s="83">
        <v>0</v>
      </c>
      <c r="AQ74" s="83">
        <v>3795</v>
      </c>
      <c r="AR74" s="83"/>
      <c r="AS74" s="83">
        <v>270904.46999999997</v>
      </c>
      <c r="AT74" s="83">
        <v>0</v>
      </c>
      <c r="AU74" s="83"/>
      <c r="AV74" s="83"/>
      <c r="AW74" s="83">
        <v>3293534</v>
      </c>
      <c r="AX74" s="83" t="s">
        <v>929</v>
      </c>
      <c r="AY74" s="83" t="s">
        <v>929</v>
      </c>
      <c r="AZ74" s="83"/>
      <c r="BA74" s="83">
        <v>0</v>
      </c>
      <c r="BB74" s="83">
        <v>134633</v>
      </c>
      <c r="BC74" s="83">
        <v>3318</v>
      </c>
      <c r="BD74" s="83">
        <v>0</v>
      </c>
      <c r="BE74" s="83"/>
      <c r="BF74" s="83">
        <v>715</v>
      </c>
      <c r="BG74" s="83">
        <v>96377</v>
      </c>
      <c r="BH74" s="83"/>
      <c r="BI74" s="83"/>
      <c r="BJ74" s="84">
        <f t="shared" si="4"/>
        <v>30287607.009</v>
      </c>
    </row>
    <row r="75" spans="1:62" ht="25.75" customHeight="1" x14ac:dyDescent="0.35">
      <c r="A75" s="84" t="s">
        <v>945</v>
      </c>
      <c r="B75" s="84">
        <f>B76</f>
        <v>2107</v>
      </c>
      <c r="C75" s="84">
        <f t="shared" ref="C75:BI75" si="13">C76</f>
        <v>0</v>
      </c>
      <c r="D75" s="84">
        <f t="shared" si="13"/>
        <v>0</v>
      </c>
      <c r="E75" s="84">
        <f t="shared" si="13"/>
        <v>3733</v>
      </c>
      <c r="F75" s="84">
        <f t="shared" si="13"/>
        <v>0</v>
      </c>
      <c r="G75" s="84">
        <f t="shared" si="13"/>
        <v>0</v>
      </c>
      <c r="H75" s="84">
        <f t="shared" si="13"/>
        <v>0</v>
      </c>
      <c r="I75" s="84">
        <f t="shared" si="13"/>
        <v>0</v>
      </c>
      <c r="J75" s="84">
        <f t="shared" si="13"/>
        <v>0</v>
      </c>
      <c r="K75" s="84">
        <f t="shared" si="13"/>
        <v>0</v>
      </c>
      <c r="L75" s="84">
        <f t="shared" si="13"/>
        <v>0</v>
      </c>
      <c r="M75" s="84">
        <f t="shared" si="13"/>
        <v>0</v>
      </c>
      <c r="N75" s="84">
        <f t="shared" si="13"/>
        <v>0</v>
      </c>
      <c r="O75" s="84">
        <f t="shared" si="13"/>
        <v>0</v>
      </c>
      <c r="P75" s="84">
        <f t="shared" si="13"/>
        <v>0</v>
      </c>
      <c r="Q75" s="84">
        <f t="shared" si="13"/>
        <v>0</v>
      </c>
      <c r="R75" s="84">
        <f t="shared" si="13"/>
        <v>2087</v>
      </c>
      <c r="S75" s="84">
        <f t="shared" si="13"/>
        <v>0</v>
      </c>
      <c r="T75" s="84">
        <f t="shared" si="13"/>
        <v>551067</v>
      </c>
      <c r="U75" s="84">
        <f t="shared" si="13"/>
        <v>4306</v>
      </c>
      <c r="V75" s="84">
        <f t="shared" si="13"/>
        <v>0</v>
      </c>
      <c r="W75" s="84">
        <f t="shared" si="13"/>
        <v>0</v>
      </c>
      <c r="X75" s="84">
        <f t="shared" si="13"/>
        <v>0</v>
      </c>
      <c r="Y75" s="84">
        <f t="shared" si="13"/>
        <v>0</v>
      </c>
      <c r="Z75" s="84">
        <f t="shared" si="13"/>
        <v>0</v>
      </c>
      <c r="AA75" s="84">
        <f t="shared" si="13"/>
        <v>0</v>
      </c>
      <c r="AB75" s="84">
        <f t="shared" si="13"/>
        <v>0</v>
      </c>
      <c r="AC75" s="84">
        <f t="shared" si="13"/>
        <v>0</v>
      </c>
      <c r="AD75" s="84">
        <f t="shared" si="13"/>
        <v>0</v>
      </c>
      <c r="AE75" s="84">
        <f t="shared" si="13"/>
        <v>216310</v>
      </c>
      <c r="AF75" s="84">
        <f t="shared" si="13"/>
        <v>0</v>
      </c>
      <c r="AG75" s="84">
        <f t="shared" si="13"/>
        <v>10470001</v>
      </c>
      <c r="AH75" s="84">
        <f t="shared" si="13"/>
        <v>0</v>
      </c>
      <c r="AI75" s="84">
        <f t="shared" si="13"/>
        <v>5000</v>
      </c>
      <c r="AJ75" s="84">
        <f t="shared" si="13"/>
        <v>0</v>
      </c>
      <c r="AK75" s="84">
        <f t="shared" si="13"/>
        <v>5000</v>
      </c>
      <c r="AL75" s="84">
        <f t="shared" si="13"/>
        <v>0</v>
      </c>
      <c r="AM75" s="84">
        <f t="shared" si="13"/>
        <v>0</v>
      </c>
      <c r="AN75" s="84">
        <f t="shared" si="13"/>
        <v>242561</v>
      </c>
      <c r="AO75" s="84">
        <f t="shared" si="13"/>
        <v>0</v>
      </c>
      <c r="AP75" s="84">
        <f t="shared" si="13"/>
        <v>0</v>
      </c>
      <c r="AQ75" s="84">
        <f t="shared" si="13"/>
        <v>0</v>
      </c>
      <c r="AR75" s="84">
        <f t="shared" si="13"/>
        <v>0</v>
      </c>
      <c r="AS75" s="84">
        <f t="shared" si="13"/>
        <v>269651.77</v>
      </c>
      <c r="AT75" s="84">
        <f t="shared" si="13"/>
        <v>500000</v>
      </c>
      <c r="AU75" s="84">
        <f t="shared" si="13"/>
        <v>0</v>
      </c>
      <c r="AV75" s="84">
        <f t="shared" si="13"/>
        <v>0</v>
      </c>
      <c r="AW75" s="84" t="str">
        <f t="shared" si="13"/>
        <v>-</v>
      </c>
      <c r="AX75" s="84" t="str">
        <f t="shared" si="13"/>
        <v>-</v>
      </c>
      <c r="AY75" s="84" t="str">
        <f t="shared" si="13"/>
        <v>-</v>
      </c>
      <c r="AZ75" s="84">
        <f t="shared" si="13"/>
        <v>0</v>
      </c>
      <c r="BA75" s="84">
        <f t="shared" si="13"/>
        <v>0</v>
      </c>
      <c r="BB75" s="84">
        <f t="shared" si="13"/>
        <v>4290</v>
      </c>
      <c r="BC75" s="84">
        <f t="shared" si="13"/>
        <v>1230</v>
      </c>
      <c r="BD75" s="84">
        <f t="shared" si="13"/>
        <v>5000</v>
      </c>
      <c r="BE75" s="84">
        <f t="shared" si="13"/>
        <v>0</v>
      </c>
      <c r="BF75" s="84">
        <f t="shared" si="13"/>
        <v>0</v>
      </c>
      <c r="BG75" s="84">
        <f t="shared" si="13"/>
        <v>210988</v>
      </c>
      <c r="BH75" s="84">
        <f t="shared" si="13"/>
        <v>0</v>
      </c>
      <c r="BI75" s="84">
        <f t="shared" si="13"/>
        <v>0</v>
      </c>
      <c r="BJ75" s="84">
        <f t="shared" si="4"/>
        <v>12493331.77</v>
      </c>
    </row>
    <row r="76" spans="1:62" ht="25.75" customHeight="1" x14ac:dyDescent="0.35">
      <c r="A76" s="83" t="s">
        <v>946</v>
      </c>
      <c r="B76" s="83">
        <v>2107</v>
      </c>
      <c r="C76" s="83">
        <v>0</v>
      </c>
      <c r="D76" s="83">
        <v>0</v>
      </c>
      <c r="E76" s="83">
        <v>3733</v>
      </c>
      <c r="F76" s="83">
        <v>0</v>
      </c>
      <c r="G76" s="83">
        <v>0</v>
      </c>
      <c r="H76" s="83">
        <v>0</v>
      </c>
      <c r="I76" s="83">
        <v>0</v>
      </c>
      <c r="J76" s="83">
        <v>0</v>
      </c>
      <c r="K76" s="83">
        <v>0</v>
      </c>
      <c r="L76" s="83">
        <v>0</v>
      </c>
      <c r="M76" s="83">
        <v>0</v>
      </c>
      <c r="N76" s="83">
        <v>0</v>
      </c>
      <c r="O76" s="83">
        <v>0</v>
      </c>
      <c r="P76" s="83">
        <v>0</v>
      </c>
      <c r="Q76" s="83">
        <v>0</v>
      </c>
      <c r="R76" s="83">
        <v>2087</v>
      </c>
      <c r="S76" s="83">
        <v>0</v>
      </c>
      <c r="T76" s="83">
        <v>551067</v>
      </c>
      <c r="U76" s="83">
        <v>4306</v>
      </c>
      <c r="V76" s="83">
        <v>0</v>
      </c>
      <c r="W76" s="83">
        <v>0</v>
      </c>
      <c r="X76" s="83">
        <v>0</v>
      </c>
      <c r="Y76" s="83">
        <v>0</v>
      </c>
      <c r="Z76" s="83">
        <v>0</v>
      </c>
      <c r="AA76" s="83">
        <v>0</v>
      </c>
      <c r="AB76" s="83">
        <v>0</v>
      </c>
      <c r="AC76" s="83">
        <v>0</v>
      </c>
      <c r="AD76" s="83">
        <v>0</v>
      </c>
      <c r="AE76" s="83">
        <v>216310</v>
      </c>
      <c r="AF76" s="83">
        <v>0</v>
      </c>
      <c r="AG76" s="83">
        <v>10470001</v>
      </c>
      <c r="AH76" s="83">
        <v>0</v>
      </c>
      <c r="AI76" s="83">
        <v>5000</v>
      </c>
      <c r="AJ76" s="83">
        <v>0</v>
      </c>
      <c r="AK76" s="83">
        <v>5000</v>
      </c>
      <c r="AL76" s="83">
        <v>0</v>
      </c>
      <c r="AM76" s="83">
        <v>0</v>
      </c>
      <c r="AN76" s="83">
        <v>242561</v>
      </c>
      <c r="AO76" s="83">
        <v>0</v>
      </c>
      <c r="AP76" s="83">
        <v>0</v>
      </c>
      <c r="AQ76" s="83">
        <v>0</v>
      </c>
      <c r="AR76" s="83">
        <v>0</v>
      </c>
      <c r="AS76" s="83">
        <v>269651.77</v>
      </c>
      <c r="AT76" s="83">
        <v>500000</v>
      </c>
      <c r="AU76" s="83"/>
      <c r="AV76" s="83"/>
      <c r="AW76" s="83" t="s">
        <v>929</v>
      </c>
      <c r="AX76" s="83" t="s">
        <v>929</v>
      </c>
      <c r="AY76" s="83" t="s">
        <v>929</v>
      </c>
      <c r="AZ76" s="83"/>
      <c r="BA76" s="83">
        <v>0</v>
      </c>
      <c r="BB76" s="83">
        <v>4290</v>
      </c>
      <c r="BC76" s="83">
        <v>1230</v>
      </c>
      <c r="BD76" s="83">
        <v>5000</v>
      </c>
      <c r="BE76" s="83"/>
      <c r="BF76" s="83">
        <v>0</v>
      </c>
      <c r="BG76" s="83">
        <v>210988</v>
      </c>
      <c r="BH76" s="83"/>
      <c r="BI76" s="83"/>
      <c r="BJ76" s="84">
        <f t="shared" ref="BJ76:BJ79" si="14">SUM(B76:BI76)</f>
        <v>12493331.77</v>
      </c>
    </row>
    <row r="77" spans="1:62" ht="25.75" customHeight="1" x14ac:dyDescent="0.35">
      <c r="A77" s="83" t="s">
        <v>947</v>
      </c>
      <c r="B77" s="83">
        <v>96543</v>
      </c>
      <c r="C77" s="83">
        <v>249742</v>
      </c>
      <c r="D77" s="83">
        <v>84093</v>
      </c>
      <c r="E77" s="83">
        <v>4172</v>
      </c>
      <c r="F77" s="83">
        <v>2855966</v>
      </c>
      <c r="G77" s="83">
        <v>94613</v>
      </c>
      <c r="H77" s="83">
        <v>0</v>
      </c>
      <c r="I77" s="83">
        <v>47256</v>
      </c>
      <c r="J77" s="83">
        <v>171879</v>
      </c>
      <c r="K77" s="83">
        <v>174267</v>
      </c>
      <c r="L77" s="83">
        <v>150735</v>
      </c>
      <c r="M77" s="83">
        <v>1443025</v>
      </c>
      <c r="N77" s="83">
        <v>185456</v>
      </c>
      <c r="O77" s="83">
        <v>39574316</v>
      </c>
      <c r="P77" s="83">
        <v>0</v>
      </c>
      <c r="Q77" s="83">
        <v>44574628</v>
      </c>
      <c r="R77" s="83">
        <v>530709</v>
      </c>
      <c r="S77" s="83">
        <v>391393</v>
      </c>
      <c r="T77" s="83">
        <v>11529662</v>
      </c>
      <c r="U77" s="83">
        <v>797315083</v>
      </c>
      <c r="V77" s="83">
        <v>403329</v>
      </c>
      <c r="W77" s="83">
        <v>8650379</v>
      </c>
      <c r="X77" s="83">
        <v>569826</v>
      </c>
      <c r="Y77" s="83">
        <v>194971075</v>
      </c>
      <c r="Z77" s="83">
        <v>162345</v>
      </c>
      <c r="AA77" s="83">
        <v>36000</v>
      </c>
      <c r="AB77" s="83">
        <v>726956399</v>
      </c>
      <c r="AC77" s="83">
        <v>586961</v>
      </c>
      <c r="AD77" s="83">
        <v>0</v>
      </c>
      <c r="AE77" s="83">
        <v>84372345</v>
      </c>
      <c r="AF77" s="83">
        <v>418312</v>
      </c>
      <c r="AG77" s="83">
        <v>175766622</v>
      </c>
      <c r="AH77" s="83">
        <v>842819</v>
      </c>
      <c r="AI77" s="83">
        <v>220224466</v>
      </c>
      <c r="AJ77" s="83">
        <v>330634298</v>
      </c>
      <c r="AK77" s="83">
        <v>1401420</v>
      </c>
      <c r="AL77" s="83">
        <v>109183</v>
      </c>
      <c r="AM77" s="83">
        <v>6359406503</v>
      </c>
      <c r="AN77" s="83">
        <v>247258</v>
      </c>
      <c r="AO77" s="83">
        <v>4341406</v>
      </c>
      <c r="AP77" s="83">
        <v>83775</v>
      </c>
      <c r="AQ77" s="83">
        <v>1752213</v>
      </c>
      <c r="AR77" s="83">
        <v>101434429</v>
      </c>
      <c r="AS77" s="83"/>
      <c r="AT77" s="83"/>
      <c r="AU77" s="83"/>
      <c r="AV77" s="83"/>
      <c r="AW77" s="83" t="s">
        <v>929</v>
      </c>
      <c r="AX77" s="83" t="s">
        <v>929</v>
      </c>
      <c r="AY77" s="83" t="s">
        <v>929</v>
      </c>
      <c r="AZ77" s="83"/>
      <c r="BA77" s="83">
        <v>252740</v>
      </c>
      <c r="BB77" s="83">
        <v>1069483</v>
      </c>
      <c r="BC77" s="83">
        <v>75809</v>
      </c>
      <c r="BD77" s="83">
        <v>1208830</v>
      </c>
      <c r="BE77" s="83"/>
      <c r="BF77" s="83">
        <v>0</v>
      </c>
      <c r="BG77" s="83">
        <v>16521634</v>
      </c>
      <c r="BH77" s="83"/>
      <c r="BI77" s="83">
        <v>3948930.986</v>
      </c>
      <c r="BJ77" s="84">
        <f t="shared" si="14"/>
        <v>9135922327.9860001</v>
      </c>
    </row>
    <row r="78" spans="1:62" ht="25.75" customHeight="1" x14ac:dyDescent="0.35">
      <c r="A78" s="83" t="s">
        <v>948</v>
      </c>
      <c r="B78" s="83">
        <v>0</v>
      </c>
      <c r="C78" s="83">
        <v>-41988</v>
      </c>
      <c r="D78" s="83">
        <v>160286</v>
      </c>
      <c r="E78" s="83">
        <v>1118013</v>
      </c>
      <c r="F78" s="83">
        <v>14292</v>
      </c>
      <c r="G78" s="83">
        <v>0</v>
      </c>
      <c r="H78" s="83">
        <v>39116</v>
      </c>
      <c r="I78" s="83">
        <v>0</v>
      </c>
      <c r="J78" s="83">
        <v>1069097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9133</v>
      </c>
      <c r="S78" s="83">
        <v>687606</v>
      </c>
      <c r="T78" s="83">
        <v>0</v>
      </c>
      <c r="U78" s="83">
        <v>-3875400</v>
      </c>
      <c r="V78" s="83">
        <v>0</v>
      </c>
      <c r="W78" s="83">
        <v>214564</v>
      </c>
      <c r="X78" s="83">
        <v>365308</v>
      </c>
      <c r="Y78" s="83">
        <v>0</v>
      </c>
      <c r="Z78" s="83">
        <v>0</v>
      </c>
      <c r="AA78" s="83">
        <v>-36000</v>
      </c>
      <c r="AB78" s="83">
        <v>-49748322</v>
      </c>
      <c r="AC78" s="83">
        <v>0</v>
      </c>
      <c r="AD78" s="83">
        <v>0</v>
      </c>
      <c r="AE78" s="83">
        <v>935467</v>
      </c>
      <c r="AF78" s="83">
        <v>46271</v>
      </c>
      <c r="AG78" s="83">
        <v>-10470002</v>
      </c>
      <c r="AH78" s="83">
        <v>0</v>
      </c>
      <c r="AI78" s="83">
        <v>0</v>
      </c>
      <c r="AJ78" s="83">
        <v>0</v>
      </c>
      <c r="AK78" s="83">
        <v>0</v>
      </c>
      <c r="AL78" s="83">
        <v>27858</v>
      </c>
      <c r="AM78" s="83">
        <v>-6359406503</v>
      </c>
      <c r="AN78" s="83">
        <v>-247258</v>
      </c>
      <c r="AO78" s="83">
        <v>0</v>
      </c>
      <c r="AP78" s="83">
        <v>0</v>
      </c>
      <c r="AQ78" s="83">
        <v>0</v>
      </c>
      <c r="AR78" s="83"/>
      <c r="AS78" s="83">
        <v>0</v>
      </c>
      <c r="AT78" s="83">
        <v>0</v>
      </c>
      <c r="AU78" s="83">
        <v>0</v>
      </c>
      <c r="AV78" s="83">
        <v>0</v>
      </c>
      <c r="AW78" s="83" t="s">
        <v>929</v>
      </c>
      <c r="AX78" s="83" t="s">
        <v>929</v>
      </c>
      <c r="AY78" s="83" t="s">
        <v>929</v>
      </c>
      <c r="AZ78" s="83"/>
      <c r="BA78" s="83">
        <v>0</v>
      </c>
      <c r="BB78" s="83"/>
      <c r="BC78" s="83">
        <v>0</v>
      </c>
      <c r="BD78" s="83">
        <v>0</v>
      </c>
      <c r="BE78" s="83"/>
      <c r="BF78" s="83">
        <v>0</v>
      </c>
      <c r="BG78" s="83">
        <v>0</v>
      </c>
      <c r="BH78" s="83"/>
      <c r="BI78" s="83"/>
      <c r="BJ78" s="84">
        <f t="shared" si="14"/>
        <v>-6419138462</v>
      </c>
    </row>
    <row r="79" spans="1:62" ht="25.75" customHeight="1" x14ac:dyDescent="0.35">
      <c r="A79" s="83" t="s">
        <v>949</v>
      </c>
      <c r="B79" s="83">
        <f t="shared" ref="B79:F79" si="15">B75+B71+B63+B53+B36+B32+B11+B73</f>
        <v>375918</v>
      </c>
      <c r="C79" s="83">
        <f t="shared" si="15"/>
        <v>578024</v>
      </c>
      <c r="D79" s="83">
        <f t="shared" si="15"/>
        <v>134368</v>
      </c>
      <c r="E79" s="83">
        <f t="shared" si="15"/>
        <v>1134026.08</v>
      </c>
      <c r="F79" s="83">
        <f t="shared" si="15"/>
        <v>2893838</v>
      </c>
      <c r="G79" s="83">
        <f>G75+G71+G63+G53+G36+G32+G11+G73</f>
        <v>94613</v>
      </c>
      <c r="H79" s="83">
        <f t="shared" ref="H79:BH79" si="16">H75+H71+H63+H53+H36+H32+H11+H73</f>
        <v>55674</v>
      </c>
      <c r="I79" s="83">
        <f t="shared" si="16"/>
        <v>47236</v>
      </c>
      <c r="J79" s="83">
        <f t="shared" si="16"/>
        <v>1348885</v>
      </c>
      <c r="K79" s="83">
        <f t="shared" si="16"/>
        <v>192311</v>
      </c>
      <c r="L79" s="83">
        <f t="shared" si="16"/>
        <v>150735</v>
      </c>
      <c r="M79" s="83">
        <f t="shared" si="16"/>
        <v>1459312</v>
      </c>
      <c r="N79" s="83">
        <f t="shared" si="16"/>
        <v>184964</v>
      </c>
      <c r="O79" s="83">
        <f t="shared" si="16"/>
        <v>46889257</v>
      </c>
      <c r="P79" s="83">
        <f t="shared" si="16"/>
        <v>40800</v>
      </c>
      <c r="Q79" s="83">
        <f t="shared" si="16"/>
        <v>39039222.899999999</v>
      </c>
      <c r="R79" s="83">
        <f t="shared" si="16"/>
        <v>671009</v>
      </c>
      <c r="S79" s="83">
        <f t="shared" si="16"/>
        <v>413391</v>
      </c>
      <c r="T79" s="83">
        <f t="shared" si="16"/>
        <v>6836039</v>
      </c>
      <c r="U79" s="83">
        <f t="shared" si="16"/>
        <v>795115.30799999996</v>
      </c>
      <c r="V79" s="83">
        <f t="shared" si="16"/>
        <v>403329</v>
      </c>
      <c r="W79" s="83">
        <f t="shared" si="16"/>
        <v>8913180</v>
      </c>
      <c r="X79" s="83">
        <f t="shared" si="16"/>
        <v>932403</v>
      </c>
      <c r="Y79" s="83">
        <f t="shared" si="16"/>
        <v>197402469</v>
      </c>
      <c r="Z79" s="83">
        <f t="shared" si="16"/>
        <v>162345</v>
      </c>
      <c r="AA79" s="83">
        <f t="shared" si="16"/>
        <v>93280</v>
      </c>
      <c r="AB79" s="83">
        <f t="shared" si="16"/>
        <v>2742743.0720000002</v>
      </c>
      <c r="AC79" s="83">
        <f t="shared" si="16"/>
        <v>586692</v>
      </c>
      <c r="AD79" s="83">
        <f t="shared" si="16"/>
        <v>0</v>
      </c>
      <c r="AE79" s="83">
        <f t="shared" si="16"/>
        <v>89916569</v>
      </c>
      <c r="AF79" s="83">
        <f t="shared" si="16"/>
        <v>464583</v>
      </c>
      <c r="AG79" s="83">
        <f t="shared" si="16"/>
        <v>197924654</v>
      </c>
      <c r="AH79" s="83">
        <f t="shared" si="16"/>
        <v>834169</v>
      </c>
      <c r="AI79" s="83">
        <f t="shared" si="16"/>
        <v>1758547.585</v>
      </c>
      <c r="AJ79" s="83">
        <f t="shared" si="16"/>
        <v>330634.29800000001</v>
      </c>
      <c r="AK79" s="83">
        <f t="shared" si="16"/>
        <v>1401420</v>
      </c>
      <c r="AL79" s="83">
        <f t="shared" si="16"/>
        <v>137041</v>
      </c>
      <c r="AM79" s="83">
        <f t="shared" si="16"/>
        <v>10427289.395</v>
      </c>
      <c r="AN79" s="83">
        <f t="shared" si="16"/>
        <v>584098</v>
      </c>
      <c r="AO79" s="83">
        <f t="shared" si="16"/>
        <v>2280305.5049999999</v>
      </c>
      <c r="AP79" s="83">
        <f t="shared" si="16"/>
        <v>83775</v>
      </c>
      <c r="AQ79" s="83">
        <f t="shared" si="16"/>
        <v>1752215</v>
      </c>
      <c r="AR79" s="83">
        <f t="shared" si="16"/>
        <v>100466224</v>
      </c>
      <c r="AS79" s="83">
        <f t="shared" si="16"/>
        <v>6164387.6399999997</v>
      </c>
      <c r="AT79" s="83">
        <f t="shared" si="16"/>
        <v>1437797.8769999999</v>
      </c>
      <c r="AU79" s="83">
        <f t="shared" si="16"/>
        <v>0</v>
      </c>
      <c r="AV79" s="83">
        <f t="shared" si="16"/>
        <v>290425</v>
      </c>
      <c r="AW79" s="83" t="e">
        <f t="shared" si="16"/>
        <v>#VALUE!</v>
      </c>
      <c r="AX79" s="83" t="e">
        <f t="shared" si="16"/>
        <v>#VALUE!</v>
      </c>
      <c r="AY79" s="83" t="e">
        <f t="shared" si="16"/>
        <v>#VALUE!</v>
      </c>
      <c r="AZ79" s="83">
        <f t="shared" si="16"/>
        <v>0</v>
      </c>
      <c r="BA79" s="83">
        <f t="shared" si="16"/>
        <v>280190</v>
      </c>
      <c r="BB79" s="83">
        <f t="shared" si="16"/>
        <v>1140301</v>
      </c>
      <c r="BC79" s="83">
        <f t="shared" si="16"/>
        <v>248095</v>
      </c>
      <c r="BD79" s="83">
        <f t="shared" si="16"/>
        <v>1216994</v>
      </c>
      <c r="BE79" s="83">
        <f t="shared" si="16"/>
        <v>0</v>
      </c>
      <c r="BF79" s="83">
        <f t="shared" si="16"/>
        <v>197362.02000000002</v>
      </c>
      <c r="BG79" s="83">
        <f t="shared" si="16"/>
        <v>16227761.592</v>
      </c>
      <c r="BH79" s="83">
        <f t="shared" si="16"/>
        <v>122277</v>
      </c>
      <c r="BI79" s="83">
        <v>31633634.999000005</v>
      </c>
      <c r="BJ79" s="84" t="e">
        <f t="shared" si="14"/>
        <v>#VALUE!</v>
      </c>
    </row>
  </sheetData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AR39 AR48:AR50 AR41:AR46 AR52 AR60 AR55:AR56" xr:uid="{00000000-0002-0000-0E00-000000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CD71"/>
  <sheetViews>
    <sheetView workbookViewId="0">
      <selection activeCell="D74" sqref="D74"/>
    </sheetView>
  </sheetViews>
  <sheetFormatPr baseColWidth="10" defaultColWidth="11.54296875" defaultRowHeight="14" x14ac:dyDescent="0.3"/>
  <cols>
    <col min="1" max="1" width="58" style="87" bestFit="1" customWidth="1"/>
    <col min="2" max="2" width="19.1796875" style="87" bestFit="1" customWidth="1"/>
    <col min="3" max="3" width="15.36328125" style="87" bestFit="1" customWidth="1"/>
    <col min="4" max="4" width="20.08984375" style="87" bestFit="1" customWidth="1"/>
    <col min="5" max="5" width="21.1796875" style="87" bestFit="1" customWidth="1"/>
    <col min="6" max="6" width="16.6328125" style="87" bestFit="1" customWidth="1"/>
    <col min="7" max="7" width="20.08984375" style="87" bestFit="1" customWidth="1"/>
    <col min="8" max="8" width="21.1796875" style="87" bestFit="1" customWidth="1"/>
    <col min="9" max="9" width="17.90625" style="87" bestFit="1" customWidth="1"/>
    <col min="10" max="10" width="18.08984375" style="87" bestFit="1" customWidth="1"/>
    <col min="11" max="12" width="17.90625" style="87" bestFit="1" customWidth="1"/>
    <col min="13" max="13" width="19.36328125" style="87" bestFit="1" customWidth="1"/>
    <col min="14" max="15" width="17.90625" style="87" bestFit="1" customWidth="1"/>
    <col min="16" max="16" width="19.1796875" style="87" bestFit="1" customWidth="1"/>
    <col min="17" max="17" width="15.08984375" style="87" bestFit="1" customWidth="1"/>
    <col min="18" max="18" width="13" style="87" bestFit="1" customWidth="1"/>
    <col min="19" max="19" width="15.54296875" style="87" bestFit="1" customWidth="1"/>
    <col min="20" max="20" width="16.81640625" style="87" bestFit="1" customWidth="1"/>
    <col min="21" max="22" width="15.54296875" style="87" bestFit="1" customWidth="1"/>
    <col min="23" max="23" width="16.81640625" style="87" bestFit="1" customWidth="1"/>
    <col min="24" max="24" width="18.08984375" style="87" bestFit="1" customWidth="1"/>
    <col min="25" max="25" width="23" style="87" bestFit="1" customWidth="1"/>
    <col min="26" max="26" width="14.08984375" style="87" bestFit="1" customWidth="1"/>
    <col min="27" max="28" width="16.81640625" style="87" bestFit="1" customWidth="1"/>
    <col min="29" max="29" width="27.54296875" style="87" bestFit="1" customWidth="1"/>
    <col min="30" max="30" width="21.54296875" style="87" bestFit="1" customWidth="1"/>
    <col min="31" max="31" width="19.08984375" style="87" bestFit="1" customWidth="1"/>
    <col min="32" max="32" width="21.453125" style="87" bestFit="1" customWidth="1"/>
    <col min="33" max="33" width="16.81640625" style="87" bestFit="1" customWidth="1"/>
    <col min="34" max="34" width="31.1796875" style="87" bestFit="1" customWidth="1"/>
    <col min="35" max="35" width="17.54296875" style="87" bestFit="1" customWidth="1"/>
    <col min="36" max="36" width="20.453125" style="87" bestFit="1" customWidth="1"/>
    <col min="37" max="37" width="16.6328125" style="87" bestFit="1" customWidth="1"/>
    <col min="38" max="38" width="42.08984375" style="87" bestFit="1" customWidth="1"/>
    <col min="39" max="39" width="27.54296875" style="87" bestFit="1" customWidth="1"/>
    <col min="40" max="40" width="18.6328125" style="87" bestFit="1" customWidth="1"/>
    <col min="41" max="41" width="17.90625" style="87" bestFit="1" customWidth="1"/>
    <col min="42" max="42" width="19.81640625" style="87" bestFit="1" customWidth="1"/>
    <col min="43" max="43" width="22.453125" style="87" bestFit="1" customWidth="1"/>
    <col min="44" max="44" width="15.54296875" style="87" bestFit="1" customWidth="1"/>
    <col min="45" max="45" width="16.1796875" style="87" bestFit="1" customWidth="1"/>
    <col min="46" max="47" width="15.54296875" style="87" bestFit="1" customWidth="1"/>
    <col min="48" max="48" width="14.81640625" style="87" bestFit="1" customWidth="1"/>
    <col min="49" max="49" width="21.54296875" style="87" bestFit="1" customWidth="1"/>
    <col min="50" max="50" width="21.1796875" style="87" bestFit="1" customWidth="1"/>
    <col min="51" max="51" width="15.54296875" style="87" bestFit="1" customWidth="1"/>
    <col min="52" max="52" width="20.453125" style="87" bestFit="1" customWidth="1"/>
    <col min="53" max="53" width="23.36328125" style="87" bestFit="1" customWidth="1"/>
    <col min="54" max="54" width="18" style="87" bestFit="1" customWidth="1"/>
    <col min="55" max="55" width="35.6328125" style="87" bestFit="1" customWidth="1"/>
    <col min="56" max="56" width="22.08984375" style="87" bestFit="1" customWidth="1"/>
    <col min="57" max="57" width="21" style="87" bestFit="1" customWidth="1"/>
    <col min="58" max="58" width="20.08984375" style="87" bestFit="1" customWidth="1"/>
    <col min="59" max="59" width="13" style="87" bestFit="1" customWidth="1"/>
    <col min="60" max="61" width="18.08984375" style="87" bestFit="1" customWidth="1"/>
    <col min="62" max="62" width="18.81640625" style="87" bestFit="1" customWidth="1"/>
    <col min="63" max="63" width="21.453125" style="87" bestFit="1" customWidth="1"/>
    <col min="64" max="64" width="17.36328125" style="87" bestFit="1" customWidth="1"/>
    <col min="65" max="65" width="44.1796875" style="87" bestFit="1" customWidth="1"/>
    <col min="66" max="66" width="29.90625" style="87" bestFit="1" customWidth="1"/>
    <col min="67" max="67" width="18.08984375" style="87" bestFit="1" customWidth="1"/>
    <col min="68" max="68" width="22.08984375" style="87" bestFit="1" customWidth="1"/>
    <col min="69" max="69" width="23" style="87" bestFit="1" customWidth="1"/>
    <col min="70" max="70" width="18.453125" style="87" bestFit="1" customWidth="1"/>
    <col min="71" max="71" width="15.54296875" style="87" bestFit="1" customWidth="1"/>
    <col min="72" max="72" width="20.453125" style="87" bestFit="1" customWidth="1"/>
    <col min="73" max="73" width="23.54296875" style="87" bestFit="1" customWidth="1"/>
    <col min="74" max="74" width="22.08984375" style="87" bestFit="1" customWidth="1"/>
    <col min="75" max="75" width="30.6328125" style="87" bestFit="1" customWidth="1"/>
    <col min="76" max="76" width="30" style="87" bestFit="1" customWidth="1"/>
    <col min="77" max="77" width="42.08984375" style="87" bestFit="1" customWidth="1"/>
    <col min="78" max="78" width="17.90625" style="87" bestFit="1" customWidth="1"/>
    <col min="79" max="79" width="7.36328125" style="87" bestFit="1" customWidth="1"/>
    <col min="80" max="80" width="17.90625" style="87" bestFit="1" customWidth="1"/>
    <col min="81" max="81" width="19.6328125" style="87" bestFit="1" customWidth="1"/>
    <col min="82" max="82" width="5.453125" style="87" bestFit="1" customWidth="1"/>
    <col min="83" max="16384" width="11.54296875" style="87"/>
  </cols>
  <sheetData>
    <row r="1" spans="1:82" ht="35.4" customHeight="1" x14ac:dyDescent="0.3">
      <c r="A1" s="178" t="s">
        <v>617</v>
      </c>
      <c r="B1" s="86" t="s">
        <v>169</v>
      </c>
      <c r="C1" s="86" t="s">
        <v>871</v>
      </c>
      <c r="D1" s="86" t="s">
        <v>872</v>
      </c>
      <c r="E1" s="86" t="s">
        <v>873</v>
      </c>
      <c r="F1" s="86" t="s">
        <v>874</v>
      </c>
      <c r="G1" s="86" t="s">
        <v>875</v>
      </c>
      <c r="H1" s="86" t="s">
        <v>876</v>
      </c>
      <c r="I1" s="86" t="s">
        <v>877</v>
      </c>
      <c r="J1" s="86" t="s">
        <v>878</v>
      </c>
      <c r="K1" s="86" t="s">
        <v>879</v>
      </c>
      <c r="L1" s="86" t="s">
        <v>950</v>
      </c>
      <c r="M1" s="86" t="s">
        <v>851</v>
      </c>
      <c r="N1" s="86" t="s">
        <v>882</v>
      </c>
      <c r="O1" s="86" t="s">
        <v>951</v>
      </c>
      <c r="P1" s="86" t="s">
        <v>883</v>
      </c>
      <c r="Q1" s="86" t="s">
        <v>884</v>
      </c>
      <c r="R1" s="86" t="s">
        <v>885</v>
      </c>
      <c r="S1" s="86" t="s">
        <v>886</v>
      </c>
      <c r="T1" s="86" t="s">
        <v>887</v>
      </c>
      <c r="U1" s="86" t="s">
        <v>888</v>
      </c>
      <c r="V1" s="86" t="s">
        <v>889</v>
      </c>
      <c r="W1" s="86" t="s">
        <v>890</v>
      </c>
      <c r="X1" s="86" t="s">
        <v>891</v>
      </c>
      <c r="Y1" s="86" t="s">
        <v>892</v>
      </c>
      <c r="Z1" s="86" t="s">
        <v>893</v>
      </c>
      <c r="AA1" s="86" t="s">
        <v>894</v>
      </c>
      <c r="AB1" s="86" t="s">
        <v>895</v>
      </c>
      <c r="AC1" s="86" t="s">
        <v>896</v>
      </c>
      <c r="AD1" s="86" t="s">
        <v>897</v>
      </c>
      <c r="AE1" s="86" t="s">
        <v>898</v>
      </c>
      <c r="AF1" s="86" t="s">
        <v>899</v>
      </c>
      <c r="AG1" s="86" t="s">
        <v>900</v>
      </c>
      <c r="AH1" s="86" t="s">
        <v>952</v>
      </c>
      <c r="AI1" s="86" t="s">
        <v>953</v>
      </c>
      <c r="AJ1" s="86" t="s">
        <v>903</v>
      </c>
      <c r="AK1" s="86" t="s">
        <v>904</v>
      </c>
      <c r="AL1" s="86" t="s">
        <v>954</v>
      </c>
      <c r="AM1" s="86" t="s">
        <v>853</v>
      </c>
      <c r="AN1" s="86" t="s">
        <v>907</v>
      </c>
      <c r="AO1" s="86" t="s">
        <v>908</v>
      </c>
      <c r="AP1" s="86" t="s">
        <v>909</v>
      </c>
      <c r="AQ1" s="86" t="s">
        <v>910</v>
      </c>
      <c r="AR1" s="86" t="s">
        <v>911</v>
      </c>
      <c r="AS1" s="86" t="s">
        <v>912</v>
      </c>
      <c r="AT1" s="86" t="s">
        <v>913</v>
      </c>
      <c r="AU1" s="86" t="s">
        <v>914</v>
      </c>
      <c r="AV1" s="86" t="s">
        <v>916</v>
      </c>
      <c r="AW1" s="86" t="s">
        <v>917</v>
      </c>
      <c r="AX1" s="86" t="s">
        <v>918</v>
      </c>
      <c r="AY1" s="86" t="s">
        <v>955</v>
      </c>
      <c r="AZ1" s="86" t="s">
        <v>919</v>
      </c>
      <c r="BA1" s="86" t="s">
        <v>920</v>
      </c>
      <c r="BB1" s="86" t="s">
        <v>921</v>
      </c>
      <c r="BC1" s="86" t="s">
        <v>956</v>
      </c>
      <c r="BD1" s="86" t="s">
        <v>957</v>
      </c>
      <c r="BE1" s="86" t="s">
        <v>924</v>
      </c>
      <c r="BF1" s="86" t="s">
        <v>925</v>
      </c>
      <c r="BG1" s="86" t="s">
        <v>926</v>
      </c>
      <c r="BH1" s="86" t="s">
        <v>927</v>
      </c>
      <c r="BI1" s="86" t="s">
        <v>928</v>
      </c>
      <c r="BJ1" s="86" t="s">
        <v>930</v>
      </c>
      <c r="BK1" s="86" t="s">
        <v>931</v>
      </c>
      <c r="BL1" s="86" t="s">
        <v>932</v>
      </c>
      <c r="BM1" s="86" t="s">
        <v>958</v>
      </c>
      <c r="BN1" s="86" t="s">
        <v>855</v>
      </c>
      <c r="BO1" s="86" t="s">
        <v>935</v>
      </c>
      <c r="BP1" s="86" t="s">
        <v>936</v>
      </c>
      <c r="BQ1" s="86" t="s">
        <v>937</v>
      </c>
      <c r="BR1" s="86" t="s">
        <v>938</v>
      </c>
      <c r="BS1" s="86" t="s">
        <v>939</v>
      </c>
      <c r="BT1" s="86" t="s">
        <v>940</v>
      </c>
      <c r="BU1" s="86" t="s">
        <v>856</v>
      </c>
      <c r="BV1" s="86" t="s">
        <v>857</v>
      </c>
      <c r="BW1" s="86" t="s">
        <v>858</v>
      </c>
      <c r="BX1" s="86" t="s">
        <v>877</v>
      </c>
      <c r="BY1" s="86" t="s">
        <v>959</v>
      </c>
      <c r="BZ1" s="86" t="s">
        <v>960</v>
      </c>
      <c r="CA1" s="86"/>
      <c r="CB1" s="86" t="s">
        <v>947</v>
      </c>
      <c r="CC1" s="86" t="s">
        <v>961</v>
      </c>
    </row>
    <row r="2" spans="1:82" ht="20.399999999999999" hidden="1" customHeight="1" x14ac:dyDescent="0.3">
      <c r="A2" s="37" t="s">
        <v>248</v>
      </c>
      <c r="B2" s="37" t="s">
        <v>46</v>
      </c>
      <c r="C2" s="88">
        <v>0</v>
      </c>
      <c r="D2" s="88">
        <v>0</v>
      </c>
      <c r="E2" s="88">
        <v>0</v>
      </c>
      <c r="F2" s="88">
        <v>0</v>
      </c>
      <c r="G2" s="88">
        <v>0</v>
      </c>
      <c r="H2" s="88">
        <v>0</v>
      </c>
      <c r="I2" s="88">
        <f>D2+G2</f>
        <v>0</v>
      </c>
      <c r="J2" s="88">
        <f>+L2+AH2+AL2+BU2+BV2</f>
        <v>527551.06400000001</v>
      </c>
      <c r="K2" s="88">
        <f>I2-J2</f>
        <v>-527551.06400000001</v>
      </c>
      <c r="L2" s="88">
        <f t="shared" ref="L2:L11" si="0">N2+O2+SUM(Y2:AG2)</f>
        <v>418176.93200000003</v>
      </c>
      <c r="M2" s="89">
        <v>418176.93200000003</v>
      </c>
      <c r="N2" s="88">
        <v>0</v>
      </c>
      <c r="O2" s="88">
        <f t="shared" ref="O2:O11" si="1">SUM(Q2:X2)</f>
        <v>373403.52500000002</v>
      </c>
      <c r="P2" s="88">
        <f>Q2+R2+S2+T2+U2+V2+W2+X2</f>
        <v>373403.52500000002</v>
      </c>
      <c r="Q2" s="88">
        <v>0</v>
      </c>
      <c r="R2" s="88">
        <v>0</v>
      </c>
      <c r="S2" s="31"/>
      <c r="T2" s="88">
        <v>365056.658</v>
      </c>
      <c r="U2" s="88">
        <v>0</v>
      </c>
      <c r="V2" s="88">
        <v>8346.8670000000002</v>
      </c>
      <c r="W2" s="88">
        <v>0</v>
      </c>
      <c r="X2" s="88">
        <v>0</v>
      </c>
      <c r="Y2" s="88">
        <v>0</v>
      </c>
      <c r="Z2" s="88">
        <v>0</v>
      </c>
      <c r="AA2" s="88">
        <v>0</v>
      </c>
      <c r="AB2" s="88">
        <v>20</v>
      </c>
      <c r="AC2" s="88">
        <v>37184.487000000001</v>
      </c>
      <c r="AD2" s="88">
        <v>7473.92</v>
      </c>
      <c r="AE2" s="88">
        <v>0</v>
      </c>
      <c r="AF2" s="88">
        <v>95</v>
      </c>
      <c r="AG2" s="88">
        <v>0</v>
      </c>
      <c r="AH2" s="88">
        <f t="shared" ref="AH2:AH26" si="2">+AJ2+AK2</f>
        <v>70</v>
      </c>
      <c r="AI2" s="88">
        <f t="shared" ref="AI2:AI17" si="3">AJ2+AK2</f>
        <v>70</v>
      </c>
      <c r="AJ2" s="88">
        <v>0</v>
      </c>
      <c r="AK2" s="88">
        <v>70</v>
      </c>
      <c r="AL2" s="88">
        <f t="shared" ref="AL2:AL26" si="4">+SUM(AN2:BB2)</f>
        <v>33519.758000000002</v>
      </c>
      <c r="AM2" s="88">
        <f>AN2+AO2+AP2+AQ2+AR2+AS2+AT2+AU2+AV2+AW2+AX2+AZ2+BA2+BB2+AY2</f>
        <v>33519.758000000002</v>
      </c>
      <c r="AN2" s="88">
        <v>0</v>
      </c>
      <c r="AO2" s="88">
        <v>4280</v>
      </c>
      <c r="AP2" s="88">
        <v>0</v>
      </c>
      <c r="AQ2" s="88">
        <v>12954.7</v>
      </c>
      <c r="AR2" s="88">
        <v>13.5</v>
      </c>
      <c r="AS2" s="88">
        <v>0</v>
      </c>
      <c r="AT2" s="88">
        <v>0</v>
      </c>
      <c r="AU2" s="88">
        <v>0</v>
      </c>
      <c r="AV2" s="88">
        <v>1253.27</v>
      </c>
      <c r="AW2" s="88">
        <v>3130</v>
      </c>
      <c r="AX2" s="88">
        <v>11888.288</v>
      </c>
      <c r="AY2" s="88"/>
      <c r="AZ2" s="88">
        <v>0</v>
      </c>
      <c r="BA2" s="88">
        <v>0</v>
      </c>
      <c r="BB2" s="88">
        <v>0</v>
      </c>
      <c r="BC2" s="88">
        <f t="shared" ref="BC2:BC13" si="5">SUM(BE2:BL2)</f>
        <v>19815.825000000001</v>
      </c>
      <c r="BD2" s="88">
        <f>BE2+BF2+BG2+BH2+BI2+BJ2+BK2+BL2</f>
        <v>19815.825000000001</v>
      </c>
      <c r="BE2" s="88">
        <v>19765.690999999999</v>
      </c>
      <c r="BF2" s="88">
        <v>46.734000000000002</v>
      </c>
      <c r="BG2" s="88">
        <v>0</v>
      </c>
      <c r="BH2" s="88">
        <v>0</v>
      </c>
      <c r="BI2" s="88">
        <v>0</v>
      </c>
      <c r="BJ2" s="88">
        <v>3.4</v>
      </c>
      <c r="BK2" s="88">
        <v>0</v>
      </c>
      <c r="BL2" s="88">
        <v>0</v>
      </c>
      <c r="BM2" s="88">
        <f t="shared" ref="BM2:BM42" si="6">SUM(BO2:BT2)</f>
        <v>85071.600999999995</v>
      </c>
      <c r="BN2" s="88">
        <f>BO2+BP2+BQ2+BR2+BS2+BT2</f>
        <v>85071.600999999995</v>
      </c>
      <c r="BO2" s="88">
        <v>69951.343999999997</v>
      </c>
      <c r="BP2" s="88">
        <v>0</v>
      </c>
      <c r="BQ2" s="88">
        <v>4535.8</v>
      </c>
      <c r="BR2" s="88">
        <v>0</v>
      </c>
      <c r="BS2" s="88">
        <v>10584.457</v>
      </c>
      <c r="BT2" s="88">
        <v>0</v>
      </c>
      <c r="BU2" s="88">
        <v>11.257</v>
      </c>
      <c r="BV2" s="88">
        <v>75773.116999999998</v>
      </c>
      <c r="BW2" s="88">
        <v>0</v>
      </c>
      <c r="BX2" s="88">
        <f t="shared" ref="BX2:BX65" si="7">+D2+G2</f>
        <v>0</v>
      </c>
      <c r="BY2" s="88">
        <f t="shared" ref="BY2:BY65" si="8">+L2+AH2+AL2+BU2+BV2</f>
        <v>527551.06400000001</v>
      </c>
      <c r="BZ2" s="90">
        <f t="shared" ref="BZ2:BZ65" si="9">+BX2-BY2</f>
        <v>-527551.06400000001</v>
      </c>
      <c r="CA2" s="88"/>
      <c r="CB2" s="88">
        <f t="shared" ref="CB2:CB65" si="10">BW2+BV2+BU2+BN2+BD2+AM2+M2+AI2</f>
        <v>632438.49</v>
      </c>
      <c r="CC2" s="91">
        <f t="shared" ref="CC2:CC65" si="11">+L2+AH2+AL2+BC2+BM2+SUM(BU2:BW2)</f>
        <v>632438.49</v>
      </c>
      <c r="CD2" s="87" t="b">
        <f>CC2=CB2</f>
        <v>1</v>
      </c>
    </row>
    <row r="3" spans="1:82" ht="20.399999999999999" hidden="1" customHeight="1" x14ac:dyDescent="0.3">
      <c r="A3" s="37" t="s">
        <v>250</v>
      </c>
      <c r="B3" s="37" t="s">
        <v>57</v>
      </c>
      <c r="C3" s="88">
        <v>13</v>
      </c>
      <c r="D3" s="88">
        <v>927073</v>
      </c>
      <c r="E3" s="88">
        <v>0</v>
      </c>
      <c r="F3" s="88">
        <v>1</v>
      </c>
      <c r="G3" s="88">
        <v>13119</v>
      </c>
      <c r="H3" s="88">
        <v>0</v>
      </c>
      <c r="I3" s="88">
        <f t="shared" ref="I3:I66" si="12">D3+G3</f>
        <v>940192</v>
      </c>
      <c r="J3" s="88">
        <f t="shared" ref="J3:J66" si="13">+L3+AH3+AL3+BU3+BV3</f>
        <v>600435</v>
      </c>
      <c r="K3" s="88">
        <f t="shared" ref="K3:K66" si="14">I3-J3</f>
        <v>339757</v>
      </c>
      <c r="L3" s="88">
        <f t="shared" si="0"/>
        <v>176879</v>
      </c>
      <c r="M3" s="89">
        <v>176879</v>
      </c>
      <c r="N3" s="88">
        <v>0</v>
      </c>
      <c r="O3" s="88">
        <f t="shared" si="1"/>
        <v>151721</v>
      </c>
      <c r="P3" s="88">
        <v>151721</v>
      </c>
      <c r="Q3" s="88">
        <v>0</v>
      </c>
      <c r="R3" s="88">
        <v>0</v>
      </c>
      <c r="S3" s="88">
        <v>0</v>
      </c>
      <c r="T3" s="88">
        <v>0</v>
      </c>
      <c r="U3" s="88">
        <v>151721</v>
      </c>
      <c r="V3" s="88">
        <v>0</v>
      </c>
      <c r="W3" s="88">
        <v>0</v>
      </c>
      <c r="X3" s="88">
        <v>0</v>
      </c>
      <c r="Y3" s="88">
        <f>13+0</f>
        <v>13</v>
      </c>
      <c r="Z3" s="88">
        <f>52+2664</f>
        <v>2716</v>
      </c>
      <c r="AA3" s="88">
        <f>334+0</f>
        <v>334</v>
      </c>
      <c r="AB3" s="88">
        <f>537+7724</f>
        <v>8261</v>
      </c>
      <c r="AC3" s="88">
        <f>30+53</f>
        <v>83</v>
      </c>
      <c r="AD3" s="88">
        <f>25+1268</f>
        <v>1293</v>
      </c>
      <c r="AE3" s="88">
        <v>0</v>
      </c>
      <c r="AF3" s="88">
        <f>296+12139</f>
        <v>12435</v>
      </c>
      <c r="AG3" s="88">
        <v>23</v>
      </c>
      <c r="AH3" s="88">
        <f t="shared" si="2"/>
        <v>9625</v>
      </c>
      <c r="AI3" s="88">
        <f t="shared" si="3"/>
        <v>9625</v>
      </c>
      <c r="AJ3" s="88">
        <v>0</v>
      </c>
      <c r="AK3" s="88">
        <f>43+9582</f>
        <v>9625</v>
      </c>
      <c r="AL3" s="88">
        <f t="shared" si="4"/>
        <v>413931</v>
      </c>
      <c r="AM3" s="88">
        <v>413931</v>
      </c>
      <c r="AN3" s="88">
        <v>356048</v>
      </c>
      <c r="AO3" s="88">
        <f>5482+23</f>
        <v>5505</v>
      </c>
      <c r="AP3" s="88">
        <v>0</v>
      </c>
      <c r="AQ3" s="88">
        <f>652+845</f>
        <v>1497</v>
      </c>
      <c r="AR3" s="88">
        <v>1260</v>
      </c>
      <c r="AS3" s="88">
        <v>0</v>
      </c>
      <c r="AT3" s="88">
        <v>0</v>
      </c>
      <c r="AU3" s="88">
        <v>87</v>
      </c>
      <c r="AV3" s="88">
        <f>9+67</f>
        <v>76</v>
      </c>
      <c r="AW3" s="88">
        <f>2126+32025</f>
        <v>34151</v>
      </c>
      <c r="AX3" s="88">
        <v>0</v>
      </c>
      <c r="AY3" s="88">
        <v>0</v>
      </c>
      <c r="AZ3" s="88">
        <v>0</v>
      </c>
      <c r="BA3" s="88">
        <f>189+14703</f>
        <v>14892</v>
      </c>
      <c r="BB3" s="88">
        <f>50+365</f>
        <v>415</v>
      </c>
      <c r="BC3" s="88">
        <f t="shared" si="5"/>
        <v>171636</v>
      </c>
      <c r="BD3" s="88">
        <v>171636</v>
      </c>
      <c r="BE3" s="88">
        <f>0</f>
        <v>0</v>
      </c>
      <c r="BF3" s="88">
        <v>16</v>
      </c>
      <c r="BG3" s="88">
        <v>2500</v>
      </c>
      <c r="BH3" s="88">
        <f>2827+2270</f>
        <v>5097</v>
      </c>
      <c r="BI3" s="88">
        <v>97267</v>
      </c>
      <c r="BJ3" s="88">
        <v>0</v>
      </c>
      <c r="BK3" s="88">
        <v>0</v>
      </c>
      <c r="BL3" s="88">
        <v>66756</v>
      </c>
      <c r="BM3" s="88">
        <f t="shared" si="6"/>
        <v>149521</v>
      </c>
      <c r="BN3" s="88">
        <v>149521</v>
      </c>
      <c r="BO3" s="88">
        <f>25034+63911</f>
        <v>88945</v>
      </c>
      <c r="BP3" s="88">
        <v>0</v>
      </c>
      <c r="BQ3" s="88">
        <f>239+10668</f>
        <v>10907</v>
      </c>
      <c r="BR3" s="88">
        <v>0</v>
      </c>
      <c r="BS3" s="88">
        <f>6849+1356</f>
        <v>8205</v>
      </c>
      <c r="BT3" s="88">
        <f>0+41464</f>
        <v>41464</v>
      </c>
      <c r="BU3" s="88">
        <v>0</v>
      </c>
      <c r="BV3" s="88">
        <v>0</v>
      </c>
      <c r="BW3" s="88">
        <v>1035.729</v>
      </c>
      <c r="BX3" s="88">
        <f t="shared" si="7"/>
        <v>940192</v>
      </c>
      <c r="BY3" s="88">
        <f t="shared" si="8"/>
        <v>600435</v>
      </c>
      <c r="BZ3" s="90">
        <f t="shared" si="9"/>
        <v>339757</v>
      </c>
      <c r="CA3" s="88"/>
      <c r="CB3" s="88">
        <f t="shared" si="10"/>
        <v>922627.72900000005</v>
      </c>
      <c r="CC3" s="91">
        <f t="shared" si="11"/>
        <v>922627.72900000005</v>
      </c>
      <c r="CD3" s="87" t="b">
        <f t="shared" ref="CD3:CD66" si="15">CC3=CB3</f>
        <v>1</v>
      </c>
    </row>
    <row r="4" spans="1:82" ht="20.399999999999999" hidden="1" customHeight="1" x14ac:dyDescent="0.3">
      <c r="A4" s="37" t="s">
        <v>428</v>
      </c>
      <c r="B4" s="37" t="s">
        <v>255</v>
      </c>
      <c r="C4" s="88">
        <v>33</v>
      </c>
      <c r="D4" s="88">
        <v>355308</v>
      </c>
      <c r="E4" s="88">
        <v>0</v>
      </c>
      <c r="F4" s="88">
        <v>3</v>
      </c>
      <c r="G4" s="88">
        <v>10986</v>
      </c>
      <c r="H4" s="88">
        <v>0</v>
      </c>
      <c r="I4" s="88">
        <f t="shared" si="12"/>
        <v>366294</v>
      </c>
      <c r="J4" s="88">
        <f t="shared" si="13"/>
        <v>372030</v>
      </c>
      <c r="K4" s="88">
        <f t="shared" si="14"/>
        <v>-5736</v>
      </c>
      <c r="L4" s="88">
        <f t="shared" si="0"/>
        <v>93844</v>
      </c>
      <c r="M4" s="89">
        <f>N4+P4+Y4+Z4+AA4+AB4+AC4+AD4+AE4+AF4+AG4</f>
        <v>93844</v>
      </c>
      <c r="N4" s="88">
        <v>8116</v>
      </c>
      <c r="O4" s="88">
        <f t="shared" si="1"/>
        <v>82056</v>
      </c>
      <c r="P4" s="88">
        <f t="shared" ref="P4:P11" si="16">Q4+R4+S4+T4+U4+V4+W4+X4</f>
        <v>82056</v>
      </c>
      <c r="Q4" s="88">
        <v>0</v>
      </c>
      <c r="R4" s="88">
        <v>0</v>
      </c>
      <c r="S4" s="88">
        <v>0</v>
      </c>
      <c r="T4" s="88">
        <v>82056</v>
      </c>
      <c r="U4" s="88">
        <v>0</v>
      </c>
      <c r="V4" s="88">
        <v>0</v>
      </c>
      <c r="W4" s="88">
        <v>0</v>
      </c>
      <c r="X4" s="88">
        <v>0</v>
      </c>
      <c r="Y4" s="88">
        <v>0</v>
      </c>
      <c r="Z4" s="88">
        <v>940</v>
      </c>
      <c r="AA4" s="88">
        <v>2370</v>
      </c>
      <c r="AB4" s="88">
        <v>0</v>
      </c>
      <c r="AC4" s="88">
        <v>362</v>
      </c>
      <c r="AD4" s="88">
        <v>0</v>
      </c>
      <c r="AE4" s="88">
        <v>0</v>
      </c>
      <c r="AF4" s="88">
        <v>0</v>
      </c>
      <c r="AG4" s="88">
        <v>0</v>
      </c>
      <c r="AH4" s="88">
        <f t="shared" si="2"/>
        <v>0</v>
      </c>
      <c r="AI4" s="88">
        <f t="shared" si="3"/>
        <v>0</v>
      </c>
      <c r="AJ4" s="88">
        <v>0</v>
      </c>
      <c r="AK4" s="88">
        <v>0</v>
      </c>
      <c r="AL4" s="88">
        <f t="shared" si="4"/>
        <v>273839</v>
      </c>
      <c r="AM4" s="88">
        <f t="shared" ref="AM4:AM17" si="17">AN4+AO4+AP4+AQ4+AR4+AS4+AT4+AU4+AV4+AW4+AX4+AZ4+BA4+BB4+AY4</f>
        <v>273839</v>
      </c>
      <c r="AN4" s="88">
        <v>0</v>
      </c>
      <c r="AO4" s="88">
        <v>43200</v>
      </c>
      <c r="AP4" s="88">
        <v>0</v>
      </c>
      <c r="AQ4" s="88">
        <v>203348</v>
      </c>
      <c r="AR4" s="88">
        <v>3115</v>
      </c>
      <c r="AS4" s="88">
        <v>0</v>
      </c>
      <c r="AT4" s="88">
        <v>0</v>
      </c>
      <c r="AU4" s="88">
        <v>0</v>
      </c>
      <c r="AV4" s="88">
        <v>4104</v>
      </c>
      <c r="AW4" s="88">
        <v>17252</v>
      </c>
      <c r="AX4" s="88">
        <v>0</v>
      </c>
      <c r="AY4" s="88">
        <v>2820</v>
      </c>
      <c r="AZ4" s="88">
        <v>0</v>
      </c>
      <c r="BA4" s="88">
        <v>0</v>
      </c>
      <c r="BB4" s="88">
        <v>0</v>
      </c>
      <c r="BC4" s="88">
        <f t="shared" si="5"/>
        <v>385</v>
      </c>
      <c r="BD4" s="88">
        <f>BE4+BF4+BG4+BH4+BI4+BJ4+BK4+BL4</f>
        <v>385</v>
      </c>
      <c r="BE4" s="88">
        <v>0</v>
      </c>
      <c r="BF4" s="88">
        <v>0</v>
      </c>
      <c r="BG4" s="88">
        <v>0</v>
      </c>
      <c r="BH4" s="88">
        <v>385</v>
      </c>
      <c r="BI4" s="88">
        <v>0</v>
      </c>
      <c r="BJ4" s="88">
        <v>0</v>
      </c>
      <c r="BK4" s="88">
        <v>0</v>
      </c>
      <c r="BL4" s="88">
        <v>0</v>
      </c>
      <c r="BM4" s="88">
        <f t="shared" si="6"/>
        <v>28110</v>
      </c>
      <c r="BN4" s="88">
        <f>BO4+BP4+BQ4+BR4+BS4+BT4</f>
        <v>28110</v>
      </c>
      <c r="BO4" s="88">
        <v>24153</v>
      </c>
      <c r="BP4" s="88">
        <v>0</v>
      </c>
      <c r="BQ4" s="88">
        <v>749</v>
      </c>
      <c r="BR4" s="88">
        <v>0</v>
      </c>
      <c r="BS4" s="88">
        <v>2029</v>
      </c>
      <c r="BT4" s="88">
        <v>1179</v>
      </c>
      <c r="BU4" s="88">
        <v>4347</v>
      </c>
      <c r="BV4" s="88">
        <v>0</v>
      </c>
      <c r="BW4" s="88">
        <v>0</v>
      </c>
      <c r="BX4" s="88">
        <f t="shared" si="7"/>
        <v>366294</v>
      </c>
      <c r="BY4" s="88">
        <f t="shared" si="8"/>
        <v>372030</v>
      </c>
      <c r="BZ4" s="90">
        <f t="shared" si="9"/>
        <v>-5736</v>
      </c>
      <c r="CA4" s="88"/>
      <c r="CB4" s="88">
        <f t="shared" si="10"/>
        <v>400525</v>
      </c>
      <c r="CC4" s="91">
        <f t="shared" si="11"/>
        <v>400525</v>
      </c>
      <c r="CD4" s="87" t="b">
        <f t="shared" si="15"/>
        <v>1</v>
      </c>
    </row>
    <row r="5" spans="1:82" ht="20.399999999999999" customHeight="1" x14ac:dyDescent="0.3">
      <c r="A5" s="37" t="s">
        <v>434</v>
      </c>
      <c r="B5" s="37" t="s">
        <v>87</v>
      </c>
      <c r="C5" s="88">
        <v>71</v>
      </c>
      <c r="D5" s="88">
        <v>1228.6780000000001</v>
      </c>
      <c r="E5" s="88">
        <v>73</v>
      </c>
      <c r="F5" s="88">
        <v>7</v>
      </c>
      <c r="G5" s="88">
        <v>445735</v>
      </c>
      <c r="H5" s="88">
        <v>27</v>
      </c>
      <c r="I5" s="88">
        <f t="shared" si="12"/>
        <v>446963.67800000001</v>
      </c>
      <c r="J5" s="88">
        <f t="shared" si="13"/>
        <v>3001610</v>
      </c>
      <c r="K5" s="88">
        <f t="shared" si="14"/>
        <v>-2554646.3220000002</v>
      </c>
      <c r="L5" s="88">
        <f t="shared" si="0"/>
        <v>874977</v>
      </c>
      <c r="M5" s="89">
        <f>N5+P5+Y5+Z5+AA5+AB5+AC5+AD5+AE5+AF5+AG5</f>
        <v>874977</v>
      </c>
      <c r="N5" s="88">
        <v>7643</v>
      </c>
      <c r="O5" s="88">
        <f t="shared" si="1"/>
        <v>327155</v>
      </c>
      <c r="P5" s="88">
        <f t="shared" si="16"/>
        <v>327155</v>
      </c>
      <c r="Q5" s="88">
        <v>0</v>
      </c>
      <c r="R5" s="88">
        <v>0</v>
      </c>
      <c r="S5" s="88">
        <v>0</v>
      </c>
      <c r="T5" s="88">
        <v>28593</v>
      </c>
      <c r="U5" s="88">
        <v>0</v>
      </c>
      <c r="V5" s="88">
        <v>260</v>
      </c>
      <c r="W5" s="88">
        <v>0</v>
      </c>
      <c r="X5" s="88">
        <v>298302</v>
      </c>
      <c r="Y5" s="88">
        <v>18022</v>
      </c>
      <c r="Z5" s="88">
        <v>255</v>
      </c>
      <c r="AA5" s="88">
        <v>0</v>
      </c>
      <c r="AB5" s="88">
        <v>0</v>
      </c>
      <c r="AC5" s="88">
        <v>0</v>
      </c>
      <c r="AD5" s="88">
        <v>0</v>
      </c>
      <c r="AE5" s="88">
        <v>521902</v>
      </c>
      <c r="AF5" s="88">
        <v>0</v>
      </c>
      <c r="AG5" s="88">
        <v>0</v>
      </c>
      <c r="AH5" s="88">
        <f t="shared" si="2"/>
        <v>92224</v>
      </c>
      <c r="AI5" s="88">
        <f t="shared" si="3"/>
        <v>92224</v>
      </c>
      <c r="AJ5" s="88">
        <v>0</v>
      </c>
      <c r="AK5" s="88">
        <v>92224</v>
      </c>
      <c r="AL5" s="88">
        <f t="shared" si="4"/>
        <v>2028637</v>
      </c>
      <c r="AM5" s="88">
        <f t="shared" si="17"/>
        <v>2028637</v>
      </c>
      <c r="AN5" s="88">
        <v>0</v>
      </c>
      <c r="AO5" s="88">
        <v>7261</v>
      </c>
      <c r="AP5" s="88">
        <v>0</v>
      </c>
      <c r="AQ5" s="88">
        <v>1688296</v>
      </c>
      <c r="AR5" s="88">
        <v>399</v>
      </c>
      <c r="AS5" s="88">
        <v>0</v>
      </c>
      <c r="AT5" s="88">
        <v>20</v>
      </c>
      <c r="AU5" s="88">
        <v>1127</v>
      </c>
      <c r="AV5" s="88">
        <v>325105</v>
      </c>
      <c r="AW5" s="88">
        <v>0</v>
      </c>
      <c r="AX5" s="88">
        <v>0</v>
      </c>
      <c r="AY5" s="88">
        <v>4087</v>
      </c>
      <c r="AZ5" s="88">
        <v>0</v>
      </c>
      <c r="BA5" s="88">
        <v>1592</v>
      </c>
      <c r="BB5" s="88">
        <v>750</v>
      </c>
      <c r="BC5" s="88">
        <f t="shared" si="5"/>
        <v>65484</v>
      </c>
      <c r="BD5" s="88">
        <f>BE5+BF5+BG5+BH5+BI5+BJ5+BK5+BL5</f>
        <v>65484</v>
      </c>
      <c r="BE5" s="88">
        <v>61</v>
      </c>
      <c r="BF5" s="88">
        <v>0</v>
      </c>
      <c r="BG5" s="88">
        <v>0</v>
      </c>
      <c r="BH5" s="88">
        <v>0</v>
      </c>
      <c r="BI5" s="88">
        <v>65235</v>
      </c>
      <c r="BJ5" s="88">
        <v>0</v>
      </c>
      <c r="BK5" s="88">
        <v>188</v>
      </c>
      <c r="BL5" s="88">
        <v>0</v>
      </c>
      <c r="BM5" s="88">
        <f t="shared" si="6"/>
        <v>52212</v>
      </c>
      <c r="BN5" s="88">
        <f>BO5+BP5+BQ5+BR5+BS5+BT5</f>
        <v>52212</v>
      </c>
      <c r="BO5" s="88">
        <v>40249</v>
      </c>
      <c r="BP5" s="88">
        <v>0</v>
      </c>
      <c r="BQ5" s="88">
        <v>499</v>
      </c>
      <c r="BR5" s="88">
        <v>0</v>
      </c>
      <c r="BS5" s="88">
        <v>5635</v>
      </c>
      <c r="BT5" s="88">
        <v>5829</v>
      </c>
      <c r="BU5" s="88">
        <v>5772</v>
      </c>
      <c r="BV5" s="88">
        <v>0</v>
      </c>
      <c r="BW5" s="88">
        <v>5000</v>
      </c>
      <c r="BX5" s="88">
        <f t="shared" si="7"/>
        <v>446963.67800000001</v>
      </c>
      <c r="BY5" s="88">
        <f t="shared" si="8"/>
        <v>3001610</v>
      </c>
      <c r="BZ5" s="90">
        <f t="shared" si="9"/>
        <v>-2554646.3220000002</v>
      </c>
      <c r="CA5" s="88"/>
      <c r="CB5" s="88">
        <f t="shared" si="10"/>
        <v>3124306</v>
      </c>
      <c r="CC5" s="91">
        <f t="shared" si="11"/>
        <v>3124306</v>
      </c>
      <c r="CD5" s="87" t="b">
        <f t="shared" si="15"/>
        <v>1</v>
      </c>
    </row>
    <row r="6" spans="1:82" ht="20.399999999999999" hidden="1" customHeight="1" x14ac:dyDescent="0.3">
      <c r="A6" s="37" t="s">
        <v>14</v>
      </c>
      <c r="B6" s="37" t="s">
        <v>255</v>
      </c>
      <c r="C6" s="88">
        <v>113</v>
      </c>
      <c r="D6" s="88">
        <v>1833060</v>
      </c>
      <c r="E6" s="88">
        <v>93</v>
      </c>
      <c r="F6" s="88">
        <v>70</v>
      </c>
      <c r="G6" s="88">
        <v>142254</v>
      </c>
      <c r="H6" s="88">
        <v>7</v>
      </c>
      <c r="I6" s="88">
        <f t="shared" si="12"/>
        <v>1975314</v>
      </c>
      <c r="J6" s="88">
        <f t="shared" si="13"/>
        <v>2062193</v>
      </c>
      <c r="K6" s="88">
        <f t="shared" si="14"/>
        <v>-86879</v>
      </c>
      <c r="L6" s="88">
        <f t="shared" si="0"/>
        <v>238823</v>
      </c>
      <c r="M6" s="89">
        <v>238823</v>
      </c>
      <c r="N6" s="88">
        <v>0</v>
      </c>
      <c r="O6" s="88">
        <f t="shared" si="1"/>
        <v>0</v>
      </c>
      <c r="P6" s="88">
        <f t="shared" si="16"/>
        <v>0</v>
      </c>
      <c r="Q6" s="88">
        <v>0</v>
      </c>
      <c r="R6" s="88">
        <v>0</v>
      </c>
      <c r="S6" s="88">
        <v>0</v>
      </c>
      <c r="T6" s="88">
        <v>0</v>
      </c>
      <c r="U6" s="88">
        <v>0</v>
      </c>
      <c r="V6" s="88">
        <v>0</v>
      </c>
      <c r="W6" s="88">
        <v>0</v>
      </c>
      <c r="X6" s="88">
        <v>0</v>
      </c>
      <c r="Y6" s="88">
        <v>14025</v>
      </c>
      <c r="Z6" s="88">
        <v>204</v>
      </c>
      <c r="AA6" s="88">
        <v>7272</v>
      </c>
      <c r="AB6" s="88">
        <v>122690</v>
      </c>
      <c r="AC6" s="88">
        <v>22003</v>
      </c>
      <c r="AD6" s="88">
        <v>13666</v>
      </c>
      <c r="AE6" s="88">
        <v>1407</v>
      </c>
      <c r="AF6" s="88">
        <v>57556</v>
      </c>
      <c r="AG6" s="88">
        <v>0</v>
      </c>
      <c r="AH6" s="88">
        <f t="shared" si="2"/>
        <v>50567</v>
      </c>
      <c r="AI6" s="88">
        <f t="shared" si="3"/>
        <v>50567</v>
      </c>
      <c r="AJ6" s="88">
        <v>620</v>
      </c>
      <c r="AK6" s="88">
        <v>49947</v>
      </c>
      <c r="AL6" s="88">
        <f t="shared" si="4"/>
        <v>333181</v>
      </c>
      <c r="AM6" s="88">
        <f t="shared" si="17"/>
        <v>333181</v>
      </c>
      <c r="AN6" s="88">
        <v>30522</v>
      </c>
      <c r="AO6" s="88">
        <v>78134</v>
      </c>
      <c r="AP6" s="88">
        <v>0</v>
      </c>
      <c r="AQ6" s="88">
        <v>20899</v>
      </c>
      <c r="AR6" s="88">
        <v>50045</v>
      </c>
      <c r="AS6" s="88">
        <v>80</v>
      </c>
      <c r="AT6" s="88">
        <v>5318</v>
      </c>
      <c r="AU6" s="88">
        <v>16818</v>
      </c>
      <c r="AV6" s="88">
        <v>36714</v>
      </c>
      <c r="AW6" s="88">
        <v>25900</v>
      </c>
      <c r="AX6" s="88">
        <v>4350</v>
      </c>
      <c r="AY6" s="88">
        <v>2732</v>
      </c>
      <c r="AZ6" s="88">
        <v>16009</v>
      </c>
      <c r="BA6" s="88">
        <v>14794</v>
      </c>
      <c r="BB6" s="88">
        <v>30866</v>
      </c>
      <c r="BC6" s="88">
        <f t="shared" si="5"/>
        <v>7632</v>
      </c>
      <c r="BD6" s="88">
        <v>7632</v>
      </c>
      <c r="BE6" s="88">
        <v>1733</v>
      </c>
      <c r="BF6" s="88">
        <v>0</v>
      </c>
      <c r="BG6" s="88">
        <v>0</v>
      </c>
      <c r="BH6" s="88">
        <v>395</v>
      </c>
      <c r="BI6" s="88">
        <v>2915</v>
      </c>
      <c r="BJ6" s="88">
        <v>918</v>
      </c>
      <c r="BK6" s="88">
        <v>0</v>
      </c>
      <c r="BL6" s="88">
        <v>1671</v>
      </c>
      <c r="BM6" s="88">
        <f t="shared" si="6"/>
        <v>1229241</v>
      </c>
      <c r="BN6" s="88">
        <v>1229241</v>
      </c>
      <c r="BO6" s="88">
        <v>479709</v>
      </c>
      <c r="BP6" s="88">
        <v>505916</v>
      </c>
      <c r="BQ6" s="88">
        <v>65169</v>
      </c>
      <c r="BR6" s="88">
        <v>9549</v>
      </c>
      <c r="BS6" s="88">
        <v>31830</v>
      </c>
      <c r="BT6" s="88">
        <v>137068</v>
      </c>
      <c r="BU6" s="88">
        <v>259</v>
      </c>
      <c r="BV6" s="88">
        <v>1439363</v>
      </c>
      <c r="BW6" s="88">
        <v>0</v>
      </c>
      <c r="BX6" s="88">
        <f t="shared" si="7"/>
        <v>1975314</v>
      </c>
      <c r="BY6" s="88">
        <f t="shared" si="8"/>
        <v>2062193</v>
      </c>
      <c r="BZ6" s="90">
        <f t="shared" si="9"/>
        <v>-86879</v>
      </c>
      <c r="CA6" s="88"/>
      <c r="CB6" s="88">
        <f t="shared" si="10"/>
        <v>3299066</v>
      </c>
      <c r="CC6" s="91">
        <f t="shared" si="11"/>
        <v>3299066</v>
      </c>
      <c r="CD6" s="87" t="b">
        <f t="shared" si="15"/>
        <v>1</v>
      </c>
    </row>
    <row r="7" spans="1:82" ht="20.399999999999999" hidden="1" customHeight="1" x14ac:dyDescent="0.3">
      <c r="A7" s="37" t="s">
        <v>264</v>
      </c>
      <c r="B7" s="37" t="s">
        <v>255</v>
      </c>
      <c r="C7" s="88">
        <v>0</v>
      </c>
      <c r="D7" s="88">
        <v>0</v>
      </c>
      <c r="E7" s="88">
        <v>0</v>
      </c>
      <c r="F7" s="88">
        <v>0</v>
      </c>
      <c r="G7" s="88">
        <v>0</v>
      </c>
      <c r="H7" s="88">
        <v>0</v>
      </c>
      <c r="I7" s="88">
        <f t="shared" si="12"/>
        <v>0</v>
      </c>
      <c r="J7" s="88">
        <f t="shared" si="13"/>
        <v>15092</v>
      </c>
      <c r="K7" s="88">
        <f t="shared" si="14"/>
        <v>-15092</v>
      </c>
      <c r="L7" s="88">
        <f t="shared" si="0"/>
        <v>6792</v>
      </c>
      <c r="M7" s="89">
        <f t="shared" ref="M7:M17" si="18">N7+P7+Y7+Z7+AA7+AB7+AC7+AD7+AE7+AF7+AG7</f>
        <v>6792</v>
      </c>
      <c r="N7" s="88">
        <v>0</v>
      </c>
      <c r="O7" s="88">
        <f t="shared" si="1"/>
        <v>3000</v>
      </c>
      <c r="P7" s="88">
        <f t="shared" si="16"/>
        <v>3000</v>
      </c>
      <c r="Q7" s="88">
        <v>0</v>
      </c>
      <c r="R7" s="88">
        <v>0</v>
      </c>
      <c r="S7" s="88">
        <v>2400</v>
      </c>
      <c r="T7" s="88">
        <v>600</v>
      </c>
      <c r="U7" s="88">
        <v>0</v>
      </c>
      <c r="V7" s="88">
        <v>0</v>
      </c>
      <c r="W7" s="88">
        <v>0</v>
      </c>
      <c r="X7" s="88">
        <v>0</v>
      </c>
      <c r="Y7" s="88">
        <v>752</v>
      </c>
      <c r="Z7" s="88">
        <v>140</v>
      </c>
      <c r="AA7" s="88">
        <v>1400</v>
      </c>
      <c r="AB7" s="88">
        <v>0</v>
      </c>
      <c r="AC7" s="88">
        <v>0</v>
      </c>
      <c r="AD7" s="88">
        <v>0</v>
      </c>
      <c r="AE7" s="88">
        <v>0</v>
      </c>
      <c r="AF7" s="88">
        <v>0</v>
      </c>
      <c r="AG7" s="88">
        <v>1500</v>
      </c>
      <c r="AH7" s="88">
        <f t="shared" si="2"/>
        <v>0</v>
      </c>
      <c r="AI7" s="88">
        <f t="shared" si="3"/>
        <v>0</v>
      </c>
      <c r="AJ7" s="88">
        <v>0</v>
      </c>
      <c r="AK7" s="88">
        <v>0</v>
      </c>
      <c r="AL7" s="88">
        <f t="shared" si="4"/>
        <v>8300</v>
      </c>
      <c r="AM7" s="88">
        <f t="shared" si="17"/>
        <v>8300</v>
      </c>
      <c r="AN7" s="88">
        <v>0</v>
      </c>
      <c r="AO7" s="88">
        <v>7250</v>
      </c>
      <c r="AP7" s="88">
        <v>0</v>
      </c>
      <c r="AQ7" s="88">
        <v>380</v>
      </c>
      <c r="AR7" s="88">
        <v>320</v>
      </c>
      <c r="AS7" s="88">
        <v>0</v>
      </c>
      <c r="AT7" s="88">
        <v>0</v>
      </c>
      <c r="AU7" s="88">
        <v>350</v>
      </c>
      <c r="AV7" s="88">
        <v>0</v>
      </c>
      <c r="AW7" s="88">
        <v>0</v>
      </c>
      <c r="AX7" s="88">
        <v>0</v>
      </c>
      <c r="AY7" s="88"/>
      <c r="AZ7" s="88">
        <v>0</v>
      </c>
      <c r="BA7" s="88">
        <v>0</v>
      </c>
      <c r="BB7" s="88">
        <v>0</v>
      </c>
      <c r="BC7" s="88">
        <f t="shared" si="5"/>
        <v>2835</v>
      </c>
      <c r="BD7" s="88">
        <f t="shared" ref="BD7:BD13" si="19">BE7+BF7+BG7+BH7+BI7+BJ7+BK7+BL7</f>
        <v>2835</v>
      </c>
      <c r="BE7" s="88">
        <v>0</v>
      </c>
      <c r="BF7" s="88">
        <v>0</v>
      </c>
      <c r="BG7" s="88">
        <v>0</v>
      </c>
      <c r="BH7" s="88">
        <v>2835</v>
      </c>
      <c r="BI7" s="88">
        <v>0</v>
      </c>
      <c r="BJ7" s="88">
        <v>0</v>
      </c>
      <c r="BK7" s="88">
        <v>0</v>
      </c>
      <c r="BL7" s="88">
        <v>0</v>
      </c>
      <c r="BM7" s="88">
        <f t="shared" si="6"/>
        <v>40800</v>
      </c>
      <c r="BN7" s="88">
        <f>BO7+BP7+BQ7+BR7+BS7+BT7</f>
        <v>40800</v>
      </c>
      <c r="BO7" s="88">
        <v>36000</v>
      </c>
      <c r="BP7" s="88">
        <v>0</v>
      </c>
      <c r="BQ7" s="88">
        <v>0</v>
      </c>
      <c r="BR7" s="88">
        <v>4800</v>
      </c>
      <c r="BS7" s="88">
        <v>0</v>
      </c>
      <c r="BT7" s="88">
        <v>0</v>
      </c>
      <c r="BU7" s="88"/>
      <c r="BV7" s="88">
        <v>0</v>
      </c>
      <c r="BW7" s="88">
        <v>0</v>
      </c>
      <c r="BX7" s="88">
        <f t="shared" si="7"/>
        <v>0</v>
      </c>
      <c r="BY7" s="88">
        <f t="shared" si="8"/>
        <v>15092</v>
      </c>
      <c r="BZ7" s="90">
        <f t="shared" si="9"/>
        <v>-15092</v>
      </c>
      <c r="CA7" s="88"/>
      <c r="CB7" s="88">
        <f t="shared" si="10"/>
        <v>58727</v>
      </c>
      <c r="CC7" s="91">
        <f t="shared" si="11"/>
        <v>58727</v>
      </c>
      <c r="CD7" s="87" t="b">
        <f t="shared" si="15"/>
        <v>1</v>
      </c>
    </row>
    <row r="8" spans="1:82" ht="20.399999999999999" hidden="1" customHeight="1" x14ac:dyDescent="0.3">
      <c r="A8" s="37" t="s">
        <v>444</v>
      </c>
      <c r="B8" s="37" t="s">
        <v>46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f t="shared" si="12"/>
        <v>0</v>
      </c>
      <c r="J8" s="88">
        <f t="shared" si="13"/>
        <v>149040</v>
      </c>
      <c r="K8" s="88">
        <f t="shared" si="14"/>
        <v>-149040</v>
      </c>
      <c r="L8" s="88">
        <f t="shared" si="0"/>
        <v>146052</v>
      </c>
      <c r="M8" s="89">
        <f t="shared" si="18"/>
        <v>146052</v>
      </c>
      <c r="N8" s="88">
        <v>0</v>
      </c>
      <c r="O8" s="88">
        <f t="shared" si="1"/>
        <v>94149</v>
      </c>
      <c r="P8" s="88">
        <f t="shared" si="16"/>
        <v>94149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94149</v>
      </c>
      <c r="Y8" s="88">
        <v>0</v>
      </c>
      <c r="Z8" s="88">
        <v>0</v>
      </c>
      <c r="AA8" s="88">
        <v>0</v>
      </c>
      <c r="AB8" s="88">
        <v>0</v>
      </c>
      <c r="AC8" s="88">
        <v>37</v>
      </c>
      <c r="AD8" s="88">
        <v>0</v>
      </c>
      <c r="AE8" s="88">
        <v>51836</v>
      </c>
      <c r="AF8" s="88">
        <v>30</v>
      </c>
      <c r="AG8" s="88">
        <v>0</v>
      </c>
      <c r="AH8" s="88">
        <f t="shared" si="2"/>
        <v>0</v>
      </c>
      <c r="AI8" s="88">
        <f t="shared" si="3"/>
        <v>0</v>
      </c>
      <c r="AJ8" s="88">
        <v>0</v>
      </c>
      <c r="AK8" s="88">
        <v>0</v>
      </c>
      <c r="AL8" s="88">
        <f t="shared" si="4"/>
        <v>2988</v>
      </c>
      <c r="AM8" s="88">
        <f t="shared" si="17"/>
        <v>2988</v>
      </c>
      <c r="AN8" s="88">
        <v>0</v>
      </c>
      <c r="AO8" s="88">
        <v>2700</v>
      </c>
      <c r="AP8" s="88">
        <v>0</v>
      </c>
      <c r="AQ8" s="88">
        <v>224</v>
      </c>
      <c r="AR8" s="88">
        <v>64</v>
      </c>
      <c r="AS8" s="88">
        <v>0</v>
      </c>
      <c r="AT8" s="88">
        <v>0</v>
      </c>
      <c r="AU8" s="88">
        <v>0</v>
      </c>
      <c r="AV8" s="88">
        <v>0</v>
      </c>
      <c r="AW8" s="88">
        <v>0</v>
      </c>
      <c r="AX8" s="88">
        <v>0</v>
      </c>
      <c r="AY8" s="88"/>
      <c r="AZ8" s="88">
        <v>0</v>
      </c>
      <c r="BA8" s="88">
        <v>0</v>
      </c>
      <c r="BB8" s="88">
        <v>0</v>
      </c>
      <c r="BC8" s="88">
        <f t="shared" si="5"/>
        <v>5436</v>
      </c>
      <c r="BD8" s="88">
        <f t="shared" si="19"/>
        <v>5436</v>
      </c>
      <c r="BE8" s="88">
        <v>0</v>
      </c>
      <c r="BF8" s="88">
        <v>2936</v>
      </c>
      <c r="BG8" s="88">
        <v>0</v>
      </c>
      <c r="BH8" s="88">
        <v>2500</v>
      </c>
      <c r="BI8" s="92"/>
      <c r="BJ8" s="88">
        <v>0</v>
      </c>
      <c r="BK8" s="88">
        <v>0</v>
      </c>
      <c r="BL8" s="88">
        <v>0</v>
      </c>
      <c r="BM8" s="88">
        <f t="shared" si="6"/>
        <v>44023</v>
      </c>
      <c r="BN8" s="88">
        <f>BO8+BP8+BQ8+BR8+BS8+BT8</f>
        <v>44023</v>
      </c>
      <c r="BO8" s="88">
        <v>28825</v>
      </c>
      <c r="BP8" s="88">
        <v>0</v>
      </c>
      <c r="BQ8" s="88">
        <v>7936</v>
      </c>
      <c r="BR8" s="88">
        <v>0</v>
      </c>
      <c r="BS8" s="88">
        <v>7262</v>
      </c>
      <c r="BT8" s="88">
        <v>0</v>
      </c>
      <c r="BU8" s="88">
        <v>0</v>
      </c>
      <c r="BV8" s="88">
        <v>0</v>
      </c>
      <c r="BW8" s="88">
        <v>256</v>
      </c>
      <c r="BX8" s="88">
        <f t="shared" si="7"/>
        <v>0</v>
      </c>
      <c r="BY8" s="88">
        <f t="shared" si="8"/>
        <v>149040</v>
      </c>
      <c r="BZ8" s="90">
        <f t="shared" si="9"/>
        <v>-149040</v>
      </c>
      <c r="CA8" s="88"/>
      <c r="CB8" s="88">
        <f t="shared" si="10"/>
        <v>198755</v>
      </c>
      <c r="CC8" s="91">
        <f t="shared" si="11"/>
        <v>198755</v>
      </c>
      <c r="CD8" s="87" t="b">
        <f t="shared" si="15"/>
        <v>1</v>
      </c>
    </row>
    <row r="9" spans="1:82" ht="20.399999999999999" hidden="1" customHeight="1" x14ac:dyDescent="0.3">
      <c r="A9" s="37" t="s">
        <v>445</v>
      </c>
      <c r="B9" s="37" t="s">
        <v>255</v>
      </c>
      <c r="C9" s="88">
        <v>0</v>
      </c>
      <c r="D9" s="88">
        <v>0</v>
      </c>
      <c r="E9" s="88">
        <v>0</v>
      </c>
      <c r="F9" s="88">
        <v>0</v>
      </c>
      <c r="G9" s="88">
        <v>0</v>
      </c>
      <c r="H9" s="88">
        <v>0</v>
      </c>
      <c r="I9" s="88">
        <f t="shared" si="12"/>
        <v>0</v>
      </c>
      <c r="J9" s="88">
        <f t="shared" si="13"/>
        <v>8206.3119999999999</v>
      </c>
      <c r="K9" s="88">
        <f t="shared" si="14"/>
        <v>-8206.3119999999999</v>
      </c>
      <c r="L9" s="88">
        <f t="shared" si="0"/>
        <v>0</v>
      </c>
      <c r="M9" s="89">
        <f t="shared" si="18"/>
        <v>0</v>
      </c>
      <c r="N9" s="88">
        <v>0</v>
      </c>
      <c r="O9" s="88">
        <f t="shared" si="1"/>
        <v>0</v>
      </c>
      <c r="P9" s="88">
        <f t="shared" si="16"/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8">
        <v>0</v>
      </c>
      <c r="Z9" s="88">
        <v>0</v>
      </c>
      <c r="AA9" s="88">
        <v>0</v>
      </c>
      <c r="AB9" s="88">
        <v>0</v>
      </c>
      <c r="AC9" s="88">
        <v>0</v>
      </c>
      <c r="AD9" s="88">
        <v>0</v>
      </c>
      <c r="AE9" s="88">
        <v>0</v>
      </c>
      <c r="AF9" s="88">
        <v>0</v>
      </c>
      <c r="AG9" s="88">
        <v>0</v>
      </c>
      <c r="AH9" s="88">
        <f t="shared" si="2"/>
        <v>0</v>
      </c>
      <c r="AI9" s="88">
        <f t="shared" si="3"/>
        <v>0</v>
      </c>
      <c r="AJ9" s="88">
        <v>0</v>
      </c>
      <c r="AK9" s="88">
        <v>0</v>
      </c>
      <c r="AL9" s="88">
        <f t="shared" si="4"/>
        <v>8206.3119999999999</v>
      </c>
      <c r="AM9" s="88">
        <f t="shared" si="17"/>
        <v>8206.3119999999999</v>
      </c>
      <c r="AN9" s="88">
        <v>0</v>
      </c>
      <c r="AO9" s="88">
        <v>1680</v>
      </c>
      <c r="AP9" s="88">
        <v>0</v>
      </c>
      <c r="AQ9" s="88">
        <v>0</v>
      </c>
      <c r="AR9" s="88">
        <v>0</v>
      </c>
      <c r="AS9" s="88">
        <v>0</v>
      </c>
      <c r="AT9" s="88">
        <v>0</v>
      </c>
      <c r="AU9" s="88">
        <v>0</v>
      </c>
      <c r="AV9" s="88">
        <v>0</v>
      </c>
      <c r="AW9" s="88">
        <v>0</v>
      </c>
      <c r="AX9" s="88">
        <v>0</v>
      </c>
      <c r="AY9" s="88"/>
      <c r="AZ9" s="88">
        <v>0</v>
      </c>
      <c r="BA9" s="88">
        <v>6526.3119999999999</v>
      </c>
      <c r="BB9" s="88">
        <v>0</v>
      </c>
      <c r="BC9" s="88">
        <f t="shared" si="5"/>
        <v>7751.25</v>
      </c>
      <c r="BD9" s="88">
        <f t="shared" si="19"/>
        <v>7751.25</v>
      </c>
      <c r="BE9" s="88">
        <v>0</v>
      </c>
      <c r="BF9" s="88">
        <v>0</v>
      </c>
      <c r="BG9" s="88">
        <v>0</v>
      </c>
      <c r="BH9" s="88">
        <v>7751.25</v>
      </c>
      <c r="BI9" s="88">
        <v>0</v>
      </c>
      <c r="BJ9" s="88">
        <v>0</v>
      </c>
      <c r="BK9" s="88">
        <v>0</v>
      </c>
      <c r="BL9" s="88">
        <v>0</v>
      </c>
      <c r="BM9" s="88">
        <f t="shared" si="6"/>
        <v>39309.923999999999</v>
      </c>
      <c r="BN9" s="88">
        <f>BO9+BP9+BQ9+BR9+BS9+BT9</f>
        <v>39309.923999999999</v>
      </c>
      <c r="BO9" s="88">
        <v>37754.724000000002</v>
      </c>
      <c r="BP9" s="88">
        <v>0</v>
      </c>
      <c r="BQ9" s="88">
        <v>0</v>
      </c>
      <c r="BR9" s="88">
        <v>0</v>
      </c>
      <c r="BS9" s="88">
        <v>1555.2</v>
      </c>
      <c r="BT9" s="88">
        <v>0</v>
      </c>
      <c r="BU9" s="88">
        <v>0</v>
      </c>
      <c r="BV9" s="88">
        <v>0</v>
      </c>
      <c r="BW9" s="88">
        <v>0</v>
      </c>
      <c r="BX9" s="88">
        <f t="shared" si="7"/>
        <v>0</v>
      </c>
      <c r="BY9" s="88">
        <f t="shared" si="8"/>
        <v>8206.3119999999999</v>
      </c>
      <c r="BZ9" s="90">
        <f t="shared" si="9"/>
        <v>-8206.3119999999999</v>
      </c>
      <c r="CA9" s="88"/>
      <c r="CB9" s="88">
        <f t="shared" si="10"/>
        <v>55267.485999999997</v>
      </c>
      <c r="CC9" s="91">
        <f t="shared" si="11"/>
        <v>55267.485999999997</v>
      </c>
      <c r="CD9" s="87" t="b">
        <f t="shared" si="15"/>
        <v>1</v>
      </c>
    </row>
    <row r="10" spans="1:82" ht="20.399999999999999" hidden="1" customHeight="1" x14ac:dyDescent="0.3">
      <c r="A10" s="37" t="s">
        <v>273</v>
      </c>
      <c r="B10" s="37" t="s">
        <v>255</v>
      </c>
      <c r="C10" s="88">
        <v>0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f t="shared" si="12"/>
        <v>0</v>
      </c>
      <c r="J10" s="88">
        <f t="shared" si="13"/>
        <v>27168</v>
      </c>
      <c r="K10" s="88">
        <f t="shared" si="14"/>
        <v>-27168</v>
      </c>
      <c r="L10" s="88">
        <f t="shared" si="0"/>
        <v>3216</v>
      </c>
      <c r="M10" s="89">
        <f t="shared" si="18"/>
        <v>3216</v>
      </c>
      <c r="N10" s="88">
        <v>0</v>
      </c>
      <c r="O10" s="88">
        <f t="shared" si="1"/>
        <v>0</v>
      </c>
      <c r="P10" s="88">
        <f t="shared" si="16"/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0</v>
      </c>
      <c r="AC10" s="88">
        <v>0</v>
      </c>
      <c r="AD10" s="88">
        <v>3216</v>
      </c>
      <c r="AE10" s="88">
        <v>0</v>
      </c>
      <c r="AF10" s="88">
        <v>0</v>
      </c>
      <c r="AG10" s="88">
        <v>0</v>
      </c>
      <c r="AH10" s="88">
        <f t="shared" si="2"/>
        <v>75</v>
      </c>
      <c r="AI10" s="88">
        <f t="shared" si="3"/>
        <v>75</v>
      </c>
      <c r="AJ10" s="88">
        <v>0</v>
      </c>
      <c r="AK10" s="88">
        <v>75</v>
      </c>
      <c r="AL10" s="88">
        <f t="shared" si="4"/>
        <v>23877</v>
      </c>
      <c r="AM10" s="88">
        <f t="shared" si="17"/>
        <v>23877</v>
      </c>
      <c r="AN10" s="88">
        <v>0</v>
      </c>
      <c r="AO10" s="88">
        <v>21600</v>
      </c>
      <c r="AP10" s="88">
        <v>0</v>
      </c>
      <c r="AQ10" s="88">
        <v>2167</v>
      </c>
      <c r="AR10" s="88">
        <v>0</v>
      </c>
      <c r="AS10" s="88">
        <v>0</v>
      </c>
      <c r="AT10" s="88">
        <v>0</v>
      </c>
      <c r="AU10" s="88">
        <v>0</v>
      </c>
      <c r="AV10" s="88">
        <v>0</v>
      </c>
      <c r="AW10" s="88">
        <v>0</v>
      </c>
      <c r="AX10" s="88">
        <v>0</v>
      </c>
      <c r="AY10" s="88"/>
      <c r="AZ10" s="88">
        <v>110</v>
      </c>
      <c r="BA10" s="88">
        <v>0</v>
      </c>
      <c r="BB10" s="88">
        <v>0</v>
      </c>
      <c r="BC10" s="88">
        <f t="shared" si="5"/>
        <v>0</v>
      </c>
      <c r="BD10" s="88">
        <f t="shared" si="19"/>
        <v>0</v>
      </c>
      <c r="BE10" s="88">
        <v>0</v>
      </c>
      <c r="BF10" s="88">
        <v>0</v>
      </c>
      <c r="BG10" s="88">
        <v>0</v>
      </c>
      <c r="BH10" s="88">
        <v>0</v>
      </c>
      <c r="BI10" s="88">
        <v>0</v>
      </c>
      <c r="BJ10" s="88">
        <v>0</v>
      </c>
      <c r="BK10" s="88">
        <v>0</v>
      </c>
      <c r="BL10" s="88">
        <v>0</v>
      </c>
      <c r="BM10" s="88">
        <f t="shared" si="6"/>
        <v>0</v>
      </c>
      <c r="BN10" s="88">
        <f>BO10+BP10+BQ10+BR10+BS10+BT10</f>
        <v>0</v>
      </c>
      <c r="BO10" s="88">
        <v>0</v>
      </c>
      <c r="BP10" s="88">
        <v>0</v>
      </c>
      <c r="BQ10" s="88">
        <v>0</v>
      </c>
      <c r="BR10" s="88">
        <v>0</v>
      </c>
      <c r="BS10" s="88">
        <v>0</v>
      </c>
      <c r="BT10" s="88">
        <v>0</v>
      </c>
      <c r="BU10" s="88">
        <v>0</v>
      </c>
      <c r="BV10" s="88">
        <v>0</v>
      </c>
      <c r="BW10" s="88">
        <v>0</v>
      </c>
      <c r="BX10" s="88">
        <f t="shared" si="7"/>
        <v>0</v>
      </c>
      <c r="BY10" s="88">
        <f t="shared" si="8"/>
        <v>27168</v>
      </c>
      <c r="BZ10" s="90">
        <f t="shared" si="9"/>
        <v>-27168</v>
      </c>
      <c r="CA10" s="88"/>
      <c r="CB10" s="88">
        <f t="shared" si="10"/>
        <v>27168</v>
      </c>
      <c r="CC10" s="91">
        <f t="shared" si="11"/>
        <v>27168</v>
      </c>
      <c r="CD10" s="87" t="b">
        <f t="shared" si="15"/>
        <v>1</v>
      </c>
    </row>
    <row r="11" spans="1:82" ht="20.399999999999999" hidden="1" customHeight="1" x14ac:dyDescent="0.3">
      <c r="A11" s="37" t="s">
        <v>448</v>
      </c>
      <c r="B11" s="37" t="s">
        <v>46</v>
      </c>
      <c r="C11" s="88">
        <v>0</v>
      </c>
      <c r="D11" s="88">
        <v>0</v>
      </c>
      <c r="E11" s="88">
        <v>0</v>
      </c>
      <c r="F11" s="88">
        <v>1</v>
      </c>
      <c r="G11" s="88">
        <v>60000</v>
      </c>
      <c r="H11" s="88">
        <v>0</v>
      </c>
      <c r="I11" s="88">
        <f t="shared" si="12"/>
        <v>60000</v>
      </c>
      <c r="J11" s="88">
        <f t="shared" si="13"/>
        <v>573000</v>
      </c>
      <c r="K11" s="88">
        <f t="shared" si="14"/>
        <v>-513000</v>
      </c>
      <c r="L11" s="88">
        <f t="shared" si="0"/>
        <v>510000</v>
      </c>
      <c r="M11" s="89">
        <f t="shared" si="18"/>
        <v>510000</v>
      </c>
      <c r="N11" s="88">
        <v>0</v>
      </c>
      <c r="O11" s="88">
        <f t="shared" si="1"/>
        <v>432000</v>
      </c>
      <c r="P11" s="88">
        <f t="shared" si="16"/>
        <v>432000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432000</v>
      </c>
      <c r="Y11" s="88">
        <v>0</v>
      </c>
      <c r="Z11" s="88">
        <v>0</v>
      </c>
      <c r="AA11" s="88">
        <v>0</v>
      </c>
      <c r="AB11" s="88">
        <v>0</v>
      </c>
      <c r="AC11" s="88">
        <v>0</v>
      </c>
      <c r="AD11" s="88">
        <v>0</v>
      </c>
      <c r="AE11" s="88">
        <v>0</v>
      </c>
      <c r="AF11" s="88">
        <v>60000</v>
      </c>
      <c r="AG11" s="88">
        <v>18000</v>
      </c>
      <c r="AH11" s="88">
        <f t="shared" si="2"/>
        <v>63000</v>
      </c>
      <c r="AI11" s="88">
        <f t="shared" si="3"/>
        <v>63000</v>
      </c>
      <c r="AJ11" s="88">
        <v>1200</v>
      </c>
      <c r="AK11" s="88">
        <v>61800</v>
      </c>
      <c r="AL11" s="88">
        <f t="shared" si="4"/>
        <v>0</v>
      </c>
      <c r="AM11" s="88">
        <f t="shared" si="17"/>
        <v>0</v>
      </c>
      <c r="AN11" s="88">
        <v>0</v>
      </c>
      <c r="AO11" s="88">
        <v>0</v>
      </c>
      <c r="AP11" s="88">
        <v>0</v>
      </c>
      <c r="AQ11" s="88">
        <v>0</v>
      </c>
      <c r="AR11" s="88">
        <v>0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8">
        <v>0</v>
      </c>
      <c r="AY11" s="88"/>
      <c r="AZ11" s="88">
        <v>0</v>
      </c>
      <c r="BA11" s="88">
        <v>0</v>
      </c>
      <c r="BB11" s="88">
        <v>0</v>
      </c>
      <c r="BC11" s="88">
        <f t="shared" si="5"/>
        <v>151642</v>
      </c>
      <c r="BD11" s="88">
        <f t="shared" si="19"/>
        <v>151642</v>
      </c>
      <c r="BE11" s="88">
        <v>500</v>
      </c>
      <c r="BF11" s="88">
        <v>98000</v>
      </c>
      <c r="BG11" s="88"/>
      <c r="BH11" s="88">
        <v>19000</v>
      </c>
      <c r="BI11" s="88">
        <v>19142</v>
      </c>
      <c r="BJ11" s="88">
        <v>0</v>
      </c>
      <c r="BK11" s="88">
        <v>0</v>
      </c>
      <c r="BL11" s="88">
        <v>15000</v>
      </c>
      <c r="BM11" s="88">
        <f t="shared" si="6"/>
        <v>156000</v>
      </c>
      <c r="BN11" s="88">
        <f>BO11+BP11+BQ11+BR11+BS11+BT11</f>
        <v>156000</v>
      </c>
      <c r="BO11" s="88">
        <v>108000</v>
      </c>
      <c r="BP11" s="88">
        <v>30000</v>
      </c>
      <c r="BQ11" s="88">
        <v>0</v>
      </c>
      <c r="BR11" s="88">
        <v>18000</v>
      </c>
      <c r="BS11" s="88">
        <v>0</v>
      </c>
      <c r="BT11" s="88">
        <v>0</v>
      </c>
      <c r="BU11" s="88">
        <v>0</v>
      </c>
      <c r="BV11" s="88">
        <v>0</v>
      </c>
      <c r="BW11" s="88">
        <v>500</v>
      </c>
      <c r="BX11" s="88">
        <f t="shared" si="7"/>
        <v>60000</v>
      </c>
      <c r="BY11" s="88">
        <f t="shared" si="8"/>
        <v>573000</v>
      </c>
      <c r="BZ11" s="90">
        <f t="shared" si="9"/>
        <v>-513000</v>
      </c>
      <c r="CA11" s="88"/>
      <c r="CB11" s="88">
        <f t="shared" si="10"/>
        <v>881142</v>
      </c>
      <c r="CC11" s="91">
        <f t="shared" si="11"/>
        <v>881142</v>
      </c>
      <c r="CD11" s="87" t="b">
        <f t="shared" si="15"/>
        <v>1</v>
      </c>
    </row>
    <row r="12" spans="1:82" ht="20.399999999999999" hidden="1" customHeight="1" x14ac:dyDescent="0.3">
      <c r="A12" s="44" t="s">
        <v>276</v>
      </c>
      <c r="B12" s="37" t="s">
        <v>255</v>
      </c>
      <c r="C12" s="88"/>
      <c r="D12" s="88"/>
      <c r="E12" s="88"/>
      <c r="F12" s="88"/>
      <c r="G12" s="88"/>
      <c r="H12" s="88"/>
      <c r="I12" s="88">
        <f t="shared" si="12"/>
        <v>0</v>
      </c>
      <c r="J12" s="88">
        <f t="shared" si="13"/>
        <v>736538.08000000007</v>
      </c>
      <c r="K12" s="88">
        <f t="shared" si="14"/>
        <v>-736538.08000000007</v>
      </c>
      <c r="L12" s="88">
        <f>N12+P12+SUM(Y12:AG12)</f>
        <v>212866.90999999997</v>
      </c>
      <c r="M12" s="89">
        <f t="shared" si="18"/>
        <v>212866.90999999997</v>
      </c>
      <c r="N12" s="88"/>
      <c r="O12" s="88">
        <v>4034.71</v>
      </c>
      <c r="P12" s="88">
        <f>SUM(Q12:X12)</f>
        <v>4034.71</v>
      </c>
      <c r="Q12" s="88"/>
      <c r="R12" s="88"/>
      <c r="S12" s="88"/>
      <c r="T12" s="88">
        <v>4034.71</v>
      </c>
      <c r="U12" s="88"/>
      <c r="V12" s="88"/>
      <c r="W12" s="88"/>
      <c r="X12" s="88"/>
      <c r="Y12" s="88">
        <v>166950.10999999999</v>
      </c>
      <c r="Z12" s="88"/>
      <c r="AA12" s="88"/>
      <c r="AB12" s="88">
        <v>41882.089999999997</v>
      </c>
      <c r="AC12" s="88"/>
      <c r="AD12" s="88"/>
      <c r="AE12" s="88"/>
      <c r="AF12" s="88"/>
      <c r="AG12" s="88"/>
      <c r="AH12" s="88">
        <f t="shared" si="2"/>
        <v>24954.83</v>
      </c>
      <c r="AI12" s="88">
        <f t="shared" si="3"/>
        <v>24954.83</v>
      </c>
      <c r="AJ12" s="88"/>
      <c r="AK12" s="88">
        <v>24954.83</v>
      </c>
      <c r="AL12" s="88">
        <f t="shared" si="4"/>
        <v>257698.03000000003</v>
      </c>
      <c r="AM12" s="88">
        <f t="shared" si="17"/>
        <v>257698.03000000003</v>
      </c>
      <c r="AN12" s="88"/>
      <c r="AO12" s="88">
        <v>41673.93</v>
      </c>
      <c r="AP12" s="88"/>
      <c r="AQ12" s="88">
        <v>31319.7</v>
      </c>
      <c r="AR12" s="88">
        <v>7366.6</v>
      </c>
      <c r="AS12" s="88"/>
      <c r="AT12" s="88"/>
      <c r="AU12" s="88">
        <v>67607.55</v>
      </c>
      <c r="AV12" s="88">
        <v>786.86</v>
      </c>
      <c r="AW12" s="88">
        <v>102450.51</v>
      </c>
      <c r="AX12" s="88"/>
      <c r="AY12" s="88">
        <v>1379.41</v>
      </c>
      <c r="AZ12" s="88"/>
      <c r="BA12" s="88">
        <v>5113.47</v>
      </c>
      <c r="BB12" s="88"/>
      <c r="BC12" s="88">
        <f t="shared" si="5"/>
        <v>3372.86</v>
      </c>
      <c r="BD12" s="88">
        <f t="shared" si="19"/>
        <v>3372.86</v>
      </c>
      <c r="BE12" s="88"/>
      <c r="BF12" s="88"/>
      <c r="BG12" s="88"/>
      <c r="BH12" s="88">
        <v>3372.86</v>
      </c>
      <c r="BI12" s="88"/>
      <c r="BJ12" s="88"/>
      <c r="BK12" s="88"/>
      <c r="BL12" s="88"/>
      <c r="BM12" s="88">
        <f t="shared" si="6"/>
        <v>68075</v>
      </c>
      <c r="BN12" s="88">
        <v>68075</v>
      </c>
      <c r="BO12" s="88"/>
      <c r="BP12" s="88"/>
      <c r="BQ12" s="88"/>
      <c r="BR12" s="91"/>
      <c r="BS12" s="88"/>
      <c r="BT12" s="88">
        <v>68075</v>
      </c>
      <c r="BU12" s="88"/>
      <c r="BV12" s="88">
        <v>241018.31</v>
      </c>
      <c r="BW12" s="88"/>
      <c r="BX12" s="88">
        <f t="shared" si="7"/>
        <v>0</v>
      </c>
      <c r="BY12" s="88">
        <f t="shared" si="8"/>
        <v>736538.08000000007</v>
      </c>
      <c r="BZ12" s="90">
        <f t="shared" si="9"/>
        <v>-736538.08000000007</v>
      </c>
      <c r="CA12" s="88"/>
      <c r="CB12" s="88">
        <f t="shared" si="10"/>
        <v>807985.93999999983</v>
      </c>
      <c r="CC12" s="91">
        <f t="shared" si="11"/>
        <v>807985.94</v>
      </c>
      <c r="CD12" s="87" t="b">
        <f t="shared" si="15"/>
        <v>1</v>
      </c>
    </row>
    <row r="13" spans="1:82" ht="20.399999999999999" hidden="1" customHeight="1" x14ac:dyDescent="0.3">
      <c r="A13" s="37" t="s">
        <v>278</v>
      </c>
      <c r="B13" s="37" t="s">
        <v>255</v>
      </c>
      <c r="C13" s="88">
        <v>1</v>
      </c>
      <c r="D13" s="88">
        <v>28353</v>
      </c>
      <c r="E13" s="88">
        <v>0</v>
      </c>
      <c r="F13" s="88">
        <v>2</v>
      </c>
      <c r="G13" s="88">
        <v>221842</v>
      </c>
      <c r="H13" s="88">
        <v>0</v>
      </c>
      <c r="I13" s="88">
        <f t="shared" si="12"/>
        <v>250195</v>
      </c>
      <c r="J13" s="88">
        <f t="shared" si="13"/>
        <v>205374</v>
      </c>
      <c r="K13" s="88">
        <f t="shared" si="14"/>
        <v>44821</v>
      </c>
      <c r="L13" s="88">
        <f t="shared" ref="L13:L42" si="20">N13+O13+SUM(Y13:AG13)</f>
        <v>30169</v>
      </c>
      <c r="M13" s="89">
        <f t="shared" si="18"/>
        <v>30169</v>
      </c>
      <c r="N13" s="88">
        <v>0</v>
      </c>
      <c r="O13" s="88">
        <f>SUM(Q13:X13)</f>
        <v>785</v>
      </c>
      <c r="P13" s="88">
        <v>785</v>
      </c>
      <c r="Q13" s="88">
        <v>0</v>
      </c>
      <c r="R13" s="88">
        <v>0</v>
      </c>
      <c r="S13" s="88">
        <v>0</v>
      </c>
      <c r="T13" s="88">
        <v>785</v>
      </c>
      <c r="U13" s="88">
        <v>0</v>
      </c>
      <c r="V13" s="88">
        <v>0</v>
      </c>
      <c r="W13" s="88">
        <v>0</v>
      </c>
      <c r="X13" s="88">
        <v>0</v>
      </c>
      <c r="Y13" s="88">
        <v>76</v>
      </c>
      <c r="Z13" s="88">
        <v>0</v>
      </c>
      <c r="AA13" s="88">
        <v>0</v>
      </c>
      <c r="AB13" s="88">
        <v>0</v>
      </c>
      <c r="AC13" s="88">
        <v>0</v>
      </c>
      <c r="AD13" s="88">
        <v>24608</v>
      </c>
      <c r="AE13" s="88">
        <v>4700</v>
      </c>
      <c r="AF13" s="88">
        <v>0</v>
      </c>
      <c r="AG13" s="88">
        <v>0</v>
      </c>
      <c r="AH13" s="88">
        <f t="shared" si="2"/>
        <v>0</v>
      </c>
      <c r="AI13" s="88">
        <f t="shared" si="3"/>
        <v>0</v>
      </c>
      <c r="AJ13" s="88">
        <v>0</v>
      </c>
      <c r="AK13" s="88">
        <v>0</v>
      </c>
      <c r="AL13" s="88">
        <f t="shared" si="4"/>
        <v>175205</v>
      </c>
      <c r="AM13" s="88">
        <f t="shared" si="17"/>
        <v>175205</v>
      </c>
      <c r="AN13" s="88">
        <v>172340</v>
      </c>
      <c r="AO13" s="88">
        <v>700</v>
      </c>
      <c r="AP13" s="88">
        <v>0</v>
      </c>
      <c r="AQ13" s="88">
        <v>50</v>
      </c>
      <c r="AR13" s="88">
        <v>0</v>
      </c>
      <c r="AS13" s="88">
        <v>0</v>
      </c>
      <c r="AT13" s="88">
        <v>0</v>
      </c>
      <c r="AU13" s="88">
        <v>0</v>
      </c>
      <c r="AV13" s="88">
        <v>15</v>
      </c>
      <c r="AW13" s="88">
        <v>0</v>
      </c>
      <c r="AX13" s="88">
        <v>0</v>
      </c>
      <c r="AY13" s="88">
        <v>22</v>
      </c>
      <c r="AZ13" s="88">
        <v>2078</v>
      </c>
      <c r="BA13" s="88">
        <v>0</v>
      </c>
      <c r="BB13" s="88">
        <v>0</v>
      </c>
      <c r="BC13" s="88">
        <f t="shared" si="5"/>
        <v>0</v>
      </c>
      <c r="BD13" s="88">
        <f t="shared" si="19"/>
        <v>0</v>
      </c>
      <c r="BE13" s="88">
        <v>0</v>
      </c>
      <c r="BF13" s="88">
        <v>0</v>
      </c>
      <c r="BG13" s="88">
        <v>0</v>
      </c>
      <c r="BH13" s="88">
        <v>0</v>
      </c>
      <c r="BI13" s="88">
        <v>0</v>
      </c>
      <c r="BJ13" s="88">
        <v>0</v>
      </c>
      <c r="BK13" s="88">
        <v>0</v>
      </c>
      <c r="BL13" s="88">
        <v>0</v>
      </c>
      <c r="BM13" s="88">
        <f t="shared" si="6"/>
        <v>0</v>
      </c>
      <c r="BN13" s="88">
        <f>BO13+BP13+BQ13+BR13+BS13+BT13</f>
        <v>0</v>
      </c>
      <c r="BO13" s="88">
        <v>0</v>
      </c>
      <c r="BP13" s="88">
        <v>0</v>
      </c>
      <c r="BQ13" s="88">
        <v>0</v>
      </c>
      <c r="BR13" s="88">
        <v>0</v>
      </c>
      <c r="BS13" s="88">
        <v>0</v>
      </c>
      <c r="BT13" s="88">
        <f>+BN12-BM12</f>
        <v>0</v>
      </c>
      <c r="BU13" s="88">
        <v>0</v>
      </c>
      <c r="BV13" s="88">
        <v>0</v>
      </c>
      <c r="BW13" s="88">
        <v>0</v>
      </c>
      <c r="BX13" s="88">
        <f t="shared" si="7"/>
        <v>250195</v>
      </c>
      <c r="BY13" s="88">
        <f t="shared" si="8"/>
        <v>205374</v>
      </c>
      <c r="BZ13" s="90">
        <f t="shared" si="9"/>
        <v>44821</v>
      </c>
      <c r="CA13" s="88"/>
      <c r="CB13" s="88">
        <f t="shared" si="10"/>
        <v>205374</v>
      </c>
      <c r="CC13" s="91">
        <f t="shared" si="11"/>
        <v>205374</v>
      </c>
      <c r="CD13" s="87" t="b">
        <f t="shared" si="15"/>
        <v>1</v>
      </c>
    </row>
    <row r="14" spans="1:82" ht="20.399999999999999" hidden="1" customHeight="1" x14ac:dyDescent="0.3">
      <c r="A14" s="37" t="s">
        <v>282</v>
      </c>
      <c r="B14" s="37" t="s">
        <v>255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f t="shared" si="12"/>
        <v>0</v>
      </c>
      <c r="J14" s="88">
        <f t="shared" si="13"/>
        <v>30478</v>
      </c>
      <c r="K14" s="88">
        <f t="shared" si="14"/>
        <v>-30478</v>
      </c>
      <c r="L14" s="88">
        <f t="shared" si="20"/>
        <v>19172</v>
      </c>
      <c r="M14" s="89">
        <f t="shared" si="18"/>
        <v>19172</v>
      </c>
      <c r="N14" s="88">
        <v>0</v>
      </c>
      <c r="O14" s="88">
        <f>SUM(Q14:X14)</f>
        <v>19172</v>
      </c>
      <c r="P14" s="88">
        <f>Q14+R14+S14+T14+U14+V14+W14+X14</f>
        <v>19172</v>
      </c>
      <c r="Q14" s="88">
        <v>2445</v>
      </c>
      <c r="R14" s="88">
        <v>15267</v>
      </c>
      <c r="S14" s="88">
        <v>0</v>
      </c>
      <c r="T14" s="88">
        <v>1460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0</v>
      </c>
      <c r="AF14" s="88">
        <v>0</v>
      </c>
      <c r="AG14" s="88">
        <v>0</v>
      </c>
      <c r="AH14" s="88">
        <f t="shared" si="2"/>
        <v>5208</v>
      </c>
      <c r="AI14" s="88">
        <f t="shared" si="3"/>
        <v>5208</v>
      </c>
      <c r="AJ14" s="88">
        <v>0</v>
      </c>
      <c r="AK14" s="88">
        <v>5208</v>
      </c>
      <c r="AL14" s="88">
        <f t="shared" si="4"/>
        <v>6098</v>
      </c>
      <c r="AM14" s="88">
        <f t="shared" si="17"/>
        <v>6098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</v>
      </c>
      <c r="AV14" s="88">
        <v>0</v>
      </c>
      <c r="AW14" s="88">
        <v>0</v>
      </c>
      <c r="AX14" s="88">
        <v>0</v>
      </c>
      <c r="AY14" s="88"/>
      <c r="AZ14" s="88">
        <v>0</v>
      </c>
      <c r="BA14" s="88">
        <v>0</v>
      </c>
      <c r="BB14" s="88">
        <v>6098</v>
      </c>
      <c r="BC14" s="88">
        <v>2445</v>
      </c>
      <c r="BD14" s="88">
        <v>2445</v>
      </c>
      <c r="BE14" s="88">
        <v>0</v>
      </c>
      <c r="BF14" s="88">
        <v>0</v>
      </c>
      <c r="BG14" s="88">
        <v>0</v>
      </c>
      <c r="BH14" s="88">
        <v>0</v>
      </c>
      <c r="BI14" s="88">
        <v>0</v>
      </c>
      <c r="BJ14" s="88">
        <v>0</v>
      </c>
      <c r="BK14" s="88">
        <v>0</v>
      </c>
      <c r="BL14" s="88">
        <v>0</v>
      </c>
      <c r="BM14" s="88">
        <f t="shared" si="6"/>
        <v>0</v>
      </c>
      <c r="BN14" s="88">
        <f>BO14+BP14+BQ14+BR14+BS14+BT14</f>
        <v>0</v>
      </c>
      <c r="BO14" s="88">
        <v>0</v>
      </c>
      <c r="BP14" s="88">
        <v>0</v>
      </c>
      <c r="BQ14" s="88">
        <v>0</v>
      </c>
      <c r="BR14" s="88">
        <v>0</v>
      </c>
      <c r="BS14" s="88">
        <v>0</v>
      </c>
      <c r="BT14" s="88">
        <v>0</v>
      </c>
      <c r="BU14" s="88">
        <v>0</v>
      </c>
      <c r="BV14" s="88">
        <v>0</v>
      </c>
      <c r="BW14" s="88">
        <v>0</v>
      </c>
      <c r="BX14" s="88">
        <f t="shared" si="7"/>
        <v>0</v>
      </c>
      <c r="BY14" s="88">
        <f t="shared" si="8"/>
        <v>30478</v>
      </c>
      <c r="BZ14" s="90">
        <f t="shared" si="9"/>
        <v>-30478</v>
      </c>
      <c r="CA14" s="88"/>
      <c r="CB14" s="88">
        <f t="shared" si="10"/>
        <v>32923</v>
      </c>
      <c r="CC14" s="91">
        <f t="shared" si="11"/>
        <v>32923</v>
      </c>
      <c r="CD14" s="87" t="b">
        <f t="shared" si="15"/>
        <v>1</v>
      </c>
    </row>
    <row r="15" spans="1:82" ht="20.399999999999999" hidden="1" customHeight="1" x14ac:dyDescent="0.3">
      <c r="A15" s="48" t="s">
        <v>285</v>
      </c>
      <c r="B15" s="37" t="s">
        <v>87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f t="shared" si="12"/>
        <v>0</v>
      </c>
      <c r="J15" s="88">
        <f t="shared" si="13"/>
        <v>3211740</v>
      </c>
      <c r="K15" s="88">
        <f t="shared" si="14"/>
        <v>-3211740</v>
      </c>
      <c r="L15" s="88">
        <f t="shared" si="20"/>
        <v>460316</v>
      </c>
      <c r="M15" s="89">
        <f t="shared" si="18"/>
        <v>460316</v>
      </c>
      <c r="N15" s="88">
        <v>4705</v>
      </c>
      <c r="O15" s="88">
        <v>324386</v>
      </c>
      <c r="P15" s="88">
        <v>324386</v>
      </c>
      <c r="Q15" s="88">
        <v>0</v>
      </c>
      <c r="R15" s="88">
        <v>0</v>
      </c>
      <c r="S15" s="88">
        <v>0</v>
      </c>
      <c r="T15" s="88"/>
      <c r="U15" s="88"/>
      <c r="V15" s="88">
        <v>0</v>
      </c>
      <c r="W15" s="88">
        <v>324386</v>
      </c>
      <c r="X15" s="88">
        <v>0</v>
      </c>
      <c r="Y15" s="88">
        <v>0</v>
      </c>
      <c r="Z15" s="88">
        <v>13175</v>
      </c>
      <c r="AA15" s="88">
        <v>2571</v>
      </c>
      <c r="AB15" s="88">
        <v>39582</v>
      </c>
      <c r="AC15" s="88">
        <v>12101</v>
      </c>
      <c r="AD15" s="88">
        <v>9783</v>
      </c>
      <c r="AE15" s="88">
        <v>25534</v>
      </c>
      <c r="AF15" s="88">
        <v>0</v>
      </c>
      <c r="AG15" s="88">
        <v>28479</v>
      </c>
      <c r="AH15" s="88">
        <f t="shared" si="2"/>
        <v>510348</v>
      </c>
      <c r="AI15" s="88">
        <f t="shared" si="3"/>
        <v>510348</v>
      </c>
      <c r="AJ15" s="88">
        <v>473723</v>
      </c>
      <c r="AK15" s="88">
        <v>36625</v>
      </c>
      <c r="AL15" s="88">
        <f t="shared" si="4"/>
        <v>1322560</v>
      </c>
      <c r="AM15" s="88">
        <f t="shared" si="17"/>
        <v>1322560</v>
      </c>
      <c r="AN15" s="88">
        <v>416659</v>
      </c>
      <c r="AO15" s="88">
        <v>108965</v>
      </c>
      <c r="AP15" s="88">
        <v>0</v>
      </c>
      <c r="AQ15" s="88">
        <v>26505</v>
      </c>
      <c r="AR15" s="88">
        <v>15221</v>
      </c>
      <c r="AS15" s="88">
        <v>50769</v>
      </c>
      <c r="AT15" s="88">
        <v>760</v>
      </c>
      <c r="AU15" s="88">
        <v>14718</v>
      </c>
      <c r="AV15" s="88">
        <v>0</v>
      </c>
      <c r="AW15" s="88">
        <v>523589</v>
      </c>
      <c r="AX15" s="88">
        <v>0</v>
      </c>
      <c r="AY15" s="88">
        <v>12962</v>
      </c>
      <c r="AZ15" s="88">
        <v>18632</v>
      </c>
      <c r="BA15" s="88"/>
      <c r="BB15" s="88">
        <v>133780</v>
      </c>
      <c r="BC15" s="88">
        <f t="shared" ref="BC15:BC42" si="21">SUM(BE15:BL15)</f>
        <v>168861</v>
      </c>
      <c r="BD15" s="88">
        <f>BE15+BF15+BG15+BH15+BI15+BJ15+BK15+BL15</f>
        <v>168861</v>
      </c>
      <c r="BE15" s="88">
        <v>90695</v>
      </c>
      <c r="BF15" s="88">
        <v>56118</v>
      </c>
      <c r="BG15" s="88">
        <v>32</v>
      </c>
      <c r="BH15" s="88">
        <v>0</v>
      </c>
      <c r="BI15" s="88">
        <v>0</v>
      </c>
      <c r="BJ15" s="88"/>
      <c r="BK15" s="88"/>
      <c r="BL15" s="88">
        <v>22016</v>
      </c>
      <c r="BM15" s="88">
        <f t="shared" si="6"/>
        <v>173547</v>
      </c>
      <c r="BN15" s="88">
        <f>BO15+BP15+BQ15+BR15+BS15+BT15</f>
        <v>173547</v>
      </c>
      <c r="BO15" s="88">
        <v>167815</v>
      </c>
      <c r="BP15" s="88">
        <v>0</v>
      </c>
      <c r="BQ15" s="88">
        <v>0</v>
      </c>
      <c r="BR15" s="88"/>
      <c r="BS15" s="88">
        <v>4097</v>
      </c>
      <c r="BT15" s="88">
        <v>1635</v>
      </c>
      <c r="BU15" s="88">
        <v>771610</v>
      </c>
      <c r="BV15" s="88">
        <v>146906</v>
      </c>
      <c r="BW15" s="88">
        <v>0</v>
      </c>
      <c r="BX15" s="88">
        <f t="shared" si="7"/>
        <v>0</v>
      </c>
      <c r="BY15" s="88">
        <f t="shared" si="8"/>
        <v>3211740</v>
      </c>
      <c r="BZ15" s="90">
        <f t="shared" si="9"/>
        <v>-3211740</v>
      </c>
      <c r="CA15" s="88"/>
      <c r="CB15" s="88">
        <f t="shared" si="10"/>
        <v>3554148</v>
      </c>
      <c r="CC15" s="91">
        <f t="shared" si="11"/>
        <v>3554148</v>
      </c>
      <c r="CD15" s="87" t="b">
        <f t="shared" si="15"/>
        <v>1</v>
      </c>
    </row>
    <row r="16" spans="1:82" ht="20.399999999999999" hidden="1" customHeight="1" x14ac:dyDescent="0.3">
      <c r="A16" s="37" t="s">
        <v>151</v>
      </c>
      <c r="B16" s="37" t="s">
        <v>46</v>
      </c>
      <c r="C16" s="88">
        <v>24</v>
      </c>
      <c r="D16" s="88">
        <v>955767</v>
      </c>
      <c r="E16" s="88">
        <v>64</v>
      </c>
      <c r="F16" s="88">
        <v>2</v>
      </c>
      <c r="G16" s="88">
        <v>529953</v>
      </c>
      <c r="H16" s="88">
        <v>36</v>
      </c>
      <c r="I16" s="88">
        <f t="shared" si="12"/>
        <v>1485720</v>
      </c>
      <c r="J16" s="88">
        <f t="shared" si="13"/>
        <v>1223356</v>
      </c>
      <c r="K16" s="88">
        <f t="shared" si="14"/>
        <v>262364</v>
      </c>
      <c r="L16" s="88">
        <f t="shared" si="20"/>
        <v>902685</v>
      </c>
      <c r="M16" s="89">
        <f t="shared" si="18"/>
        <v>902685</v>
      </c>
      <c r="N16" s="88">
        <v>142288</v>
      </c>
      <c r="O16" s="88">
        <f t="shared" ref="O16:O21" si="22">SUM(Q16:X16)</f>
        <v>552202</v>
      </c>
      <c r="P16" s="88">
        <f>Q16+R16+S16+T16+U16+V16+W16+X16</f>
        <v>552202</v>
      </c>
      <c r="Q16" s="88">
        <v>0</v>
      </c>
      <c r="R16" s="88">
        <v>0</v>
      </c>
      <c r="S16" s="88">
        <v>0</v>
      </c>
      <c r="T16" s="88">
        <v>552202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8">
        <v>2460</v>
      </c>
      <c r="AA16" s="88">
        <v>0</v>
      </c>
      <c r="AB16" s="88">
        <v>0</v>
      </c>
      <c r="AC16" s="88">
        <v>2867</v>
      </c>
      <c r="AD16" s="88">
        <v>1022</v>
      </c>
      <c r="AE16" s="88">
        <v>195448</v>
      </c>
      <c r="AF16" s="88">
        <v>6398</v>
      </c>
      <c r="AG16" s="88">
        <v>0</v>
      </c>
      <c r="AH16" s="88">
        <f t="shared" si="2"/>
        <v>121</v>
      </c>
      <c r="AI16" s="88">
        <f t="shared" si="3"/>
        <v>121</v>
      </c>
      <c r="AJ16" s="88">
        <v>101</v>
      </c>
      <c r="AK16" s="88">
        <v>20</v>
      </c>
      <c r="AL16" s="88">
        <f t="shared" si="4"/>
        <v>318020</v>
      </c>
      <c r="AM16" s="88">
        <f t="shared" si="17"/>
        <v>318020</v>
      </c>
      <c r="AN16" s="88">
        <v>0</v>
      </c>
      <c r="AO16" s="88">
        <v>3975</v>
      </c>
      <c r="AP16" s="88">
        <v>0</v>
      </c>
      <c r="AQ16" s="88">
        <v>25761</v>
      </c>
      <c r="AR16" s="88">
        <v>200</v>
      </c>
      <c r="AS16" s="88">
        <v>0</v>
      </c>
      <c r="AT16" s="88">
        <v>184</v>
      </c>
      <c r="AU16" s="88">
        <v>3349</v>
      </c>
      <c r="AV16" s="92"/>
      <c r="AW16" s="88">
        <v>14923</v>
      </c>
      <c r="AX16" s="92"/>
      <c r="AY16" s="92">
        <v>5441</v>
      </c>
      <c r="AZ16" s="88">
        <v>247388</v>
      </c>
      <c r="BA16" s="88"/>
      <c r="BB16" s="88">
        <v>16799</v>
      </c>
      <c r="BC16" s="88">
        <f t="shared" si="21"/>
        <v>38925</v>
      </c>
      <c r="BD16" s="88">
        <f>BE16+BF16+BG16+BH16+BI16+BJ16+BK16+BL16</f>
        <v>38925</v>
      </c>
      <c r="BE16" s="88">
        <v>13404</v>
      </c>
      <c r="BF16" s="88">
        <v>701</v>
      </c>
      <c r="BG16" s="31"/>
      <c r="BH16" s="88">
        <v>0</v>
      </c>
      <c r="BI16" s="88"/>
      <c r="BJ16" s="88">
        <v>7532</v>
      </c>
      <c r="BK16" s="88">
        <v>17088</v>
      </c>
      <c r="BL16" s="88">
        <v>200</v>
      </c>
      <c r="BM16" s="88">
        <f t="shared" si="6"/>
        <v>172182</v>
      </c>
      <c r="BN16" s="88">
        <f>BO16+BP16+BQ16+BR16+BS16+BT16</f>
        <v>172182</v>
      </c>
      <c r="BO16" s="88">
        <v>99071</v>
      </c>
      <c r="BP16" s="88">
        <v>53642</v>
      </c>
      <c r="BQ16" s="88">
        <v>7742</v>
      </c>
      <c r="BR16" s="88">
        <v>0</v>
      </c>
      <c r="BS16" s="88">
        <v>11727</v>
      </c>
      <c r="BT16" s="88">
        <v>0</v>
      </c>
      <c r="BU16" s="88">
        <v>2490</v>
      </c>
      <c r="BV16" s="88">
        <v>40</v>
      </c>
      <c r="BW16" s="88">
        <v>5000</v>
      </c>
      <c r="BX16" s="88">
        <f t="shared" si="7"/>
        <v>1485720</v>
      </c>
      <c r="BY16" s="88">
        <f t="shared" si="8"/>
        <v>1223356</v>
      </c>
      <c r="BZ16" s="90">
        <f t="shared" si="9"/>
        <v>262364</v>
      </c>
      <c r="CA16" s="88"/>
      <c r="CB16" s="88">
        <f t="shared" si="10"/>
        <v>1439463</v>
      </c>
      <c r="CC16" s="91">
        <f t="shared" si="11"/>
        <v>1439463</v>
      </c>
      <c r="CD16" s="87" t="b">
        <f t="shared" si="15"/>
        <v>1</v>
      </c>
    </row>
    <row r="17" spans="1:82" ht="20.399999999999999" hidden="1" customHeight="1" x14ac:dyDescent="0.3">
      <c r="A17" s="37" t="s">
        <v>292</v>
      </c>
      <c r="B17" s="37" t="s">
        <v>255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f t="shared" si="12"/>
        <v>0</v>
      </c>
      <c r="J17" s="88">
        <f t="shared" si="13"/>
        <v>1894227</v>
      </c>
      <c r="K17" s="88">
        <f t="shared" si="14"/>
        <v>-1894227</v>
      </c>
      <c r="L17" s="88">
        <f t="shared" si="20"/>
        <v>1616779</v>
      </c>
      <c r="M17" s="89">
        <f t="shared" si="18"/>
        <v>1616779</v>
      </c>
      <c r="N17" s="88">
        <v>194</v>
      </c>
      <c r="O17" s="88">
        <f t="shared" si="22"/>
        <v>19111</v>
      </c>
      <c r="P17" s="88">
        <v>19111</v>
      </c>
      <c r="Q17" s="88">
        <v>0</v>
      </c>
      <c r="R17" s="88">
        <v>0</v>
      </c>
      <c r="S17" s="88">
        <v>19111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  <c r="Z17" s="88">
        <v>836</v>
      </c>
      <c r="AA17" s="88">
        <v>2511</v>
      </c>
      <c r="AB17" s="88">
        <v>24413</v>
      </c>
      <c r="AC17" s="88">
        <v>7770</v>
      </c>
      <c r="AD17" s="88">
        <v>7341</v>
      </c>
      <c r="AE17" s="88">
        <v>350866</v>
      </c>
      <c r="AF17" s="88">
        <v>1202484</v>
      </c>
      <c r="AG17" s="88">
        <v>1253</v>
      </c>
      <c r="AH17" s="88">
        <f t="shared" si="2"/>
        <v>19029</v>
      </c>
      <c r="AI17" s="88">
        <f t="shared" si="3"/>
        <v>19029</v>
      </c>
      <c r="AJ17" s="88">
        <v>7870</v>
      </c>
      <c r="AK17" s="88">
        <v>11159</v>
      </c>
      <c r="AL17" s="88">
        <f t="shared" si="4"/>
        <v>187939</v>
      </c>
      <c r="AM17" s="88">
        <f t="shared" si="17"/>
        <v>187939</v>
      </c>
      <c r="AN17" s="88">
        <v>0</v>
      </c>
      <c r="AO17" s="88">
        <v>20302</v>
      </c>
      <c r="AP17" s="88">
        <v>0</v>
      </c>
      <c r="AQ17" s="88">
        <v>29300</v>
      </c>
      <c r="AR17" s="88">
        <v>6236</v>
      </c>
      <c r="AS17" s="88">
        <v>0</v>
      </c>
      <c r="AT17" s="88">
        <v>9576</v>
      </c>
      <c r="AU17" s="88">
        <v>3394</v>
      </c>
      <c r="AV17" s="88">
        <v>0</v>
      </c>
      <c r="AW17" s="88">
        <v>12701</v>
      </c>
      <c r="AX17" s="88">
        <v>150</v>
      </c>
      <c r="AY17" s="88">
        <v>2433</v>
      </c>
      <c r="AZ17" s="88">
        <v>38439</v>
      </c>
      <c r="BA17" s="88">
        <v>0</v>
      </c>
      <c r="BB17" s="88">
        <v>65408</v>
      </c>
      <c r="BC17" s="88">
        <f t="shared" si="21"/>
        <v>10952</v>
      </c>
      <c r="BD17" s="88">
        <f>BE17+BF17+BG17+BH17+BI17+BJ17+BK17+BL17</f>
        <v>10952</v>
      </c>
      <c r="BE17" s="88">
        <v>6939</v>
      </c>
      <c r="BF17" s="88">
        <v>2767</v>
      </c>
      <c r="BG17" s="88">
        <v>0</v>
      </c>
      <c r="BH17" s="88">
        <v>0</v>
      </c>
      <c r="BI17" s="88">
        <v>0</v>
      </c>
      <c r="BJ17" s="88">
        <v>702</v>
      </c>
      <c r="BK17" s="88">
        <v>6</v>
      </c>
      <c r="BL17" s="88">
        <v>538</v>
      </c>
      <c r="BM17" s="88">
        <f t="shared" si="6"/>
        <v>236703</v>
      </c>
      <c r="BN17" s="88">
        <v>236703</v>
      </c>
      <c r="BO17" s="88">
        <v>166609</v>
      </c>
      <c r="BP17" s="88">
        <v>44861</v>
      </c>
      <c r="BQ17" s="88">
        <v>6662</v>
      </c>
      <c r="BR17" s="88">
        <v>0</v>
      </c>
      <c r="BS17" s="88">
        <v>9294</v>
      </c>
      <c r="BT17" s="88">
        <v>9277</v>
      </c>
      <c r="BU17" s="88">
        <v>2001</v>
      </c>
      <c r="BV17" s="88">
        <v>68479</v>
      </c>
      <c r="BW17" s="88">
        <v>0</v>
      </c>
      <c r="BX17" s="88">
        <f t="shared" si="7"/>
        <v>0</v>
      </c>
      <c r="BY17" s="88">
        <f t="shared" si="8"/>
        <v>1894227</v>
      </c>
      <c r="BZ17" s="90">
        <f t="shared" si="9"/>
        <v>-1894227</v>
      </c>
      <c r="CA17" s="88"/>
      <c r="CB17" s="88">
        <f t="shared" si="10"/>
        <v>2141882</v>
      </c>
      <c r="CC17" s="91">
        <f t="shared" si="11"/>
        <v>2141882</v>
      </c>
      <c r="CD17" s="87" t="b">
        <f t="shared" si="15"/>
        <v>1</v>
      </c>
    </row>
    <row r="18" spans="1:82" ht="20.399999999999999" hidden="1" customHeight="1" x14ac:dyDescent="0.3">
      <c r="A18" s="49" t="s">
        <v>607</v>
      </c>
      <c r="B18" s="37" t="s">
        <v>255</v>
      </c>
      <c r="C18" s="88"/>
      <c r="D18" s="88"/>
      <c r="E18" s="88"/>
      <c r="F18" s="88"/>
      <c r="G18" s="88"/>
      <c r="H18" s="88"/>
      <c r="I18" s="88">
        <f t="shared" si="12"/>
        <v>0</v>
      </c>
      <c r="J18" s="88">
        <f t="shared" si="13"/>
        <v>3231</v>
      </c>
      <c r="K18" s="88">
        <f t="shared" si="14"/>
        <v>-3231</v>
      </c>
      <c r="L18" s="88">
        <f t="shared" si="20"/>
        <v>1001</v>
      </c>
      <c r="M18" s="89">
        <v>1001</v>
      </c>
      <c r="N18" s="88"/>
      <c r="O18" s="88">
        <f t="shared" si="22"/>
        <v>0</v>
      </c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>
        <v>35</v>
      </c>
      <c r="AA18" s="88">
        <v>40</v>
      </c>
      <c r="AB18" s="88"/>
      <c r="AC18" s="88">
        <v>25</v>
      </c>
      <c r="AD18" s="88">
        <v>901</v>
      </c>
      <c r="AE18" s="88"/>
      <c r="AF18" s="88"/>
      <c r="AG18" s="88"/>
      <c r="AH18" s="88">
        <f t="shared" si="2"/>
        <v>0</v>
      </c>
      <c r="AI18" s="88"/>
      <c r="AJ18" s="88"/>
      <c r="AK18" s="88"/>
      <c r="AL18" s="88">
        <f t="shared" si="4"/>
        <v>2230</v>
      </c>
      <c r="AM18" s="88">
        <v>2230</v>
      </c>
      <c r="AN18" s="88"/>
      <c r="AO18" s="88">
        <v>585</v>
      </c>
      <c r="AP18" s="88"/>
      <c r="AQ18" s="88"/>
      <c r="AR18" s="88"/>
      <c r="AS18" s="88"/>
      <c r="AT18" s="88"/>
      <c r="AU18" s="88"/>
      <c r="AV18" s="88">
        <v>10</v>
      </c>
      <c r="AW18" s="88">
        <v>1203</v>
      </c>
      <c r="AX18" s="88"/>
      <c r="AY18" s="88"/>
      <c r="AZ18" s="88"/>
      <c r="BA18" s="88">
        <v>432</v>
      </c>
      <c r="BB18" s="88"/>
      <c r="BC18" s="88">
        <f t="shared" si="21"/>
        <v>10763</v>
      </c>
      <c r="BD18" s="88">
        <v>10763</v>
      </c>
      <c r="BE18" s="88"/>
      <c r="BF18" s="88"/>
      <c r="BG18" s="88">
        <v>2500</v>
      </c>
      <c r="BH18" s="88">
        <v>7927</v>
      </c>
      <c r="BI18" s="88"/>
      <c r="BJ18" s="88">
        <v>336</v>
      </c>
      <c r="BK18" s="88"/>
      <c r="BL18" s="88"/>
      <c r="BM18" s="88">
        <f t="shared" si="6"/>
        <v>0</v>
      </c>
      <c r="BN18" s="88"/>
      <c r="BO18" s="88"/>
      <c r="BP18" s="88"/>
      <c r="BQ18" s="88"/>
      <c r="BR18" s="31"/>
      <c r="BS18" s="88"/>
      <c r="BT18" s="88"/>
      <c r="BU18" s="88"/>
      <c r="BV18" s="88"/>
      <c r="BW18" s="88"/>
      <c r="BX18" s="88">
        <f t="shared" si="7"/>
        <v>0</v>
      </c>
      <c r="BY18" s="88">
        <f t="shared" si="8"/>
        <v>3231</v>
      </c>
      <c r="BZ18" s="90">
        <f t="shared" si="9"/>
        <v>-3231</v>
      </c>
      <c r="CA18" s="88"/>
      <c r="CB18" s="88">
        <f t="shared" si="10"/>
        <v>13994</v>
      </c>
      <c r="CC18" s="91">
        <f t="shared" si="11"/>
        <v>13994</v>
      </c>
      <c r="CD18" s="87" t="b">
        <f t="shared" si="15"/>
        <v>1</v>
      </c>
    </row>
    <row r="19" spans="1:82" ht="20.399999999999999" hidden="1" customHeight="1" x14ac:dyDescent="0.3">
      <c r="A19" s="37" t="s">
        <v>459</v>
      </c>
      <c r="B19" s="37" t="s">
        <v>255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f t="shared" si="12"/>
        <v>0</v>
      </c>
      <c r="J19" s="88">
        <f t="shared" si="13"/>
        <v>10404.129000000001</v>
      </c>
      <c r="K19" s="88">
        <f t="shared" si="14"/>
        <v>-10404.129000000001</v>
      </c>
      <c r="L19" s="88">
        <f t="shared" si="20"/>
        <v>1411</v>
      </c>
      <c r="M19" s="89">
        <f>N19+P19+Y19+Z19+AA19+AB19+AC19+AD19+AE19+AF19+AG19</f>
        <v>1411</v>
      </c>
      <c r="N19" s="88">
        <v>0</v>
      </c>
      <c r="O19" s="88">
        <f t="shared" si="22"/>
        <v>0</v>
      </c>
      <c r="P19" s="88">
        <f>Q19+R19+S19+T19+U19+V19+W19+X19</f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375</v>
      </c>
      <c r="Z19" s="88">
        <v>108</v>
      </c>
      <c r="AA19" s="88">
        <v>368</v>
      </c>
      <c r="AB19" s="88">
        <v>206</v>
      </c>
      <c r="AC19" s="88">
        <v>84</v>
      </c>
      <c r="AD19" s="88">
        <v>0</v>
      </c>
      <c r="AE19" s="88">
        <v>54</v>
      </c>
      <c r="AF19" s="88">
        <v>0</v>
      </c>
      <c r="AG19" s="88">
        <v>216</v>
      </c>
      <c r="AH19" s="88">
        <f t="shared" si="2"/>
        <v>3747</v>
      </c>
      <c r="AI19" s="88">
        <f>AJ19+AK19</f>
        <v>3747</v>
      </c>
      <c r="AJ19" s="88">
        <v>3747</v>
      </c>
      <c r="AK19" s="88">
        <v>0</v>
      </c>
      <c r="AL19" s="88">
        <f t="shared" si="4"/>
        <v>5246.1289999999999</v>
      </c>
      <c r="AM19" s="88">
        <f>AN19+AO19+AP19+AQ19+AR19+AS19+AT19+AU19+AV19+AW19+AX19+AZ19+BA19+BB19+AY19</f>
        <v>5246.1289999999999</v>
      </c>
      <c r="AN19" s="88">
        <v>0</v>
      </c>
      <c r="AO19" s="88">
        <v>1459</v>
      </c>
      <c r="AP19" s="88">
        <v>0</v>
      </c>
      <c r="AQ19" s="88">
        <v>0</v>
      </c>
      <c r="AR19" s="88">
        <v>0</v>
      </c>
      <c r="AS19" s="88">
        <v>0</v>
      </c>
      <c r="AT19" s="88">
        <v>0</v>
      </c>
      <c r="AU19" s="88">
        <v>479</v>
      </c>
      <c r="AV19" s="88">
        <v>1636</v>
      </c>
      <c r="AW19" s="88">
        <v>0</v>
      </c>
      <c r="AX19" s="88">
        <v>0</v>
      </c>
      <c r="AY19" s="88">
        <v>707.12900000000002</v>
      </c>
      <c r="AZ19" s="88">
        <v>0</v>
      </c>
      <c r="BA19" s="88">
        <v>0</v>
      </c>
      <c r="BB19" s="88">
        <v>965</v>
      </c>
      <c r="BC19" s="88">
        <f t="shared" si="21"/>
        <v>2490</v>
      </c>
      <c r="BD19" s="88">
        <f>BE19+BF19+BG19+BH19+BI19+BJ19+BK19+BL19</f>
        <v>2490</v>
      </c>
      <c r="BE19" s="88">
        <v>2490</v>
      </c>
      <c r="BF19" s="88">
        <v>0</v>
      </c>
      <c r="BG19" s="88">
        <v>0</v>
      </c>
      <c r="BH19" s="88">
        <v>0</v>
      </c>
      <c r="BI19" s="88">
        <v>0</v>
      </c>
      <c r="BJ19" s="88">
        <v>0</v>
      </c>
      <c r="BK19" s="88">
        <v>0</v>
      </c>
      <c r="BL19" s="88">
        <v>0</v>
      </c>
      <c r="BM19" s="88">
        <f t="shared" si="6"/>
        <v>7800</v>
      </c>
      <c r="BN19" s="88">
        <f>BO19+BP19+BQ19+BR19+BS19+BT19</f>
        <v>7800</v>
      </c>
      <c r="BO19" s="88">
        <v>7800</v>
      </c>
      <c r="BP19" s="88">
        <v>0</v>
      </c>
      <c r="BQ19" s="88">
        <v>0</v>
      </c>
      <c r="BR19" s="88">
        <v>0</v>
      </c>
      <c r="BS19" s="88">
        <v>0</v>
      </c>
      <c r="BT19" s="88">
        <v>0</v>
      </c>
      <c r="BU19" s="88">
        <v>0</v>
      </c>
      <c r="BV19" s="88">
        <v>0</v>
      </c>
      <c r="BW19" s="88">
        <v>167</v>
      </c>
      <c r="BX19" s="88">
        <f t="shared" si="7"/>
        <v>0</v>
      </c>
      <c r="BY19" s="88">
        <f t="shared" si="8"/>
        <v>10404.129000000001</v>
      </c>
      <c r="BZ19" s="90">
        <f t="shared" si="9"/>
        <v>-10404.129000000001</v>
      </c>
      <c r="CA19" s="88"/>
      <c r="CB19" s="88">
        <f t="shared" si="10"/>
        <v>20861.129000000001</v>
      </c>
      <c r="CC19" s="91">
        <f t="shared" si="11"/>
        <v>20861.129000000001</v>
      </c>
      <c r="CD19" s="87" t="b">
        <f t="shared" si="15"/>
        <v>1</v>
      </c>
    </row>
    <row r="20" spans="1:82" ht="20.399999999999999" hidden="1" customHeight="1" x14ac:dyDescent="0.3">
      <c r="A20" s="37" t="s">
        <v>463</v>
      </c>
      <c r="B20" s="37" t="s">
        <v>87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f t="shared" si="12"/>
        <v>0</v>
      </c>
      <c r="J20" s="88">
        <f t="shared" si="13"/>
        <v>0</v>
      </c>
      <c r="K20" s="88">
        <f t="shared" si="14"/>
        <v>0</v>
      </c>
      <c r="L20" s="88">
        <f t="shared" si="20"/>
        <v>0</v>
      </c>
      <c r="M20" s="89">
        <f>N20+P20+Y20+Z20+AA20+AB20+AC20+AD20+AE20+AF20+AG20</f>
        <v>0</v>
      </c>
      <c r="N20" s="88">
        <v>0</v>
      </c>
      <c r="O20" s="88">
        <f t="shared" si="22"/>
        <v>0</v>
      </c>
      <c r="P20" s="88">
        <f>Q20+R20+S20+T20+U20+V20+W20+X20</f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0</v>
      </c>
      <c r="AF20" s="88">
        <v>0</v>
      </c>
      <c r="AG20" s="88">
        <v>0</v>
      </c>
      <c r="AH20" s="88">
        <f t="shared" si="2"/>
        <v>0</v>
      </c>
      <c r="AI20" s="88">
        <f>AJ20+AK20</f>
        <v>0</v>
      </c>
      <c r="AJ20" s="88">
        <v>0</v>
      </c>
      <c r="AK20" s="88">
        <v>0</v>
      </c>
      <c r="AL20" s="88">
        <f t="shared" si="4"/>
        <v>0</v>
      </c>
      <c r="AM20" s="88">
        <f>AN20+AO20+AP20+AQ20+AR20+AS20+AT20+AU20+AV20+AW20+AX20+AZ20+BA20+BB20+AY20</f>
        <v>0</v>
      </c>
      <c r="AN20" s="88">
        <v>0</v>
      </c>
      <c r="AO20" s="88">
        <v>0</v>
      </c>
      <c r="AP20" s="88">
        <v>0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</v>
      </c>
      <c r="AX20" s="88">
        <v>0</v>
      </c>
      <c r="AY20" s="88"/>
      <c r="AZ20" s="88">
        <v>0</v>
      </c>
      <c r="BA20" s="88">
        <v>0</v>
      </c>
      <c r="BB20" s="88">
        <v>0</v>
      </c>
      <c r="BC20" s="88">
        <f t="shared" si="21"/>
        <v>0</v>
      </c>
      <c r="BD20" s="88">
        <f>BE20+BF20+BG20+BH20+BI20+BJ20+BK20+BL20</f>
        <v>0</v>
      </c>
      <c r="BE20" s="88">
        <v>0</v>
      </c>
      <c r="BF20" s="88">
        <v>0</v>
      </c>
      <c r="BG20" s="88">
        <v>0</v>
      </c>
      <c r="BH20" s="88">
        <v>0</v>
      </c>
      <c r="BI20" s="88">
        <v>0</v>
      </c>
      <c r="BJ20" s="88">
        <v>0</v>
      </c>
      <c r="BK20" s="88">
        <v>0</v>
      </c>
      <c r="BL20" s="88">
        <v>0</v>
      </c>
      <c r="BM20" s="88">
        <f t="shared" si="6"/>
        <v>0</v>
      </c>
      <c r="BN20" s="88">
        <f>BO20+BP20+BQ20+BR20+BS20+BT20</f>
        <v>0</v>
      </c>
      <c r="BO20" s="88">
        <v>0</v>
      </c>
      <c r="BP20" s="88">
        <v>0</v>
      </c>
      <c r="BQ20" s="88">
        <v>0</v>
      </c>
      <c r="BR20" s="88">
        <v>0</v>
      </c>
      <c r="BS20" s="88">
        <v>0</v>
      </c>
      <c r="BT20" s="88">
        <v>0</v>
      </c>
      <c r="BU20" s="88">
        <v>0</v>
      </c>
      <c r="BV20" s="88">
        <v>0</v>
      </c>
      <c r="BW20" s="88">
        <v>0</v>
      </c>
      <c r="BX20" s="88">
        <f t="shared" si="7"/>
        <v>0</v>
      </c>
      <c r="BY20" s="88">
        <f t="shared" si="8"/>
        <v>0</v>
      </c>
      <c r="BZ20" s="90">
        <f t="shared" si="9"/>
        <v>0</v>
      </c>
      <c r="CA20" s="88"/>
      <c r="CB20" s="88">
        <f t="shared" si="10"/>
        <v>0</v>
      </c>
      <c r="CC20" s="91">
        <f t="shared" si="11"/>
        <v>0</v>
      </c>
      <c r="CD20" s="87" t="b">
        <f t="shared" si="15"/>
        <v>1</v>
      </c>
    </row>
    <row r="21" spans="1:82" ht="20.399999999999999" hidden="1" customHeight="1" x14ac:dyDescent="0.3">
      <c r="A21" s="37" t="s">
        <v>300</v>
      </c>
      <c r="B21" s="37" t="s">
        <v>41</v>
      </c>
      <c r="C21" s="88">
        <v>258</v>
      </c>
      <c r="D21" s="88">
        <v>58917656</v>
      </c>
      <c r="E21" s="88">
        <v>0</v>
      </c>
      <c r="F21" s="88">
        <v>168</v>
      </c>
      <c r="G21" s="88">
        <v>127114877</v>
      </c>
      <c r="H21" s="88">
        <v>0</v>
      </c>
      <c r="I21" s="88">
        <f t="shared" si="12"/>
        <v>186032533</v>
      </c>
      <c r="J21" s="88">
        <f t="shared" si="13"/>
        <v>46286625</v>
      </c>
      <c r="K21" s="88">
        <f t="shared" si="14"/>
        <v>139745908</v>
      </c>
      <c r="L21" s="88">
        <f t="shared" si="20"/>
        <v>33332236</v>
      </c>
      <c r="M21" s="89">
        <f>N21+P21+Y21+Z21+AA21+AB21+AC21+AD21+AE21+AF21+AG21</f>
        <v>33332236</v>
      </c>
      <c r="N21" s="88">
        <v>4844725</v>
      </c>
      <c r="O21" s="88">
        <f t="shared" si="22"/>
        <v>9931621.0000000019</v>
      </c>
      <c r="P21" s="88">
        <v>9931621</v>
      </c>
      <c r="Q21" s="88">
        <v>0</v>
      </c>
      <c r="R21" s="88">
        <v>0</v>
      </c>
      <c r="S21" s="88">
        <v>0</v>
      </c>
      <c r="T21" s="88">
        <v>1385269.5615013519</v>
      </c>
      <c r="U21" s="88">
        <v>2941940.2444709814</v>
      </c>
      <c r="V21" s="88">
        <v>73800.007977195171</v>
      </c>
      <c r="W21" s="88">
        <v>5513113.8312179707</v>
      </c>
      <c r="X21" s="88">
        <v>17497.354832501667</v>
      </c>
      <c r="Y21" s="88">
        <v>118917</v>
      </c>
      <c r="Z21" s="88">
        <v>5766</v>
      </c>
      <c r="AA21" s="88">
        <v>8662</v>
      </c>
      <c r="AB21" s="88"/>
      <c r="AC21" s="88">
        <v>16200</v>
      </c>
      <c r="AD21" s="88">
        <v>7983510</v>
      </c>
      <c r="AE21" s="88">
        <v>284041</v>
      </c>
      <c r="AF21" s="88">
        <v>12882</v>
      </c>
      <c r="AG21" s="88">
        <v>10125912</v>
      </c>
      <c r="AH21" s="88">
        <f t="shared" si="2"/>
        <v>811559</v>
      </c>
      <c r="AI21" s="92">
        <v>811559</v>
      </c>
      <c r="AJ21" s="88">
        <v>793258</v>
      </c>
      <c r="AK21" s="88">
        <v>18301</v>
      </c>
      <c r="AL21" s="88">
        <f t="shared" si="4"/>
        <v>8533771</v>
      </c>
      <c r="AM21" s="88">
        <v>8533771</v>
      </c>
      <c r="AN21" s="88">
        <v>0</v>
      </c>
      <c r="AO21" s="88">
        <v>1462157</v>
      </c>
      <c r="AP21" s="88">
        <v>0</v>
      </c>
      <c r="AQ21" s="88">
        <v>5273902</v>
      </c>
      <c r="AR21" s="88">
        <v>1198860</v>
      </c>
      <c r="AS21" s="88">
        <v>2813</v>
      </c>
      <c r="AT21" s="88">
        <v>10688</v>
      </c>
      <c r="AU21" s="88">
        <v>36111</v>
      </c>
      <c r="AV21" s="88">
        <v>0</v>
      </c>
      <c r="AW21" s="88">
        <v>388825</v>
      </c>
      <c r="AX21" s="88">
        <v>150</v>
      </c>
      <c r="AY21" s="88">
        <v>37137</v>
      </c>
      <c r="AZ21" s="88">
        <v>9988</v>
      </c>
      <c r="BA21" s="88">
        <v>0</v>
      </c>
      <c r="BB21" s="88">
        <v>113140</v>
      </c>
      <c r="BC21" s="88">
        <f t="shared" si="21"/>
        <v>2719380</v>
      </c>
      <c r="BD21" s="88">
        <f>BE21+BF21+BG21+BH21+BI21+BJ21+BK21+BL21</f>
        <v>2719380</v>
      </c>
      <c r="BE21" s="88">
        <v>0</v>
      </c>
      <c r="BF21" s="88">
        <v>0</v>
      </c>
      <c r="BG21" s="88">
        <v>0</v>
      </c>
      <c r="BH21" s="88">
        <v>0</v>
      </c>
      <c r="BI21" s="88">
        <v>207737</v>
      </c>
      <c r="BJ21" s="88">
        <v>71</v>
      </c>
      <c r="BK21" s="88">
        <v>2510627</v>
      </c>
      <c r="BL21" s="88">
        <v>945</v>
      </c>
      <c r="BM21" s="88">
        <f t="shared" si="6"/>
        <v>7860543</v>
      </c>
      <c r="BN21" s="88">
        <f>BO21+BP21+BQ21+BR21+BS21+BT21</f>
        <v>7860543</v>
      </c>
      <c r="BO21" s="88">
        <v>7233076</v>
      </c>
      <c r="BP21" s="88">
        <v>74895</v>
      </c>
      <c r="BQ21" s="88">
        <v>39768</v>
      </c>
      <c r="BR21" s="31"/>
      <c r="BS21" s="88">
        <v>429748</v>
      </c>
      <c r="BT21" s="88">
        <v>83056</v>
      </c>
      <c r="BU21" s="88">
        <v>2639573</v>
      </c>
      <c r="BV21" s="88">
        <v>969486</v>
      </c>
      <c r="BW21" s="88">
        <v>0</v>
      </c>
      <c r="BX21" s="88">
        <f t="shared" si="7"/>
        <v>186032533</v>
      </c>
      <c r="BY21" s="88">
        <f t="shared" si="8"/>
        <v>46286625</v>
      </c>
      <c r="BZ21" s="90">
        <f t="shared" si="9"/>
        <v>139745908</v>
      </c>
      <c r="CA21" s="88"/>
      <c r="CB21" s="88">
        <f t="shared" si="10"/>
        <v>56866548</v>
      </c>
      <c r="CC21" s="91">
        <f t="shared" si="11"/>
        <v>56866548</v>
      </c>
      <c r="CD21" s="87" t="b">
        <f t="shared" si="15"/>
        <v>1</v>
      </c>
    </row>
    <row r="22" spans="1:82" ht="20.399999999999999" hidden="1" customHeight="1" x14ac:dyDescent="0.3">
      <c r="A22" s="37" t="s">
        <v>470</v>
      </c>
      <c r="B22" s="37" t="s">
        <v>46</v>
      </c>
      <c r="C22" s="88">
        <v>412</v>
      </c>
      <c r="D22" s="88">
        <v>15409397</v>
      </c>
      <c r="E22" s="88">
        <v>0</v>
      </c>
      <c r="F22" s="88">
        <v>38</v>
      </c>
      <c r="G22" s="88">
        <v>5753780</v>
      </c>
      <c r="H22" s="88">
        <v>0</v>
      </c>
      <c r="I22" s="88">
        <f t="shared" si="12"/>
        <v>21163177</v>
      </c>
      <c r="J22" s="88">
        <f t="shared" si="13"/>
        <v>14897037</v>
      </c>
      <c r="K22" s="88">
        <f t="shared" si="14"/>
        <v>6266140</v>
      </c>
      <c r="L22" s="88">
        <f t="shared" si="20"/>
        <v>10801557</v>
      </c>
      <c r="M22" s="89">
        <v>10801557</v>
      </c>
      <c r="N22" s="88">
        <v>0</v>
      </c>
      <c r="O22" s="88">
        <v>1728960</v>
      </c>
      <c r="P22" s="88">
        <v>1728960</v>
      </c>
      <c r="Q22" s="88"/>
      <c r="R22" s="88"/>
      <c r="S22" s="88"/>
      <c r="T22" s="88"/>
      <c r="U22" s="88"/>
      <c r="V22" s="88"/>
      <c r="W22" s="88">
        <v>1728960</v>
      </c>
      <c r="X22" s="88"/>
      <c r="Y22" s="88">
        <v>0</v>
      </c>
      <c r="Z22" s="88">
        <v>0</v>
      </c>
      <c r="AA22" s="88">
        <v>731008</v>
      </c>
      <c r="AB22" s="88">
        <v>10733</v>
      </c>
      <c r="AC22" s="88">
        <v>301</v>
      </c>
      <c r="AD22" s="88">
        <v>12681</v>
      </c>
      <c r="AE22" s="88">
        <v>2138852</v>
      </c>
      <c r="AF22" s="88">
        <v>0</v>
      </c>
      <c r="AG22" s="88">
        <v>6179022</v>
      </c>
      <c r="AH22" s="88">
        <f t="shared" si="2"/>
        <v>2632450</v>
      </c>
      <c r="AI22" s="88">
        <f>AJ22+AK22</f>
        <v>2632450</v>
      </c>
      <c r="AJ22" s="88">
        <v>2499381</v>
      </c>
      <c r="AK22" s="88">
        <v>133069</v>
      </c>
      <c r="AL22" s="88">
        <f t="shared" si="4"/>
        <v>1348306</v>
      </c>
      <c r="AM22" s="88">
        <f>AN22+AO22+AP22+AQ22+AR22+AS22+AT22+AU22+AV22+AW22+AX22+AZ22+BA22+BB22+AY22</f>
        <v>1348306</v>
      </c>
      <c r="AN22" s="92"/>
      <c r="AO22" s="88">
        <v>28395</v>
      </c>
      <c r="AP22" s="88">
        <v>0</v>
      </c>
      <c r="AQ22" s="88">
        <v>734779</v>
      </c>
      <c r="AR22" s="88">
        <v>152534</v>
      </c>
      <c r="AS22" s="88">
        <v>0</v>
      </c>
      <c r="AT22" s="88">
        <v>1637</v>
      </c>
      <c r="AU22" s="88">
        <v>31214</v>
      </c>
      <c r="AV22" s="88">
        <v>0</v>
      </c>
      <c r="AW22" s="88">
        <v>332568</v>
      </c>
      <c r="AX22" s="88">
        <v>0</v>
      </c>
      <c r="AY22" s="88">
        <v>60763</v>
      </c>
      <c r="AZ22" s="88">
        <v>511</v>
      </c>
      <c r="BA22" s="88">
        <v>5905</v>
      </c>
      <c r="BB22" s="88">
        <v>0</v>
      </c>
      <c r="BC22" s="88">
        <f t="shared" si="21"/>
        <v>830763</v>
      </c>
      <c r="BD22" s="88">
        <v>830763</v>
      </c>
      <c r="BE22" s="88">
        <v>699146</v>
      </c>
      <c r="BF22" s="88">
        <v>106718</v>
      </c>
      <c r="BG22" s="88">
        <v>0</v>
      </c>
      <c r="BH22" s="88"/>
      <c r="BI22" s="88">
        <v>0</v>
      </c>
      <c r="BJ22" s="88">
        <v>2153</v>
      </c>
      <c r="BK22" s="88">
        <v>8746</v>
      </c>
      <c r="BL22" s="92">
        <v>14000</v>
      </c>
      <c r="BM22" s="88">
        <f t="shared" si="6"/>
        <v>2177891</v>
      </c>
      <c r="BN22" s="88">
        <v>2177891</v>
      </c>
      <c r="BO22" s="88">
        <v>1692051</v>
      </c>
      <c r="BP22" s="88">
        <v>167136</v>
      </c>
      <c r="BQ22" s="88">
        <v>115769</v>
      </c>
      <c r="BR22" s="88">
        <v>35932</v>
      </c>
      <c r="BS22" s="88">
        <v>167003</v>
      </c>
      <c r="BT22" s="88">
        <v>0</v>
      </c>
      <c r="BU22" s="88">
        <v>23697</v>
      </c>
      <c r="BV22" s="88">
        <v>91027</v>
      </c>
      <c r="BW22" s="88">
        <v>1474106</v>
      </c>
      <c r="BX22" s="88">
        <f t="shared" si="7"/>
        <v>21163177</v>
      </c>
      <c r="BY22" s="88">
        <f t="shared" si="8"/>
        <v>14897037</v>
      </c>
      <c r="BZ22" s="90">
        <f t="shared" si="9"/>
        <v>6266140</v>
      </c>
      <c r="CA22" s="88"/>
      <c r="CB22" s="88">
        <f t="shared" si="10"/>
        <v>19379797</v>
      </c>
      <c r="CC22" s="91">
        <f t="shared" si="11"/>
        <v>19379797</v>
      </c>
      <c r="CD22" s="87" t="b">
        <f t="shared" si="15"/>
        <v>1</v>
      </c>
    </row>
    <row r="23" spans="1:82" ht="20.399999999999999" hidden="1" customHeight="1" x14ac:dyDescent="0.3">
      <c r="A23" s="37" t="s">
        <v>479</v>
      </c>
      <c r="B23" s="37" t="s">
        <v>255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f t="shared" si="12"/>
        <v>0</v>
      </c>
      <c r="J23" s="88">
        <f t="shared" si="13"/>
        <v>40850</v>
      </c>
      <c r="K23" s="88">
        <f t="shared" si="14"/>
        <v>-40850</v>
      </c>
      <c r="L23" s="88">
        <f t="shared" si="20"/>
        <v>13350</v>
      </c>
      <c r="M23" s="89">
        <f>N23+P23+Y23+Z23+AA23+AB23+AC23+AD23+AE23+AF23+AG23</f>
        <v>13350</v>
      </c>
      <c r="N23" s="88">
        <v>0</v>
      </c>
      <c r="O23" s="88">
        <f t="shared" ref="O23:O29" si="23">SUM(Q23:X23)</f>
        <v>3150</v>
      </c>
      <c r="P23" s="88">
        <f>Q23+R23+S23+T23+U23+V23+W23+X23</f>
        <v>3150</v>
      </c>
      <c r="Q23" s="88">
        <v>0</v>
      </c>
      <c r="R23" s="88">
        <v>150</v>
      </c>
      <c r="S23" s="88">
        <v>0</v>
      </c>
      <c r="T23" s="88">
        <v>3000</v>
      </c>
      <c r="U23" s="88">
        <v>0</v>
      </c>
      <c r="V23" s="88">
        <v>0</v>
      </c>
      <c r="W23" s="88">
        <v>0</v>
      </c>
      <c r="X23" s="88">
        <v>0</v>
      </c>
      <c r="Y23" s="88">
        <v>2000</v>
      </c>
      <c r="Z23" s="88">
        <v>200</v>
      </c>
      <c r="AA23" s="88">
        <v>1500</v>
      </c>
      <c r="AB23" s="88">
        <v>0</v>
      </c>
      <c r="AC23" s="88">
        <v>0</v>
      </c>
      <c r="AD23" s="88">
        <v>0</v>
      </c>
      <c r="AE23" s="88">
        <v>500</v>
      </c>
      <c r="AF23" s="88">
        <v>1000</v>
      </c>
      <c r="AG23" s="88">
        <v>5000</v>
      </c>
      <c r="AH23" s="88">
        <f t="shared" si="2"/>
        <v>15000</v>
      </c>
      <c r="AI23" s="88">
        <f>AJ23+AK23</f>
        <v>15000</v>
      </c>
      <c r="AJ23" s="88">
        <v>5000</v>
      </c>
      <c r="AK23" s="88">
        <v>10000</v>
      </c>
      <c r="AL23" s="88">
        <f t="shared" si="4"/>
        <v>12500</v>
      </c>
      <c r="AM23" s="88">
        <v>12500</v>
      </c>
      <c r="AN23" s="88">
        <v>0</v>
      </c>
      <c r="AO23" s="88">
        <v>0</v>
      </c>
      <c r="AP23" s="88">
        <v>0</v>
      </c>
      <c r="AQ23" s="88">
        <v>3000</v>
      </c>
      <c r="AR23" s="88">
        <v>0</v>
      </c>
      <c r="AS23" s="88">
        <v>1000</v>
      </c>
      <c r="AT23" s="88">
        <v>0</v>
      </c>
      <c r="AU23" s="88">
        <v>2000</v>
      </c>
      <c r="AV23" s="88">
        <v>0</v>
      </c>
      <c r="AW23" s="88">
        <v>1000</v>
      </c>
      <c r="AX23" s="88">
        <v>0</v>
      </c>
      <c r="AY23" s="88">
        <v>500</v>
      </c>
      <c r="AZ23" s="88">
        <v>0</v>
      </c>
      <c r="BA23" s="88">
        <v>5000</v>
      </c>
      <c r="BB23" s="88">
        <v>0</v>
      </c>
      <c r="BC23" s="88">
        <f t="shared" si="21"/>
        <v>7760</v>
      </c>
      <c r="BD23" s="88">
        <v>7760</v>
      </c>
      <c r="BE23" s="88">
        <v>4000</v>
      </c>
      <c r="BF23" s="88">
        <v>0</v>
      </c>
      <c r="BG23" s="88">
        <v>2500</v>
      </c>
      <c r="BH23" s="88">
        <v>1260</v>
      </c>
      <c r="BI23" s="88">
        <v>0</v>
      </c>
      <c r="BJ23" s="88">
        <v>0</v>
      </c>
      <c r="BK23" s="88">
        <v>0</v>
      </c>
      <c r="BL23" s="88">
        <v>0</v>
      </c>
      <c r="BM23" s="88">
        <f t="shared" si="6"/>
        <v>76200</v>
      </c>
      <c r="BN23" s="88">
        <f>BO23+BP23+BQ23+BR23+BS23+BT23</f>
        <v>76200</v>
      </c>
      <c r="BO23" s="88">
        <v>28200</v>
      </c>
      <c r="BP23" s="88">
        <v>48000</v>
      </c>
      <c r="BQ23" s="88">
        <v>0</v>
      </c>
      <c r="BR23" s="88">
        <v>0</v>
      </c>
      <c r="BS23" s="88">
        <v>0</v>
      </c>
      <c r="BT23" s="88">
        <v>0</v>
      </c>
      <c r="BU23" s="88">
        <v>0</v>
      </c>
      <c r="BV23" s="88">
        <v>0</v>
      </c>
      <c r="BW23" s="88">
        <v>0</v>
      </c>
      <c r="BX23" s="88">
        <f t="shared" si="7"/>
        <v>0</v>
      </c>
      <c r="BY23" s="88">
        <f t="shared" si="8"/>
        <v>40850</v>
      </c>
      <c r="BZ23" s="90">
        <f t="shared" si="9"/>
        <v>-40850</v>
      </c>
      <c r="CA23" s="88"/>
      <c r="CB23" s="88">
        <f t="shared" si="10"/>
        <v>124810</v>
      </c>
      <c r="CC23" s="91">
        <f t="shared" si="11"/>
        <v>124810</v>
      </c>
      <c r="CD23" s="87" t="b">
        <f t="shared" si="15"/>
        <v>1</v>
      </c>
    </row>
    <row r="24" spans="1:82" ht="20.399999999999999" hidden="1" customHeight="1" x14ac:dyDescent="0.3">
      <c r="A24" s="37" t="s">
        <v>422</v>
      </c>
      <c r="B24" s="37" t="s">
        <v>46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f t="shared" si="12"/>
        <v>0</v>
      </c>
      <c r="J24" s="88">
        <f t="shared" si="13"/>
        <v>8023078</v>
      </c>
      <c r="K24" s="88">
        <f t="shared" si="14"/>
        <v>-8023078</v>
      </c>
      <c r="L24" s="88">
        <f t="shared" si="20"/>
        <v>5119006</v>
      </c>
      <c r="M24" s="89">
        <v>5119006</v>
      </c>
      <c r="N24" s="88">
        <v>1609559</v>
      </c>
      <c r="O24" s="88">
        <f t="shared" si="23"/>
        <v>2304474.9999999995</v>
      </c>
      <c r="P24" s="88">
        <v>2304474.9999999995</v>
      </c>
      <c r="Q24" s="88">
        <v>0</v>
      </c>
      <c r="R24" s="88">
        <v>0</v>
      </c>
      <c r="S24" s="93">
        <v>2744.9139686908657</v>
      </c>
      <c r="T24" s="93">
        <v>2208092.2062790296</v>
      </c>
      <c r="U24" s="93">
        <v>198.21735764665405</v>
      </c>
      <c r="V24" s="93">
        <v>93439.662394632702</v>
      </c>
      <c r="W24" s="88">
        <v>0</v>
      </c>
      <c r="X24" s="88">
        <v>0</v>
      </c>
      <c r="Y24" s="88">
        <v>15185</v>
      </c>
      <c r="Z24" s="88">
        <v>310</v>
      </c>
      <c r="AA24" s="88">
        <v>30422</v>
      </c>
      <c r="AB24" s="88"/>
      <c r="AC24" s="88"/>
      <c r="AD24" s="88">
        <v>43549</v>
      </c>
      <c r="AE24" s="88">
        <v>0</v>
      </c>
      <c r="AF24" s="88">
        <v>1115506</v>
      </c>
      <c r="AG24" s="88"/>
      <c r="AH24" s="88">
        <f t="shared" si="2"/>
        <v>126466</v>
      </c>
      <c r="AI24" s="88">
        <v>126466</v>
      </c>
      <c r="AJ24" s="88">
        <v>116225</v>
      </c>
      <c r="AK24" s="88">
        <v>10241</v>
      </c>
      <c r="AL24" s="88">
        <f t="shared" si="4"/>
        <v>2577504</v>
      </c>
      <c r="AM24" s="88">
        <v>2577504</v>
      </c>
      <c r="AN24" s="88">
        <v>0</v>
      </c>
      <c r="AO24" s="88">
        <v>1792859</v>
      </c>
      <c r="AP24" s="88">
        <v>117181</v>
      </c>
      <c r="AQ24" s="88">
        <v>245708</v>
      </c>
      <c r="AR24" s="88">
        <v>99238</v>
      </c>
      <c r="AS24" s="88">
        <v>10902</v>
      </c>
      <c r="AT24" s="88">
        <v>5630</v>
      </c>
      <c r="AU24" s="88">
        <v>25814</v>
      </c>
      <c r="AV24" s="88">
        <v>0</v>
      </c>
      <c r="AW24" s="88">
        <v>14658</v>
      </c>
      <c r="AX24" s="88">
        <v>2866</v>
      </c>
      <c r="AY24" s="88"/>
      <c r="AZ24" s="88">
        <v>43656</v>
      </c>
      <c r="BA24" s="88">
        <v>0</v>
      </c>
      <c r="BB24" s="88">
        <v>218992</v>
      </c>
      <c r="BC24" s="88">
        <f t="shared" si="21"/>
        <v>666545</v>
      </c>
      <c r="BD24" s="88">
        <f>BE24+BF24+BG24+BH24+BI24+BJ24+BK24+BL24</f>
        <v>666545</v>
      </c>
      <c r="BE24" s="88">
        <v>33992</v>
      </c>
      <c r="BF24" s="88">
        <v>34230</v>
      </c>
      <c r="BG24" s="88">
        <v>0</v>
      </c>
      <c r="BH24" s="88">
        <v>0</v>
      </c>
      <c r="BI24" s="88">
        <v>529128</v>
      </c>
      <c r="BJ24" s="88">
        <v>2083</v>
      </c>
      <c r="BK24" s="88">
        <v>66798</v>
      </c>
      <c r="BL24" s="88">
        <v>314</v>
      </c>
      <c r="BM24" s="88">
        <f t="shared" si="6"/>
        <v>1148923</v>
      </c>
      <c r="BN24" s="88">
        <f>BO24+BP24+BQ24+BR24+BS24+BT24</f>
        <v>1148923</v>
      </c>
      <c r="BO24" s="88">
        <v>929046</v>
      </c>
      <c r="BP24" s="88">
        <v>0</v>
      </c>
      <c r="BQ24" s="88">
        <v>115737</v>
      </c>
      <c r="BR24" s="88">
        <v>0</v>
      </c>
      <c r="BS24" s="88">
        <v>103219</v>
      </c>
      <c r="BT24" s="88">
        <v>921</v>
      </c>
      <c r="BU24" s="88">
        <v>46156</v>
      </c>
      <c r="BV24" s="88">
        <v>153946</v>
      </c>
      <c r="BW24" s="88">
        <v>298523</v>
      </c>
      <c r="BX24" s="88">
        <f t="shared" si="7"/>
        <v>0</v>
      </c>
      <c r="BY24" s="88">
        <f t="shared" si="8"/>
        <v>8023078</v>
      </c>
      <c r="BZ24" s="90">
        <f t="shared" si="9"/>
        <v>-8023078</v>
      </c>
      <c r="CA24" s="88"/>
      <c r="CB24" s="88">
        <f t="shared" si="10"/>
        <v>10137069</v>
      </c>
      <c r="CC24" s="91">
        <f t="shared" si="11"/>
        <v>10137069</v>
      </c>
      <c r="CD24" s="87" t="b">
        <f t="shared" si="15"/>
        <v>1</v>
      </c>
    </row>
    <row r="25" spans="1:82" ht="20.399999999999999" hidden="1" customHeight="1" x14ac:dyDescent="0.3">
      <c r="A25" s="37" t="s">
        <v>314</v>
      </c>
      <c r="B25" s="37" t="s">
        <v>255</v>
      </c>
      <c r="C25" s="88">
        <v>1</v>
      </c>
      <c r="D25" s="88">
        <v>0</v>
      </c>
      <c r="E25" s="88">
        <v>15</v>
      </c>
      <c r="F25" s="88">
        <v>0</v>
      </c>
      <c r="G25" s="88">
        <v>0</v>
      </c>
      <c r="H25" s="88">
        <v>0</v>
      </c>
      <c r="I25" s="88">
        <f t="shared" si="12"/>
        <v>0</v>
      </c>
      <c r="J25" s="88">
        <f t="shared" si="13"/>
        <v>2416</v>
      </c>
      <c r="K25" s="88">
        <f t="shared" si="14"/>
        <v>-2416</v>
      </c>
      <c r="L25" s="88">
        <f t="shared" si="20"/>
        <v>2416</v>
      </c>
      <c r="M25" s="89">
        <f>N25+P25+Y25+Z25+AA25+AB25+AC25+AD25+AE25+AF25+AG25</f>
        <v>2416</v>
      </c>
      <c r="N25" s="88">
        <v>2416</v>
      </c>
      <c r="O25" s="88">
        <f t="shared" si="23"/>
        <v>0</v>
      </c>
      <c r="P25" s="88">
        <f>Q25+R25+S25+T25+U25+V25+W25+X25</f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</v>
      </c>
      <c r="AH25" s="88">
        <f t="shared" si="2"/>
        <v>0</v>
      </c>
      <c r="AI25" s="88">
        <f>AJ25+AK25</f>
        <v>0</v>
      </c>
      <c r="AJ25" s="88">
        <v>0</v>
      </c>
      <c r="AK25" s="88">
        <v>0</v>
      </c>
      <c r="AL25" s="88">
        <f t="shared" si="4"/>
        <v>0</v>
      </c>
      <c r="AM25" s="88">
        <f>AN25+AO25+AP25+AQ25+AR25+AS25+AT25+AU25+AV25+AW25+AX25+AZ25+BA25+BB25+AY25</f>
        <v>0</v>
      </c>
      <c r="AN25" s="88">
        <v>0</v>
      </c>
      <c r="AO25" s="88">
        <v>0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</v>
      </c>
      <c r="AV25" s="88">
        <v>0</v>
      </c>
      <c r="AW25" s="88">
        <v>0</v>
      </c>
      <c r="AX25" s="88">
        <v>0</v>
      </c>
      <c r="AY25" s="88"/>
      <c r="AZ25" s="88">
        <v>0</v>
      </c>
      <c r="BA25" s="88">
        <v>0</v>
      </c>
      <c r="BB25" s="88">
        <v>0</v>
      </c>
      <c r="BC25" s="88">
        <f t="shared" si="21"/>
        <v>0</v>
      </c>
      <c r="BD25" s="88">
        <f>BE25+BF25+BG25+BH25+BI25+BJ25+BK25+BL25</f>
        <v>0</v>
      </c>
      <c r="BE25" s="88">
        <v>0</v>
      </c>
      <c r="BF25" s="88">
        <v>0</v>
      </c>
      <c r="BG25" s="88">
        <v>0</v>
      </c>
      <c r="BH25" s="88">
        <v>0</v>
      </c>
      <c r="BI25" s="88">
        <v>0</v>
      </c>
      <c r="BJ25" s="88">
        <v>0</v>
      </c>
      <c r="BK25" s="88">
        <v>0</v>
      </c>
      <c r="BL25" s="88">
        <v>0</v>
      </c>
      <c r="BM25" s="88">
        <f t="shared" si="6"/>
        <v>0</v>
      </c>
      <c r="BN25" s="88">
        <f>BO25+BP25+BQ25+BR25+BS25+BT25</f>
        <v>0</v>
      </c>
      <c r="BO25" s="88">
        <v>0</v>
      </c>
      <c r="BP25" s="88">
        <v>0</v>
      </c>
      <c r="BQ25" s="88">
        <v>0</v>
      </c>
      <c r="BR25" s="88">
        <v>0</v>
      </c>
      <c r="BS25" s="88">
        <v>0</v>
      </c>
      <c r="BT25" s="88">
        <v>0</v>
      </c>
      <c r="BU25" s="88">
        <v>0</v>
      </c>
      <c r="BV25" s="88">
        <v>0</v>
      </c>
      <c r="BW25" s="88">
        <v>0</v>
      </c>
      <c r="BX25" s="88">
        <f t="shared" si="7"/>
        <v>0</v>
      </c>
      <c r="BY25" s="88">
        <f t="shared" si="8"/>
        <v>2416</v>
      </c>
      <c r="BZ25" s="90">
        <f t="shared" si="9"/>
        <v>-2416</v>
      </c>
      <c r="CA25" s="88"/>
      <c r="CB25" s="88">
        <f t="shared" si="10"/>
        <v>2416</v>
      </c>
      <c r="CC25" s="91">
        <f t="shared" si="11"/>
        <v>2416</v>
      </c>
      <c r="CD25" s="87" t="b">
        <f t="shared" si="15"/>
        <v>1</v>
      </c>
    </row>
    <row r="26" spans="1:82" ht="20.399999999999999" hidden="1" customHeight="1" x14ac:dyDescent="0.3">
      <c r="A26" s="37" t="s">
        <v>317</v>
      </c>
      <c r="B26" s="37" t="s">
        <v>41</v>
      </c>
      <c r="C26" s="88">
        <v>217</v>
      </c>
      <c r="D26" s="88">
        <v>23440137</v>
      </c>
      <c r="E26" s="88">
        <v>0</v>
      </c>
      <c r="F26" s="88">
        <v>85</v>
      </c>
      <c r="G26" s="88">
        <v>21131239</v>
      </c>
      <c r="H26" s="88">
        <v>0</v>
      </c>
      <c r="I26" s="88">
        <f t="shared" si="12"/>
        <v>44571376</v>
      </c>
      <c r="J26" s="88">
        <f t="shared" si="13"/>
        <v>51208336</v>
      </c>
      <c r="K26" s="88">
        <f t="shared" si="14"/>
        <v>-6636960</v>
      </c>
      <c r="L26" s="88">
        <f t="shared" si="20"/>
        <v>29229464</v>
      </c>
      <c r="M26" s="89">
        <v>29229464</v>
      </c>
      <c r="N26" s="88">
        <v>9644637</v>
      </c>
      <c r="O26" s="88">
        <f t="shared" si="23"/>
        <v>19257130</v>
      </c>
      <c r="P26" s="88">
        <f>Q26+R26+S26+T26+U26+V26+W26+X26</f>
        <v>19257130</v>
      </c>
      <c r="Q26" s="88">
        <v>0</v>
      </c>
      <c r="R26" s="88">
        <v>0</v>
      </c>
      <c r="S26" s="88">
        <v>0</v>
      </c>
      <c r="T26" s="88">
        <v>2595928</v>
      </c>
      <c r="U26" s="88">
        <v>0</v>
      </c>
      <c r="V26" s="88">
        <v>0</v>
      </c>
      <c r="W26" s="88">
        <v>16661202</v>
      </c>
      <c r="X26" s="88">
        <v>0</v>
      </c>
      <c r="Y26" s="88">
        <v>0</v>
      </c>
      <c r="Z26" s="88">
        <v>68021</v>
      </c>
      <c r="AA26" s="88">
        <v>6839</v>
      </c>
      <c r="AB26" s="88">
        <v>56252</v>
      </c>
      <c r="AC26" s="88">
        <v>29648</v>
      </c>
      <c r="AD26" s="88">
        <v>41436</v>
      </c>
      <c r="AE26" s="88">
        <v>121344</v>
      </c>
      <c r="AF26" s="88">
        <v>4157</v>
      </c>
      <c r="AG26" s="88">
        <v>0</v>
      </c>
      <c r="AH26" s="88">
        <f t="shared" si="2"/>
        <v>173097</v>
      </c>
      <c r="AI26" s="88">
        <v>173097</v>
      </c>
      <c r="AJ26" s="88">
        <v>112492</v>
      </c>
      <c r="AK26" s="88">
        <v>60605</v>
      </c>
      <c r="AL26" s="88">
        <f t="shared" si="4"/>
        <v>3490697</v>
      </c>
      <c r="AM26" s="88">
        <v>3490697</v>
      </c>
      <c r="AN26" s="88">
        <v>0</v>
      </c>
      <c r="AO26" s="88">
        <v>141957</v>
      </c>
      <c r="AP26" s="88">
        <v>0</v>
      </c>
      <c r="AQ26" s="88">
        <v>913944</v>
      </c>
      <c r="AR26" s="88">
        <v>448083</v>
      </c>
      <c r="AS26" s="88">
        <v>523</v>
      </c>
      <c r="AT26" s="88">
        <v>181302</v>
      </c>
      <c r="AU26" s="88">
        <v>149512</v>
      </c>
      <c r="AV26" s="88">
        <v>0</v>
      </c>
      <c r="AW26" s="88">
        <v>854914</v>
      </c>
      <c r="AX26" s="88">
        <v>48560</v>
      </c>
      <c r="AY26" s="88">
        <v>723832</v>
      </c>
      <c r="AZ26" s="88">
        <v>2380</v>
      </c>
      <c r="BA26" s="88">
        <v>0</v>
      </c>
      <c r="BB26" s="88">
        <v>25690</v>
      </c>
      <c r="BC26" s="88">
        <f t="shared" si="21"/>
        <v>211881</v>
      </c>
      <c r="BD26" s="88">
        <f>BE26+BF26+BG26+BH26+BI26+BJ26+BK26+BL26</f>
        <v>211881</v>
      </c>
      <c r="BE26" s="88">
        <v>57917</v>
      </c>
      <c r="BF26" s="88">
        <v>0</v>
      </c>
      <c r="BG26" s="88">
        <v>0</v>
      </c>
      <c r="BH26" s="88">
        <v>0</v>
      </c>
      <c r="BI26" s="88">
        <v>0</v>
      </c>
      <c r="BJ26" s="88">
        <v>742</v>
      </c>
      <c r="BK26" s="88">
        <v>3911</v>
      </c>
      <c r="BL26" s="88">
        <v>149311</v>
      </c>
      <c r="BM26" s="88">
        <f t="shared" si="6"/>
        <v>7262670</v>
      </c>
      <c r="BN26" s="88">
        <f>BO26+BP26+BQ26+BR26+BS26+BT26</f>
        <v>7262670</v>
      </c>
      <c r="BO26" s="88">
        <v>2410715</v>
      </c>
      <c r="BP26" s="88">
        <v>1071639</v>
      </c>
      <c r="BQ26" s="88">
        <v>629903</v>
      </c>
      <c r="BR26" s="88">
        <v>0</v>
      </c>
      <c r="BS26" s="88">
        <v>161673</v>
      </c>
      <c r="BT26" s="88">
        <v>2988740</v>
      </c>
      <c r="BU26" s="88">
        <v>2424174</v>
      </c>
      <c r="BV26" s="88">
        <v>15890904</v>
      </c>
      <c r="BW26" s="88">
        <v>0</v>
      </c>
      <c r="BX26" s="88">
        <f t="shared" si="7"/>
        <v>44571376</v>
      </c>
      <c r="BY26" s="88">
        <f t="shared" si="8"/>
        <v>51208336</v>
      </c>
      <c r="BZ26" s="90">
        <f t="shared" si="9"/>
        <v>-6636960</v>
      </c>
      <c r="CA26" s="88"/>
      <c r="CB26" s="88">
        <f t="shared" si="10"/>
        <v>58682887</v>
      </c>
      <c r="CC26" s="91">
        <f t="shared" si="11"/>
        <v>58682887</v>
      </c>
      <c r="CD26" s="87" t="b">
        <f t="shared" si="15"/>
        <v>1</v>
      </c>
    </row>
    <row r="27" spans="1:82" ht="20.399999999999999" hidden="1" customHeight="1" x14ac:dyDescent="0.3">
      <c r="A27" s="49" t="s">
        <v>492</v>
      </c>
      <c r="B27" s="37" t="s">
        <v>46</v>
      </c>
      <c r="C27" s="88">
        <v>2</v>
      </c>
      <c r="D27" s="88">
        <v>19860.108</v>
      </c>
      <c r="E27" s="88">
        <v>0</v>
      </c>
      <c r="F27" s="88">
        <v>0</v>
      </c>
      <c r="G27" s="88">
        <v>0</v>
      </c>
      <c r="H27" s="88">
        <v>0</v>
      </c>
      <c r="I27" s="88">
        <f t="shared" si="12"/>
        <v>19860.108</v>
      </c>
      <c r="J27" s="88">
        <f t="shared" si="13"/>
        <v>18762</v>
      </c>
      <c r="K27" s="88">
        <f t="shared" si="14"/>
        <v>1098.1080000000002</v>
      </c>
      <c r="L27" s="88">
        <f t="shared" si="20"/>
        <v>18762</v>
      </c>
      <c r="M27" s="89">
        <v>18762</v>
      </c>
      <c r="N27" s="88"/>
      <c r="O27" s="88">
        <f t="shared" si="23"/>
        <v>18762</v>
      </c>
      <c r="P27" s="88">
        <v>18762</v>
      </c>
      <c r="Q27" s="88"/>
      <c r="R27" s="88"/>
      <c r="S27" s="88">
        <v>18762</v>
      </c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>
        <f t="shared" si="21"/>
        <v>2500</v>
      </c>
      <c r="BD27" s="88">
        <v>2500</v>
      </c>
      <c r="BE27" s="88"/>
      <c r="BF27" s="88"/>
      <c r="BG27" s="88">
        <v>2500</v>
      </c>
      <c r="BH27" s="88"/>
      <c r="BI27" s="88"/>
      <c r="BJ27" s="88"/>
      <c r="BK27" s="88"/>
      <c r="BL27" s="88"/>
      <c r="BM27" s="88">
        <f t="shared" si="6"/>
        <v>3200</v>
      </c>
      <c r="BN27" s="88">
        <v>3200</v>
      </c>
      <c r="BO27" s="88">
        <v>3200</v>
      </c>
      <c r="BP27" s="88"/>
      <c r="BQ27" s="88"/>
      <c r="BR27" s="31"/>
      <c r="BS27" s="88"/>
      <c r="BT27" s="88"/>
      <c r="BU27" s="88"/>
      <c r="BV27" s="88"/>
      <c r="BW27" s="88"/>
      <c r="BX27" s="88">
        <f t="shared" si="7"/>
        <v>19860.108</v>
      </c>
      <c r="BY27" s="88">
        <f t="shared" si="8"/>
        <v>18762</v>
      </c>
      <c r="BZ27" s="90">
        <f t="shared" si="9"/>
        <v>1098.1080000000002</v>
      </c>
      <c r="CA27" s="88"/>
      <c r="CB27" s="88">
        <f t="shared" si="10"/>
        <v>24462</v>
      </c>
      <c r="CC27" s="91">
        <f t="shared" si="11"/>
        <v>24462</v>
      </c>
      <c r="CD27" s="87" t="b">
        <f t="shared" si="15"/>
        <v>1</v>
      </c>
    </row>
    <row r="28" spans="1:82" ht="20.399999999999999" hidden="1" customHeight="1" x14ac:dyDescent="0.3">
      <c r="A28" s="49" t="s">
        <v>495</v>
      </c>
      <c r="B28" s="37" t="s">
        <v>322</v>
      </c>
      <c r="C28" s="88"/>
      <c r="D28" s="88"/>
      <c r="E28" s="88"/>
      <c r="F28" s="88"/>
      <c r="G28" s="88"/>
      <c r="H28" s="88"/>
      <c r="I28" s="88">
        <f t="shared" si="12"/>
        <v>0</v>
      </c>
      <c r="J28" s="88">
        <f t="shared" si="13"/>
        <v>490086.18599999999</v>
      </c>
      <c r="K28" s="88">
        <f t="shared" si="14"/>
        <v>-490086.18599999999</v>
      </c>
      <c r="L28" s="88">
        <f t="shared" si="20"/>
        <v>461188.74599999998</v>
      </c>
      <c r="M28" s="89">
        <v>461188.74600000004</v>
      </c>
      <c r="N28" s="88"/>
      <c r="O28" s="88">
        <f t="shared" si="23"/>
        <v>282538.91899999999</v>
      </c>
      <c r="P28" s="88">
        <v>282538.91899999999</v>
      </c>
      <c r="Q28" s="88"/>
      <c r="R28" s="88"/>
      <c r="S28" s="88"/>
      <c r="T28" s="88">
        <v>264540.967</v>
      </c>
      <c r="U28" s="88">
        <v>17997.952000000001</v>
      </c>
      <c r="V28" s="88"/>
      <c r="W28" s="88"/>
      <c r="X28" s="88"/>
      <c r="Y28" s="88"/>
      <c r="Z28" s="88"/>
      <c r="AA28" s="88">
        <v>84458.754000000001</v>
      </c>
      <c r="AB28" s="88">
        <v>27362.764999999999</v>
      </c>
      <c r="AC28" s="88">
        <v>1179.9000000000001</v>
      </c>
      <c r="AD28" s="88">
        <v>65648.407999999996</v>
      </c>
      <c r="AE28" s="88"/>
      <c r="AF28" s="88"/>
      <c r="AG28" s="88"/>
      <c r="AH28" s="88">
        <f t="shared" ref="AH28:AH36" si="24">+AJ28+AK28</f>
        <v>0</v>
      </c>
      <c r="AI28" s="88">
        <v>0</v>
      </c>
      <c r="AJ28" s="88"/>
      <c r="AK28" s="88"/>
      <c r="AL28" s="88">
        <f t="shared" ref="AL28:AL42" si="25">+SUM(AN28:BB28)</f>
        <v>28897.439999999999</v>
      </c>
      <c r="AM28" s="88">
        <v>28897.439999999999</v>
      </c>
      <c r="AN28" s="88"/>
      <c r="AO28" s="88"/>
      <c r="AP28" s="88"/>
      <c r="AQ28" s="88">
        <v>27240.7</v>
      </c>
      <c r="AR28" s="88">
        <v>764.13499999999999</v>
      </c>
      <c r="AS28" s="88"/>
      <c r="AT28" s="88"/>
      <c r="AU28" s="88"/>
      <c r="AV28" s="88">
        <v>542.60500000000002</v>
      </c>
      <c r="AW28" s="88">
        <v>350</v>
      </c>
      <c r="AX28" s="88"/>
      <c r="AY28" s="88"/>
      <c r="AZ28" s="88"/>
      <c r="BA28" s="88"/>
      <c r="BB28" s="88"/>
      <c r="BC28" s="88">
        <f t="shared" si="21"/>
        <v>61354.366999999998</v>
      </c>
      <c r="BD28" s="88">
        <v>61354.366999999998</v>
      </c>
      <c r="BE28" s="88"/>
      <c r="BF28" s="88"/>
      <c r="BG28" s="88"/>
      <c r="BH28" s="88">
        <v>32954.144999999997</v>
      </c>
      <c r="BI28" s="88">
        <v>28038.659</v>
      </c>
      <c r="BJ28" s="88">
        <v>361.56299999999999</v>
      </c>
      <c r="BK28" s="88"/>
      <c r="BL28" s="88"/>
      <c r="BM28" s="88">
        <f t="shared" si="6"/>
        <v>321000.50100000005</v>
      </c>
      <c r="BN28" s="88">
        <v>321000.50100000005</v>
      </c>
      <c r="BO28" s="88">
        <v>288018.96600000001</v>
      </c>
      <c r="BP28" s="88"/>
      <c r="BQ28" s="88">
        <v>2150.2060000000001</v>
      </c>
      <c r="BR28" s="31"/>
      <c r="BS28" s="88">
        <v>30831.328999999998</v>
      </c>
      <c r="BT28" s="88"/>
      <c r="BU28" s="88">
        <v>0</v>
      </c>
      <c r="BV28" s="88">
        <v>0</v>
      </c>
      <c r="BW28" s="88">
        <v>0</v>
      </c>
      <c r="BX28" s="88">
        <f t="shared" si="7"/>
        <v>0</v>
      </c>
      <c r="BY28" s="88">
        <f t="shared" si="8"/>
        <v>490086.18599999999</v>
      </c>
      <c r="BZ28" s="90">
        <f t="shared" si="9"/>
        <v>-490086.18599999999</v>
      </c>
      <c r="CA28" s="88"/>
      <c r="CB28" s="88">
        <f t="shared" si="10"/>
        <v>872441.054</v>
      </c>
      <c r="CC28" s="91">
        <f t="shared" si="11"/>
        <v>872441.054</v>
      </c>
      <c r="CD28" s="87" t="b">
        <f t="shared" si="15"/>
        <v>1</v>
      </c>
    </row>
    <row r="29" spans="1:82" ht="20.399999999999999" hidden="1" customHeight="1" x14ac:dyDescent="0.3">
      <c r="A29" s="37" t="s">
        <v>501</v>
      </c>
      <c r="B29" s="37" t="s">
        <v>46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f t="shared" si="12"/>
        <v>0</v>
      </c>
      <c r="J29" s="88">
        <f t="shared" si="13"/>
        <v>1031893</v>
      </c>
      <c r="K29" s="88">
        <f t="shared" si="14"/>
        <v>-1031893</v>
      </c>
      <c r="L29" s="88">
        <f t="shared" si="20"/>
        <v>992519</v>
      </c>
      <c r="M29" s="89">
        <f>N29+P29+Y29+Z29+AA29+AB29+AC29+AD29+AE29+AF29+AG29</f>
        <v>992519</v>
      </c>
      <c r="N29" s="88">
        <v>22367</v>
      </c>
      <c r="O29" s="88">
        <f t="shared" si="23"/>
        <v>31992</v>
      </c>
      <c r="P29" s="88">
        <v>31992</v>
      </c>
      <c r="Q29" s="88">
        <v>0</v>
      </c>
      <c r="R29" s="88">
        <v>0</v>
      </c>
      <c r="S29" s="88">
        <v>0</v>
      </c>
      <c r="T29" s="88">
        <v>31992</v>
      </c>
      <c r="U29" s="88">
        <v>0</v>
      </c>
      <c r="V29" s="88">
        <v>0</v>
      </c>
      <c r="W29" s="88">
        <v>0</v>
      </c>
      <c r="X29" s="88">
        <v>0</v>
      </c>
      <c r="Y29" s="88">
        <v>50000</v>
      </c>
      <c r="Z29" s="88">
        <v>0</v>
      </c>
      <c r="AA29" s="88">
        <v>876900</v>
      </c>
      <c r="AB29" s="88">
        <v>0</v>
      </c>
      <c r="AC29" s="88">
        <v>0</v>
      </c>
      <c r="AD29" s="88">
        <v>5000</v>
      </c>
      <c r="AE29" s="88">
        <v>2760</v>
      </c>
      <c r="AF29" s="88">
        <v>3500</v>
      </c>
      <c r="AG29" s="88">
        <v>0</v>
      </c>
      <c r="AH29" s="88">
        <f t="shared" si="24"/>
        <v>0</v>
      </c>
      <c r="AI29" s="88">
        <f>AJ29+AK29</f>
        <v>0</v>
      </c>
      <c r="AJ29" s="88">
        <v>0</v>
      </c>
      <c r="AK29" s="88">
        <v>0</v>
      </c>
      <c r="AL29" s="88">
        <f t="shared" si="25"/>
        <v>9374</v>
      </c>
      <c r="AM29" s="88">
        <f>AN29+AO29+AP29+AQ29+AR29+AS29+AT29+AU29+AV29+AW29+AX29+AZ29+BA29+BB29+AY29</f>
        <v>9374</v>
      </c>
      <c r="AN29" s="88">
        <v>2760</v>
      </c>
      <c r="AO29" s="88">
        <v>2250</v>
      </c>
      <c r="AP29" s="88">
        <v>2250</v>
      </c>
      <c r="AQ29" s="88">
        <v>1058</v>
      </c>
      <c r="AR29" s="88">
        <v>1056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8">
        <v>0</v>
      </c>
      <c r="AY29" s="88"/>
      <c r="AZ29" s="88">
        <v>0</v>
      </c>
      <c r="BA29" s="88">
        <v>0</v>
      </c>
      <c r="BB29" s="88">
        <v>0</v>
      </c>
      <c r="BC29" s="88">
        <f t="shared" si="21"/>
        <v>6746</v>
      </c>
      <c r="BD29" s="88">
        <f>BE29+BF29+BG29+BH29+BI29+BJ29+BK29+BL29</f>
        <v>6746</v>
      </c>
      <c r="BE29" s="88">
        <v>0</v>
      </c>
      <c r="BF29" s="88">
        <v>167</v>
      </c>
      <c r="BG29" s="88">
        <v>2500</v>
      </c>
      <c r="BH29" s="88">
        <v>202</v>
      </c>
      <c r="BI29" s="88">
        <v>3877</v>
      </c>
      <c r="BJ29" s="88">
        <v>0</v>
      </c>
      <c r="BK29" s="88">
        <v>0</v>
      </c>
      <c r="BL29" s="88">
        <v>0</v>
      </c>
      <c r="BM29" s="88">
        <f t="shared" si="6"/>
        <v>5628</v>
      </c>
      <c r="BN29" s="88">
        <f>BO29+BP29+BQ29+BR29+BS29+BT29</f>
        <v>5628</v>
      </c>
      <c r="BO29" s="88">
        <v>5628</v>
      </c>
      <c r="BP29" s="88">
        <v>0</v>
      </c>
      <c r="BQ29" s="88">
        <v>0</v>
      </c>
      <c r="BR29" s="88">
        <v>0</v>
      </c>
      <c r="BS29" s="88">
        <v>0</v>
      </c>
      <c r="BT29" s="88">
        <v>0</v>
      </c>
      <c r="BU29" s="88">
        <v>30000</v>
      </c>
      <c r="BV29" s="88">
        <v>0</v>
      </c>
      <c r="BW29" s="88">
        <v>278</v>
      </c>
      <c r="BX29" s="88">
        <f t="shared" si="7"/>
        <v>0</v>
      </c>
      <c r="BY29" s="88">
        <f t="shared" si="8"/>
        <v>1031893</v>
      </c>
      <c r="BZ29" s="90">
        <f t="shared" si="9"/>
        <v>-1031893</v>
      </c>
      <c r="CA29" s="88"/>
      <c r="CB29" s="88">
        <f t="shared" si="10"/>
        <v>1044545</v>
      </c>
      <c r="CC29" s="91">
        <f t="shared" si="11"/>
        <v>1044545</v>
      </c>
      <c r="CD29" s="87" t="b">
        <f t="shared" si="15"/>
        <v>1</v>
      </c>
    </row>
    <row r="30" spans="1:82" ht="20.399999999999999" hidden="1" customHeight="1" x14ac:dyDescent="0.3">
      <c r="A30" s="37" t="s">
        <v>323</v>
      </c>
      <c r="B30" s="37" t="s">
        <v>57</v>
      </c>
      <c r="C30" s="88">
        <v>40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f t="shared" si="12"/>
        <v>0</v>
      </c>
      <c r="J30" s="88">
        <f t="shared" si="13"/>
        <v>542254.70000000007</v>
      </c>
      <c r="K30" s="88">
        <f t="shared" si="14"/>
        <v>-542254.70000000007</v>
      </c>
      <c r="L30" s="88">
        <f t="shared" si="20"/>
        <v>447360.25300000003</v>
      </c>
      <c r="M30" s="89">
        <f>N30+P30+Y30+Z30+AA30+AB30+AC30+AD30+AE30+AF30+AG30</f>
        <v>447360.25300000003</v>
      </c>
      <c r="N30" s="88">
        <v>0</v>
      </c>
      <c r="O30" s="88">
        <v>415</v>
      </c>
      <c r="P30" s="88">
        <f>Q30+R30+S30+T30+U30+V30+W30+X30</f>
        <v>415</v>
      </c>
      <c r="Q30" s="88">
        <v>415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31">
        <v>0</v>
      </c>
      <c r="Y30" s="88">
        <v>0</v>
      </c>
      <c r="Z30" s="88">
        <v>0</v>
      </c>
      <c r="AA30" s="88">
        <v>0</v>
      </c>
      <c r="AB30" s="88">
        <v>173514.56</v>
      </c>
      <c r="AC30" s="88">
        <v>69</v>
      </c>
      <c r="AD30" s="88">
        <v>56479.139000000003</v>
      </c>
      <c r="AE30" s="88">
        <v>102.5</v>
      </c>
      <c r="AF30" s="88">
        <v>216365.054</v>
      </c>
      <c r="AG30" s="88">
        <v>415</v>
      </c>
      <c r="AH30" s="88">
        <f t="shared" si="24"/>
        <v>4431</v>
      </c>
      <c r="AI30" s="88">
        <f>AJ30+AK30</f>
        <v>4431</v>
      </c>
      <c r="AJ30" s="88">
        <v>1331</v>
      </c>
      <c r="AK30" s="88">
        <v>3100</v>
      </c>
      <c r="AL30" s="88">
        <f t="shared" si="25"/>
        <v>83406.645000000004</v>
      </c>
      <c r="AM30" s="88">
        <f>AN30+AO30+AP30+AQ30+AR30+AS30+AT30+AU30+AV30+AW30+AX30+AZ30+BA30+BB30+AY30</f>
        <v>83406.645000000004</v>
      </c>
      <c r="AN30" s="88">
        <v>0</v>
      </c>
      <c r="AO30" s="88">
        <v>11405</v>
      </c>
      <c r="AP30" s="88">
        <v>0</v>
      </c>
      <c r="AQ30" s="88">
        <v>53548.031999999999</v>
      </c>
      <c r="AR30" s="88">
        <v>216.602</v>
      </c>
      <c r="AS30" s="88">
        <v>0</v>
      </c>
      <c r="AT30" s="88">
        <v>0</v>
      </c>
      <c r="AU30" s="88">
        <v>0</v>
      </c>
      <c r="AV30" s="88">
        <v>0</v>
      </c>
      <c r="AW30" s="88">
        <v>0</v>
      </c>
      <c r="AX30" s="88">
        <v>0</v>
      </c>
      <c r="AY30" s="88">
        <v>1778.623</v>
      </c>
      <c r="AZ30" s="88">
        <v>0</v>
      </c>
      <c r="BA30" s="88">
        <v>12859</v>
      </c>
      <c r="BB30" s="88">
        <v>3599.3879999999999</v>
      </c>
      <c r="BC30" s="88">
        <f t="shared" si="21"/>
        <v>54633.956999999995</v>
      </c>
      <c r="BD30" s="88">
        <f>BE30+BF30+BG30+BH30+BI30+BJ30+BK30+BL30</f>
        <v>54633.956999999995</v>
      </c>
      <c r="BE30" s="88">
        <v>0</v>
      </c>
      <c r="BF30" s="88">
        <v>1800.7560000000001</v>
      </c>
      <c r="BG30" s="88">
        <v>0</v>
      </c>
      <c r="BH30" s="88">
        <v>0</v>
      </c>
      <c r="BI30" s="88">
        <v>52828.500999999997</v>
      </c>
      <c r="BJ30" s="88">
        <v>4.7</v>
      </c>
      <c r="BK30" s="88">
        <v>0</v>
      </c>
      <c r="BL30" s="88">
        <v>0</v>
      </c>
      <c r="BM30" s="88">
        <f t="shared" si="6"/>
        <v>216256.08600000001</v>
      </c>
      <c r="BN30" s="88">
        <f>BO30+BP30+BQ30+BR30+BS30+BT30</f>
        <v>216256.08600000001</v>
      </c>
      <c r="BO30" s="88">
        <v>216256.08600000001</v>
      </c>
      <c r="BP30" s="88">
        <v>0</v>
      </c>
      <c r="BQ30" s="88">
        <v>0</v>
      </c>
      <c r="BR30" s="88">
        <v>0</v>
      </c>
      <c r="BS30" s="88">
        <v>0</v>
      </c>
      <c r="BT30" s="88">
        <v>0</v>
      </c>
      <c r="BU30" s="88">
        <v>50.802</v>
      </c>
      <c r="BV30" s="88">
        <v>7006</v>
      </c>
      <c r="BW30" s="88">
        <v>2591.2399999999998</v>
      </c>
      <c r="BX30" s="88">
        <f t="shared" si="7"/>
        <v>0</v>
      </c>
      <c r="BY30" s="88">
        <f t="shared" si="8"/>
        <v>542254.70000000007</v>
      </c>
      <c r="BZ30" s="90">
        <f t="shared" si="9"/>
        <v>-542254.70000000007</v>
      </c>
      <c r="CA30" s="88"/>
      <c r="CB30" s="88">
        <f t="shared" si="10"/>
        <v>815735.98300000001</v>
      </c>
      <c r="CC30" s="91">
        <f t="shared" si="11"/>
        <v>815735.98300000001</v>
      </c>
      <c r="CD30" s="87" t="b">
        <f t="shared" si="15"/>
        <v>1</v>
      </c>
    </row>
    <row r="31" spans="1:82" ht="20.399999999999999" hidden="1" customHeight="1" x14ac:dyDescent="0.3">
      <c r="A31" s="49" t="s">
        <v>505</v>
      </c>
      <c r="B31" s="37" t="s">
        <v>46</v>
      </c>
      <c r="C31" s="88"/>
      <c r="D31" s="88"/>
      <c r="E31" s="88"/>
      <c r="F31" s="88"/>
      <c r="G31" s="88"/>
      <c r="H31" s="88"/>
      <c r="I31" s="88">
        <f t="shared" si="12"/>
        <v>0</v>
      </c>
      <c r="J31" s="88">
        <f t="shared" si="13"/>
        <v>0</v>
      </c>
      <c r="K31" s="88">
        <f t="shared" si="14"/>
        <v>0</v>
      </c>
      <c r="L31" s="88">
        <f t="shared" si="20"/>
        <v>0</v>
      </c>
      <c r="M31" s="89">
        <v>0</v>
      </c>
      <c r="N31" s="88"/>
      <c r="O31" s="88">
        <f t="shared" ref="O31:O44" si="26">SUM(Q31:X31)</f>
        <v>0</v>
      </c>
      <c r="P31" s="88">
        <v>0</v>
      </c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>
        <f t="shared" si="24"/>
        <v>0</v>
      </c>
      <c r="AI31" s="88">
        <v>0</v>
      </c>
      <c r="AJ31" s="88"/>
      <c r="AK31" s="88"/>
      <c r="AL31" s="88">
        <f t="shared" si="25"/>
        <v>0</v>
      </c>
      <c r="AM31" s="88">
        <v>0</v>
      </c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>
        <f t="shared" si="21"/>
        <v>30409</v>
      </c>
      <c r="BD31" s="88">
        <v>30409</v>
      </c>
      <c r="BE31" s="88"/>
      <c r="BF31" s="88"/>
      <c r="BG31" s="88">
        <v>2000</v>
      </c>
      <c r="BH31" s="88">
        <v>1000</v>
      </c>
      <c r="BI31" s="88">
        <v>27409</v>
      </c>
      <c r="BJ31" s="88"/>
      <c r="BK31" s="88"/>
      <c r="BL31" s="88"/>
      <c r="BM31" s="88">
        <f t="shared" si="6"/>
        <v>0</v>
      </c>
      <c r="BN31" s="88">
        <v>0</v>
      </c>
      <c r="BO31" s="88"/>
      <c r="BP31" s="88"/>
      <c r="BQ31" s="88"/>
      <c r="BR31" s="31"/>
      <c r="BS31" s="88"/>
      <c r="BT31" s="88"/>
      <c r="BU31" s="88">
        <v>0</v>
      </c>
      <c r="BV31" s="88">
        <v>0</v>
      </c>
      <c r="BW31" s="88">
        <v>0</v>
      </c>
      <c r="BX31" s="88">
        <f t="shared" si="7"/>
        <v>0</v>
      </c>
      <c r="BY31" s="88">
        <f t="shared" si="8"/>
        <v>0</v>
      </c>
      <c r="BZ31" s="90">
        <f t="shared" si="9"/>
        <v>0</v>
      </c>
      <c r="CA31" s="88"/>
      <c r="CB31" s="88">
        <f t="shared" si="10"/>
        <v>30409</v>
      </c>
      <c r="CC31" s="91">
        <f t="shared" si="11"/>
        <v>30409</v>
      </c>
      <c r="CD31" s="87" t="b">
        <f t="shared" si="15"/>
        <v>1</v>
      </c>
    </row>
    <row r="32" spans="1:82" ht="20.399999999999999" hidden="1" customHeight="1" x14ac:dyDescent="0.3">
      <c r="A32" s="37" t="s">
        <v>62</v>
      </c>
      <c r="B32" s="37" t="s">
        <v>46</v>
      </c>
      <c r="C32" s="88">
        <v>0</v>
      </c>
      <c r="D32" s="88">
        <v>0</v>
      </c>
      <c r="E32" s="88">
        <v>0</v>
      </c>
      <c r="F32" s="88">
        <v>0</v>
      </c>
      <c r="G32" s="88">
        <v>0</v>
      </c>
      <c r="H32" s="88">
        <v>0</v>
      </c>
      <c r="I32" s="88">
        <f t="shared" si="12"/>
        <v>0</v>
      </c>
      <c r="J32" s="88">
        <f t="shared" si="13"/>
        <v>15430719</v>
      </c>
      <c r="K32" s="88">
        <f t="shared" si="14"/>
        <v>-15430719</v>
      </c>
      <c r="L32" s="88">
        <f t="shared" si="20"/>
        <v>6252708</v>
      </c>
      <c r="M32" s="89">
        <v>6252708</v>
      </c>
      <c r="N32" s="88"/>
      <c r="O32" s="88">
        <f t="shared" si="26"/>
        <v>3158448</v>
      </c>
      <c r="P32" s="88">
        <f>Q32+R32+S32+T32+U32+V32+W32+X32</f>
        <v>3158448</v>
      </c>
      <c r="Q32" s="88">
        <v>0</v>
      </c>
      <c r="R32" s="88">
        <v>0</v>
      </c>
      <c r="S32" s="88">
        <v>0</v>
      </c>
      <c r="T32" s="88">
        <v>1998207</v>
      </c>
      <c r="U32" s="88">
        <v>973960</v>
      </c>
      <c r="V32" s="88">
        <v>186281</v>
      </c>
      <c r="W32" s="88">
        <v>0</v>
      </c>
      <c r="X32" s="88">
        <v>0</v>
      </c>
      <c r="Y32" s="88">
        <v>0</v>
      </c>
      <c r="Z32" s="88">
        <v>5358</v>
      </c>
      <c r="AA32" s="88">
        <v>202938</v>
      </c>
      <c r="AB32" s="88">
        <v>51220</v>
      </c>
      <c r="AC32" s="88">
        <v>26686</v>
      </c>
      <c r="AD32" s="88">
        <v>79836</v>
      </c>
      <c r="AE32" s="88">
        <v>0</v>
      </c>
      <c r="AF32" s="88">
        <v>28373</v>
      </c>
      <c r="AG32" s="88">
        <f>2699849</f>
        <v>2699849</v>
      </c>
      <c r="AH32" s="88">
        <f t="shared" si="24"/>
        <v>3793251</v>
      </c>
      <c r="AI32" s="88">
        <v>3793251</v>
      </c>
      <c r="AJ32" s="88">
        <v>3718803</v>
      </c>
      <c r="AK32" s="88">
        <v>74448</v>
      </c>
      <c r="AL32" s="88">
        <f t="shared" si="25"/>
        <v>3605095</v>
      </c>
      <c r="AM32" s="88">
        <v>3605095</v>
      </c>
      <c r="AN32" s="88">
        <v>0</v>
      </c>
      <c r="AO32" s="88">
        <v>1158959</v>
      </c>
      <c r="AP32" s="88">
        <v>0</v>
      </c>
      <c r="AQ32" s="88">
        <v>141669</v>
      </c>
      <c r="AR32" s="88">
        <v>73819</v>
      </c>
      <c r="AS32" s="88">
        <v>0</v>
      </c>
      <c r="AT32" s="88">
        <v>2542</v>
      </c>
      <c r="AU32" s="88">
        <v>81253</v>
      </c>
      <c r="AV32" s="88">
        <v>12098</v>
      </c>
      <c r="AW32" s="88">
        <v>134493</v>
      </c>
      <c r="AX32" s="88">
        <v>13342</v>
      </c>
      <c r="AY32" s="88">
        <v>92652</v>
      </c>
      <c r="AZ32" s="88">
        <v>0</v>
      </c>
      <c r="BA32" s="88">
        <v>645611</v>
      </c>
      <c r="BB32" s="88">
        <v>1248657</v>
      </c>
      <c r="BC32" s="88">
        <f t="shared" si="21"/>
        <v>1088963</v>
      </c>
      <c r="BD32" s="88">
        <v>1088963</v>
      </c>
      <c r="BE32" s="88">
        <v>425965</v>
      </c>
      <c r="BF32" s="88">
        <v>15183</v>
      </c>
      <c r="BG32" s="88">
        <v>0</v>
      </c>
      <c r="BH32" s="88">
        <v>0</v>
      </c>
      <c r="BI32" s="88">
        <v>632141</v>
      </c>
      <c r="BJ32" s="88">
        <v>7951</v>
      </c>
      <c r="BK32" s="88">
        <v>7723</v>
      </c>
      <c r="BL32" s="88">
        <v>0</v>
      </c>
      <c r="BM32" s="88">
        <f t="shared" si="6"/>
        <v>1793376</v>
      </c>
      <c r="BN32" s="88">
        <v>1793376</v>
      </c>
      <c r="BO32" s="88">
        <v>1243570</v>
      </c>
      <c r="BP32" s="88">
        <v>91851</v>
      </c>
      <c r="BQ32" s="88">
        <v>235285</v>
      </c>
      <c r="BR32" s="88">
        <v>0</v>
      </c>
      <c r="BS32" s="88">
        <v>166904</v>
      </c>
      <c r="BT32" s="88">
        <v>55766</v>
      </c>
      <c r="BU32" s="88">
        <v>811378</v>
      </c>
      <c r="BV32" s="88">
        <v>968287</v>
      </c>
      <c r="BW32" s="88">
        <v>813611</v>
      </c>
      <c r="BX32" s="88">
        <f t="shared" si="7"/>
        <v>0</v>
      </c>
      <c r="BY32" s="88">
        <f t="shared" si="8"/>
        <v>15430719</v>
      </c>
      <c r="BZ32" s="90">
        <f t="shared" si="9"/>
        <v>-15430719</v>
      </c>
      <c r="CA32" s="88"/>
      <c r="CB32" s="88">
        <f t="shared" si="10"/>
        <v>19126669</v>
      </c>
      <c r="CC32" s="91">
        <f t="shared" si="11"/>
        <v>19126669</v>
      </c>
      <c r="CD32" s="87" t="b">
        <f t="shared" si="15"/>
        <v>1</v>
      </c>
    </row>
    <row r="33" spans="1:82" ht="20.399999999999999" hidden="1" customHeight="1" x14ac:dyDescent="0.3">
      <c r="A33" s="37" t="s">
        <v>517</v>
      </c>
      <c r="B33" s="37" t="s">
        <v>46</v>
      </c>
      <c r="C33" s="88">
        <v>69</v>
      </c>
      <c r="D33" s="88">
        <v>842542.87</v>
      </c>
      <c r="E33" s="88">
        <v>73.47</v>
      </c>
      <c r="F33" s="88">
        <v>2</v>
      </c>
      <c r="G33" s="88">
        <v>304190.30800000002</v>
      </c>
      <c r="H33" s="88">
        <v>26.53</v>
      </c>
      <c r="I33" s="88">
        <f t="shared" si="12"/>
        <v>1146733.1780000001</v>
      </c>
      <c r="J33" s="88">
        <f t="shared" si="13"/>
        <v>674591.37799999991</v>
      </c>
      <c r="K33" s="88">
        <f t="shared" si="14"/>
        <v>472141.80000000016</v>
      </c>
      <c r="L33" s="88">
        <f t="shared" si="20"/>
        <v>367114.52399999998</v>
      </c>
      <c r="M33" s="89">
        <v>367114.52399999998</v>
      </c>
      <c r="N33" s="88">
        <v>104526</v>
      </c>
      <c r="O33" s="88">
        <f t="shared" si="26"/>
        <v>166499.41699999999</v>
      </c>
      <c r="P33" s="88">
        <f>Q33+R33+S33+T33+U33+V33+W33+X33</f>
        <v>166499.41699999999</v>
      </c>
      <c r="Q33" s="88">
        <v>0</v>
      </c>
      <c r="R33" s="88">
        <v>0</v>
      </c>
      <c r="S33" s="88">
        <v>0</v>
      </c>
      <c r="T33" s="88">
        <v>166499.41699999999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  <c r="Z33" s="88">
        <v>204.35</v>
      </c>
      <c r="AA33" s="88">
        <v>59795.281999999999</v>
      </c>
      <c r="AB33" s="88">
        <v>2096.2530000000002</v>
      </c>
      <c r="AC33" s="88">
        <v>4005.576</v>
      </c>
      <c r="AD33" s="88">
        <v>6895.4759999999997</v>
      </c>
      <c r="AE33" s="88">
        <v>9447.3690000000006</v>
      </c>
      <c r="AF33" s="88">
        <v>13644.800999999999</v>
      </c>
      <c r="AG33" s="88">
        <v>0</v>
      </c>
      <c r="AH33" s="88">
        <f t="shared" si="24"/>
        <v>10810.73</v>
      </c>
      <c r="AI33" s="88">
        <f>AJ33+AK33</f>
        <v>10810.73</v>
      </c>
      <c r="AJ33" s="88">
        <v>0</v>
      </c>
      <c r="AK33" s="88">
        <v>10810.73</v>
      </c>
      <c r="AL33" s="88">
        <f t="shared" si="25"/>
        <v>246765.07800000001</v>
      </c>
      <c r="AM33" s="88">
        <f>AN33+AO33+AP33+AQ33+AR33+AS33+AT33+AU33+AV33+AW33+AX33+AZ33+BA33+BB33+AY33</f>
        <v>246765.07799999998</v>
      </c>
      <c r="AN33" s="88">
        <v>0</v>
      </c>
      <c r="AO33" s="88">
        <v>0</v>
      </c>
      <c r="AP33" s="88">
        <v>0</v>
      </c>
      <c r="AQ33" s="88">
        <v>221301.65299999999</v>
      </c>
      <c r="AR33" s="88">
        <v>2431.5680000000002</v>
      </c>
      <c r="AS33" s="88">
        <v>0</v>
      </c>
      <c r="AT33" s="88">
        <v>1693.93</v>
      </c>
      <c r="AU33" s="88">
        <v>1814.999</v>
      </c>
      <c r="AV33" s="88">
        <v>0</v>
      </c>
      <c r="AW33" s="88">
        <v>2750.712</v>
      </c>
      <c r="AX33" s="88">
        <v>0</v>
      </c>
      <c r="AY33" s="88">
        <v>5059.0339999999997</v>
      </c>
      <c r="AZ33" s="88">
        <v>0</v>
      </c>
      <c r="BA33" s="88">
        <v>0</v>
      </c>
      <c r="BB33" s="88">
        <v>11713.182000000001</v>
      </c>
      <c r="BC33" s="88">
        <f t="shared" si="21"/>
        <v>56589.355000000003</v>
      </c>
      <c r="BD33" s="88">
        <f t="shared" ref="BD33:BD40" si="27">BE33+BF33+BG33+BH33+BI33+BJ33+BK33+BL33</f>
        <v>56589.355000000003</v>
      </c>
      <c r="BE33" s="88">
        <v>6405.92</v>
      </c>
      <c r="BF33" s="88">
        <v>0</v>
      </c>
      <c r="BG33" s="88">
        <v>0</v>
      </c>
      <c r="BH33" s="88">
        <v>0</v>
      </c>
      <c r="BI33" s="88">
        <v>49466.211000000003</v>
      </c>
      <c r="BJ33" s="88">
        <v>467.22399999999999</v>
      </c>
      <c r="BK33" s="88">
        <v>0</v>
      </c>
      <c r="BL33" s="88">
        <v>250</v>
      </c>
      <c r="BM33" s="88">
        <f t="shared" si="6"/>
        <v>188447.74599999998</v>
      </c>
      <c r="BN33" s="88">
        <f t="shared" ref="BN33:BN42" si="28">BO33+BP33+BQ33+BR33+BS33+BT33</f>
        <v>188447.74599999998</v>
      </c>
      <c r="BO33" s="88">
        <v>131072.601</v>
      </c>
      <c r="BP33" s="88">
        <v>0</v>
      </c>
      <c r="BQ33" s="88">
        <v>7700</v>
      </c>
      <c r="BR33" s="88">
        <v>625.125</v>
      </c>
      <c r="BS33" s="88">
        <v>15502.177</v>
      </c>
      <c r="BT33" s="88">
        <v>33547.843000000001</v>
      </c>
      <c r="BU33" s="88">
        <v>46246.828000000001</v>
      </c>
      <c r="BV33" s="88">
        <v>3654.2179999999998</v>
      </c>
      <c r="BW33" s="88">
        <v>6183.2759999999998</v>
      </c>
      <c r="BX33" s="88">
        <f t="shared" si="7"/>
        <v>1146733.1780000001</v>
      </c>
      <c r="BY33" s="88">
        <f t="shared" si="8"/>
        <v>674591.37799999991</v>
      </c>
      <c r="BZ33" s="90">
        <f t="shared" si="9"/>
        <v>472141.80000000016</v>
      </c>
      <c r="CA33" s="88"/>
      <c r="CB33" s="88">
        <f t="shared" si="10"/>
        <v>925811.75499999989</v>
      </c>
      <c r="CC33" s="91">
        <f t="shared" si="11"/>
        <v>925811.755</v>
      </c>
      <c r="CD33" s="87" t="b">
        <f t="shared" si="15"/>
        <v>1</v>
      </c>
    </row>
    <row r="34" spans="1:82" ht="20.399999999999999" hidden="1" customHeight="1" x14ac:dyDescent="0.3">
      <c r="A34" s="37" t="s">
        <v>519</v>
      </c>
      <c r="B34" s="37" t="s">
        <v>255</v>
      </c>
      <c r="C34" s="88">
        <v>2</v>
      </c>
      <c r="D34" s="88">
        <v>4300</v>
      </c>
      <c r="E34" s="88">
        <v>0</v>
      </c>
      <c r="F34" s="88">
        <v>2</v>
      </c>
      <c r="G34" s="88">
        <v>18125</v>
      </c>
      <c r="H34" s="88">
        <v>0</v>
      </c>
      <c r="I34" s="88">
        <f t="shared" si="12"/>
        <v>22425</v>
      </c>
      <c r="J34" s="88">
        <f t="shared" si="13"/>
        <v>152871</v>
      </c>
      <c r="K34" s="88">
        <f t="shared" si="14"/>
        <v>-130446</v>
      </c>
      <c r="L34" s="88">
        <f t="shared" si="20"/>
        <v>536</v>
      </c>
      <c r="M34" s="89">
        <f>N34+P34+Y34+Z34+AA34+AB34+AC34+AD34+AE34+AF34+AG34</f>
        <v>536</v>
      </c>
      <c r="N34" s="88">
        <v>0</v>
      </c>
      <c r="O34" s="88">
        <f t="shared" si="26"/>
        <v>0</v>
      </c>
      <c r="P34" s="88">
        <f>Q34+R34+S34+T34+U34+V34+W34+X34</f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21</v>
      </c>
      <c r="AA34" s="88">
        <v>0</v>
      </c>
      <c r="AB34" s="88">
        <v>0</v>
      </c>
      <c r="AC34" s="88">
        <v>5</v>
      </c>
      <c r="AD34" s="88">
        <v>235</v>
      </c>
      <c r="AE34" s="88">
        <v>243</v>
      </c>
      <c r="AF34" s="88">
        <v>32</v>
      </c>
      <c r="AG34" s="88">
        <v>0</v>
      </c>
      <c r="AH34" s="88">
        <f t="shared" si="24"/>
        <v>1635</v>
      </c>
      <c r="AI34" s="88">
        <f>AJ34+AK34</f>
        <v>1635</v>
      </c>
      <c r="AJ34" s="88">
        <v>0</v>
      </c>
      <c r="AK34" s="88">
        <v>1635</v>
      </c>
      <c r="AL34" s="88">
        <f t="shared" si="25"/>
        <v>144770</v>
      </c>
      <c r="AM34" s="88">
        <f>AN34+AO34+AP34+AQ34+AR34+AS34+AT34+AU34+AV34+AW34+AX34+AZ34+BA34+BB34+AY34</f>
        <v>144770</v>
      </c>
      <c r="AN34" s="88">
        <v>0</v>
      </c>
      <c r="AO34" s="88">
        <v>2900</v>
      </c>
      <c r="AP34" s="88">
        <v>0</v>
      </c>
      <c r="AQ34" s="88">
        <v>2756</v>
      </c>
      <c r="AR34" s="88">
        <v>0</v>
      </c>
      <c r="AS34" s="88">
        <v>0</v>
      </c>
      <c r="AT34" s="88">
        <v>15</v>
      </c>
      <c r="AU34" s="88">
        <v>0</v>
      </c>
      <c r="AV34" s="88">
        <v>0</v>
      </c>
      <c r="AW34" s="88">
        <v>138228</v>
      </c>
      <c r="AX34" s="88">
        <v>0</v>
      </c>
      <c r="AY34" s="88">
        <v>219</v>
      </c>
      <c r="AZ34" s="88">
        <v>0</v>
      </c>
      <c r="BA34" s="88">
        <v>0</v>
      </c>
      <c r="BB34" s="88">
        <v>652</v>
      </c>
      <c r="BC34" s="88">
        <f t="shared" si="21"/>
        <v>31415</v>
      </c>
      <c r="BD34" s="88">
        <f t="shared" si="27"/>
        <v>31415</v>
      </c>
      <c r="BE34" s="88">
        <v>0</v>
      </c>
      <c r="BF34" s="88">
        <v>0</v>
      </c>
      <c r="BG34" s="88">
        <v>0</v>
      </c>
      <c r="BH34" s="88">
        <v>0</v>
      </c>
      <c r="BI34" s="88">
        <v>0</v>
      </c>
      <c r="BJ34" s="88">
        <v>31249</v>
      </c>
      <c r="BK34" s="88">
        <v>166</v>
      </c>
      <c r="BL34" s="88">
        <v>0</v>
      </c>
      <c r="BM34" s="88">
        <f t="shared" si="6"/>
        <v>0</v>
      </c>
      <c r="BN34" s="88">
        <f t="shared" si="28"/>
        <v>0</v>
      </c>
      <c r="BO34" s="88">
        <v>0</v>
      </c>
      <c r="BP34" s="88">
        <v>0</v>
      </c>
      <c r="BQ34" s="88">
        <v>0</v>
      </c>
      <c r="BR34" s="88">
        <v>0</v>
      </c>
      <c r="BS34" s="88">
        <v>0</v>
      </c>
      <c r="BT34" s="88">
        <v>0</v>
      </c>
      <c r="BU34" s="88">
        <v>5341</v>
      </c>
      <c r="BV34" s="88">
        <v>589</v>
      </c>
      <c r="BW34" s="88">
        <v>0</v>
      </c>
      <c r="BX34" s="88">
        <f t="shared" si="7"/>
        <v>22425</v>
      </c>
      <c r="BY34" s="88">
        <f t="shared" si="8"/>
        <v>152871</v>
      </c>
      <c r="BZ34" s="90">
        <f t="shared" si="9"/>
        <v>-130446</v>
      </c>
      <c r="CA34" s="88"/>
      <c r="CB34" s="88">
        <f t="shared" si="10"/>
        <v>184286</v>
      </c>
      <c r="CC34" s="91">
        <f t="shared" si="11"/>
        <v>184286</v>
      </c>
      <c r="CD34" s="87" t="b">
        <f t="shared" si="15"/>
        <v>1</v>
      </c>
    </row>
    <row r="35" spans="1:82" ht="20.399999999999999" hidden="1" customHeight="1" x14ac:dyDescent="0.3">
      <c r="A35" s="37" t="s">
        <v>522</v>
      </c>
      <c r="B35" s="37" t="s">
        <v>41</v>
      </c>
      <c r="C35" s="88">
        <v>0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f t="shared" si="12"/>
        <v>0</v>
      </c>
      <c r="J35" s="88">
        <f t="shared" si="13"/>
        <v>66618781</v>
      </c>
      <c r="K35" s="88">
        <f t="shared" si="14"/>
        <v>-66618781</v>
      </c>
      <c r="L35" s="88">
        <f t="shared" si="20"/>
        <v>19999942</v>
      </c>
      <c r="M35" s="89">
        <v>19999942</v>
      </c>
      <c r="N35" s="88">
        <v>10346003</v>
      </c>
      <c r="O35" s="88">
        <f t="shared" si="26"/>
        <v>460604</v>
      </c>
      <c r="P35" s="88">
        <v>460604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  <c r="X35" s="88">
        <v>460604</v>
      </c>
      <c r="Y35" s="88">
        <v>82358</v>
      </c>
      <c r="Z35" s="88">
        <v>0</v>
      </c>
      <c r="AA35" s="88">
        <v>0</v>
      </c>
      <c r="AB35" s="88">
        <v>69310</v>
      </c>
      <c r="AC35" s="88">
        <v>50301</v>
      </c>
      <c r="AD35" s="88">
        <v>2192077</v>
      </c>
      <c r="AE35" s="88">
        <v>1978816</v>
      </c>
      <c r="AF35" s="88">
        <v>4608989</v>
      </c>
      <c r="AG35" s="88">
        <v>211484</v>
      </c>
      <c r="AH35" s="88">
        <f t="shared" si="24"/>
        <v>8343773</v>
      </c>
      <c r="AI35" s="88">
        <f>AJ35+AK35</f>
        <v>8343773</v>
      </c>
      <c r="AJ35" s="88">
        <v>7707345</v>
      </c>
      <c r="AK35" s="88">
        <v>636428</v>
      </c>
      <c r="AL35" s="88">
        <f t="shared" si="25"/>
        <v>26992302</v>
      </c>
      <c r="AM35" s="88">
        <f>AN35+AO35+AP35+AQ35+AR35+AS35+AT35+AU35+AV35+AW35+AX35+AZ35+BA35+BB35+AY35</f>
        <v>26992302</v>
      </c>
      <c r="AN35" s="88">
        <v>1482466</v>
      </c>
      <c r="AO35" s="88">
        <v>5251488</v>
      </c>
      <c r="AP35" s="88">
        <v>0</v>
      </c>
      <c r="AQ35" s="88">
        <v>286894</v>
      </c>
      <c r="AR35" s="88">
        <v>1522466</v>
      </c>
      <c r="AS35" s="88">
        <v>0</v>
      </c>
      <c r="AT35" s="88">
        <v>140994</v>
      </c>
      <c r="AU35" s="88">
        <v>516249</v>
      </c>
      <c r="AV35" s="88">
        <v>0</v>
      </c>
      <c r="AW35" s="88">
        <v>9251797</v>
      </c>
      <c r="AX35" s="88">
        <v>110956</v>
      </c>
      <c r="AY35" s="88">
        <v>92621</v>
      </c>
      <c r="AZ35" s="88">
        <v>5972066</v>
      </c>
      <c r="BA35" s="88">
        <v>1641045</v>
      </c>
      <c r="BB35" s="88">
        <v>723260</v>
      </c>
      <c r="BC35" s="88">
        <f t="shared" si="21"/>
        <v>2597254</v>
      </c>
      <c r="BD35" s="88">
        <f t="shared" si="27"/>
        <v>2597254</v>
      </c>
      <c r="BE35" s="88">
        <v>1157827</v>
      </c>
      <c r="BF35" s="88">
        <v>311399</v>
      </c>
      <c r="BG35" s="88">
        <v>0</v>
      </c>
      <c r="BH35" s="88">
        <v>0</v>
      </c>
      <c r="BI35" s="88">
        <v>0</v>
      </c>
      <c r="BJ35" s="88">
        <v>0</v>
      </c>
      <c r="BK35" s="88">
        <v>1117697</v>
      </c>
      <c r="BL35" s="88">
        <v>10331</v>
      </c>
      <c r="BM35" s="88">
        <f t="shared" si="6"/>
        <v>19196464</v>
      </c>
      <c r="BN35" s="88">
        <f t="shared" si="28"/>
        <v>19196464</v>
      </c>
      <c r="BO35" s="92">
        <v>10492168</v>
      </c>
      <c r="BP35" s="92">
        <v>8299401</v>
      </c>
      <c r="BQ35" s="88">
        <v>0</v>
      </c>
      <c r="BR35" s="88">
        <v>0</v>
      </c>
      <c r="BS35" s="88">
        <v>367260</v>
      </c>
      <c r="BT35" s="88">
        <v>37635</v>
      </c>
      <c r="BU35" s="88">
        <v>7432865</v>
      </c>
      <c r="BV35" s="88">
        <v>3849899</v>
      </c>
      <c r="BW35" s="88">
        <v>0</v>
      </c>
      <c r="BX35" s="88">
        <f t="shared" si="7"/>
        <v>0</v>
      </c>
      <c r="BY35" s="88">
        <f t="shared" si="8"/>
        <v>66618781</v>
      </c>
      <c r="BZ35" s="90">
        <f t="shared" si="9"/>
        <v>-66618781</v>
      </c>
      <c r="CA35" s="88"/>
      <c r="CB35" s="88">
        <f t="shared" si="10"/>
        <v>88412499</v>
      </c>
      <c r="CC35" s="91">
        <f t="shared" si="11"/>
        <v>88412499</v>
      </c>
      <c r="CD35" s="87" t="b">
        <f t="shared" si="15"/>
        <v>1</v>
      </c>
    </row>
    <row r="36" spans="1:82" ht="20.399999999999999" hidden="1" customHeight="1" x14ac:dyDescent="0.3">
      <c r="A36" s="37" t="s">
        <v>73</v>
      </c>
      <c r="B36" s="37" t="s">
        <v>46</v>
      </c>
      <c r="C36" s="88">
        <v>16</v>
      </c>
      <c r="D36" s="88">
        <v>359944</v>
      </c>
      <c r="E36" s="88">
        <v>100</v>
      </c>
      <c r="F36" s="88">
        <v>0</v>
      </c>
      <c r="G36" s="88">
        <v>0</v>
      </c>
      <c r="H36" s="88">
        <v>0</v>
      </c>
      <c r="I36" s="88">
        <f t="shared" si="12"/>
        <v>359944</v>
      </c>
      <c r="J36" s="88">
        <f t="shared" si="13"/>
        <v>330691</v>
      </c>
      <c r="K36" s="88">
        <f t="shared" si="14"/>
        <v>29253</v>
      </c>
      <c r="L36" s="88">
        <f t="shared" si="20"/>
        <v>240659</v>
      </c>
      <c r="M36" s="89">
        <v>240659</v>
      </c>
      <c r="N36" s="88">
        <v>0</v>
      </c>
      <c r="O36" s="88">
        <f t="shared" si="26"/>
        <v>147219</v>
      </c>
      <c r="P36" s="88">
        <f>Q36+R36+S36+T36+U36+V36+W36+X36</f>
        <v>147219</v>
      </c>
      <c r="Q36" s="88">
        <v>0</v>
      </c>
      <c r="R36" s="88">
        <v>0</v>
      </c>
      <c r="S36" s="88">
        <v>0</v>
      </c>
      <c r="T36" s="88">
        <v>122284</v>
      </c>
      <c r="U36" s="88">
        <v>0</v>
      </c>
      <c r="V36" s="88">
        <v>23923</v>
      </c>
      <c r="W36" s="88">
        <v>0</v>
      </c>
      <c r="X36" s="88">
        <v>1012</v>
      </c>
      <c r="Y36" s="88">
        <v>0</v>
      </c>
      <c r="Z36" s="88">
        <v>0</v>
      </c>
      <c r="AA36" s="88">
        <v>1800</v>
      </c>
      <c r="AB36" s="88">
        <v>0</v>
      </c>
      <c r="AC36" s="88">
        <v>0</v>
      </c>
      <c r="AD36" s="88">
        <v>50000</v>
      </c>
      <c r="AE36" s="88">
        <v>0</v>
      </c>
      <c r="AF36" s="88">
        <v>36199</v>
      </c>
      <c r="AG36" s="88">
        <v>5441</v>
      </c>
      <c r="AH36" s="88">
        <f t="shared" si="24"/>
        <v>0</v>
      </c>
      <c r="AI36" s="88">
        <f>AJ36+AK36</f>
        <v>0</v>
      </c>
      <c r="AJ36" s="88">
        <v>0</v>
      </c>
      <c r="AK36" s="88">
        <v>0</v>
      </c>
      <c r="AL36" s="88">
        <f t="shared" si="25"/>
        <v>90032</v>
      </c>
      <c r="AM36" s="88">
        <f>AN36+AO36+AP36+AQ36+AR36+AS36+AT36+AU36+AV36+AW36+AX36+AZ36+BA36+BB36+AY36</f>
        <v>90032</v>
      </c>
      <c r="AN36" s="88">
        <v>72631</v>
      </c>
      <c r="AO36" s="88">
        <v>3900</v>
      </c>
      <c r="AP36" s="88">
        <v>0</v>
      </c>
      <c r="AQ36" s="88">
        <v>1730</v>
      </c>
      <c r="AR36" s="88">
        <v>0</v>
      </c>
      <c r="AS36" s="88">
        <v>0</v>
      </c>
      <c r="AT36" s="88">
        <v>0</v>
      </c>
      <c r="AU36" s="88">
        <v>456</v>
      </c>
      <c r="AV36" s="88">
        <v>0</v>
      </c>
      <c r="AW36" s="88">
        <v>782</v>
      </c>
      <c r="AX36" s="88">
        <v>0</v>
      </c>
      <c r="AY36" s="88"/>
      <c r="AZ36" s="88">
        <v>0</v>
      </c>
      <c r="BA36" s="88">
        <v>6892</v>
      </c>
      <c r="BB36" s="88">
        <v>3641</v>
      </c>
      <c r="BC36" s="88">
        <f t="shared" si="21"/>
        <v>19609</v>
      </c>
      <c r="BD36" s="88">
        <f t="shared" si="27"/>
        <v>19609</v>
      </c>
      <c r="BE36" s="88">
        <v>3202</v>
      </c>
      <c r="BF36" s="88">
        <v>0</v>
      </c>
      <c r="BG36" s="88">
        <v>0</v>
      </c>
      <c r="BH36" s="88">
        <v>198</v>
      </c>
      <c r="BI36" s="88">
        <v>16209</v>
      </c>
      <c r="BJ36" s="88">
        <v>0</v>
      </c>
      <c r="BK36" s="88">
        <v>0</v>
      </c>
      <c r="BL36" s="88">
        <v>0</v>
      </c>
      <c r="BM36" s="88">
        <f t="shared" si="6"/>
        <v>115930</v>
      </c>
      <c r="BN36" s="88">
        <f t="shared" si="28"/>
        <v>115930</v>
      </c>
      <c r="BO36" s="88">
        <v>48212</v>
      </c>
      <c r="BP36" s="88">
        <v>58511</v>
      </c>
      <c r="BQ36" s="88">
        <v>0</v>
      </c>
      <c r="BR36" s="88">
        <v>0</v>
      </c>
      <c r="BS36" s="88">
        <v>8503</v>
      </c>
      <c r="BT36" s="88">
        <v>704</v>
      </c>
      <c r="BU36" s="88">
        <v>0</v>
      </c>
      <c r="BV36" s="88">
        <v>0</v>
      </c>
      <c r="BW36" s="88">
        <v>0</v>
      </c>
      <c r="BX36" s="88">
        <f t="shared" si="7"/>
        <v>359944</v>
      </c>
      <c r="BY36" s="88">
        <f t="shared" si="8"/>
        <v>330691</v>
      </c>
      <c r="BZ36" s="90">
        <f t="shared" si="9"/>
        <v>29253</v>
      </c>
      <c r="CA36" s="88"/>
      <c r="CB36" s="88">
        <f t="shared" si="10"/>
        <v>466230</v>
      </c>
      <c r="CC36" s="91">
        <f t="shared" si="11"/>
        <v>466230</v>
      </c>
      <c r="CD36" s="87" t="b">
        <f t="shared" si="15"/>
        <v>1</v>
      </c>
    </row>
    <row r="37" spans="1:82" ht="20.399999999999999" hidden="1" customHeight="1" x14ac:dyDescent="0.3">
      <c r="A37" s="37" t="s">
        <v>525</v>
      </c>
      <c r="B37" s="37" t="s">
        <v>255</v>
      </c>
      <c r="C37" s="88">
        <v>0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f t="shared" si="12"/>
        <v>0</v>
      </c>
      <c r="J37" s="88">
        <f t="shared" si="13"/>
        <v>191435.302</v>
      </c>
      <c r="K37" s="88">
        <f t="shared" si="14"/>
        <v>-191435.302</v>
      </c>
      <c r="L37" s="88">
        <f t="shared" si="20"/>
        <v>2827.3020000000001</v>
      </c>
      <c r="M37" s="89">
        <f>N37+P37+Y37+Z37+AA37+AB37+AC37+AD37+AE37+AF37+AG37</f>
        <v>2827.3020000000001</v>
      </c>
      <c r="N37" s="88">
        <v>306</v>
      </c>
      <c r="O37" s="88">
        <f t="shared" si="26"/>
        <v>992</v>
      </c>
      <c r="P37" s="88">
        <f>Q37+R37+S37+T37+U37+V37+W37+X37</f>
        <v>992</v>
      </c>
      <c r="Q37" s="88">
        <v>0</v>
      </c>
      <c r="R37" s="88">
        <v>0</v>
      </c>
      <c r="S37" s="88">
        <v>992</v>
      </c>
      <c r="T37" s="88">
        <v>0</v>
      </c>
      <c r="U37" s="88">
        <v>0</v>
      </c>
      <c r="V37" s="88">
        <v>0</v>
      </c>
      <c r="W37" s="88">
        <v>0</v>
      </c>
      <c r="X37" s="88">
        <v>0</v>
      </c>
      <c r="Y37" s="88">
        <v>512</v>
      </c>
      <c r="Z37" s="88">
        <v>112</v>
      </c>
      <c r="AA37" s="88">
        <v>84</v>
      </c>
      <c r="AB37" s="88">
        <v>0</v>
      </c>
      <c r="AC37" s="88">
        <v>89.302000000000007</v>
      </c>
      <c r="AD37" s="88">
        <v>0</v>
      </c>
      <c r="AE37" s="88">
        <v>732</v>
      </c>
      <c r="AF37" s="88">
        <v>0</v>
      </c>
      <c r="AG37" s="88">
        <v>0</v>
      </c>
      <c r="AH37" s="88">
        <v>8649</v>
      </c>
      <c r="AI37" s="88">
        <v>8649</v>
      </c>
      <c r="AJ37" s="88">
        <v>0</v>
      </c>
      <c r="AK37" s="88">
        <v>0</v>
      </c>
      <c r="AL37" s="88">
        <f t="shared" si="25"/>
        <v>179959</v>
      </c>
      <c r="AM37" s="88">
        <v>179959</v>
      </c>
      <c r="AN37" s="88">
        <v>0</v>
      </c>
      <c r="AO37" s="88">
        <v>6172</v>
      </c>
      <c r="AP37" s="88">
        <v>0</v>
      </c>
      <c r="AQ37" s="88">
        <v>179</v>
      </c>
      <c r="AR37" s="88">
        <v>605</v>
      </c>
      <c r="AS37" s="88">
        <v>119776</v>
      </c>
      <c r="AT37" s="88">
        <v>20</v>
      </c>
      <c r="AU37" s="88">
        <v>0</v>
      </c>
      <c r="AV37" s="88">
        <v>0</v>
      </c>
      <c r="AW37" s="88">
        <v>0</v>
      </c>
      <c r="AX37" s="88">
        <v>0</v>
      </c>
      <c r="AY37" s="88">
        <v>289</v>
      </c>
      <c r="AZ37" s="88">
        <v>0</v>
      </c>
      <c r="BA37" s="88">
        <v>43333</v>
      </c>
      <c r="BB37" s="88">
        <v>9585</v>
      </c>
      <c r="BC37" s="88">
        <f t="shared" si="21"/>
        <v>2940</v>
      </c>
      <c r="BD37" s="88">
        <f t="shared" si="27"/>
        <v>2940</v>
      </c>
      <c r="BE37" s="88">
        <v>0</v>
      </c>
      <c r="BF37" s="88">
        <v>0</v>
      </c>
      <c r="BG37" s="88">
        <v>0</v>
      </c>
      <c r="BH37" s="88">
        <v>2940</v>
      </c>
      <c r="BI37" s="88">
        <v>0</v>
      </c>
      <c r="BJ37" s="88">
        <v>0</v>
      </c>
      <c r="BK37" s="88">
        <v>0</v>
      </c>
      <c r="BL37" s="88">
        <v>0</v>
      </c>
      <c r="BM37" s="88">
        <f t="shared" si="6"/>
        <v>0</v>
      </c>
      <c r="BN37" s="88">
        <f t="shared" si="28"/>
        <v>0</v>
      </c>
      <c r="BO37" s="88">
        <v>0</v>
      </c>
      <c r="BP37" s="88">
        <v>0</v>
      </c>
      <c r="BQ37" s="88">
        <v>0</v>
      </c>
      <c r="BR37" s="88">
        <v>0</v>
      </c>
      <c r="BS37" s="88">
        <v>0</v>
      </c>
      <c r="BT37" s="88">
        <v>0</v>
      </c>
      <c r="BU37" s="88">
        <v>0</v>
      </c>
      <c r="BV37" s="88">
        <v>0</v>
      </c>
      <c r="BW37" s="88">
        <v>0</v>
      </c>
      <c r="BX37" s="88">
        <f t="shared" si="7"/>
        <v>0</v>
      </c>
      <c r="BY37" s="88">
        <f t="shared" si="8"/>
        <v>191435.302</v>
      </c>
      <c r="BZ37" s="90">
        <f t="shared" si="9"/>
        <v>-191435.302</v>
      </c>
      <c r="CA37" s="88"/>
      <c r="CB37" s="88">
        <f t="shared" si="10"/>
        <v>194375.302</v>
      </c>
      <c r="CC37" s="91">
        <f t="shared" si="11"/>
        <v>194375.302</v>
      </c>
      <c r="CD37" s="87" t="b">
        <f t="shared" si="15"/>
        <v>1</v>
      </c>
    </row>
    <row r="38" spans="1:82" ht="20.399999999999999" hidden="1" customHeight="1" x14ac:dyDescent="0.3">
      <c r="A38" s="37" t="s">
        <v>341</v>
      </c>
      <c r="B38" s="37" t="s">
        <v>87</v>
      </c>
      <c r="C38" s="88">
        <v>182</v>
      </c>
      <c r="D38" s="88">
        <v>14028553</v>
      </c>
      <c r="E38" s="88">
        <v>71</v>
      </c>
      <c r="F38" s="88">
        <v>58</v>
      </c>
      <c r="G38" s="88">
        <v>5780494</v>
      </c>
      <c r="H38" s="88">
        <v>29</v>
      </c>
      <c r="I38" s="88">
        <f t="shared" si="12"/>
        <v>19809047</v>
      </c>
      <c r="J38" s="88">
        <f t="shared" si="13"/>
        <v>8430343</v>
      </c>
      <c r="K38" s="88">
        <f t="shared" si="14"/>
        <v>11378704</v>
      </c>
      <c r="L38" s="88">
        <f t="shared" si="20"/>
        <v>784748</v>
      </c>
      <c r="M38" s="89">
        <v>784748</v>
      </c>
      <c r="N38" s="88">
        <v>0</v>
      </c>
      <c r="O38" s="88">
        <f t="shared" si="26"/>
        <v>658937</v>
      </c>
      <c r="P38" s="88">
        <v>658937</v>
      </c>
      <c r="Q38" s="88">
        <v>0</v>
      </c>
      <c r="R38" s="88">
        <v>0</v>
      </c>
      <c r="S38" s="88">
        <v>0</v>
      </c>
      <c r="T38" s="88">
        <v>658937</v>
      </c>
      <c r="U38" s="88">
        <v>0</v>
      </c>
      <c r="V38" s="88">
        <v>0</v>
      </c>
      <c r="W38" s="88">
        <v>0</v>
      </c>
      <c r="X38" s="88">
        <v>0</v>
      </c>
      <c r="Y38" s="88">
        <v>11114</v>
      </c>
      <c r="Z38" s="88">
        <v>654</v>
      </c>
      <c r="AA38" s="88">
        <v>9529</v>
      </c>
      <c r="AB38" s="88">
        <v>0</v>
      </c>
      <c r="AC38" s="88">
        <v>5209</v>
      </c>
      <c r="AD38" s="88">
        <v>46005</v>
      </c>
      <c r="AE38" s="88">
        <v>42886</v>
      </c>
      <c r="AF38" s="88">
        <v>10414</v>
      </c>
      <c r="AG38" s="88">
        <v>0</v>
      </c>
      <c r="AH38" s="88">
        <f>+AJ38+AK38</f>
        <v>185282</v>
      </c>
      <c r="AI38" s="88">
        <f>AJ38+AK38</f>
        <v>185282</v>
      </c>
      <c r="AJ38" s="88">
        <v>26191</v>
      </c>
      <c r="AK38" s="88">
        <v>159091</v>
      </c>
      <c r="AL38" s="88">
        <f t="shared" si="25"/>
        <v>6792032</v>
      </c>
      <c r="AM38" s="88">
        <v>6792032</v>
      </c>
      <c r="AN38" s="88">
        <v>1719354</v>
      </c>
      <c r="AO38" s="88">
        <v>56607</v>
      </c>
      <c r="AP38" s="88">
        <v>0</v>
      </c>
      <c r="AQ38" s="88">
        <v>18623</v>
      </c>
      <c r="AR38" s="88">
        <v>31129</v>
      </c>
      <c r="AS38" s="88">
        <v>77</v>
      </c>
      <c r="AT38" s="88">
        <v>4731</v>
      </c>
      <c r="AU38" s="88">
        <v>39388</v>
      </c>
      <c r="AV38" s="88">
        <v>0</v>
      </c>
      <c r="AW38" s="88">
        <v>4770140</v>
      </c>
      <c r="AX38" s="88">
        <v>44252</v>
      </c>
      <c r="AY38" s="88">
        <v>33512</v>
      </c>
      <c r="AZ38" s="88">
        <v>23598</v>
      </c>
      <c r="BA38" s="88">
        <v>14498</v>
      </c>
      <c r="BB38" s="88">
        <v>36123</v>
      </c>
      <c r="BC38" s="88">
        <f t="shared" si="21"/>
        <v>46662</v>
      </c>
      <c r="BD38" s="88">
        <f t="shared" si="27"/>
        <v>46662</v>
      </c>
      <c r="BE38" s="88">
        <v>4241</v>
      </c>
      <c r="BF38" s="88">
        <v>0</v>
      </c>
      <c r="BG38" s="88">
        <v>0</v>
      </c>
      <c r="BH38" s="88">
        <v>37000</v>
      </c>
      <c r="BI38" s="88">
        <v>0</v>
      </c>
      <c r="BJ38" s="88">
        <v>0</v>
      </c>
      <c r="BK38" s="88">
        <v>0</v>
      </c>
      <c r="BL38" s="88">
        <v>5421</v>
      </c>
      <c r="BM38" s="88">
        <f t="shared" si="6"/>
        <v>1420249</v>
      </c>
      <c r="BN38" s="88">
        <f t="shared" si="28"/>
        <v>1420249</v>
      </c>
      <c r="BO38" s="88">
        <v>592856</v>
      </c>
      <c r="BP38" s="88">
        <v>469146</v>
      </c>
      <c r="BQ38" s="88">
        <v>99480</v>
      </c>
      <c r="BR38" s="88">
        <v>66317</v>
      </c>
      <c r="BS38" s="88">
        <v>22587</v>
      </c>
      <c r="BT38" s="88">
        <v>169863</v>
      </c>
      <c r="BU38" s="88">
        <v>7547</v>
      </c>
      <c r="BV38" s="88">
        <v>660734</v>
      </c>
      <c r="BW38" s="92">
        <v>0</v>
      </c>
      <c r="BX38" s="88">
        <f t="shared" si="7"/>
        <v>19809047</v>
      </c>
      <c r="BY38" s="88">
        <f t="shared" si="8"/>
        <v>8430343</v>
      </c>
      <c r="BZ38" s="90">
        <f t="shared" si="9"/>
        <v>11378704</v>
      </c>
      <c r="CA38" s="88"/>
      <c r="CB38" s="88">
        <f t="shared" si="10"/>
        <v>9897254</v>
      </c>
      <c r="CC38" s="91">
        <f t="shared" si="11"/>
        <v>9897254</v>
      </c>
      <c r="CD38" s="87" t="b">
        <f t="shared" si="15"/>
        <v>1</v>
      </c>
    </row>
    <row r="39" spans="1:82" ht="20.399999999999999" hidden="1" customHeight="1" x14ac:dyDescent="0.3">
      <c r="A39" s="37" t="s">
        <v>344</v>
      </c>
      <c r="B39" s="37" t="s">
        <v>46</v>
      </c>
      <c r="C39" s="88">
        <v>0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f t="shared" si="12"/>
        <v>0</v>
      </c>
      <c r="J39" s="88">
        <f t="shared" si="13"/>
        <v>261450</v>
      </c>
      <c r="K39" s="88">
        <f t="shared" si="14"/>
        <v>-261450</v>
      </c>
      <c r="L39" s="88">
        <f t="shared" si="20"/>
        <v>243896</v>
      </c>
      <c r="M39" s="89">
        <f>N39+P39+Y39+Z39+AA39+AB39+AC39+AD39+AE39+AF39+AG39</f>
        <v>243896</v>
      </c>
      <c r="N39" s="88">
        <v>0</v>
      </c>
      <c r="O39" s="88">
        <f t="shared" si="26"/>
        <v>226417</v>
      </c>
      <c r="P39" s="88">
        <f>Q39+R39+S39+T39+U39+V39+W39+X39</f>
        <v>226417</v>
      </c>
      <c r="Q39" s="88">
        <v>0</v>
      </c>
      <c r="R39" s="88">
        <v>0</v>
      </c>
      <c r="S39" s="88">
        <v>0</v>
      </c>
      <c r="T39" s="88">
        <v>190862</v>
      </c>
      <c r="U39" s="88">
        <v>0</v>
      </c>
      <c r="V39" s="88">
        <v>35555</v>
      </c>
      <c r="W39" s="88">
        <v>0</v>
      </c>
      <c r="X39" s="88">
        <v>0</v>
      </c>
      <c r="Y39" s="88">
        <v>0</v>
      </c>
      <c r="Z39" s="88">
        <v>746</v>
      </c>
      <c r="AA39" s="88">
        <v>342</v>
      </c>
      <c r="AB39" s="88">
        <v>0</v>
      </c>
      <c r="AC39" s="88">
        <v>3821</v>
      </c>
      <c r="AD39" s="88">
        <v>12419</v>
      </c>
      <c r="AE39" s="88">
        <v>72</v>
      </c>
      <c r="AF39" s="88">
        <v>79</v>
      </c>
      <c r="AG39" s="88">
        <v>0</v>
      </c>
      <c r="AH39" s="88">
        <f>+AJ39+AK39</f>
        <v>260</v>
      </c>
      <c r="AI39" s="88">
        <f>AJ39+AK39</f>
        <v>260</v>
      </c>
      <c r="AJ39" s="88">
        <v>0</v>
      </c>
      <c r="AK39" s="88">
        <v>260</v>
      </c>
      <c r="AL39" s="88">
        <f t="shared" si="25"/>
        <v>16270</v>
      </c>
      <c r="AM39" s="88">
        <f>AN39+AO39+AP39+AQ39+AR39+AS39+AT39+AU39+AV39+AW39+AX39+AZ39+BA39+BB39+AY39</f>
        <v>16270</v>
      </c>
      <c r="AN39" s="88">
        <v>0</v>
      </c>
      <c r="AO39" s="88">
        <v>1077</v>
      </c>
      <c r="AP39" s="88">
        <v>0</v>
      </c>
      <c r="AQ39" s="88">
        <v>6615</v>
      </c>
      <c r="AR39" s="88">
        <v>114</v>
      </c>
      <c r="AS39" s="88">
        <v>91</v>
      </c>
      <c r="AT39" s="88">
        <v>0</v>
      </c>
      <c r="AU39" s="88">
        <v>4378</v>
      </c>
      <c r="AV39" s="88">
        <v>0</v>
      </c>
      <c r="AW39" s="88">
        <v>3000</v>
      </c>
      <c r="AX39" s="88">
        <v>0</v>
      </c>
      <c r="AY39" s="88">
        <v>995</v>
      </c>
      <c r="AZ39" s="88">
        <v>0</v>
      </c>
      <c r="BA39" s="88">
        <v>0</v>
      </c>
      <c r="BB39" s="88">
        <v>0</v>
      </c>
      <c r="BC39" s="88">
        <f t="shared" si="21"/>
        <v>14000</v>
      </c>
      <c r="BD39" s="88">
        <f t="shared" si="27"/>
        <v>14000</v>
      </c>
      <c r="BE39" s="88">
        <v>0</v>
      </c>
      <c r="BF39" s="88">
        <v>0</v>
      </c>
      <c r="BG39" s="88">
        <v>0</v>
      </c>
      <c r="BH39" s="88">
        <v>0</v>
      </c>
      <c r="BI39" s="88">
        <v>0</v>
      </c>
      <c r="BJ39" s="88">
        <v>0</v>
      </c>
      <c r="BK39" s="88">
        <v>14000</v>
      </c>
      <c r="BL39" s="88">
        <v>0</v>
      </c>
      <c r="BM39" s="88">
        <f t="shared" si="6"/>
        <v>234322</v>
      </c>
      <c r="BN39" s="88">
        <f t="shared" si="28"/>
        <v>234322</v>
      </c>
      <c r="BO39" s="88">
        <v>153686</v>
      </c>
      <c r="BP39" s="88">
        <v>32219</v>
      </c>
      <c r="BQ39" s="88">
        <v>20557</v>
      </c>
      <c r="BR39" s="88">
        <v>0</v>
      </c>
      <c r="BS39" s="88">
        <v>27860</v>
      </c>
      <c r="BT39" s="88">
        <v>0</v>
      </c>
      <c r="BU39" s="88">
        <v>1024</v>
      </c>
      <c r="BV39" s="88">
        <v>0</v>
      </c>
      <c r="BW39" s="88">
        <v>2625</v>
      </c>
      <c r="BX39" s="88">
        <f t="shared" si="7"/>
        <v>0</v>
      </c>
      <c r="BY39" s="88">
        <f t="shared" si="8"/>
        <v>261450</v>
      </c>
      <c r="BZ39" s="90">
        <f t="shared" si="9"/>
        <v>-261450</v>
      </c>
      <c r="CA39" s="88"/>
      <c r="CB39" s="88">
        <f t="shared" si="10"/>
        <v>512397</v>
      </c>
      <c r="CC39" s="91">
        <f t="shared" si="11"/>
        <v>512397</v>
      </c>
      <c r="CD39" s="87" t="b">
        <f t="shared" si="15"/>
        <v>1</v>
      </c>
    </row>
    <row r="40" spans="1:82" ht="20.399999999999999" hidden="1" customHeight="1" x14ac:dyDescent="0.3">
      <c r="A40" s="37" t="s">
        <v>346</v>
      </c>
      <c r="B40" s="37" t="s">
        <v>41</v>
      </c>
      <c r="C40" s="88">
        <v>686</v>
      </c>
      <c r="D40" s="88">
        <v>68070553</v>
      </c>
      <c r="E40" s="88">
        <v>0</v>
      </c>
      <c r="F40" s="88">
        <v>436</v>
      </c>
      <c r="G40" s="88">
        <v>246730203</v>
      </c>
      <c r="H40" s="88">
        <v>0</v>
      </c>
      <c r="I40" s="88">
        <f t="shared" si="12"/>
        <v>314800756</v>
      </c>
      <c r="J40" s="88">
        <f t="shared" si="13"/>
        <v>189142936</v>
      </c>
      <c r="K40" s="88">
        <f t="shared" si="14"/>
        <v>125657820</v>
      </c>
      <c r="L40" s="88">
        <f t="shared" si="20"/>
        <v>111995791</v>
      </c>
      <c r="M40" s="89">
        <v>111995791</v>
      </c>
      <c r="N40" s="88">
        <v>75927821</v>
      </c>
      <c r="O40" s="88">
        <f t="shared" si="26"/>
        <v>21695643</v>
      </c>
      <c r="P40" s="88">
        <v>21695643</v>
      </c>
      <c r="Q40" s="88">
        <v>0</v>
      </c>
      <c r="R40" s="88">
        <v>0</v>
      </c>
      <c r="S40" s="88">
        <v>0</v>
      </c>
      <c r="T40" s="88">
        <v>10141806</v>
      </c>
      <c r="U40" s="88">
        <v>629343</v>
      </c>
      <c r="V40" s="88">
        <v>0</v>
      </c>
      <c r="W40" s="88">
        <v>10924494</v>
      </c>
      <c r="X40" s="88">
        <v>0</v>
      </c>
      <c r="Y40" s="88">
        <v>0</v>
      </c>
      <c r="Z40" s="88">
        <v>426091</v>
      </c>
      <c r="AA40" s="88">
        <v>2020246</v>
      </c>
      <c r="AB40" s="88">
        <v>5803</v>
      </c>
      <c r="AC40" s="88">
        <v>132482</v>
      </c>
      <c r="AD40" s="88">
        <v>31659</v>
      </c>
      <c r="AE40" s="88">
        <v>11247435</v>
      </c>
      <c r="AF40" s="88">
        <v>0</v>
      </c>
      <c r="AG40" s="88">
        <v>508611</v>
      </c>
      <c r="AH40" s="88">
        <f>+AJ40+AK40</f>
        <v>26221136</v>
      </c>
      <c r="AI40" s="88">
        <f>AJ40+AK40</f>
        <v>26221136</v>
      </c>
      <c r="AJ40" s="88">
        <v>25044982</v>
      </c>
      <c r="AK40" s="88">
        <v>1176154</v>
      </c>
      <c r="AL40" s="88">
        <f t="shared" si="25"/>
        <v>36662899</v>
      </c>
      <c r="AM40" s="88">
        <f>AN40+AO40+AP40+AQ40+AR40+AS40+AT40+AU40+AV40+AW40+AX40+AZ40+BA40+BB40+AY40</f>
        <v>36662899</v>
      </c>
      <c r="AN40" s="88">
        <v>0</v>
      </c>
      <c r="AO40" s="88">
        <v>5529363</v>
      </c>
      <c r="AP40" s="88">
        <v>0</v>
      </c>
      <c r="AQ40" s="88">
        <v>14163206</v>
      </c>
      <c r="AR40" s="88">
        <v>3720025</v>
      </c>
      <c r="AS40" s="88">
        <v>57</v>
      </c>
      <c r="AT40" s="88">
        <v>44392</v>
      </c>
      <c r="AU40" s="88">
        <v>365804</v>
      </c>
      <c r="AV40" s="88">
        <v>162831</v>
      </c>
      <c r="AW40" s="88">
        <v>8272389</v>
      </c>
      <c r="AX40" s="88">
        <v>11230</v>
      </c>
      <c r="AY40" s="88">
        <v>436312</v>
      </c>
      <c r="AZ40" s="88">
        <v>0</v>
      </c>
      <c r="BA40" s="88">
        <v>3453571</v>
      </c>
      <c r="BB40" s="88">
        <v>503719</v>
      </c>
      <c r="BC40" s="88">
        <f t="shared" si="21"/>
        <v>2</v>
      </c>
      <c r="BD40" s="88">
        <f t="shared" si="27"/>
        <v>2</v>
      </c>
      <c r="BE40" s="88">
        <v>0</v>
      </c>
      <c r="BF40" s="88">
        <v>0</v>
      </c>
      <c r="BG40" s="88">
        <v>0</v>
      </c>
      <c r="BH40" s="88">
        <v>0</v>
      </c>
      <c r="BI40" s="88">
        <v>0</v>
      </c>
      <c r="BJ40" s="88">
        <v>2</v>
      </c>
      <c r="BK40" s="88">
        <v>0</v>
      </c>
      <c r="BL40" s="88">
        <v>0</v>
      </c>
      <c r="BM40" s="88">
        <f t="shared" si="6"/>
        <v>20022385</v>
      </c>
      <c r="BN40" s="88">
        <f t="shared" si="28"/>
        <v>20022385</v>
      </c>
      <c r="BO40" s="88">
        <v>13722568</v>
      </c>
      <c r="BP40" s="88">
        <v>2643993</v>
      </c>
      <c r="BQ40" s="88">
        <v>2687321</v>
      </c>
      <c r="BR40" s="88"/>
      <c r="BS40" s="88">
        <v>968503</v>
      </c>
      <c r="BT40" s="88">
        <v>0</v>
      </c>
      <c r="BU40" s="88">
        <v>5139291</v>
      </c>
      <c r="BV40" s="88">
        <v>9123819</v>
      </c>
      <c r="BW40" s="88">
        <v>0</v>
      </c>
      <c r="BX40" s="88">
        <f t="shared" si="7"/>
        <v>314800756</v>
      </c>
      <c r="BY40" s="88">
        <f t="shared" si="8"/>
        <v>189142936</v>
      </c>
      <c r="BZ40" s="90">
        <f t="shared" si="9"/>
        <v>125657820</v>
      </c>
      <c r="CA40" s="88"/>
      <c r="CB40" s="88">
        <f t="shared" si="10"/>
        <v>209165323</v>
      </c>
      <c r="CC40" s="91">
        <f t="shared" si="11"/>
        <v>209165323</v>
      </c>
      <c r="CD40" s="87" t="b">
        <f t="shared" si="15"/>
        <v>1</v>
      </c>
    </row>
    <row r="41" spans="1:82" ht="20.399999999999999" hidden="1" customHeight="1" x14ac:dyDescent="0.3">
      <c r="A41" s="37" t="s">
        <v>348</v>
      </c>
      <c r="B41" s="37" t="s">
        <v>255</v>
      </c>
      <c r="C41" s="88">
        <v>0</v>
      </c>
      <c r="D41" s="88">
        <v>0</v>
      </c>
      <c r="E41" s="88">
        <v>0</v>
      </c>
      <c r="F41" s="88">
        <v>0</v>
      </c>
      <c r="G41" s="88">
        <v>0</v>
      </c>
      <c r="H41" s="88">
        <v>0</v>
      </c>
      <c r="I41" s="88">
        <f t="shared" si="12"/>
        <v>0</v>
      </c>
      <c r="J41" s="88">
        <f t="shared" si="13"/>
        <v>85486.2</v>
      </c>
      <c r="K41" s="88">
        <f t="shared" si="14"/>
        <v>-85486.2</v>
      </c>
      <c r="L41" s="88">
        <f t="shared" si="20"/>
        <v>32559.200000000001</v>
      </c>
      <c r="M41" s="89">
        <f>N41+P41+Y41+Z41+AA41+AB41+AC41+AD41+AE41+AF41+AG41</f>
        <v>32559.200000000001</v>
      </c>
      <c r="N41" s="88">
        <v>0</v>
      </c>
      <c r="O41" s="88">
        <f t="shared" si="26"/>
        <v>29559.200000000001</v>
      </c>
      <c r="P41" s="88">
        <f>Q41+R41+S41+T41+U41+V41+W41+X41</f>
        <v>29559.200000000001</v>
      </c>
      <c r="Q41" s="88">
        <v>0</v>
      </c>
      <c r="R41" s="88">
        <v>0</v>
      </c>
      <c r="S41" s="88">
        <v>0</v>
      </c>
      <c r="T41" s="88">
        <v>29559.200000000001</v>
      </c>
      <c r="U41" s="88">
        <v>0</v>
      </c>
      <c r="V41" s="88">
        <v>0</v>
      </c>
      <c r="W41" s="88">
        <v>0</v>
      </c>
      <c r="X41" s="88">
        <v>0</v>
      </c>
      <c r="Y41" s="88">
        <v>3000</v>
      </c>
      <c r="Z41" s="88">
        <v>0</v>
      </c>
      <c r="AA41" s="88">
        <v>0</v>
      </c>
      <c r="AB41" s="88">
        <v>0</v>
      </c>
      <c r="AC41" s="88">
        <v>0</v>
      </c>
      <c r="AD41" s="88">
        <v>0</v>
      </c>
      <c r="AE41" s="88">
        <v>0</v>
      </c>
      <c r="AF41" s="88">
        <v>0</v>
      </c>
      <c r="AG41" s="88">
        <v>0</v>
      </c>
      <c r="AH41" s="88">
        <f>+AJ41+AK41</f>
        <v>0</v>
      </c>
      <c r="AI41" s="88">
        <f>AJ41+AK41</f>
        <v>0</v>
      </c>
      <c r="AJ41" s="88">
        <v>0</v>
      </c>
      <c r="AK41" s="88">
        <v>0</v>
      </c>
      <c r="AL41" s="88">
        <f t="shared" si="25"/>
        <v>52927</v>
      </c>
      <c r="AM41" s="88">
        <f>AN41+AO41+AP41+AQ41+AR41+AS41+AT41+AU41+AV41+AW41+AX41+AZ41+BA41+BB41+AY41</f>
        <v>52927</v>
      </c>
      <c r="AN41" s="88">
        <v>52927</v>
      </c>
      <c r="AO41" s="88">
        <v>0</v>
      </c>
      <c r="AP41" s="88">
        <v>0</v>
      </c>
      <c r="AQ41" s="88">
        <v>0</v>
      </c>
      <c r="AR41" s="88">
        <v>0</v>
      </c>
      <c r="AS41" s="88">
        <v>0</v>
      </c>
      <c r="AT41" s="88">
        <v>0</v>
      </c>
      <c r="AU41" s="88">
        <v>0</v>
      </c>
      <c r="AV41" s="88">
        <v>0</v>
      </c>
      <c r="AW41" s="88">
        <v>0</v>
      </c>
      <c r="AX41" s="88">
        <v>0</v>
      </c>
      <c r="AY41" s="88"/>
      <c r="AZ41" s="88">
        <v>0</v>
      </c>
      <c r="BA41" s="88">
        <v>0</v>
      </c>
      <c r="BB41" s="88">
        <v>0</v>
      </c>
      <c r="BC41" s="88">
        <f t="shared" si="21"/>
        <v>2964</v>
      </c>
      <c r="BD41" s="88">
        <v>2964</v>
      </c>
      <c r="BE41" s="88">
        <v>0</v>
      </c>
      <c r="BF41" s="88">
        <v>0</v>
      </c>
      <c r="BG41" s="88">
        <v>2500</v>
      </c>
      <c r="BH41" s="88">
        <v>464</v>
      </c>
      <c r="BI41" s="88">
        <v>0</v>
      </c>
      <c r="BJ41" s="88">
        <v>0</v>
      </c>
      <c r="BK41" s="88">
        <v>0</v>
      </c>
      <c r="BL41" s="88">
        <v>0</v>
      </c>
      <c r="BM41" s="88">
        <f t="shared" si="6"/>
        <v>195270</v>
      </c>
      <c r="BN41" s="88">
        <f t="shared" si="28"/>
        <v>195270</v>
      </c>
      <c r="BO41" s="88">
        <v>182037</v>
      </c>
      <c r="BP41" s="88">
        <v>0</v>
      </c>
      <c r="BQ41" s="88">
        <v>0</v>
      </c>
      <c r="BR41" s="88">
        <v>0</v>
      </c>
      <c r="BS41" s="88">
        <v>11086</v>
      </c>
      <c r="BT41" s="88">
        <v>2147</v>
      </c>
      <c r="BU41" s="88">
        <v>0</v>
      </c>
      <c r="BV41" s="88">
        <v>0</v>
      </c>
      <c r="BW41" s="88">
        <v>0</v>
      </c>
      <c r="BX41" s="88">
        <f t="shared" si="7"/>
        <v>0</v>
      </c>
      <c r="BY41" s="88">
        <f t="shared" si="8"/>
        <v>85486.2</v>
      </c>
      <c r="BZ41" s="90">
        <f t="shared" si="9"/>
        <v>-85486.2</v>
      </c>
      <c r="CA41" s="88"/>
      <c r="CB41" s="88">
        <f t="shared" si="10"/>
        <v>283720.2</v>
      </c>
      <c r="CC41" s="91">
        <f t="shared" si="11"/>
        <v>283720.2</v>
      </c>
      <c r="CD41" s="87" t="b">
        <f t="shared" si="15"/>
        <v>1</v>
      </c>
    </row>
    <row r="42" spans="1:82" ht="20.399999999999999" hidden="1" customHeight="1" x14ac:dyDescent="0.3">
      <c r="A42" s="37" t="s">
        <v>537</v>
      </c>
      <c r="B42" s="37" t="s">
        <v>255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f t="shared" si="12"/>
        <v>0</v>
      </c>
      <c r="J42" s="88">
        <f t="shared" si="13"/>
        <v>73798</v>
      </c>
      <c r="K42" s="88">
        <f t="shared" si="14"/>
        <v>-73798</v>
      </c>
      <c r="L42" s="88">
        <f t="shared" si="20"/>
        <v>10242</v>
      </c>
      <c r="M42" s="89">
        <f>N42+P42+Y42+Z42+AA42+AB42+AC42+AD42+AE42+AF42+AG42</f>
        <v>10242</v>
      </c>
      <c r="N42" s="88">
        <v>0</v>
      </c>
      <c r="O42" s="88">
        <f t="shared" si="26"/>
        <v>0</v>
      </c>
      <c r="P42" s="88">
        <f>Q42+R42+S42+T42+U42+V42+W42+X42</f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  <c r="X42" s="88">
        <v>0</v>
      </c>
      <c r="Y42" s="88">
        <v>1189</v>
      </c>
      <c r="Z42" s="88">
        <v>0</v>
      </c>
      <c r="AA42" s="88">
        <v>0</v>
      </c>
      <c r="AB42" s="88">
        <v>0</v>
      </c>
      <c r="AC42" s="88">
        <v>0</v>
      </c>
      <c r="AD42" s="88">
        <v>0</v>
      </c>
      <c r="AE42" s="88">
        <v>9053</v>
      </c>
      <c r="AF42" s="88">
        <v>0</v>
      </c>
      <c r="AG42" s="88">
        <v>0</v>
      </c>
      <c r="AH42" s="88">
        <f>+AJ42+AK42</f>
        <v>171</v>
      </c>
      <c r="AI42" s="88">
        <f>AJ42+AK42</f>
        <v>171</v>
      </c>
      <c r="AJ42" s="88">
        <v>0</v>
      </c>
      <c r="AK42" s="88">
        <v>171</v>
      </c>
      <c r="AL42" s="88">
        <f t="shared" si="25"/>
        <v>63385</v>
      </c>
      <c r="AM42" s="88">
        <f>AN42+AO42+AP42+AQ42+AR42+AS42+AT42+AU42+AV42+AW42+AX42+AZ42+BA42+BB42+AY42</f>
        <v>63385</v>
      </c>
      <c r="AN42" s="88">
        <v>0</v>
      </c>
      <c r="AO42" s="88">
        <v>0</v>
      </c>
      <c r="AP42" s="88">
        <v>0</v>
      </c>
      <c r="AQ42" s="88">
        <v>0</v>
      </c>
      <c r="AR42" s="88">
        <v>0</v>
      </c>
      <c r="AS42" s="88">
        <v>0</v>
      </c>
      <c r="AT42" s="88">
        <v>18998</v>
      </c>
      <c r="AU42" s="88">
        <v>120</v>
      </c>
      <c r="AV42" s="88">
        <v>0</v>
      </c>
      <c r="AW42" s="88">
        <v>43893</v>
      </c>
      <c r="AX42" s="88">
        <v>0</v>
      </c>
      <c r="AY42" s="88">
        <v>374</v>
      </c>
      <c r="AZ42" s="88">
        <v>0</v>
      </c>
      <c r="BA42" s="88">
        <v>0</v>
      </c>
      <c r="BB42" s="88">
        <v>0</v>
      </c>
      <c r="BC42" s="88">
        <f t="shared" si="21"/>
        <v>16134</v>
      </c>
      <c r="BD42" s="88">
        <f>BE42+BF42+BG42+BH42+BI42+BJ42+BK42+BL42</f>
        <v>16134</v>
      </c>
      <c r="BE42" s="88">
        <v>0</v>
      </c>
      <c r="BF42" s="88">
        <v>0</v>
      </c>
      <c r="BG42" s="88">
        <v>2500</v>
      </c>
      <c r="BH42" s="88">
        <v>13632</v>
      </c>
      <c r="BI42" s="31"/>
      <c r="BJ42" s="88">
        <v>2</v>
      </c>
      <c r="BK42" s="88">
        <v>0</v>
      </c>
      <c r="BL42" s="88">
        <v>0</v>
      </c>
      <c r="BM42" s="88">
        <f t="shared" si="6"/>
        <v>6897</v>
      </c>
      <c r="BN42" s="88">
        <f t="shared" si="28"/>
        <v>6897</v>
      </c>
      <c r="BO42" s="88">
        <v>6486</v>
      </c>
      <c r="BP42" s="88">
        <v>0</v>
      </c>
      <c r="BQ42" s="88">
        <v>0</v>
      </c>
      <c r="BR42" s="88">
        <v>250</v>
      </c>
      <c r="BS42" s="88">
        <v>0</v>
      </c>
      <c r="BT42" s="88">
        <v>161</v>
      </c>
      <c r="BU42" s="88">
        <v>0</v>
      </c>
      <c r="BV42" s="88">
        <v>0</v>
      </c>
      <c r="BW42" s="88">
        <v>0</v>
      </c>
      <c r="BX42" s="88">
        <f t="shared" si="7"/>
        <v>0</v>
      </c>
      <c r="BY42" s="88">
        <f t="shared" si="8"/>
        <v>73798</v>
      </c>
      <c r="BZ42" s="90">
        <f t="shared" si="9"/>
        <v>-73798</v>
      </c>
      <c r="CA42" s="88"/>
      <c r="CB42" s="88">
        <f t="shared" si="10"/>
        <v>96829</v>
      </c>
      <c r="CC42" s="91">
        <f t="shared" si="11"/>
        <v>96829</v>
      </c>
      <c r="CD42" s="87" t="b">
        <f t="shared" si="15"/>
        <v>1</v>
      </c>
    </row>
    <row r="43" spans="1:82" ht="20.399999999999999" hidden="1" customHeight="1" x14ac:dyDescent="0.3">
      <c r="A43" s="37" t="s">
        <v>354</v>
      </c>
      <c r="B43" s="37" t="s">
        <v>46</v>
      </c>
      <c r="C43" s="88">
        <v>525</v>
      </c>
      <c r="D43" s="88">
        <v>1229873.8870000001</v>
      </c>
      <c r="E43" s="88">
        <v>0</v>
      </c>
      <c r="F43" s="88">
        <v>0</v>
      </c>
      <c r="G43" s="88">
        <v>0</v>
      </c>
      <c r="H43" s="88">
        <v>0</v>
      </c>
      <c r="I43" s="88">
        <f t="shared" si="12"/>
        <v>1229873.8870000001</v>
      </c>
      <c r="J43" s="88">
        <f t="shared" si="13"/>
        <v>842698.94900000002</v>
      </c>
      <c r="K43" s="88">
        <f t="shared" si="14"/>
        <v>387174.93800000008</v>
      </c>
      <c r="L43" s="88">
        <v>684237.27300000004</v>
      </c>
      <c r="M43" s="89">
        <v>684237.27300000004</v>
      </c>
      <c r="N43" s="89">
        <v>684237.27300000004</v>
      </c>
      <c r="O43" s="88">
        <f t="shared" si="26"/>
        <v>0</v>
      </c>
      <c r="P43" s="88">
        <f>Q43+R43+S43+T43+U43+V43+W43+X43</f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0</v>
      </c>
      <c r="AF43" s="88">
        <v>0</v>
      </c>
      <c r="AG43" s="88">
        <v>0</v>
      </c>
      <c r="AH43" s="88">
        <v>125150.20600000001</v>
      </c>
      <c r="AI43" s="88">
        <v>125150.20600000001</v>
      </c>
      <c r="AJ43" s="88">
        <v>0</v>
      </c>
      <c r="AK43" s="88">
        <v>0</v>
      </c>
      <c r="AL43" s="88">
        <v>31254.862000000001</v>
      </c>
      <c r="AM43" s="88">
        <v>31254.862000000001</v>
      </c>
      <c r="AN43" s="88">
        <v>0</v>
      </c>
      <c r="AO43" s="88">
        <v>0</v>
      </c>
      <c r="AP43" s="88">
        <v>0</v>
      </c>
      <c r="AQ43" s="88">
        <v>0</v>
      </c>
      <c r="AR43" s="88">
        <v>0</v>
      </c>
      <c r="AS43" s="88">
        <v>0</v>
      </c>
      <c r="AT43" s="88">
        <v>0</v>
      </c>
      <c r="AU43" s="88">
        <v>0</v>
      </c>
      <c r="AV43" s="88">
        <v>0</v>
      </c>
      <c r="AW43" s="88">
        <v>0</v>
      </c>
      <c r="AX43" s="88">
        <v>0</v>
      </c>
      <c r="AY43" s="88"/>
      <c r="AZ43" s="88">
        <v>0</v>
      </c>
      <c r="BA43" s="88">
        <v>0</v>
      </c>
      <c r="BB43" s="88">
        <v>0</v>
      </c>
      <c r="BC43" s="88">
        <v>195524.24400000001</v>
      </c>
      <c r="BD43" s="88">
        <v>195524.24400000001</v>
      </c>
      <c r="BE43" s="88">
        <v>0</v>
      </c>
      <c r="BF43" s="88">
        <v>0</v>
      </c>
      <c r="BG43" s="88">
        <v>0</v>
      </c>
      <c r="BH43" s="88">
        <v>0</v>
      </c>
      <c r="BI43" s="88">
        <v>0</v>
      </c>
      <c r="BJ43" s="88">
        <v>0</v>
      </c>
      <c r="BK43" s="88">
        <v>0</v>
      </c>
      <c r="BL43" s="88">
        <v>0</v>
      </c>
      <c r="BM43" s="88">
        <v>191756.644</v>
      </c>
      <c r="BN43" s="88">
        <v>191756.644</v>
      </c>
      <c r="BO43" s="88">
        <v>0</v>
      </c>
      <c r="BP43" s="88">
        <v>0</v>
      </c>
      <c r="BQ43" s="88">
        <v>0</v>
      </c>
      <c r="BR43" s="88">
        <v>0</v>
      </c>
      <c r="BS43" s="88">
        <v>0</v>
      </c>
      <c r="BT43" s="88">
        <v>0</v>
      </c>
      <c r="BU43" s="88">
        <v>549.30799999999999</v>
      </c>
      <c r="BV43" s="88">
        <v>1507.3</v>
      </c>
      <c r="BW43" s="88">
        <v>0</v>
      </c>
      <c r="BX43" s="88">
        <f t="shared" si="7"/>
        <v>1229873.8870000001</v>
      </c>
      <c r="BY43" s="88">
        <f t="shared" si="8"/>
        <v>842698.94900000002</v>
      </c>
      <c r="BZ43" s="90">
        <f t="shared" si="9"/>
        <v>387174.93800000008</v>
      </c>
      <c r="CA43" s="88"/>
      <c r="CB43" s="88">
        <f t="shared" si="10"/>
        <v>1229979.8370000001</v>
      </c>
      <c r="CC43" s="91">
        <f t="shared" si="11"/>
        <v>1229979.8370000001</v>
      </c>
      <c r="CD43" s="87" t="b">
        <f t="shared" si="15"/>
        <v>1</v>
      </c>
    </row>
    <row r="44" spans="1:82" ht="20.399999999999999" hidden="1" customHeight="1" x14ac:dyDescent="0.3">
      <c r="A44" s="37" t="s">
        <v>540</v>
      </c>
      <c r="B44" s="37" t="s">
        <v>46</v>
      </c>
      <c r="C44" s="88">
        <v>0</v>
      </c>
      <c r="D44" s="88">
        <v>0</v>
      </c>
      <c r="E44" s="88">
        <v>0</v>
      </c>
      <c r="F44" s="88">
        <v>0</v>
      </c>
      <c r="G44" s="88">
        <v>0</v>
      </c>
      <c r="H44" s="88">
        <v>0</v>
      </c>
      <c r="I44" s="88">
        <f t="shared" si="12"/>
        <v>0</v>
      </c>
      <c r="J44" s="88">
        <f t="shared" si="13"/>
        <v>47080</v>
      </c>
      <c r="K44" s="88">
        <f t="shared" si="14"/>
        <v>-47080</v>
      </c>
      <c r="L44" s="88">
        <f>N44+O44+SUM(Y44:AG44)</f>
        <v>0</v>
      </c>
      <c r="M44" s="89">
        <f>N44+P44+Y44+Z44+AA44+AB44+AC44+AD44+AE44+AF44+AG44</f>
        <v>0</v>
      </c>
      <c r="N44" s="88">
        <v>0</v>
      </c>
      <c r="O44" s="88">
        <f t="shared" si="26"/>
        <v>0</v>
      </c>
      <c r="P44" s="88">
        <f>Q44+R44+S44+T44+U44+V44+W44+X44</f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0</v>
      </c>
      <c r="Y44" s="88">
        <v>0</v>
      </c>
      <c r="Z44" s="88">
        <v>0</v>
      </c>
      <c r="AA44" s="88">
        <v>0</v>
      </c>
      <c r="AB44" s="88">
        <v>0</v>
      </c>
      <c r="AC44" s="88">
        <v>0</v>
      </c>
      <c r="AD44" s="88">
        <v>0</v>
      </c>
      <c r="AE44" s="88">
        <v>0</v>
      </c>
      <c r="AF44" s="88">
        <v>0</v>
      </c>
      <c r="AG44" s="88">
        <v>0</v>
      </c>
      <c r="AH44" s="88">
        <f>+AJ44+AK44</f>
        <v>13680</v>
      </c>
      <c r="AI44" s="88">
        <f>AJ44+AK44</f>
        <v>13680</v>
      </c>
      <c r="AJ44" s="88">
        <v>13680</v>
      </c>
      <c r="AK44" s="31"/>
      <c r="AL44" s="88">
        <f>+SUM(AN44:BB44)</f>
        <v>33400</v>
      </c>
      <c r="AM44" s="88">
        <f>AN44+AO44+AP44+AQ44+AR44+AS44+AT44+AU44+AV44+AW44+AX44+AZ44+BA44+BB44+AY44</f>
        <v>33400</v>
      </c>
      <c r="AN44" s="88">
        <v>0</v>
      </c>
      <c r="AO44" s="88">
        <v>32400</v>
      </c>
      <c r="AP44" s="88">
        <v>0</v>
      </c>
      <c r="AQ44" s="88">
        <v>0</v>
      </c>
      <c r="AR44" s="88">
        <v>0</v>
      </c>
      <c r="AS44" s="88">
        <v>1000</v>
      </c>
      <c r="AT44" s="88">
        <v>0</v>
      </c>
      <c r="AU44" s="88">
        <v>0</v>
      </c>
      <c r="AV44" s="88">
        <v>0</v>
      </c>
      <c r="AW44" s="88">
        <v>0</v>
      </c>
      <c r="AX44" s="88">
        <v>0</v>
      </c>
      <c r="AY44" s="88"/>
      <c r="AZ44" s="88">
        <v>0</v>
      </c>
      <c r="BA44" s="88">
        <v>0</v>
      </c>
      <c r="BB44" s="88">
        <v>0</v>
      </c>
      <c r="BC44" s="88">
        <f>SUM(BE44:BL44)</f>
        <v>8700</v>
      </c>
      <c r="BD44" s="88">
        <f>BE44+BF44+BG44+BH44+BI44+BJ44+BK44+BL44</f>
        <v>8700</v>
      </c>
      <c r="BE44" s="88">
        <v>0</v>
      </c>
      <c r="BF44" s="88">
        <v>0</v>
      </c>
      <c r="BG44" s="88">
        <v>0</v>
      </c>
      <c r="BH44" s="88">
        <v>8700</v>
      </c>
      <c r="BI44" s="88">
        <v>0</v>
      </c>
      <c r="BJ44" s="88">
        <v>0</v>
      </c>
      <c r="BK44" s="88">
        <v>0</v>
      </c>
      <c r="BL44" s="88">
        <v>0</v>
      </c>
      <c r="BM44" s="88">
        <f>SUM(BO44:BT44)</f>
        <v>36000</v>
      </c>
      <c r="BN44" s="88">
        <f>BO44+BP44+BQ44+BR44+BS44+BT44</f>
        <v>36000</v>
      </c>
      <c r="BO44" s="88">
        <v>36000</v>
      </c>
      <c r="BP44" s="88">
        <v>0</v>
      </c>
      <c r="BQ44" s="88">
        <v>0</v>
      </c>
      <c r="BR44" s="88">
        <v>0</v>
      </c>
      <c r="BS44" s="88">
        <v>0</v>
      </c>
      <c r="BT44" s="88">
        <v>0</v>
      </c>
      <c r="BU44" s="88">
        <v>0</v>
      </c>
      <c r="BV44" s="88">
        <v>0</v>
      </c>
      <c r="BW44" s="88">
        <v>0</v>
      </c>
      <c r="BX44" s="88">
        <f t="shared" si="7"/>
        <v>0</v>
      </c>
      <c r="BY44" s="88">
        <f t="shared" si="8"/>
        <v>47080</v>
      </c>
      <c r="BZ44" s="90">
        <f t="shared" si="9"/>
        <v>-47080</v>
      </c>
      <c r="CA44" s="88"/>
      <c r="CB44" s="88">
        <f t="shared" si="10"/>
        <v>91780</v>
      </c>
      <c r="CC44" s="91">
        <f t="shared" si="11"/>
        <v>91780</v>
      </c>
      <c r="CD44" s="87" t="b">
        <f t="shared" si="15"/>
        <v>1</v>
      </c>
    </row>
    <row r="45" spans="1:82" ht="20.399999999999999" hidden="1" customHeight="1" x14ac:dyDescent="0.3">
      <c r="A45" s="37" t="s">
        <v>360</v>
      </c>
      <c r="B45" s="37" t="s">
        <v>87</v>
      </c>
      <c r="C45" s="88">
        <v>278</v>
      </c>
      <c r="D45" s="88">
        <v>53414</v>
      </c>
      <c r="E45" s="88">
        <v>0</v>
      </c>
      <c r="F45" s="88">
        <v>33</v>
      </c>
      <c r="G45" s="88">
        <v>277164</v>
      </c>
      <c r="H45" s="88">
        <v>0</v>
      </c>
      <c r="I45" s="88">
        <f t="shared" si="12"/>
        <v>330578</v>
      </c>
      <c r="J45" s="88">
        <f t="shared" si="13"/>
        <v>224648</v>
      </c>
      <c r="K45" s="88">
        <f t="shared" si="14"/>
        <v>105930</v>
      </c>
      <c r="L45" s="88">
        <f>N45+O45+SUM(Y45:AG45)</f>
        <v>52697</v>
      </c>
      <c r="M45" s="89">
        <v>52697</v>
      </c>
      <c r="N45" s="88">
        <v>0</v>
      </c>
      <c r="O45" s="88">
        <v>19580</v>
      </c>
      <c r="P45" s="88">
        <v>19580</v>
      </c>
      <c r="Q45" s="88">
        <v>19580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4141</v>
      </c>
      <c r="Z45" s="88">
        <v>489</v>
      </c>
      <c r="AA45" s="88">
        <v>2608</v>
      </c>
      <c r="AB45" s="88">
        <v>0</v>
      </c>
      <c r="AC45" s="88">
        <v>0</v>
      </c>
      <c r="AD45" s="88">
        <v>8683</v>
      </c>
      <c r="AE45" s="88">
        <v>0</v>
      </c>
      <c r="AF45" s="88">
        <v>0</v>
      </c>
      <c r="AG45" s="88">
        <v>17196</v>
      </c>
      <c r="AH45" s="88">
        <f>+AJ45+AK45</f>
        <v>6088</v>
      </c>
      <c r="AI45" s="88">
        <v>6088</v>
      </c>
      <c r="AJ45" s="88">
        <v>6088</v>
      </c>
      <c r="AK45" s="88">
        <v>0</v>
      </c>
      <c r="AL45" s="88">
        <f>+SUM(AN45:BB45)</f>
        <v>165863</v>
      </c>
      <c r="AM45" s="88">
        <v>165863</v>
      </c>
      <c r="AN45" s="88">
        <v>0</v>
      </c>
      <c r="AO45" s="88">
        <v>0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</v>
      </c>
      <c r="AV45" s="88">
        <v>0</v>
      </c>
      <c r="AW45" s="88">
        <v>0</v>
      </c>
      <c r="AX45" s="88">
        <v>0</v>
      </c>
      <c r="AY45" s="88">
        <v>165863</v>
      </c>
      <c r="AZ45" s="88">
        <v>0</v>
      </c>
      <c r="BA45" s="88">
        <v>0</v>
      </c>
      <c r="BB45" s="88">
        <v>0</v>
      </c>
      <c r="BC45" s="88">
        <f>SUM(BE45:BL45)</f>
        <v>94115</v>
      </c>
      <c r="BD45" s="88">
        <v>94115</v>
      </c>
      <c r="BE45" s="88">
        <v>94115</v>
      </c>
      <c r="BF45" s="31"/>
      <c r="BG45" s="88">
        <v>0</v>
      </c>
      <c r="BH45" s="88">
        <v>0</v>
      </c>
      <c r="BI45" s="88">
        <v>0</v>
      </c>
      <c r="BJ45" s="88">
        <v>0</v>
      </c>
      <c r="BK45" s="88">
        <v>0</v>
      </c>
      <c r="BL45" s="88">
        <v>0</v>
      </c>
      <c r="BM45" s="88">
        <f>SUM(BO45:BT45)</f>
        <v>1264695</v>
      </c>
      <c r="BN45" s="88">
        <v>1264695</v>
      </c>
      <c r="BO45" s="88">
        <v>800416</v>
      </c>
      <c r="BP45" s="88">
        <v>278908</v>
      </c>
      <c r="BQ45" s="88">
        <v>0</v>
      </c>
      <c r="BR45" s="88">
        <v>0</v>
      </c>
      <c r="BS45" s="88">
        <v>64153</v>
      </c>
      <c r="BT45" s="88">
        <v>121218</v>
      </c>
      <c r="BU45" s="88">
        <v>0</v>
      </c>
      <c r="BV45" s="88">
        <v>0</v>
      </c>
      <c r="BW45" s="88">
        <v>0</v>
      </c>
      <c r="BX45" s="88">
        <f t="shared" si="7"/>
        <v>330578</v>
      </c>
      <c r="BY45" s="88">
        <f t="shared" si="8"/>
        <v>224648</v>
      </c>
      <c r="BZ45" s="90">
        <f t="shared" si="9"/>
        <v>105930</v>
      </c>
      <c r="CA45" s="88"/>
      <c r="CB45" s="88">
        <f t="shared" si="10"/>
        <v>1583458</v>
      </c>
      <c r="CC45" s="91">
        <f t="shared" si="11"/>
        <v>1583458</v>
      </c>
      <c r="CD45" s="87" t="b">
        <f t="shared" si="15"/>
        <v>1</v>
      </c>
    </row>
    <row r="46" spans="1:82" ht="20.399999999999999" hidden="1" customHeight="1" x14ac:dyDescent="0.3">
      <c r="A46" s="37" t="s">
        <v>547</v>
      </c>
      <c r="B46" s="37" t="s">
        <v>255</v>
      </c>
      <c r="C46" s="88">
        <v>15</v>
      </c>
      <c r="D46" s="88">
        <v>0</v>
      </c>
      <c r="E46" s="88">
        <v>0</v>
      </c>
      <c r="F46" s="88">
        <v>0</v>
      </c>
      <c r="G46" s="88">
        <v>0</v>
      </c>
      <c r="H46" s="88">
        <v>0</v>
      </c>
      <c r="I46" s="88">
        <f t="shared" si="12"/>
        <v>0</v>
      </c>
      <c r="J46" s="88">
        <f t="shared" si="13"/>
        <v>215644</v>
      </c>
      <c r="K46" s="88">
        <f t="shared" si="14"/>
        <v>-215644</v>
      </c>
      <c r="L46" s="88">
        <f>N46+O46+SUM(Y46:AG46)</f>
        <v>93944</v>
      </c>
      <c r="M46" s="89">
        <f>N46+P46+Y46+Z46+AA46+AB46+AC46+AD46+AE46+AF46+AG46</f>
        <v>93944</v>
      </c>
      <c r="N46" s="88">
        <v>7000</v>
      </c>
      <c r="O46" s="88">
        <f>SUM(Q46:X46)</f>
        <v>45144</v>
      </c>
      <c r="P46" s="88">
        <f>Q46+R46+S46+T46+U46+V46+W46+X46</f>
        <v>45144</v>
      </c>
      <c r="Q46" s="88">
        <v>0</v>
      </c>
      <c r="R46" s="88">
        <v>1144</v>
      </c>
      <c r="S46" s="88">
        <v>2000</v>
      </c>
      <c r="T46" s="88">
        <v>36000</v>
      </c>
      <c r="U46" s="88">
        <v>0</v>
      </c>
      <c r="V46" s="88">
        <v>6000</v>
      </c>
      <c r="W46" s="88">
        <v>0</v>
      </c>
      <c r="X46" s="88">
        <v>0</v>
      </c>
      <c r="Y46" s="88">
        <v>6000</v>
      </c>
      <c r="Z46" s="88">
        <v>660</v>
      </c>
      <c r="AA46" s="88">
        <v>11000</v>
      </c>
      <c r="AB46" s="88">
        <v>0</v>
      </c>
      <c r="AC46" s="88">
        <v>4000</v>
      </c>
      <c r="AD46" s="88">
        <v>2000</v>
      </c>
      <c r="AE46" s="88">
        <v>11140</v>
      </c>
      <c r="AF46" s="88">
        <v>7000</v>
      </c>
      <c r="AG46" s="88">
        <v>0</v>
      </c>
      <c r="AH46" s="88">
        <f>+AJ46+AK46</f>
        <v>66000</v>
      </c>
      <c r="AI46" s="88">
        <f>AJ46+AK46</f>
        <v>66000</v>
      </c>
      <c r="AJ46" s="88">
        <v>16000</v>
      </c>
      <c r="AK46" s="88">
        <v>50000</v>
      </c>
      <c r="AL46" s="88">
        <f>+SUM(AN46:BB46)</f>
        <v>55700</v>
      </c>
      <c r="AM46" s="88">
        <f>AN46+AO46+AP46+AQ46+AR46+AS46+AT46+AU46+AV46+AW46+AX46+AZ46+BA46+BB46+AY46</f>
        <v>55700</v>
      </c>
      <c r="AN46" s="88">
        <v>0</v>
      </c>
      <c r="AO46" s="88">
        <v>1000</v>
      </c>
      <c r="AP46" s="88">
        <v>43200</v>
      </c>
      <c r="AQ46" s="88">
        <v>4000</v>
      </c>
      <c r="AR46" s="88">
        <v>0</v>
      </c>
      <c r="AS46" s="88">
        <v>2000</v>
      </c>
      <c r="AT46" s="88">
        <v>0</v>
      </c>
      <c r="AU46" s="88">
        <v>4000</v>
      </c>
      <c r="AV46" s="88">
        <v>0</v>
      </c>
      <c r="AW46" s="88">
        <v>1500</v>
      </c>
      <c r="AX46" s="88">
        <v>0</v>
      </c>
      <c r="AY46" s="88"/>
      <c r="AZ46" s="88">
        <v>0</v>
      </c>
      <c r="BA46" s="88">
        <v>0</v>
      </c>
      <c r="BB46" s="88">
        <v>0</v>
      </c>
      <c r="BC46" s="88">
        <f>SUM(BE46:BL46)</f>
        <v>32890</v>
      </c>
      <c r="BD46" s="88">
        <f>BE46+BF46+BG46+BH46+BI46+BJ46+BK46+BL46</f>
        <v>32890</v>
      </c>
      <c r="BE46" s="88">
        <v>9000</v>
      </c>
      <c r="BF46" s="88">
        <v>0</v>
      </c>
      <c r="BG46" s="88">
        <v>5000</v>
      </c>
      <c r="BH46" s="88">
        <v>2390</v>
      </c>
      <c r="BI46" s="88">
        <v>0</v>
      </c>
      <c r="BJ46" s="88">
        <v>0</v>
      </c>
      <c r="BK46" s="88">
        <v>0</v>
      </c>
      <c r="BL46" s="88">
        <v>16500</v>
      </c>
      <c r="BM46" s="88">
        <f>SUM(BO46:BT46)</f>
        <v>272400</v>
      </c>
      <c r="BN46" s="88">
        <f>BO46+BP46+BQ46+BR46+BS46+BT46</f>
        <v>272400</v>
      </c>
      <c r="BO46" s="88">
        <v>146400</v>
      </c>
      <c r="BP46" s="88">
        <v>114000</v>
      </c>
      <c r="BQ46" s="88">
        <v>12000</v>
      </c>
      <c r="BR46" s="88">
        <v>0</v>
      </c>
      <c r="BS46" s="88">
        <v>0</v>
      </c>
      <c r="BT46" s="88">
        <v>0</v>
      </c>
      <c r="BU46" s="88">
        <v>0</v>
      </c>
      <c r="BV46" s="88">
        <v>0</v>
      </c>
      <c r="BW46" s="88">
        <v>0</v>
      </c>
      <c r="BX46" s="88">
        <f t="shared" si="7"/>
        <v>0</v>
      </c>
      <c r="BY46" s="88">
        <f t="shared" si="8"/>
        <v>215644</v>
      </c>
      <c r="BZ46" s="90">
        <f t="shared" si="9"/>
        <v>-215644</v>
      </c>
      <c r="CA46" s="88"/>
      <c r="CB46" s="88">
        <f t="shared" si="10"/>
        <v>520934</v>
      </c>
      <c r="CC46" s="91">
        <f t="shared" si="11"/>
        <v>520934</v>
      </c>
      <c r="CD46" s="87" t="b">
        <f t="shared" si="15"/>
        <v>1</v>
      </c>
    </row>
    <row r="47" spans="1:82" ht="20.399999999999999" hidden="1" customHeight="1" x14ac:dyDescent="0.3">
      <c r="A47" s="37" t="s">
        <v>551</v>
      </c>
      <c r="B47" s="37" t="s">
        <v>255</v>
      </c>
      <c r="C47" s="88">
        <v>3</v>
      </c>
      <c r="D47" s="88">
        <v>42358</v>
      </c>
      <c r="E47" s="88">
        <v>0</v>
      </c>
      <c r="F47" s="88">
        <v>1</v>
      </c>
      <c r="G47" s="88">
        <v>5249</v>
      </c>
      <c r="H47" s="88">
        <v>0</v>
      </c>
      <c r="I47" s="88">
        <f t="shared" si="12"/>
        <v>47607</v>
      </c>
      <c r="J47" s="88">
        <f t="shared" si="13"/>
        <v>177524</v>
      </c>
      <c r="K47" s="88">
        <f t="shared" si="14"/>
        <v>-129917</v>
      </c>
      <c r="L47" s="88">
        <f>N47+O47+SUM(Y47:AG47)</f>
        <v>0</v>
      </c>
      <c r="M47" s="89">
        <f>N47+P47+Y47+Z47+AA47+AB47+AC47+AD47+AE47+AF47+AG47</f>
        <v>0</v>
      </c>
      <c r="N47" s="88">
        <v>0</v>
      </c>
      <c r="O47" s="88">
        <f>SUM(Q47:X47)</f>
        <v>0</v>
      </c>
      <c r="P47" s="88">
        <f>Q47+R47+S47+T47+U47+V47+W47+X47</f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88">
        <v>0</v>
      </c>
      <c r="AH47" s="88">
        <f>+AJ47+AK47</f>
        <v>0</v>
      </c>
      <c r="AI47" s="88">
        <f>AJ47+AK47</f>
        <v>0</v>
      </c>
      <c r="AJ47" s="88">
        <v>0</v>
      </c>
      <c r="AK47" s="88">
        <v>0</v>
      </c>
      <c r="AL47" s="88">
        <f>+SUM(AN47:BB47)</f>
        <v>52496</v>
      </c>
      <c r="AM47" s="88">
        <f>AN47+AO47+AP47+AQ47+AR47+AS47+AT47+AU47+AV47+AW47+AX47+AZ47+BA47+BB47+AY47</f>
        <v>52496</v>
      </c>
      <c r="AN47" s="88">
        <v>0</v>
      </c>
      <c r="AO47" s="88">
        <v>16033</v>
      </c>
      <c r="AP47" s="88">
        <v>0</v>
      </c>
      <c r="AQ47" s="88">
        <v>0</v>
      </c>
      <c r="AR47" s="88">
        <v>0</v>
      </c>
      <c r="AS47" s="88">
        <v>0</v>
      </c>
      <c r="AT47" s="88">
        <v>0</v>
      </c>
      <c r="AU47" s="88">
        <v>0</v>
      </c>
      <c r="AV47" s="88">
        <v>0</v>
      </c>
      <c r="AW47" s="88">
        <v>23792</v>
      </c>
      <c r="AX47" s="88">
        <v>0</v>
      </c>
      <c r="AY47" s="88">
        <v>681</v>
      </c>
      <c r="AZ47" s="88">
        <v>0</v>
      </c>
      <c r="BA47" s="88">
        <v>11990</v>
      </c>
      <c r="BB47" s="88">
        <v>0</v>
      </c>
      <c r="BC47" s="88">
        <f>SUM(BE47:BL47)</f>
        <v>3497</v>
      </c>
      <c r="BD47" s="88">
        <f>BE47+BF47+BG47+BH47+BI47+BJ47+BK47+BL47</f>
        <v>3497</v>
      </c>
      <c r="BE47" s="88">
        <v>521</v>
      </c>
      <c r="BF47" s="88">
        <v>0</v>
      </c>
      <c r="BG47" s="88">
        <v>2500</v>
      </c>
      <c r="BH47" s="88">
        <v>344</v>
      </c>
      <c r="BI47" s="88">
        <v>0</v>
      </c>
      <c r="BJ47" s="88">
        <v>114</v>
      </c>
      <c r="BK47" s="88">
        <v>18</v>
      </c>
      <c r="BL47" s="88">
        <v>0</v>
      </c>
      <c r="BM47" s="88">
        <f>SUM(BO47:BT47)</f>
        <v>0</v>
      </c>
      <c r="BN47" s="88">
        <f>BO47+BP47+BQ47+BR47+BS47+BT47</f>
        <v>0</v>
      </c>
      <c r="BO47" s="88">
        <v>0</v>
      </c>
      <c r="BP47" s="88">
        <v>0</v>
      </c>
      <c r="BQ47" s="88">
        <v>0</v>
      </c>
      <c r="BR47" s="88">
        <v>0</v>
      </c>
      <c r="BS47" s="88">
        <v>0</v>
      </c>
      <c r="BT47" s="88">
        <v>0</v>
      </c>
      <c r="BU47" s="88">
        <v>124039</v>
      </c>
      <c r="BV47" s="88">
        <v>989</v>
      </c>
      <c r="BW47" s="88">
        <v>0</v>
      </c>
      <c r="BX47" s="88">
        <f t="shared" si="7"/>
        <v>47607</v>
      </c>
      <c r="BY47" s="88">
        <f t="shared" si="8"/>
        <v>177524</v>
      </c>
      <c r="BZ47" s="90">
        <f t="shared" si="9"/>
        <v>-129917</v>
      </c>
      <c r="CA47" s="88"/>
      <c r="CB47" s="88">
        <f t="shared" si="10"/>
        <v>181021</v>
      </c>
      <c r="CC47" s="91">
        <f t="shared" si="11"/>
        <v>181021</v>
      </c>
      <c r="CD47" s="87" t="b">
        <f t="shared" si="15"/>
        <v>1</v>
      </c>
    </row>
    <row r="48" spans="1:82" ht="20.399999999999999" customHeight="1" x14ac:dyDescent="0.3">
      <c r="A48" s="37" t="s">
        <v>373</v>
      </c>
      <c r="B48" s="37" t="s">
        <v>41</v>
      </c>
      <c r="C48" s="88">
        <v>110</v>
      </c>
      <c r="D48" s="88">
        <v>58525500</v>
      </c>
      <c r="E48" s="88">
        <v>89</v>
      </c>
      <c r="F48" s="88">
        <v>184</v>
      </c>
      <c r="G48" s="88">
        <v>6951449</v>
      </c>
      <c r="H48" s="88">
        <v>11</v>
      </c>
      <c r="I48" s="88">
        <f t="shared" si="12"/>
        <v>65476949</v>
      </c>
      <c r="J48" s="88">
        <f t="shared" si="13"/>
        <v>71954502</v>
      </c>
      <c r="K48" s="88">
        <f t="shared" si="14"/>
        <v>-6477553</v>
      </c>
      <c r="L48" s="88">
        <f>N48+O48+SUM(Y48:AG48)</f>
        <v>26728840</v>
      </c>
      <c r="M48" s="89">
        <v>26728840</v>
      </c>
      <c r="N48" s="88">
        <v>5543400</v>
      </c>
      <c r="O48" s="88">
        <v>14611351</v>
      </c>
      <c r="P48" s="88">
        <v>14611351</v>
      </c>
      <c r="Q48" s="88">
        <v>0</v>
      </c>
      <c r="R48" s="88">
        <v>0</v>
      </c>
      <c r="S48" s="88">
        <v>0</v>
      </c>
      <c r="T48" s="88">
        <v>0</v>
      </c>
      <c r="U48" s="88"/>
      <c r="V48" s="88"/>
      <c r="W48" s="88">
        <v>0</v>
      </c>
      <c r="X48" s="88">
        <v>14611351</v>
      </c>
      <c r="Y48" s="88">
        <v>42465</v>
      </c>
      <c r="Z48" s="88">
        <v>2718</v>
      </c>
      <c r="AA48" s="88">
        <v>5364</v>
      </c>
      <c r="AB48" s="88">
        <v>0</v>
      </c>
      <c r="AC48" s="88">
        <v>42465</v>
      </c>
      <c r="AD48" s="88">
        <v>788329</v>
      </c>
      <c r="AE48" s="88">
        <v>1869899</v>
      </c>
      <c r="AF48" s="88">
        <v>3814952</v>
      </c>
      <c r="AG48" s="88">
        <v>7897</v>
      </c>
      <c r="AH48" s="88">
        <f>+AJ48+AK48</f>
        <v>1084684</v>
      </c>
      <c r="AI48" s="88">
        <f>AJ48+AK48</f>
        <v>1084684</v>
      </c>
      <c r="AJ48" s="88">
        <v>7807</v>
      </c>
      <c r="AK48" s="88">
        <v>1076877</v>
      </c>
      <c r="AL48" s="88">
        <f>+SUM(AN48:BB48)</f>
        <v>42698707</v>
      </c>
      <c r="AM48" s="88">
        <v>42698707</v>
      </c>
      <c r="AN48" s="88">
        <v>36552476</v>
      </c>
      <c r="AO48" s="88">
        <v>873584</v>
      </c>
      <c r="AP48" s="88">
        <v>0</v>
      </c>
      <c r="AQ48" s="88">
        <v>12544</v>
      </c>
      <c r="AR48" s="88">
        <v>308335</v>
      </c>
      <c r="AS48" s="88">
        <v>0</v>
      </c>
      <c r="AT48" s="88">
        <v>76991</v>
      </c>
      <c r="AU48" s="88">
        <v>177738</v>
      </c>
      <c r="AV48" s="88">
        <v>113957</v>
      </c>
      <c r="AW48" s="88">
        <v>2599399</v>
      </c>
      <c r="AX48" s="88">
        <v>21628</v>
      </c>
      <c r="AY48" s="88">
        <v>214246</v>
      </c>
      <c r="AZ48" s="88">
        <v>135312</v>
      </c>
      <c r="BA48" s="88">
        <v>665644</v>
      </c>
      <c r="BB48" s="88">
        <v>946853</v>
      </c>
      <c r="BC48" s="88">
        <f>SUM(BE48:BL48)</f>
        <v>12190593</v>
      </c>
      <c r="BD48" s="88">
        <f>BE48+BF48+BG48+BH48+BI48+BJ48+BK48+BL48</f>
        <v>12190593</v>
      </c>
      <c r="BE48" s="88">
        <v>7106783</v>
      </c>
      <c r="BF48" s="88">
        <v>0</v>
      </c>
      <c r="BG48" s="88">
        <v>0</v>
      </c>
      <c r="BH48" s="88">
        <v>0</v>
      </c>
      <c r="BI48" s="88">
        <v>0</v>
      </c>
      <c r="BJ48" s="88">
        <v>72351</v>
      </c>
      <c r="BK48" s="88">
        <v>5011459</v>
      </c>
      <c r="BL48" s="88">
        <v>0</v>
      </c>
      <c r="BM48" s="88">
        <f>SUM(BO48:BT48)</f>
        <v>8160008</v>
      </c>
      <c r="BN48" s="88">
        <f>BO48+BP48+BQ48+BR48+BS48+BT48</f>
        <v>8160008</v>
      </c>
      <c r="BO48" s="88">
        <v>3126470</v>
      </c>
      <c r="BP48" s="88">
        <v>4441422</v>
      </c>
      <c r="BQ48" s="88">
        <v>264443</v>
      </c>
      <c r="BR48" s="88">
        <v>0</v>
      </c>
      <c r="BS48" s="88">
        <v>283153</v>
      </c>
      <c r="BT48" s="88">
        <v>44520</v>
      </c>
      <c r="BU48" s="88">
        <v>267345</v>
      </c>
      <c r="BV48" s="88">
        <v>1174926</v>
      </c>
      <c r="BW48" s="88">
        <v>0</v>
      </c>
      <c r="BX48" s="88">
        <f t="shared" si="7"/>
        <v>65476949</v>
      </c>
      <c r="BY48" s="88">
        <f t="shared" si="8"/>
        <v>71954502</v>
      </c>
      <c r="BZ48" s="90">
        <f t="shared" si="9"/>
        <v>-6477553</v>
      </c>
      <c r="CA48" s="88"/>
      <c r="CB48" s="88">
        <f t="shared" si="10"/>
        <v>92305103</v>
      </c>
      <c r="CC48" s="91">
        <f t="shared" si="11"/>
        <v>92305103</v>
      </c>
      <c r="CD48" s="87" t="b">
        <f t="shared" si="15"/>
        <v>1</v>
      </c>
    </row>
    <row r="49" spans="1:82" ht="20.399999999999999" hidden="1" customHeight="1" x14ac:dyDescent="0.3">
      <c r="A49" s="37" t="s">
        <v>374</v>
      </c>
      <c r="B49" s="37" t="s">
        <v>41</v>
      </c>
      <c r="C49" s="88">
        <v>0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f t="shared" si="12"/>
        <v>0</v>
      </c>
      <c r="J49" s="88">
        <f t="shared" si="13"/>
        <v>240206</v>
      </c>
      <c r="K49" s="88">
        <f t="shared" si="14"/>
        <v>-240206</v>
      </c>
      <c r="L49" s="88">
        <v>155381</v>
      </c>
      <c r="M49" s="89">
        <v>155381</v>
      </c>
      <c r="N49" s="88">
        <v>155381</v>
      </c>
      <c r="O49" s="88">
        <f t="shared" ref="O49:O54" si="29">SUM(Q49:X49)</f>
        <v>0</v>
      </c>
      <c r="P49" s="88">
        <f>Q49+R49+S49+T49+U49+V49+W49+X49</f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  <c r="X49" s="88">
        <v>0</v>
      </c>
      <c r="Y49" s="88">
        <v>0</v>
      </c>
      <c r="Z49" s="88">
        <v>0</v>
      </c>
      <c r="AA49" s="88">
        <v>0</v>
      </c>
      <c r="AB49" s="88">
        <v>0</v>
      </c>
      <c r="AC49" s="88">
        <v>0</v>
      </c>
      <c r="AD49" s="88">
        <v>0</v>
      </c>
      <c r="AE49" s="88">
        <v>0</v>
      </c>
      <c r="AF49" s="88">
        <v>0</v>
      </c>
      <c r="AG49" s="88">
        <v>0</v>
      </c>
      <c r="AH49" s="88">
        <v>1946</v>
      </c>
      <c r="AI49" s="88">
        <v>1946</v>
      </c>
      <c r="AJ49" s="88">
        <v>0</v>
      </c>
      <c r="AK49" s="88">
        <v>0</v>
      </c>
      <c r="AL49" s="88">
        <v>82151</v>
      </c>
      <c r="AM49" s="88">
        <v>82151</v>
      </c>
      <c r="AN49" s="88">
        <v>0</v>
      </c>
      <c r="AO49" s="88">
        <v>0</v>
      </c>
      <c r="AP49" s="88">
        <v>0</v>
      </c>
      <c r="AQ49" s="88">
        <v>0</v>
      </c>
      <c r="AR49" s="88">
        <v>0</v>
      </c>
      <c r="AS49" s="88">
        <v>0</v>
      </c>
      <c r="AT49" s="88">
        <v>0</v>
      </c>
      <c r="AU49" s="88">
        <v>0</v>
      </c>
      <c r="AV49" s="88">
        <v>0</v>
      </c>
      <c r="AW49" s="88">
        <v>0</v>
      </c>
      <c r="AX49" s="88">
        <v>0</v>
      </c>
      <c r="AY49" s="88"/>
      <c r="AZ49" s="88">
        <v>0</v>
      </c>
      <c r="BA49" s="88">
        <v>0</v>
      </c>
      <c r="BB49" s="88">
        <v>41786</v>
      </c>
      <c r="BC49" s="88">
        <v>25273</v>
      </c>
      <c r="BD49" s="88">
        <v>25273</v>
      </c>
      <c r="BE49" s="88">
        <v>0</v>
      </c>
      <c r="BF49" s="88">
        <v>0</v>
      </c>
      <c r="BG49" s="88">
        <v>0</v>
      </c>
      <c r="BH49" s="88">
        <v>0</v>
      </c>
      <c r="BI49" s="88">
        <v>0</v>
      </c>
      <c r="BJ49" s="88">
        <v>0</v>
      </c>
      <c r="BK49" s="88">
        <v>0</v>
      </c>
      <c r="BL49" s="88">
        <v>0</v>
      </c>
      <c r="BM49" s="88">
        <v>203509</v>
      </c>
      <c r="BN49" s="88">
        <v>203509</v>
      </c>
      <c r="BO49" s="88">
        <v>0</v>
      </c>
      <c r="BP49" s="88">
        <v>0</v>
      </c>
      <c r="BQ49" s="88">
        <v>0</v>
      </c>
      <c r="BR49" s="88">
        <v>0</v>
      </c>
      <c r="BS49" s="88">
        <v>0</v>
      </c>
      <c r="BT49" s="88">
        <v>0</v>
      </c>
      <c r="BU49" s="88">
        <v>728</v>
      </c>
      <c r="BV49" s="88">
        <v>0</v>
      </c>
      <c r="BW49" s="88">
        <v>40994</v>
      </c>
      <c r="BX49" s="88">
        <f t="shared" si="7"/>
        <v>0</v>
      </c>
      <c r="BY49" s="88">
        <f t="shared" si="8"/>
        <v>240206</v>
      </c>
      <c r="BZ49" s="90">
        <f t="shared" si="9"/>
        <v>-240206</v>
      </c>
      <c r="CA49" s="88"/>
      <c r="CB49" s="88">
        <f t="shared" si="10"/>
        <v>509982</v>
      </c>
      <c r="CC49" s="91">
        <f t="shared" si="11"/>
        <v>509982</v>
      </c>
      <c r="CD49" s="87" t="b">
        <f t="shared" si="15"/>
        <v>1</v>
      </c>
    </row>
    <row r="50" spans="1:82" ht="20.399999999999999" hidden="1" customHeight="1" x14ac:dyDescent="0.3">
      <c r="A50" s="49" t="s">
        <v>558</v>
      </c>
      <c r="B50" s="37" t="s">
        <v>46</v>
      </c>
      <c r="C50" s="88"/>
      <c r="D50" s="88"/>
      <c r="E50" s="88"/>
      <c r="F50" s="88"/>
      <c r="G50" s="88"/>
      <c r="H50" s="88"/>
      <c r="I50" s="88">
        <f t="shared" si="12"/>
        <v>0</v>
      </c>
      <c r="J50" s="88">
        <f t="shared" si="13"/>
        <v>101000</v>
      </c>
      <c r="K50" s="88">
        <f t="shared" si="14"/>
        <v>-101000</v>
      </c>
      <c r="L50" s="88">
        <f t="shared" ref="L50:L64" si="30">N50+O50+SUM(Y50:AG50)</f>
        <v>101000</v>
      </c>
      <c r="M50" s="89">
        <v>101000</v>
      </c>
      <c r="N50" s="88"/>
      <c r="O50" s="88">
        <f t="shared" si="29"/>
        <v>101000</v>
      </c>
      <c r="P50" s="88">
        <v>101000</v>
      </c>
      <c r="Q50" s="88"/>
      <c r="R50" s="88"/>
      <c r="S50" s="88"/>
      <c r="T50" s="88">
        <v>101000</v>
      </c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>
        <f t="shared" ref="AH50:AH70" si="31">+AJ50+AK50</f>
        <v>0</v>
      </c>
      <c r="AI50" s="88">
        <v>0</v>
      </c>
      <c r="AJ50" s="88"/>
      <c r="AK50" s="88"/>
      <c r="AL50" s="88">
        <f t="shared" ref="AL50:AL70" si="32">+SUM(AN50:BB50)</f>
        <v>0</v>
      </c>
      <c r="AM50" s="88">
        <v>0</v>
      </c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>
        <f t="shared" ref="BC50:BC70" si="33">SUM(BE50:BL50)</f>
        <v>17702</v>
      </c>
      <c r="BD50" s="88">
        <v>17702</v>
      </c>
      <c r="BE50" s="88"/>
      <c r="BF50" s="88"/>
      <c r="BG50" s="88">
        <v>2000</v>
      </c>
      <c r="BH50" s="88">
        <v>1000</v>
      </c>
      <c r="BI50" s="88">
        <v>14702</v>
      </c>
      <c r="BJ50" s="88"/>
      <c r="BK50" s="88"/>
      <c r="BL50" s="88"/>
      <c r="BM50" s="88">
        <f t="shared" ref="BM50:BM70" si="34">SUM(BO50:BT50)</f>
        <v>0</v>
      </c>
      <c r="BN50" s="88">
        <v>0</v>
      </c>
      <c r="BO50" s="88"/>
      <c r="BP50" s="88"/>
      <c r="BQ50" s="88"/>
      <c r="BR50" s="31"/>
      <c r="BS50" s="88"/>
      <c r="BT50" s="88"/>
      <c r="BU50" s="88">
        <v>0</v>
      </c>
      <c r="BV50" s="88">
        <v>0</v>
      </c>
      <c r="BW50" s="88">
        <v>0</v>
      </c>
      <c r="BX50" s="88">
        <f t="shared" si="7"/>
        <v>0</v>
      </c>
      <c r="BY50" s="88">
        <f t="shared" si="8"/>
        <v>101000</v>
      </c>
      <c r="BZ50" s="90">
        <f t="shared" si="9"/>
        <v>-101000</v>
      </c>
      <c r="CA50" s="88"/>
      <c r="CB50" s="88">
        <f t="shared" si="10"/>
        <v>118702</v>
      </c>
      <c r="CC50" s="91">
        <f t="shared" si="11"/>
        <v>118702</v>
      </c>
      <c r="CD50" s="87" t="b">
        <f t="shared" si="15"/>
        <v>1</v>
      </c>
    </row>
    <row r="51" spans="1:82" ht="20.399999999999999" customHeight="1" x14ac:dyDescent="0.3">
      <c r="A51" s="37" t="s">
        <v>376</v>
      </c>
      <c r="B51" s="37" t="s">
        <v>41</v>
      </c>
      <c r="C51" s="88">
        <v>194</v>
      </c>
      <c r="D51" s="88">
        <v>36768189</v>
      </c>
      <c r="E51" s="88">
        <v>0</v>
      </c>
      <c r="F51" s="88">
        <v>164</v>
      </c>
      <c r="G51" s="88">
        <v>9781407</v>
      </c>
      <c r="H51" s="88">
        <v>0</v>
      </c>
      <c r="I51" s="88">
        <f t="shared" si="12"/>
        <v>46549596</v>
      </c>
      <c r="J51" s="88">
        <f t="shared" si="13"/>
        <v>90222783</v>
      </c>
      <c r="K51" s="88">
        <f t="shared" si="14"/>
        <v>-43673187</v>
      </c>
      <c r="L51" s="88">
        <f t="shared" si="30"/>
        <v>48156826</v>
      </c>
      <c r="M51" s="89">
        <v>48156826</v>
      </c>
      <c r="N51" s="88">
        <v>3427530</v>
      </c>
      <c r="O51" s="88">
        <f t="shared" si="29"/>
        <v>9744130</v>
      </c>
      <c r="P51" s="88">
        <v>9744130</v>
      </c>
      <c r="Q51" s="93">
        <v>9724.7305349217859</v>
      </c>
      <c r="R51" s="93">
        <v>0</v>
      </c>
      <c r="S51" s="93">
        <v>4773020.8999312352</v>
      </c>
      <c r="T51" s="93">
        <v>0</v>
      </c>
      <c r="U51" s="93">
        <v>3977876.9966239836</v>
      </c>
      <c r="V51" s="93">
        <v>983507.37290985882</v>
      </c>
      <c r="W51" s="88">
        <v>0</v>
      </c>
      <c r="X51" s="88">
        <v>0</v>
      </c>
      <c r="Y51" s="88">
        <v>959380</v>
      </c>
      <c r="Z51" s="88">
        <v>8267</v>
      </c>
      <c r="AA51" s="88">
        <v>9836</v>
      </c>
      <c r="AB51" s="88">
        <v>10686266</v>
      </c>
      <c r="AC51" s="88"/>
      <c r="AD51" s="88">
        <v>814980</v>
      </c>
      <c r="AE51" s="88">
        <v>3388522</v>
      </c>
      <c r="AF51" s="88">
        <v>18815938</v>
      </c>
      <c r="AG51" s="88">
        <v>301977</v>
      </c>
      <c r="AH51" s="88">
        <f t="shared" si="31"/>
        <v>1707254</v>
      </c>
      <c r="AI51" s="88">
        <v>1707254</v>
      </c>
      <c r="AJ51" s="88">
        <v>1073216</v>
      </c>
      <c r="AK51" s="88">
        <v>634038</v>
      </c>
      <c r="AL51" s="88">
        <f t="shared" si="32"/>
        <v>26207393</v>
      </c>
      <c r="AM51" s="88">
        <v>26207393</v>
      </c>
      <c r="AN51" s="88">
        <v>14380563</v>
      </c>
      <c r="AO51" s="88">
        <v>642772</v>
      </c>
      <c r="AP51" s="88">
        <v>0</v>
      </c>
      <c r="AQ51" s="88">
        <v>966466</v>
      </c>
      <c r="AR51" s="88">
        <v>1322561</v>
      </c>
      <c r="AS51" s="88">
        <v>0</v>
      </c>
      <c r="AT51" s="88">
        <v>45639</v>
      </c>
      <c r="AU51" s="88">
        <v>393184</v>
      </c>
      <c r="AV51" s="88">
        <v>0</v>
      </c>
      <c r="AW51" s="88">
        <f>1990956</f>
        <v>1990956</v>
      </c>
      <c r="AX51" s="88">
        <v>216782</v>
      </c>
      <c r="AY51" s="88">
        <v>903659</v>
      </c>
      <c r="AZ51" s="88">
        <v>183968</v>
      </c>
      <c r="BA51" s="88">
        <v>4959321</v>
      </c>
      <c r="BB51" s="88">
        <v>201522</v>
      </c>
      <c r="BC51" s="88">
        <f t="shared" si="33"/>
        <v>20712512</v>
      </c>
      <c r="BD51" s="88">
        <f>BE51+BF51+BG51+BH51+BI51+BJ51+BK51+BL51</f>
        <v>20712512</v>
      </c>
      <c r="BE51" s="88">
        <v>949789</v>
      </c>
      <c r="BF51" s="88">
        <v>45607</v>
      </c>
      <c r="BG51" s="88">
        <v>0</v>
      </c>
      <c r="BH51" s="88">
        <v>0</v>
      </c>
      <c r="BI51" s="88">
        <v>19669067</v>
      </c>
      <c r="BJ51" s="88">
        <v>0</v>
      </c>
      <c r="BK51" s="88">
        <v>200</v>
      </c>
      <c r="BL51" s="88">
        <v>47849</v>
      </c>
      <c r="BM51" s="88">
        <f t="shared" si="34"/>
        <v>24727794</v>
      </c>
      <c r="BN51" s="88">
        <v>24727794</v>
      </c>
      <c r="BO51" s="88">
        <v>17106866.297979396</v>
      </c>
      <c r="BP51" s="88">
        <v>1667912.702020603</v>
      </c>
      <c r="BQ51" s="88">
        <v>2642103</v>
      </c>
      <c r="BR51" s="88">
        <v>2642104</v>
      </c>
      <c r="BS51" s="88">
        <v>530286</v>
      </c>
      <c r="BT51" s="88">
        <v>138522</v>
      </c>
      <c r="BU51" s="88">
        <v>1170972</v>
      </c>
      <c r="BV51" s="88">
        <v>12980338</v>
      </c>
      <c r="BW51" s="88">
        <v>10209149</v>
      </c>
      <c r="BX51" s="88">
        <f t="shared" si="7"/>
        <v>46549596</v>
      </c>
      <c r="BY51" s="88">
        <f t="shared" si="8"/>
        <v>90222783</v>
      </c>
      <c r="BZ51" s="90">
        <f t="shared" si="9"/>
        <v>-43673187</v>
      </c>
      <c r="CA51" s="88"/>
      <c r="CB51" s="88">
        <f t="shared" si="10"/>
        <v>145872238</v>
      </c>
      <c r="CC51" s="91">
        <f t="shared" si="11"/>
        <v>145872238</v>
      </c>
      <c r="CD51" s="87" t="b">
        <f t="shared" si="15"/>
        <v>1</v>
      </c>
    </row>
    <row r="52" spans="1:82" ht="20.399999999999999" hidden="1" customHeight="1" x14ac:dyDescent="0.3">
      <c r="A52" s="37" t="s">
        <v>377</v>
      </c>
      <c r="B52" s="37" t="s">
        <v>255</v>
      </c>
      <c r="C52" s="88">
        <v>4</v>
      </c>
      <c r="D52" s="88">
        <v>125174</v>
      </c>
      <c r="E52" s="88">
        <v>100</v>
      </c>
      <c r="F52" s="88">
        <v>0</v>
      </c>
      <c r="G52" s="88">
        <v>0</v>
      </c>
      <c r="H52" s="88">
        <v>0</v>
      </c>
      <c r="I52" s="88">
        <f t="shared" si="12"/>
        <v>125174</v>
      </c>
      <c r="J52" s="88">
        <f t="shared" si="13"/>
        <v>111336</v>
      </c>
      <c r="K52" s="88">
        <f t="shared" si="14"/>
        <v>13838</v>
      </c>
      <c r="L52" s="88">
        <f t="shared" si="30"/>
        <v>2429</v>
      </c>
      <c r="M52" s="89">
        <v>2429</v>
      </c>
      <c r="N52" s="88">
        <v>2429</v>
      </c>
      <c r="O52" s="88">
        <f t="shared" si="29"/>
        <v>0</v>
      </c>
      <c r="P52" s="88">
        <f>Q52+R52+S52+T52+U52+V52+W52+X52</f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  <c r="X52" s="88">
        <v>0</v>
      </c>
      <c r="Y52" s="88">
        <v>0</v>
      </c>
      <c r="Z52" s="88">
        <v>0</v>
      </c>
      <c r="AA52" s="88"/>
      <c r="AB52" s="88">
        <v>0</v>
      </c>
      <c r="AC52" s="88">
        <v>0</v>
      </c>
      <c r="AD52" s="88">
        <v>0</v>
      </c>
      <c r="AE52" s="88">
        <v>0</v>
      </c>
      <c r="AF52" s="88">
        <v>0</v>
      </c>
      <c r="AG52" s="88">
        <v>0</v>
      </c>
      <c r="AH52" s="88">
        <f t="shared" si="31"/>
        <v>172</v>
      </c>
      <c r="AI52" s="88">
        <f>AJ52+AK52</f>
        <v>172</v>
      </c>
      <c r="AJ52" s="88">
        <v>0</v>
      </c>
      <c r="AK52" s="88">
        <v>172</v>
      </c>
      <c r="AL52" s="88">
        <f t="shared" si="32"/>
        <v>53015</v>
      </c>
      <c r="AM52" s="88">
        <v>53015</v>
      </c>
      <c r="AN52" s="88">
        <v>0</v>
      </c>
      <c r="AO52" s="88">
        <v>0</v>
      </c>
      <c r="AP52" s="88">
        <v>0</v>
      </c>
      <c r="AQ52" s="88">
        <v>0</v>
      </c>
      <c r="AR52" s="88">
        <v>1467</v>
      </c>
      <c r="AS52" s="88">
        <v>0</v>
      </c>
      <c r="AT52" s="88">
        <v>0</v>
      </c>
      <c r="AU52" s="88">
        <v>0</v>
      </c>
      <c r="AV52" s="88">
        <v>0</v>
      </c>
      <c r="AW52" s="88">
        <v>22930</v>
      </c>
      <c r="AX52" s="88">
        <v>0</v>
      </c>
      <c r="AY52" s="88">
        <v>1669</v>
      </c>
      <c r="AZ52" s="88">
        <v>24700</v>
      </c>
      <c r="BA52" s="88">
        <v>2249</v>
      </c>
      <c r="BB52" s="88">
        <v>0</v>
      </c>
      <c r="BC52" s="88">
        <f t="shared" si="33"/>
        <v>200</v>
      </c>
      <c r="BD52" s="88">
        <f>BE52+BF52+BG52+BH52+BI52+BJ52+BK52+BL52</f>
        <v>200</v>
      </c>
      <c r="BE52" s="88">
        <v>0</v>
      </c>
      <c r="BF52" s="88">
        <v>0</v>
      </c>
      <c r="BG52" s="88">
        <v>0</v>
      </c>
      <c r="BH52" s="88">
        <v>0</v>
      </c>
      <c r="BI52" s="88">
        <v>0</v>
      </c>
      <c r="BJ52" s="88">
        <v>0</v>
      </c>
      <c r="BK52" s="88">
        <v>200</v>
      </c>
      <c r="BL52" s="88">
        <v>0</v>
      </c>
      <c r="BM52" s="88">
        <f t="shared" si="34"/>
        <v>62223</v>
      </c>
      <c r="BN52" s="88">
        <f>BO52+BP52+BQ52+BR52+BS52+BT52</f>
        <v>62223</v>
      </c>
      <c r="BO52" s="88">
        <v>58732</v>
      </c>
      <c r="BP52" s="88">
        <v>0</v>
      </c>
      <c r="BQ52" s="88">
        <v>0</v>
      </c>
      <c r="BR52" s="88">
        <v>1950</v>
      </c>
      <c r="BS52" s="88">
        <v>1541</v>
      </c>
      <c r="BT52" s="88">
        <v>0</v>
      </c>
      <c r="BU52" s="88">
        <v>0</v>
      </c>
      <c r="BV52" s="88">
        <v>55720</v>
      </c>
      <c r="BW52" s="88">
        <v>0</v>
      </c>
      <c r="BX52" s="88">
        <f t="shared" si="7"/>
        <v>125174</v>
      </c>
      <c r="BY52" s="88">
        <f t="shared" si="8"/>
        <v>111336</v>
      </c>
      <c r="BZ52" s="90">
        <f t="shared" si="9"/>
        <v>13838</v>
      </c>
      <c r="CA52" s="88"/>
      <c r="CB52" s="88">
        <f t="shared" si="10"/>
        <v>173759</v>
      </c>
      <c r="CC52" s="91">
        <f t="shared" si="11"/>
        <v>173759</v>
      </c>
      <c r="CD52" s="87" t="b">
        <f t="shared" si="15"/>
        <v>1</v>
      </c>
    </row>
    <row r="53" spans="1:82" ht="20.399999999999999" hidden="1" customHeight="1" x14ac:dyDescent="0.3">
      <c r="A53" s="37" t="s">
        <v>382</v>
      </c>
      <c r="B53" s="37" t="s">
        <v>41</v>
      </c>
      <c r="C53" s="88">
        <v>119</v>
      </c>
      <c r="D53" s="88">
        <v>1771756.2390000001</v>
      </c>
      <c r="E53" s="88">
        <v>94</v>
      </c>
      <c r="F53" s="88">
        <v>9</v>
      </c>
      <c r="G53" s="88">
        <v>116861.02800000001</v>
      </c>
      <c r="H53" s="88">
        <v>6</v>
      </c>
      <c r="I53" s="88">
        <f t="shared" si="12"/>
        <v>1888617.267</v>
      </c>
      <c r="J53" s="88">
        <f t="shared" si="13"/>
        <v>1453655.5360000001</v>
      </c>
      <c r="K53" s="88">
        <f t="shared" si="14"/>
        <v>434961.73099999991</v>
      </c>
      <c r="L53" s="88">
        <f t="shared" si="30"/>
        <v>404192.12300000002</v>
      </c>
      <c r="M53" s="89">
        <f>N53+P53+Y53+Z53+AA53+AB53+AC53+AD53+AE53+AF53+AG53</f>
        <v>404192.12300000002</v>
      </c>
      <c r="N53" s="88">
        <v>0</v>
      </c>
      <c r="O53" s="88">
        <f t="shared" si="29"/>
        <v>231492.59700000001</v>
      </c>
      <c r="P53" s="88">
        <f>Q53+R53+S53+T53+U53+V53+W53+X53</f>
        <v>231492.59700000001</v>
      </c>
      <c r="Q53" s="88">
        <v>0</v>
      </c>
      <c r="R53" s="88">
        <v>0</v>
      </c>
      <c r="S53" s="88">
        <v>0</v>
      </c>
      <c r="T53" s="88">
        <v>126237.10400000001</v>
      </c>
      <c r="U53" s="88">
        <v>0</v>
      </c>
      <c r="V53" s="88">
        <v>63684.720999999998</v>
      </c>
      <c r="W53" s="88">
        <v>0</v>
      </c>
      <c r="X53" s="88">
        <v>41570.771999999997</v>
      </c>
      <c r="Y53" s="88">
        <v>0</v>
      </c>
      <c r="Z53" s="88">
        <v>3596.9119999999998</v>
      </c>
      <c r="AA53" s="88">
        <v>129233</v>
      </c>
      <c r="AB53" s="88">
        <v>13663</v>
      </c>
      <c r="AC53" s="88">
        <v>24022.401999999998</v>
      </c>
      <c r="AD53" s="88">
        <v>0</v>
      </c>
      <c r="AE53" s="88">
        <v>834.21199999999999</v>
      </c>
      <c r="AF53" s="88">
        <v>0</v>
      </c>
      <c r="AG53" s="88">
        <v>1350</v>
      </c>
      <c r="AH53" s="88">
        <f t="shared" si="31"/>
        <v>88655</v>
      </c>
      <c r="AI53" s="88">
        <f>AJ53+AK53</f>
        <v>88655</v>
      </c>
      <c r="AJ53" s="88">
        <v>83567</v>
      </c>
      <c r="AK53" s="88">
        <v>5088</v>
      </c>
      <c r="AL53" s="88">
        <f t="shared" si="32"/>
        <v>483699.413</v>
      </c>
      <c r="AM53" s="88">
        <v>483699.413</v>
      </c>
      <c r="AN53" s="88">
        <v>0</v>
      </c>
      <c r="AO53" s="88">
        <v>190017</v>
      </c>
      <c r="AP53" s="88">
        <v>0</v>
      </c>
      <c r="AQ53" s="88">
        <v>97597</v>
      </c>
      <c r="AR53" s="88">
        <v>26834</v>
      </c>
      <c r="AS53" s="88">
        <v>0</v>
      </c>
      <c r="AT53" s="88">
        <v>6642</v>
      </c>
      <c r="AU53" s="88">
        <v>6164</v>
      </c>
      <c r="AV53" s="88">
        <v>1100</v>
      </c>
      <c r="AW53" s="88">
        <v>132482</v>
      </c>
      <c r="AX53" s="88">
        <v>3750</v>
      </c>
      <c r="AY53" s="88">
        <v>4358.4129999999996</v>
      </c>
      <c r="AZ53" s="88">
        <v>0</v>
      </c>
      <c r="BA53" s="88">
        <v>0</v>
      </c>
      <c r="BB53" s="88">
        <v>14755</v>
      </c>
      <c r="BC53" s="88">
        <f t="shared" si="33"/>
        <v>57001</v>
      </c>
      <c r="BD53" s="88">
        <v>57001</v>
      </c>
      <c r="BE53" s="88">
        <v>31399</v>
      </c>
      <c r="BF53" s="88">
        <v>2689</v>
      </c>
      <c r="BG53" s="88">
        <v>0</v>
      </c>
      <c r="BH53" s="88">
        <v>0</v>
      </c>
      <c r="BI53" s="88">
        <v>21590</v>
      </c>
      <c r="BJ53" s="88">
        <v>0</v>
      </c>
      <c r="BK53" s="88">
        <v>1323</v>
      </c>
      <c r="BL53" s="88">
        <v>0</v>
      </c>
      <c r="BM53" s="88">
        <f t="shared" si="34"/>
        <v>459436</v>
      </c>
      <c r="BN53" s="88">
        <v>459436</v>
      </c>
      <c r="BO53" s="88">
        <v>318816</v>
      </c>
      <c r="BP53" s="88">
        <v>28432</v>
      </c>
      <c r="BQ53" s="88">
        <v>16560</v>
      </c>
      <c r="BR53" s="88">
        <v>35867</v>
      </c>
      <c r="BS53" s="88">
        <v>38482</v>
      </c>
      <c r="BT53" s="88">
        <v>21279</v>
      </c>
      <c r="BU53" s="88">
        <v>110005</v>
      </c>
      <c r="BV53" s="88">
        <v>367104</v>
      </c>
      <c r="BW53" s="88">
        <v>5000</v>
      </c>
      <c r="BX53" s="88">
        <f t="shared" si="7"/>
        <v>1888617.267</v>
      </c>
      <c r="BY53" s="88">
        <f t="shared" si="8"/>
        <v>1453655.5360000001</v>
      </c>
      <c r="BZ53" s="90">
        <f t="shared" si="9"/>
        <v>434961.73099999991</v>
      </c>
      <c r="CA53" s="88"/>
      <c r="CB53" s="88">
        <f t="shared" si="10"/>
        <v>1975092.5359999998</v>
      </c>
      <c r="CC53" s="91">
        <f t="shared" si="11"/>
        <v>1975092.5360000001</v>
      </c>
      <c r="CD53" s="87" t="b">
        <f t="shared" si="15"/>
        <v>1</v>
      </c>
    </row>
    <row r="54" spans="1:82" ht="20.399999999999999" hidden="1" customHeight="1" x14ac:dyDescent="0.3">
      <c r="A54" s="37" t="s">
        <v>384</v>
      </c>
      <c r="B54" s="37" t="s">
        <v>46</v>
      </c>
      <c r="C54" s="88">
        <v>64</v>
      </c>
      <c r="D54" s="88">
        <v>662383.03399999999</v>
      </c>
      <c r="E54" s="88">
        <v>84</v>
      </c>
      <c r="F54" s="88">
        <v>2</v>
      </c>
      <c r="G54" s="88">
        <v>125927.26700000001</v>
      </c>
      <c r="H54" s="88">
        <v>16</v>
      </c>
      <c r="I54" s="88">
        <f t="shared" si="12"/>
        <v>788310.30099999998</v>
      </c>
      <c r="J54" s="88">
        <f t="shared" si="13"/>
        <v>591268.89899999986</v>
      </c>
      <c r="K54" s="88">
        <f t="shared" si="14"/>
        <v>197041.40200000012</v>
      </c>
      <c r="L54" s="88">
        <f t="shared" si="30"/>
        <v>365964.48499999993</v>
      </c>
      <c r="M54" s="89">
        <v>365964.48499999999</v>
      </c>
      <c r="N54" s="88">
        <v>0</v>
      </c>
      <c r="O54" s="88">
        <f t="shared" si="29"/>
        <v>82919.126000000004</v>
      </c>
      <c r="P54" s="88">
        <f>Q54+R54+S54+T54+U54+V54+W54+X54</f>
        <v>82919.126000000004</v>
      </c>
      <c r="Q54" s="88">
        <v>0</v>
      </c>
      <c r="R54" s="88">
        <v>0</v>
      </c>
      <c r="S54" s="88">
        <v>0</v>
      </c>
      <c r="T54" s="88">
        <v>82919.126000000004</v>
      </c>
      <c r="U54" s="88">
        <v>0</v>
      </c>
      <c r="V54" s="88">
        <v>0</v>
      </c>
      <c r="W54" s="88">
        <v>0</v>
      </c>
      <c r="X54" s="88">
        <v>0</v>
      </c>
      <c r="Y54" s="88">
        <v>0</v>
      </c>
      <c r="Z54" s="88">
        <v>192.22200000000001</v>
      </c>
      <c r="AA54" s="88">
        <v>133922.10399999999</v>
      </c>
      <c r="AB54" s="88">
        <v>0</v>
      </c>
      <c r="AC54" s="88">
        <v>10534.459000000001</v>
      </c>
      <c r="AD54" s="88">
        <v>118045.81</v>
      </c>
      <c r="AE54" s="88">
        <v>19505.312000000002</v>
      </c>
      <c r="AF54" s="88">
        <v>0</v>
      </c>
      <c r="AG54" s="88">
        <v>845.452</v>
      </c>
      <c r="AH54" s="88">
        <f t="shared" si="31"/>
        <v>0</v>
      </c>
      <c r="AI54" s="88">
        <f>AJ54+AK54</f>
        <v>0</v>
      </c>
      <c r="AJ54" s="88">
        <v>0</v>
      </c>
      <c r="AK54" s="88">
        <v>0</v>
      </c>
      <c r="AL54" s="88">
        <f t="shared" si="32"/>
        <v>56381.53</v>
      </c>
      <c r="AM54" s="88">
        <f t="shared" ref="AM54:AM65" si="35">AN54+AO54+AP54+AQ54+AR54+AS54+AT54+AU54+AV54+AW54+AX54+AZ54+BA54+BB54+AY54</f>
        <v>56381.53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</v>
      </c>
      <c r="AV54" s="88">
        <v>0</v>
      </c>
      <c r="AW54" s="88">
        <v>0</v>
      </c>
      <c r="AX54" s="88">
        <v>0</v>
      </c>
      <c r="AY54" s="88"/>
      <c r="AZ54" s="88">
        <v>0</v>
      </c>
      <c r="BA54" s="88">
        <v>56381.53</v>
      </c>
      <c r="BB54" s="88">
        <v>0</v>
      </c>
      <c r="BC54" s="88">
        <f t="shared" si="33"/>
        <v>34490.789000000004</v>
      </c>
      <c r="BD54" s="88">
        <f>BE54+BF54+BG54+BH54+BI54+BJ54+BK54+BL54</f>
        <v>34490.789000000004</v>
      </c>
      <c r="BE54" s="88">
        <v>2250.0680000000002</v>
      </c>
      <c r="BF54" s="88">
        <v>0</v>
      </c>
      <c r="BG54" s="88">
        <v>0</v>
      </c>
      <c r="BH54" s="88">
        <v>0</v>
      </c>
      <c r="BI54" s="88">
        <v>32240.721000000001</v>
      </c>
      <c r="BJ54" s="88">
        <v>0</v>
      </c>
      <c r="BK54" s="88">
        <v>0</v>
      </c>
      <c r="BL54" s="88">
        <v>0</v>
      </c>
      <c r="BM54" s="88">
        <f t="shared" si="34"/>
        <v>13739.607</v>
      </c>
      <c r="BN54" s="88">
        <f>BO54+BP54+BQ54+BR54+BS54+BT54</f>
        <v>13739.607</v>
      </c>
      <c r="BO54" s="88">
        <v>13739.607</v>
      </c>
      <c r="BP54" s="88">
        <v>0</v>
      </c>
      <c r="BQ54" s="88">
        <v>0</v>
      </c>
      <c r="BR54" s="88">
        <v>0</v>
      </c>
      <c r="BS54" s="88">
        <v>0</v>
      </c>
      <c r="BT54" s="88">
        <v>0</v>
      </c>
      <c r="BU54" s="88">
        <v>12617.817999999999</v>
      </c>
      <c r="BV54" s="88">
        <v>156305.06599999999</v>
      </c>
      <c r="BW54" s="88">
        <v>0</v>
      </c>
      <c r="BX54" s="88">
        <f t="shared" si="7"/>
        <v>788310.30099999998</v>
      </c>
      <c r="BY54" s="88">
        <f t="shared" si="8"/>
        <v>591268.89899999986</v>
      </c>
      <c r="BZ54" s="90">
        <f t="shared" si="9"/>
        <v>197041.40200000012</v>
      </c>
      <c r="CA54" s="88"/>
      <c r="CB54" s="88">
        <f t="shared" si="10"/>
        <v>639499.29499999993</v>
      </c>
      <c r="CC54" s="91">
        <f t="shared" si="11"/>
        <v>639499.29499999993</v>
      </c>
      <c r="CD54" s="87" t="b">
        <f t="shared" si="15"/>
        <v>1</v>
      </c>
    </row>
    <row r="55" spans="1:82" ht="20.399999999999999" hidden="1" customHeight="1" x14ac:dyDescent="0.3">
      <c r="A55" s="37" t="s">
        <v>106</v>
      </c>
      <c r="B55" s="37" t="s">
        <v>57</v>
      </c>
      <c r="C55" s="88">
        <v>90</v>
      </c>
      <c r="D55" s="88">
        <v>1871792</v>
      </c>
      <c r="E55" s="88">
        <v>0</v>
      </c>
      <c r="F55" s="88">
        <v>13</v>
      </c>
      <c r="G55" s="88">
        <v>465045</v>
      </c>
      <c r="H55" s="88">
        <v>0</v>
      </c>
      <c r="I55" s="88">
        <f t="shared" si="12"/>
        <v>2336837</v>
      </c>
      <c r="J55" s="88">
        <f t="shared" si="13"/>
        <v>2742973</v>
      </c>
      <c r="K55" s="88">
        <f t="shared" si="14"/>
        <v>-406136</v>
      </c>
      <c r="L55" s="88">
        <f t="shared" si="30"/>
        <v>884754</v>
      </c>
      <c r="M55" s="89">
        <f>N55+P55+Y55+Z55+AA55+AB55+AC55+AD55+AE55+AF55+AG55</f>
        <v>884754</v>
      </c>
      <c r="N55" s="88">
        <v>359519</v>
      </c>
      <c r="O55" s="88">
        <v>403648</v>
      </c>
      <c r="P55" s="88">
        <v>403648</v>
      </c>
      <c r="Q55" s="88">
        <v>403648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X55" s="88">
        <v>0</v>
      </c>
      <c r="Y55" s="88">
        <v>0</v>
      </c>
      <c r="Z55" s="88">
        <v>7686</v>
      </c>
      <c r="AA55" s="88">
        <v>12691</v>
      </c>
      <c r="AB55" s="88">
        <v>9045</v>
      </c>
      <c r="AC55" s="88">
        <v>6592</v>
      </c>
      <c r="AD55" s="88">
        <v>1855</v>
      </c>
      <c r="AE55" s="88">
        <v>5504</v>
      </c>
      <c r="AF55" s="88">
        <v>61948</v>
      </c>
      <c r="AG55" s="88">
        <v>16266</v>
      </c>
      <c r="AH55" s="88">
        <f t="shared" si="31"/>
        <v>1149388</v>
      </c>
      <c r="AI55" s="88">
        <f>AJ55+AK55</f>
        <v>1149388</v>
      </c>
      <c r="AJ55" s="88">
        <v>1094894</v>
      </c>
      <c r="AK55" s="88">
        <v>54494</v>
      </c>
      <c r="AL55" s="88">
        <f t="shared" si="32"/>
        <v>528816</v>
      </c>
      <c r="AM55" s="88">
        <f t="shared" si="35"/>
        <v>528816</v>
      </c>
      <c r="AN55" s="88">
        <v>0</v>
      </c>
      <c r="AO55" s="88">
        <v>24494</v>
      </c>
      <c r="AP55" s="88">
        <v>0</v>
      </c>
      <c r="AQ55" s="88">
        <v>8564</v>
      </c>
      <c r="AR55" s="88">
        <v>30280</v>
      </c>
      <c r="AS55" s="88">
        <v>56</v>
      </c>
      <c r="AT55" s="88">
        <v>3444</v>
      </c>
      <c r="AU55" s="88">
        <v>8360</v>
      </c>
      <c r="AV55" s="88">
        <v>0</v>
      </c>
      <c r="AW55" s="88">
        <v>172627</v>
      </c>
      <c r="AX55" s="88">
        <v>0</v>
      </c>
      <c r="AY55" s="88">
        <v>10810</v>
      </c>
      <c r="AZ55" s="88">
        <v>231414</v>
      </c>
      <c r="BA55" s="88">
        <v>0</v>
      </c>
      <c r="BB55" s="88">
        <v>38767</v>
      </c>
      <c r="BC55" s="88">
        <f t="shared" si="33"/>
        <v>19316</v>
      </c>
      <c r="BD55" s="88">
        <f>BE55+BF55+BG55+BH55+BI55+BJ55+BK55+BL55</f>
        <v>19316</v>
      </c>
      <c r="BE55" s="88">
        <v>7479</v>
      </c>
      <c r="BF55" s="88">
        <v>0</v>
      </c>
      <c r="BG55" s="88">
        <v>0</v>
      </c>
      <c r="BH55" s="88">
        <v>0</v>
      </c>
      <c r="BI55" s="88">
        <v>0</v>
      </c>
      <c r="BJ55" s="88">
        <v>17</v>
      </c>
      <c r="BK55" s="88">
        <v>240</v>
      </c>
      <c r="BL55" s="88">
        <v>11580</v>
      </c>
      <c r="BM55" s="88">
        <f t="shared" si="34"/>
        <v>457822</v>
      </c>
      <c r="BN55" s="88">
        <v>457822</v>
      </c>
      <c r="BO55" s="88">
        <v>400123</v>
      </c>
      <c r="BP55" s="88">
        <v>0</v>
      </c>
      <c r="BQ55" s="88">
        <v>17728</v>
      </c>
      <c r="BR55" s="88">
        <v>0</v>
      </c>
      <c r="BS55" s="88">
        <v>38510</v>
      </c>
      <c r="BT55" s="88">
        <v>1461</v>
      </c>
      <c r="BU55" s="88">
        <v>77841</v>
      </c>
      <c r="BV55" s="88">
        <v>102174</v>
      </c>
      <c r="BW55" s="88">
        <v>0</v>
      </c>
      <c r="BX55" s="88">
        <f t="shared" si="7"/>
        <v>2336837</v>
      </c>
      <c r="BY55" s="88">
        <f t="shared" si="8"/>
        <v>2742973</v>
      </c>
      <c r="BZ55" s="90">
        <f t="shared" si="9"/>
        <v>-406136</v>
      </c>
      <c r="CA55" s="88"/>
      <c r="CB55" s="88">
        <f t="shared" si="10"/>
        <v>3220111</v>
      </c>
      <c r="CC55" s="91">
        <f t="shared" si="11"/>
        <v>3220111</v>
      </c>
      <c r="CD55" s="87" t="b">
        <f t="shared" si="15"/>
        <v>1</v>
      </c>
    </row>
    <row r="56" spans="1:82" ht="20.399999999999999" hidden="1" customHeight="1" x14ac:dyDescent="0.3">
      <c r="A56" s="37" t="s">
        <v>388</v>
      </c>
      <c r="B56" s="37" t="s">
        <v>255</v>
      </c>
      <c r="C56" s="88">
        <v>2</v>
      </c>
      <c r="D56" s="88">
        <v>10977</v>
      </c>
      <c r="E56" s="88">
        <v>0</v>
      </c>
      <c r="F56" s="88">
        <v>0</v>
      </c>
      <c r="G56" s="88">
        <v>0</v>
      </c>
      <c r="H56" s="88">
        <v>0</v>
      </c>
      <c r="I56" s="88">
        <f t="shared" si="12"/>
        <v>10977</v>
      </c>
      <c r="J56" s="88">
        <f t="shared" si="13"/>
        <v>41353</v>
      </c>
      <c r="K56" s="88">
        <f t="shared" si="14"/>
        <v>-30376</v>
      </c>
      <c r="L56" s="88">
        <f t="shared" si="30"/>
        <v>25419</v>
      </c>
      <c r="M56" s="89">
        <f>N56+P56+Y56+Z56+AA56+AB56+AC56+AD56+AE56+AF56+AG56</f>
        <v>25419</v>
      </c>
      <c r="N56" s="88">
        <v>335</v>
      </c>
      <c r="O56" s="88">
        <f t="shared" ref="O56:O66" si="36">SUM(Q56:X56)</f>
        <v>0</v>
      </c>
      <c r="P56" s="88">
        <f>Q56+R56+S56+T56+U56+V56+W56+X56</f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/>
      <c r="W56" s="88">
        <v>0</v>
      </c>
      <c r="X56" s="88">
        <v>0</v>
      </c>
      <c r="Y56" s="88">
        <v>0</v>
      </c>
      <c r="Z56" s="88">
        <v>0</v>
      </c>
      <c r="AA56" s="88">
        <v>0</v>
      </c>
      <c r="AB56" s="88">
        <v>0</v>
      </c>
      <c r="AC56" s="88">
        <v>0</v>
      </c>
      <c r="AD56" s="88">
        <v>0</v>
      </c>
      <c r="AE56" s="88">
        <v>25084</v>
      </c>
      <c r="AF56" s="88">
        <v>0</v>
      </c>
      <c r="AG56" s="88">
        <v>0</v>
      </c>
      <c r="AH56" s="88">
        <f t="shared" si="31"/>
        <v>0</v>
      </c>
      <c r="AI56" s="88">
        <f>AJ56+AK56</f>
        <v>0</v>
      </c>
      <c r="AJ56" s="88">
        <v>0</v>
      </c>
      <c r="AK56" s="88">
        <v>0</v>
      </c>
      <c r="AL56" s="88">
        <f t="shared" si="32"/>
        <v>2769</v>
      </c>
      <c r="AM56" s="88">
        <f t="shared" si="35"/>
        <v>2769</v>
      </c>
      <c r="AN56" s="88">
        <v>0</v>
      </c>
      <c r="AO56" s="88">
        <v>1200</v>
      </c>
      <c r="AP56" s="88">
        <v>0</v>
      </c>
      <c r="AQ56" s="88">
        <v>1145</v>
      </c>
      <c r="AR56" s="88">
        <v>295</v>
      </c>
      <c r="AS56" s="88">
        <v>0</v>
      </c>
      <c r="AT56" s="88">
        <v>0</v>
      </c>
      <c r="AU56" s="88">
        <v>0</v>
      </c>
      <c r="AV56" s="88">
        <v>0</v>
      </c>
      <c r="AW56" s="88">
        <v>0</v>
      </c>
      <c r="AX56" s="88">
        <v>0</v>
      </c>
      <c r="AY56" s="88">
        <v>129</v>
      </c>
      <c r="AZ56" s="88">
        <v>0</v>
      </c>
      <c r="BA56" s="88">
        <v>0</v>
      </c>
      <c r="BB56" s="88">
        <v>0</v>
      </c>
      <c r="BC56" s="88">
        <f t="shared" si="33"/>
        <v>3946</v>
      </c>
      <c r="BD56" s="88">
        <f>BE56+BF56+BG56+BH56+BI56+BJ56+BK56+BL56</f>
        <v>3946</v>
      </c>
      <c r="BE56" s="88">
        <v>0</v>
      </c>
      <c r="BF56" s="88">
        <v>0</v>
      </c>
      <c r="BG56" s="88">
        <v>0</v>
      </c>
      <c r="BH56" s="88">
        <v>3946</v>
      </c>
      <c r="BI56" s="88">
        <v>0</v>
      </c>
      <c r="BJ56" s="88">
        <v>0</v>
      </c>
      <c r="BK56" s="88">
        <v>0</v>
      </c>
      <c r="BL56" s="88">
        <v>0</v>
      </c>
      <c r="BM56" s="88">
        <f t="shared" si="34"/>
        <v>97225</v>
      </c>
      <c r="BN56" s="88">
        <f>BO56+BP56+BQ56+BR56+BS56+BT56</f>
        <v>97225</v>
      </c>
      <c r="BO56" s="88">
        <v>97225</v>
      </c>
      <c r="BP56" s="88">
        <v>0</v>
      </c>
      <c r="BQ56" s="88">
        <v>0</v>
      </c>
      <c r="BR56" s="88">
        <v>0</v>
      </c>
      <c r="BS56" s="88">
        <v>0</v>
      </c>
      <c r="BT56" s="88">
        <v>0</v>
      </c>
      <c r="BU56" s="88">
        <v>13165</v>
      </c>
      <c r="BV56" s="88">
        <v>0</v>
      </c>
      <c r="BW56" s="88">
        <v>0</v>
      </c>
      <c r="BX56" s="88">
        <f t="shared" si="7"/>
        <v>10977</v>
      </c>
      <c r="BY56" s="88">
        <f t="shared" si="8"/>
        <v>41353</v>
      </c>
      <c r="BZ56" s="90">
        <f t="shared" si="9"/>
        <v>-30376</v>
      </c>
      <c r="CA56" s="88"/>
      <c r="CB56" s="88">
        <f t="shared" si="10"/>
        <v>142524</v>
      </c>
      <c r="CC56" s="91">
        <f t="shared" si="11"/>
        <v>142524</v>
      </c>
      <c r="CD56" s="87" t="b">
        <f t="shared" si="15"/>
        <v>1</v>
      </c>
    </row>
    <row r="57" spans="1:82" ht="20.399999999999999" hidden="1" customHeight="1" x14ac:dyDescent="0.3">
      <c r="A57" s="37" t="s">
        <v>567</v>
      </c>
      <c r="B57" s="37" t="s">
        <v>46</v>
      </c>
      <c r="C57" s="88">
        <v>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8">
        <f t="shared" si="12"/>
        <v>0</v>
      </c>
      <c r="J57" s="88">
        <f t="shared" si="13"/>
        <v>358061</v>
      </c>
      <c r="K57" s="88">
        <f t="shared" si="14"/>
        <v>-358061</v>
      </c>
      <c r="L57" s="88">
        <f t="shared" si="30"/>
        <v>256603</v>
      </c>
      <c r="M57" s="89">
        <v>256603</v>
      </c>
      <c r="N57" s="88">
        <v>7581</v>
      </c>
      <c r="O57" s="88">
        <f t="shared" si="36"/>
        <v>72757</v>
      </c>
      <c r="P57" s="88">
        <v>72757</v>
      </c>
      <c r="Q57" s="88">
        <v>168.92794033662028</v>
      </c>
      <c r="R57" s="88">
        <v>0</v>
      </c>
      <c r="S57" s="88">
        <v>0</v>
      </c>
      <c r="T57" s="88">
        <v>0</v>
      </c>
      <c r="U57" s="88">
        <v>66235.745958555359</v>
      </c>
      <c r="V57" s="88">
        <v>1094.6950976686719</v>
      </c>
      <c r="W57" s="88">
        <v>0</v>
      </c>
      <c r="X57" s="88">
        <v>5257.6310034393391</v>
      </c>
      <c r="Y57" s="88">
        <v>329</v>
      </c>
      <c r="Z57" s="88">
        <v>3160</v>
      </c>
      <c r="AA57" s="88">
        <v>128953</v>
      </c>
      <c r="AB57" s="88">
        <v>0</v>
      </c>
      <c r="AC57" s="88">
        <v>0</v>
      </c>
      <c r="AD57" s="88">
        <v>37902</v>
      </c>
      <c r="AE57" s="88">
        <v>251</v>
      </c>
      <c r="AF57" s="88">
        <v>5667</v>
      </c>
      <c r="AG57" s="88">
        <v>3</v>
      </c>
      <c r="AH57" s="88">
        <f t="shared" si="31"/>
        <v>4425</v>
      </c>
      <c r="AI57" s="88">
        <v>4425</v>
      </c>
      <c r="AJ57" s="88">
        <v>3552</v>
      </c>
      <c r="AK57" s="88">
        <v>873</v>
      </c>
      <c r="AL57" s="88">
        <f t="shared" si="32"/>
        <v>97033</v>
      </c>
      <c r="AM57" s="88">
        <f t="shared" si="35"/>
        <v>97033</v>
      </c>
      <c r="AN57" s="88">
        <v>0</v>
      </c>
      <c r="AO57" s="88">
        <v>8487</v>
      </c>
      <c r="AP57" s="88">
        <v>0</v>
      </c>
      <c r="AQ57" s="88">
        <v>36438</v>
      </c>
      <c r="AR57" s="88">
        <v>437</v>
      </c>
      <c r="AS57" s="88">
        <v>500</v>
      </c>
      <c r="AT57" s="88">
        <v>0</v>
      </c>
      <c r="AU57" s="88">
        <v>447</v>
      </c>
      <c r="AV57" s="31"/>
      <c r="AW57" s="88">
        <v>8114</v>
      </c>
      <c r="AX57" s="88">
        <v>0</v>
      </c>
      <c r="AY57" s="88">
        <v>1134</v>
      </c>
      <c r="AZ57" s="88">
        <v>0</v>
      </c>
      <c r="BA57" s="88">
        <v>31884</v>
      </c>
      <c r="BB57" s="88">
        <v>9592</v>
      </c>
      <c r="BC57" s="88">
        <f t="shared" si="33"/>
        <v>31535</v>
      </c>
      <c r="BD57" s="88">
        <v>31535</v>
      </c>
      <c r="BE57" s="88">
        <v>0</v>
      </c>
      <c r="BF57" s="88">
        <v>2814</v>
      </c>
      <c r="BG57" s="88">
        <v>0</v>
      </c>
      <c r="BH57" s="88">
        <v>0</v>
      </c>
      <c r="BI57" s="88">
        <v>28636</v>
      </c>
      <c r="BJ57" s="88">
        <v>85</v>
      </c>
      <c r="BK57" s="88">
        <v>0</v>
      </c>
      <c r="BL57" s="88">
        <v>0</v>
      </c>
      <c r="BM57" s="88">
        <f t="shared" si="34"/>
        <v>130118</v>
      </c>
      <c r="BN57" s="88">
        <v>130118</v>
      </c>
      <c r="BO57" s="88">
        <v>117674</v>
      </c>
      <c r="BP57" s="88">
        <v>0</v>
      </c>
      <c r="BQ57" s="88">
        <v>0</v>
      </c>
      <c r="BR57" s="88">
        <v>0</v>
      </c>
      <c r="BS57" s="88">
        <v>12444</v>
      </c>
      <c r="BT57" s="88">
        <v>0</v>
      </c>
      <c r="BU57" s="88">
        <v>0</v>
      </c>
      <c r="BV57" s="88">
        <v>0</v>
      </c>
      <c r="BW57" s="88">
        <v>31672</v>
      </c>
      <c r="BX57" s="88">
        <f t="shared" si="7"/>
        <v>0</v>
      </c>
      <c r="BY57" s="88">
        <f t="shared" si="8"/>
        <v>358061</v>
      </c>
      <c r="BZ57" s="90">
        <f t="shared" si="9"/>
        <v>-358061</v>
      </c>
      <c r="CA57" s="88"/>
      <c r="CB57" s="88">
        <f t="shared" si="10"/>
        <v>551386</v>
      </c>
      <c r="CC57" s="91">
        <f t="shared" si="11"/>
        <v>551386</v>
      </c>
      <c r="CD57" s="87" t="b">
        <f t="shared" si="15"/>
        <v>1</v>
      </c>
    </row>
    <row r="58" spans="1:82" ht="20.399999999999999" hidden="1" customHeight="1" x14ac:dyDescent="0.3">
      <c r="A58" s="37" t="s">
        <v>569</v>
      </c>
      <c r="B58" s="37" t="s">
        <v>41</v>
      </c>
      <c r="C58" s="88">
        <v>106</v>
      </c>
      <c r="D58" s="88">
        <v>25806918.820999999</v>
      </c>
      <c r="E58" s="88">
        <v>0</v>
      </c>
      <c r="F58" s="88">
        <v>33</v>
      </c>
      <c r="G58" s="88">
        <v>1506169.845</v>
      </c>
      <c r="H58" s="88">
        <v>0</v>
      </c>
      <c r="I58" s="88">
        <f t="shared" si="12"/>
        <v>27313088.665999997</v>
      </c>
      <c r="J58" s="88">
        <f t="shared" si="13"/>
        <v>23239261.219000001</v>
      </c>
      <c r="K58" s="88">
        <f t="shared" si="14"/>
        <v>4073827.4469999969</v>
      </c>
      <c r="L58" s="88">
        <f t="shared" si="30"/>
        <v>6132773.3190000001</v>
      </c>
      <c r="M58" s="89">
        <f>N58+P58+Y58+Z58+AA58+AB58+AC58+AD58+AE58+AF58+AG58</f>
        <v>6132773.3190000001</v>
      </c>
      <c r="N58" s="88">
        <v>755897</v>
      </c>
      <c r="O58" s="88">
        <f t="shared" si="36"/>
        <v>4946321.8720000004</v>
      </c>
      <c r="P58" s="88">
        <v>4946321.8720000004</v>
      </c>
      <c r="Q58" s="88"/>
      <c r="R58" s="88">
        <v>3006.4670000000001</v>
      </c>
      <c r="S58" s="88">
        <v>4860344.3569999998</v>
      </c>
      <c r="T58" s="88"/>
      <c r="U58" s="88"/>
      <c r="V58" s="88">
        <v>82971.047999999995</v>
      </c>
      <c r="W58" s="88"/>
      <c r="X58" s="88"/>
      <c r="Y58" s="88">
        <v>8946</v>
      </c>
      <c r="Z58" s="88">
        <v>2393</v>
      </c>
      <c r="AA58" s="88">
        <v>272729</v>
      </c>
      <c r="AB58" s="88">
        <v>0</v>
      </c>
      <c r="AC58" s="88">
        <v>33701.673999999999</v>
      </c>
      <c r="AD58" s="88">
        <v>3682.3</v>
      </c>
      <c r="AE58" s="88">
        <v>43622.315999999999</v>
      </c>
      <c r="AF58" s="88">
        <v>63842.53</v>
      </c>
      <c r="AG58" s="88">
        <v>1637.627</v>
      </c>
      <c r="AH58" s="88">
        <f t="shared" si="31"/>
        <v>11200746.9</v>
      </c>
      <c r="AI58" s="88">
        <f t="shared" ref="AI58:AI65" si="37">AJ58+AK58</f>
        <v>11200746.9</v>
      </c>
      <c r="AJ58" s="88">
        <v>11190439</v>
      </c>
      <c r="AK58" s="88">
        <v>10307.9</v>
      </c>
      <c r="AL58" s="88">
        <f t="shared" si="32"/>
        <v>3584002</v>
      </c>
      <c r="AM58" s="88">
        <f t="shared" si="35"/>
        <v>3584002</v>
      </c>
      <c r="AN58" s="88">
        <v>851060</v>
      </c>
      <c r="AO58" s="88">
        <v>618563</v>
      </c>
      <c r="AP58" s="88">
        <v>0</v>
      </c>
      <c r="AQ58" s="88">
        <v>949386</v>
      </c>
      <c r="AR58" s="88">
        <v>208190</v>
      </c>
      <c r="AS58" s="88">
        <v>22618</v>
      </c>
      <c r="AT58" s="88">
        <v>0</v>
      </c>
      <c r="AU58" s="88">
        <v>20987</v>
      </c>
      <c r="AV58" s="88">
        <v>199303</v>
      </c>
      <c r="AW58" s="88">
        <v>361104</v>
      </c>
      <c r="AX58" s="88">
        <v>0</v>
      </c>
      <c r="AY58" s="88">
        <v>76523</v>
      </c>
      <c r="AZ58" s="88">
        <v>0</v>
      </c>
      <c r="BA58" s="88">
        <v>166803</v>
      </c>
      <c r="BB58" s="88">
        <v>109465</v>
      </c>
      <c r="BC58" s="88">
        <f t="shared" si="33"/>
        <v>486735.56800000003</v>
      </c>
      <c r="BD58" s="88">
        <v>486735.56800000003</v>
      </c>
      <c r="BE58" s="88">
        <v>3862</v>
      </c>
      <c r="BF58" s="88">
        <v>3459</v>
      </c>
      <c r="BG58" s="88">
        <v>0</v>
      </c>
      <c r="BH58" s="88">
        <v>0</v>
      </c>
      <c r="BI58" s="88">
        <v>477274</v>
      </c>
      <c r="BJ58" s="88">
        <v>2101.5680000000002</v>
      </c>
      <c r="BK58" s="88">
        <v>39</v>
      </c>
      <c r="BL58" s="88">
        <v>0</v>
      </c>
      <c r="BM58" s="88">
        <f t="shared" si="34"/>
        <v>2168952</v>
      </c>
      <c r="BN58" s="88">
        <f t="shared" ref="BN58:BN65" si="38">BO58+BP58+BQ58+BR58+BS58+BT58</f>
        <v>2168952</v>
      </c>
      <c r="BO58" s="88">
        <v>1447826</v>
      </c>
      <c r="BP58" s="88">
        <v>412895</v>
      </c>
      <c r="BQ58" s="88">
        <v>21258</v>
      </c>
      <c r="BR58" s="88">
        <v>0</v>
      </c>
      <c r="BS58" s="88">
        <v>106106</v>
      </c>
      <c r="BT58" s="88">
        <v>180867</v>
      </c>
      <c r="BU58" s="88">
        <v>1897938</v>
      </c>
      <c r="BV58" s="88">
        <v>423801</v>
      </c>
      <c r="BW58" s="88">
        <v>0</v>
      </c>
      <c r="BX58" s="88">
        <f t="shared" si="7"/>
        <v>27313088.665999997</v>
      </c>
      <c r="BY58" s="88">
        <f t="shared" si="8"/>
        <v>23239261.219000001</v>
      </c>
      <c r="BZ58" s="90">
        <f t="shared" si="9"/>
        <v>4073827.4469999969</v>
      </c>
      <c r="CA58" s="88"/>
      <c r="CB58" s="88">
        <f t="shared" si="10"/>
        <v>25894948.787</v>
      </c>
      <c r="CC58" s="91">
        <f t="shared" si="11"/>
        <v>25894948.787</v>
      </c>
      <c r="CD58" s="87" t="b">
        <f t="shared" si="15"/>
        <v>1</v>
      </c>
    </row>
    <row r="59" spans="1:82" ht="20.399999999999999" hidden="1" customHeight="1" x14ac:dyDescent="0.3">
      <c r="A59" s="37" t="s">
        <v>391</v>
      </c>
      <c r="B59" s="37" t="s">
        <v>255</v>
      </c>
      <c r="C59" s="88">
        <v>19</v>
      </c>
      <c r="D59" s="88">
        <v>518409</v>
      </c>
      <c r="E59" s="88">
        <v>98</v>
      </c>
      <c r="F59" s="88">
        <v>0</v>
      </c>
      <c r="G59" s="88">
        <v>13028</v>
      </c>
      <c r="H59" s="88">
        <v>2</v>
      </c>
      <c r="I59" s="88">
        <f t="shared" si="12"/>
        <v>531437</v>
      </c>
      <c r="J59" s="88">
        <f t="shared" si="13"/>
        <v>139104</v>
      </c>
      <c r="K59" s="88">
        <f t="shared" si="14"/>
        <v>392333</v>
      </c>
      <c r="L59" s="88">
        <f t="shared" si="30"/>
        <v>59295</v>
      </c>
      <c r="M59" s="89">
        <f>N59+P59+Y59+Z59+AA59+AB59+AC59+AD59+AE59+AF59+AG59</f>
        <v>59295</v>
      </c>
      <c r="N59" s="88">
        <v>3857</v>
      </c>
      <c r="O59" s="88">
        <f t="shared" si="36"/>
        <v>4964</v>
      </c>
      <c r="P59" s="88">
        <f>Q59+R59+S59+T59+U59+V59+W59+X59</f>
        <v>4964</v>
      </c>
      <c r="Q59" s="88">
        <v>0</v>
      </c>
      <c r="R59" s="88">
        <v>0</v>
      </c>
      <c r="S59" s="88">
        <v>0</v>
      </c>
      <c r="T59" s="88">
        <v>4964</v>
      </c>
      <c r="U59" s="88">
        <v>0</v>
      </c>
      <c r="V59" s="88">
        <v>0</v>
      </c>
      <c r="W59" s="88">
        <v>0</v>
      </c>
      <c r="X59" s="88">
        <v>0</v>
      </c>
      <c r="Y59" s="88">
        <v>1214</v>
      </c>
      <c r="Z59" s="88">
        <v>1026</v>
      </c>
      <c r="AA59" s="88">
        <v>1440</v>
      </c>
      <c r="AB59" s="88">
        <v>0</v>
      </c>
      <c r="AC59" s="88">
        <v>1080</v>
      </c>
      <c r="AD59" s="88">
        <v>148</v>
      </c>
      <c r="AE59" s="88">
        <v>44000</v>
      </c>
      <c r="AF59" s="88">
        <v>1566</v>
      </c>
      <c r="AG59" s="88">
        <v>0</v>
      </c>
      <c r="AH59" s="88">
        <f t="shared" si="31"/>
        <v>1825</v>
      </c>
      <c r="AI59" s="88">
        <f t="shared" si="37"/>
        <v>1825</v>
      </c>
      <c r="AJ59" s="88">
        <v>0</v>
      </c>
      <c r="AK59" s="88">
        <v>1825</v>
      </c>
      <c r="AL59" s="88">
        <f t="shared" si="32"/>
        <v>69988</v>
      </c>
      <c r="AM59" s="88">
        <f t="shared" si="35"/>
        <v>69988</v>
      </c>
      <c r="AN59" s="88">
        <v>39674</v>
      </c>
      <c r="AO59" s="88">
        <v>10200</v>
      </c>
      <c r="AP59" s="88">
        <v>0</v>
      </c>
      <c r="AQ59" s="88">
        <v>2249</v>
      </c>
      <c r="AR59" s="88">
        <v>1040</v>
      </c>
      <c r="AS59" s="88">
        <v>944</v>
      </c>
      <c r="AT59" s="88">
        <v>0</v>
      </c>
      <c r="AU59" s="88">
        <v>830</v>
      </c>
      <c r="AV59" s="88">
        <v>0</v>
      </c>
      <c r="AW59" s="88">
        <v>9005</v>
      </c>
      <c r="AX59" s="88">
        <v>5000</v>
      </c>
      <c r="AY59" s="88">
        <v>1046</v>
      </c>
      <c r="AZ59" s="88">
        <v>0</v>
      </c>
      <c r="BA59" s="88">
        <v>0</v>
      </c>
      <c r="BB59" s="88">
        <v>0</v>
      </c>
      <c r="BC59" s="88">
        <f t="shared" si="33"/>
        <v>696</v>
      </c>
      <c r="BD59" s="88">
        <f t="shared" ref="BD59:BD66" si="39">BE59+BF59+BG59+BH59+BI59+BJ59+BK59+BL59</f>
        <v>696</v>
      </c>
      <c r="BE59" s="88">
        <v>0</v>
      </c>
      <c r="BF59" s="88">
        <v>130</v>
      </c>
      <c r="BG59" s="88">
        <v>0</v>
      </c>
      <c r="BH59" s="88">
        <v>566</v>
      </c>
      <c r="BI59" s="88">
        <v>0</v>
      </c>
      <c r="BJ59" s="88">
        <v>0</v>
      </c>
      <c r="BK59" s="88">
        <v>0</v>
      </c>
      <c r="BL59" s="88">
        <v>0</v>
      </c>
      <c r="BM59" s="88">
        <f t="shared" si="34"/>
        <v>42255</v>
      </c>
      <c r="BN59" s="88">
        <f t="shared" si="38"/>
        <v>42255</v>
      </c>
      <c r="BO59" s="88">
        <v>29715</v>
      </c>
      <c r="BP59" s="88">
        <v>8540</v>
      </c>
      <c r="BQ59" s="88">
        <v>1414</v>
      </c>
      <c r="BR59" s="88">
        <v>0</v>
      </c>
      <c r="BS59" s="88">
        <v>2586</v>
      </c>
      <c r="BT59" s="88">
        <v>0</v>
      </c>
      <c r="BU59" s="88">
        <v>7996</v>
      </c>
      <c r="BV59" s="88">
        <v>0</v>
      </c>
      <c r="BW59" s="88">
        <v>0</v>
      </c>
      <c r="BX59" s="88">
        <f t="shared" si="7"/>
        <v>531437</v>
      </c>
      <c r="BY59" s="88">
        <f t="shared" si="8"/>
        <v>139104</v>
      </c>
      <c r="BZ59" s="90">
        <f t="shared" si="9"/>
        <v>392333</v>
      </c>
      <c r="CA59" s="88"/>
      <c r="CB59" s="88">
        <f t="shared" si="10"/>
        <v>182055</v>
      </c>
      <c r="CC59" s="91">
        <f t="shared" si="11"/>
        <v>182055</v>
      </c>
      <c r="CD59" s="87" t="b">
        <f t="shared" si="15"/>
        <v>1</v>
      </c>
    </row>
    <row r="60" spans="1:82" ht="20.399999999999999" hidden="1" customHeight="1" x14ac:dyDescent="0.3">
      <c r="A60" s="37" t="s">
        <v>572</v>
      </c>
      <c r="B60" s="37" t="s">
        <v>41</v>
      </c>
      <c r="C60" s="88">
        <v>97</v>
      </c>
      <c r="D60" s="88">
        <v>1039302</v>
      </c>
      <c r="E60" s="88">
        <v>59</v>
      </c>
      <c r="F60" s="88">
        <v>11</v>
      </c>
      <c r="G60" s="88">
        <v>717862</v>
      </c>
      <c r="H60" s="88">
        <v>41</v>
      </c>
      <c r="I60" s="88">
        <f t="shared" si="12"/>
        <v>1757164</v>
      </c>
      <c r="J60" s="88">
        <f t="shared" si="13"/>
        <v>7615787</v>
      </c>
      <c r="K60" s="88">
        <f t="shared" si="14"/>
        <v>-5858623</v>
      </c>
      <c r="L60" s="88">
        <f t="shared" si="30"/>
        <v>605408</v>
      </c>
      <c r="M60" s="89">
        <f>N60+P60+Y60+Z60+AA60+AB60+AC60+AD60+AE60+AF60+AG60</f>
        <v>605408</v>
      </c>
      <c r="N60" s="88">
        <v>53343</v>
      </c>
      <c r="O60" s="88">
        <f t="shared" si="36"/>
        <v>0</v>
      </c>
      <c r="P60" s="88">
        <f>Q60+R60+S60+T60+U60+V60+W60+X60</f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  <c r="X60" s="88">
        <v>0</v>
      </c>
      <c r="Y60" s="88">
        <v>1531</v>
      </c>
      <c r="Z60" s="88">
        <v>9994</v>
      </c>
      <c r="AA60" s="88">
        <v>160097</v>
      </c>
      <c r="AB60" s="88">
        <v>173039</v>
      </c>
      <c r="AC60" s="88">
        <v>28147</v>
      </c>
      <c r="AD60" s="88">
        <v>0</v>
      </c>
      <c r="AE60" s="88">
        <v>432</v>
      </c>
      <c r="AF60" s="88">
        <v>121231</v>
      </c>
      <c r="AG60" s="88">
        <v>57594</v>
      </c>
      <c r="AH60" s="88">
        <f t="shared" si="31"/>
        <v>4785671</v>
      </c>
      <c r="AI60" s="88">
        <f t="shared" si="37"/>
        <v>4785671</v>
      </c>
      <c r="AJ60" s="88">
        <v>4761305</v>
      </c>
      <c r="AK60" s="88">
        <v>24366</v>
      </c>
      <c r="AL60" s="88">
        <f t="shared" si="32"/>
        <v>2036285</v>
      </c>
      <c r="AM60" s="88">
        <f t="shared" si="35"/>
        <v>2036285</v>
      </c>
      <c r="AN60" s="88">
        <v>785297</v>
      </c>
      <c r="AO60" s="88">
        <v>174550</v>
      </c>
      <c r="AP60" s="88">
        <v>0</v>
      </c>
      <c r="AQ60" s="88">
        <v>4597</v>
      </c>
      <c r="AR60" s="88">
        <v>37677</v>
      </c>
      <c r="AS60" s="88">
        <v>50</v>
      </c>
      <c r="AT60" s="88">
        <v>17329</v>
      </c>
      <c r="AU60" s="88">
        <v>26666</v>
      </c>
      <c r="AV60" s="88">
        <v>0</v>
      </c>
      <c r="AW60" s="88">
        <v>652138</v>
      </c>
      <c r="AX60" s="88">
        <v>0</v>
      </c>
      <c r="AY60" s="88">
        <v>54925</v>
      </c>
      <c r="AZ60" s="88">
        <v>24244</v>
      </c>
      <c r="BA60" s="88">
        <v>220811</v>
      </c>
      <c r="BB60" s="88">
        <v>38001</v>
      </c>
      <c r="BC60" s="88">
        <f t="shared" si="33"/>
        <v>75322</v>
      </c>
      <c r="BD60" s="88">
        <f t="shared" si="39"/>
        <v>75322</v>
      </c>
      <c r="BE60" s="31"/>
      <c r="BF60" s="88"/>
      <c r="BG60" s="88">
        <v>0</v>
      </c>
      <c r="BH60" s="88">
        <v>0</v>
      </c>
      <c r="BI60" s="88">
        <v>71010</v>
      </c>
      <c r="BJ60" s="88">
        <v>0</v>
      </c>
      <c r="BK60" s="88">
        <v>0</v>
      </c>
      <c r="BL60" s="88">
        <v>4312</v>
      </c>
      <c r="BM60" s="88">
        <f t="shared" si="34"/>
        <v>598853</v>
      </c>
      <c r="BN60" s="88">
        <f t="shared" si="38"/>
        <v>598853</v>
      </c>
      <c r="BO60" s="88">
        <v>324750</v>
      </c>
      <c r="BP60" s="88">
        <v>107187</v>
      </c>
      <c r="BQ60" s="88">
        <v>47002</v>
      </c>
      <c r="BR60" s="88">
        <v>0</v>
      </c>
      <c r="BS60" s="88">
        <v>41118</v>
      </c>
      <c r="BT60" s="88">
        <v>78796</v>
      </c>
      <c r="BU60" s="88">
        <v>24340</v>
      </c>
      <c r="BV60" s="88">
        <v>164083</v>
      </c>
      <c r="BW60" s="88">
        <v>5000</v>
      </c>
      <c r="BX60" s="88">
        <f t="shared" si="7"/>
        <v>1757164</v>
      </c>
      <c r="BY60" s="88">
        <f t="shared" si="8"/>
        <v>7615787</v>
      </c>
      <c r="BZ60" s="90">
        <f t="shared" si="9"/>
        <v>-5858623</v>
      </c>
      <c r="CA60" s="88"/>
      <c r="CB60" s="88">
        <f t="shared" si="10"/>
        <v>8294962</v>
      </c>
      <c r="CC60" s="91">
        <f t="shared" si="11"/>
        <v>8294962</v>
      </c>
      <c r="CD60" s="87" t="b">
        <f t="shared" si="15"/>
        <v>1</v>
      </c>
    </row>
    <row r="61" spans="1:82" ht="20.399999999999999" hidden="1" customHeight="1" x14ac:dyDescent="0.3">
      <c r="A61" s="44" t="s">
        <v>128</v>
      </c>
      <c r="B61" s="37" t="s">
        <v>41</v>
      </c>
      <c r="C61" s="88">
        <v>619</v>
      </c>
      <c r="D61" s="88">
        <v>107865005</v>
      </c>
      <c r="E61" s="94">
        <v>0.57999999999999996</v>
      </c>
      <c r="F61" s="88">
        <v>224</v>
      </c>
      <c r="G61" s="88">
        <v>76858944</v>
      </c>
      <c r="H61" s="94">
        <v>0.42</v>
      </c>
      <c r="I61" s="88">
        <f t="shared" si="12"/>
        <v>184723949</v>
      </c>
      <c r="J61" s="88">
        <f t="shared" si="13"/>
        <v>132703448</v>
      </c>
      <c r="K61" s="88">
        <f t="shared" si="14"/>
        <v>52020501</v>
      </c>
      <c r="L61" s="88">
        <f t="shared" si="30"/>
        <v>91823236</v>
      </c>
      <c r="M61" s="89">
        <f>N61+P61+Y61+Z61+AA61+AB61+AC61+AD61+AE61+AF61+AG61</f>
        <v>91823236</v>
      </c>
      <c r="N61" s="88">
        <v>60559815</v>
      </c>
      <c r="O61" s="88">
        <f t="shared" si="36"/>
        <v>18774627</v>
      </c>
      <c r="P61" s="88">
        <v>18774627</v>
      </c>
      <c r="Q61" s="88"/>
      <c r="R61" s="88"/>
      <c r="S61" s="88"/>
      <c r="T61" s="88"/>
      <c r="U61" s="88">
        <v>913765</v>
      </c>
      <c r="V61" s="88"/>
      <c r="W61" s="88">
        <v>14081313</v>
      </c>
      <c r="X61" s="88">
        <v>3779549</v>
      </c>
      <c r="Y61" s="88">
        <v>59022</v>
      </c>
      <c r="Z61" s="88">
        <v>353003</v>
      </c>
      <c r="AA61" s="88">
        <v>12076769</v>
      </c>
      <c r="AB61" s="88"/>
      <c r="AC61" s="88"/>
      <c r="AD61" s="88"/>
      <c r="AE61" s="88"/>
      <c r="AF61" s="88"/>
      <c r="AG61" s="88"/>
      <c r="AH61" s="88">
        <f t="shared" si="31"/>
        <v>374828</v>
      </c>
      <c r="AI61" s="88">
        <f t="shared" si="37"/>
        <v>374828</v>
      </c>
      <c r="AJ61" s="88">
        <v>224042</v>
      </c>
      <c r="AK61" s="88">
        <v>150786</v>
      </c>
      <c r="AL61" s="88">
        <f t="shared" si="32"/>
        <v>26936382</v>
      </c>
      <c r="AM61" s="88">
        <f t="shared" si="35"/>
        <v>26936382</v>
      </c>
      <c r="AN61" s="88">
        <v>5666194</v>
      </c>
      <c r="AO61" s="88">
        <v>8480911</v>
      </c>
      <c r="AP61" s="88"/>
      <c r="AQ61" s="88">
        <v>4888787</v>
      </c>
      <c r="AR61" s="88">
        <v>464772</v>
      </c>
      <c r="AS61" s="88">
        <v>19330</v>
      </c>
      <c r="AT61" s="88">
        <v>515073</v>
      </c>
      <c r="AU61" s="88">
        <v>262334</v>
      </c>
      <c r="AV61" s="88"/>
      <c r="AW61" s="88">
        <v>3135135</v>
      </c>
      <c r="AX61" s="88">
        <v>84084</v>
      </c>
      <c r="AY61" s="88">
        <v>699772</v>
      </c>
      <c r="AZ61" s="88">
        <v>269096</v>
      </c>
      <c r="BA61" s="88">
        <v>2172750</v>
      </c>
      <c r="BB61" s="88">
        <v>278144</v>
      </c>
      <c r="BC61" s="88">
        <f t="shared" si="33"/>
        <v>1978594</v>
      </c>
      <c r="BD61" s="88">
        <f t="shared" si="39"/>
        <v>1978594</v>
      </c>
      <c r="BE61" s="88">
        <v>1729072</v>
      </c>
      <c r="BF61" s="88">
        <v>28246</v>
      </c>
      <c r="BG61" s="88"/>
      <c r="BH61" s="88"/>
      <c r="BI61" s="88"/>
      <c r="BJ61" s="88">
        <v>5203</v>
      </c>
      <c r="BK61" s="88">
        <v>18416</v>
      </c>
      <c r="BL61" s="88">
        <v>197657</v>
      </c>
      <c r="BM61" s="88">
        <f t="shared" si="34"/>
        <v>8877475</v>
      </c>
      <c r="BN61" s="88">
        <f t="shared" si="38"/>
        <v>8877475</v>
      </c>
      <c r="BO61" s="88">
        <v>6473900</v>
      </c>
      <c r="BP61" s="88">
        <v>358152</v>
      </c>
      <c r="BQ61" s="88"/>
      <c r="BR61" s="88"/>
      <c r="BS61" s="88">
        <v>501702</v>
      </c>
      <c r="BT61" s="88">
        <v>1543721</v>
      </c>
      <c r="BU61" s="88">
        <v>2250161</v>
      </c>
      <c r="BV61" s="88">
        <v>11318841</v>
      </c>
      <c r="BW61" s="88">
        <v>2497319</v>
      </c>
      <c r="BX61" s="88">
        <f t="shared" si="7"/>
        <v>184723949</v>
      </c>
      <c r="BY61" s="88">
        <f t="shared" si="8"/>
        <v>132703448</v>
      </c>
      <c r="BZ61" s="90">
        <f t="shared" si="9"/>
        <v>52020501</v>
      </c>
      <c r="CA61" s="88"/>
      <c r="CB61" s="88">
        <f t="shared" si="10"/>
        <v>146056836</v>
      </c>
      <c r="CC61" s="91">
        <f t="shared" si="11"/>
        <v>146056836</v>
      </c>
      <c r="CD61" s="87" t="b">
        <f t="shared" si="15"/>
        <v>1</v>
      </c>
    </row>
    <row r="62" spans="1:82" ht="20.399999999999999" hidden="1" customHeight="1" x14ac:dyDescent="0.3">
      <c r="A62" s="37" t="s">
        <v>590</v>
      </c>
      <c r="B62" s="37" t="s">
        <v>255</v>
      </c>
      <c r="C62" s="88">
        <v>3</v>
      </c>
      <c r="D62" s="88">
        <v>112120</v>
      </c>
      <c r="E62" s="88">
        <v>0</v>
      </c>
      <c r="F62" s="88">
        <v>1</v>
      </c>
      <c r="G62" s="88">
        <v>17436</v>
      </c>
      <c r="H62" s="88">
        <v>0</v>
      </c>
      <c r="I62" s="88">
        <f t="shared" si="12"/>
        <v>129556</v>
      </c>
      <c r="J62" s="88">
        <f t="shared" si="13"/>
        <v>124380</v>
      </c>
      <c r="K62" s="88">
        <f t="shared" si="14"/>
        <v>5176</v>
      </c>
      <c r="L62" s="88">
        <f t="shared" si="30"/>
        <v>63930</v>
      </c>
      <c r="M62" s="89">
        <f>N62+P62+Y62+Z62+AA62+AB62+AC62+AD62+AE62+AF62+AG62</f>
        <v>63930</v>
      </c>
      <c r="N62" s="88">
        <v>13100</v>
      </c>
      <c r="O62" s="88">
        <f t="shared" si="36"/>
        <v>41580</v>
      </c>
      <c r="P62" s="88">
        <f>Q62+R62+S62+T62+U62+V62+W62+X62</f>
        <v>41580</v>
      </c>
      <c r="Q62" s="88">
        <v>0</v>
      </c>
      <c r="R62" s="88">
        <v>0</v>
      </c>
      <c r="S62" s="88">
        <v>0</v>
      </c>
      <c r="T62" s="88">
        <v>40000</v>
      </c>
      <c r="U62" s="88">
        <v>0</v>
      </c>
      <c r="V62" s="88">
        <v>1580</v>
      </c>
      <c r="W62" s="88">
        <v>0</v>
      </c>
      <c r="X62" s="88">
        <v>0</v>
      </c>
      <c r="Y62" s="88">
        <v>2500</v>
      </c>
      <c r="Z62" s="88">
        <v>750</v>
      </c>
      <c r="AA62" s="88">
        <v>1200</v>
      </c>
      <c r="AB62" s="88">
        <v>0</v>
      </c>
      <c r="AC62" s="88">
        <v>800</v>
      </c>
      <c r="AD62" s="88">
        <v>0</v>
      </c>
      <c r="AE62" s="88">
        <v>0</v>
      </c>
      <c r="AF62" s="88">
        <v>4000</v>
      </c>
      <c r="AG62" s="88">
        <v>0</v>
      </c>
      <c r="AH62" s="88">
        <f t="shared" si="31"/>
        <v>5000</v>
      </c>
      <c r="AI62" s="88">
        <f t="shared" si="37"/>
        <v>5000</v>
      </c>
      <c r="AJ62" s="88">
        <v>0</v>
      </c>
      <c r="AK62" s="88">
        <v>5000</v>
      </c>
      <c r="AL62" s="88">
        <f t="shared" si="32"/>
        <v>45200</v>
      </c>
      <c r="AM62" s="88">
        <f t="shared" si="35"/>
        <v>45200</v>
      </c>
      <c r="AN62" s="88">
        <v>0</v>
      </c>
      <c r="AO62" s="88">
        <v>6000</v>
      </c>
      <c r="AP62" s="88">
        <v>0</v>
      </c>
      <c r="AQ62" s="88">
        <v>5000</v>
      </c>
      <c r="AR62" s="88">
        <v>0</v>
      </c>
      <c r="AS62" s="88">
        <v>10000</v>
      </c>
      <c r="AT62" s="88">
        <v>0</v>
      </c>
      <c r="AU62" s="88">
        <v>3000</v>
      </c>
      <c r="AV62" s="88">
        <v>3200</v>
      </c>
      <c r="AW62" s="88">
        <v>5000</v>
      </c>
      <c r="AX62" s="88">
        <v>0</v>
      </c>
      <c r="AY62" s="88"/>
      <c r="AZ62" s="88">
        <v>0</v>
      </c>
      <c r="BA62" s="88">
        <v>0</v>
      </c>
      <c r="BB62" s="88">
        <v>13000</v>
      </c>
      <c r="BC62" s="88">
        <f t="shared" si="33"/>
        <v>343500</v>
      </c>
      <c r="BD62" s="88">
        <f t="shared" si="39"/>
        <v>343500</v>
      </c>
      <c r="BE62" s="88">
        <v>0</v>
      </c>
      <c r="BF62" s="88">
        <v>0</v>
      </c>
      <c r="BG62" s="88">
        <v>6000</v>
      </c>
      <c r="BH62" s="88">
        <v>337500</v>
      </c>
      <c r="BI62" s="88">
        <v>0</v>
      </c>
      <c r="BJ62" s="88">
        <v>0</v>
      </c>
      <c r="BK62" s="88">
        <v>0</v>
      </c>
      <c r="BL62" s="88">
        <v>0</v>
      </c>
      <c r="BM62" s="88">
        <f t="shared" si="34"/>
        <v>22780</v>
      </c>
      <c r="BN62" s="88">
        <f t="shared" si="38"/>
        <v>22780</v>
      </c>
      <c r="BO62" s="88">
        <v>17780</v>
      </c>
      <c r="BP62" s="88">
        <v>0</v>
      </c>
      <c r="BQ62" s="88">
        <v>5000</v>
      </c>
      <c r="BR62" s="88">
        <v>0</v>
      </c>
      <c r="BS62" s="88">
        <v>0</v>
      </c>
      <c r="BT62" s="88">
        <v>0</v>
      </c>
      <c r="BU62" s="88">
        <v>4000</v>
      </c>
      <c r="BV62" s="88">
        <v>6250</v>
      </c>
      <c r="BW62" s="88">
        <v>0</v>
      </c>
      <c r="BX62" s="88">
        <f t="shared" si="7"/>
        <v>129556</v>
      </c>
      <c r="BY62" s="88">
        <f t="shared" si="8"/>
        <v>124380</v>
      </c>
      <c r="BZ62" s="90">
        <f t="shared" si="9"/>
        <v>5176</v>
      </c>
      <c r="CA62" s="88"/>
      <c r="CB62" s="88">
        <f t="shared" si="10"/>
        <v>490660</v>
      </c>
      <c r="CC62" s="91">
        <f t="shared" si="11"/>
        <v>490660</v>
      </c>
      <c r="CD62" s="87" t="b">
        <f t="shared" si="15"/>
        <v>1</v>
      </c>
    </row>
    <row r="63" spans="1:82" ht="20.399999999999999" hidden="1" customHeight="1" x14ac:dyDescent="0.3">
      <c r="A63" s="37" t="s">
        <v>597</v>
      </c>
      <c r="B63" s="37" t="s">
        <v>46</v>
      </c>
      <c r="C63" s="88">
        <v>17</v>
      </c>
      <c r="D63" s="88">
        <v>18707</v>
      </c>
      <c r="E63" s="88">
        <v>0</v>
      </c>
      <c r="F63" s="88">
        <v>0</v>
      </c>
      <c r="G63" s="88">
        <v>0</v>
      </c>
      <c r="H63" s="88">
        <v>0</v>
      </c>
      <c r="I63" s="88">
        <f t="shared" si="12"/>
        <v>18707</v>
      </c>
      <c r="J63" s="88">
        <f t="shared" si="13"/>
        <v>106584</v>
      </c>
      <c r="K63" s="88">
        <f t="shared" si="14"/>
        <v>-87877</v>
      </c>
      <c r="L63" s="88">
        <f t="shared" si="30"/>
        <v>36060</v>
      </c>
      <c r="M63" s="89">
        <v>36060</v>
      </c>
      <c r="N63" s="88">
        <v>0</v>
      </c>
      <c r="O63" s="88">
        <f t="shared" si="36"/>
        <v>15325</v>
      </c>
      <c r="P63" s="88">
        <f>Q63+R63+S63+T63+U63+V63+W63+X63</f>
        <v>15325</v>
      </c>
      <c r="Q63" s="88">
        <v>0</v>
      </c>
      <c r="R63" s="88">
        <v>0</v>
      </c>
      <c r="S63" s="88">
        <v>4124</v>
      </c>
      <c r="T63" s="88">
        <v>8471</v>
      </c>
      <c r="U63" s="88">
        <v>0</v>
      </c>
      <c r="V63" s="88">
        <v>2730</v>
      </c>
      <c r="W63" s="88">
        <v>0</v>
      </c>
      <c r="X63" s="88">
        <v>0</v>
      </c>
      <c r="Y63" s="88">
        <v>1235</v>
      </c>
      <c r="Z63" s="88">
        <v>0</v>
      </c>
      <c r="AA63" s="88">
        <v>0</v>
      </c>
      <c r="AB63" s="88">
        <v>0</v>
      </c>
      <c r="AC63" s="88">
        <v>0</v>
      </c>
      <c r="AD63" s="88">
        <v>0</v>
      </c>
      <c r="AE63" s="88">
        <v>0</v>
      </c>
      <c r="AF63" s="88">
        <v>19500</v>
      </c>
      <c r="AG63" s="88">
        <v>0</v>
      </c>
      <c r="AH63" s="88">
        <f t="shared" si="31"/>
        <v>5350</v>
      </c>
      <c r="AI63" s="88">
        <f t="shared" si="37"/>
        <v>5350</v>
      </c>
      <c r="AJ63" s="88">
        <v>3700</v>
      </c>
      <c r="AK63" s="88">
        <v>1650</v>
      </c>
      <c r="AL63" s="88">
        <f t="shared" si="32"/>
        <v>65174</v>
      </c>
      <c r="AM63" s="88">
        <f t="shared" si="35"/>
        <v>65174</v>
      </c>
      <c r="AN63" s="88">
        <v>32587</v>
      </c>
      <c r="AO63" s="88">
        <v>22470</v>
      </c>
      <c r="AP63" s="88">
        <v>0</v>
      </c>
      <c r="AQ63" s="88">
        <v>0</v>
      </c>
      <c r="AR63" s="88">
        <v>1100</v>
      </c>
      <c r="AS63" s="88">
        <v>0</v>
      </c>
      <c r="AT63" s="88">
        <v>0</v>
      </c>
      <c r="AU63" s="88">
        <v>1370</v>
      </c>
      <c r="AV63" s="88">
        <v>0</v>
      </c>
      <c r="AW63" s="88">
        <v>7005</v>
      </c>
      <c r="AX63" s="88">
        <v>0</v>
      </c>
      <c r="AY63" s="88">
        <v>642</v>
      </c>
      <c r="AZ63" s="88">
        <v>0</v>
      </c>
      <c r="BA63" s="88">
        <v>0</v>
      </c>
      <c r="BB63" s="88">
        <v>0</v>
      </c>
      <c r="BC63" s="88">
        <f t="shared" si="33"/>
        <v>28950</v>
      </c>
      <c r="BD63" s="88">
        <f t="shared" si="39"/>
        <v>28950</v>
      </c>
      <c r="BE63" s="88">
        <v>0</v>
      </c>
      <c r="BF63" s="31"/>
      <c r="BG63" s="88">
        <v>2500</v>
      </c>
      <c r="BH63" s="88">
        <v>12700</v>
      </c>
      <c r="BI63" s="88">
        <v>0</v>
      </c>
      <c r="BJ63" s="88">
        <v>0</v>
      </c>
      <c r="BK63" s="88">
        <v>0</v>
      </c>
      <c r="BL63" s="88">
        <v>13750</v>
      </c>
      <c r="BM63" s="88">
        <f t="shared" si="34"/>
        <v>19786</v>
      </c>
      <c r="BN63" s="88">
        <f t="shared" si="38"/>
        <v>19786</v>
      </c>
      <c r="BO63" s="88">
        <v>15300</v>
      </c>
      <c r="BP63" s="88">
        <v>0</v>
      </c>
      <c r="BQ63" s="88">
        <v>0</v>
      </c>
      <c r="BR63" s="88">
        <v>1696</v>
      </c>
      <c r="BS63" s="88">
        <v>1530</v>
      </c>
      <c r="BT63" s="88">
        <v>1260</v>
      </c>
      <c r="BU63" s="88">
        <v>0</v>
      </c>
      <c r="BV63" s="88">
        <v>0</v>
      </c>
      <c r="BW63" s="88">
        <v>0</v>
      </c>
      <c r="BX63" s="88">
        <f t="shared" si="7"/>
        <v>18707</v>
      </c>
      <c r="BY63" s="88">
        <f t="shared" si="8"/>
        <v>106584</v>
      </c>
      <c r="BZ63" s="90">
        <f t="shared" si="9"/>
        <v>-87877</v>
      </c>
      <c r="CA63" s="88"/>
      <c r="CB63" s="88">
        <f t="shared" si="10"/>
        <v>155320</v>
      </c>
      <c r="CC63" s="91">
        <f t="shared" si="11"/>
        <v>155320</v>
      </c>
      <c r="CD63" s="87" t="b">
        <f t="shared" si="15"/>
        <v>1</v>
      </c>
    </row>
    <row r="64" spans="1:82" ht="20.399999999999999" hidden="1" customHeight="1" x14ac:dyDescent="0.3">
      <c r="A64" s="37" t="s">
        <v>400</v>
      </c>
      <c r="B64" s="37" t="s">
        <v>255</v>
      </c>
      <c r="C64" s="88">
        <v>1</v>
      </c>
      <c r="D64" s="88">
        <v>7088</v>
      </c>
      <c r="E64" s="88">
        <v>0</v>
      </c>
      <c r="F64" s="88">
        <v>2</v>
      </c>
      <c r="G64" s="88">
        <v>55461</v>
      </c>
      <c r="H64" s="88">
        <v>0</v>
      </c>
      <c r="I64" s="88">
        <f t="shared" si="12"/>
        <v>62549</v>
      </c>
      <c r="J64" s="88">
        <f t="shared" si="13"/>
        <v>80029</v>
      </c>
      <c r="K64" s="88">
        <f t="shared" si="14"/>
        <v>-17480</v>
      </c>
      <c r="L64" s="88">
        <f t="shared" si="30"/>
        <v>8498</v>
      </c>
      <c r="M64" s="89">
        <v>8498</v>
      </c>
      <c r="N64" s="88">
        <v>0</v>
      </c>
      <c r="O64" s="88">
        <f t="shared" si="36"/>
        <v>0</v>
      </c>
      <c r="P64" s="88">
        <f>Q64+R64+S64+T64+U64+V64+W64+X64</f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  <c r="X64" s="88">
        <v>0</v>
      </c>
      <c r="Y64" s="88">
        <v>0</v>
      </c>
      <c r="Z64" s="88">
        <v>0</v>
      </c>
      <c r="AA64" s="88">
        <v>0</v>
      </c>
      <c r="AB64" s="88">
        <v>0</v>
      </c>
      <c r="AC64" s="88">
        <v>0</v>
      </c>
      <c r="AD64" s="88">
        <v>7148</v>
      </c>
      <c r="AE64" s="88">
        <v>1350</v>
      </c>
      <c r="AF64" s="88">
        <v>0</v>
      </c>
      <c r="AG64" s="88">
        <v>0</v>
      </c>
      <c r="AH64" s="88">
        <f t="shared" si="31"/>
        <v>363</v>
      </c>
      <c r="AI64" s="88">
        <f t="shared" si="37"/>
        <v>363</v>
      </c>
      <c r="AJ64" s="88">
        <v>363</v>
      </c>
      <c r="AK64" s="88">
        <v>0</v>
      </c>
      <c r="AL64" s="88">
        <f t="shared" si="32"/>
        <v>71168</v>
      </c>
      <c r="AM64" s="88">
        <f t="shared" si="35"/>
        <v>71168</v>
      </c>
      <c r="AN64" s="88">
        <v>41476</v>
      </c>
      <c r="AO64" s="88">
        <v>0</v>
      </c>
      <c r="AP64" s="88">
        <v>0</v>
      </c>
      <c r="AQ64" s="88">
        <v>0</v>
      </c>
      <c r="AR64" s="88">
        <v>0</v>
      </c>
      <c r="AS64" s="88">
        <v>0</v>
      </c>
      <c r="AT64" s="88">
        <v>0</v>
      </c>
      <c r="AU64" s="88">
        <v>0</v>
      </c>
      <c r="AV64" s="88">
        <v>0</v>
      </c>
      <c r="AW64" s="88">
        <v>0</v>
      </c>
      <c r="AX64" s="88">
        <v>0</v>
      </c>
      <c r="AY64" s="88"/>
      <c r="AZ64" s="88">
        <v>29692</v>
      </c>
      <c r="BA64" s="88">
        <v>0</v>
      </c>
      <c r="BB64" s="88">
        <v>0</v>
      </c>
      <c r="BC64" s="88">
        <f t="shared" si="33"/>
        <v>0</v>
      </c>
      <c r="BD64" s="88">
        <f t="shared" si="39"/>
        <v>0</v>
      </c>
      <c r="BE64" s="88">
        <v>0</v>
      </c>
      <c r="BF64" s="88">
        <v>0</v>
      </c>
      <c r="BG64" s="88">
        <v>0</v>
      </c>
      <c r="BH64" s="88">
        <v>0</v>
      </c>
      <c r="BI64" s="88">
        <v>0</v>
      </c>
      <c r="BJ64" s="88">
        <v>0</v>
      </c>
      <c r="BK64" s="88">
        <v>0</v>
      </c>
      <c r="BL64" s="88">
        <v>0</v>
      </c>
      <c r="BM64" s="88">
        <f t="shared" si="34"/>
        <v>0</v>
      </c>
      <c r="BN64" s="88">
        <f t="shared" si="38"/>
        <v>0</v>
      </c>
      <c r="BO64" s="88">
        <v>0</v>
      </c>
      <c r="BP64" s="88">
        <v>0</v>
      </c>
      <c r="BQ64" s="88">
        <v>0</v>
      </c>
      <c r="BR64" s="88">
        <v>0</v>
      </c>
      <c r="BS64" s="88">
        <v>0</v>
      </c>
      <c r="BT64" s="88">
        <v>0</v>
      </c>
      <c r="BU64" s="88">
        <v>0</v>
      </c>
      <c r="BV64" s="88">
        <v>0</v>
      </c>
      <c r="BW64" s="88">
        <v>0</v>
      </c>
      <c r="BX64" s="88">
        <f t="shared" si="7"/>
        <v>62549</v>
      </c>
      <c r="BY64" s="88">
        <f t="shared" si="8"/>
        <v>80029</v>
      </c>
      <c r="BZ64" s="90">
        <f t="shared" si="9"/>
        <v>-17480</v>
      </c>
      <c r="CA64" s="88"/>
      <c r="CB64" s="88">
        <f t="shared" si="10"/>
        <v>80029</v>
      </c>
      <c r="CC64" s="91">
        <f t="shared" si="11"/>
        <v>80029</v>
      </c>
      <c r="CD64" s="87" t="b">
        <f t="shared" si="15"/>
        <v>1</v>
      </c>
    </row>
    <row r="65" spans="1:82" ht="20.399999999999999" customHeight="1" x14ac:dyDescent="0.3">
      <c r="A65" s="49" t="s">
        <v>124</v>
      </c>
      <c r="B65" s="37" t="s">
        <v>41</v>
      </c>
      <c r="C65" s="88">
        <v>46</v>
      </c>
      <c r="D65" s="88">
        <v>1458738</v>
      </c>
      <c r="E65" s="88"/>
      <c r="F65" s="88">
        <v>7</v>
      </c>
      <c r="G65" s="88">
        <v>717489</v>
      </c>
      <c r="H65" s="88"/>
      <c r="I65" s="88">
        <f t="shared" si="12"/>
        <v>2176227</v>
      </c>
      <c r="J65" s="88">
        <f t="shared" si="13"/>
        <v>1651694</v>
      </c>
      <c r="K65" s="88">
        <f t="shared" si="14"/>
        <v>524533</v>
      </c>
      <c r="L65" s="88">
        <f>N65+P65+SUM(Y65:AG65)</f>
        <v>985875</v>
      </c>
      <c r="M65" s="89">
        <v>985875</v>
      </c>
      <c r="N65" s="88">
        <v>264323</v>
      </c>
      <c r="O65" s="91">
        <f t="shared" si="36"/>
        <v>649282</v>
      </c>
      <c r="P65" s="88">
        <v>649282</v>
      </c>
      <c r="Q65" s="88"/>
      <c r="R65" s="88"/>
      <c r="S65" s="88"/>
      <c r="T65" s="88"/>
      <c r="U65" s="88"/>
      <c r="V65" s="88">
        <v>649282</v>
      </c>
      <c r="W65" s="88"/>
      <c r="X65" s="88"/>
      <c r="Y65" s="88"/>
      <c r="Z65" s="88">
        <v>110</v>
      </c>
      <c r="AA65" s="88">
        <v>810</v>
      </c>
      <c r="AB65" s="88"/>
      <c r="AC65" s="88">
        <v>3097</v>
      </c>
      <c r="AD65" s="88">
        <v>66071</v>
      </c>
      <c r="AE65" s="88">
        <v>2077</v>
      </c>
      <c r="AF65" s="88"/>
      <c r="AG65" s="88">
        <v>105</v>
      </c>
      <c r="AH65" s="88">
        <f t="shared" si="31"/>
        <v>42048</v>
      </c>
      <c r="AI65" s="88">
        <f t="shared" si="37"/>
        <v>42048</v>
      </c>
      <c r="AJ65" s="88">
        <v>15997</v>
      </c>
      <c r="AK65" s="88">
        <v>26051</v>
      </c>
      <c r="AL65" s="88">
        <f t="shared" si="32"/>
        <v>586566</v>
      </c>
      <c r="AM65" s="88">
        <f t="shared" si="35"/>
        <v>586566</v>
      </c>
      <c r="AN65" s="88">
        <v>1713</v>
      </c>
      <c r="AO65" s="88">
        <v>148072</v>
      </c>
      <c r="AP65" s="88"/>
      <c r="AQ65" s="88">
        <v>184382</v>
      </c>
      <c r="AR65" s="88">
        <v>1982</v>
      </c>
      <c r="AS65" s="88"/>
      <c r="AT65" s="88"/>
      <c r="AU65" s="88">
        <v>7302</v>
      </c>
      <c r="AV65" s="88"/>
      <c r="AW65" s="88"/>
      <c r="AX65" s="88"/>
      <c r="AY65" s="88">
        <v>55643</v>
      </c>
      <c r="AZ65" s="88"/>
      <c r="BA65" s="88">
        <v>35735</v>
      </c>
      <c r="BB65" s="88">
        <v>151737</v>
      </c>
      <c r="BC65" s="88">
        <f t="shared" si="33"/>
        <v>0</v>
      </c>
      <c r="BD65" s="88">
        <f t="shared" si="39"/>
        <v>0</v>
      </c>
      <c r="BE65" s="88"/>
      <c r="BF65" s="88"/>
      <c r="BG65" s="88"/>
      <c r="BH65" s="88"/>
      <c r="BI65" s="88"/>
      <c r="BJ65" s="88"/>
      <c r="BK65" s="88"/>
      <c r="BL65" s="88"/>
      <c r="BM65" s="88">
        <f t="shared" si="34"/>
        <v>606760</v>
      </c>
      <c r="BN65" s="88">
        <f t="shared" si="38"/>
        <v>606760</v>
      </c>
      <c r="BO65" s="88">
        <v>442684</v>
      </c>
      <c r="BP65" s="88">
        <v>124126</v>
      </c>
      <c r="BQ65" s="88"/>
      <c r="BR65" s="31"/>
      <c r="BS65" s="88">
        <v>27718</v>
      </c>
      <c r="BT65" s="88">
        <v>12232</v>
      </c>
      <c r="BU65" s="88">
        <v>22105</v>
      </c>
      <c r="BV65" s="88">
        <v>15100</v>
      </c>
      <c r="BW65" s="88"/>
      <c r="BX65" s="88">
        <f t="shared" si="7"/>
        <v>2176227</v>
      </c>
      <c r="BY65" s="88">
        <f t="shared" si="8"/>
        <v>1651694</v>
      </c>
      <c r="BZ65" s="90">
        <f t="shared" si="9"/>
        <v>524533</v>
      </c>
      <c r="CA65" s="88"/>
      <c r="CB65" s="88">
        <f t="shared" si="10"/>
        <v>2258454</v>
      </c>
      <c r="CC65" s="91">
        <f t="shared" si="11"/>
        <v>2258454</v>
      </c>
      <c r="CD65" s="87" t="b">
        <f t="shared" si="15"/>
        <v>1</v>
      </c>
    </row>
    <row r="66" spans="1:82" ht="20.399999999999999" hidden="1" customHeight="1" x14ac:dyDescent="0.3">
      <c r="A66" s="37" t="s">
        <v>600</v>
      </c>
      <c r="B66" s="37" t="s">
        <v>255</v>
      </c>
      <c r="C66" s="88"/>
      <c r="D66" s="88"/>
      <c r="E66" s="88"/>
      <c r="F66" s="88"/>
      <c r="G66" s="88"/>
      <c r="H66" s="88">
        <v>0</v>
      </c>
      <c r="I66" s="88">
        <f t="shared" si="12"/>
        <v>0</v>
      </c>
      <c r="J66" s="88">
        <f t="shared" si="13"/>
        <v>144975</v>
      </c>
      <c r="K66" s="88">
        <f t="shared" si="14"/>
        <v>-144975</v>
      </c>
      <c r="L66" s="88">
        <f>N66+O66+SUM(Y66:AG66)</f>
        <v>3593</v>
      </c>
      <c r="M66" s="89">
        <f>N66+P66+Y66+Z66+AA66+AB66+AC66+AD66+AE66+AF66+AG66</f>
        <v>3593</v>
      </c>
      <c r="N66" s="88"/>
      <c r="O66" s="88">
        <f t="shared" si="36"/>
        <v>0</v>
      </c>
      <c r="P66" s="88">
        <f>Q66+R66+S66+T66+U66+V66+W66+X66</f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  <c r="X66" s="88">
        <v>0</v>
      </c>
      <c r="Y66" s="88"/>
      <c r="Z66" s="88"/>
      <c r="AA66" s="88"/>
      <c r="AB66" s="88">
        <v>350</v>
      </c>
      <c r="AC66" s="88"/>
      <c r="AD66" s="88">
        <v>3149</v>
      </c>
      <c r="AE66" s="88">
        <v>94</v>
      </c>
      <c r="AF66" s="88">
        <v>0</v>
      </c>
      <c r="AG66" s="88"/>
      <c r="AH66" s="88">
        <f t="shared" si="31"/>
        <v>0</v>
      </c>
      <c r="AI66" s="88"/>
      <c r="AJ66" s="88"/>
      <c r="AK66" s="88"/>
      <c r="AL66" s="88">
        <f t="shared" si="32"/>
        <v>8359</v>
      </c>
      <c r="AM66" s="88">
        <v>8359</v>
      </c>
      <c r="AN66" s="88"/>
      <c r="AO66" s="88"/>
      <c r="AP66" s="88"/>
      <c r="AQ66" s="88">
        <v>250</v>
      </c>
      <c r="AR66" s="88"/>
      <c r="AS66" s="88"/>
      <c r="AT66" s="88"/>
      <c r="AU66" s="88"/>
      <c r="AV66" s="88"/>
      <c r="AW66" s="88">
        <v>7580</v>
      </c>
      <c r="AX66" s="88"/>
      <c r="AY66" s="88">
        <v>529</v>
      </c>
      <c r="AZ66" s="88"/>
      <c r="BA66" s="88"/>
      <c r="BB66" s="88"/>
      <c r="BC66" s="88">
        <f t="shared" si="33"/>
        <v>0</v>
      </c>
      <c r="BD66" s="88">
        <f t="shared" si="39"/>
        <v>0</v>
      </c>
      <c r="BE66" s="88">
        <v>0</v>
      </c>
      <c r="BF66" s="88">
        <v>0</v>
      </c>
      <c r="BG66" s="88">
        <v>0</v>
      </c>
      <c r="BH66" s="88">
        <v>0</v>
      </c>
      <c r="BI66" s="88">
        <v>0</v>
      </c>
      <c r="BJ66" s="88">
        <v>0</v>
      </c>
      <c r="BK66" s="88">
        <v>0</v>
      </c>
      <c r="BL66" s="88">
        <v>0</v>
      </c>
      <c r="BM66" s="88">
        <f t="shared" si="34"/>
        <v>0</v>
      </c>
      <c r="BN66" s="88"/>
      <c r="BO66" s="88"/>
      <c r="BP66" s="88"/>
      <c r="BQ66" s="88"/>
      <c r="BR66" s="88"/>
      <c r="BS66" s="88"/>
      <c r="BT66" s="88"/>
      <c r="BU66" s="88"/>
      <c r="BV66" s="88">
        <v>133023</v>
      </c>
      <c r="BW66" s="88">
        <v>0</v>
      </c>
      <c r="BX66" s="88">
        <f t="shared" ref="BX66:BX70" si="40">+D66+G66</f>
        <v>0</v>
      </c>
      <c r="BY66" s="88">
        <f t="shared" ref="BY66:BY70" si="41">+L66+AH66+AL66+BU66+BV66</f>
        <v>144975</v>
      </c>
      <c r="BZ66" s="90">
        <f t="shared" ref="BZ66:BZ70" si="42">+BX66-BY66</f>
        <v>-144975</v>
      </c>
      <c r="CA66" s="88"/>
      <c r="CB66" s="88">
        <f t="shared" ref="CB66:CB70" si="43">BW66+BV66+BU66+BN66+BD66+AM66+M66+AI66</f>
        <v>144975</v>
      </c>
      <c r="CC66" s="91">
        <f t="shared" ref="CC66:CC70" si="44">+L66+AH66+AL66+BC66+BM66+SUM(BU66:BW66)</f>
        <v>144975</v>
      </c>
      <c r="CD66" s="87" t="b">
        <f t="shared" si="15"/>
        <v>1</v>
      </c>
    </row>
    <row r="67" spans="1:82" ht="20.399999999999999" hidden="1" customHeight="1" x14ac:dyDescent="0.3">
      <c r="A67" s="37" t="s">
        <v>603</v>
      </c>
      <c r="B67" s="37" t="s">
        <v>46</v>
      </c>
      <c r="C67" s="88">
        <v>98</v>
      </c>
      <c r="D67" s="88">
        <v>2241785</v>
      </c>
      <c r="E67" s="88">
        <v>0</v>
      </c>
      <c r="F67" s="88">
        <v>6</v>
      </c>
      <c r="G67" s="88">
        <v>948858</v>
      </c>
      <c r="H67" s="88">
        <v>0</v>
      </c>
      <c r="I67" s="88">
        <f t="shared" ref="I67:I70" si="45">D67+G67</f>
        <v>3190643</v>
      </c>
      <c r="J67" s="88">
        <f t="shared" ref="J67:J70" si="46">+L67+AH67+AL67+BU67+BV67</f>
        <v>1790473</v>
      </c>
      <c r="K67" s="88">
        <f t="shared" ref="K67:K70" si="47">I67-J67</f>
        <v>1400170</v>
      </c>
      <c r="L67" s="88">
        <f>N67+O67+SUM(Y67:AG67)</f>
        <v>1297943</v>
      </c>
      <c r="M67" s="89">
        <v>1297943</v>
      </c>
      <c r="N67" s="88">
        <v>16381</v>
      </c>
      <c r="O67" s="88">
        <v>862072</v>
      </c>
      <c r="P67" s="88">
        <v>862072</v>
      </c>
      <c r="Q67" s="88">
        <v>0</v>
      </c>
      <c r="R67" s="88">
        <v>0</v>
      </c>
      <c r="S67" s="88"/>
      <c r="T67" s="88"/>
      <c r="U67" s="88"/>
      <c r="V67" s="88"/>
      <c r="W67" s="88"/>
      <c r="X67" s="88">
        <v>862072</v>
      </c>
      <c r="Y67" s="88">
        <v>1050</v>
      </c>
      <c r="Z67" s="88">
        <v>406</v>
      </c>
      <c r="AA67" s="88">
        <v>881</v>
      </c>
      <c r="AB67" s="88">
        <v>884</v>
      </c>
      <c r="AC67" s="88">
        <v>492</v>
      </c>
      <c r="AD67" s="88">
        <v>12933</v>
      </c>
      <c r="AE67" s="88">
        <v>17414</v>
      </c>
      <c r="AF67" s="88">
        <v>365577</v>
      </c>
      <c r="AG67" s="88">
        <v>19853</v>
      </c>
      <c r="AH67" s="88">
        <f t="shared" si="31"/>
        <v>57710</v>
      </c>
      <c r="AI67" s="88">
        <v>57710</v>
      </c>
      <c r="AJ67" s="88">
        <v>0</v>
      </c>
      <c r="AK67" s="88">
        <v>57710</v>
      </c>
      <c r="AL67" s="88">
        <f t="shared" si="32"/>
        <v>345640</v>
      </c>
      <c r="AM67" s="88">
        <f>AN67+AO67+AP67+AQ67+AR67+AS67+AT67+AU67+AV67+AW67+AX67+AZ67+BA67+BB67+AY67</f>
        <v>345640</v>
      </c>
      <c r="AN67" s="88">
        <v>5361</v>
      </c>
      <c r="AO67" s="88">
        <v>98323</v>
      </c>
      <c r="AP67" s="88">
        <v>98505</v>
      </c>
      <c r="AQ67" s="88">
        <v>29374</v>
      </c>
      <c r="AR67" s="88">
        <v>16727</v>
      </c>
      <c r="AS67" s="88">
        <v>3935</v>
      </c>
      <c r="AT67" s="88">
        <v>0</v>
      </c>
      <c r="AU67" s="88">
        <v>121</v>
      </c>
      <c r="AV67" s="88">
        <v>0</v>
      </c>
      <c r="AW67" s="88">
        <v>67437</v>
      </c>
      <c r="AX67" s="88">
        <v>0</v>
      </c>
      <c r="AY67" s="88">
        <v>20022</v>
      </c>
      <c r="AZ67" s="88">
        <v>0</v>
      </c>
      <c r="BA67" s="88">
        <v>0</v>
      </c>
      <c r="BB67" s="88">
        <v>5835</v>
      </c>
      <c r="BC67" s="88">
        <f t="shared" si="33"/>
        <v>89630</v>
      </c>
      <c r="BD67" s="88">
        <v>89630</v>
      </c>
      <c r="BE67" s="88">
        <v>8545</v>
      </c>
      <c r="BF67" s="88">
        <v>25</v>
      </c>
      <c r="BG67" s="88">
        <v>2500</v>
      </c>
      <c r="BH67" s="88"/>
      <c r="BI67" s="88"/>
      <c r="BJ67" s="88">
        <v>78492</v>
      </c>
      <c r="BK67" s="88">
        <v>68</v>
      </c>
      <c r="BL67" s="88">
        <v>0</v>
      </c>
      <c r="BM67" s="88">
        <f t="shared" si="34"/>
        <v>277093</v>
      </c>
      <c r="BN67" s="88">
        <f>BO67+BP67+BQ67+BR67+BS67+BT67</f>
        <v>277093</v>
      </c>
      <c r="BO67" s="88">
        <v>249324</v>
      </c>
      <c r="BP67" s="88"/>
      <c r="BQ67" s="88">
        <v>0</v>
      </c>
      <c r="BR67" s="88">
        <v>0</v>
      </c>
      <c r="BS67" s="88">
        <v>27417</v>
      </c>
      <c r="BT67" s="88">
        <v>352</v>
      </c>
      <c r="BU67" s="88">
        <v>35246</v>
      </c>
      <c r="BV67" s="88">
        <v>53934</v>
      </c>
      <c r="BW67" s="88">
        <v>19989</v>
      </c>
      <c r="BX67" s="88">
        <f t="shared" si="40"/>
        <v>3190643</v>
      </c>
      <c r="BY67" s="88">
        <f t="shared" si="41"/>
        <v>1790473</v>
      </c>
      <c r="BZ67" s="90">
        <f t="shared" si="42"/>
        <v>1400170</v>
      </c>
      <c r="CA67" s="88"/>
      <c r="CB67" s="88">
        <f t="shared" si="43"/>
        <v>2177185</v>
      </c>
      <c r="CC67" s="91">
        <f t="shared" si="44"/>
        <v>2177185</v>
      </c>
      <c r="CD67" s="87" t="b">
        <f t="shared" ref="CD67:CD70" si="48">CC67=CB67</f>
        <v>1</v>
      </c>
    </row>
    <row r="68" spans="1:82" ht="20.399999999999999" hidden="1" customHeight="1" x14ac:dyDescent="0.3">
      <c r="A68" s="37" t="s">
        <v>612</v>
      </c>
      <c r="B68" s="37" t="s">
        <v>46</v>
      </c>
      <c r="C68" s="88">
        <v>52</v>
      </c>
      <c r="D68" s="88">
        <v>0</v>
      </c>
      <c r="E68" s="88"/>
      <c r="F68" s="88">
        <v>6</v>
      </c>
      <c r="G68" s="88">
        <v>0</v>
      </c>
      <c r="H68" s="88"/>
      <c r="I68" s="88">
        <f t="shared" si="45"/>
        <v>0</v>
      </c>
      <c r="J68" s="88">
        <f t="shared" si="46"/>
        <v>517279.66299999994</v>
      </c>
      <c r="K68" s="88">
        <f t="shared" si="47"/>
        <v>-517279.66299999994</v>
      </c>
      <c r="L68" s="88">
        <f>N68+O68+SUM(Y68:AG68)</f>
        <v>356332.98300000001</v>
      </c>
      <c r="M68" s="89">
        <f>N68+P68+Y68+Z68+AA68+AB68+AC68+AD68+AE68+AF68+AG68</f>
        <v>356332.98300000007</v>
      </c>
      <c r="N68" s="88">
        <v>0</v>
      </c>
      <c r="O68" s="88">
        <f>SUM(Q68:X68)</f>
        <v>208204.84299999999</v>
      </c>
      <c r="P68" s="88">
        <f>Q68+R68+S68+T68+U68+V68+W68+X68</f>
        <v>208204.84299999999</v>
      </c>
      <c r="Q68" s="88">
        <v>0</v>
      </c>
      <c r="R68" s="88">
        <v>0</v>
      </c>
      <c r="S68" s="88">
        <v>0</v>
      </c>
      <c r="T68" s="88">
        <v>198520.75599999999</v>
      </c>
      <c r="U68" s="92"/>
      <c r="V68" s="88">
        <v>9684.0869999999995</v>
      </c>
      <c r="W68" s="88">
        <v>0</v>
      </c>
      <c r="X68" s="88">
        <v>0</v>
      </c>
      <c r="Y68" s="88">
        <v>1356.41</v>
      </c>
      <c r="Z68" s="88">
        <v>116.11199999999999</v>
      </c>
      <c r="AA68" s="88">
        <v>96133.063999999998</v>
      </c>
      <c r="AB68" s="88">
        <v>0</v>
      </c>
      <c r="AC68" s="88">
        <v>0</v>
      </c>
      <c r="AD68" s="88">
        <v>3155.9650000000001</v>
      </c>
      <c r="AE68" s="88">
        <v>25780.9</v>
      </c>
      <c r="AF68" s="88">
        <v>21585.688999999998</v>
      </c>
      <c r="AG68" s="88">
        <v>0</v>
      </c>
      <c r="AH68" s="88">
        <f t="shared" si="31"/>
        <v>4590.6270000000004</v>
      </c>
      <c r="AI68" s="88">
        <f>AJ68+AK68</f>
        <v>4590.6270000000004</v>
      </c>
      <c r="AJ68" s="88">
        <v>1193.5999999999999</v>
      </c>
      <c r="AK68" s="88">
        <v>3397.027</v>
      </c>
      <c r="AL68" s="88">
        <f t="shared" si="32"/>
        <v>140360.48699999999</v>
      </c>
      <c r="AM68" s="88">
        <f>AN68+AO68+AP68+AQ68+AR68+AS68+AT68+AU68+AV68+AW68+AX68+AZ68+BA68+BB68+AY68</f>
        <v>140360.48699999999</v>
      </c>
      <c r="AN68" s="88">
        <v>0</v>
      </c>
      <c r="AO68" s="88">
        <v>14333.75</v>
      </c>
      <c r="AP68" s="88">
        <v>0</v>
      </c>
      <c r="AQ68" s="88">
        <v>38287.053</v>
      </c>
      <c r="AR68" s="88">
        <v>25540.134999999998</v>
      </c>
      <c r="AS68" s="88">
        <v>22.8</v>
      </c>
      <c r="AT68" s="88">
        <v>323.75</v>
      </c>
      <c r="AU68" s="88">
        <v>2373.0250000000001</v>
      </c>
      <c r="AV68" s="88">
        <v>1141</v>
      </c>
      <c r="AW68" s="88">
        <v>6299</v>
      </c>
      <c r="AX68" s="88">
        <v>0</v>
      </c>
      <c r="AY68" s="88">
        <v>8076.7740000000003</v>
      </c>
      <c r="AZ68" s="88">
        <v>2813.7750000000001</v>
      </c>
      <c r="BA68" s="88">
        <v>40449.425000000003</v>
      </c>
      <c r="BB68" s="88">
        <v>700</v>
      </c>
      <c r="BC68" s="88">
        <f t="shared" si="33"/>
        <v>11081.200999999999</v>
      </c>
      <c r="BD68" s="88">
        <f>BE68+BF68+BG68+BH68+BI68+BJ68+BK68+BL68</f>
        <v>11081.200999999999</v>
      </c>
      <c r="BE68" s="88">
        <v>10644.002</v>
      </c>
      <c r="BF68" s="88">
        <v>0</v>
      </c>
      <c r="BG68" s="88">
        <v>0</v>
      </c>
      <c r="BH68" s="88">
        <v>0</v>
      </c>
      <c r="BI68" s="88">
        <v>0</v>
      </c>
      <c r="BJ68" s="88">
        <v>305.54199999999997</v>
      </c>
      <c r="BK68" s="88">
        <v>131.65700000000001</v>
      </c>
      <c r="BL68" s="88">
        <v>0</v>
      </c>
      <c r="BM68" s="88">
        <f t="shared" si="34"/>
        <v>112822.09600000001</v>
      </c>
      <c r="BN68" s="88">
        <v>112822.09600000001</v>
      </c>
      <c r="BO68" s="88">
        <v>95525.17</v>
      </c>
      <c r="BP68" s="88">
        <v>16679.069</v>
      </c>
      <c r="BQ68" s="88">
        <v>0</v>
      </c>
      <c r="BR68" s="88">
        <v>617.85699999999997</v>
      </c>
      <c r="BS68" s="88">
        <v>0</v>
      </c>
      <c r="BT68" s="88">
        <v>0</v>
      </c>
      <c r="BU68" s="88">
        <v>15614.7</v>
      </c>
      <c r="BV68" s="88">
        <v>380.86599999999999</v>
      </c>
      <c r="BW68" s="88">
        <v>665119.49100000004</v>
      </c>
      <c r="BX68" s="88">
        <f t="shared" si="40"/>
        <v>0</v>
      </c>
      <c r="BY68" s="88">
        <f t="shared" si="41"/>
        <v>517279.66299999994</v>
      </c>
      <c r="BZ68" s="90">
        <f t="shared" si="42"/>
        <v>-517279.66299999994</v>
      </c>
      <c r="CA68" s="88"/>
      <c r="CB68" s="88">
        <f t="shared" si="43"/>
        <v>1306302.4510000001</v>
      </c>
      <c r="CC68" s="91">
        <f t="shared" si="44"/>
        <v>1306302.4509999999</v>
      </c>
      <c r="CD68" s="87" t="b">
        <f t="shared" si="48"/>
        <v>1</v>
      </c>
    </row>
    <row r="69" spans="1:82" ht="20.399999999999999" hidden="1" customHeight="1" x14ac:dyDescent="0.3">
      <c r="A69" s="37" t="s">
        <v>614</v>
      </c>
      <c r="B69" s="37" t="s">
        <v>255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f t="shared" si="45"/>
        <v>0</v>
      </c>
      <c r="J69" s="88">
        <f t="shared" si="46"/>
        <v>78700</v>
      </c>
      <c r="K69" s="88">
        <f t="shared" si="47"/>
        <v>-78700</v>
      </c>
      <c r="L69" s="88">
        <f>N69+O69+SUM(Y69:AG69)</f>
        <v>16800</v>
      </c>
      <c r="M69" s="89">
        <v>16800</v>
      </c>
      <c r="N69" s="88">
        <v>2000</v>
      </c>
      <c r="O69" s="88">
        <f>SUM(Q69:X69)</f>
        <v>5100</v>
      </c>
      <c r="P69" s="88">
        <f>Q69+R69+S69+T69+U69+V69+W69+X69</f>
        <v>5100</v>
      </c>
      <c r="Q69" s="88">
        <v>0</v>
      </c>
      <c r="R69" s="88">
        <v>100</v>
      </c>
      <c r="S69" s="88">
        <v>0</v>
      </c>
      <c r="T69" s="88">
        <v>5000</v>
      </c>
      <c r="U69" s="88">
        <v>0</v>
      </c>
      <c r="V69" s="88">
        <v>0</v>
      </c>
      <c r="W69" s="88">
        <v>0</v>
      </c>
      <c r="X69" s="88">
        <v>0</v>
      </c>
      <c r="Y69" s="88">
        <v>1800</v>
      </c>
      <c r="Z69" s="88">
        <v>300</v>
      </c>
      <c r="AA69" s="88">
        <v>3600</v>
      </c>
      <c r="AB69" s="88">
        <v>0</v>
      </c>
      <c r="AC69" s="88">
        <v>1000</v>
      </c>
      <c r="AD69" s="88">
        <v>1000</v>
      </c>
      <c r="AE69" s="88">
        <v>0</v>
      </c>
      <c r="AF69" s="88">
        <v>2000</v>
      </c>
      <c r="AG69" s="88">
        <v>0</v>
      </c>
      <c r="AH69" s="88">
        <f t="shared" si="31"/>
        <v>27000</v>
      </c>
      <c r="AI69" s="88">
        <f>AJ69+AK69</f>
        <v>27000</v>
      </c>
      <c r="AJ69" s="88">
        <v>2000</v>
      </c>
      <c r="AK69" s="88">
        <v>25000</v>
      </c>
      <c r="AL69" s="88">
        <f t="shared" si="32"/>
        <v>34900</v>
      </c>
      <c r="AM69" s="88">
        <f>AN69+AO69+AP69+AQ69+AR69+AS69+AT69+AU69+AV69+AW69+AX69+AZ69+BA69+BB69+AY69</f>
        <v>34900</v>
      </c>
      <c r="AN69" s="88">
        <v>0</v>
      </c>
      <c r="AO69" s="88">
        <v>500</v>
      </c>
      <c r="AP69" s="88">
        <v>21650</v>
      </c>
      <c r="AQ69" s="88">
        <v>2000</v>
      </c>
      <c r="AR69" s="88">
        <v>0</v>
      </c>
      <c r="AS69" s="88">
        <v>1000</v>
      </c>
      <c r="AT69" s="88">
        <v>0</v>
      </c>
      <c r="AU69" s="88">
        <v>2500</v>
      </c>
      <c r="AV69" s="88">
        <v>0</v>
      </c>
      <c r="AW69" s="88">
        <v>750</v>
      </c>
      <c r="AX69" s="88">
        <v>0</v>
      </c>
      <c r="AY69" s="88">
        <v>500</v>
      </c>
      <c r="AZ69" s="88">
        <v>0</v>
      </c>
      <c r="BA69" s="88">
        <v>6000</v>
      </c>
      <c r="BB69" s="88">
        <v>0</v>
      </c>
      <c r="BC69" s="88">
        <f t="shared" si="33"/>
        <v>19805</v>
      </c>
      <c r="BD69" s="88">
        <f>BE69+BF69+BG69+BH69+BI69+BJ69+BK69+BL69</f>
        <v>19805</v>
      </c>
      <c r="BE69" s="88">
        <v>500</v>
      </c>
      <c r="BF69" s="88">
        <v>0</v>
      </c>
      <c r="BG69" s="88">
        <v>2500</v>
      </c>
      <c r="BH69" s="88">
        <v>305</v>
      </c>
      <c r="BI69" s="88">
        <v>0</v>
      </c>
      <c r="BJ69" s="88">
        <v>0</v>
      </c>
      <c r="BK69" s="88">
        <v>0</v>
      </c>
      <c r="BL69" s="88">
        <v>16500</v>
      </c>
      <c r="BM69" s="88">
        <f t="shared" si="34"/>
        <v>191100</v>
      </c>
      <c r="BN69" s="88">
        <f>BO69+BP69+BQ69+BR69+BS69+BT69</f>
        <v>191100</v>
      </c>
      <c r="BO69" s="88">
        <v>65100</v>
      </c>
      <c r="BP69" s="88">
        <v>114000</v>
      </c>
      <c r="BQ69" s="88">
        <v>12000</v>
      </c>
      <c r="BR69" s="88">
        <v>0</v>
      </c>
      <c r="BS69" s="88">
        <v>0</v>
      </c>
      <c r="BT69" s="88">
        <v>0</v>
      </c>
      <c r="BU69" s="88">
        <v>0</v>
      </c>
      <c r="BV69" s="88">
        <v>0</v>
      </c>
      <c r="BW69" s="88">
        <v>0</v>
      </c>
      <c r="BX69" s="88">
        <f t="shared" si="40"/>
        <v>0</v>
      </c>
      <c r="BY69" s="88">
        <f t="shared" si="41"/>
        <v>78700</v>
      </c>
      <c r="BZ69" s="90">
        <f t="shared" si="42"/>
        <v>-78700</v>
      </c>
      <c r="CA69" s="88"/>
      <c r="CB69" s="88">
        <f t="shared" si="43"/>
        <v>289605</v>
      </c>
      <c r="CC69" s="91">
        <f t="shared" si="44"/>
        <v>289605</v>
      </c>
      <c r="CD69" s="87" t="b">
        <f t="shared" si="48"/>
        <v>1</v>
      </c>
    </row>
    <row r="70" spans="1:82" ht="20.399999999999999" hidden="1" customHeight="1" x14ac:dyDescent="0.3">
      <c r="A70" s="37" t="s">
        <v>615</v>
      </c>
      <c r="B70" s="37" t="s">
        <v>46</v>
      </c>
      <c r="C70" s="88">
        <v>0</v>
      </c>
      <c r="D70" s="88">
        <v>0</v>
      </c>
      <c r="E70" s="88">
        <v>0</v>
      </c>
      <c r="F70" s="88">
        <v>0</v>
      </c>
      <c r="G70" s="88">
        <v>0</v>
      </c>
      <c r="H70" s="88">
        <v>0</v>
      </c>
      <c r="I70" s="88">
        <f t="shared" si="45"/>
        <v>0</v>
      </c>
      <c r="J70" s="88">
        <f t="shared" si="46"/>
        <v>497420</v>
      </c>
      <c r="K70" s="88">
        <f t="shared" si="47"/>
        <v>-497420</v>
      </c>
      <c r="L70" s="88">
        <f>N70+O70+SUM(Y70:AG70)</f>
        <v>311508</v>
      </c>
      <c r="M70" s="89">
        <v>311508</v>
      </c>
      <c r="N70" s="88">
        <v>311508</v>
      </c>
      <c r="O70" s="88">
        <f>SUM(Q70:X70)</f>
        <v>0</v>
      </c>
      <c r="P70" s="88">
        <f>Q70+R70+S70+T70+U70+V70+W70+X70</f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  <c r="X70" s="88">
        <v>0</v>
      </c>
      <c r="Y70" s="88">
        <v>0</v>
      </c>
      <c r="Z70" s="88">
        <v>0</v>
      </c>
      <c r="AA70" s="88">
        <v>0</v>
      </c>
      <c r="AB70" s="88">
        <v>0</v>
      </c>
      <c r="AC70" s="88">
        <v>0</v>
      </c>
      <c r="AD70" s="88">
        <v>0</v>
      </c>
      <c r="AE70" s="88">
        <v>0</v>
      </c>
      <c r="AF70" s="88">
        <v>0</v>
      </c>
      <c r="AG70" s="88">
        <v>0</v>
      </c>
      <c r="AH70" s="88">
        <f t="shared" si="31"/>
        <v>0</v>
      </c>
      <c r="AI70" s="88">
        <f>AJ70+AK70</f>
        <v>0</v>
      </c>
      <c r="AJ70" s="88">
        <v>0</v>
      </c>
      <c r="AK70" s="88">
        <v>0</v>
      </c>
      <c r="AL70" s="88">
        <f t="shared" si="32"/>
        <v>184604</v>
      </c>
      <c r="AM70" s="88">
        <v>184604</v>
      </c>
      <c r="AN70" s="88">
        <v>184604</v>
      </c>
      <c r="AO70" s="88">
        <v>0</v>
      </c>
      <c r="AP70" s="88">
        <v>0</v>
      </c>
      <c r="AQ70" s="88">
        <v>0</v>
      </c>
      <c r="AR70" s="88">
        <v>0</v>
      </c>
      <c r="AS70" s="88">
        <v>0</v>
      </c>
      <c r="AT70" s="88">
        <v>0</v>
      </c>
      <c r="AU70" s="88">
        <v>0</v>
      </c>
      <c r="AV70" s="88">
        <v>0</v>
      </c>
      <c r="AW70" s="88">
        <v>0</v>
      </c>
      <c r="AX70" s="88">
        <v>0</v>
      </c>
      <c r="AY70" s="88"/>
      <c r="AZ70" s="88">
        <v>0</v>
      </c>
      <c r="BA70" s="88">
        <v>0</v>
      </c>
      <c r="BB70" s="88">
        <v>0</v>
      </c>
      <c r="BC70" s="88">
        <f t="shared" si="33"/>
        <v>25771</v>
      </c>
      <c r="BD70" s="88">
        <v>25771</v>
      </c>
      <c r="BE70" s="88">
        <v>25771</v>
      </c>
      <c r="BF70" s="88">
        <v>0</v>
      </c>
      <c r="BG70" s="88">
        <v>0</v>
      </c>
      <c r="BH70" s="88">
        <v>0</v>
      </c>
      <c r="BI70" s="88">
        <v>0</v>
      </c>
      <c r="BJ70" s="88">
        <v>0</v>
      </c>
      <c r="BK70" s="88">
        <v>0</v>
      </c>
      <c r="BL70" s="88">
        <v>0</v>
      </c>
      <c r="BM70" s="88">
        <f t="shared" si="34"/>
        <v>105883</v>
      </c>
      <c r="BN70" s="88">
        <v>105883</v>
      </c>
      <c r="BO70" s="88">
        <v>105883</v>
      </c>
      <c r="BP70" s="88">
        <v>0</v>
      </c>
      <c r="BQ70" s="88">
        <v>0</v>
      </c>
      <c r="BR70" s="88">
        <v>0</v>
      </c>
      <c r="BS70" s="88">
        <v>0</v>
      </c>
      <c r="BT70" s="88">
        <v>0</v>
      </c>
      <c r="BU70" s="88">
        <v>1308</v>
      </c>
      <c r="BV70" s="88">
        <v>0</v>
      </c>
      <c r="BW70" s="88">
        <v>0</v>
      </c>
      <c r="BX70" s="88">
        <f t="shared" si="40"/>
        <v>0</v>
      </c>
      <c r="BY70" s="88">
        <f t="shared" si="41"/>
        <v>497420</v>
      </c>
      <c r="BZ70" s="90">
        <f t="shared" si="42"/>
        <v>-497420</v>
      </c>
      <c r="CA70" s="88"/>
      <c r="CB70" s="88">
        <f t="shared" si="43"/>
        <v>629074</v>
      </c>
      <c r="CC70" s="91">
        <f t="shared" si="44"/>
        <v>629074</v>
      </c>
      <c r="CD70" s="87" t="b">
        <f t="shared" si="48"/>
        <v>1</v>
      </c>
    </row>
    <row r="71" spans="1:82" ht="20.399999999999999" hidden="1" customHeight="1" x14ac:dyDescent="0.3">
      <c r="A71" s="92" t="s">
        <v>962</v>
      </c>
      <c r="B71" s="92"/>
      <c r="C71" s="88">
        <f>SUM(C2:C70)</f>
        <v>4602</v>
      </c>
      <c r="D71" s="88">
        <f t="shared" ref="D71:BO71" si="49">SUM(D2:D70)</f>
        <v>425323222.63699996</v>
      </c>
      <c r="E71" s="88">
        <f t="shared" si="49"/>
        <v>1014.0500000000001</v>
      </c>
      <c r="F71" s="88">
        <f t="shared" si="49"/>
        <v>1571</v>
      </c>
      <c r="G71" s="88">
        <f t="shared" si="49"/>
        <v>506815147.44800001</v>
      </c>
      <c r="H71" s="88">
        <f t="shared" si="49"/>
        <v>201.95</v>
      </c>
      <c r="I71" s="88">
        <f t="shared" si="49"/>
        <v>932138370.08499992</v>
      </c>
      <c r="J71" s="88">
        <f t="shared" si="49"/>
        <v>756599981.61699998</v>
      </c>
      <c r="K71" s="88">
        <f t="shared" si="49"/>
        <v>175538388.46799999</v>
      </c>
      <c r="L71" s="88">
        <f t="shared" si="49"/>
        <v>405675581.05000001</v>
      </c>
      <c r="M71" s="88">
        <f t="shared" si="49"/>
        <v>405675581.05000001</v>
      </c>
      <c r="N71" s="88">
        <f t="shared" si="49"/>
        <v>174832942.273</v>
      </c>
      <c r="O71" s="88">
        <f t="shared" si="49"/>
        <v>113306036.20899999</v>
      </c>
      <c r="P71" s="88">
        <f t="shared" si="49"/>
        <v>113306036.20899999</v>
      </c>
      <c r="Q71" s="88">
        <f t="shared" si="49"/>
        <v>435981.65847525845</v>
      </c>
      <c r="R71" s="88">
        <f t="shared" si="49"/>
        <v>19667.467000000001</v>
      </c>
      <c r="S71" s="88">
        <f t="shared" si="49"/>
        <v>9683499.1708999258</v>
      </c>
      <c r="T71" s="88">
        <f t="shared" si="49"/>
        <v>21434876.705780379</v>
      </c>
      <c r="U71" s="88">
        <f t="shared" si="49"/>
        <v>9673038.1564111672</v>
      </c>
      <c r="V71" s="88">
        <f t="shared" si="49"/>
        <v>2222139.4613793548</v>
      </c>
      <c r="W71" s="88">
        <f t="shared" si="49"/>
        <v>49233468.831217974</v>
      </c>
      <c r="X71" s="88">
        <f t="shared" si="49"/>
        <v>20603364.75783594</v>
      </c>
      <c r="Y71" s="88">
        <f t="shared" si="49"/>
        <v>1575457.5199999998</v>
      </c>
      <c r="Z71" s="88">
        <f t="shared" si="49"/>
        <v>923219.5959999999</v>
      </c>
      <c r="AA71" s="88">
        <f t="shared" si="49"/>
        <v>17098656.204</v>
      </c>
      <c r="AB71" s="88">
        <f t="shared" si="49"/>
        <v>11516592.668</v>
      </c>
      <c r="AC71" s="88">
        <f t="shared" si="49"/>
        <v>508444.8</v>
      </c>
      <c r="AD71" s="88">
        <f t="shared" si="49"/>
        <v>12565816.018000001</v>
      </c>
      <c r="AE71" s="88">
        <f t="shared" si="49"/>
        <v>22443540.608999997</v>
      </c>
      <c r="AF71" s="88">
        <f t="shared" si="49"/>
        <v>30694946.074000001</v>
      </c>
      <c r="AG71" s="88">
        <f t="shared" si="49"/>
        <v>20209929.079</v>
      </c>
      <c r="AH71" s="88">
        <f t="shared" si="49"/>
        <v>63859514.292999998</v>
      </c>
      <c r="AI71" s="88">
        <f t="shared" si="49"/>
        <v>63859514.292999998</v>
      </c>
      <c r="AJ71" s="88">
        <f t="shared" si="49"/>
        <v>59010112.600000001</v>
      </c>
      <c r="AK71" s="88">
        <f t="shared" si="49"/>
        <v>4713656.4870000007</v>
      </c>
      <c r="AL71" s="88">
        <f t="shared" si="49"/>
        <v>200989674.68399999</v>
      </c>
      <c r="AM71" s="88">
        <f t="shared" si="49"/>
        <v>200989674.68399999</v>
      </c>
      <c r="AN71" s="88">
        <f t="shared" si="49"/>
        <v>62846712</v>
      </c>
      <c r="AO71" s="88">
        <f t="shared" si="49"/>
        <v>27162668.68</v>
      </c>
      <c r="AP71" s="88">
        <f t="shared" si="49"/>
        <v>282786</v>
      </c>
      <c r="AQ71" s="88">
        <f t="shared" si="49"/>
        <v>31369920.838</v>
      </c>
      <c r="AR71" s="88">
        <f t="shared" si="49"/>
        <v>9782818.540000001</v>
      </c>
      <c r="AS71" s="88">
        <f t="shared" si="49"/>
        <v>247543.8</v>
      </c>
      <c r="AT71" s="88">
        <f t="shared" si="49"/>
        <v>1093942.68</v>
      </c>
      <c r="AU71" s="88">
        <f t="shared" si="49"/>
        <v>2279419.574</v>
      </c>
      <c r="AV71" s="88">
        <f t="shared" si="49"/>
        <v>863872.73499999999</v>
      </c>
      <c r="AW71" s="88">
        <f t="shared" si="49"/>
        <v>34148340.222000003</v>
      </c>
      <c r="AX71" s="88">
        <f t="shared" si="49"/>
        <v>578988.28799999994</v>
      </c>
      <c r="AY71" s="88">
        <f t="shared" si="49"/>
        <v>3738855.3830000004</v>
      </c>
      <c r="AZ71" s="88">
        <f t="shared" si="49"/>
        <v>7276094.7750000004</v>
      </c>
      <c r="BA71" s="88">
        <f t="shared" si="49"/>
        <v>14242081.737</v>
      </c>
      <c r="BB71" s="88">
        <f t="shared" si="49"/>
        <v>5004009.57</v>
      </c>
      <c r="BC71" s="88">
        <f t="shared" si="49"/>
        <v>45626310.416000001</v>
      </c>
      <c r="BD71" s="88">
        <f t="shared" si="49"/>
        <v>45626310.416000001</v>
      </c>
      <c r="BE71" s="88">
        <f t="shared" si="49"/>
        <v>12508013.681</v>
      </c>
      <c r="BF71" s="88">
        <f t="shared" si="49"/>
        <v>713052.49</v>
      </c>
      <c r="BG71" s="88">
        <f t="shared" si="49"/>
        <v>42532</v>
      </c>
      <c r="BH71" s="88">
        <f t="shared" si="49"/>
        <v>506364.255</v>
      </c>
      <c r="BI71" s="88">
        <f t="shared" si="49"/>
        <v>22045913.092</v>
      </c>
      <c r="BJ71" s="88">
        <f t="shared" si="49"/>
        <v>213246.997</v>
      </c>
      <c r="BK71" s="88">
        <f t="shared" si="49"/>
        <v>8779044.6569999997</v>
      </c>
      <c r="BL71" s="88">
        <f t="shared" si="49"/>
        <v>594901</v>
      </c>
      <c r="BM71" s="88">
        <f t="shared" si="49"/>
        <v>113828733.205</v>
      </c>
      <c r="BN71" s="88">
        <f t="shared" si="49"/>
        <v>113828733.205</v>
      </c>
      <c r="BO71" s="88">
        <f t="shared" si="49"/>
        <v>72223977.795979396</v>
      </c>
      <c r="BP71" s="88">
        <f t="shared" ref="BP71:CC71" si="50">SUM(BP2:BP70)</f>
        <v>21263463.771020602</v>
      </c>
      <c r="BQ71" s="88">
        <f t="shared" si="50"/>
        <v>7097378.0060000001</v>
      </c>
      <c r="BR71" s="88">
        <f t="shared" si="50"/>
        <v>2817707.9819999998</v>
      </c>
      <c r="BS71" s="88">
        <f t="shared" si="50"/>
        <v>4249644.1629999997</v>
      </c>
      <c r="BT71" s="88">
        <f t="shared" si="50"/>
        <v>5781295.8430000003</v>
      </c>
      <c r="BU71" s="88">
        <f t="shared" si="50"/>
        <v>25429804.713</v>
      </c>
      <c r="BV71" s="88">
        <f t="shared" si="50"/>
        <v>60645406.876999989</v>
      </c>
      <c r="BW71" s="88">
        <f t="shared" si="50"/>
        <v>16084118.736000001</v>
      </c>
      <c r="BX71" s="88">
        <f t="shared" si="50"/>
        <v>932138370.08499992</v>
      </c>
      <c r="BY71" s="88">
        <f t="shared" si="50"/>
        <v>756599981.61699998</v>
      </c>
      <c r="BZ71" s="88">
        <f t="shared" si="50"/>
        <v>175538388.46799999</v>
      </c>
      <c r="CA71" s="88">
        <f t="shared" si="50"/>
        <v>0</v>
      </c>
      <c r="CB71" s="88">
        <f t="shared" si="50"/>
        <v>932139143.97399998</v>
      </c>
      <c r="CC71" s="88">
        <f t="shared" si="50"/>
        <v>932139143.97399998</v>
      </c>
      <c r="CD71" s="87" t="b">
        <f>CC71=CB71</f>
        <v>1</v>
      </c>
    </row>
  </sheetData>
  <autoFilter ref="A1:CD71" xr:uid="{00000000-0009-0000-0000-00000F000000}">
    <filterColumn colId="0">
      <filters>
        <filter val="AFRIGOLD SARL"/>
        <filter val="PETOWAL MINING COMPANY (PMC) SA"/>
        <filter val="SABODALA GOLD OPERATIONS"/>
        <filter val="SORED MINES SA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X70"/>
  <sheetViews>
    <sheetView workbookViewId="0">
      <pane xSplit="1" ySplit="1" topLeftCell="BT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5" x14ac:dyDescent="0.35"/>
  <cols>
    <col min="1" max="1" width="81.6328125" bestFit="1" customWidth="1"/>
    <col min="2" max="2" width="15.36328125" style="13" bestFit="1" customWidth="1"/>
    <col min="3" max="3" width="17.81640625" style="13" customWidth="1"/>
    <col min="4" max="4" width="18.1796875" style="13" bestFit="1" customWidth="1"/>
    <col min="5" max="5" width="15.36328125" style="13" bestFit="1" customWidth="1"/>
    <col min="6" max="6" width="18" style="13" customWidth="1"/>
    <col min="7" max="7" width="19" style="13" bestFit="1" customWidth="1"/>
    <col min="8" max="8" width="19.90625" style="13" bestFit="1" customWidth="1"/>
    <col min="9" max="9" width="25.453125" style="13" bestFit="1" customWidth="1"/>
    <col min="10" max="10" width="15.6328125" style="13" customWidth="1"/>
    <col min="11" max="11" width="17.1796875" style="13" bestFit="1" customWidth="1"/>
    <col min="12" max="12" width="32.90625" style="13" bestFit="1" customWidth="1"/>
    <col min="13" max="13" width="19.1796875" style="13" bestFit="1" customWidth="1"/>
    <col min="14" max="14" width="15.08984375" style="13" bestFit="1" customWidth="1"/>
    <col min="15" max="15" width="13" style="13" bestFit="1" customWidth="1"/>
    <col min="16" max="16" width="10.90625" style="13" bestFit="1" customWidth="1"/>
    <col min="17" max="18" width="14.54296875" style="13" bestFit="1" customWidth="1"/>
    <col min="19" max="19" width="13.453125" style="13" bestFit="1" customWidth="1"/>
    <col min="20" max="20" width="14.54296875" style="13" bestFit="1" customWidth="1"/>
    <col min="21" max="21" width="18.08984375" style="13" bestFit="1" customWidth="1"/>
    <col min="22" max="22" width="23" style="13" bestFit="1" customWidth="1"/>
    <col min="23" max="23" width="12" style="13" bestFit="1" customWidth="1"/>
    <col min="24" max="24" width="14.54296875" style="13" bestFit="1" customWidth="1"/>
    <col min="25" max="25" width="13.54296875" style="13" bestFit="1" customWidth="1"/>
    <col min="26" max="26" width="27.54296875" style="13" bestFit="1" customWidth="1"/>
    <col min="27" max="27" width="21.54296875" style="13" bestFit="1" customWidth="1"/>
    <col min="28" max="28" width="19.08984375" style="13" bestFit="1" customWidth="1"/>
    <col min="29" max="29" width="21.453125" style="13" bestFit="1" customWidth="1"/>
    <col min="30" max="30" width="14.54296875" style="13" bestFit="1" customWidth="1"/>
    <col min="31" max="31" width="31.08984375" style="13" bestFit="1" customWidth="1"/>
    <col min="32" max="32" width="17.54296875" style="13" bestFit="1" customWidth="1"/>
    <col min="33" max="33" width="20.453125" style="13" bestFit="1" customWidth="1"/>
    <col min="34" max="34" width="16.6328125" style="13" bestFit="1" customWidth="1"/>
    <col min="35" max="35" width="41.08984375" style="13" bestFit="1" customWidth="1"/>
    <col min="36" max="36" width="27.54296875" style="13" bestFit="1" customWidth="1"/>
    <col min="37" max="37" width="18.6328125" style="13" bestFit="1" customWidth="1"/>
    <col min="38" max="38" width="17.90625" style="13" bestFit="1" customWidth="1"/>
    <col min="39" max="39" width="19.81640625" style="13" bestFit="1" customWidth="1"/>
    <col min="40" max="40" width="22.453125" style="13" bestFit="1" customWidth="1"/>
    <col min="41" max="41" width="13.453125" style="13" bestFit="1" customWidth="1"/>
    <col min="42" max="42" width="16.1796875" style="13" bestFit="1" customWidth="1"/>
    <col min="43" max="43" width="14.08984375" style="13" bestFit="1" customWidth="1"/>
    <col min="44" max="44" width="14.6328125" style="13" bestFit="1" customWidth="1"/>
    <col min="45" max="45" width="14.81640625" style="13" bestFit="1" customWidth="1"/>
    <col min="46" max="46" width="21.54296875" style="13" bestFit="1" customWidth="1"/>
    <col min="47" max="47" width="21.1796875" style="13" bestFit="1" customWidth="1"/>
    <col min="48" max="48" width="14.81640625" style="13" bestFit="1" customWidth="1"/>
    <col min="49" max="49" width="20.453125" style="13" bestFit="1" customWidth="1"/>
    <col min="50" max="50" width="23.36328125" style="13" bestFit="1" customWidth="1"/>
    <col min="51" max="51" width="18" style="13" bestFit="1" customWidth="1"/>
    <col min="52" max="52" width="35.6328125" style="13" bestFit="1" customWidth="1"/>
    <col min="53" max="53" width="22.08984375" style="13" bestFit="1" customWidth="1"/>
    <col min="54" max="54" width="21" style="13" bestFit="1" customWidth="1"/>
    <col min="55" max="55" width="20.08984375" style="13" bestFit="1" customWidth="1"/>
    <col min="56" max="56" width="12.54296875" style="13" bestFit="1" customWidth="1"/>
    <col min="57" max="58" width="18.08984375" style="13" bestFit="1" customWidth="1"/>
    <col min="59" max="59" width="18.81640625" style="13" bestFit="1" customWidth="1"/>
    <col min="60" max="60" width="21.453125" style="13" bestFit="1" customWidth="1"/>
    <col min="61" max="61" width="17.36328125" style="13" bestFit="1" customWidth="1"/>
    <col min="62" max="62" width="44.81640625" style="13" bestFit="1" customWidth="1"/>
    <col min="63" max="63" width="29.90625" style="13" bestFit="1" customWidth="1"/>
    <col min="64" max="64" width="18.08984375" style="13" bestFit="1" customWidth="1"/>
    <col min="65" max="65" width="22.08984375" style="13" bestFit="1" customWidth="1"/>
    <col min="66" max="66" width="23" style="13" bestFit="1" customWidth="1"/>
    <col min="67" max="67" width="18.453125" style="13" bestFit="1" customWidth="1"/>
    <col min="68" max="68" width="13.6328125" style="13" bestFit="1" customWidth="1"/>
    <col min="69" max="69" width="20.453125" style="13" bestFit="1" customWidth="1"/>
    <col min="70" max="70" width="23.54296875" style="13" bestFit="1" customWidth="1"/>
    <col min="71" max="71" width="22.08984375" style="13" bestFit="1" customWidth="1"/>
    <col min="72" max="72" width="30.6328125" style="13" bestFit="1" customWidth="1"/>
    <col min="73" max="73" width="17.6328125" style="13" bestFit="1" customWidth="1"/>
    <col min="74" max="74" width="30" style="13" bestFit="1" customWidth="1"/>
    <col min="75" max="75" width="14.54296875" style="13" bestFit="1" customWidth="1"/>
    <col min="76" max="76" width="23.08984375" bestFit="1" customWidth="1"/>
  </cols>
  <sheetData>
    <row r="1" spans="1:76" s="1" customFormat="1" ht="42" x14ac:dyDescent="0.35">
      <c r="A1" s="95" t="s">
        <v>617</v>
      </c>
      <c r="B1" s="102" t="s">
        <v>871</v>
      </c>
      <c r="C1" s="102" t="s">
        <v>872</v>
      </c>
      <c r="D1" s="102" t="s">
        <v>873</v>
      </c>
      <c r="E1" s="102" t="s">
        <v>874</v>
      </c>
      <c r="F1" s="102" t="s">
        <v>875</v>
      </c>
      <c r="G1" s="102" t="s">
        <v>876</v>
      </c>
      <c r="H1" s="102" t="s">
        <v>963</v>
      </c>
      <c r="I1" s="102" t="s">
        <v>964</v>
      </c>
      <c r="J1" s="102" t="s">
        <v>851</v>
      </c>
      <c r="K1" s="102" t="s">
        <v>882</v>
      </c>
      <c r="L1" s="102" t="s">
        <v>965</v>
      </c>
      <c r="M1" s="102" t="s">
        <v>883</v>
      </c>
      <c r="N1" s="102" t="s">
        <v>884</v>
      </c>
      <c r="O1" s="102" t="s">
        <v>885</v>
      </c>
      <c r="P1" s="102" t="s">
        <v>886</v>
      </c>
      <c r="Q1" s="102" t="s">
        <v>887</v>
      </c>
      <c r="R1" s="102" t="s">
        <v>888</v>
      </c>
      <c r="S1" s="102" t="s">
        <v>889</v>
      </c>
      <c r="T1" s="102" t="s">
        <v>890</v>
      </c>
      <c r="U1" s="102" t="s">
        <v>891</v>
      </c>
      <c r="V1" s="102" t="s">
        <v>892</v>
      </c>
      <c r="W1" s="102" t="s">
        <v>893</v>
      </c>
      <c r="X1" s="102" t="s">
        <v>894</v>
      </c>
      <c r="Y1" s="102" t="s">
        <v>895</v>
      </c>
      <c r="Z1" s="102" t="s">
        <v>896</v>
      </c>
      <c r="AA1" s="102" t="s">
        <v>897</v>
      </c>
      <c r="AB1" s="102" t="s">
        <v>898</v>
      </c>
      <c r="AC1" s="102" t="s">
        <v>899</v>
      </c>
      <c r="AD1" s="102" t="s">
        <v>900</v>
      </c>
      <c r="AE1" s="102" t="s">
        <v>966</v>
      </c>
      <c r="AF1" s="102" t="s">
        <v>953</v>
      </c>
      <c r="AG1" s="102" t="s">
        <v>903</v>
      </c>
      <c r="AH1" s="102" t="s">
        <v>904</v>
      </c>
      <c r="AI1" s="102" t="s">
        <v>967</v>
      </c>
      <c r="AJ1" s="102" t="s">
        <v>853</v>
      </c>
      <c r="AK1" s="102" t="s">
        <v>907</v>
      </c>
      <c r="AL1" s="102" t="s">
        <v>908</v>
      </c>
      <c r="AM1" s="102" t="s">
        <v>909</v>
      </c>
      <c r="AN1" s="102" t="s">
        <v>910</v>
      </c>
      <c r="AO1" s="102" t="s">
        <v>911</v>
      </c>
      <c r="AP1" s="102" t="s">
        <v>912</v>
      </c>
      <c r="AQ1" s="102" t="s">
        <v>913</v>
      </c>
      <c r="AR1" s="102" t="s">
        <v>914</v>
      </c>
      <c r="AS1" s="102" t="s">
        <v>916</v>
      </c>
      <c r="AT1" s="102" t="s">
        <v>917</v>
      </c>
      <c r="AU1" s="102" t="s">
        <v>918</v>
      </c>
      <c r="AV1" s="102" t="s">
        <v>955</v>
      </c>
      <c r="AW1" s="102" t="s">
        <v>919</v>
      </c>
      <c r="AX1" s="102" t="s">
        <v>920</v>
      </c>
      <c r="AY1" s="102" t="s">
        <v>921</v>
      </c>
      <c r="AZ1" s="102" t="s">
        <v>968</v>
      </c>
      <c r="BA1" s="102" t="s">
        <v>957</v>
      </c>
      <c r="BB1" s="102" t="s">
        <v>924</v>
      </c>
      <c r="BC1" s="102" t="s">
        <v>925</v>
      </c>
      <c r="BD1" s="102" t="s">
        <v>926</v>
      </c>
      <c r="BE1" s="102" t="s">
        <v>927</v>
      </c>
      <c r="BF1" s="102" t="s">
        <v>928</v>
      </c>
      <c r="BG1" s="102" t="s">
        <v>930</v>
      </c>
      <c r="BH1" s="102" t="s">
        <v>931</v>
      </c>
      <c r="BI1" s="102" t="s">
        <v>932</v>
      </c>
      <c r="BJ1" s="102" t="s">
        <v>969</v>
      </c>
      <c r="BK1" s="102" t="s">
        <v>855</v>
      </c>
      <c r="BL1" s="102" t="s">
        <v>935</v>
      </c>
      <c r="BM1" s="102" t="s">
        <v>936</v>
      </c>
      <c r="BN1" s="102" t="s">
        <v>937</v>
      </c>
      <c r="BO1" s="102" t="s">
        <v>938</v>
      </c>
      <c r="BP1" s="102" t="s">
        <v>939</v>
      </c>
      <c r="BQ1" s="102" t="s">
        <v>940</v>
      </c>
      <c r="BR1" s="102" t="s">
        <v>856</v>
      </c>
      <c r="BS1" s="102" t="s">
        <v>857</v>
      </c>
      <c r="BT1" s="102" t="s">
        <v>858</v>
      </c>
      <c r="BU1" s="102" t="s">
        <v>947</v>
      </c>
      <c r="BV1" s="102" t="s">
        <v>970</v>
      </c>
      <c r="BW1" s="102" t="s">
        <v>971</v>
      </c>
      <c r="BX1" s="95" t="s">
        <v>972</v>
      </c>
    </row>
    <row r="2" spans="1:76" ht="20.399999999999999" customHeight="1" x14ac:dyDescent="0.35">
      <c r="A2" s="99" t="s">
        <v>428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32" t="s">
        <v>255</v>
      </c>
      <c r="I2" s="18">
        <f>K2+L2+SUM(V2:AD2)</f>
        <v>39277</v>
      </c>
      <c r="J2" s="18">
        <f>+AB2</f>
        <v>39277</v>
      </c>
      <c r="K2" s="18">
        <v>0</v>
      </c>
      <c r="L2" s="18">
        <f>SUM(N2:U2)</f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39277</v>
      </c>
      <c r="AC2" s="18">
        <v>0</v>
      </c>
      <c r="AD2" s="18">
        <v>0</v>
      </c>
      <c r="AE2" s="18">
        <f t="shared" ref="AE2:AE10" si="0">AG2+AH2</f>
        <v>0</v>
      </c>
      <c r="AF2" s="18"/>
      <c r="AG2" s="18">
        <v>0</v>
      </c>
      <c r="AH2" s="18">
        <v>0</v>
      </c>
      <c r="AI2" s="18">
        <f t="shared" ref="AI2:AI10" si="1">SUM(AK2:AY2)</f>
        <v>437222</v>
      </c>
      <c r="AJ2" s="18">
        <f>+SUM(AK2:AY2)</f>
        <v>437222</v>
      </c>
      <c r="AK2" s="18">
        <v>377615</v>
      </c>
      <c r="AL2" s="18">
        <v>43200</v>
      </c>
      <c r="AM2" s="18">
        <v>0</v>
      </c>
      <c r="AN2" s="18">
        <v>15836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571</v>
      </c>
      <c r="AW2" s="18">
        <v>0</v>
      </c>
      <c r="AX2" s="18">
        <v>0</v>
      </c>
      <c r="AY2" s="18">
        <v>0</v>
      </c>
      <c r="AZ2" s="18">
        <f t="shared" ref="AZ2:AZ12" si="2">SUM(BB2:BI2)</f>
        <v>3640</v>
      </c>
      <c r="BA2" s="18">
        <f>+BB2</f>
        <v>3640</v>
      </c>
      <c r="BB2" s="18">
        <v>3640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f t="shared" ref="BJ2:BJ10" si="3">SUM(BL2:BQ2)</f>
        <v>72144</v>
      </c>
      <c r="BK2" s="18">
        <f>+SUM(BL2:BQ2)</f>
        <v>72144</v>
      </c>
      <c r="BL2" s="18">
        <v>68845</v>
      </c>
      <c r="BM2" s="18">
        <v>0</v>
      </c>
      <c r="BN2" s="18">
        <v>2746</v>
      </c>
      <c r="BO2" s="18">
        <v>0</v>
      </c>
      <c r="BP2" s="18">
        <v>470</v>
      </c>
      <c r="BQ2" s="60">
        <v>83</v>
      </c>
      <c r="BR2" s="18">
        <v>16785</v>
      </c>
      <c r="BS2" s="18">
        <v>0</v>
      </c>
      <c r="BT2" s="18">
        <v>0</v>
      </c>
      <c r="BU2" s="18">
        <v>569068</v>
      </c>
      <c r="BV2" s="18">
        <f t="shared" ref="BV2:BV65" si="4">I2+AE2+AI2+AZ2+BJ2+BR2+BS2+BT2</f>
        <v>569068</v>
      </c>
      <c r="BW2" s="28">
        <f t="shared" ref="BW2:BW65" si="5">+BV2-BU2</f>
        <v>0</v>
      </c>
      <c r="BX2" s="96">
        <f t="shared" ref="BX2:BX65" si="6">+I2+AE2+AI2+BR2+BS2</f>
        <v>493284</v>
      </c>
    </row>
    <row r="3" spans="1:76" ht="20.399999999999999" customHeight="1" x14ac:dyDescent="0.35">
      <c r="A3" s="99" t="s">
        <v>434</v>
      </c>
      <c r="B3" s="18">
        <v>60</v>
      </c>
      <c r="C3" s="18">
        <v>695697</v>
      </c>
      <c r="D3" s="18">
        <v>95</v>
      </c>
      <c r="E3" s="18">
        <v>2</v>
      </c>
      <c r="F3" s="18">
        <v>32805</v>
      </c>
      <c r="G3" s="18">
        <v>5</v>
      </c>
      <c r="H3" s="32" t="s">
        <v>87</v>
      </c>
      <c r="I3" s="18">
        <f t="shared" ref="I3:I66" si="7">K3+L3+SUM(V3:AD3)</f>
        <v>1435824</v>
      </c>
      <c r="J3" s="18">
        <v>1435824</v>
      </c>
      <c r="K3" s="18">
        <v>10377</v>
      </c>
      <c r="L3" s="18">
        <f t="shared" ref="L3:L66" si="8">SUM(N3:U3)</f>
        <v>453686</v>
      </c>
      <c r="M3" s="18">
        <f>+SUM(N3:U3)</f>
        <v>453686</v>
      </c>
      <c r="N3" s="18">
        <v>0</v>
      </c>
      <c r="O3" s="18">
        <v>0</v>
      </c>
      <c r="P3" s="18">
        <v>0</v>
      </c>
      <c r="Q3" s="18">
        <v>453426</v>
      </c>
      <c r="R3" s="18">
        <v>0</v>
      </c>
      <c r="S3" s="18">
        <v>260</v>
      </c>
      <c r="T3" s="18">
        <v>0</v>
      </c>
      <c r="U3" s="18">
        <v>0</v>
      </c>
      <c r="V3" s="18">
        <v>4250</v>
      </c>
      <c r="W3" s="18">
        <v>242</v>
      </c>
      <c r="X3" s="18">
        <v>26929</v>
      </c>
      <c r="Y3" s="18"/>
      <c r="Z3" s="18">
        <v>0</v>
      </c>
      <c r="AA3" s="18">
        <v>0</v>
      </c>
      <c r="AB3" s="18">
        <v>900240</v>
      </c>
      <c r="AC3" s="18">
        <v>40100</v>
      </c>
      <c r="AD3" s="18">
        <v>0</v>
      </c>
      <c r="AE3" s="18">
        <f t="shared" si="0"/>
        <v>33414</v>
      </c>
      <c r="AF3" s="18">
        <f>+SUM(AG3:AH3)</f>
        <v>33414</v>
      </c>
      <c r="AG3" s="18">
        <v>40</v>
      </c>
      <c r="AH3" s="18">
        <v>33374</v>
      </c>
      <c r="AI3" s="18">
        <f t="shared" si="1"/>
        <v>326118</v>
      </c>
      <c r="AJ3" s="18">
        <f>+SUM(AK3:AY3)</f>
        <v>326118</v>
      </c>
      <c r="AK3" s="18">
        <v>11191</v>
      </c>
      <c r="AL3" s="18">
        <v>3900</v>
      </c>
      <c r="AM3" s="18">
        <v>0</v>
      </c>
      <c r="AN3" s="18">
        <v>220831</v>
      </c>
      <c r="AO3" s="18">
        <v>226</v>
      </c>
      <c r="AP3" s="18">
        <v>0</v>
      </c>
      <c r="AQ3" s="18">
        <v>20</v>
      </c>
      <c r="AR3" s="18">
        <v>1534</v>
      </c>
      <c r="AS3" s="18">
        <v>0</v>
      </c>
      <c r="AT3" s="18">
        <v>13110</v>
      </c>
      <c r="AU3" s="18">
        <v>0</v>
      </c>
      <c r="AV3" s="18">
        <v>2154</v>
      </c>
      <c r="AW3" s="18">
        <v>48434</v>
      </c>
      <c r="AX3" s="18">
        <v>1638</v>
      </c>
      <c r="AY3" s="18">
        <f>24718-AX3</f>
        <v>23080</v>
      </c>
      <c r="AZ3" s="18">
        <f t="shared" si="2"/>
        <v>70700</v>
      </c>
      <c r="BA3" s="18">
        <f>SUM(BB3:BI3)</f>
        <v>70700</v>
      </c>
      <c r="BB3" s="18"/>
      <c r="BC3" s="18">
        <v>0</v>
      </c>
      <c r="BD3" s="18">
        <v>0</v>
      </c>
      <c r="BE3" s="18">
        <v>19673</v>
      </c>
      <c r="BF3" s="18">
        <v>48434</v>
      </c>
      <c r="BG3" s="18">
        <v>8</v>
      </c>
      <c r="BH3" s="18">
        <v>2585</v>
      </c>
      <c r="BI3" s="18">
        <v>0</v>
      </c>
      <c r="BJ3" s="18">
        <f t="shared" si="3"/>
        <v>97937</v>
      </c>
      <c r="BK3" s="18">
        <f>SUM(BL3:BQ3)</f>
        <v>97937</v>
      </c>
      <c r="BL3" s="18">
        <v>78387</v>
      </c>
      <c r="BM3" s="18">
        <v>0</v>
      </c>
      <c r="BN3" s="18">
        <v>7987</v>
      </c>
      <c r="BO3" s="18">
        <v>0</v>
      </c>
      <c r="BP3" s="18">
        <v>6230</v>
      </c>
      <c r="BQ3" s="60">
        <v>5333</v>
      </c>
      <c r="BR3" s="18">
        <v>65932</v>
      </c>
      <c r="BS3" s="18">
        <v>0</v>
      </c>
      <c r="BT3" s="18">
        <v>5000</v>
      </c>
      <c r="BU3" s="18">
        <v>2034925</v>
      </c>
      <c r="BV3" s="18">
        <f t="shared" si="4"/>
        <v>2034925</v>
      </c>
      <c r="BW3" s="28">
        <f t="shared" si="5"/>
        <v>0</v>
      </c>
      <c r="BX3" s="97">
        <f t="shared" si="6"/>
        <v>1861288</v>
      </c>
    </row>
    <row r="4" spans="1:76" ht="20.399999999999999" customHeight="1" x14ac:dyDescent="0.35">
      <c r="A4" s="99" t="s">
        <v>14</v>
      </c>
      <c r="B4" s="18">
        <v>108</v>
      </c>
      <c r="C4" s="18">
        <v>1386313</v>
      </c>
      <c r="D4" s="18">
        <v>83</v>
      </c>
      <c r="E4" s="18">
        <v>9</v>
      </c>
      <c r="F4" s="18">
        <v>280323</v>
      </c>
      <c r="G4" s="18">
        <v>17</v>
      </c>
      <c r="H4" s="32" t="s">
        <v>255</v>
      </c>
      <c r="I4" s="18">
        <f t="shared" si="7"/>
        <v>165567</v>
      </c>
      <c r="J4" s="18">
        <v>165567</v>
      </c>
      <c r="K4" s="18">
        <v>0</v>
      </c>
      <c r="L4" s="18">
        <f t="shared" si="8"/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4319</v>
      </c>
      <c r="W4" s="18">
        <v>897</v>
      </c>
      <c r="X4" s="18">
        <v>6050</v>
      </c>
      <c r="Y4" s="18">
        <v>111946</v>
      </c>
      <c r="Z4" s="18">
        <v>15697</v>
      </c>
      <c r="AA4" s="18"/>
      <c r="AB4" s="18">
        <v>8028</v>
      </c>
      <c r="AC4" s="18">
        <v>18630</v>
      </c>
      <c r="AD4" s="18">
        <v>0</v>
      </c>
      <c r="AE4" s="18">
        <f t="shared" si="0"/>
        <v>61651</v>
      </c>
      <c r="AF4" s="18">
        <f>AG4+AH4</f>
        <v>61651</v>
      </c>
      <c r="AG4" s="18">
        <v>61472</v>
      </c>
      <c r="AH4" s="18">
        <v>179</v>
      </c>
      <c r="AI4" s="18">
        <f t="shared" si="1"/>
        <v>400447</v>
      </c>
      <c r="AJ4" s="18">
        <v>400447</v>
      </c>
      <c r="AK4" s="18">
        <v>21745</v>
      </c>
      <c r="AL4" s="18">
        <v>69111</v>
      </c>
      <c r="AM4" s="18">
        <v>0</v>
      </c>
      <c r="AN4" s="18">
        <v>21497</v>
      </c>
      <c r="AO4" s="18">
        <v>45263</v>
      </c>
      <c r="AP4" s="18">
        <v>0</v>
      </c>
      <c r="AQ4" s="18">
        <v>0</v>
      </c>
      <c r="AR4" s="18">
        <v>67291</v>
      </c>
      <c r="AS4" s="18">
        <v>3296</v>
      </c>
      <c r="AT4" s="18">
        <v>112558</v>
      </c>
      <c r="AU4" s="18">
        <v>1641</v>
      </c>
      <c r="AV4" s="18">
        <v>5898</v>
      </c>
      <c r="AW4" s="18">
        <v>19324</v>
      </c>
      <c r="AX4" s="18">
        <v>0</v>
      </c>
      <c r="AY4" s="18">
        <v>32823</v>
      </c>
      <c r="AZ4" s="18">
        <f t="shared" si="2"/>
        <v>3420</v>
      </c>
      <c r="BA4" s="18">
        <v>3420</v>
      </c>
      <c r="BB4" s="18">
        <v>2698</v>
      </c>
      <c r="BC4" s="18">
        <v>0</v>
      </c>
      <c r="BD4" s="18">
        <v>0</v>
      </c>
      <c r="BE4" s="18">
        <v>415</v>
      </c>
      <c r="BF4" s="18">
        <v>0</v>
      </c>
      <c r="BG4" s="18">
        <v>0</v>
      </c>
      <c r="BH4" s="18">
        <v>0</v>
      </c>
      <c r="BI4" s="18">
        <f>BA4-(BB4+BE4)</f>
        <v>307</v>
      </c>
      <c r="BJ4" s="18">
        <f t="shared" si="3"/>
        <v>1343358</v>
      </c>
      <c r="BK4" s="18">
        <v>1343358</v>
      </c>
      <c r="BL4" s="18">
        <v>527688</v>
      </c>
      <c r="BM4" s="18">
        <v>577905</v>
      </c>
      <c r="BN4" s="18">
        <v>57421</v>
      </c>
      <c r="BO4" s="18">
        <v>8200</v>
      </c>
      <c r="BP4" s="18">
        <v>24915</v>
      </c>
      <c r="BQ4" s="60">
        <v>147229</v>
      </c>
      <c r="BR4" s="18">
        <v>267</v>
      </c>
      <c r="BS4" s="18">
        <v>35963</v>
      </c>
      <c r="BT4" s="18">
        <v>0</v>
      </c>
      <c r="BU4" s="18">
        <f>BV4</f>
        <v>2010673</v>
      </c>
      <c r="BV4" s="18">
        <f t="shared" si="4"/>
        <v>2010673</v>
      </c>
      <c r="BW4" s="28">
        <f t="shared" si="5"/>
        <v>0</v>
      </c>
      <c r="BX4" s="96">
        <f t="shared" si="6"/>
        <v>663895</v>
      </c>
    </row>
    <row r="5" spans="1:76" ht="20.399999999999999" customHeight="1" x14ac:dyDescent="0.35">
      <c r="A5" s="99" t="s">
        <v>264</v>
      </c>
      <c r="B5" s="18">
        <v>7</v>
      </c>
      <c r="C5" s="18">
        <v>96890</v>
      </c>
      <c r="D5" s="18">
        <v>100</v>
      </c>
      <c r="E5" s="18">
        <v>0</v>
      </c>
      <c r="F5" s="18">
        <v>0</v>
      </c>
      <c r="G5" s="18">
        <v>0</v>
      </c>
      <c r="H5" s="32" t="s">
        <v>255</v>
      </c>
      <c r="I5" s="18">
        <f t="shared" si="7"/>
        <v>35302</v>
      </c>
      <c r="J5" s="18">
        <v>35302</v>
      </c>
      <c r="K5" s="18">
        <v>0</v>
      </c>
      <c r="L5" s="18">
        <f t="shared" si="8"/>
        <v>14300</v>
      </c>
      <c r="M5" s="18">
        <f>SUM(N5:U5)</f>
        <v>14300</v>
      </c>
      <c r="N5" s="18">
        <v>0</v>
      </c>
      <c r="O5" s="18">
        <v>0</v>
      </c>
      <c r="P5" s="18">
        <f>2400+3500</f>
        <v>5900</v>
      </c>
      <c r="Q5" s="18">
        <f>600+7800</f>
        <v>8400</v>
      </c>
      <c r="R5" s="18">
        <v>0</v>
      </c>
      <c r="S5" s="18">
        <v>0</v>
      </c>
      <c r="T5" s="18">
        <v>0</v>
      </c>
      <c r="U5" s="18">
        <v>0</v>
      </c>
      <c r="V5" s="18">
        <f>752+9000</f>
        <v>9752</v>
      </c>
      <c r="W5" s="18">
        <f>140+700</f>
        <v>840</v>
      </c>
      <c r="X5" s="18">
        <f>1400+3800</f>
        <v>5200</v>
      </c>
      <c r="Y5" s="18">
        <v>0</v>
      </c>
      <c r="Z5" s="18">
        <v>210</v>
      </c>
      <c r="AA5" s="18">
        <v>0</v>
      </c>
      <c r="AB5" s="18">
        <v>0</v>
      </c>
      <c r="AC5" s="18">
        <v>0</v>
      </c>
      <c r="AD5" s="18">
        <f>1500+3500</f>
        <v>5000</v>
      </c>
      <c r="AE5" s="18">
        <f t="shared" si="0"/>
        <v>32340</v>
      </c>
      <c r="AF5" s="18">
        <f>AG5</f>
        <v>32340</v>
      </c>
      <c r="AG5" s="18">
        <v>32340</v>
      </c>
      <c r="AH5" s="18">
        <v>0</v>
      </c>
      <c r="AI5" s="18">
        <f t="shared" si="1"/>
        <v>90040</v>
      </c>
      <c r="AJ5" s="18">
        <f>54000+36040</f>
        <v>90040</v>
      </c>
      <c r="AK5" s="18">
        <f>AJ5</f>
        <v>90040</v>
      </c>
      <c r="AL5" s="18"/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f t="shared" si="2"/>
        <v>4760</v>
      </c>
      <c r="BA5" s="18">
        <f>BE5</f>
        <v>4760</v>
      </c>
      <c r="BB5" s="18">
        <v>0</v>
      </c>
      <c r="BC5" s="18">
        <v>0</v>
      </c>
      <c r="BD5" s="18">
        <v>0</v>
      </c>
      <c r="BE5" s="18">
        <f>2835+1925</f>
        <v>4760</v>
      </c>
      <c r="BF5" s="18">
        <v>0</v>
      </c>
      <c r="BG5" s="18">
        <v>0</v>
      </c>
      <c r="BH5" s="18">
        <v>0</v>
      </c>
      <c r="BI5" s="18">
        <v>0</v>
      </c>
      <c r="BJ5" s="18">
        <f t="shared" si="3"/>
        <v>224700</v>
      </c>
      <c r="BK5" s="18">
        <f>BL5</f>
        <v>224700</v>
      </c>
      <c r="BL5" s="18">
        <f>166200+58500</f>
        <v>224700</v>
      </c>
      <c r="BM5" s="18">
        <v>0</v>
      </c>
      <c r="BN5" s="18">
        <v>0</v>
      </c>
      <c r="BO5" s="18">
        <v>0</v>
      </c>
      <c r="BP5" s="18">
        <v>0</v>
      </c>
      <c r="BQ5" s="60">
        <v>0</v>
      </c>
      <c r="BR5" s="18">
        <v>0</v>
      </c>
      <c r="BS5" s="18">
        <v>0</v>
      </c>
      <c r="BT5" s="18">
        <v>0</v>
      </c>
      <c r="BU5" s="18">
        <f>BV5</f>
        <v>387142</v>
      </c>
      <c r="BV5" s="18">
        <f t="shared" si="4"/>
        <v>387142</v>
      </c>
      <c r="BW5" s="28">
        <f t="shared" si="5"/>
        <v>0</v>
      </c>
      <c r="BX5" s="96">
        <f t="shared" si="6"/>
        <v>157682</v>
      </c>
    </row>
    <row r="6" spans="1:76" ht="20.399999999999999" customHeight="1" x14ac:dyDescent="0.35">
      <c r="A6" s="20" t="s">
        <v>444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32" t="s">
        <v>46</v>
      </c>
      <c r="I6" s="18">
        <f t="shared" si="7"/>
        <v>147282</v>
      </c>
      <c r="J6" s="18">
        <f>I6</f>
        <v>147282</v>
      </c>
      <c r="K6" s="18">
        <v>0</v>
      </c>
      <c r="L6" s="18">
        <f t="shared" si="8"/>
        <v>95174</v>
      </c>
      <c r="M6" s="18">
        <f>P6</f>
        <v>95174</v>
      </c>
      <c r="N6" s="18">
        <v>0</v>
      </c>
      <c r="O6" s="18">
        <v>0</v>
      </c>
      <c r="P6" s="18">
        <v>95174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39</v>
      </c>
      <c r="AA6" s="18">
        <v>0</v>
      </c>
      <c r="AB6" s="18">
        <v>52037</v>
      </c>
      <c r="AC6" s="18">
        <v>32</v>
      </c>
      <c r="AD6" s="18">
        <v>0</v>
      </c>
      <c r="AE6" s="18">
        <f t="shared" si="0"/>
        <v>0</v>
      </c>
      <c r="AF6" s="18"/>
      <c r="AG6" s="18">
        <v>0</v>
      </c>
      <c r="AH6" s="18">
        <v>0</v>
      </c>
      <c r="AI6" s="18">
        <f t="shared" si="1"/>
        <v>3093</v>
      </c>
      <c r="AJ6" s="18">
        <f>AL6+AN6+AO6</f>
        <v>3093</v>
      </c>
      <c r="AK6" s="18">
        <v>0</v>
      </c>
      <c r="AL6" s="18">
        <v>2735</v>
      </c>
      <c r="AM6" s="18">
        <v>0</v>
      </c>
      <c r="AN6" s="18">
        <v>286</v>
      </c>
      <c r="AO6" s="18">
        <v>72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f t="shared" si="2"/>
        <v>15981</v>
      </c>
      <c r="BA6" s="18">
        <v>15981</v>
      </c>
      <c r="BB6" s="18">
        <v>3167</v>
      </c>
      <c r="BC6" s="18">
        <v>0</v>
      </c>
      <c r="BD6" s="18">
        <v>0</v>
      </c>
      <c r="BE6" s="18">
        <v>2528</v>
      </c>
      <c r="BF6" s="18">
        <v>10286</v>
      </c>
      <c r="BG6" s="18">
        <v>0</v>
      </c>
      <c r="BH6" s="18">
        <v>0</v>
      </c>
      <c r="BI6" s="18">
        <v>0</v>
      </c>
      <c r="BJ6" s="18">
        <f t="shared" si="3"/>
        <v>42881.804000000004</v>
      </c>
      <c r="BK6" s="18">
        <f>BL6+BN6+BP6</f>
        <v>42881.804000000004</v>
      </c>
      <c r="BL6" s="18">
        <v>27168.804</v>
      </c>
      <c r="BM6" s="18">
        <v>0</v>
      </c>
      <c r="BN6" s="18">
        <v>8153</v>
      </c>
      <c r="BO6" s="18">
        <v>0</v>
      </c>
      <c r="BP6" s="18">
        <v>7560</v>
      </c>
      <c r="BQ6" s="60">
        <v>0</v>
      </c>
      <c r="BR6" s="18">
        <v>0</v>
      </c>
      <c r="BS6" s="18">
        <v>0</v>
      </c>
      <c r="BT6" s="18">
        <v>261</v>
      </c>
      <c r="BU6" s="18">
        <f>BV6</f>
        <v>209498.804</v>
      </c>
      <c r="BV6" s="18">
        <f t="shared" si="4"/>
        <v>209498.804</v>
      </c>
      <c r="BW6" s="28">
        <f t="shared" si="5"/>
        <v>0</v>
      </c>
      <c r="BX6" s="96">
        <f t="shared" si="6"/>
        <v>150375</v>
      </c>
    </row>
    <row r="7" spans="1:76" ht="20.399999999999999" customHeight="1" x14ac:dyDescent="0.35">
      <c r="A7" s="20" t="s">
        <v>445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32" t="s">
        <v>255</v>
      </c>
      <c r="I7" s="18">
        <f t="shared" si="7"/>
        <v>0</v>
      </c>
      <c r="J7" s="18">
        <v>0</v>
      </c>
      <c r="K7" s="18">
        <v>0</v>
      </c>
      <c r="L7" s="18">
        <f t="shared" si="8"/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f t="shared" si="0"/>
        <v>0</v>
      </c>
      <c r="AF7" s="18"/>
      <c r="AG7" s="18">
        <v>0</v>
      </c>
      <c r="AH7" s="18">
        <v>0</v>
      </c>
      <c r="AI7" s="18">
        <f t="shared" si="1"/>
        <v>8206</v>
      </c>
      <c r="AJ7" s="18">
        <f>AL7+AX7</f>
        <v>8206</v>
      </c>
      <c r="AK7" s="18">
        <v>0</v>
      </c>
      <c r="AL7" s="18">
        <v>1680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6526</v>
      </c>
      <c r="AY7" s="18">
        <v>0</v>
      </c>
      <c r="AZ7" s="18">
        <f t="shared" si="2"/>
        <v>7751</v>
      </c>
      <c r="BA7" s="18">
        <f>BE7</f>
        <v>7751</v>
      </c>
      <c r="BB7" s="18">
        <v>0</v>
      </c>
      <c r="BC7" s="18">
        <v>0</v>
      </c>
      <c r="BD7" s="18">
        <v>0</v>
      </c>
      <c r="BE7" s="18">
        <v>7751</v>
      </c>
      <c r="BF7" s="18">
        <v>0</v>
      </c>
      <c r="BG7" s="18">
        <v>0</v>
      </c>
      <c r="BH7" s="18">
        <v>0</v>
      </c>
      <c r="BI7" s="18">
        <v>0</v>
      </c>
      <c r="BJ7" s="18">
        <f t="shared" si="3"/>
        <v>39310</v>
      </c>
      <c r="BK7" s="18">
        <f>BL7+BP7</f>
        <v>39310</v>
      </c>
      <c r="BL7" s="18">
        <v>37755</v>
      </c>
      <c r="BM7" s="18">
        <v>0</v>
      </c>
      <c r="BN7" s="18">
        <v>0</v>
      </c>
      <c r="BO7" s="18">
        <v>0</v>
      </c>
      <c r="BP7" s="18">
        <v>1555</v>
      </c>
      <c r="BQ7" s="60">
        <v>0</v>
      </c>
      <c r="BR7" s="18">
        <v>0</v>
      </c>
      <c r="BS7" s="18">
        <v>0</v>
      </c>
      <c r="BT7" s="18">
        <v>0</v>
      </c>
      <c r="BU7" s="18">
        <f>BV7</f>
        <v>55267</v>
      </c>
      <c r="BV7" s="18">
        <f t="shared" si="4"/>
        <v>55267</v>
      </c>
      <c r="BW7" s="28">
        <f t="shared" si="5"/>
        <v>0</v>
      </c>
      <c r="BX7" s="96">
        <f t="shared" si="6"/>
        <v>8206</v>
      </c>
    </row>
    <row r="8" spans="1:76" ht="20.399999999999999" customHeight="1" x14ac:dyDescent="0.35">
      <c r="A8" s="20" t="s">
        <v>273</v>
      </c>
      <c r="B8" s="18">
        <v>3</v>
      </c>
      <c r="C8" s="18">
        <v>1101008</v>
      </c>
      <c r="D8" s="18">
        <v>0</v>
      </c>
      <c r="E8" s="18">
        <v>1</v>
      </c>
      <c r="F8" s="18">
        <v>400000</v>
      </c>
      <c r="G8" s="18">
        <v>0</v>
      </c>
      <c r="H8" s="32" t="s">
        <v>255</v>
      </c>
      <c r="I8" s="18">
        <f t="shared" si="7"/>
        <v>74110</v>
      </c>
      <c r="J8" s="18">
        <f>M8+V8+AA8+AC8</f>
        <v>74110</v>
      </c>
      <c r="K8" s="18">
        <v>0</v>
      </c>
      <c r="L8" s="18">
        <f t="shared" si="8"/>
        <v>33</v>
      </c>
      <c r="M8" s="18">
        <f>Q8</f>
        <v>33</v>
      </c>
      <c r="N8" s="18">
        <v>0</v>
      </c>
      <c r="O8" s="18">
        <v>0</v>
      </c>
      <c r="P8" s="18">
        <v>0</v>
      </c>
      <c r="Q8" s="18">
        <v>33</v>
      </c>
      <c r="R8" s="18">
        <v>0</v>
      </c>
      <c r="S8" s="18">
        <v>0</v>
      </c>
      <c r="T8" s="18">
        <v>0</v>
      </c>
      <c r="U8" s="18">
        <v>0</v>
      </c>
      <c r="V8" s="18">
        <v>70838</v>
      </c>
      <c r="W8" s="18">
        <v>0</v>
      </c>
      <c r="X8" s="18">
        <v>0</v>
      </c>
      <c r="Y8" s="18">
        <v>0</v>
      </c>
      <c r="Z8" s="18">
        <v>0</v>
      </c>
      <c r="AA8" s="18">
        <v>3135</v>
      </c>
      <c r="AB8" s="18">
        <v>0</v>
      </c>
      <c r="AC8" s="18">
        <v>104</v>
      </c>
      <c r="AD8" s="18">
        <v>0</v>
      </c>
      <c r="AE8" s="18">
        <f t="shared" si="0"/>
        <v>0</v>
      </c>
      <c r="AF8" s="18"/>
      <c r="AG8" s="18">
        <v>0</v>
      </c>
      <c r="AH8" s="18">
        <v>0</v>
      </c>
      <c r="AI8" s="18">
        <f t="shared" si="1"/>
        <v>6760</v>
      </c>
      <c r="AJ8" s="18">
        <f>AK8+AL8+AO8+AP8+AR8+AT8+AV8</f>
        <v>6760</v>
      </c>
      <c r="AK8" s="18">
        <v>2156</v>
      </c>
      <c r="AL8" s="18">
        <v>4090</v>
      </c>
      <c r="AM8" s="18">
        <v>0</v>
      </c>
      <c r="AN8" s="18">
        <v>0</v>
      </c>
      <c r="AO8" s="18">
        <v>85</v>
      </c>
      <c r="AP8" s="18">
        <v>16</v>
      </c>
      <c r="AQ8" s="18">
        <v>0</v>
      </c>
      <c r="AR8" s="18">
        <v>12</v>
      </c>
      <c r="AS8" s="18">
        <v>0</v>
      </c>
      <c r="AT8" s="18">
        <v>40</v>
      </c>
      <c r="AU8" s="18">
        <v>0</v>
      </c>
      <c r="AV8" s="18">
        <v>361</v>
      </c>
      <c r="AW8" s="18">
        <v>0</v>
      </c>
      <c r="AX8" s="18">
        <v>0</v>
      </c>
      <c r="AY8" s="18">
        <v>0</v>
      </c>
      <c r="AZ8" s="18">
        <f t="shared" si="2"/>
        <v>62978</v>
      </c>
      <c r="BA8" s="18">
        <f>BE8</f>
        <v>62978</v>
      </c>
      <c r="BB8" s="18">
        <v>0</v>
      </c>
      <c r="BC8" s="18">
        <v>0</v>
      </c>
      <c r="BD8" s="18">
        <v>0</v>
      </c>
      <c r="BE8" s="18">
        <v>62978</v>
      </c>
      <c r="BF8" s="18">
        <v>0</v>
      </c>
      <c r="BG8" s="18">
        <v>0</v>
      </c>
      <c r="BH8" s="18">
        <v>0</v>
      </c>
      <c r="BI8" s="18">
        <v>0</v>
      </c>
      <c r="BJ8" s="18">
        <f t="shared" si="3"/>
        <v>28421</v>
      </c>
      <c r="BK8" s="18">
        <f>BL8+BO8+BP8</f>
        <v>28421</v>
      </c>
      <c r="BL8" s="18">
        <v>27000</v>
      </c>
      <c r="BM8" s="18">
        <v>0</v>
      </c>
      <c r="BN8" s="18">
        <v>0</v>
      </c>
      <c r="BO8" s="18">
        <v>40</v>
      </c>
      <c r="BP8" s="18">
        <v>1381</v>
      </c>
      <c r="BQ8" s="60"/>
      <c r="BR8" s="18">
        <v>0</v>
      </c>
      <c r="BS8" s="18">
        <v>3640</v>
      </c>
      <c r="BT8" s="18">
        <v>0</v>
      </c>
      <c r="BU8" s="18">
        <v>175909</v>
      </c>
      <c r="BV8" s="18">
        <f t="shared" si="4"/>
        <v>175909</v>
      </c>
      <c r="BW8" s="28">
        <f t="shared" si="5"/>
        <v>0</v>
      </c>
      <c r="BX8" s="96">
        <f t="shared" si="6"/>
        <v>84510</v>
      </c>
    </row>
    <row r="9" spans="1:76" ht="20.399999999999999" customHeight="1" x14ac:dyDescent="0.35">
      <c r="A9" s="99" t="s">
        <v>448</v>
      </c>
      <c r="B9" s="18">
        <v>0</v>
      </c>
      <c r="C9" s="18">
        <v>0</v>
      </c>
      <c r="D9" s="18">
        <v>0</v>
      </c>
      <c r="E9" s="18">
        <v>1</v>
      </c>
      <c r="F9" s="18">
        <v>60000</v>
      </c>
      <c r="G9" s="18">
        <v>100</v>
      </c>
      <c r="H9" s="32" t="s">
        <v>46</v>
      </c>
      <c r="I9" s="18">
        <f t="shared" si="7"/>
        <v>121200</v>
      </c>
      <c r="J9" s="18">
        <f>+M9+AC9+AD9</f>
        <v>121200</v>
      </c>
      <c r="K9" s="18">
        <v>0</v>
      </c>
      <c r="L9" s="18">
        <f t="shared" si="8"/>
        <v>43200</v>
      </c>
      <c r="M9" s="18">
        <f>SUM(N9:U9)</f>
        <v>43200</v>
      </c>
      <c r="N9" s="18">
        <v>0</v>
      </c>
      <c r="O9" s="18">
        <v>0</v>
      </c>
      <c r="P9" s="18">
        <v>0</v>
      </c>
      <c r="Q9" s="18">
        <v>43200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60000</v>
      </c>
      <c r="AD9" s="18">
        <v>18000</v>
      </c>
      <c r="AE9" s="18">
        <f t="shared" si="0"/>
        <v>7500</v>
      </c>
      <c r="AF9" s="18">
        <f>AG9+AH9</f>
        <v>7500</v>
      </c>
      <c r="AG9" s="18">
        <v>1200</v>
      </c>
      <c r="AH9" s="18">
        <v>6300</v>
      </c>
      <c r="AI9" s="18">
        <f t="shared" si="1"/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f t="shared" si="2"/>
        <v>40142</v>
      </c>
      <c r="BA9" s="18">
        <f>SUM(BB9:BI9)</f>
        <v>40142</v>
      </c>
      <c r="BB9" s="18">
        <v>500</v>
      </c>
      <c r="BC9" s="18">
        <v>0</v>
      </c>
      <c r="BD9" s="18">
        <v>1500</v>
      </c>
      <c r="BE9" s="18">
        <v>19000</v>
      </c>
      <c r="BF9" s="18">
        <v>19142</v>
      </c>
      <c r="BG9" s="18">
        <v>0</v>
      </c>
      <c r="BH9" s="18">
        <v>0</v>
      </c>
      <c r="BI9" s="18">
        <v>0</v>
      </c>
      <c r="BJ9" s="18">
        <f t="shared" si="3"/>
        <v>156000</v>
      </c>
      <c r="BK9" s="18">
        <f>SUM(BL9:BQ9)</f>
        <v>156000</v>
      </c>
      <c r="BL9" s="18">
        <v>108000</v>
      </c>
      <c r="BM9" s="18">
        <v>30000</v>
      </c>
      <c r="BN9" s="18">
        <v>0</v>
      </c>
      <c r="BO9" s="18">
        <v>18000</v>
      </c>
      <c r="BP9" s="18">
        <v>0</v>
      </c>
      <c r="BQ9" s="60">
        <v>0</v>
      </c>
      <c r="BR9" s="18">
        <v>0</v>
      </c>
      <c r="BS9" s="18">
        <v>0</v>
      </c>
      <c r="BT9" s="18">
        <v>500</v>
      </c>
      <c r="BU9" s="18">
        <v>325342</v>
      </c>
      <c r="BV9" s="18">
        <f t="shared" si="4"/>
        <v>325342</v>
      </c>
      <c r="BW9" s="28">
        <f t="shared" si="5"/>
        <v>0</v>
      </c>
      <c r="BX9" s="96">
        <f t="shared" si="6"/>
        <v>128700</v>
      </c>
    </row>
    <row r="10" spans="1:76" ht="20.399999999999999" customHeight="1" x14ac:dyDescent="0.35">
      <c r="A10" s="20" t="s">
        <v>278</v>
      </c>
      <c r="B10" s="18">
        <v>8</v>
      </c>
      <c r="C10" s="18">
        <v>0</v>
      </c>
      <c r="D10" s="18">
        <v>90</v>
      </c>
      <c r="E10" s="18">
        <v>2</v>
      </c>
      <c r="F10" s="18">
        <v>0</v>
      </c>
      <c r="G10" s="18">
        <v>10</v>
      </c>
      <c r="H10" s="32" t="s">
        <v>255</v>
      </c>
      <c r="I10" s="18">
        <f t="shared" si="7"/>
        <v>56045</v>
      </c>
      <c r="J10" s="18">
        <v>56045</v>
      </c>
      <c r="K10" s="18">
        <v>0</v>
      </c>
      <c r="L10" s="18">
        <f t="shared" si="8"/>
        <v>16337</v>
      </c>
      <c r="M10" s="18">
        <f>+Q10</f>
        <v>16337</v>
      </c>
      <c r="N10" s="18">
        <v>0</v>
      </c>
      <c r="O10" s="18">
        <v>0</v>
      </c>
      <c r="P10" s="18">
        <v>0</v>
      </c>
      <c r="Q10" s="18">
        <f>1657+14680</f>
        <v>16337</v>
      </c>
      <c r="R10" s="18">
        <v>0</v>
      </c>
      <c r="S10" s="18">
        <v>0</v>
      </c>
      <c r="T10" s="18">
        <v>0</v>
      </c>
      <c r="U10" s="18">
        <v>0</v>
      </c>
      <c r="V10" s="18">
        <f>58+266</f>
        <v>324</v>
      </c>
      <c r="W10" s="18">
        <f>16+300+8637</f>
        <v>8953</v>
      </c>
      <c r="X10" s="18">
        <v>0</v>
      </c>
      <c r="Y10" s="18">
        <v>0</v>
      </c>
      <c r="Z10" s="18">
        <v>359</v>
      </c>
      <c r="AA10" s="18">
        <v>30072</v>
      </c>
      <c r="AB10" s="18">
        <v>0</v>
      </c>
      <c r="AC10" s="18"/>
      <c r="AD10" s="18"/>
      <c r="AE10" s="18">
        <f t="shared" si="0"/>
        <v>0</v>
      </c>
      <c r="AF10" s="18"/>
      <c r="AG10" s="18">
        <v>0</v>
      </c>
      <c r="AH10" s="18">
        <v>0</v>
      </c>
      <c r="AI10" s="18">
        <f t="shared" si="1"/>
        <v>464008</v>
      </c>
      <c r="AJ10" s="18">
        <v>464008</v>
      </c>
      <c r="AK10" s="18">
        <f>53278</f>
        <v>53278</v>
      </c>
      <c r="AL10" s="18">
        <f>4090+4090</f>
        <v>8180</v>
      </c>
      <c r="AM10" s="18">
        <v>0</v>
      </c>
      <c r="AN10" s="18">
        <v>0</v>
      </c>
      <c r="AO10" s="18">
        <f>85+85</f>
        <v>170</v>
      </c>
      <c r="AP10" s="18">
        <v>247945</v>
      </c>
      <c r="AQ10" s="18">
        <v>0</v>
      </c>
      <c r="AR10" s="18">
        <f>12+12</f>
        <v>24</v>
      </c>
      <c r="AS10" s="18">
        <v>361</v>
      </c>
      <c r="AT10" s="18">
        <f>40+40</f>
        <v>80</v>
      </c>
      <c r="AU10" s="18">
        <v>0</v>
      </c>
      <c r="AV10" s="18">
        <v>1961</v>
      </c>
      <c r="AW10" s="18">
        <v>2326</v>
      </c>
      <c r="AX10" s="18">
        <v>141585</v>
      </c>
      <c r="AY10" s="18">
        <v>8098</v>
      </c>
      <c r="AZ10" s="18">
        <f t="shared" si="2"/>
        <v>2080</v>
      </c>
      <c r="BA10" s="18">
        <v>2080</v>
      </c>
      <c r="BB10" s="18">
        <v>0</v>
      </c>
      <c r="BC10" s="18">
        <v>0</v>
      </c>
      <c r="BD10" s="18">
        <v>0</v>
      </c>
      <c r="BE10" s="18">
        <f>174+1906</f>
        <v>2080</v>
      </c>
      <c r="BF10" s="18">
        <v>0</v>
      </c>
      <c r="BG10" s="18">
        <v>0</v>
      </c>
      <c r="BH10" s="18">
        <v>0</v>
      </c>
      <c r="BI10" s="18">
        <v>0</v>
      </c>
      <c r="BJ10" s="18">
        <f t="shared" si="3"/>
        <v>1061424</v>
      </c>
      <c r="BK10" s="18">
        <v>1061424</v>
      </c>
      <c r="BL10" s="18">
        <f>445181+28968</f>
        <v>474149</v>
      </c>
      <c r="BM10" s="18">
        <f>426222+20799</f>
        <v>447021</v>
      </c>
      <c r="BN10" s="18">
        <v>3227</v>
      </c>
      <c r="BO10" s="18">
        <f>40+4649</f>
        <v>4689</v>
      </c>
      <c r="BP10" s="18">
        <v>132338</v>
      </c>
      <c r="BQ10" s="60">
        <v>0</v>
      </c>
      <c r="BR10" s="18">
        <v>0</v>
      </c>
      <c r="BS10" s="18">
        <f>3640+3640</f>
        <v>7280</v>
      </c>
      <c r="BT10" s="18">
        <v>0</v>
      </c>
      <c r="BU10" s="18">
        <v>1590837</v>
      </c>
      <c r="BV10" s="18">
        <f>I10+AE10+AI10+AZ10+BJ10+BR10+BS10+BT10</f>
        <v>1590837</v>
      </c>
      <c r="BW10" s="28">
        <f t="shared" si="5"/>
        <v>0</v>
      </c>
      <c r="BX10" s="97">
        <f t="shared" si="6"/>
        <v>527333</v>
      </c>
    </row>
    <row r="11" spans="1:76" ht="20.399999999999999" customHeight="1" x14ac:dyDescent="0.35">
      <c r="A11" s="99" t="s">
        <v>621</v>
      </c>
      <c r="B11" s="18">
        <v>4</v>
      </c>
      <c r="C11" s="18"/>
      <c r="D11" s="18"/>
      <c r="E11" s="18"/>
      <c r="F11" s="18"/>
      <c r="G11" s="18"/>
      <c r="H11" s="32" t="s">
        <v>255</v>
      </c>
      <c r="I11" s="18">
        <f>K11+L11+SUM(V11:AD11)</f>
        <v>2518</v>
      </c>
      <c r="J11" s="18">
        <v>2518</v>
      </c>
      <c r="K11" s="18">
        <v>2518</v>
      </c>
      <c r="L11" s="18">
        <f t="shared" si="8"/>
        <v>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>
        <f>+AF11</f>
        <v>2264</v>
      </c>
      <c r="AF11" s="18">
        <v>2264</v>
      </c>
      <c r="AG11" s="18"/>
      <c r="AH11" s="18"/>
      <c r="AI11" s="18">
        <f>+AJ11</f>
        <v>7032</v>
      </c>
      <c r="AJ11" s="18">
        <v>7032</v>
      </c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>
        <f t="shared" si="2"/>
        <v>720</v>
      </c>
      <c r="BA11" s="18">
        <v>720</v>
      </c>
      <c r="BB11" s="18"/>
      <c r="BC11" s="18"/>
      <c r="BD11" s="18"/>
      <c r="BE11" s="18">
        <v>720</v>
      </c>
      <c r="BF11" s="18"/>
      <c r="BG11" s="18"/>
      <c r="BH11" s="18"/>
      <c r="BI11" s="18"/>
      <c r="BJ11" s="18">
        <f>+BK11</f>
        <v>15490</v>
      </c>
      <c r="BK11" s="18">
        <v>15490</v>
      </c>
      <c r="BL11" s="18"/>
      <c r="BM11" s="18"/>
      <c r="BN11" s="18"/>
      <c r="BO11" s="18"/>
      <c r="BP11" s="18"/>
      <c r="BQ11" s="60"/>
      <c r="BR11" s="18">
        <v>4280</v>
      </c>
      <c r="BS11" s="18"/>
      <c r="BT11" s="18"/>
      <c r="BU11" s="18">
        <v>32304</v>
      </c>
      <c r="BV11" s="18">
        <f t="shared" si="4"/>
        <v>32304</v>
      </c>
      <c r="BW11" s="28">
        <f t="shared" si="5"/>
        <v>0</v>
      </c>
      <c r="BX11" s="96">
        <f t="shared" si="6"/>
        <v>16094</v>
      </c>
    </row>
    <row r="12" spans="1:76" ht="20.399999999999999" customHeight="1" x14ac:dyDescent="0.35">
      <c r="A12" s="99" t="s">
        <v>151</v>
      </c>
      <c r="B12" s="18">
        <v>11</v>
      </c>
      <c r="C12" s="18">
        <v>1040074</v>
      </c>
      <c r="D12" s="18">
        <v>73</v>
      </c>
      <c r="E12" s="18">
        <v>2</v>
      </c>
      <c r="F12" s="18">
        <v>386847</v>
      </c>
      <c r="G12" s="18">
        <v>27</v>
      </c>
      <c r="H12" s="32" t="s">
        <v>46</v>
      </c>
      <c r="I12" s="18">
        <f t="shared" si="7"/>
        <v>1094958</v>
      </c>
      <c r="J12" s="18">
        <v>1094958</v>
      </c>
      <c r="K12" s="18">
        <v>201840</v>
      </c>
      <c r="L12" s="18">
        <f t="shared" si="8"/>
        <v>820343</v>
      </c>
      <c r="M12" s="18">
        <v>820343</v>
      </c>
      <c r="N12" s="18">
        <v>588</v>
      </c>
      <c r="O12" s="18">
        <v>0</v>
      </c>
      <c r="P12" s="18">
        <v>0</v>
      </c>
      <c r="Q12" s="18">
        <v>814080</v>
      </c>
      <c r="R12" s="18">
        <v>0</v>
      </c>
      <c r="S12" s="18">
        <v>5675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493</v>
      </c>
      <c r="AA12" s="18">
        <v>5940</v>
      </c>
      <c r="AB12" s="18">
        <v>64637</v>
      </c>
      <c r="AC12" s="18">
        <v>1705</v>
      </c>
      <c r="AD12" s="18">
        <v>0</v>
      </c>
      <c r="AE12" s="18">
        <f>AG12+AH12</f>
        <v>8474</v>
      </c>
      <c r="AF12" s="18">
        <f>AE12</f>
        <v>8474</v>
      </c>
      <c r="AG12" s="18">
        <v>4237</v>
      </c>
      <c r="AH12" s="18">
        <v>4237</v>
      </c>
      <c r="AI12" s="18">
        <f>SUM(AK12:AY12)</f>
        <v>128626</v>
      </c>
      <c r="AJ12" s="18">
        <v>128626</v>
      </c>
      <c r="AK12" s="18">
        <v>0</v>
      </c>
      <c r="AL12" s="18">
        <v>2333</v>
      </c>
      <c r="AM12" s="18">
        <v>0</v>
      </c>
      <c r="AN12" s="18">
        <v>793</v>
      </c>
      <c r="AO12" s="18">
        <v>0</v>
      </c>
      <c r="AP12" s="18">
        <v>0</v>
      </c>
      <c r="AQ12" s="18">
        <v>0</v>
      </c>
      <c r="AR12" s="18">
        <v>773</v>
      </c>
      <c r="AS12" s="18">
        <v>7500</v>
      </c>
      <c r="AT12" s="18">
        <v>18389</v>
      </c>
      <c r="AU12" s="18">
        <v>0</v>
      </c>
      <c r="AV12" s="18">
        <v>4858</v>
      </c>
      <c r="AW12" s="18">
        <v>73800</v>
      </c>
      <c r="AX12" s="18">
        <v>11971</v>
      </c>
      <c r="AY12" s="18">
        <v>8209</v>
      </c>
      <c r="AZ12" s="18">
        <f t="shared" si="2"/>
        <v>26614</v>
      </c>
      <c r="BA12" s="18">
        <v>26614</v>
      </c>
      <c r="BB12" s="18">
        <v>6873</v>
      </c>
      <c r="BC12" s="18">
        <v>0</v>
      </c>
      <c r="BD12" s="18">
        <v>0</v>
      </c>
      <c r="BE12" s="18">
        <v>0</v>
      </c>
      <c r="BF12" s="18">
        <v>9625</v>
      </c>
      <c r="BG12" s="18">
        <v>6123</v>
      </c>
      <c r="BH12" s="18">
        <v>2088</v>
      </c>
      <c r="BI12" s="18">
        <v>1905</v>
      </c>
      <c r="BJ12" s="18">
        <f>SUM(BL12:BQ12)</f>
        <v>241855</v>
      </c>
      <c r="BK12" s="18">
        <f>BJ12</f>
        <v>241855</v>
      </c>
      <c r="BL12" s="18">
        <v>133722</v>
      </c>
      <c r="BM12" s="18">
        <v>74969</v>
      </c>
      <c r="BN12" s="18">
        <v>10278</v>
      </c>
      <c r="BO12" s="18">
        <v>0</v>
      </c>
      <c r="BP12" s="18">
        <v>22886</v>
      </c>
      <c r="BQ12" s="60">
        <v>0</v>
      </c>
      <c r="BR12" s="18">
        <v>10575</v>
      </c>
      <c r="BS12" s="18">
        <v>382395</v>
      </c>
      <c r="BT12" s="18">
        <v>8296</v>
      </c>
      <c r="BU12" s="18">
        <f>BV12</f>
        <v>1901793</v>
      </c>
      <c r="BV12" s="18">
        <f t="shared" si="4"/>
        <v>1901793</v>
      </c>
      <c r="BW12" s="28">
        <f t="shared" si="5"/>
        <v>0</v>
      </c>
      <c r="BX12" s="96">
        <f t="shared" si="6"/>
        <v>1625028</v>
      </c>
    </row>
    <row r="13" spans="1:76" ht="20.399999999999999" customHeight="1" x14ac:dyDescent="0.35">
      <c r="A13" s="99" t="s">
        <v>292</v>
      </c>
      <c r="B13" s="18">
        <v>0</v>
      </c>
      <c r="C13" s="28"/>
      <c r="D13" s="28"/>
      <c r="E13" s="18">
        <v>0</v>
      </c>
      <c r="F13" s="28"/>
      <c r="G13" s="28"/>
      <c r="H13" s="32" t="s">
        <v>255</v>
      </c>
      <c r="I13" s="18">
        <f t="shared" si="7"/>
        <v>1964414</v>
      </c>
      <c r="J13" s="18">
        <v>1964414</v>
      </c>
      <c r="K13" s="18">
        <v>0</v>
      </c>
      <c r="L13" s="18">
        <f t="shared" si="8"/>
        <v>163111</v>
      </c>
      <c r="M13" s="18">
        <v>163111</v>
      </c>
      <c r="N13" s="18">
        <v>130488.8</v>
      </c>
      <c r="O13" s="18">
        <v>32622.2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497</v>
      </c>
      <c r="X13" s="18">
        <v>3933</v>
      </c>
      <c r="Y13" s="18">
        <v>0</v>
      </c>
      <c r="Z13" s="18">
        <v>8888</v>
      </c>
      <c r="AA13" s="18">
        <v>33728</v>
      </c>
      <c r="AB13" s="18">
        <v>229490</v>
      </c>
      <c r="AC13" s="18">
        <v>1520594</v>
      </c>
      <c r="AD13" s="18">
        <v>4173</v>
      </c>
      <c r="AE13" s="18">
        <v>107561</v>
      </c>
      <c r="AF13" s="18">
        <v>107561</v>
      </c>
      <c r="AG13" s="18">
        <v>8690</v>
      </c>
      <c r="AH13" s="18">
        <v>98871</v>
      </c>
      <c r="AI13" s="18">
        <v>505926</v>
      </c>
      <c r="AJ13" s="18">
        <v>505926</v>
      </c>
      <c r="AK13" s="18">
        <v>0</v>
      </c>
      <c r="AL13" s="18">
        <v>44584</v>
      </c>
      <c r="AM13" s="18">
        <v>0</v>
      </c>
      <c r="AN13" s="18">
        <v>48710</v>
      </c>
      <c r="AO13" s="18">
        <v>6979</v>
      </c>
      <c r="AP13" s="18">
        <v>45</v>
      </c>
      <c r="AQ13" s="18">
        <v>2957</v>
      </c>
      <c r="AR13" s="18">
        <v>29629</v>
      </c>
      <c r="AS13" s="18">
        <v>28809</v>
      </c>
      <c r="AT13" s="18">
        <v>51339</v>
      </c>
      <c r="AU13" s="18">
        <v>1700</v>
      </c>
      <c r="AV13" s="18">
        <v>5274</v>
      </c>
      <c r="AW13" s="18">
        <v>28755</v>
      </c>
      <c r="AX13" s="18">
        <v>0</v>
      </c>
      <c r="AY13" s="18">
        <v>257145</v>
      </c>
      <c r="AZ13" s="18">
        <v>28327</v>
      </c>
      <c r="BA13" s="18">
        <v>28327</v>
      </c>
      <c r="BB13" s="18">
        <v>25273</v>
      </c>
      <c r="BC13" s="18">
        <v>2623</v>
      </c>
      <c r="BD13" s="18">
        <v>431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862591</v>
      </c>
      <c r="BK13" s="18">
        <v>862591</v>
      </c>
      <c r="BL13" s="18">
        <v>436635</v>
      </c>
      <c r="BM13" s="18">
        <v>371043</v>
      </c>
      <c r="BN13" s="18">
        <v>13819</v>
      </c>
      <c r="BO13" s="18">
        <v>3431</v>
      </c>
      <c r="BP13" s="18">
        <v>27775</v>
      </c>
      <c r="BQ13" s="60">
        <v>9888</v>
      </c>
      <c r="BR13" s="18">
        <v>3323</v>
      </c>
      <c r="BS13" s="18">
        <v>104242</v>
      </c>
      <c r="BT13" s="18">
        <v>0</v>
      </c>
      <c r="BU13" s="18">
        <v>3576384</v>
      </c>
      <c r="BV13" s="18">
        <f t="shared" si="4"/>
        <v>3576384</v>
      </c>
      <c r="BW13" s="28">
        <f t="shared" si="5"/>
        <v>0</v>
      </c>
      <c r="BX13" s="96">
        <f t="shared" si="6"/>
        <v>2685466</v>
      </c>
    </row>
    <row r="14" spans="1:76" ht="20.399999999999999" customHeight="1" x14ac:dyDescent="0.35">
      <c r="A14" s="99" t="s">
        <v>973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32" t="s">
        <v>255</v>
      </c>
      <c r="I14" s="18">
        <f t="shared" si="7"/>
        <v>1001</v>
      </c>
      <c r="J14" s="18">
        <v>1001</v>
      </c>
      <c r="K14" s="18">
        <v>0</v>
      </c>
      <c r="L14" s="18">
        <f t="shared" si="8"/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35</v>
      </c>
      <c r="X14" s="18">
        <v>40</v>
      </c>
      <c r="Y14" s="18">
        <v>0</v>
      </c>
      <c r="Z14" s="18">
        <v>25</v>
      </c>
      <c r="AA14" s="18">
        <v>901</v>
      </c>
      <c r="AB14" s="18">
        <v>0</v>
      </c>
      <c r="AC14" s="18">
        <v>0</v>
      </c>
      <c r="AD14" s="18">
        <v>0</v>
      </c>
      <c r="AE14" s="18">
        <f t="shared" ref="AE14:AE70" si="9">AG14+AH14</f>
        <v>0</v>
      </c>
      <c r="AF14" s="18"/>
      <c r="AG14" s="18">
        <v>0</v>
      </c>
      <c r="AH14" s="18">
        <v>0</v>
      </c>
      <c r="AI14" s="18">
        <f t="shared" ref="AI14:AI61" si="10">SUM(AK14:AY14)</f>
        <v>2230</v>
      </c>
      <c r="AJ14" s="18">
        <v>2230</v>
      </c>
      <c r="AK14" s="18">
        <v>0</v>
      </c>
      <c r="AL14" s="18">
        <v>585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10</v>
      </c>
      <c r="AT14" s="18">
        <v>1203</v>
      </c>
      <c r="AU14" s="18">
        <v>0</v>
      </c>
      <c r="AV14" s="18">
        <v>0</v>
      </c>
      <c r="AW14" s="18">
        <v>0</v>
      </c>
      <c r="AX14" s="18">
        <v>432</v>
      </c>
      <c r="AY14" s="18">
        <v>0</v>
      </c>
      <c r="AZ14" s="18">
        <f t="shared" ref="AZ14:AZ32" si="11">SUM(BB14:BI14)</f>
        <v>21526</v>
      </c>
      <c r="BA14" s="18">
        <f>+BB14+BD14+BE14+BG14</f>
        <v>21526</v>
      </c>
      <c r="BB14" s="18">
        <v>10763</v>
      </c>
      <c r="BC14" s="18">
        <v>0</v>
      </c>
      <c r="BD14" s="18">
        <v>2500</v>
      </c>
      <c r="BE14" s="18">
        <v>7927</v>
      </c>
      <c r="BF14" s="18">
        <v>0</v>
      </c>
      <c r="BG14" s="18">
        <v>336</v>
      </c>
      <c r="BH14" s="18">
        <v>0</v>
      </c>
      <c r="BI14" s="18">
        <v>0</v>
      </c>
      <c r="BJ14" s="18">
        <f t="shared" ref="BJ14:BJ32" si="12">SUM(BL14:BQ14)</f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60">
        <v>0</v>
      </c>
      <c r="BR14" s="18">
        <v>0</v>
      </c>
      <c r="BS14" s="18">
        <v>0</v>
      </c>
      <c r="BT14" s="18">
        <v>0</v>
      </c>
      <c r="BU14" s="18">
        <v>24757</v>
      </c>
      <c r="BV14" s="18">
        <f t="shared" si="4"/>
        <v>24757</v>
      </c>
      <c r="BW14" s="28">
        <f t="shared" si="5"/>
        <v>0</v>
      </c>
      <c r="BX14" s="96">
        <f t="shared" si="6"/>
        <v>3231</v>
      </c>
    </row>
    <row r="15" spans="1:76" ht="20.399999999999999" customHeight="1" x14ac:dyDescent="0.35">
      <c r="A15" s="99" t="s">
        <v>459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32" t="s">
        <v>255</v>
      </c>
      <c r="I15" s="18">
        <f t="shared" si="7"/>
        <v>6881.32</v>
      </c>
      <c r="J15" s="18">
        <v>6881.32</v>
      </c>
      <c r="K15" s="18">
        <v>0</v>
      </c>
      <c r="L15" s="18">
        <f t="shared" si="8"/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1926.77</v>
      </c>
      <c r="W15" s="18">
        <v>825.75800000000004</v>
      </c>
      <c r="X15" s="18">
        <v>1582.704</v>
      </c>
      <c r="Y15" s="18">
        <v>577.87599999999998</v>
      </c>
      <c r="Z15" s="18">
        <v>385.50799999999998</v>
      </c>
      <c r="AA15" s="18">
        <v>550.50599999999997</v>
      </c>
      <c r="AB15" s="18">
        <v>344.06599999999997</v>
      </c>
      <c r="AC15" s="18">
        <v>0</v>
      </c>
      <c r="AD15" s="18">
        <v>688.13199999999995</v>
      </c>
      <c r="AE15" s="18">
        <f t="shared" si="9"/>
        <v>8476.7060000000001</v>
      </c>
      <c r="AF15" s="18">
        <f>AG15</f>
        <v>8476.7060000000001</v>
      </c>
      <c r="AG15" s="18">
        <v>8476.7060000000001</v>
      </c>
      <c r="AH15" s="18">
        <v>0</v>
      </c>
      <c r="AI15" s="18">
        <f t="shared" si="10"/>
        <v>12792.146000000001</v>
      </c>
      <c r="AJ15" s="18">
        <v>12792.146000000001</v>
      </c>
      <c r="AK15" s="18">
        <v>0</v>
      </c>
      <c r="AL15" s="18">
        <v>1459.2</v>
      </c>
      <c r="AM15" s="18">
        <v>0</v>
      </c>
      <c r="AN15" s="18">
        <v>1162</v>
      </c>
      <c r="AO15" s="18">
        <v>0</v>
      </c>
      <c r="AP15" s="18">
        <v>0</v>
      </c>
      <c r="AQ15" s="18">
        <v>0</v>
      </c>
      <c r="AR15" s="18">
        <v>1151.2929999999999</v>
      </c>
      <c r="AS15" s="18">
        <v>4093.4870000000001</v>
      </c>
      <c r="AT15" s="18">
        <v>0</v>
      </c>
      <c r="AU15" s="18">
        <v>0</v>
      </c>
      <c r="AV15" s="18">
        <v>1317.905</v>
      </c>
      <c r="AW15" s="18">
        <v>0</v>
      </c>
      <c r="AX15" s="18">
        <v>2400</v>
      </c>
      <c r="AY15" s="18">
        <v>1208.261</v>
      </c>
      <c r="AZ15" s="18">
        <f t="shared" si="11"/>
        <v>2490</v>
      </c>
      <c r="BA15" s="18">
        <v>2490</v>
      </c>
      <c r="BB15" s="18">
        <v>0</v>
      </c>
      <c r="BC15" s="18">
        <v>0</v>
      </c>
      <c r="BD15" s="18">
        <v>0</v>
      </c>
      <c r="BE15" s="18">
        <v>2490</v>
      </c>
      <c r="BF15" s="18">
        <v>0</v>
      </c>
      <c r="BG15" s="18">
        <v>0</v>
      </c>
      <c r="BH15" s="18">
        <v>0</v>
      </c>
      <c r="BI15" s="18">
        <v>0</v>
      </c>
      <c r="BJ15" s="18">
        <f t="shared" si="12"/>
        <v>7800</v>
      </c>
      <c r="BK15" s="18">
        <v>7800</v>
      </c>
      <c r="BL15" s="18">
        <v>6000</v>
      </c>
      <c r="BM15" s="18">
        <v>0</v>
      </c>
      <c r="BN15" s="18">
        <v>0</v>
      </c>
      <c r="BO15" s="18">
        <v>0</v>
      </c>
      <c r="BP15" s="18">
        <v>1800</v>
      </c>
      <c r="BQ15" s="60">
        <v>0</v>
      </c>
      <c r="BR15" s="18">
        <v>0</v>
      </c>
      <c r="BS15" s="18">
        <v>0</v>
      </c>
      <c r="BT15" s="18"/>
      <c r="BU15" s="18">
        <f>BV15</f>
        <v>38440.171999999999</v>
      </c>
      <c r="BV15" s="18">
        <f t="shared" si="4"/>
        <v>38440.171999999999</v>
      </c>
      <c r="BW15" s="28">
        <f t="shared" si="5"/>
        <v>0</v>
      </c>
      <c r="BX15" s="96">
        <f t="shared" si="6"/>
        <v>28150.171999999999</v>
      </c>
    </row>
    <row r="16" spans="1:76" ht="20.399999999999999" customHeight="1" x14ac:dyDescent="0.35">
      <c r="A16" s="99" t="s">
        <v>625</v>
      </c>
      <c r="B16" s="18">
        <v>3</v>
      </c>
      <c r="C16" s="18">
        <v>11999</v>
      </c>
      <c r="D16" s="18">
        <v>0</v>
      </c>
      <c r="E16" s="18">
        <v>0</v>
      </c>
      <c r="F16" s="18">
        <v>0</v>
      </c>
      <c r="G16" s="18">
        <v>0</v>
      </c>
      <c r="H16" s="32" t="s">
        <v>255</v>
      </c>
      <c r="I16" s="18">
        <f t="shared" si="7"/>
        <v>5791</v>
      </c>
      <c r="J16" s="18">
        <v>5791</v>
      </c>
      <c r="K16" s="18">
        <v>0</v>
      </c>
      <c r="L16" s="18">
        <f>SUM(N16:U16)</f>
        <v>131</v>
      </c>
      <c r="M16" s="18">
        <v>131</v>
      </c>
      <c r="N16" s="18">
        <v>0</v>
      </c>
      <c r="O16" s="18">
        <v>0</v>
      </c>
      <c r="P16" s="18">
        <v>0</v>
      </c>
      <c r="Q16" s="18">
        <v>0</v>
      </c>
      <c r="R16" s="18">
        <v>131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500</v>
      </c>
      <c r="AC16" s="18">
        <v>0</v>
      </c>
      <c r="AD16" s="18">
        <v>5160</v>
      </c>
      <c r="AE16" s="18">
        <f t="shared" si="9"/>
        <v>1032</v>
      </c>
      <c r="AF16" s="18">
        <v>1032</v>
      </c>
      <c r="AG16" s="18">
        <v>1032</v>
      </c>
      <c r="AH16" s="18">
        <v>0</v>
      </c>
      <c r="AI16" s="18">
        <f t="shared" si="10"/>
        <v>6708</v>
      </c>
      <c r="AJ16" s="18">
        <v>6708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6708</v>
      </c>
      <c r="AZ16" s="18">
        <f t="shared" si="11"/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f t="shared" si="12"/>
        <v>8313</v>
      </c>
      <c r="BK16" s="18">
        <f>BL16</f>
        <v>8313</v>
      </c>
      <c r="BL16" s="18">
        <v>8313</v>
      </c>
      <c r="BM16" s="18">
        <v>0</v>
      </c>
      <c r="BN16" s="18">
        <v>0</v>
      </c>
      <c r="BO16" s="18">
        <v>0</v>
      </c>
      <c r="BP16" s="18">
        <v>0</v>
      </c>
      <c r="BQ16" s="60">
        <v>0</v>
      </c>
      <c r="BR16" s="18">
        <v>0</v>
      </c>
      <c r="BS16" s="18">
        <v>0</v>
      </c>
      <c r="BT16" s="18">
        <v>0</v>
      </c>
      <c r="BU16" s="18">
        <v>21844</v>
      </c>
      <c r="BV16" s="18">
        <f t="shared" si="4"/>
        <v>21844</v>
      </c>
      <c r="BW16" s="28">
        <f t="shared" si="5"/>
        <v>0</v>
      </c>
      <c r="BX16" s="96">
        <f t="shared" si="6"/>
        <v>13531</v>
      </c>
    </row>
    <row r="17" spans="1:76" ht="20.399999999999999" customHeight="1" x14ac:dyDescent="0.35">
      <c r="A17" s="99" t="s">
        <v>300</v>
      </c>
      <c r="B17" s="18">
        <v>243</v>
      </c>
      <c r="C17" s="18">
        <v>66460438</v>
      </c>
      <c r="D17" s="18">
        <v>0</v>
      </c>
      <c r="E17" s="18">
        <v>146</v>
      </c>
      <c r="F17" s="18">
        <v>150359299</v>
      </c>
      <c r="G17" s="18">
        <v>0</v>
      </c>
      <c r="H17" s="32" t="s">
        <v>41</v>
      </c>
      <c r="I17" s="18">
        <f t="shared" si="7"/>
        <v>95711292</v>
      </c>
      <c r="J17" s="18">
        <f>K17+L17+V17+W17+X17+Y17+Z17+AA17+AB17+AC17+AD17</f>
        <v>95711292</v>
      </c>
      <c r="K17" s="18">
        <v>6602432</v>
      </c>
      <c r="L17" s="18">
        <f t="shared" si="8"/>
        <v>75199228</v>
      </c>
      <c r="M17" s="18">
        <v>75199228</v>
      </c>
      <c r="N17" s="18">
        <v>0</v>
      </c>
      <c r="O17" s="18">
        <v>0</v>
      </c>
      <c r="P17" s="18">
        <v>0</v>
      </c>
      <c r="Q17" s="18">
        <v>12614951</v>
      </c>
      <c r="R17" s="18">
        <v>10993827</v>
      </c>
      <c r="S17" s="18">
        <v>382524</v>
      </c>
      <c r="T17" s="18">
        <v>51159937</v>
      </c>
      <c r="U17" s="18">
        <v>47989</v>
      </c>
      <c r="V17" s="18">
        <v>135940</v>
      </c>
      <c r="W17" s="18">
        <v>3987</v>
      </c>
      <c r="X17" s="18">
        <v>13435</v>
      </c>
      <c r="Y17" s="18">
        <v>136844</v>
      </c>
      <c r="Z17" s="18">
        <v>12160</v>
      </c>
      <c r="AA17" s="18">
        <v>234607</v>
      </c>
      <c r="AB17" s="18">
        <v>128625</v>
      </c>
      <c r="AC17" s="18">
        <v>8893</v>
      </c>
      <c r="AD17" s="18">
        <v>13235141</v>
      </c>
      <c r="AE17" s="18">
        <f t="shared" si="9"/>
        <v>482701</v>
      </c>
      <c r="AF17" s="18">
        <f>AG17</f>
        <v>482701</v>
      </c>
      <c r="AG17" s="18">
        <v>482701</v>
      </c>
      <c r="AH17" s="18">
        <v>0</v>
      </c>
      <c r="AI17" s="18">
        <f t="shared" si="10"/>
        <v>9078504</v>
      </c>
      <c r="AJ17" s="18">
        <v>9078504</v>
      </c>
      <c r="AK17" s="18">
        <v>0</v>
      </c>
      <c r="AL17" s="18">
        <v>3527682</v>
      </c>
      <c r="AM17" s="18">
        <v>0</v>
      </c>
      <c r="AN17" s="18">
        <v>3529351</v>
      </c>
      <c r="AO17" s="18">
        <v>1206753</v>
      </c>
      <c r="AP17" s="18">
        <v>1613</v>
      </c>
      <c r="AQ17" s="18">
        <v>15979</v>
      </c>
      <c r="AR17" s="18">
        <v>41981</v>
      </c>
      <c r="AS17" s="18">
        <v>0</v>
      </c>
      <c r="AT17" s="18">
        <v>447885</v>
      </c>
      <c r="AU17" s="18">
        <v>45</v>
      </c>
      <c r="AV17" s="18">
        <v>65983</v>
      </c>
      <c r="AW17" s="18">
        <v>12349</v>
      </c>
      <c r="AX17" s="18">
        <v>0</v>
      </c>
      <c r="AY17" s="18">
        <v>228883</v>
      </c>
      <c r="AZ17" s="18">
        <f t="shared" si="11"/>
        <v>2767922</v>
      </c>
      <c r="BA17" s="18">
        <v>2767922</v>
      </c>
      <c r="BB17" s="18">
        <v>0</v>
      </c>
      <c r="BC17" s="18">
        <v>0</v>
      </c>
      <c r="BD17" s="18">
        <v>0</v>
      </c>
      <c r="BE17" s="18">
        <v>0</v>
      </c>
      <c r="BF17" s="18">
        <v>262851</v>
      </c>
      <c r="BG17" s="18">
        <v>2943</v>
      </c>
      <c r="BH17" s="18">
        <v>2500000</v>
      </c>
      <c r="BI17" s="18">
        <v>2128</v>
      </c>
      <c r="BJ17" s="18">
        <f t="shared" si="12"/>
        <v>8721540</v>
      </c>
      <c r="BK17" s="18">
        <v>8721540</v>
      </c>
      <c r="BL17" s="18">
        <v>7994326</v>
      </c>
      <c r="BM17" s="28"/>
      <c r="BN17" s="18">
        <v>117784</v>
      </c>
      <c r="BO17" s="18">
        <v>39915</v>
      </c>
      <c r="BP17" s="18">
        <v>501621</v>
      </c>
      <c r="BQ17" s="60">
        <v>67894</v>
      </c>
      <c r="BR17" s="18">
        <v>17552812</v>
      </c>
      <c r="BS17" s="18">
        <v>1835858</v>
      </c>
      <c r="BT17" s="18">
        <v>0</v>
      </c>
      <c r="BU17" s="18">
        <f>BV17</f>
        <v>136150629</v>
      </c>
      <c r="BV17" s="18">
        <f t="shared" si="4"/>
        <v>136150629</v>
      </c>
      <c r="BW17" s="28">
        <f t="shared" si="5"/>
        <v>0</v>
      </c>
      <c r="BX17" s="96">
        <f t="shared" si="6"/>
        <v>124661167</v>
      </c>
    </row>
    <row r="18" spans="1:76" ht="20.399999999999999" customHeight="1" x14ac:dyDescent="0.35">
      <c r="A18" s="99" t="s">
        <v>470</v>
      </c>
      <c r="B18" s="18">
        <v>112</v>
      </c>
      <c r="C18" s="18">
        <v>195000</v>
      </c>
      <c r="D18" s="18">
        <v>75</v>
      </c>
      <c r="E18" s="18">
        <v>15</v>
      </c>
      <c r="F18" s="18">
        <v>49000</v>
      </c>
      <c r="G18" s="18">
        <v>25</v>
      </c>
      <c r="H18" s="32" t="s">
        <v>46</v>
      </c>
      <c r="I18" s="18">
        <f t="shared" si="7"/>
        <v>7231304.7010000004</v>
      </c>
      <c r="J18" s="18">
        <f>K18+L18+X18+Z18+AA18+AB18+AD18+Y18</f>
        <v>7231304.7010000004</v>
      </c>
      <c r="K18" s="18">
        <v>1893399.0870000001</v>
      </c>
      <c r="L18" s="18">
        <f>SUM(N18:U18)</f>
        <v>2211495</v>
      </c>
      <c r="M18" s="18">
        <v>2211495</v>
      </c>
      <c r="N18" s="18">
        <v>0</v>
      </c>
      <c r="O18" s="18">
        <v>0</v>
      </c>
      <c r="P18" s="18">
        <v>0</v>
      </c>
      <c r="Q18" s="18">
        <v>2109355.6970000002</v>
      </c>
      <c r="R18" s="18">
        <v>0</v>
      </c>
      <c r="S18" s="18">
        <v>34413.370000000003</v>
      </c>
      <c r="T18" s="18">
        <v>0</v>
      </c>
      <c r="U18" s="18">
        <v>67725.932999999844</v>
      </c>
      <c r="V18" s="18">
        <v>0</v>
      </c>
      <c r="W18" s="18">
        <v>0</v>
      </c>
      <c r="X18" s="18">
        <v>827071.08799999999</v>
      </c>
      <c r="Y18" s="18">
        <v>11853</v>
      </c>
      <c r="Z18" s="18">
        <v>32856</v>
      </c>
      <c r="AA18" s="18">
        <v>33919.525999999998</v>
      </c>
      <c r="AB18" s="18">
        <v>2205027</v>
      </c>
      <c r="AC18" s="18">
        <v>0</v>
      </c>
      <c r="AD18" s="18">
        <v>15684</v>
      </c>
      <c r="AE18" s="18">
        <f t="shared" si="9"/>
        <v>1624036</v>
      </c>
      <c r="AF18" s="18">
        <f>AG18+AH18</f>
        <v>1624036</v>
      </c>
      <c r="AG18" s="18">
        <v>1504078</v>
      </c>
      <c r="AH18" s="18">
        <v>119958</v>
      </c>
      <c r="AI18" s="18">
        <f t="shared" si="10"/>
        <v>1561082.7450000001</v>
      </c>
      <c r="AJ18" s="18">
        <f>AL18+AN18+AO18+AP18+AR18+AS18+AU18+AV18+AW18</f>
        <v>1561082.7450000001</v>
      </c>
      <c r="AK18" s="18">
        <v>0</v>
      </c>
      <c r="AL18" s="18">
        <v>27441.48</v>
      </c>
      <c r="AM18" s="18">
        <v>0</v>
      </c>
      <c r="AN18" s="18">
        <v>851652.55200000003</v>
      </c>
      <c r="AO18" s="18">
        <v>231196.204</v>
      </c>
      <c r="AP18" s="18">
        <v>2550</v>
      </c>
      <c r="AQ18" s="18">
        <v>0</v>
      </c>
      <c r="AR18" s="18">
        <v>51639.837</v>
      </c>
      <c r="AS18" s="18">
        <v>327305.55300000001</v>
      </c>
      <c r="AT18" s="18">
        <v>0</v>
      </c>
      <c r="AU18" s="18">
        <v>10344.666999999999</v>
      </c>
      <c r="AV18" s="18">
        <v>55064.006999999998</v>
      </c>
      <c r="AW18" s="18">
        <v>3888.4450000000002</v>
      </c>
      <c r="AX18" s="18">
        <v>0</v>
      </c>
      <c r="AY18" s="18">
        <v>0</v>
      </c>
      <c r="AZ18" s="18">
        <f t="shared" si="11"/>
        <v>901454.45299999998</v>
      </c>
      <c r="BA18" s="18">
        <f>BB18+BC18+BE18+BG18+BH18</f>
        <v>901454.45299999998</v>
      </c>
      <c r="BB18" s="18">
        <v>860672.82799999998</v>
      </c>
      <c r="BC18" s="18">
        <v>22669.871999999999</v>
      </c>
      <c r="BD18" s="18">
        <v>0</v>
      </c>
      <c r="BE18" s="18">
        <v>12235.02</v>
      </c>
      <c r="BF18" s="18">
        <v>0</v>
      </c>
      <c r="BG18" s="18">
        <v>1572.768</v>
      </c>
      <c r="BH18" s="18">
        <v>4303.9650000000001</v>
      </c>
      <c r="BI18" s="18">
        <v>0</v>
      </c>
      <c r="BJ18" s="18">
        <f t="shared" si="12"/>
        <v>2297980.4569999999</v>
      </c>
      <c r="BK18" s="18">
        <f>BL18+BM18+BN18+BO18+BP18</f>
        <v>2297980.4569999999</v>
      </c>
      <c r="BL18" s="18">
        <v>1857912.4739999999</v>
      </c>
      <c r="BM18" s="18">
        <v>116900.678</v>
      </c>
      <c r="BN18" s="18">
        <v>116594.36599999999</v>
      </c>
      <c r="BO18" s="18">
        <v>24636.995999999999</v>
      </c>
      <c r="BP18" s="18">
        <v>181935.943</v>
      </c>
      <c r="BQ18" s="60">
        <v>0</v>
      </c>
      <c r="BR18" s="18">
        <v>202321.90599999999</v>
      </c>
      <c r="BS18" s="18">
        <v>19074.493999999999</v>
      </c>
      <c r="BT18" s="18">
        <v>623022.9</v>
      </c>
      <c r="BU18" s="18">
        <f>BV18</f>
        <v>14460277.656000003</v>
      </c>
      <c r="BV18" s="18">
        <f t="shared" si="4"/>
        <v>14460277.656000003</v>
      </c>
      <c r="BW18" s="28">
        <f t="shared" si="5"/>
        <v>0</v>
      </c>
      <c r="BX18" s="96">
        <f t="shared" si="6"/>
        <v>10637819.846000003</v>
      </c>
    </row>
    <row r="19" spans="1:76" ht="20.399999999999999" customHeight="1" x14ac:dyDescent="0.35">
      <c r="A19" s="99" t="s">
        <v>422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32" t="s">
        <v>46</v>
      </c>
      <c r="I19" s="18">
        <f t="shared" si="7"/>
        <v>6133228</v>
      </c>
      <c r="J19" s="18">
        <v>6133228</v>
      </c>
      <c r="K19" s="18">
        <v>2240932</v>
      </c>
      <c r="L19" s="18">
        <f t="shared" si="8"/>
        <v>2548052</v>
      </c>
      <c r="M19" s="18">
        <v>2548052</v>
      </c>
      <c r="N19" s="18">
        <v>0</v>
      </c>
      <c r="O19" s="18">
        <v>0</v>
      </c>
      <c r="P19" s="18"/>
      <c r="Q19" s="18">
        <v>2367347</v>
      </c>
      <c r="R19" s="18">
        <v>0</v>
      </c>
      <c r="S19" s="18">
        <v>180705</v>
      </c>
      <c r="T19" s="18">
        <v>0</v>
      </c>
      <c r="U19" s="18">
        <v>0</v>
      </c>
      <c r="V19" s="18">
        <v>14002</v>
      </c>
      <c r="W19" s="18">
        <v>441</v>
      </c>
      <c r="X19" s="18">
        <v>139841</v>
      </c>
      <c r="Y19" s="18">
        <v>2018</v>
      </c>
      <c r="Z19" s="18">
        <v>0</v>
      </c>
      <c r="AA19" s="18">
        <v>29621</v>
      </c>
      <c r="AB19" s="18">
        <v>0</v>
      </c>
      <c r="AC19" s="18">
        <v>1158321</v>
      </c>
      <c r="AD19" s="18">
        <v>0</v>
      </c>
      <c r="AE19" s="18">
        <f t="shared" si="9"/>
        <v>136661</v>
      </c>
      <c r="AF19" s="18">
        <f>AG19+AH19</f>
        <v>136661</v>
      </c>
      <c r="AG19" s="18">
        <v>135751</v>
      </c>
      <c r="AH19" s="18">
        <v>910</v>
      </c>
      <c r="AI19" s="18">
        <f t="shared" si="10"/>
        <v>3560407</v>
      </c>
      <c r="AJ19" s="18">
        <v>3560407</v>
      </c>
      <c r="AK19" s="18">
        <v>0</v>
      </c>
      <c r="AL19" s="18">
        <v>2975383</v>
      </c>
      <c r="AM19" s="18">
        <v>106792</v>
      </c>
      <c r="AN19" s="18">
        <v>181060</v>
      </c>
      <c r="AO19" s="18">
        <v>6670</v>
      </c>
      <c r="AP19" s="18">
        <v>0</v>
      </c>
      <c r="AQ19" s="18">
        <v>0</v>
      </c>
      <c r="AR19" s="18">
        <v>41532</v>
      </c>
      <c r="AS19" s="18">
        <v>0</v>
      </c>
      <c r="AT19" s="18">
        <v>8968</v>
      </c>
      <c r="AU19" s="18">
        <v>6526</v>
      </c>
      <c r="AV19" s="18">
        <v>19918</v>
      </c>
      <c r="AW19" s="18">
        <v>743</v>
      </c>
      <c r="AX19" s="18">
        <v>141929</v>
      </c>
      <c r="AY19" s="18">
        <v>70886</v>
      </c>
      <c r="AZ19" s="18">
        <f t="shared" si="11"/>
        <v>588135</v>
      </c>
      <c r="BA19" s="18">
        <v>588135</v>
      </c>
      <c r="BB19" s="18">
        <v>75155</v>
      </c>
      <c r="BC19" s="18">
        <v>42847</v>
      </c>
      <c r="BD19" s="18">
        <v>1000</v>
      </c>
      <c r="BE19" s="18">
        <v>362264</v>
      </c>
      <c r="BF19" s="18">
        <v>70196</v>
      </c>
      <c r="BG19" s="18">
        <v>3200</v>
      </c>
      <c r="BH19" s="18">
        <v>880</v>
      </c>
      <c r="BI19" s="18">
        <v>32593</v>
      </c>
      <c r="BJ19" s="18">
        <f t="shared" si="12"/>
        <v>1476420</v>
      </c>
      <c r="BK19" s="18">
        <v>1476420</v>
      </c>
      <c r="BL19" s="18">
        <v>1171571</v>
      </c>
      <c r="BM19" s="18">
        <v>0</v>
      </c>
      <c r="BN19" s="18">
        <v>156600</v>
      </c>
      <c r="BO19" s="18">
        <v>0</v>
      </c>
      <c r="BP19" s="18">
        <v>130339</v>
      </c>
      <c r="BQ19" s="60">
        <v>17910</v>
      </c>
      <c r="BR19" s="18">
        <v>23157</v>
      </c>
      <c r="BS19" s="18">
        <v>69509</v>
      </c>
      <c r="BT19" s="18">
        <v>397462</v>
      </c>
      <c r="BU19" s="18">
        <f>BV19</f>
        <v>12384979</v>
      </c>
      <c r="BV19" s="18">
        <f t="shared" si="4"/>
        <v>12384979</v>
      </c>
      <c r="BW19" s="28">
        <f t="shared" si="5"/>
        <v>0</v>
      </c>
      <c r="BX19" s="96">
        <f t="shared" si="6"/>
        <v>9922962</v>
      </c>
    </row>
    <row r="20" spans="1:76" ht="20.399999999999999" customHeight="1" x14ac:dyDescent="0.35">
      <c r="A20" s="99" t="s">
        <v>634</v>
      </c>
      <c r="B20" s="28"/>
      <c r="C20" s="18">
        <v>287967</v>
      </c>
      <c r="D20" s="18">
        <v>95</v>
      </c>
      <c r="E20" s="18">
        <v>1</v>
      </c>
      <c r="F20" s="18">
        <v>0</v>
      </c>
      <c r="G20" s="18">
        <v>0</v>
      </c>
      <c r="H20" s="32" t="s">
        <v>255</v>
      </c>
      <c r="I20" s="18">
        <f t="shared" si="7"/>
        <v>57427</v>
      </c>
      <c r="J20" s="18">
        <v>57427</v>
      </c>
      <c r="K20" s="18">
        <v>0</v>
      </c>
      <c r="L20" s="18">
        <f t="shared" si="8"/>
        <v>57427</v>
      </c>
      <c r="M20" s="18">
        <v>57427</v>
      </c>
      <c r="N20" s="18">
        <v>0</v>
      </c>
      <c r="O20" s="18">
        <v>0</v>
      </c>
      <c r="P20" s="18">
        <f>J19-I19</f>
        <v>0</v>
      </c>
      <c r="Q20" s="18">
        <v>57427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f t="shared" si="9"/>
        <v>0</v>
      </c>
      <c r="AF20" s="18"/>
      <c r="AG20" s="18">
        <v>0</v>
      </c>
      <c r="AH20" s="18">
        <v>0</v>
      </c>
      <c r="AI20" s="18">
        <f t="shared" si="10"/>
        <v>5449</v>
      </c>
      <c r="AJ20" s="18">
        <v>5449</v>
      </c>
      <c r="AK20" s="18">
        <v>0</v>
      </c>
      <c r="AL20" s="18">
        <v>0</v>
      </c>
      <c r="AM20" s="18">
        <v>0</v>
      </c>
      <c r="AN20" s="18">
        <v>5449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f t="shared" si="11"/>
        <v>0</v>
      </c>
      <c r="BA20" s="28">
        <v>0</v>
      </c>
      <c r="BB20" s="18">
        <v>0</v>
      </c>
      <c r="BC20" s="18">
        <v>0</v>
      </c>
      <c r="BD20" s="18">
        <v>0</v>
      </c>
      <c r="BE20" s="28"/>
      <c r="BF20" s="18">
        <v>0</v>
      </c>
      <c r="BG20" s="18">
        <v>0</v>
      </c>
      <c r="BH20" s="18">
        <v>0</v>
      </c>
      <c r="BI20" s="18">
        <v>0</v>
      </c>
      <c r="BJ20" s="18">
        <f t="shared" si="12"/>
        <v>44545</v>
      </c>
      <c r="BK20" s="28">
        <v>44545</v>
      </c>
      <c r="BL20" s="18">
        <v>44545</v>
      </c>
      <c r="BM20" s="18">
        <v>0</v>
      </c>
      <c r="BN20" s="18">
        <v>0</v>
      </c>
      <c r="BO20" s="18">
        <v>0</v>
      </c>
      <c r="BP20" s="18">
        <v>0</v>
      </c>
      <c r="BQ20" s="60">
        <v>0</v>
      </c>
      <c r="BR20" s="18">
        <v>0</v>
      </c>
      <c r="BS20" s="28"/>
      <c r="BT20" s="18">
        <v>0</v>
      </c>
      <c r="BU20" s="18">
        <v>107421</v>
      </c>
      <c r="BV20" s="18">
        <f t="shared" si="4"/>
        <v>107421</v>
      </c>
      <c r="BW20" s="28">
        <f t="shared" si="5"/>
        <v>0</v>
      </c>
      <c r="BX20" s="96">
        <f t="shared" si="6"/>
        <v>62876</v>
      </c>
    </row>
    <row r="21" spans="1:76" ht="20.399999999999999" customHeight="1" x14ac:dyDescent="0.35">
      <c r="A21" s="99" t="s">
        <v>314</v>
      </c>
      <c r="B21" s="18">
        <v>1</v>
      </c>
      <c r="C21" s="18">
        <v>0</v>
      </c>
      <c r="D21" s="18">
        <v>25</v>
      </c>
      <c r="E21" s="18">
        <v>0</v>
      </c>
      <c r="F21" s="18">
        <v>0</v>
      </c>
      <c r="G21" s="18">
        <v>0</v>
      </c>
      <c r="H21" s="32" t="s">
        <v>255</v>
      </c>
      <c r="I21" s="18">
        <f t="shared" si="7"/>
        <v>22013</v>
      </c>
      <c r="J21" s="18">
        <v>22013</v>
      </c>
      <c r="K21" s="18">
        <v>3514</v>
      </c>
      <c r="L21" s="18">
        <f t="shared" si="8"/>
        <v>5650</v>
      </c>
      <c r="M21" s="18">
        <v>5650</v>
      </c>
      <c r="N21" s="18">
        <v>0</v>
      </c>
      <c r="O21" s="18">
        <v>0</v>
      </c>
      <c r="P21" s="18">
        <v>5650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1642</v>
      </c>
      <c r="W21" s="18">
        <v>1110</v>
      </c>
      <c r="X21" s="18">
        <v>3765</v>
      </c>
      <c r="Y21" s="18">
        <v>0</v>
      </c>
      <c r="Z21" s="18">
        <v>0</v>
      </c>
      <c r="AA21" s="18">
        <v>2200</v>
      </c>
      <c r="AB21" s="18">
        <v>4132</v>
      </c>
      <c r="AC21" s="18">
        <v>0</v>
      </c>
      <c r="AD21" s="18">
        <v>0</v>
      </c>
      <c r="AE21" s="18">
        <f t="shared" si="9"/>
        <v>0</v>
      </c>
      <c r="AF21" s="18"/>
      <c r="AG21" s="18">
        <v>0</v>
      </c>
      <c r="AH21" s="18">
        <v>0</v>
      </c>
      <c r="AI21" s="18">
        <f t="shared" si="10"/>
        <v>64954</v>
      </c>
      <c r="AJ21" s="18">
        <v>64954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64954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f t="shared" si="11"/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f t="shared" si="12"/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60">
        <v>0</v>
      </c>
      <c r="BR21" s="18">
        <v>0</v>
      </c>
      <c r="BS21" s="18">
        <v>0</v>
      </c>
      <c r="BT21" s="18">
        <v>0</v>
      </c>
      <c r="BU21" s="18">
        <v>86967</v>
      </c>
      <c r="BV21" s="18">
        <f t="shared" si="4"/>
        <v>86967</v>
      </c>
      <c r="BW21" s="28">
        <f t="shared" si="5"/>
        <v>0</v>
      </c>
      <c r="BX21" s="96">
        <f t="shared" si="6"/>
        <v>86967</v>
      </c>
    </row>
    <row r="22" spans="1:76" ht="20.399999999999999" customHeight="1" x14ac:dyDescent="0.35">
      <c r="A22" s="99" t="s">
        <v>317</v>
      </c>
      <c r="B22" s="18">
        <v>270</v>
      </c>
      <c r="C22" s="18">
        <v>24276063</v>
      </c>
      <c r="D22" s="18">
        <v>0</v>
      </c>
      <c r="E22" s="18">
        <v>92</v>
      </c>
      <c r="F22" s="18">
        <v>26717258</v>
      </c>
      <c r="G22" s="18">
        <v>0</v>
      </c>
      <c r="H22" s="32" t="s">
        <v>41</v>
      </c>
      <c r="I22" s="18">
        <f t="shared" si="7"/>
        <v>39486954</v>
      </c>
      <c r="J22" s="18">
        <v>39486954</v>
      </c>
      <c r="K22" s="18">
        <v>6908752</v>
      </c>
      <c r="L22" s="18">
        <f t="shared" si="8"/>
        <v>23715529</v>
      </c>
      <c r="M22" s="18">
        <v>23715529</v>
      </c>
      <c r="N22" s="18">
        <v>0</v>
      </c>
      <c r="O22" s="18">
        <v>0</v>
      </c>
      <c r="P22" s="18">
        <v>0</v>
      </c>
      <c r="Q22" s="18">
        <v>2361104</v>
      </c>
      <c r="R22" s="18">
        <v>0</v>
      </c>
      <c r="S22" s="18">
        <v>0</v>
      </c>
      <c r="T22" s="18">
        <v>21354425</v>
      </c>
      <c r="U22" s="18">
        <v>0</v>
      </c>
      <c r="V22" s="18">
        <v>8535130</v>
      </c>
      <c r="W22" s="18">
        <v>53553</v>
      </c>
      <c r="X22" s="18">
        <v>13232</v>
      </c>
      <c r="Y22" s="18">
        <v>71313</v>
      </c>
      <c r="Z22" s="18">
        <v>32490</v>
      </c>
      <c r="AA22" s="18">
        <v>100759</v>
      </c>
      <c r="AB22" s="18">
        <v>55037</v>
      </c>
      <c r="AC22" s="28"/>
      <c r="AD22" s="18">
        <v>1159</v>
      </c>
      <c r="AE22" s="18">
        <f t="shared" si="9"/>
        <v>240429</v>
      </c>
      <c r="AF22" s="18">
        <f>AG22</f>
        <v>240429</v>
      </c>
      <c r="AG22" s="18">
        <v>240429</v>
      </c>
      <c r="AH22" s="18">
        <v>0</v>
      </c>
      <c r="AI22" s="18">
        <f t="shared" si="10"/>
        <v>6010747</v>
      </c>
      <c r="AJ22" s="18">
        <f>AL22+AN22+AO22+AP22+AQ22+AR22+AT22+AU22+AV22+AW22+AX22+AY22</f>
        <v>6010747</v>
      </c>
      <c r="AK22" s="18">
        <v>0</v>
      </c>
      <c r="AL22" s="18">
        <v>150497</v>
      </c>
      <c r="AM22" s="18">
        <v>0</v>
      </c>
      <c r="AN22" s="18">
        <v>1456036</v>
      </c>
      <c r="AO22" s="18">
        <v>410450</v>
      </c>
      <c r="AP22" s="18">
        <v>1420</v>
      </c>
      <c r="AQ22" s="18">
        <v>151707</v>
      </c>
      <c r="AR22" s="18">
        <v>135269</v>
      </c>
      <c r="AS22" s="18">
        <v>0</v>
      </c>
      <c r="AT22" s="18">
        <v>892639</v>
      </c>
      <c r="AU22" s="18">
        <v>30035</v>
      </c>
      <c r="AV22" s="18">
        <v>543437</v>
      </c>
      <c r="AW22" s="18">
        <v>13598</v>
      </c>
      <c r="AX22" s="18">
        <v>2209793</v>
      </c>
      <c r="AY22" s="18">
        <v>15866</v>
      </c>
      <c r="AZ22" s="18">
        <f t="shared" si="11"/>
        <v>135265</v>
      </c>
      <c r="BA22" s="18">
        <v>135265</v>
      </c>
      <c r="BB22" s="18">
        <v>67869</v>
      </c>
      <c r="BC22" s="18">
        <v>0</v>
      </c>
      <c r="BD22" s="18">
        <v>0</v>
      </c>
      <c r="BE22" s="18">
        <v>0</v>
      </c>
      <c r="BF22" s="18">
        <v>0</v>
      </c>
      <c r="BG22" s="18">
        <v>399</v>
      </c>
      <c r="BH22" s="18">
        <v>2188</v>
      </c>
      <c r="BI22" s="18">
        <v>64809</v>
      </c>
      <c r="BJ22" s="18">
        <f t="shared" si="12"/>
        <v>4992446</v>
      </c>
      <c r="BK22" s="18">
        <f>BL22+BM22+BP22+BQ22</f>
        <v>4992446</v>
      </c>
      <c r="BL22" s="18">
        <v>3580371</v>
      </c>
      <c r="BM22" s="18">
        <v>1023283</v>
      </c>
      <c r="BN22" s="18">
        <v>0</v>
      </c>
      <c r="BO22" s="18">
        <v>0</v>
      </c>
      <c r="BP22" s="18">
        <v>230091</v>
      </c>
      <c r="BQ22" s="60">
        <v>158701</v>
      </c>
      <c r="BR22" s="18">
        <v>9196819</v>
      </c>
      <c r="BS22" s="18">
        <v>144117</v>
      </c>
      <c r="BT22" s="18">
        <v>0</v>
      </c>
      <c r="BU22" s="18">
        <f>BV22</f>
        <v>60206777</v>
      </c>
      <c r="BV22" s="18">
        <f t="shared" si="4"/>
        <v>60206777</v>
      </c>
      <c r="BW22" s="28">
        <f t="shared" si="5"/>
        <v>0</v>
      </c>
      <c r="BX22" s="96">
        <f t="shared" si="6"/>
        <v>55079066</v>
      </c>
    </row>
    <row r="23" spans="1:76" ht="20.399999999999999" customHeight="1" x14ac:dyDescent="0.35">
      <c r="A23" s="99" t="s">
        <v>323</v>
      </c>
      <c r="B23" s="18">
        <v>77</v>
      </c>
      <c r="C23" s="18">
        <v>0</v>
      </c>
      <c r="D23" s="18">
        <v>100</v>
      </c>
      <c r="E23" s="18">
        <v>0</v>
      </c>
      <c r="F23" s="18">
        <v>0</v>
      </c>
      <c r="G23" s="18">
        <v>0</v>
      </c>
      <c r="H23" s="32" t="s">
        <v>57</v>
      </c>
      <c r="I23" s="18">
        <f t="shared" si="7"/>
        <v>825249</v>
      </c>
      <c r="J23" s="18">
        <v>825249</v>
      </c>
      <c r="K23" s="18">
        <v>0</v>
      </c>
      <c r="L23" s="18">
        <f t="shared" si="8"/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8</v>
      </c>
      <c r="X23" s="18">
        <v>0</v>
      </c>
      <c r="Y23" s="18">
        <v>177330</v>
      </c>
      <c r="Z23" s="18">
        <v>0</v>
      </c>
      <c r="AA23" s="18">
        <v>43919</v>
      </c>
      <c r="AB23" s="18">
        <v>35866</v>
      </c>
      <c r="AC23" s="18">
        <v>567037</v>
      </c>
      <c r="AD23" s="18">
        <v>1089</v>
      </c>
      <c r="AE23" s="18">
        <f t="shared" si="9"/>
        <v>9927</v>
      </c>
      <c r="AF23" s="18">
        <f>AG23+AH23</f>
        <v>9927</v>
      </c>
      <c r="AG23" s="18">
        <v>9196</v>
      </c>
      <c r="AH23" s="18">
        <v>731</v>
      </c>
      <c r="AI23" s="18">
        <f t="shared" si="10"/>
        <v>292015</v>
      </c>
      <c r="AJ23" s="18">
        <f>AL23+AN23+AS23+AT23+AV23+AX23</f>
        <v>292015</v>
      </c>
      <c r="AK23" s="18">
        <v>0</v>
      </c>
      <c r="AL23" s="18">
        <v>10375</v>
      </c>
      <c r="AM23" s="18">
        <v>0</v>
      </c>
      <c r="AN23" s="18">
        <v>60237</v>
      </c>
      <c r="AO23" s="18">
        <v>0</v>
      </c>
      <c r="AP23" s="18">
        <v>0</v>
      </c>
      <c r="AQ23" s="18">
        <v>0</v>
      </c>
      <c r="AR23" s="18">
        <v>0</v>
      </c>
      <c r="AS23" s="18">
        <v>1697</v>
      </c>
      <c r="AT23" s="18">
        <v>6500</v>
      </c>
      <c r="AU23" s="18">
        <v>0</v>
      </c>
      <c r="AV23" s="18">
        <v>1423</v>
      </c>
      <c r="AW23" s="18">
        <v>0</v>
      </c>
      <c r="AX23" s="18">
        <v>211783</v>
      </c>
      <c r="AY23" s="18">
        <v>0</v>
      </c>
      <c r="AZ23" s="18">
        <f t="shared" si="11"/>
        <v>92876</v>
      </c>
      <c r="BA23" s="18">
        <v>92876</v>
      </c>
      <c r="BB23" s="18">
        <v>2500</v>
      </c>
      <c r="BC23" s="18">
        <v>6879</v>
      </c>
      <c r="BD23" s="18">
        <v>0</v>
      </c>
      <c r="BE23" s="18">
        <v>0</v>
      </c>
      <c r="BF23" s="18">
        <v>22533</v>
      </c>
      <c r="BG23" s="18">
        <v>20</v>
      </c>
      <c r="BH23" s="18">
        <v>60000</v>
      </c>
      <c r="BI23" s="18">
        <v>944</v>
      </c>
      <c r="BJ23" s="18">
        <f t="shared" si="12"/>
        <v>8999</v>
      </c>
      <c r="BK23" s="18">
        <f>BL23+BN23+BO23+BP23+BQ23</f>
        <v>8999</v>
      </c>
      <c r="BL23" s="18">
        <v>6000</v>
      </c>
      <c r="BM23" s="18">
        <v>0</v>
      </c>
      <c r="BN23" s="18">
        <v>124</v>
      </c>
      <c r="BO23" s="18">
        <v>175</v>
      </c>
      <c r="BP23" s="18">
        <v>272</v>
      </c>
      <c r="BQ23" s="60">
        <v>2428</v>
      </c>
      <c r="BR23" s="18">
        <v>7</v>
      </c>
      <c r="BS23" s="18">
        <v>2702</v>
      </c>
      <c r="BT23" s="18">
        <v>5000</v>
      </c>
      <c r="BU23" s="18">
        <f>BV23</f>
        <v>1236775</v>
      </c>
      <c r="BV23" s="18">
        <f t="shared" si="4"/>
        <v>1236775</v>
      </c>
      <c r="BW23" s="28">
        <f t="shared" si="5"/>
        <v>0</v>
      </c>
      <c r="BX23" s="96">
        <f t="shared" si="6"/>
        <v>1129900</v>
      </c>
    </row>
    <row r="24" spans="1:76" ht="20.399999999999999" customHeight="1" x14ac:dyDescent="0.35">
      <c r="A24" s="99" t="s">
        <v>285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32" t="s">
        <v>87</v>
      </c>
      <c r="I24" s="18">
        <f t="shared" si="7"/>
        <v>2027776</v>
      </c>
      <c r="J24" s="18">
        <v>2027776</v>
      </c>
      <c r="K24" s="18">
        <v>0</v>
      </c>
      <c r="L24" s="18">
        <f t="shared" si="8"/>
        <v>1763134</v>
      </c>
      <c r="M24" s="18">
        <v>1763134</v>
      </c>
      <c r="N24" s="18">
        <v>0</v>
      </c>
      <c r="O24" s="18">
        <v>0</v>
      </c>
      <c r="P24" s="18">
        <v>0</v>
      </c>
      <c r="Q24" s="18">
        <v>0</v>
      </c>
      <c r="R24" s="18">
        <v>1743942</v>
      </c>
      <c r="S24" s="18">
        <v>19192</v>
      </c>
      <c r="T24" s="18">
        <v>0</v>
      </c>
      <c r="U24" s="18">
        <v>0</v>
      </c>
      <c r="V24" s="18">
        <v>0</v>
      </c>
      <c r="W24" s="18">
        <v>36823</v>
      </c>
      <c r="X24" s="18">
        <v>10294</v>
      </c>
      <c r="Y24" s="18">
        <v>0</v>
      </c>
      <c r="Z24" s="18">
        <v>101616</v>
      </c>
      <c r="AA24" s="18">
        <v>26627</v>
      </c>
      <c r="AB24" s="18">
        <v>89029</v>
      </c>
      <c r="AC24" s="18">
        <v>0</v>
      </c>
      <c r="AD24" s="18">
        <v>253</v>
      </c>
      <c r="AE24" s="18">
        <f t="shared" si="9"/>
        <v>1109412</v>
      </c>
      <c r="AF24" s="18">
        <v>1109412</v>
      </c>
      <c r="AG24" s="18">
        <v>1109412</v>
      </c>
      <c r="AH24" s="18">
        <v>0</v>
      </c>
      <c r="AI24" s="18">
        <f t="shared" si="10"/>
        <v>4603897</v>
      </c>
      <c r="AJ24" s="18">
        <v>4603897</v>
      </c>
      <c r="AK24" s="18">
        <v>896807</v>
      </c>
      <c r="AL24" s="18">
        <v>1417523</v>
      </c>
      <c r="AM24" s="18">
        <v>0</v>
      </c>
      <c r="AN24" s="18">
        <v>980847</v>
      </c>
      <c r="AO24" s="18">
        <v>7886</v>
      </c>
      <c r="AP24" s="18">
        <v>23194</v>
      </c>
      <c r="AQ24" s="18">
        <v>18154</v>
      </c>
      <c r="AR24" s="18">
        <v>22483</v>
      </c>
      <c r="AS24" s="18">
        <v>0</v>
      </c>
      <c r="AT24" s="18">
        <v>745061</v>
      </c>
      <c r="AU24" s="18">
        <v>0</v>
      </c>
      <c r="AV24" s="18">
        <v>44069</v>
      </c>
      <c r="AW24" s="18">
        <v>18632</v>
      </c>
      <c r="AX24" s="18">
        <v>0</v>
      </c>
      <c r="AY24" s="18">
        <v>429241</v>
      </c>
      <c r="AZ24" s="18">
        <f t="shared" si="11"/>
        <v>255011</v>
      </c>
      <c r="BA24" s="18">
        <v>255011</v>
      </c>
      <c r="BB24" s="18">
        <v>125215</v>
      </c>
      <c r="BC24" s="18">
        <v>40</v>
      </c>
      <c r="BD24" s="18">
        <v>0</v>
      </c>
      <c r="BE24" s="18">
        <v>0</v>
      </c>
      <c r="BF24" s="18">
        <v>0</v>
      </c>
      <c r="BG24" s="18">
        <v>117419</v>
      </c>
      <c r="BH24" s="18">
        <v>0</v>
      </c>
      <c r="BI24" s="18">
        <v>12337</v>
      </c>
      <c r="BJ24" s="18">
        <f t="shared" si="12"/>
        <v>190366</v>
      </c>
      <c r="BK24" s="18">
        <v>190366</v>
      </c>
      <c r="BL24" s="18">
        <v>183631</v>
      </c>
      <c r="BM24" s="18">
        <v>0</v>
      </c>
      <c r="BN24" s="18">
        <v>0</v>
      </c>
      <c r="BO24" s="18">
        <v>0</v>
      </c>
      <c r="BP24" s="18">
        <v>5670</v>
      </c>
      <c r="BQ24" s="60">
        <v>1065</v>
      </c>
      <c r="BR24" s="18">
        <v>468544</v>
      </c>
      <c r="BS24" s="18">
        <v>190774</v>
      </c>
      <c r="BT24" s="18">
        <v>0</v>
      </c>
      <c r="BU24" s="18">
        <f>BV24</f>
        <v>8845780</v>
      </c>
      <c r="BV24" s="18">
        <f t="shared" si="4"/>
        <v>8845780</v>
      </c>
      <c r="BW24" s="28">
        <f t="shared" si="5"/>
        <v>0</v>
      </c>
      <c r="BX24" s="96">
        <f t="shared" si="6"/>
        <v>8400403</v>
      </c>
    </row>
    <row r="25" spans="1:76" ht="20.399999999999999" customHeight="1" x14ac:dyDescent="0.35">
      <c r="A25" s="99" t="s">
        <v>62</v>
      </c>
      <c r="B25" s="18">
        <v>250</v>
      </c>
      <c r="C25" s="18">
        <v>13110174</v>
      </c>
      <c r="D25" s="18">
        <v>83</v>
      </c>
      <c r="E25" s="18">
        <v>49</v>
      </c>
      <c r="F25" s="18">
        <v>1769824</v>
      </c>
      <c r="G25" s="18">
        <v>7</v>
      </c>
      <c r="H25" s="32" t="s">
        <v>46</v>
      </c>
      <c r="I25" s="18">
        <f t="shared" si="7"/>
        <v>3325679</v>
      </c>
      <c r="J25" s="18">
        <f>I25</f>
        <v>3325679</v>
      </c>
      <c r="K25" s="18">
        <v>0</v>
      </c>
      <c r="L25" s="18">
        <f t="shared" si="8"/>
        <v>2769724</v>
      </c>
      <c r="M25" s="18">
        <v>2769724</v>
      </c>
      <c r="N25" s="18">
        <v>0</v>
      </c>
      <c r="O25" s="18">
        <v>0</v>
      </c>
      <c r="P25" s="18">
        <v>0</v>
      </c>
      <c r="Q25" s="18">
        <v>2160746</v>
      </c>
      <c r="R25" s="18">
        <v>420764</v>
      </c>
      <c r="S25" s="18">
        <v>188214</v>
      </c>
      <c r="T25" s="18">
        <v>0</v>
      </c>
      <c r="U25" s="18">
        <v>0</v>
      </c>
      <c r="V25" s="18">
        <v>0</v>
      </c>
      <c r="W25" s="18">
        <v>4364</v>
      </c>
      <c r="X25" s="18">
        <v>249788</v>
      </c>
      <c r="Y25" s="18">
        <v>76046</v>
      </c>
      <c r="Z25" s="18">
        <v>0</v>
      </c>
      <c r="AA25" s="18">
        <v>122718</v>
      </c>
      <c r="AB25" s="18">
        <v>0</v>
      </c>
      <c r="AC25" s="18">
        <v>28373</v>
      </c>
      <c r="AD25" s="18">
        <v>74666</v>
      </c>
      <c r="AE25" s="18">
        <f t="shared" si="9"/>
        <v>5588917</v>
      </c>
      <c r="AF25" s="18">
        <f>AG25+AH25</f>
        <v>5588917</v>
      </c>
      <c r="AG25" s="18">
        <v>5521917</v>
      </c>
      <c r="AH25" s="18">
        <v>67000</v>
      </c>
      <c r="AI25" s="18">
        <f t="shared" si="10"/>
        <v>3158085</v>
      </c>
      <c r="AJ25" s="18">
        <f>AI25</f>
        <v>3158085</v>
      </c>
      <c r="AK25" s="18">
        <v>0</v>
      </c>
      <c r="AL25" s="18">
        <v>863424</v>
      </c>
      <c r="AM25" s="18">
        <v>0</v>
      </c>
      <c r="AN25" s="18">
        <v>132263</v>
      </c>
      <c r="AO25" s="18">
        <v>63498</v>
      </c>
      <c r="AP25" s="18">
        <v>0</v>
      </c>
      <c r="AQ25" s="18">
        <v>998</v>
      </c>
      <c r="AR25" s="18">
        <v>94849</v>
      </c>
      <c r="AS25" s="18">
        <v>2500</v>
      </c>
      <c r="AT25" s="18">
        <v>1343825</v>
      </c>
      <c r="AU25" s="18">
        <v>19173</v>
      </c>
      <c r="AV25" s="18">
        <v>74776</v>
      </c>
      <c r="AW25" s="18">
        <v>0</v>
      </c>
      <c r="AX25" s="18">
        <v>14400</v>
      </c>
      <c r="AY25" s="18">
        <v>548379</v>
      </c>
      <c r="AZ25" s="18">
        <f t="shared" si="11"/>
        <v>1273874</v>
      </c>
      <c r="BA25" s="18">
        <v>1273874</v>
      </c>
      <c r="BB25" s="18">
        <v>327704</v>
      </c>
      <c r="BC25" s="18">
        <v>17697</v>
      </c>
      <c r="BD25" s="18">
        <v>10000</v>
      </c>
      <c r="BE25" s="18">
        <v>3209</v>
      </c>
      <c r="BF25" s="18">
        <v>796150</v>
      </c>
      <c r="BG25" s="18">
        <v>11138</v>
      </c>
      <c r="BH25" s="18">
        <v>12276</v>
      </c>
      <c r="BI25" s="18">
        <v>95700</v>
      </c>
      <c r="BJ25" s="18">
        <f t="shared" si="12"/>
        <v>2028866</v>
      </c>
      <c r="BK25" s="18">
        <f>BL25+BM25+BN25+BP25+BQ25</f>
        <v>2028866</v>
      </c>
      <c r="BL25" s="18">
        <v>1387613</v>
      </c>
      <c r="BM25" s="18">
        <v>141546</v>
      </c>
      <c r="BN25" s="18">
        <v>274777</v>
      </c>
      <c r="BO25" s="18">
        <v>0</v>
      </c>
      <c r="BP25" s="18">
        <v>176261</v>
      </c>
      <c r="BQ25" s="60">
        <v>48669</v>
      </c>
      <c r="BR25" s="18">
        <v>634303</v>
      </c>
      <c r="BS25" s="18">
        <v>429100</v>
      </c>
      <c r="BT25" s="18">
        <v>1041386</v>
      </c>
      <c r="BU25" s="18">
        <f>BV25</f>
        <v>17480210</v>
      </c>
      <c r="BV25" s="18">
        <f t="shared" si="4"/>
        <v>17480210</v>
      </c>
      <c r="BW25" s="28">
        <f t="shared" si="5"/>
        <v>0</v>
      </c>
      <c r="BX25" s="96">
        <f t="shared" si="6"/>
        <v>13136084</v>
      </c>
    </row>
    <row r="26" spans="1:76" ht="20.399999999999999" customHeight="1" x14ac:dyDescent="0.35">
      <c r="A26" s="99" t="s">
        <v>865</v>
      </c>
      <c r="B26" s="18">
        <v>19</v>
      </c>
      <c r="C26" s="18">
        <v>219614</v>
      </c>
      <c r="D26" s="18">
        <f>C26/($C$26+$F$26)</f>
        <v>0.32140954566476021</v>
      </c>
      <c r="E26" s="18">
        <v>6</v>
      </c>
      <c r="F26" s="18">
        <v>463670</v>
      </c>
      <c r="G26" s="18">
        <f>F26/($C$26+$F$26)</f>
        <v>0.67859045433523979</v>
      </c>
      <c r="H26" s="32" t="s">
        <v>87</v>
      </c>
      <c r="I26" s="18">
        <f t="shared" si="7"/>
        <v>207384</v>
      </c>
      <c r="J26" s="18">
        <f>+Z26+AA26+AB26</f>
        <v>207384</v>
      </c>
      <c r="K26" s="18">
        <v>0</v>
      </c>
      <c r="L26" s="18">
        <f t="shared" si="8"/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255</v>
      </c>
      <c r="AA26" s="18">
        <v>171463</v>
      </c>
      <c r="AB26" s="18">
        <v>35666</v>
      </c>
      <c r="AC26" s="18">
        <v>0</v>
      </c>
      <c r="AD26" s="18">
        <v>0</v>
      </c>
      <c r="AE26" s="18">
        <f t="shared" si="9"/>
        <v>5140</v>
      </c>
      <c r="AF26" s="18">
        <f>AG26</f>
        <v>5140</v>
      </c>
      <c r="AG26" s="18">
        <v>5140</v>
      </c>
      <c r="AH26" s="18">
        <v>0</v>
      </c>
      <c r="AI26" s="18">
        <f t="shared" si="10"/>
        <v>248478</v>
      </c>
      <c r="AJ26" s="18">
        <f>+AL26+AN26+AO26+AP26+AT26+AV26+AW26+AY26</f>
        <v>248478</v>
      </c>
      <c r="AK26" s="18">
        <v>0</v>
      </c>
      <c r="AL26" s="18">
        <v>4610</v>
      </c>
      <c r="AM26" s="18">
        <v>0</v>
      </c>
      <c r="AN26" s="18">
        <v>468</v>
      </c>
      <c r="AO26" s="18">
        <v>117</v>
      </c>
      <c r="AP26" s="18">
        <v>95</v>
      </c>
      <c r="AQ26" s="18">
        <v>0</v>
      </c>
      <c r="AR26" s="18">
        <v>0</v>
      </c>
      <c r="AS26" s="18">
        <v>0</v>
      </c>
      <c r="AT26" s="18">
        <v>168335</v>
      </c>
      <c r="AU26" s="18">
        <v>0</v>
      </c>
      <c r="AV26" s="18">
        <v>7099</v>
      </c>
      <c r="AW26" s="18">
        <v>64388</v>
      </c>
      <c r="AX26" s="18">
        <v>0</v>
      </c>
      <c r="AY26" s="18">
        <v>3366</v>
      </c>
      <c r="AZ26" s="18">
        <f t="shared" si="11"/>
        <v>33</v>
      </c>
      <c r="BA26" s="18">
        <v>33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33</v>
      </c>
      <c r="BH26" s="18">
        <v>0</v>
      </c>
      <c r="BI26" s="18">
        <v>0</v>
      </c>
      <c r="BJ26" s="18">
        <f t="shared" si="12"/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60">
        <v>0</v>
      </c>
      <c r="BR26" s="18">
        <v>106222</v>
      </c>
      <c r="BS26" s="18">
        <v>48340</v>
      </c>
      <c r="BT26" s="18"/>
      <c r="BU26" s="18">
        <v>615597</v>
      </c>
      <c r="BV26" s="18">
        <f t="shared" si="4"/>
        <v>615597</v>
      </c>
      <c r="BW26" s="28">
        <f t="shared" si="5"/>
        <v>0</v>
      </c>
      <c r="BX26" s="96">
        <f t="shared" si="6"/>
        <v>615564</v>
      </c>
    </row>
    <row r="27" spans="1:76" ht="20.399999999999999" customHeight="1" x14ac:dyDescent="0.35">
      <c r="A27" s="99" t="s">
        <v>517</v>
      </c>
      <c r="B27" s="18"/>
      <c r="C27" s="18"/>
      <c r="D27" s="18"/>
      <c r="E27" s="18"/>
      <c r="F27" s="18"/>
      <c r="G27" s="18"/>
      <c r="H27" s="32" t="s">
        <v>46</v>
      </c>
      <c r="I27" s="18">
        <f t="shared" si="7"/>
        <v>551420.18699999992</v>
      </c>
      <c r="J27" s="18">
        <v>551420.18699999992</v>
      </c>
      <c r="K27" s="18">
        <v>125451</v>
      </c>
      <c r="L27" s="18">
        <f t="shared" si="8"/>
        <v>215146.82699999999</v>
      </c>
      <c r="M27" s="18">
        <v>215146.82699999999</v>
      </c>
      <c r="N27" s="18"/>
      <c r="O27" s="18"/>
      <c r="P27" s="18"/>
      <c r="Q27" s="18">
        <v>215146.82699999999</v>
      </c>
      <c r="R27" s="18"/>
      <c r="S27" s="18"/>
      <c r="T27" s="18"/>
      <c r="U27" s="18"/>
      <c r="V27" s="18"/>
      <c r="W27" s="18">
        <v>725</v>
      </c>
      <c r="X27" s="18">
        <v>137116</v>
      </c>
      <c r="Y27" s="18"/>
      <c r="Z27" s="18">
        <v>2981.1660000000002</v>
      </c>
      <c r="AA27" s="18">
        <v>24050.966</v>
      </c>
      <c r="AB27" s="18">
        <v>35309.688999999998</v>
      </c>
      <c r="AC27" s="18"/>
      <c r="AD27" s="18">
        <v>10639.539000000001</v>
      </c>
      <c r="AE27" s="18">
        <f t="shared" si="9"/>
        <v>20842.859</v>
      </c>
      <c r="AF27" s="18">
        <v>20842.859</v>
      </c>
      <c r="AG27" s="18"/>
      <c r="AH27" s="18">
        <v>20842.859</v>
      </c>
      <c r="AI27" s="18">
        <f t="shared" si="10"/>
        <v>606892.39400000009</v>
      </c>
      <c r="AJ27" s="18">
        <v>606892.39400000009</v>
      </c>
      <c r="AK27" s="18"/>
      <c r="AL27" s="18"/>
      <c r="AM27" s="18"/>
      <c r="AN27" s="18">
        <v>572774.902</v>
      </c>
      <c r="AO27" s="18">
        <v>2465.6770000000001</v>
      </c>
      <c r="AP27" s="18"/>
      <c r="AQ27" s="18">
        <v>1688.5820000000001</v>
      </c>
      <c r="AR27" s="18">
        <v>11216.812</v>
      </c>
      <c r="AS27" s="18"/>
      <c r="AT27" s="18">
        <v>6627.19</v>
      </c>
      <c r="AU27" s="18"/>
      <c r="AV27" s="18"/>
      <c r="AW27" s="18"/>
      <c r="AX27" s="18"/>
      <c r="AY27" s="18">
        <v>12119.231</v>
      </c>
      <c r="AZ27" s="18">
        <f t="shared" si="11"/>
        <v>98142.475999999995</v>
      </c>
      <c r="BA27" s="18">
        <v>98142.475999999995</v>
      </c>
      <c r="BB27" s="18">
        <v>97538.407999999996</v>
      </c>
      <c r="BC27" s="18"/>
      <c r="BD27" s="18"/>
      <c r="BE27" s="18"/>
      <c r="BF27" s="18"/>
      <c r="BG27" s="18">
        <v>604.06799999999998</v>
      </c>
      <c r="BH27" s="18"/>
      <c r="BI27" s="18"/>
      <c r="BJ27" s="18">
        <f t="shared" si="12"/>
        <v>283582.32300000003</v>
      </c>
      <c r="BK27" s="18">
        <v>283582.32299999997</v>
      </c>
      <c r="BL27" s="18">
        <v>220493.125</v>
      </c>
      <c r="BM27" s="18"/>
      <c r="BN27" s="18">
        <v>38587.809000000001</v>
      </c>
      <c r="BO27" s="18"/>
      <c r="BP27" s="18">
        <v>22274.34</v>
      </c>
      <c r="BQ27" s="60">
        <v>2227.049</v>
      </c>
      <c r="BR27" s="18">
        <v>27702.921999999999</v>
      </c>
      <c r="BS27" s="18">
        <v>12247.487999999999</v>
      </c>
      <c r="BT27" s="18">
        <v>35145.983999999997</v>
      </c>
      <c r="BU27" s="18">
        <v>1635976.6329999999</v>
      </c>
      <c r="BV27" s="18">
        <f t="shared" si="4"/>
        <v>1635976.6329999999</v>
      </c>
      <c r="BW27" s="28">
        <f t="shared" si="5"/>
        <v>0</v>
      </c>
      <c r="BX27" s="96">
        <f t="shared" si="6"/>
        <v>1219105.8499999999</v>
      </c>
    </row>
    <row r="28" spans="1:76" ht="20.399999999999999" customHeight="1" x14ac:dyDescent="0.35">
      <c r="A28" s="99" t="s">
        <v>522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32" t="s">
        <v>41</v>
      </c>
      <c r="I28" s="18">
        <f t="shared" si="7"/>
        <v>24061009</v>
      </c>
      <c r="J28" s="18">
        <v>24061009</v>
      </c>
      <c r="K28" s="18">
        <v>631936</v>
      </c>
      <c r="L28" s="18">
        <f t="shared" si="8"/>
        <v>15165446</v>
      </c>
      <c r="M28" s="18">
        <v>15165446</v>
      </c>
      <c r="N28" s="18">
        <v>0</v>
      </c>
      <c r="O28" s="18">
        <v>0</v>
      </c>
      <c r="P28" s="18">
        <v>289</v>
      </c>
      <c r="Q28" s="18">
        <v>14565589</v>
      </c>
      <c r="R28" s="18">
        <v>0</v>
      </c>
      <c r="S28" s="18">
        <v>599568</v>
      </c>
      <c r="T28" s="18">
        <v>0</v>
      </c>
      <c r="U28" s="18">
        <v>0</v>
      </c>
      <c r="V28" s="18">
        <v>16576</v>
      </c>
      <c r="W28" s="18">
        <v>33275</v>
      </c>
      <c r="X28" s="18">
        <v>0</v>
      </c>
      <c r="Y28" s="18">
        <v>0</v>
      </c>
      <c r="Z28" s="18">
        <v>461</v>
      </c>
      <c r="AA28" s="18">
        <v>2646352</v>
      </c>
      <c r="AB28" s="18">
        <v>2361337</v>
      </c>
      <c r="AC28" s="18">
        <v>2780992</v>
      </c>
      <c r="AD28" s="18">
        <v>424634</v>
      </c>
      <c r="AE28" s="18">
        <f t="shared" si="9"/>
        <v>4064697</v>
      </c>
      <c r="AF28" s="18">
        <f>AG28+AH28</f>
        <v>4064697</v>
      </c>
      <c r="AG28" s="18">
        <v>3391775</v>
      </c>
      <c r="AH28" s="18">
        <v>672922</v>
      </c>
      <c r="AI28" s="18">
        <f t="shared" si="10"/>
        <v>36167602</v>
      </c>
      <c r="AJ28" s="18">
        <f>AI28</f>
        <v>36167602</v>
      </c>
      <c r="AK28" s="18">
        <v>1598136</v>
      </c>
      <c r="AL28" s="18">
        <v>3926994</v>
      </c>
      <c r="AM28" s="18">
        <v>0</v>
      </c>
      <c r="AN28" s="18">
        <v>385267</v>
      </c>
      <c r="AO28" s="18">
        <v>2339086</v>
      </c>
      <c r="AP28" s="18">
        <v>0</v>
      </c>
      <c r="AQ28" s="18">
        <v>117560</v>
      </c>
      <c r="AR28" s="18">
        <v>693979</v>
      </c>
      <c r="AS28" s="18">
        <v>12182</v>
      </c>
      <c r="AT28" s="18">
        <v>9505807</v>
      </c>
      <c r="AU28" s="18">
        <v>72907</v>
      </c>
      <c r="AV28" s="18">
        <v>85339</v>
      </c>
      <c r="AW28" s="18">
        <v>16483697</v>
      </c>
      <c r="AX28" s="18">
        <v>0</v>
      </c>
      <c r="AY28" s="18">
        <v>946648</v>
      </c>
      <c r="AZ28" s="18">
        <f t="shared" si="11"/>
        <v>10600725</v>
      </c>
      <c r="BA28" s="18">
        <f>BB28+BF28+BH28+BI28</f>
        <v>10600725</v>
      </c>
      <c r="BB28" s="18">
        <v>256492</v>
      </c>
      <c r="BC28" s="18">
        <v>0</v>
      </c>
      <c r="BD28" s="18">
        <v>0</v>
      </c>
      <c r="BE28" s="18">
        <v>0</v>
      </c>
      <c r="BF28" s="18">
        <v>10301250</v>
      </c>
      <c r="BG28" s="18">
        <v>0</v>
      </c>
      <c r="BH28" s="18">
        <v>33692</v>
      </c>
      <c r="BI28" s="18">
        <v>9291</v>
      </c>
      <c r="BJ28" s="18">
        <f t="shared" si="12"/>
        <v>23686593</v>
      </c>
      <c r="BK28" s="18">
        <v>23686593</v>
      </c>
      <c r="BL28" s="18">
        <v>11333990</v>
      </c>
      <c r="BM28" s="18">
        <v>8109127</v>
      </c>
      <c r="BN28" s="18">
        <v>2698230</v>
      </c>
      <c r="BO28" s="18">
        <v>1545246</v>
      </c>
      <c r="BP28" s="18">
        <v>0</v>
      </c>
      <c r="BQ28" s="60">
        <v>0</v>
      </c>
      <c r="BR28" s="18">
        <v>22105386</v>
      </c>
      <c r="BS28" s="18">
        <v>12280334</v>
      </c>
      <c r="BT28" s="18">
        <v>0</v>
      </c>
      <c r="BU28" s="18">
        <f>BV28</f>
        <v>132966346</v>
      </c>
      <c r="BV28" s="18">
        <f t="shared" si="4"/>
        <v>132966346</v>
      </c>
      <c r="BW28" s="28">
        <f t="shared" si="5"/>
        <v>0</v>
      </c>
      <c r="BX28" s="96">
        <f t="shared" si="6"/>
        <v>98679028</v>
      </c>
    </row>
    <row r="29" spans="1:76" ht="20.399999999999999" customHeight="1" x14ac:dyDescent="0.35">
      <c r="A29" s="99" t="s">
        <v>73</v>
      </c>
      <c r="B29" s="18">
        <v>13</v>
      </c>
      <c r="C29" s="18">
        <v>285445</v>
      </c>
      <c r="D29" s="18">
        <v>100</v>
      </c>
      <c r="E29" s="18">
        <v>0</v>
      </c>
      <c r="F29" s="18">
        <v>0</v>
      </c>
      <c r="G29" s="18">
        <v>0</v>
      </c>
      <c r="H29" s="32" t="s">
        <v>46</v>
      </c>
      <c r="I29" s="18">
        <f t="shared" si="7"/>
        <v>224738</v>
      </c>
      <c r="J29" s="18">
        <v>224738</v>
      </c>
      <c r="K29" s="18">
        <v>0</v>
      </c>
      <c r="L29" s="18">
        <f t="shared" si="8"/>
        <v>102967</v>
      </c>
      <c r="M29" s="18">
        <v>102967</v>
      </c>
      <c r="N29" s="18">
        <v>0</v>
      </c>
      <c r="O29" s="18">
        <v>0</v>
      </c>
      <c r="P29" s="18">
        <v>0</v>
      </c>
      <c r="Q29" s="18">
        <v>89165</v>
      </c>
      <c r="R29" s="18">
        <v>0</v>
      </c>
      <c r="S29" s="18">
        <v>13046</v>
      </c>
      <c r="T29" s="18">
        <v>0</v>
      </c>
      <c r="U29" s="18">
        <v>756</v>
      </c>
      <c r="V29" s="18">
        <v>300</v>
      </c>
      <c r="W29" s="18">
        <v>0</v>
      </c>
      <c r="X29" s="18">
        <v>1350</v>
      </c>
      <c r="Y29" s="18">
        <v>0</v>
      </c>
      <c r="Z29" s="18">
        <v>0</v>
      </c>
      <c r="AA29" s="18">
        <v>114679</v>
      </c>
      <c r="AB29" s="18">
        <v>0</v>
      </c>
      <c r="AC29" s="18">
        <v>0</v>
      </c>
      <c r="AD29" s="18">
        <v>5442</v>
      </c>
      <c r="AE29" s="18">
        <f t="shared" si="9"/>
        <v>0</v>
      </c>
      <c r="AF29" s="18"/>
      <c r="AG29" s="18">
        <v>0</v>
      </c>
      <c r="AH29" s="18">
        <v>0</v>
      </c>
      <c r="AI29" s="18">
        <f t="shared" si="10"/>
        <v>42823</v>
      </c>
      <c r="AJ29" s="18">
        <v>42823</v>
      </c>
      <c r="AK29" s="18">
        <v>24713</v>
      </c>
      <c r="AL29" s="18">
        <v>3140</v>
      </c>
      <c r="AM29" s="18">
        <v>0</v>
      </c>
      <c r="AN29" s="18">
        <v>1470</v>
      </c>
      <c r="AO29" s="18">
        <v>0</v>
      </c>
      <c r="AP29" s="18">
        <v>0</v>
      </c>
      <c r="AQ29" s="18">
        <v>0</v>
      </c>
      <c r="AR29" s="18">
        <v>456</v>
      </c>
      <c r="AS29" s="18">
        <v>0</v>
      </c>
      <c r="AT29" s="18">
        <v>696</v>
      </c>
      <c r="AU29" s="18">
        <v>0</v>
      </c>
      <c r="AV29" s="18">
        <v>0</v>
      </c>
      <c r="AW29" s="18">
        <v>0</v>
      </c>
      <c r="AX29" s="18">
        <v>8895</v>
      </c>
      <c r="AY29" s="18">
        <v>3453</v>
      </c>
      <c r="AZ29" s="18">
        <f t="shared" si="11"/>
        <v>10427</v>
      </c>
      <c r="BA29" s="18">
        <v>10427</v>
      </c>
      <c r="BB29" s="18">
        <v>3134</v>
      </c>
      <c r="BC29" s="18">
        <v>0</v>
      </c>
      <c r="BD29" s="18">
        <v>0</v>
      </c>
      <c r="BE29" s="18">
        <v>7293</v>
      </c>
      <c r="BF29" s="18">
        <v>0</v>
      </c>
      <c r="BG29" s="18">
        <v>0</v>
      </c>
      <c r="BH29" s="18">
        <v>0</v>
      </c>
      <c r="BI29" s="18">
        <v>0</v>
      </c>
      <c r="BJ29" s="18">
        <f t="shared" si="12"/>
        <v>112808</v>
      </c>
      <c r="BK29" s="18">
        <v>112808</v>
      </c>
      <c r="BL29" s="18">
        <v>40979</v>
      </c>
      <c r="BM29" s="18">
        <v>63473</v>
      </c>
      <c r="BN29" s="18">
        <v>0</v>
      </c>
      <c r="BO29" s="18">
        <v>0</v>
      </c>
      <c r="BP29" s="18">
        <v>7730</v>
      </c>
      <c r="BQ29" s="60">
        <v>626</v>
      </c>
      <c r="BR29" s="18">
        <v>0</v>
      </c>
      <c r="BS29" s="18">
        <v>0</v>
      </c>
      <c r="BT29" s="18">
        <v>0</v>
      </c>
      <c r="BU29" s="18">
        <v>390796</v>
      </c>
      <c r="BV29" s="18">
        <f t="shared" si="4"/>
        <v>390796</v>
      </c>
      <c r="BW29" s="28">
        <f t="shared" si="5"/>
        <v>0</v>
      </c>
      <c r="BX29" s="96">
        <f t="shared" si="6"/>
        <v>267561</v>
      </c>
    </row>
    <row r="30" spans="1:76" ht="20.399999999999999" customHeight="1" x14ac:dyDescent="0.35">
      <c r="A30" s="99" t="s">
        <v>525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32" t="s">
        <v>255</v>
      </c>
      <c r="I30" s="18">
        <f t="shared" si="7"/>
        <v>2462.277</v>
      </c>
      <c r="J30" s="18">
        <v>2462.277</v>
      </c>
      <c r="K30" s="18">
        <v>0</v>
      </c>
      <c r="L30" s="18">
        <f t="shared" si="8"/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386.41</v>
      </c>
      <c r="W30" s="18">
        <v>269.19</v>
      </c>
      <c r="X30" s="18">
        <v>631.28499999999997</v>
      </c>
      <c r="Y30" s="18">
        <v>192.7</v>
      </c>
      <c r="Z30" s="18">
        <v>108.5</v>
      </c>
      <c r="AA30" s="18">
        <v>231.8</v>
      </c>
      <c r="AB30" s="18">
        <v>473.72</v>
      </c>
      <c r="AC30" s="18">
        <v>0</v>
      </c>
      <c r="AD30" s="18">
        <v>168.672</v>
      </c>
      <c r="AE30" s="18">
        <f t="shared" si="9"/>
        <v>1154.335</v>
      </c>
      <c r="AF30" s="18">
        <v>1154.335</v>
      </c>
      <c r="AG30" s="18"/>
      <c r="AH30" s="18">
        <f>AF30</f>
        <v>1154.335</v>
      </c>
      <c r="AI30" s="18">
        <f t="shared" si="10"/>
        <v>104688.84899999999</v>
      </c>
      <c r="AJ30" s="18">
        <v>104688.849</v>
      </c>
      <c r="AK30" s="18">
        <v>0</v>
      </c>
      <c r="AL30" s="18">
        <v>6177.6</v>
      </c>
      <c r="AM30" s="18">
        <v>0</v>
      </c>
      <c r="AN30" s="18">
        <v>549.02800000000002</v>
      </c>
      <c r="AO30" s="18">
        <v>604.73199999999997</v>
      </c>
      <c r="AP30" s="18">
        <v>94488.085999999996</v>
      </c>
      <c r="AQ30" s="18">
        <v>20</v>
      </c>
      <c r="AR30" s="18">
        <v>255.8</v>
      </c>
      <c r="AS30" s="18">
        <v>0</v>
      </c>
      <c r="AT30" s="18">
        <v>0</v>
      </c>
      <c r="AU30" s="18">
        <v>0</v>
      </c>
      <c r="AV30" s="18">
        <v>198.203</v>
      </c>
      <c r="AW30" s="18">
        <v>0</v>
      </c>
      <c r="AX30" s="18">
        <v>0</v>
      </c>
      <c r="AY30" s="18">
        <v>2395.4</v>
      </c>
      <c r="AZ30" s="18">
        <f t="shared" si="11"/>
        <v>5440</v>
      </c>
      <c r="BA30" s="18">
        <f>BD30+BE30</f>
        <v>5440</v>
      </c>
      <c r="BB30" s="18">
        <v>0</v>
      </c>
      <c r="BC30" s="18">
        <v>0</v>
      </c>
      <c r="BD30" s="18">
        <v>2500</v>
      </c>
      <c r="BE30" s="18">
        <v>2940</v>
      </c>
      <c r="BF30" s="18">
        <v>0</v>
      </c>
      <c r="BG30" s="18">
        <v>0</v>
      </c>
      <c r="BH30" s="18">
        <v>0</v>
      </c>
      <c r="BI30" s="18">
        <v>0</v>
      </c>
      <c r="BJ30" s="18">
        <f t="shared" si="12"/>
        <v>31680</v>
      </c>
      <c r="BK30" s="18">
        <v>31680</v>
      </c>
      <c r="BL30" s="18">
        <f>BK30</f>
        <v>31680</v>
      </c>
      <c r="BM30" s="18">
        <v>0</v>
      </c>
      <c r="BN30" s="18">
        <v>0</v>
      </c>
      <c r="BO30" s="18">
        <v>0</v>
      </c>
      <c r="BP30" s="18">
        <v>0</v>
      </c>
      <c r="BQ30" s="60">
        <v>0</v>
      </c>
      <c r="BR30" s="18">
        <v>0</v>
      </c>
      <c r="BS30" s="18">
        <v>0</v>
      </c>
      <c r="BT30" s="18">
        <v>0</v>
      </c>
      <c r="BU30" s="18">
        <f>BV30</f>
        <v>145425.46099999998</v>
      </c>
      <c r="BV30" s="18">
        <f t="shared" si="4"/>
        <v>145425.46099999998</v>
      </c>
      <c r="BW30" s="28">
        <f t="shared" si="5"/>
        <v>0</v>
      </c>
      <c r="BX30" s="96">
        <f t="shared" si="6"/>
        <v>108305.46099999998</v>
      </c>
    </row>
    <row r="31" spans="1:76" ht="20.399999999999999" customHeight="1" x14ac:dyDescent="0.35">
      <c r="A31" s="99" t="s">
        <v>341</v>
      </c>
      <c r="B31" s="18">
        <v>162</v>
      </c>
      <c r="C31" s="18">
        <v>5690891</v>
      </c>
      <c r="D31" s="18">
        <v>63</v>
      </c>
      <c r="E31" s="18">
        <v>29</v>
      </c>
      <c r="F31" s="18">
        <v>3248075</v>
      </c>
      <c r="G31" s="18">
        <v>36</v>
      </c>
      <c r="H31" s="32" t="s">
        <v>87</v>
      </c>
      <c r="I31" s="18">
        <f t="shared" si="7"/>
        <v>349152</v>
      </c>
      <c r="J31" s="18">
        <f>I31</f>
        <v>349152</v>
      </c>
      <c r="K31" s="18">
        <v>20675</v>
      </c>
      <c r="L31" s="18">
        <f t="shared" si="8"/>
        <v>261031</v>
      </c>
      <c r="M31" s="18">
        <v>261031</v>
      </c>
      <c r="N31" s="18">
        <v>0</v>
      </c>
      <c r="O31" s="18">
        <v>0</v>
      </c>
      <c r="P31" s="18">
        <v>0</v>
      </c>
      <c r="Q31" s="18">
        <v>261031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563</v>
      </c>
      <c r="X31" s="18">
        <v>11361</v>
      </c>
      <c r="Y31" s="18">
        <v>3755</v>
      </c>
      <c r="Z31" s="18">
        <v>6285</v>
      </c>
      <c r="AA31" s="18">
        <v>25517</v>
      </c>
      <c r="AB31" s="18">
        <v>0</v>
      </c>
      <c r="AC31" s="18">
        <v>19965</v>
      </c>
      <c r="AD31" s="18">
        <v>0</v>
      </c>
      <c r="AE31" s="18">
        <f t="shared" si="9"/>
        <v>146272</v>
      </c>
      <c r="AF31" s="18">
        <f>AG31+AH31</f>
        <v>146272</v>
      </c>
      <c r="AG31" s="18">
        <v>3179</v>
      </c>
      <c r="AH31" s="18">
        <v>143093</v>
      </c>
      <c r="AI31" s="18">
        <f t="shared" si="10"/>
        <v>3551749</v>
      </c>
      <c r="AJ31" s="18">
        <v>3551749</v>
      </c>
      <c r="AK31" s="18">
        <v>1239507</v>
      </c>
      <c r="AL31" s="18">
        <v>117862</v>
      </c>
      <c r="AM31" s="18">
        <v>0</v>
      </c>
      <c r="AN31" s="18">
        <v>17216</v>
      </c>
      <c r="AO31" s="18">
        <v>44086</v>
      </c>
      <c r="AP31" s="18">
        <v>0</v>
      </c>
      <c r="AQ31" s="18">
        <v>44086</v>
      </c>
      <c r="AR31" s="18">
        <v>33683</v>
      </c>
      <c r="AS31" s="18">
        <v>0</v>
      </c>
      <c r="AT31" s="18">
        <v>1884669</v>
      </c>
      <c r="AU31" s="18">
        <v>5445</v>
      </c>
      <c r="AV31" s="18">
        <v>63487</v>
      </c>
      <c r="AW31" s="18">
        <v>24091</v>
      </c>
      <c r="AX31" s="18">
        <v>52563</v>
      </c>
      <c r="AY31" s="18">
        <v>25054</v>
      </c>
      <c r="AZ31" s="18">
        <f t="shared" si="11"/>
        <v>50207</v>
      </c>
      <c r="BA31" s="18">
        <v>50207</v>
      </c>
      <c r="BB31" s="18">
        <v>13177</v>
      </c>
      <c r="BC31" s="18">
        <v>30</v>
      </c>
      <c r="BD31" s="18">
        <v>0</v>
      </c>
      <c r="BE31" s="18">
        <v>37000</v>
      </c>
      <c r="BF31" s="18">
        <v>0</v>
      </c>
      <c r="BG31" s="18">
        <v>0</v>
      </c>
      <c r="BH31" s="18">
        <v>0</v>
      </c>
      <c r="BI31" s="18">
        <v>0</v>
      </c>
      <c r="BJ31" s="18">
        <f t="shared" si="12"/>
        <v>1086098</v>
      </c>
      <c r="BK31" s="18">
        <v>1086098</v>
      </c>
      <c r="BL31" s="18">
        <v>526287</v>
      </c>
      <c r="BM31" s="18">
        <v>316633</v>
      </c>
      <c r="BN31" s="18">
        <v>57151</v>
      </c>
      <c r="BO31" s="18">
        <v>6600</v>
      </c>
      <c r="BP31" s="18">
        <v>25648</v>
      </c>
      <c r="BQ31" s="60">
        <v>153779</v>
      </c>
      <c r="BR31" s="18">
        <v>300108</v>
      </c>
      <c r="BS31" s="18">
        <v>784944</v>
      </c>
      <c r="BT31" s="18">
        <v>0</v>
      </c>
      <c r="BU31" s="18">
        <f>BV31</f>
        <v>6268530</v>
      </c>
      <c r="BV31" s="18">
        <f t="shared" si="4"/>
        <v>6268530</v>
      </c>
      <c r="BW31" s="28">
        <f t="shared" si="5"/>
        <v>0</v>
      </c>
      <c r="BX31" s="96">
        <f t="shared" si="6"/>
        <v>5132225</v>
      </c>
    </row>
    <row r="32" spans="1:76" ht="20.399999999999999" customHeight="1" x14ac:dyDescent="0.35">
      <c r="A32" s="99" t="s">
        <v>346</v>
      </c>
      <c r="B32" s="18">
        <v>738</v>
      </c>
      <c r="C32" s="18">
        <v>0</v>
      </c>
      <c r="D32" s="18">
        <v>24</v>
      </c>
      <c r="E32" s="18">
        <v>432</v>
      </c>
      <c r="F32" s="18">
        <v>0</v>
      </c>
      <c r="G32" s="18">
        <v>76</v>
      </c>
      <c r="H32" s="32" t="s">
        <v>41</v>
      </c>
      <c r="I32" s="18">
        <f t="shared" si="7"/>
        <v>172148520</v>
      </c>
      <c r="J32" s="18">
        <f>K32+L32+W32+X32+Z32+AB32+AD32</f>
        <v>172148520</v>
      </c>
      <c r="K32" s="18">
        <v>125925416</v>
      </c>
      <c r="L32" s="18">
        <f t="shared" si="8"/>
        <v>26713160</v>
      </c>
      <c r="M32" s="18">
        <v>26713160</v>
      </c>
      <c r="N32" s="18">
        <v>0</v>
      </c>
      <c r="O32" s="18">
        <v>0</v>
      </c>
      <c r="P32" s="18">
        <v>0</v>
      </c>
      <c r="Q32" s="18">
        <v>10249603</v>
      </c>
      <c r="R32" s="18">
        <v>39192</v>
      </c>
      <c r="S32" s="18">
        <v>0</v>
      </c>
      <c r="T32" s="18">
        <v>16424365</v>
      </c>
      <c r="U32" s="18"/>
      <c r="V32" s="18">
        <v>0</v>
      </c>
      <c r="W32" s="18">
        <v>400608</v>
      </c>
      <c r="X32" s="18">
        <v>2257540</v>
      </c>
      <c r="Y32" s="18">
        <v>0</v>
      </c>
      <c r="Z32" s="18">
        <v>144419</v>
      </c>
      <c r="AA32" s="18">
        <v>0</v>
      </c>
      <c r="AB32" s="18">
        <v>12536467</v>
      </c>
      <c r="AC32" s="18"/>
      <c r="AD32" s="18">
        <v>4170910</v>
      </c>
      <c r="AE32" s="18">
        <f t="shared" si="9"/>
        <v>44154406</v>
      </c>
      <c r="AF32" s="18">
        <v>44154406</v>
      </c>
      <c r="AG32" s="18">
        <v>42895750</v>
      </c>
      <c r="AH32" s="18">
        <v>1258656</v>
      </c>
      <c r="AI32" s="18">
        <f t="shared" si="10"/>
        <v>37398422</v>
      </c>
      <c r="AJ32" s="18">
        <v>37398422</v>
      </c>
      <c r="AK32" s="18">
        <v>0</v>
      </c>
      <c r="AL32" s="18">
        <v>4040392</v>
      </c>
      <c r="AM32" s="18">
        <v>0</v>
      </c>
      <c r="AN32" s="18">
        <v>14292468</v>
      </c>
      <c r="AO32" s="18">
        <v>4408310</v>
      </c>
      <c r="AP32" s="18">
        <v>81</v>
      </c>
      <c r="AQ32" s="18">
        <v>37188</v>
      </c>
      <c r="AR32" s="18">
        <v>330833</v>
      </c>
      <c r="AS32" s="18">
        <v>0</v>
      </c>
      <c r="AT32" s="18">
        <v>11996909</v>
      </c>
      <c r="AU32" s="18">
        <v>7375</v>
      </c>
      <c r="AV32" s="18">
        <v>377550</v>
      </c>
      <c r="AW32" s="18">
        <v>1300000</v>
      </c>
      <c r="AX32" s="18"/>
      <c r="AY32" s="18">
        <v>607316</v>
      </c>
      <c r="AZ32" s="18">
        <f t="shared" si="11"/>
        <v>10000</v>
      </c>
      <c r="BA32" s="18">
        <v>10000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10000</v>
      </c>
      <c r="BI32" s="18">
        <v>0</v>
      </c>
      <c r="BJ32" s="18">
        <f t="shared" si="12"/>
        <v>23662306</v>
      </c>
      <c r="BK32" s="18">
        <v>23662306</v>
      </c>
      <c r="BL32" s="18">
        <v>12977720</v>
      </c>
      <c r="BM32" s="18">
        <v>3892679</v>
      </c>
      <c r="BN32" s="18">
        <v>2602738</v>
      </c>
      <c r="BO32" s="18">
        <v>0</v>
      </c>
      <c r="BP32" s="18">
        <v>1006771</v>
      </c>
      <c r="BQ32" s="60">
        <v>3182398</v>
      </c>
      <c r="BR32" s="18">
        <v>5106640</v>
      </c>
      <c r="BS32" s="18">
        <v>31416453</v>
      </c>
      <c r="BT32" s="18">
        <v>0</v>
      </c>
      <c r="BU32" s="18">
        <f>BV32</f>
        <v>313896747</v>
      </c>
      <c r="BV32" s="18">
        <f t="shared" si="4"/>
        <v>313896747</v>
      </c>
      <c r="BW32" s="28">
        <f t="shared" si="5"/>
        <v>0</v>
      </c>
      <c r="BX32" s="96">
        <f t="shared" si="6"/>
        <v>290224441</v>
      </c>
    </row>
    <row r="33" spans="1:76" ht="20.399999999999999" customHeight="1" x14ac:dyDescent="0.35">
      <c r="A33" s="99" t="s">
        <v>348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32" t="s">
        <v>255</v>
      </c>
      <c r="I33" s="18">
        <f t="shared" si="7"/>
        <v>127567.05</v>
      </c>
      <c r="J33" s="18">
        <v>127567.05</v>
      </c>
      <c r="K33" s="18">
        <v>0</v>
      </c>
      <c r="L33" s="18">
        <f t="shared" si="8"/>
        <v>127567.05</v>
      </c>
      <c r="M33" s="18">
        <v>127567.05</v>
      </c>
      <c r="N33" s="18">
        <v>0</v>
      </c>
      <c r="O33" s="18">
        <v>0</v>
      </c>
      <c r="P33" s="18">
        <v>0</v>
      </c>
      <c r="Q33" s="18">
        <v>127567.05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f t="shared" si="9"/>
        <v>7149.5550000000003</v>
      </c>
      <c r="AF33" s="18">
        <f>AH33</f>
        <v>7149.5550000000003</v>
      </c>
      <c r="AG33" s="18">
        <v>0</v>
      </c>
      <c r="AH33" s="18">
        <v>7149.5550000000003</v>
      </c>
      <c r="AI33" s="18">
        <f t="shared" si="10"/>
        <v>109422.36500000001</v>
      </c>
      <c r="AJ33" s="18">
        <v>109422.36500000001</v>
      </c>
      <c r="AK33" s="18">
        <v>109422.36500000001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f>BA33</f>
        <v>19253.848999999998</v>
      </c>
      <c r="BA33" s="18">
        <v>19253.848999999998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f>BK33</f>
        <v>135056.21799999999</v>
      </c>
      <c r="BK33" s="18">
        <v>135056.21799999999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60">
        <v>0</v>
      </c>
      <c r="BR33" s="18">
        <v>0</v>
      </c>
      <c r="BS33" s="18">
        <v>13476.001</v>
      </c>
      <c r="BT33" s="18">
        <v>0</v>
      </c>
      <c r="BU33" s="18">
        <v>411925.038</v>
      </c>
      <c r="BV33" s="18">
        <f t="shared" si="4"/>
        <v>411925.038</v>
      </c>
      <c r="BW33" s="28">
        <f t="shared" si="5"/>
        <v>0</v>
      </c>
      <c r="BX33" s="96">
        <f t="shared" si="6"/>
        <v>257614.97100000002</v>
      </c>
    </row>
    <row r="34" spans="1:76" ht="20.399999999999999" customHeight="1" x14ac:dyDescent="0.35">
      <c r="A34" s="99" t="s">
        <v>537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32" t="s">
        <v>255</v>
      </c>
      <c r="I34" s="18">
        <f t="shared" si="7"/>
        <v>0</v>
      </c>
      <c r="J34" s="18">
        <v>0</v>
      </c>
      <c r="K34" s="18">
        <v>0</v>
      </c>
      <c r="L34" s="18">
        <f t="shared" si="8"/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f t="shared" si="9"/>
        <v>150</v>
      </c>
      <c r="AF34" s="18">
        <f>AH34</f>
        <v>150</v>
      </c>
      <c r="AG34" s="18"/>
      <c r="AH34" s="18">
        <v>150</v>
      </c>
      <c r="AI34" s="18">
        <f t="shared" si="10"/>
        <v>136360</v>
      </c>
      <c r="AJ34" s="18">
        <f>AK34+AL34+AP34+AR34+AS34+AT34+AV34</f>
        <v>136360</v>
      </c>
      <c r="AK34" s="18">
        <v>83166</v>
      </c>
      <c r="AL34" s="18">
        <v>600</v>
      </c>
      <c r="AM34" s="18">
        <v>0</v>
      </c>
      <c r="AN34" s="18">
        <v>0</v>
      </c>
      <c r="AO34" s="18">
        <v>0</v>
      </c>
      <c r="AP34" s="18">
        <v>29478</v>
      </c>
      <c r="AQ34" s="18"/>
      <c r="AR34" s="18">
        <v>120</v>
      </c>
      <c r="AS34" s="18">
        <v>10685</v>
      </c>
      <c r="AT34" s="18">
        <v>12000</v>
      </c>
      <c r="AU34" s="18"/>
      <c r="AV34" s="18">
        <v>311</v>
      </c>
      <c r="AW34" s="18">
        <v>0</v>
      </c>
      <c r="AX34" s="18">
        <v>0</v>
      </c>
      <c r="AY34" s="18">
        <v>0</v>
      </c>
      <c r="AZ34" s="18">
        <f t="shared" ref="AZ34:AZ61" si="13">SUM(BB34:BI34)</f>
        <v>24919</v>
      </c>
      <c r="BA34" s="18">
        <v>24919</v>
      </c>
      <c r="BB34" s="18">
        <v>11287</v>
      </c>
      <c r="BC34" s="18"/>
      <c r="BD34" s="18"/>
      <c r="BE34" s="18">
        <v>13632</v>
      </c>
      <c r="BF34" s="18">
        <v>0</v>
      </c>
      <c r="BG34" s="18">
        <v>0</v>
      </c>
      <c r="BH34" s="18">
        <v>0</v>
      </c>
      <c r="BI34" s="18">
        <v>0</v>
      </c>
      <c r="BJ34" s="18">
        <f t="shared" ref="BJ34:BJ61" si="14">SUM(BL34:BQ34)</f>
        <v>42278</v>
      </c>
      <c r="BK34" s="18">
        <v>42278</v>
      </c>
      <c r="BL34" s="18">
        <v>41078</v>
      </c>
      <c r="BM34" s="18">
        <v>0</v>
      </c>
      <c r="BN34" s="18">
        <v>1200</v>
      </c>
      <c r="BO34" s="28"/>
      <c r="BP34" s="18">
        <v>0</v>
      </c>
      <c r="BQ34" s="60">
        <v>0</v>
      </c>
      <c r="BR34" s="18">
        <v>0</v>
      </c>
      <c r="BS34" s="18">
        <v>6727</v>
      </c>
      <c r="BT34" s="18">
        <v>0</v>
      </c>
      <c r="BU34" s="18">
        <f>BV34</f>
        <v>210434</v>
      </c>
      <c r="BV34" s="18">
        <f t="shared" si="4"/>
        <v>210434</v>
      </c>
      <c r="BW34" s="28">
        <f t="shared" si="5"/>
        <v>0</v>
      </c>
      <c r="BX34" s="96">
        <f t="shared" si="6"/>
        <v>143237</v>
      </c>
    </row>
    <row r="35" spans="1:76" ht="20.399999999999999" customHeight="1" x14ac:dyDescent="0.35">
      <c r="A35" s="99" t="s">
        <v>354</v>
      </c>
      <c r="B35" s="18">
        <v>687</v>
      </c>
      <c r="C35" s="18">
        <v>863089098</v>
      </c>
      <c r="D35" s="18">
        <v>0</v>
      </c>
      <c r="E35" s="18">
        <v>0</v>
      </c>
      <c r="F35" s="18">
        <v>0</v>
      </c>
      <c r="G35" s="18">
        <v>0</v>
      </c>
      <c r="H35" s="32" t="s">
        <v>46</v>
      </c>
      <c r="I35" s="18">
        <f t="shared" si="7"/>
        <v>383378.67699999997</v>
      </c>
      <c r="J35" s="18">
        <v>383378.67700000003</v>
      </c>
      <c r="K35" s="18">
        <v>5645.875</v>
      </c>
      <c r="L35" s="18">
        <f>SUM(N35:U35)</f>
        <v>14747.925999999999</v>
      </c>
      <c r="M35" s="18">
        <v>14747.925999999999</v>
      </c>
      <c r="N35" s="18">
        <v>0</v>
      </c>
      <c r="O35" s="18">
        <v>59</v>
      </c>
      <c r="P35" s="18">
        <v>4896.308</v>
      </c>
      <c r="Q35" s="18">
        <v>3985.1149999999998</v>
      </c>
      <c r="R35" s="18">
        <v>0</v>
      </c>
      <c r="S35" s="18">
        <v>5807.5029999999997</v>
      </c>
      <c r="T35" s="18">
        <v>0</v>
      </c>
      <c r="U35" s="18">
        <v>0</v>
      </c>
      <c r="V35" s="18">
        <v>0</v>
      </c>
      <c r="W35" s="18">
        <v>146.25</v>
      </c>
      <c r="X35" s="18">
        <v>530.29999999999995</v>
      </c>
      <c r="Y35" s="18">
        <v>206209.87599999999</v>
      </c>
      <c r="Z35" s="18">
        <v>1649.422</v>
      </c>
      <c r="AA35" s="18">
        <v>8676.5480000000007</v>
      </c>
      <c r="AB35" s="18">
        <v>5371.6570000000002</v>
      </c>
      <c r="AC35" s="18">
        <v>139101.573</v>
      </c>
      <c r="AD35" s="18">
        <v>1299.25</v>
      </c>
      <c r="AE35" s="18">
        <f t="shared" si="9"/>
        <v>37859.894</v>
      </c>
      <c r="AF35" s="18">
        <v>37859.894</v>
      </c>
      <c r="AG35" s="18">
        <v>37859.894</v>
      </c>
      <c r="AH35" s="18"/>
      <c r="AI35" s="18">
        <f t="shared" si="10"/>
        <v>48449.777999999998</v>
      </c>
      <c r="AJ35" s="18">
        <v>48449.777999999998</v>
      </c>
      <c r="AK35" s="18">
        <v>0</v>
      </c>
      <c r="AL35" s="18">
        <v>19457.2</v>
      </c>
      <c r="AM35" s="18">
        <v>0</v>
      </c>
      <c r="AN35" s="18">
        <v>6053.4</v>
      </c>
      <c r="AO35" s="18">
        <v>6813.0990000000002</v>
      </c>
      <c r="AP35" s="18">
        <v>0</v>
      </c>
      <c r="AQ35" s="18">
        <v>0</v>
      </c>
      <c r="AR35" s="18">
        <v>785.1</v>
      </c>
      <c r="AS35" s="18">
        <v>74.599999999999994</v>
      </c>
      <c r="AT35" s="18">
        <v>13970.787</v>
      </c>
      <c r="AU35" s="18">
        <v>0</v>
      </c>
      <c r="AV35" s="18">
        <v>0</v>
      </c>
      <c r="AW35" s="18">
        <v>0</v>
      </c>
      <c r="AX35" s="18">
        <v>0</v>
      </c>
      <c r="AY35" s="18">
        <v>1295.5920000000001</v>
      </c>
      <c r="AZ35" s="18">
        <f t="shared" si="13"/>
        <v>205027.65899999999</v>
      </c>
      <c r="BA35" s="18">
        <f>BB35+BH35</f>
        <v>205027.65899999999</v>
      </c>
      <c r="BB35" s="18">
        <v>139716.065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65311.593999999997</v>
      </c>
      <c r="BI35" s="18">
        <v>0</v>
      </c>
      <c r="BJ35" s="18">
        <f t="shared" si="14"/>
        <v>205264.902</v>
      </c>
      <c r="BK35" s="18">
        <v>205264.902</v>
      </c>
      <c r="BL35" s="18">
        <v>183934.09099999999</v>
      </c>
      <c r="BM35" s="18">
        <v>0</v>
      </c>
      <c r="BN35" s="18">
        <v>0</v>
      </c>
      <c r="BO35" s="18">
        <v>0</v>
      </c>
      <c r="BP35" s="18">
        <v>21330.811000000002</v>
      </c>
      <c r="BQ35" s="60">
        <v>0</v>
      </c>
      <c r="BR35" s="18">
        <v>216.34299999999999</v>
      </c>
      <c r="BS35" s="18">
        <v>1203.443</v>
      </c>
      <c r="BT35" s="18">
        <v>16841.416000000001</v>
      </c>
      <c r="BU35" s="18">
        <f>BV35</f>
        <v>898242.11199999985</v>
      </c>
      <c r="BV35" s="18">
        <f t="shared" si="4"/>
        <v>898242.11199999985</v>
      </c>
      <c r="BW35" s="28">
        <f t="shared" si="5"/>
        <v>0</v>
      </c>
      <c r="BX35" s="96">
        <f t="shared" si="6"/>
        <v>471108.13500000001</v>
      </c>
    </row>
    <row r="36" spans="1:76" ht="20.399999999999999" customHeight="1" x14ac:dyDescent="0.35">
      <c r="A36" s="20" t="s">
        <v>540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32" t="s">
        <v>46</v>
      </c>
      <c r="I36" s="18">
        <f t="shared" si="7"/>
        <v>0</v>
      </c>
      <c r="J36" s="18">
        <v>0</v>
      </c>
      <c r="K36" s="18">
        <v>0</v>
      </c>
      <c r="L36" s="18">
        <f t="shared" si="8"/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f t="shared" si="9"/>
        <v>15000</v>
      </c>
      <c r="AF36" s="18">
        <v>15000</v>
      </c>
      <c r="AG36" s="18">
        <v>0</v>
      </c>
      <c r="AH36" s="18">
        <v>15000</v>
      </c>
      <c r="AI36" s="18">
        <f t="shared" si="10"/>
        <v>1000</v>
      </c>
      <c r="AJ36" s="18">
        <v>1000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1000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f t="shared" si="13"/>
        <v>8700</v>
      </c>
      <c r="BA36" s="18">
        <v>8700</v>
      </c>
      <c r="BB36" s="18">
        <v>0</v>
      </c>
      <c r="BC36" s="18">
        <v>0</v>
      </c>
      <c r="BD36" s="18">
        <v>0</v>
      </c>
      <c r="BE36" s="18">
        <v>8700</v>
      </c>
      <c r="BF36" s="18"/>
      <c r="BG36" s="18">
        <v>0</v>
      </c>
      <c r="BH36" s="18">
        <v>0</v>
      </c>
      <c r="BI36" s="18">
        <v>0</v>
      </c>
      <c r="BJ36" s="18">
        <f t="shared" si="14"/>
        <v>68400</v>
      </c>
      <c r="BK36" s="18">
        <v>68400</v>
      </c>
      <c r="BL36" s="18">
        <v>68400</v>
      </c>
      <c r="BM36" s="18">
        <v>0</v>
      </c>
      <c r="BN36" s="18">
        <v>0</v>
      </c>
      <c r="BO36" s="18">
        <v>0</v>
      </c>
      <c r="BP36" s="18">
        <v>0</v>
      </c>
      <c r="BQ36" s="60">
        <v>0</v>
      </c>
      <c r="BR36" s="18">
        <v>0</v>
      </c>
      <c r="BS36" s="18">
        <v>0</v>
      </c>
      <c r="BT36" s="18">
        <v>0</v>
      </c>
      <c r="BU36" s="18">
        <f>BV36</f>
        <v>93100</v>
      </c>
      <c r="BV36" s="18">
        <f t="shared" si="4"/>
        <v>93100</v>
      </c>
      <c r="BW36" s="28">
        <f t="shared" si="5"/>
        <v>0</v>
      </c>
      <c r="BX36" s="96">
        <f t="shared" si="6"/>
        <v>16000</v>
      </c>
    </row>
    <row r="37" spans="1:76" ht="20.399999999999999" customHeight="1" x14ac:dyDescent="0.35">
      <c r="A37" s="20" t="s">
        <v>363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32" t="s">
        <v>255</v>
      </c>
      <c r="I37" s="18">
        <f t="shared" si="7"/>
        <v>1401</v>
      </c>
      <c r="J37" s="18">
        <v>1401</v>
      </c>
      <c r="K37" s="18">
        <v>0</v>
      </c>
      <c r="L37" s="18">
        <f t="shared" si="8"/>
        <v>1401</v>
      </c>
      <c r="M37" s="18">
        <v>1401</v>
      </c>
      <c r="N37" s="18">
        <v>0</v>
      </c>
      <c r="O37" s="18">
        <v>0</v>
      </c>
      <c r="P37" s="18">
        <v>0</v>
      </c>
      <c r="Q37" s="18">
        <v>1401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f t="shared" si="9"/>
        <v>0</v>
      </c>
      <c r="AF37" s="18"/>
      <c r="AG37" s="18">
        <v>0</v>
      </c>
      <c r="AH37" s="18">
        <v>0</v>
      </c>
      <c r="AI37" s="18">
        <f t="shared" si="10"/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f t="shared" si="13"/>
        <v>19812</v>
      </c>
      <c r="BA37" s="18">
        <v>19812</v>
      </c>
      <c r="BB37" s="18">
        <v>0</v>
      </c>
      <c r="BC37" s="18">
        <v>0</v>
      </c>
      <c r="BD37" s="18">
        <v>0</v>
      </c>
      <c r="BE37" s="18">
        <v>1430</v>
      </c>
      <c r="BF37" s="18">
        <v>0</v>
      </c>
      <c r="BG37" s="18">
        <v>0</v>
      </c>
      <c r="BH37" s="18">
        <v>0</v>
      </c>
      <c r="BI37" s="18">
        <v>18382</v>
      </c>
      <c r="BJ37" s="18">
        <f t="shared" si="14"/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60">
        <v>0</v>
      </c>
      <c r="BR37" s="18">
        <v>0</v>
      </c>
      <c r="BS37" s="18">
        <v>0</v>
      </c>
      <c r="BT37" s="18">
        <v>0</v>
      </c>
      <c r="BU37" s="18">
        <v>21213</v>
      </c>
      <c r="BV37" s="18">
        <f t="shared" si="4"/>
        <v>21213</v>
      </c>
      <c r="BW37" s="28">
        <f t="shared" si="5"/>
        <v>0</v>
      </c>
      <c r="BX37" s="96">
        <f t="shared" si="6"/>
        <v>1401</v>
      </c>
    </row>
    <row r="38" spans="1:76" ht="20.399999999999999" customHeight="1" x14ac:dyDescent="0.35">
      <c r="A38" s="20" t="s">
        <v>551</v>
      </c>
      <c r="B38" s="18">
        <v>5</v>
      </c>
      <c r="C38" s="18">
        <v>51558720</v>
      </c>
      <c r="D38" s="18">
        <v>0</v>
      </c>
      <c r="E38" s="18">
        <v>2</v>
      </c>
      <c r="F38" s="18">
        <v>26434989</v>
      </c>
      <c r="G38" s="18">
        <v>0</v>
      </c>
      <c r="H38" s="32" t="s">
        <v>255</v>
      </c>
      <c r="I38" s="18">
        <f t="shared" si="7"/>
        <v>0</v>
      </c>
      <c r="J38" s="18">
        <v>0</v>
      </c>
      <c r="K38" s="18">
        <v>0</v>
      </c>
      <c r="L38" s="18">
        <f t="shared" si="8"/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f t="shared" si="9"/>
        <v>0</v>
      </c>
      <c r="AF38" s="18"/>
      <c r="AG38" s="18">
        <v>0</v>
      </c>
      <c r="AH38" s="18">
        <v>0</v>
      </c>
      <c r="AI38" s="18">
        <f t="shared" si="10"/>
        <v>67062.36</v>
      </c>
      <c r="AJ38" s="18">
        <f>AL38+AT38+AV38</f>
        <v>67062.36</v>
      </c>
      <c r="AK38" s="18">
        <v>0</v>
      </c>
      <c r="AL38" s="18">
        <v>20680.526000000002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46176.184000000001</v>
      </c>
      <c r="AU38" s="18">
        <v>0</v>
      </c>
      <c r="AV38" s="18">
        <v>205.65</v>
      </c>
      <c r="AW38" s="18">
        <v>0</v>
      </c>
      <c r="AX38" s="18"/>
      <c r="AY38" s="18">
        <v>0</v>
      </c>
      <c r="AZ38" s="18">
        <f t="shared" si="13"/>
        <v>8870.2250000000004</v>
      </c>
      <c r="BA38" s="18">
        <f>BB38+BC38+BE38+BG38</f>
        <v>8870.2250000000004</v>
      </c>
      <c r="BB38" s="18">
        <v>521.053</v>
      </c>
      <c r="BC38" s="18">
        <v>7955.1719999999996</v>
      </c>
      <c r="BD38" s="18">
        <v>0</v>
      </c>
      <c r="BE38" s="18">
        <v>344</v>
      </c>
      <c r="BF38" s="18">
        <v>0</v>
      </c>
      <c r="BG38" s="18">
        <v>50</v>
      </c>
      <c r="BH38" s="18">
        <v>0</v>
      </c>
      <c r="BI38" s="18">
        <v>0</v>
      </c>
      <c r="BJ38" s="18">
        <f t="shared" si="14"/>
        <v>8524</v>
      </c>
      <c r="BK38" s="18">
        <f>BL38</f>
        <v>8524</v>
      </c>
      <c r="BL38" s="18">
        <v>8524</v>
      </c>
      <c r="BM38" s="18">
        <v>0</v>
      </c>
      <c r="BN38" s="18">
        <v>0</v>
      </c>
      <c r="BO38" s="18">
        <v>0</v>
      </c>
      <c r="BP38" s="18">
        <v>0</v>
      </c>
      <c r="BQ38" s="60">
        <v>0</v>
      </c>
      <c r="BR38" s="18">
        <v>36983</v>
      </c>
      <c r="BS38" s="18">
        <v>0</v>
      </c>
      <c r="BT38" s="18"/>
      <c r="BU38" s="18">
        <f>BV38</f>
        <v>121439.58500000001</v>
      </c>
      <c r="BV38" s="18">
        <f t="shared" si="4"/>
        <v>121439.58500000001</v>
      </c>
      <c r="BW38" s="28">
        <f t="shared" si="5"/>
        <v>0</v>
      </c>
      <c r="BX38" s="96">
        <f t="shared" si="6"/>
        <v>104045.36</v>
      </c>
    </row>
    <row r="39" spans="1:76" ht="20.399999999999999" customHeight="1" x14ac:dyDescent="0.35">
      <c r="A39" s="20" t="s">
        <v>373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32" t="s">
        <v>41</v>
      </c>
      <c r="I39" s="18">
        <f t="shared" si="7"/>
        <v>28973479</v>
      </c>
      <c r="J39" s="18">
        <f>I39</f>
        <v>28973479</v>
      </c>
      <c r="K39" s="18">
        <v>9176655</v>
      </c>
      <c r="L39" s="18">
        <f t="shared" si="8"/>
        <v>16785425</v>
      </c>
      <c r="M39" s="18">
        <v>16785425</v>
      </c>
      <c r="N39" s="18">
        <v>0</v>
      </c>
      <c r="O39" s="18">
        <v>0</v>
      </c>
      <c r="P39" s="18">
        <v>0</v>
      </c>
      <c r="Q39" s="18">
        <v>0</v>
      </c>
      <c r="R39" s="18">
        <v>16720084</v>
      </c>
      <c r="S39" s="18">
        <v>65341</v>
      </c>
      <c r="T39" s="18">
        <v>0</v>
      </c>
      <c r="U39" s="18">
        <v>0</v>
      </c>
      <c r="V39" s="18">
        <v>147284</v>
      </c>
      <c r="W39" s="18">
        <v>4102</v>
      </c>
      <c r="X39" s="18">
        <v>4719</v>
      </c>
      <c r="Y39" s="18">
        <v>0</v>
      </c>
      <c r="Z39" s="18">
        <v>0</v>
      </c>
      <c r="AA39" s="18">
        <v>1515691</v>
      </c>
      <c r="AB39" s="18">
        <v>1296777</v>
      </c>
      <c r="AC39" s="18">
        <v>42826</v>
      </c>
      <c r="AD39" s="28"/>
      <c r="AE39" s="18">
        <f t="shared" si="9"/>
        <v>1938920</v>
      </c>
      <c r="AF39" s="28">
        <f>AG39+AH39</f>
        <v>1938920</v>
      </c>
      <c r="AG39" s="18">
        <v>1050628</v>
      </c>
      <c r="AH39" s="18">
        <v>888292</v>
      </c>
      <c r="AI39" s="18">
        <f t="shared" si="10"/>
        <v>60944197</v>
      </c>
      <c r="AJ39" s="18">
        <f>+SUM(AK39:AY39)</f>
        <v>60944197</v>
      </c>
      <c r="AK39" s="18">
        <v>55015094</v>
      </c>
      <c r="AL39" s="18">
        <v>88233</v>
      </c>
      <c r="AM39" s="18">
        <v>0</v>
      </c>
      <c r="AN39" s="18">
        <v>10939</v>
      </c>
      <c r="AO39" s="18">
        <v>587949</v>
      </c>
      <c r="AP39" s="18">
        <v>40</v>
      </c>
      <c r="AQ39" s="18">
        <v>46947</v>
      </c>
      <c r="AR39" s="18">
        <v>134664</v>
      </c>
      <c r="AS39" s="18">
        <v>133626</v>
      </c>
      <c r="AT39" s="18">
        <v>2503326</v>
      </c>
      <c r="AU39" s="18">
        <v>46016</v>
      </c>
      <c r="AV39" s="18">
        <v>298201</v>
      </c>
      <c r="AW39" s="18">
        <v>462726</v>
      </c>
      <c r="AX39" s="18">
        <v>477997</v>
      </c>
      <c r="AY39" s="18">
        <v>1138439</v>
      </c>
      <c r="AZ39" s="18">
        <f t="shared" si="13"/>
        <v>8102403</v>
      </c>
      <c r="BA39" s="18">
        <v>8102403</v>
      </c>
      <c r="BB39" s="18">
        <v>626817</v>
      </c>
      <c r="BC39" s="18">
        <v>7358225</v>
      </c>
      <c r="BD39" s="18">
        <v>117361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f t="shared" si="14"/>
        <v>8724230</v>
      </c>
      <c r="BK39" s="18">
        <v>8724230</v>
      </c>
      <c r="BL39" s="18">
        <v>3570244</v>
      </c>
      <c r="BM39" s="18">
        <v>4888151</v>
      </c>
      <c r="BN39" s="18">
        <v>0</v>
      </c>
      <c r="BO39" s="18">
        <v>10223</v>
      </c>
      <c r="BP39" s="18">
        <v>148602</v>
      </c>
      <c r="BQ39" s="60">
        <v>107010</v>
      </c>
      <c r="BR39" s="18">
        <v>248280</v>
      </c>
      <c r="BS39" s="18">
        <v>1069051</v>
      </c>
      <c r="BT39" s="18">
        <v>0</v>
      </c>
      <c r="BU39" s="18">
        <v>110000560</v>
      </c>
      <c r="BV39" s="18">
        <f t="shared" si="4"/>
        <v>110000560</v>
      </c>
      <c r="BW39" s="28">
        <f t="shared" si="5"/>
        <v>0</v>
      </c>
      <c r="BX39" s="96">
        <f t="shared" si="6"/>
        <v>93173927</v>
      </c>
    </row>
    <row r="40" spans="1:76" ht="20.399999999999999" customHeight="1" x14ac:dyDescent="0.35">
      <c r="A40" s="20" t="s">
        <v>974</v>
      </c>
      <c r="B40" s="18"/>
      <c r="C40" s="18"/>
      <c r="D40" s="18"/>
      <c r="E40" s="18"/>
      <c r="F40" s="18"/>
      <c r="G40" s="18"/>
      <c r="H40" s="32" t="s">
        <v>41</v>
      </c>
      <c r="I40" s="18">
        <f t="shared" si="7"/>
        <v>248263.9</v>
      </c>
      <c r="J40" s="18">
        <f>I40</f>
        <v>248263.9</v>
      </c>
      <c r="K40" s="18">
        <v>165058</v>
      </c>
      <c r="L40" s="18">
        <f t="shared" si="8"/>
        <v>0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>
        <v>414.8</v>
      </c>
      <c r="X40" s="18">
        <v>13011.6</v>
      </c>
      <c r="Y40" s="18">
        <v>4049.5</v>
      </c>
      <c r="Z40" s="18">
        <v>1034.5</v>
      </c>
      <c r="AA40" s="18"/>
      <c r="AB40" s="18">
        <v>23093.1</v>
      </c>
      <c r="AC40" s="18"/>
      <c r="AD40" s="28">
        <v>41602.400000000001</v>
      </c>
      <c r="AE40" s="18">
        <f t="shared" si="9"/>
        <v>20851.599999999999</v>
      </c>
      <c r="AF40" s="28">
        <v>20851</v>
      </c>
      <c r="AG40" s="18">
        <f>60+19493</f>
        <v>19553</v>
      </c>
      <c r="AH40" s="18">
        <v>1298.5999999999999</v>
      </c>
      <c r="AI40" s="18">
        <f t="shared" si="10"/>
        <v>49297.9</v>
      </c>
      <c r="AJ40" s="18">
        <v>49298.400000000001</v>
      </c>
      <c r="AK40" s="18"/>
      <c r="AL40" s="18"/>
      <c r="AM40" s="18"/>
      <c r="AN40" s="18">
        <v>25616.5</v>
      </c>
      <c r="AO40" s="18">
        <v>632</v>
      </c>
      <c r="AP40" s="18">
        <v>4600</v>
      </c>
      <c r="AQ40" s="18"/>
      <c r="AR40" s="18">
        <v>2238.6999999999998</v>
      </c>
      <c r="AS40" s="18"/>
      <c r="AT40" s="18">
        <v>10612.3</v>
      </c>
      <c r="AU40" s="18"/>
      <c r="AV40" s="18">
        <v>1155.4000000000001</v>
      </c>
      <c r="AW40" s="18"/>
      <c r="AX40" s="18"/>
      <c r="AY40" s="18">
        <v>4443</v>
      </c>
      <c r="AZ40" s="18">
        <f t="shared" si="13"/>
        <v>41223.9</v>
      </c>
      <c r="BA40" s="18">
        <v>41224</v>
      </c>
      <c r="BB40" s="18">
        <v>238</v>
      </c>
      <c r="BC40" s="18"/>
      <c r="BD40" s="18">
        <v>222</v>
      </c>
      <c r="BE40" s="18"/>
      <c r="BF40" s="18"/>
      <c r="BG40" s="18"/>
      <c r="BH40" s="18">
        <v>3286.4</v>
      </c>
      <c r="BI40" s="18">
        <v>37477.5</v>
      </c>
      <c r="BJ40" s="18">
        <f t="shared" si="14"/>
        <v>207998.6</v>
      </c>
      <c r="BK40" s="18">
        <v>207998.6</v>
      </c>
      <c r="BL40" s="18">
        <v>183227.6</v>
      </c>
      <c r="BM40" s="18"/>
      <c r="BN40" s="18">
        <v>8503</v>
      </c>
      <c r="BO40" s="18"/>
      <c r="BP40" s="18">
        <v>16268</v>
      </c>
      <c r="BQ40" s="60"/>
      <c r="BR40" s="18">
        <v>1446</v>
      </c>
      <c r="BS40" s="18">
        <v>0</v>
      </c>
      <c r="BT40" s="18">
        <v>4252</v>
      </c>
      <c r="BU40" s="18">
        <f>BV40</f>
        <v>573333.9</v>
      </c>
      <c r="BV40" s="18">
        <f t="shared" si="4"/>
        <v>573333.9</v>
      </c>
      <c r="BW40" s="28">
        <f t="shared" si="5"/>
        <v>0</v>
      </c>
      <c r="BX40" s="96">
        <f t="shared" si="6"/>
        <v>319859.40000000002</v>
      </c>
    </row>
    <row r="41" spans="1:76" ht="20.399999999999999" customHeight="1" x14ac:dyDescent="0.35">
      <c r="A41" s="20" t="s">
        <v>376</v>
      </c>
      <c r="B41" s="18">
        <v>267</v>
      </c>
      <c r="C41" s="18">
        <v>174891063</v>
      </c>
      <c r="D41" s="18">
        <v>76</v>
      </c>
      <c r="E41" s="18">
        <v>244</v>
      </c>
      <c r="F41" s="18">
        <v>56052595</v>
      </c>
      <c r="G41" s="18">
        <v>24</v>
      </c>
      <c r="H41" s="32" t="s">
        <v>41</v>
      </c>
      <c r="I41" s="18">
        <f t="shared" si="7"/>
        <v>68569569</v>
      </c>
      <c r="J41" s="18">
        <v>68569569</v>
      </c>
      <c r="K41" s="18">
        <v>34000619</v>
      </c>
      <c r="L41" s="18">
        <f t="shared" si="8"/>
        <v>28389623</v>
      </c>
      <c r="M41" s="18">
        <v>28389623</v>
      </c>
      <c r="N41" s="18">
        <v>44927</v>
      </c>
      <c r="O41" s="18">
        <v>0</v>
      </c>
      <c r="P41" s="18">
        <v>0</v>
      </c>
      <c r="Q41" s="18">
        <v>13357307</v>
      </c>
      <c r="R41" s="18">
        <v>13099935</v>
      </c>
      <c r="S41" s="18">
        <v>1887454</v>
      </c>
      <c r="T41" s="18">
        <v>0</v>
      </c>
      <c r="U41" s="18">
        <v>0</v>
      </c>
      <c r="V41" s="18">
        <v>127499</v>
      </c>
      <c r="W41" s="18">
        <v>1642</v>
      </c>
      <c r="X41" s="18">
        <v>13599</v>
      </c>
      <c r="Y41" s="18">
        <v>0</v>
      </c>
      <c r="Z41" s="18">
        <v>1115363</v>
      </c>
      <c r="AA41" s="18">
        <v>784111</v>
      </c>
      <c r="AB41" s="18">
        <v>556808</v>
      </c>
      <c r="AC41" s="18">
        <v>1193832</v>
      </c>
      <c r="AD41" s="18">
        <v>2386473</v>
      </c>
      <c r="AE41" s="18">
        <f t="shared" si="9"/>
        <v>1733591</v>
      </c>
      <c r="AF41" s="18">
        <f>+AG41+AH41</f>
        <v>1733591</v>
      </c>
      <c r="AG41" s="18">
        <v>1093199</v>
      </c>
      <c r="AH41" s="18">
        <v>640392</v>
      </c>
      <c r="AI41" s="18">
        <f t="shared" si="10"/>
        <v>36856370</v>
      </c>
      <c r="AJ41" s="18">
        <v>36856370</v>
      </c>
      <c r="AK41" s="18">
        <v>15601887</v>
      </c>
      <c r="AL41" s="18">
        <v>1108460</v>
      </c>
      <c r="AM41" s="18">
        <v>0</v>
      </c>
      <c r="AN41" s="18">
        <v>1949929</v>
      </c>
      <c r="AO41" s="18">
        <v>1347878</v>
      </c>
      <c r="AP41" s="18">
        <v>271</v>
      </c>
      <c r="AQ41" s="18">
        <v>127215</v>
      </c>
      <c r="AR41" s="18">
        <v>241087</v>
      </c>
      <c r="AS41" s="18">
        <v>0</v>
      </c>
      <c r="AT41" s="18">
        <v>2936396</v>
      </c>
      <c r="AU41" s="18">
        <v>258027</v>
      </c>
      <c r="AV41" s="18">
        <v>1521621</v>
      </c>
      <c r="AW41" s="18">
        <v>176809</v>
      </c>
      <c r="AX41" s="18">
        <v>11478628</v>
      </c>
      <c r="AY41" s="18">
        <v>108162</v>
      </c>
      <c r="AZ41" s="18">
        <f t="shared" si="13"/>
        <v>37867096</v>
      </c>
      <c r="BA41" s="18">
        <v>37867096</v>
      </c>
      <c r="BB41" s="18">
        <v>1028380</v>
      </c>
      <c r="BC41" s="18">
        <v>1312230</v>
      </c>
      <c r="BD41" s="18">
        <v>0</v>
      </c>
      <c r="BE41" s="18">
        <v>81430</v>
      </c>
      <c r="BF41" s="18">
        <v>19594799</v>
      </c>
      <c r="BG41" s="18">
        <v>180210</v>
      </c>
      <c r="BH41" s="18">
        <v>14039438</v>
      </c>
      <c r="BI41" s="18">
        <v>1630609</v>
      </c>
      <c r="BJ41" s="18">
        <f t="shared" si="14"/>
        <v>23119805</v>
      </c>
      <c r="BK41" s="18">
        <v>23119805</v>
      </c>
      <c r="BL41" s="18">
        <v>18910354</v>
      </c>
      <c r="BM41" s="18">
        <v>468455</v>
      </c>
      <c r="BN41" s="18">
        <v>0</v>
      </c>
      <c r="BO41" s="18">
        <v>2518364</v>
      </c>
      <c r="BP41" s="18">
        <v>1080898</v>
      </c>
      <c r="BQ41" s="60">
        <v>141734</v>
      </c>
      <c r="BR41" s="18">
        <v>5464</v>
      </c>
      <c r="BS41" s="18">
        <v>20621787</v>
      </c>
      <c r="BT41" s="18">
        <v>55929961</v>
      </c>
      <c r="BU41" s="18">
        <f>+BV41</f>
        <v>244703643</v>
      </c>
      <c r="BV41" s="18">
        <f t="shared" si="4"/>
        <v>244703643</v>
      </c>
      <c r="BW41" s="28">
        <f t="shared" si="5"/>
        <v>0</v>
      </c>
      <c r="BX41" s="96">
        <f t="shared" si="6"/>
        <v>127786781</v>
      </c>
    </row>
    <row r="42" spans="1:76" ht="20.399999999999999" customHeight="1" x14ac:dyDescent="0.35">
      <c r="A42" s="20" t="s">
        <v>96</v>
      </c>
      <c r="B42" s="18">
        <v>10</v>
      </c>
      <c r="C42" s="18">
        <v>352821</v>
      </c>
      <c r="D42" s="18">
        <v>99</v>
      </c>
      <c r="E42" s="18">
        <v>1</v>
      </c>
      <c r="F42" s="18">
        <v>4845</v>
      </c>
      <c r="G42" s="18">
        <v>1</v>
      </c>
      <c r="H42" s="32" t="s">
        <v>41</v>
      </c>
      <c r="I42" s="18">
        <f t="shared" si="7"/>
        <v>45928</v>
      </c>
      <c r="J42" s="18">
        <v>45928</v>
      </c>
      <c r="K42" s="18">
        <v>0</v>
      </c>
      <c r="L42" s="18">
        <f t="shared" si="8"/>
        <v>45928</v>
      </c>
      <c r="M42" s="18">
        <v>45928</v>
      </c>
      <c r="N42" s="18">
        <v>0</v>
      </c>
      <c r="O42" s="18">
        <v>0</v>
      </c>
      <c r="P42" s="18">
        <v>0</v>
      </c>
      <c r="Q42" s="18">
        <v>45928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f t="shared" si="9"/>
        <v>1246</v>
      </c>
      <c r="AF42" s="18">
        <v>1246</v>
      </c>
      <c r="AG42" s="18">
        <v>1246</v>
      </c>
      <c r="AH42" s="18">
        <v>0</v>
      </c>
      <c r="AI42" s="18">
        <f>SUM(AK42:AY42)</f>
        <v>176747</v>
      </c>
      <c r="AJ42" s="18">
        <v>176747</v>
      </c>
      <c r="AK42" s="18">
        <v>176747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f t="shared" si="13"/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f t="shared" si="14"/>
        <v>228242</v>
      </c>
      <c r="BK42" s="18">
        <v>228242</v>
      </c>
      <c r="BL42" s="18">
        <v>228242</v>
      </c>
      <c r="BM42" s="18">
        <v>0</v>
      </c>
      <c r="BN42" s="18">
        <v>0</v>
      </c>
      <c r="BO42" s="18">
        <v>0</v>
      </c>
      <c r="BP42" s="18">
        <v>0</v>
      </c>
      <c r="BQ42" s="60">
        <v>0</v>
      </c>
      <c r="BR42" s="18">
        <v>0</v>
      </c>
      <c r="BS42" s="18">
        <v>36820</v>
      </c>
      <c r="BT42" s="18">
        <v>0</v>
      </c>
      <c r="BU42" s="18">
        <v>488983</v>
      </c>
      <c r="BV42" s="18">
        <f t="shared" si="4"/>
        <v>488983</v>
      </c>
      <c r="BW42" s="28">
        <f t="shared" si="5"/>
        <v>0</v>
      </c>
      <c r="BX42" s="96">
        <f t="shared" si="6"/>
        <v>260741</v>
      </c>
    </row>
    <row r="43" spans="1:76" ht="20.399999999999999" customHeight="1" x14ac:dyDescent="0.35">
      <c r="A43" s="20" t="s">
        <v>382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32" t="s">
        <v>41</v>
      </c>
      <c r="I43" s="18">
        <f t="shared" si="7"/>
        <v>507384</v>
      </c>
      <c r="J43" s="18">
        <f>L43+SUM(V43:AD43)</f>
        <v>507384</v>
      </c>
      <c r="K43" s="18">
        <v>0</v>
      </c>
      <c r="L43" s="18">
        <f t="shared" si="8"/>
        <v>332148</v>
      </c>
      <c r="M43" s="18">
        <v>332148</v>
      </c>
      <c r="N43" s="18">
        <v>0</v>
      </c>
      <c r="O43" s="18">
        <v>0</v>
      </c>
      <c r="P43" s="18">
        <v>0</v>
      </c>
      <c r="Q43" s="18">
        <v>154606</v>
      </c>
      <c r="R43" s="18">
        <v>0</v>
      </c>
      <c r="S43" s="18">
        <v>16677</v>
      </c>
      <c r="T43" s="18">
        <v>0</v>
      </c>
      <c r="U43" s="18">
        <v>160865</v>
      </c>
      <c r="V43" s="18">
        <v>0</v>
      </c>
      <c r="W43" s="18">
        <v>4209</v>
      </c>
      <c r="X43" s="18">
        <v>131790</v>
      </c>
      <c r="Y43" s="18">
        <v>17861</v>
      </c>
      <c r="Z43" s="18">
        <v>11478</v>
      </c>
      <c r="AA43" s="18">
        <v>6792</v>
      </c>
      <c r="AB43" s="18">
        <v>1250</v>
      </c>
      <c r="AC43" s="18">
        <v>1856</v>
      </c>
      <c r="AD43" s="18">
        <v>0</v>
      </c>
      <c r="AE43" s="18">
        <f t="shared" si="9"/>
        <v>124038</v>
      </c>
      <c r="AF43" s="18">
        <v>124038</v>
      </c>
      <c r="AG43" s="18">
        <v>124038</v>
      </c>
      <c r="AH43" s="18">
        <v>0</v>
      </c>
      <c r="AI43" s="18">
        <f t="shared" si="10"/>
        <v>432741</v>
      </c>
      <c r="AJ43" s="18">
        <f>+SUM(AK43:AY43)</f>
        <v>432741</v>
      </c>
      <c r="AK43" s="18">
        <v>0</v>
      </c>
      <c r="AL43" s="18">
        <v>128958</v>
      </c>
      <c r="AM43" s="18">
        <v>0</v>
      </c>
      <c r="AN43" s="18">
        <v>133921</v>
      </c>
      <c r="AO43" s="18">
        <v>35692</v>
      </c>
      <c r="AP43" s="18">
        <v>2222</v>
      </c>
      <c r="AQ43" s="18">
        <v>12257</v>
      </c>
      <c r="AR43" s="18">
        <v>5111</v>
      </c>
      <c r="AS43" s="18">
        <v>0</v>
      </c>
      <c r="AT43" s="18">
        <v>91269</v>
      </c>
      <c r="AU43" s="18">
        <v>0</v>
      </c>
      <c r="AV43" s="18">
        <v>5061</v>
      </c>
      <c r="AW43" s="18">
        <v>0</v>
      </c>
      <c r="AX43" s="18">
        <v>0</v>
      </c>
      <c r="AY43" s="18">
        <v>18250</v>
      </c>
      <c r="AZ43" s="18">
        <f t="shared" si="13"/>
        <v>55792</v>
      </c>
      <c r="BA43" s="18">
        <v>55792</v>
      </c>
      <c r="BB43" s="18">
        <v>25741</v>
      </c>
      <c r="BC43" s="18">
        <v>5605</v>
      </c>
      <c r="BD43" s="18">
        <v>0</v>
      </c>
      <c r="BE43" s="18">
        <v>24386</v>
      </c>
      <c r="BF43" s="18">
        <v>0</v>
      </c>
      <c r="BG43" s="18">
        <v>60</v>
      </c>
      <c r="BH43" s="18">
        <v>0</v>
      </c>
      <c r="BI43" s="18">
        <v>0</v>
      </c>
      <c r="BJ43" s="18">
        <f t="shared" si="14"/>
        <v>522322</v>
      </c>
      <c r="BK43" s="18">
        <v>522322</v>
      </c>
      <c r="BL43" s="18">
        <v>354200</v>
      </c>
      <c r="BM43" s="18">
        <v>32187</v>
      </c>
      <c r="BN43" s="18">
        <v>17161</v>
      </c>
      <c r="BO43" s="18">
        <v>0</v>
      </c>
      <c r="BP43" s="18">
        <v>41811</v>
      </c>
      <c r="BQ43" s="60">
        <v>76963</v>
      </c>
      <c r="BR43" s="18">
        <v>149314</v>
      </c>
      <c r="BS43" s="18">
        <v>434722</v>
      </c>
      <c r="BT43" s="18">
        <v>5000</v>
      </c>
      <c r="BU43" s="18">
        <f>BV43</f>
        <v>2231313</v>
      </c>
      <c r="BV43" s="18">
        <f t="shared" si="4"/>
        <v>2231313</v>
      </c>
      <c r="BW43" s="28">
        <f t="shared" si="5"/>
        <v>0</v>
      </c>
      <c r="BX43" s="96">
        <f t="shared" si="6"/>
        <v>1648199</v>
      </c>
    </row>
    <row r="44" spans="1:76" ht="20.399999999999999" customHeight="1" x14ac:dyDescent="0.35">
      <c r="A44" s="20" t="s">
        <v>638</v>
      </c>
      <c r="B44" s="18">
        <v>13</v>
      </c>
      <c r="C44" s="18">
        <v>927073</v>
      </c>
      <c r="D44" s="18">
        <v>0</v>
      </c>
      <c r="E44" s="18">
        <v>1</v>
      </c>
      <c r="F44" s="18">
        <v>13119</v>
      </c>
      <c r="G44" s="18">
        <v>0</v>
      </c>
      <c r="H44" s="32" t="s">
        <v>57</v>
      </c>
      <c r="I44" s="18">
        <f t="shared" si="7"/>
        <v>195386</v>
      </c>
      <c r="J44" s="18">
        <f>L44+SUM(V44:AD44)</f>
        <v>195386</v>
      </c>
      <c r="K44" s="18">
        <v>0</v>
      </c>
      <c r="L44" s="18">
        <f t="shared" si="8"/>
        <v>155251</v>
      </c>
      <c r="M44" s="18">
        <v>155251</v>
      </c>
      <c r="N44" s="18">
        <v>0</v>
      </c>
      <c r="O44" s="18">
        <v>0</v>
      </c>
      <c r="P44" s="18">
        <v>0</v>
      </c>
      <c r="Q44" s="18">
        <v>0</v>
      </c>
      <c r="R44" s="18">
        <v>151721</v>
      </c>
      <c r="S44" s="18"/>
      <c r="T44" s="18">
        <v>0</v>
      </c>
      <c r="U44" s="18">
        <v>3530</v>
      </c>
      <c r="V44" s="18">
        <v>13</v>
      </c>
      <c r="W44" s="18">
        <v>5329</v>
      </c>
      <c r="X44" s="18">
        <v>210</v>
      </c>
      <c r="Y44" s="18">
        <v>13882</v>
      </c>
      <c r="Z44" s="18">
        <v>678</v>
      </c>
      <c r="AA44" s="18">
        <v>1478</v>
      </c>
      <c r="AB44" s="18">
        <v>17192</v>
      </c>
      <c r="AC44" s="18">
        <v>0</v>
      </c>
      <c r="AD44" s="18">
        <v>1353</v>
      </c>
      <c r="AE44" s="18">
        <f t="shared" si="9"/>
        <v>546211</v>
      </c>
      <c r="AF44" s="18">
        <f>AG44+AH44</f>
        <v>546211</v>
      </c>
      <c r="AG44" s="18">
        <v>537211</v>
      </c>
      <c r="AH44" s="18">
        <v>9000</v>
      </c>
      <c r="AI44" s="18">
        <f t="shared" si="10"/>
        <v>891478</v>
      </c>
      <c r="AJ44" s="18">
        <v>891478</v>
      </c>
      <c r="AK44" s="18">
        <v>359780</v>
      </c>
      <c r="AL44" s="18">
        <v>9493</v>
      </c>
      <c r="AM44" s="18">
        <v>0</v>
      </c>
      <c r="AN44" s="18">
        <v>7977</v>
      </c>
      <c r="AO44" s="18">
        <v>1285</v>
      </c>
      <c r="AP44" s="18">
        <v>106</v>
      </c>
      <c r="AQ44" s="18">
        <v>0</v>
      </c>
      <c r="AR44" s="18">
        <v>196</v>
      </c>
      <c r="AS44" s="18">
        <v>67</v>
      </c>
      <c r="AT44" s="18">
        <v>470435</v>
      </c>
      <c r="AU44" s="18">
        <v>850</v>
      </c>
      <c r="AV44" s="18">
        <v>2495</v>
      </c>
      <c r="AW44" s="18">
        <v>0</v>
      </c>
      <c r="AX44" s="18">
        <v>29546</v>
      </c>
      <c r="AY44" s="18">
        <v>9248</v>
      </c>
      <c r="AZ44" s="18">
        <f t="shared" si="13"/>
        <v>192627</v>
      </c>
      <c r="BA44" s="18">
        <v>192627</v>
      </c>
      <c r="BB44" s="18">
        <f>BA44-SUM(BD44:BI44)</f>
        <v>2611</v>
      </c>
      <c r="BC44" s="18">
        <v>0</v>
      </c>
      <c r="BD44" s="18">
        <v>2500</v>
      </c>
      <c r="BE44" s="18">
        <v>22750</v>
      </c>
      <c r="BF44" s="18">
        <v>97267</v>
      </c>
      <c r="BG44" s="18">
        <v>0</v>
      </c>
      <c r="BH44" s="18">
        <v>743</v>
      </c>
      <c r="BI44" s="18">
        <v>66756</v>
      </c>
      <c r="BJ44" s="18">
        <f t="shared" si="14"/>
        <v>82619</v>
      </c>
      <c r="BK44" s="18">
        <f>SUM(BL44:BQ44)</f>
        <v>82619</v>
      </c>
      <c r="BL44" s="18">
        <v>74579</v>
      </c>
      <c r="BM44" s="18">
        <v>0</v>
      </c>
      <c r="BN44" s="18">
        <v>0</v>
      </c>
      <c r="BO44" s="18">
        <v>0</v>
      </c>
      <c r="BP44" s="18">
        <v>6849</v>
      </c>
      <c r="BQ44" s="60">
        <v>1191</v>
      </c>
      <c r="BR44" s="18">
        <v>36073</v>
      </c>
      <c r="BS44" s="18">
        <v>27639</v>
      </c>
      <c r="BT44" s="18">
        <v>94930</v>
      </c>
      <c r="BU44" s="18">
        <f>BV44</f>
        <v>2066963</v>
      </c>
      <c r="BV44" s="18">
        <f t="shared" si="4"/>
        <v>2066963</v>
      </c>
      <c r="BW44" s="28">
        <f t="shared" si="5"/>
        <v>0</v>
      </c>
      <c r="BX44" s="96">
        <f t="shared" si="6"/>
        <v>1696787</v>
      </c>
    </row>
    <row r="45" spans="1:76" ht="20.399999999999999" customHeight="1" x14ac:dyDescent="0.35">
      <c r="A45" s="99" t="s">
        <v>106</v>
      </c>
      <c r="B45" s="18">
        <v>109</v>
      </c>
      <c r="C45" s="18">
        <v>3090505</v>
      </c>
      <c r="D45" s="18">
        <v>0</v>
      </c>
      <c r="E45" s="18">
        <v>8</v>
      </c>
      <c r="F45" s="18">
        <v>525272</v>
      </c>
      <c r="G45" s="18">
        <v>0</v>
      </c>
      <c r="H45" s="32" t="s">
        <v>57</v>
      </c>
      <c r="I45" s="18">
        <f t="shared" si="7"/>
        <v>939125</v>
      </c>
      <c r="J45" s="28">
        <v>939125</v>
      </c>
      <c r="K45" s="18">
        <v>4318</v>
      </c>
      <c r="L45" s="18">
        <f t="shared" si="8"/>
        <v>584108</v>
      </c>
      <c r="M45" s="18">
        <f>L45</f>
        <v>584108</v>
      </c>
      <c r="N45" s="18">
        <v>0</v>
      </c>
      <c r="O45" s="18">
        <v>0</v>
      </c>
      <c r="P45" s="18">
        <v>0</v>
      </c>
      <c r="Q45" s="18">
        <v>581039</v>
      </c>
      <c r="R45" s="18">
        <v>0</v>
      </c>
      <c r="S45" s="18">
        <v>0</v>
      </c>
      <c r="T45" s="18">
        <v>0</v>
      </c>
      <c r="U45" s="18">
        <v>3069</v>
      </c>
      <c r="V45" s="18">
        <v>0</v>
      </c>
      <c r="W45" s="18">
        <v>6838</v>
      </c>
      <c r="X45" s="18">
        <v>12823</v>
      </c>
      <c r="Y45" s="18">
        <v>15913</v>
      </c>
      <c r="Z45" s="18">
        <v>9598</v>
      </c>
      <c r="AA45" s="18">
        <v>2303</v>
      </c>
      <c r="AB45" s="18">
        <v>3660</v>
      </c>
      <c r="AC45" s="18">
        <v>124228</v>
      </c>
      <c r="AD45" s="18">
        <v>175336</v>
      </c>
      <c r="AE45" s="18">
        <f t="shared" si="9"/>
        <v>268481</v>
      </c>
      <c r="AF45" s="18">
        <v>268481</v>
      </c>
      <c r="AG45" s="18">
        <v>255773</v>
      </c>
      <c r="AH45" s="18">
        <v>12708</v>
      </c>
      <c r="AI45" s="18">
        <f t="shared" si="10"/>
        <v>1213261</v>
      </c>
      <c r="AJ45" s="18">
        <f>AK45+AN45+AO45+AP45+AQ45+AR45+AT45+AV45+AW45+AX45</f>
        <v>1213261</v>
      </c>
      <c r="AK45" s="18">
        <v>444305</v>
      </c>
      <c r="AL45" s="18"/>
      <c r="AM45" s="28"/>
      <c r="AN45" s="18">
        <v>7084</v>
      </c>
      <c r="AO45" s="18">
        <v>28287</v>
      </c>
      <c r="AP45" s="18">
        <v>2910</v>
      </c>
      <c r="AQ45" s="18">
        <v>8363</v>
      </c>
      <c r="AR45" s="18">
        <v>9329</v>
      </c>
      <c r="AS45" s="18">
        <v>0</v>
      </c>
      <c r="AT45" s="18">
        <v>379220</v>
      </c>
      <c r="AU45" s="18">
        <v>0</v>
      </c>
      <c r="AV45" s="18">
        <v>9470</v>
      </c>
      <c r="AW45" s="18">
        <v>4275</v>
      </c>
      <c r="AX45" s="18">
        <v>320018</v>
      </c>
      <c r="AY45" s="18">
        <v>0</v>
      </c>
      <c r="AZ45" s="18">
        <f t="shared" si="13"/>
        <v>283090</v>
      </c>
      <c r="BA45" s="18">
        <f>BE45+BF45+BG45+BH45+BI45</f>
        <v>283090</v>
      </c>
      <c r="BB45" s="18">
        <v>0</v>
      </c>
      <c r="BC45" s="18">
        <v>0</v>
      </c>
      <c r="BD45" s="18">
        <v>0</v>
      </c>
      <c r="BE45" s="18">
        <v>25000</v>
      </c>
      <c r="BF45" s="18">
        <v>230598</v>
      </c>
      <c r="BG45" s="18">
        <v>4317</v>
      </c>
      <c r="BH45" s="18">
        <v>2973</v>
      </c>
      <c r="BI45" s="18">
        <v>20202</v>
      </c>
      <c r="BJ45" s="18">
        <f t="shared" si="14"/>
        <v>395584</v>
      </c>
      <c r="BK45" s="18">
        <v>395584</v>
      </c>
      <c r="BL45" s="18">
        <v>372343</v>
      </c>
      <c r="BM45" s="98">
        <v>0</v>
      </c>
      <c r="BN45" s="18">
        <v>16919</v>
      </c>
      <c r="BO45" s="18">
        <v>0</v>
      </c>
      <c r="BP45" s="18">
        <v>4131</v>
      </c>
      <c r="BQ45" s="60">
        <v>2191</v>
      </c>
      <c r="BR45" s="18">
        <v>78832</v>
      </c>
      <c r="BS45" s="18">
        <v>43755</v>
      </c>
      <c r="BT45" s="18">
        <v>0</v>
      </c>
      <c r="BU45" s="18">
        <f>BV45</f>
        <v>3222128</v>
      </c>
      <c r="BV45" s="18">
        <f t="shared" si="4"/>
        <v>3222128</v>
      </c>
      <c r="BW45" s="28">
        <f t="shared" si="5"/>
        <v>0</v>
      </c>
      <c r="BX45" s="96">
        <f t="shared" si="6"/>
        <v>2543454</v>
      </c>
    </row>
    <row r="46" spans="1:76" ht="20.399999999999999" customHeight="1" x14ac:dyDescent="0.35">
      <c r="A46" s="99" t="s">
        <v>643</v>
      </c>
      <c r="B46" s="18">
        <v>6</v>
      </c>
      <c r="C46" s="18">
        <v>329000000</v>
      </c>
      <c r="D46" s="18">
        <v>0</v>
      </c>
      <c r="E46" s="18">
        <v>0</v>
      </c>
      <c r="F46" s="18">
        <v>0</v>
      </c>
      <c r="G46" s="18">
        <v>0</v>
      </c>
      <c r="H46" s="32" t="s">
        <v>57</v>
      </c>
      <c r="I46" s="18">
        <f t="shared" si="7"/>
        <v>95651.866999999998</v>
      </c>
      <c r="J46" s="18">
        <f>K46+M46+V46+W46+Z46+AA46+AB46+AC46</f>
        <v>95651.866999999998</v>
      </c>
      <c r="K46" s="18">
        <v>26315</v>
      </c>
      <c r="L46" s="18">
        <f t="shared" si="8"/>
        <v>29846.214999999997</v>
      </c>
      <c r="M46" s="18">
        <v>29846.215</v>
      </c>
      <c r="N46" s="18">
        <v>950</v>
      </c>
      <c r="O46" s="18">
        <v>0</v>
      </c>
      <c r="P46" s="18">
        <v>9815.24</v>
      </c>
      <c r="Q46" s="18">
        <v>15560</v>
      </c>
      <c r="R46" s="18">
        <v>0</v>
      </c>
      <c r="S46" s="18">
        <v>3520.9749999999999</v>
      </c>
      <c r="T46" s="18">
        <v>0</v>
      </c>
      <c r="U46" s="18">
        <v>0</v>
      </c>
      <c r="V46" s="18">
        <v>200</v>
      </c>
      <c r="W46" s="18">
        <v>3540</v>
      </c>
      <c r="X46" s="18">
        <v>0</v>
      </c>
      <c r="Y46" s="18">
        <v>0</v>
      </c>
      <c r="Z46" s="18">
        <v>2850</v>
      </c>
      <c r="AA46" s="18">
        <v>1225</v>
      </c>
      <c r="AB46" s="18">
        <v>7380</v>
      </c>
      <c r="AC46" s="18">
        <v>24295.651999999998</v>
      </c>
      <c r="AD46" s="18">
        <v>0</v>
      </c>
      <c r="AE46" s="18">
        <f t="shared" si="9"/>
        <v>2050</v>
      </c>
      <c r="AF46" s="18">
        <f>AG46+AH46</f>
        <v>2050</v>
      </c>
      <c r="AG46" s="18">
        <v>1900</v>
      </c>
      <c r="AH46" s="18">
        <v>150</v>
      </c>
      <c r="AI46" s="18">
        <f t="shared" si="10"/>
        <v>12188.72</v>
      </c>
      <c r="AJ46" s="18">
        <v>12188.72</v>
      </c>
      <c r="AK46" s="18">
        <v>8800</v>
      </c>
      <c r="AL46" s="18">
        <v>2050</v>
      </c>
      <c r="AM46" s="18">
        <v>0</v>
      </c>
      <c r="AN46" s="18">
        <v>883.72</v>
      </c>
      <c r="AO46" s="18">
        <v>0</v>
      </c>
      <c r="AP46" s="18">
        <v>455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f t="shared" si="13"/>
        <v>47000</v>
      </c>
      <c r="BA46" s="18">
        <v>47000</v>
      </c>
      <c r="BB46" s="18">
        <v>22000</v>
      </c>
      <c r="BC46" s="18">
        <v>0</v>
      </c>
      <c r="BD46" s="18">
        <v>25000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f t="shared" si="14"/>
        <v>18650</v>
      </c>
      <c r="BK46" s="18">
        <f>BL46+BQ46</f>
        <v>18650</v>
      </c>
      <c r="BL46" s="18">
        <v>18250</v>
      </c>
      <c r="BM46" s="18"/>
      <c r="BN46" s="18">
        <v>0</v>
      </c>
      <c r="BO46" s="18">
        <v>0</v>
      </c>
      <c r="BP46" s="18">
        <v>0</v>
      </c>
      <c r="BQ46" s="60">
        <v>400</v>
      </c>
      <c r="BR46" s="18">
        <v>0</v>
      </c>
      <c r="BS46" s="18">
        <v>1500</v>
      </c>
      <c r="BT46" s="18">
        <v>0</v>
      </c>
      <c r="BU46" s="18">
        <v>177040.587</v>
      </c>
      <c r="BV46" s="18">
        <f t="shared" si="4"/>
        <v>177040.587</v>
      </c>
      <c r="BW46" s="28">
        <f t="shared" si="5"/>
        <v>0</v>
      </c>
      <c r="BX46" s="96">
        <f t="shared" si="6"/>
        <v>111390.587</v>
      </c>
    </row>
    <row r="47" spans="1:76" ht="20.399999999999999" customHeight="1" x14ac:dyDescent="0.35">
      <c r="A47" s="99" t="s">
        <v>388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32" t="s">
        <v>255</v>
      </c>
      <c r="I47" s="18">
        <f t="shared" si="7"/>
        <v>44200.029000000002</v>
      </c>
      <c r="J47" s="18">
        <v>44200.029000000002</v>
      </c>
      <c r="K47" s="18">
        <v>0</v>
      </c>
      <c r="L47" s="18">
        <f>SUM(N47:U47)</f>
        <v>597</v>
      </c>
      <c r="M47" s="18">
        <v>597</v>
      </c>
      <c r="N47" s="18">
        <v>0</v>
      </c>
      <c r="O47" s="18">
        <v>0</v>
      </c>
      <c r="P47" s="18">
        <v>0</v>
      </c>
      <c r="Q47" s="18">
        <v>400</v>
      </c>
      <c r="R47" s="18">
        <v>0</v>
      </c>
      <c r="S47" s="18">
        <v>0</v>
      </c>
      <c r="T47" s="18">
        <v>0</v>
      </c>
      <c r="U47" s="18">
        <v>197</v>
      </c>
      <c r="V47" s="18">
        <v>569</v>
      </c>
      <c r="W47" s="18">
        <v>0</v>
      </c>
      <c r="X47" s="18">
        <v>0</v>
      </c>
      <c r="Y47" s="18">
        <v>0</v>
      </c>
      <c r="Z47" s="18">
        <v>0</v>
      </c>
      <c r="AA47" s="18">
        <v>709.89800000000002</v>
      </c>
      <c r="AB47" s="18">
        <v>42324.131000000001</v>
      </c>
      <c r="AC47" s="18">
        <v>0</v>
      </c>
      <c r="AD47" s="18">
        <v>0</v>
      </c>
      <c r="AE47" s="18">
        <f t="shared" si="9"/>
        <v>122</v>
      </c>
      <c r="AF47" s="18">
        <f>AG47+AH47</f>
        <v>122</v>
      </c>
      <c r="AG47" s="18">
        <v>122</v>
      </c>
      <c r="AH47" s="18"/>
      <c r="AI47" s="18">
        <f t="shared" si="10"/>
        <v>27304.983</v>
      </c>
      <c r="AJ47" s="18">
        <v>27304.983</v>
      </c>
      <c r="AK47" s="18">
        <v>0</v>
      </c>
      <c r="AL47" s="18">
        <v>1200</v>
      </c>
      <c r="AM47" s="18">
        <v>0</v>
      </c>
      <c r="AN47" s="18">
        <v>2184.9609999999998</v>
      </c>
      <c r="AO47" s="18">
        <v>268.084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54.52</v>
      </c>
      <c r="AW47" s="18">
        <v>0</v>
      </c>
      <c r="AX47" s="18">
        <v>10904.028</v>
      </c>
      <c r="AY47" s="18">
        <v>12693.39</v>
      </c>
      <c r="AZ47" s="18">
        <f t="shared" si="13"/>
        <v>10818.9</v>
      </c>
      <c r="BA47" s="18">
        <v>10818.9</v>
      </c>
      <c r="BB47" s="18">
        <v>0</v>
      </c>
      <c r="BC47" s="18">
        <v>0</v>
      </c>
      <c r="BD47" s="18">
        <v>0</v>
      </c>
      <c r="BE47" s="18">
        <v>10818.9</v>
      </c>
      <c r="BF47" s="28"/>
      <c r="BG47" s="18">
        <v>0</v>
      </c>
      <c r="BH47" s="18">
        <v>0</v>
      </c>
      <c r="BI47" s="18">
        <v>0</v>
      </c>
      <c r="BJ47" s="18">
        <f t="shared" si="14"/>
        <v>97224.995999999999</v>
      </c>
      <c r="BK47" s="18">
        <v>97224.995999999999</v>
      </c>
      <c r="BL47" s="18">
        <v>97224.995999999999</v>
      </c>
      <c r="BM47" s="18">
        <v>0</v>
      </c>
      <c r="BN47" s="18">
        <v>0</v>
      </c>
      <c r="BO47" s="18">
        <v>0</v>
      </c>
      <c r="BP47" s="18">
        <v>0</v>
      </c>
      <c r="BQ47" s="60">
        <v>0</v>
      </c>
      <c r="BR47" s="18">
        <v>332.99299999999999</v>
      </c>
      <c r="BS47" s="18">
        <v>0</v>
      </c>
      <c r="BT47" s="18">
        <v>0</v>
      </c>
      <c r="BU47" s="18">
        <f>BV47</f>
        <v>180003.90099999998</v>
      </c>
      <c r="BV47" s="18">
        <f t="shared" si="4"/>
        <v>180003.90099999998</v>
      </c>
      <c r="BW47" s="28">
        <f t="shared" si="5"/>
        <v>0</v>
      </c>
      <c r="BX47" s="96">
        <f t="shared" si="6"/>
        <v>71960.005000000005</v>
      </c>
    </row>
    <row r="48" spans="1:76" ht="20.399999999999999" customHeight="1" x14ac:dyDescent="0.35">
      <c r="A48" s="99" t="s">
        <v>975</v>
      </c>
      <c r="B48" s="18">
        <v>75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32" t="s">
        <v>46</v>
      </c>
      <c r="I48" s="18">
        <f t="shared" si="7"/>
        <v>780773</v>
      </c>
      <c r="J48" s="18">
        <f>K48+L48+V48+W48+X48+Z48+AA48+AB48+AD48</f>
        <v>780773</v>
      </c>
      <c r="K48" s="18">
        <v>317692</v>
      </c>
      <c r="L48" s="18">
        <f>SUM(N48:U48)</f>
        <v>271590</v>
      </c>
      <c r="M48" s="18">
        <v>271590</v>
      </c>
      <c r="N48" s="18">
        <v>0</v>
      </c>
      <c r="O48" s="18">
        <v>0</v>
      </c>
      <c r="P48" s="18">
        <v>0</v>
      </c>
      <c r="Q48" s="18">
        <v>0</v>
      </c>
      <c r="R48" s="18">
        <v>269910</v>
      </c>
      <c r="S48" s="18">
        <v>1680</v>
      </c>
      <c r="T48" s="18">
        <v>0</v>
      </c>
      <c r="U48" s="18">
        <v>0</v>
      </c>
      <c r="V48" s="18">
        <v>707</v>
      </c>
      <c r="W48" s="18">
        <v>4229</v>
      </c>
      <c r="X48" s="18">
        <v>150803</v>
      </c>
      <c r="Y48" s="18">
        <v>0</v>
      </c>
      <c r="Z48" s="18">
        <v>5250</v>
      </c>
      <c r="AA48" s="18">
        <v>20874</v>
      </c>
      <c r="AB48" s="18">
        <v>5667</v>
      </c>
      <c r="AC48" s="18">
        <v>0</v>
      </c>
      <c r="AD48" s="18">
        <v>3961</v>
      </c>
      <c r="AE48" s="18">
        <f t="shared" si="9"/>
        <v>5961</v>
      </c>
      <c r="AF48" s="18">
        <f>AG48</f>
        <v>5961</v>
      </c>
      <c r="AG48" s="18">
        <v>5961</v>
      </c>
      <c r="AH48" s="18"/>
      <c r="AI48" s="18">
        <f t="shared" si="10"/>
        <v>92390</v>
      </c>
      <c r="AJ48" s="18">
        <v>92390</v>
      </c>
      <c r="AK48" s="18">
        <v>0</v>
      </c>
      <c r="AL48" s="18">
        <v>6947</v>
      </c>
      <c r="AM48" s="18">
        <v>0</v>
      </c>
      <c r="AN48" s="18">
        <v>46595</v>
      </c>
      <c r="AO48" s="18">
        <v>1098</v>
      </c>
      <c r="AP48" s="18">
        <v>0</v>
      </c>
      <c r="AQ48" s="18"/>
      <c r="AR48" s="18">
        <v>184</v>
      </c>
      <c r="AS48" s="18">
        <v>0</v>
      </c>
      <c r="AT48" s="18">
        <v>6963</v>
      </c>
      <c r="AU48" s="18">
        <v>106</v>
      </c>
      <c r="AV48" s="18">
        <v>1070</v>
      </c>
      <c r="AW48" s="18">
        <v>0</v>
      </c>
      <c r="AX48" s="18">
        <v>16434</v>
      </c>
      <c r="AY48" s="18">
        <v>12993</v>
      </c>
      <c r="AZ48" s="18">
        <f t="shared" si="13"/>
        <v>22802</v>
      </c>
      <c r="BA48" s="18">
        <v>22802</v>
      </c>
      <c r="BB48" s="18">
        <v>2129</v>
      </c>
      <c r="BC48" s="18">
        <v>213</v>
      </c>
      <c r="BD48" s="18"/>
      <c r="BE48" s="18">
        <v>0</v>
      </c>
      <c r="BF48" s="18">
        <v>19630</v>
      </c>
      <c r="BG48" s="18">
        <v>230</v>
      </c>
      <c r="BH48" s="18">
        <v>0</v>
      </c>
      <c r="BI48" s="18">
        <v>600</v>
      </c>
      <c r="BJ48" s="18">
        <f t="shared" si="14"/>
        <v>175936</v>
      </c>
      <c r="BK48" s="18">
        <v>175936</v>
      </c>
      <c r="BL48" s="18">
        <v>157510</v>
      </c>
      <c r="BM48" s="18">
        <v>0</v>
      </c>
      <c r="BN48" s="18">
        <v>0</v>
      </c>
      <c r="BO48" s="18">
        <v>0</v>
      </c>
      <c r="BP48" s="18">
        <v>17101</v>
      </c>
      <c r="BQ48" s="60">
        <v>1325</v>
      </c>
      <c r="BR48" s="18">
        <v>0</v>
      </c>
      <c r="BS48" s="18">
        <v>0</v>
      </c>
      <c r="BT48" s="18">
        <v>0</v>
      </c>
      <c r="BU48" s="18">
        <f>BV48</f>
        <v>1077862</v>
      </c>
      <c r="BV48" s="18">
        <f t="shared" si="4"/>
        <v>1077862</v>
      </c>
      <c r="BW48" s="28">
        <f t="shared" si="5"/>
        <v>0</v>
      </c>
      <c r="BX48" s="96">
        <f t="shared" si="6"/>
        <v>879124</v>
      </c>
    </row>
    <row r="49" spans="1:76" ht="20.399999999999999" customHeight="1" x14ac:dyDescent="0.35">
      <c r="A49" s="20" t="s">
        <v>248</v>
      </c>
      <c r="B49" s="18">
        <v>2</v>
      </c>
      <c r="C49" s="18">
        <v>0</v>
      </c>
      <c r="D49" s="18">
        <v>0</v>
      </c>
      <c r="E49" s="18">
        <v>1</v>
      </c>
      <c r="F49" s="18">
        <v>0</v>
      </c>
      <c r="G49" s="18">
        <v>0</v>
      </c>
      <c r="H49" s="32" t="s">
        <v>46</v>
      </c>
      <c r="I49" s="18">
        <f t="shared" si="7"/>
        <v>0</v>
      </c>
      <c r="J49" s="18">
        <f>M49+V49+AA49+AC49</f>
        <v>0</v>
      </c>
      <c r="K49" s="18"/>
      <c r="L49" s="18">
        <f t="shared" si="8"/>
        <v>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>
        <f t="shared" si="9"/>
        <v>0</v>
      </c>
      <c r="AF49" s="18"/>
      <c r="AG49" s="18">
        <v>0</v>
      </c>
      <c r="AH49" s="18">
        <v>0</v>
      </c>
      <c r="AI49" s="18">
        <f t="shared" si="10"/>
        <v>0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>
        <f t="shared" si="13"/>
        <v>0</v>
      </c>
      <c r="BA49" s="18">
        <v>0</v>
      </c>
      <c r="BB49" s="18"/>
      <c r="BC49" s="18"/>
      <c r="BD49" s="18"/>
      <c r="BE49" s="18"/>
      <c r="BF49" s="18"/>
      <c r="BG49" s="18"/>
      <c r="BH49" s="18"/>
      <c r="BI49" s="18"/>
      <c r="BJ49" s="18">
        <f t="shared" si="14"/>
        <v>0</v>
      </c>
      <c r="BK49" s="18">
        <v>0</v>
      </c>
      <c r="BL49" s="18"/>
      <c r="BM49" s="18"/>
      <c r="BN49" s="18"/>
      <c r="BO49" s="18"/>
      <c r="BP49" s="18"/>
      <c r="BQ49" s="60"/>
      <c r="BR49" s="18"/>
      <c r="BS49" s="18"/>
      <c r="BT49" s="18"/>
      <c r="BU49" s="18"/>
      <c r="BV49" s="18">
        <f t="shared" si="4"/>
        <v>0</v>
      </c>
      <c r="BW49" s="28">
        <f t="shared" si="5"/>
        <v>0</v>
      </c>
      <c r="BX49" s="96">
        <f t="shared" si="6"/>
        <v>0</v>
      </c>
    </row>
    <row r="50" spans="1:76" ht="20.399999999999999" customHeight="1" x14ac:dyDescent="0.35">
      <c r="A50" s="99" t="s">
        <v>569</v>
      </c>
      <c r="B50" s="18">
        <v>106</v>
      </c>
      <c r="C50" s="18">
        <v>0</v>
      </c>
      <c r="D50" s="18">
        <v>0</v>
      </c>
      <c r="E50" s="18">
        <v>33</v>
      </c>
      <c r="F50" s="18">
        <v>0</v>
      </c>
      <c r="G50" s="18">
        <v>0</v>
      </c>
      <c r="H50" s="32" t="s">
        <v>41</v>
      </c>
      <c r="I50" s="18">
        <f t="shared" si="7"/>
        <v>11892293.767000001</v>
      </c>
      <c r="J50" s="18">
        <v>11892293.767000001</v>
      </c>
      <c r="K50" s="18">
        <v>1530145</v>
      </c>
      <c r="L50" s="18">
        <f t="shared" si="8"/>
        <v>1530145</v>
      </c>
      <c r="M50" s="18">
        <f>O50+S50+U50</f>
        <v>1530145</v>
      </c>
      <c r="N50" s="18">
        <v>0</v>
      </c>
      <c r="O50" s="18">
        <v>9197</v>
      </c>
      <c r="P50" s="18">
        <v>0</v>
      </c>
      <c r="Q50" s="18">
        <v>0</v>
      </c>
      <c r="R50" s="18">
        <v>0</v>
      </c>
      <c r="S50" s="18">
        <v>118148</v>
      </c>
      <c r="T50" s="18">
        <v>0</v>
      </c>
      <c r="U50" s="18">
        <v>1402800</v>
      </c>
      <c r="V50" s="18">
        <v>1402800</v>
      </c>
      <c r="W50" s="18">
        <v>1562</v>
      </c>
      <c r="X50" s="18">
        <v>268269</v>
      </c>
      <c r="Y50" s="18">
        <v>5903271.767</v>
      </c>
      <c r="Z50" s="18">
        <v>41987</v>
      </c>
      <c r="AA50" s="18">
        <v>220500</v>
      </c>
      <c r="AB50" s="18">
        <v>639645</v>
      </c>
      <c r="AC50" s="18">
        <v>176283</v>
      </c>
      <c r="AD50" s="18">
        <v>177686</v>
      </c>
      <c r="AE50" s="18">
        <f>AG50+AH50</f>
        <v>11522787.021</v>
      </c>
      <c r="AF50" s="18">
        <v>11522787.021</v>
      </c>
      <c r="AG50" s="18">
        <v>11465244.021</v>
      </c>
      <c r="AH50" s="18">
        <v>57543</v>
      </c>
      <c r="AI50" s="18">
        <f>SUM(AK50:AY50)</f>
        <v>5432784.1749999998</v>
      </c>
      <c r="AJ50" s="18">
        <v>5432784.1749999998</v>
      </c>
      <c r="AK50" s="18">
        <v>1446772</v>
      </c>
      <c r="AL50" s="18">
        <v>775349</v>
      </c>
      <c r="AM50" s="18">
        <v>0</v>
      </c>
      <c r="AN50" s="18">
        <v>1355836</v>
      </c>
      <c r="AO50" s="18">
        <v>231474</v>
      </c>
      <c r="AP50" s="18">
        <v>22777</v>
      </c>
      <c r="AQ50" s="18">
        <v>75789</v>
      </c>
      <c r="AR50" s="18">
        <v>19692</v>
      </c>
      <c r="AS50" s="18">
        <v>633074</v>
      </c>
      <c r="AT50" s="18">
        <v>419769</v>
      </c>
      <c r="AU50" s="18">
        <v>1500</v>
      </c>
      <c r="AV50" s="18">
        <v>89281</v>
      </c>
      <c r="AW50" s="18">
        <v>1446.7719999999999</v>
      </c>
      <c r="AX50" s="18">
        <v>157355.23800000001</v>
      </c>
      <c r="AY50" s="18">
        <v>202669.16500000001</v>
      </c>
      <c r="AZ50" s="18">
        <f>SUM(BB50:BI50)</f>
        <v>1620995</v>
      </c>
      <c r="BA50" s="18">
        <f>BB50+BC50+BE50+BF50+BG50+BH50+BI50</f>
        <v>1620995</v>
      </c>
      <c r="BB50" s="18">
        <v>96489</v>
      </c>
      <c r="BC50" s="18">
        <v>64402</v>
      </c>
      <c r="BD50" s="18">
        <v>0</v>
      </c>
      <c r="BE50" s="18">
        <v>176283</v>
      </c>
      <c r="BF50" s="18">
        <v>177686</v>
      </c>
      <c r="BG50" s="18">
        <v>3994</v>
      </c>
      <c r="BH50" s="18">
        <v>50042</v>
      </c>
      <c r="BI50" s="18">
        <f>1620995-568896</f>
        <v>1052099</v>
      </c>
      <c r="BJ50" s="18">
        <f>SUM(BL50:BQ50)</f>
        <v>2333168.5970000001</v>
      </c>
      <c r="BK50" s="18">
        <v>2333168.5970000001</v>
      </c>
      <c r="BL50" s="18">
        <v>1300805.892</v>
      </c>
      <c r="BM50" s="18">
        <v>444702.72499999998</v>
      </c>
      <c r="BN50" s="18">
        <v>46932</v>
      </c>
      <c r="BO50" s="18">
        <v>393497</v>
      </c>
      <c r="BP50" s="18">
        <v>118903</v>
      </c>
      <c r="BQ50" s="60">
        <v>28327.98</v>
      </c>
      <c r="BR50" s="18">
        <v>1839931</v>
      </c>
      <c r="BS50" s="18">
        <v>6339552.1679999996</v>
      </c>
      <c r="BT50" s="18">
        <v>0</v>
      </c>
      <c r="BU50" s="18">
        <f>BV50</f>
        <v>40981511.728</v>
      </c>
      <c r="BV50" s="18">
        <f>I50+AE50+AI50+AZ50+BJ50+BR50+BS50+BT50</f>
        <v>40981511.728</v>
      </c>
      <c r="BW50" s="28">
        <f t="shared" si="5"/>
        <v>0</v>
      </c>
      <c r="BX50" s="96">
        <f t="shared" si="6"/>
        <v>37027348.131000005</v>
      </c>
    </row>
    <row r="51" spans="1:76" ht="20.399999999999999" customHeight="1" x14ac:dyDescent="0.35">
      <c r="A51" s="99" t="s">
        <v>391</v>
      </c>
      <c r="B51" s="18">
        <v>43</v>
      </c>
      <c r="C51" s="18">
        <v>135985</v>
      </c>
      <c r="D51" s="18">
        <v>97</v>
      </c>
      <c r="E51" s="18">
        <v>3</v>
      </c>
      <c r="F51" s="18">
        <v>31778</v>
      </c>
      <c r="G51" s="18">
        <v>3</v>
      </c>
      <c r="H51" s="32" t="s">
        <v>255</v>
      </c>
      <c r="I51" s="18">
        <f t="shared" si="7"/>
        <v>82857</v>
      </c>
      <c r="J51" s="18">
        <f>I51</f>
        <v>82857</v>
      </c>
      <c r="K51" s="18">
        <v>9455</v>
      </c>
      <c r="L51" s="18">
        <f t="shared" si="8"/>
        <v>34215</v>
      </c>
      <c r="M51" s="18">
        <v>34215</v>
      </c>
      <c r="N51" s="18">
        <v>0</v>
      </c>
      <c r="O51" s="18">
        <v>0</v>
      </c>
      <c r="P51" s="18">
        <v>0</v>
      </c>
      <c r="Q51" s="18">
        <v>34215</v>
      </c>
      <c r="R51" s="18">
        <v>0</v>
      </c>
      <c r="S51" s="18">
        <v>0</v>
      </c>
      <c r="T51" s="18">
        <v>0</v>
      </c>
      <c r="U51" s="18">
        <v>0</v>
      </c>
      <c r="V51" s="18">
        <v>1667</v>
      </c>
      <c r="W51" s="18">
        <v>1026</v>
      </c>
      <c r="X51" s="18">
        <v>1440</v>
      </c>
      <c r="Y51" s="18">
        <v>0</v>
      </c>
      <c r="Z51" s="18">
        <v>0</v>
      </c>
      <c r="AA51" s="18">
        <v>3039</v>
      </c>
      <c r="AB51" s="18">
        <v>31500</v>
      </c>
      <c r="AC51" s="18">
        <v>515</v>
      </c>
      <c r="AD51" s="18">
        <v>0</v>
      </c>
      <c r="AE51" s="18">
        <f t="shared" si="9"/>
        <v>2683</v>
      </c>
      <c r="AF51" s="18">
        <f>AG51+AH51</f>
        <v>2683</v>
      </c>
      <c r="AG51" s="18">
        <v>2656</v>
      </c>
      <c r="AH51" s="18">
        <v>27</v>
      </c>
      <c r="AI51" s="18">
        <f t="shared" si="10"/>
        <v>98500</v>
      </c>
      <c r="AJ51" s="18">
        <v>98500</v>
      </c>
      <c r="AK51" s="18">
        <v>32500</v>
      </c>
      <c r="AL51" s="18">
        <v>15640</v>
      </c>
      <c r="AM51" s="18">
        <v>0</v>
      </c>
      <c r="AN51" s="18">
        <v>6039</v>
      </c>
      <c r="AO51" s="18">
        <v>293</v>
      </c>
      <c r="AP51" s="18">
        <v>2999</v>
      </c>
      <c r="AQ51" s="18">
        <v>0</v>
      </c>
      <c r="AR51" s="18">
        <v>1126</v>
      </c>
      <c r="AS51" s="18">
        <v>0</v>
      </c>
      <c r="AT51" s="18">
        <v>32463</v>
      </c>
      <c r="AU51" s="18">
        <v>3000</v>
      </c>
      <c r="AV51" s="18">
        <v>1811</v>
      </c>
      <c r="AW51" s="18">
        <v>0</v>
      </c>
      <c r="AX51" s="18">
        <v>0</v>
      </c>
      <c r="AY51" s="18">
        <v>2629</v>
      </c>
      <c r="AZ51" s="18">
        <f t="shared" si="13"/>
        <v>9406</v>
      </c>
      <c r="BA51" s="18">
        <v>9406</v>
      </c>
      <c r="BB51" s="18">
        <v>5509</v>
      </c>
      <c r="BC51" s="18">
        <v>700</v>
      </c>
      <c r="BD51" s="18">
        <v>2500</v>
      </c>
      <c r="BE51" s="18">
        <v>0</v>
      </c>
      <c r="BF51" s="18">
        <v>554</v>
      </c>
      <c r="BG51" s="18">
        <v>143</v>
      </c>
      <c r="BH51" s="18">
        <v>0</v>
      </c>
      <c r="BI51" s="18">
        <v>0</v>
      </c>
      <c r="BJ51" s="18">
        <f t="shared" si="14"/>
        <v>125302</v>
      </c>
      <c r="BK51" s="18">
        <v>125302</v>
      </c>
      <c r="BL51" s="18">
        <v>63982</v>
      </c>
      <c r="BM51" s="18">
        <v>49308</v>
      </c>
      <c r="BN51" s="18">
        <v>1498</v>
      </c>
      <c r="BO51" s="18">
        <v>4161</v>
      </c>
      <c r="BP51" s="18">
        <v>5809</v>
      </c>
      <c r="BQ51" s="60">
        <v>544</v>
      </c>
      <c r="BR51" s="18">
        <v>821</v>
      </c>
      <c r="BS51" s="18">
        <v>0</v>
      </c>
      <c r="BT51" s="18">
        <v>0</v>
      </c>
      <c r="BU51" s="18">
        <v>319569</v>
      </c>
      <c r="BV51" s="18">
        <f t="shared" si="4"/>
        <v>319569</v>
      </c>
      <c r="BW51" s="28">
        <f t="shared" si="5"/>
        <v>0</v>
      </c>
      <c r="BX51" s="96">
        <f t="shared" si="6"/>
        <v>184861</v>
      </c>
    </row>
    <row r="52" spans="1:76" ht="20.399999999999999" customHeight="1" x14ac:dyDescent="0.35">
      <c r="A52" s="99" t="s">
        <v>572</v>
      </c>
      <c r="B52" s="18"/>
      <c r="C52" s="18"/>
      <c r="D52" s="18"/>
      <c r="E52" s="18"/>
      <c r="F52" s="18"/>
      <c r="G52" s="18"/>
      <c r="H52" s="32" t="s">
        <v>41</v>
      </c>
      <c r="I52" s="18">
        <f t="shared" si="7"/>
        <v>602490.84100000013</v>
      </c>
      <c r="J52" s="18">
        <f>I52</f>
        <v>602490.84100000013</v>
      </c>
      <c r="K52" s="18">
        <v>71607.974000000002</v>
      </c>
      <c r="L52" s="18">
        <f t="shared" si="8"/>
        <v>0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>
        <v>6780.6</v>
      </c>
      <c r="X52" s="18">
        <v>159964.97200000001</v>
      </c>
      <c r="Y52" s="18">
        <v>171902.255</v>
      </c>
      <c r="Z52" s="18">
        <v>22341.004000000001</v>
      </c>
      <c r="AA52" s="18"/>
      <c r="AB52" s="18">
        <v>247</v>
      </c>
      <c r="AC52" s="18"/>
      <c r="AD52" s="18">
        <v>169647.03599999999</v>
      </c>
      <c r="AE52" s="18">
        <f t="shared" si="9"/>
        <v>669263.67799999996</v>
      </c>
      <c r="AF52" s="18">
        <f>AG52+AH52</f>
        <v>669263.67799999996</v>
      </c>
      <c r="AG52" s="18">
        <v>617859.67799999996</v>
      </c>
      <c r="AH52" s="18">
        <v>51404</v>
      </c>
      <c r="AI52" s="18">
        <f t="shared" si="10"/>
        <v>1878796.031</v>
      </c>
      <c r="AJ52" s="18">
        <f>SUM(AK52:AY52)</f>
        <v>1878796.031</v>
      </c>
      <c r="AK52" s="18">
        <v>678111.60800000001</v>
      </c>
      <c r="AL52" s="18">
        <v>155327.53700000001</v>
      </c>
      <c r="AM52" s="18"/>
      <c r="AN52" s="18">
        <v>34345.214</v>
      </c>
      <c r="AO52" s="18">
        <v>37450.711000000003</v>
      </c>
      <c r="AP52" s="18">
        <v>50</v>
      </c>
      <c r="AQ52" s="18">
        <v>3355.4050000000002</v>
      </c>
      <c r="AR52" s="18">
        <v>25877.976999999999</v>
      </c>
      <c r="AS52" s="18"/>
      <c r="AT52" s="18">
        <v>849504.01399999997</v>
      </c>
      <c r="AU52" s="18"/>
      <c r="AV52" s="18">
        <v>34532.245999999999</v>
      </c>
      <c r="AW52" s="18">
        <v>30544.996999999999</v>
      </c>
      <c r="AX52" s="18"/>
      <c r="AY52" s="18">
        <f>5094+24602.322</f>
        <v>29696.322</v>
      </c>
      <c r="AZ52" s="18">
        <f t="shared" si="13"/>
        <v>96948.342999999993</v>
      </c>
      <c r="BA52" s="18">
        <f>BB52+BH52+BI52</f>
        <v>96948.342999999993</v>
      </c>
      <c r="BB52" s="18">
        <v>74097.399999999994</v>
      </c>
      <c r="BC52" s="18"/>
      <c r="BD52" s="18"/>
      <c r="BE52" s="18"/>
      <c r="BF52" s="18"/>
      <c r="BG52" s="18"/>
      <c r="BH52" s="18">
        <v>15000</v>
      </c>
      <c r="BI52" s="18">
        <v>7850.9430000000002</v>
      </c>
      <c r="BJ52" s="18">
        <f t="shared" si="14"/>
        <v>771443.93700000003</v>
      </c>
      <c r="BK52" s="18">
        <f>SUM(BL52:BQ52)</f>
        <v>771443.93700000003</v>
      </c>
      <c r="BL52" s="18">
        <v>434528.56800000003</v>
      </c>
      <c r="BM52" s="18">
        <v>209895.84599999999</v>
      </c>
      <c r="BN52" s="18">
        <v>18385.773000000001</v>
      </c>
      <c r="BO52" s="18"/>
      <c r="BP52" s="18">
        <v>45328.945</v>
      </c>
      <c r="BQ52" s="60">
        <v>63304.805</v>
      </c>
      <c r="BR52" s="18">
        <v>36639.607000000004</v>
      </c>
      <c r="BS52" s="18">
        <v>23453.335999999999</v>
      </c>
      <c r="BT52" s="18">
        <v>319089.85399999999</v>
      </c>
      <c r="BU52" s="18">
        <f>BV52</f>
        <v>4398125.6269999994</v>
      </c>
      <c r="BV52" s="18">
        <f t="shared" si="4"/>
        <v>4398125.6269999994</v>
      </c>
      <c r="BW52" s="28">
        <f t="shared" si="5"/>
        <v>0</v>
      </c>
      <c r="BX52" s="96">
        <f t="shared" si="6"/>
        <v>3210643.4929999998</v>
      </c>
    </row>
    <row r="53" spans="1:76" ht="20.399999999999999" customHeight="1" x14ac:dyDescent="0.35">
      <c r="A53" s="99" t="s">
        <v>128</v>
      </c>
      <c r="B53" s="18">
        <v>605</v>
      </c>
      <c r="C53" s="18"/>
      <c r="D53" s="18">
        <v>113801181</v>
      </c>
      <c r="E53" s="18">
        <v>209</v>
      </c>
      <c r="F53" s="18">
        <v>77637503</v>
      </c>
      <c r="G53" s="18"/>
      <c r="H53" s="32" t="s">
        <v>41</v>
      </c>
      <c r="I53" s="18">
        <f t="shared" si="7"/>
        <v>119510891</v>
      </c>
      <c r="J53" s="18">
        <f>L53+K53+SUM(V53:X53)</f>
        <v>119510891</v>
      </c>
      <c r="K53" s="18">
        <v>69919486</v>
      </c>
      <c r="L53" s="18">
        <f t="shared" si="8"/>
        <v>35499444</v>
      </c>
      <c r="M53" s="18">
        <v>35499444</v>
      </c>
      <c r="N53" s="18"/>
      <c r="O53" s="18"/>
      <c r="P53" s="18"/>
      <c r="Q53" s="18"/>
      <c r="R53" s="18">
        <v>1091362</v>
      </c>
      <c r="S53" s="18"/>
      <c r="T53" s="18">
        <v>23238259</v>
      </c>
      <c r="U53" s="18">
        <v>11169823</v>
      </c>
      <c r="V53" s="18">
        <v>63545</v>
      </c>
      <c r="W53" s="18">
        <v>375925</v>
      </c>
      <c r="X53" s="18">
        <v>13652491</v>
      </c>
      <c r="Y53" s="18"/>
      <c r="Z53" s="18"/>
      <c r="AA53" s="18"/>
      <c r="AB53" s="18"/>
      <c r="AC53" s="18"/>
      <c r="AD53" s="18"/>
      <c r="AE53" s="18">
        <f t="shared" si="9"/>
        <v>1340086</v>
      </c>
      <c r="AF53" s="18">
        <v>1340086</v>
      </c>
      <c r="AG53" s="18">
        <v>1085925</v>
      </c>
      <c r="AH53" s="18">
        <v>254161</v>
      </c>
      <c r="AI53" s="18">
        <f t="shared" si="10"/>
        <v>24452702.099999998</v>
      </c>
      <c r="AJ53" s="18">
        <v>24452702.099999998</v>
      </c>
      <c r="AK53" s="18">
        <v>5472913</v>
      </c>
      <c r="AL53" s="18">
        <v>9254569</v>
      </c>
      <c r="AM53" s="18"/>
      <c r="AN53" s="18">
        <v>401949</v>
      </c>
      <c r="AO53" s="18">
        <v>515711</v>
      </c>
      <c r="AP53" s="18">
        <v>6127.2</v>
      </c>
      <c r="AQ53" s="18">
        <v>744094</v>
      </c>
      <c r="AR53" s="18">
        <v>259681</v>
      </c>
      <c r="AS53" s="18"/>
      <c r="AT53" s="18">
        <v>3598885.9</v>
      </c>
      <c r="AU53" s="18">
        <v>163532</v>
      </c>
      <c r="AV53" s="18">
        <v>810866</v>
      </c>
      <c r="AW53" s="18">
        <v>277999</v>
      </c>
      <c r="AX53" s="18">
        <v>2685714</v>
      </c>
      <c r="AY53" s="18">
        <v>260661</v>
      </c>
      <c r="AZ53" s="18">
        <f t="shared" si="13"/>
        <v>2861754</v>
      </c>
      <c r="BA53" s="18">
        <f>BB53+BG53+BH53</f>
        <v>2861754</v>
      </c>
      <c r="BB53" s="18">
        <v>2445818</v>
      </c>
      <c r="BC53" s="18"/>
      <c r="BD53" s="18"/>
      <c r="BE53" s="18"/>
      <c r="BF53" s="18"/>
      <c r="BG53" s="18">
        <v>2529</v>
      </c>
      <c r="BH53" s="18">
        <v>413407</v>
      </c>
      <c r="BI53" s="18"/>
      <c r="BJ53" s="18">
        <f t="shared" si="14"/>
        <v>9712392</v>
      </c>
      <c r="BK53" s="18">
        <v>9712392</v>
      </c>
      <c r="BL53" s="18">
        <v>6760510</v>
      </c>
      <c r="BM53" s="18">
        <v>380197</v>
      </c>
      <c r="BN53" s="18"/>
      <c r="BO53" s="18"/>
      <c r="BP53" s="18">
        <v>555830</v>
      </c>
      <c r="BQ53" s="60">
        <v>2015855</v>
      </c>
      <c r="BR53" s="18">
        <v>3016282</v>
      </c>
      <c r="BS53" s="18">
        <v>393294</v>
      </c>
      <c r="BT53" s="18">
        <v>2497319</v>
      </c>
      <c r="BU53" s="18">
        <f>BV53</f>
        <v>163784720.09999999</v>
      </c>
      <c r="BV53" s="18">
        <f t="shared" si="4"/>
        <v>163784720.09999999</v>
      </c>
      <c r="BW53" s="28">
        <f t="shared" si="5"/>
        <v>0</v>
      </c>
      <c r="BX53" s="96">
        <f t="shared" si="6"/>
        <v>148713255.09999999</v>
      </c>
    </row>
    <row r="54" spans="1:76" ht="20.399999999999999" customHeight="1" x14ac:dyDescent="0.35">
      <c r="A54" s="99" t="s">
        <v>590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32" t="s">
        <v>255</v>
      </c>
      <c r="I54" s="18">
        <f t="shared" si="7"/>
        <v>34680</v>
      </c>
      <c r="J54" s="18">
        <f>I54</f>
        <v>34680</v>
      </c>
      <c r="K54" s="18">
        <v>13100</v>
      </c>
      <c r="L54" s="18">
        <f t="shared" si="8"/>
        <v>5580</v>
      </c>
      <c r="M54" s="18">
        <v>5580</v>
      </c>
      <c r="N54" s="18">
        <v>0</v>
      </c>
      <c r="O54" s="18">
        <v>0</v>
      </c>
      <c r="P54" s="18">
        <v>0</v>
      </c>
      <c r="Q54" s="18">
        <v>4000</v>
      </c>
      <c r="R54" s="18">
        <v>0</v>
      </c>
      <c r="S54" s="18">
        <v>1580</v>
      </c>
      <c r="T54" s="18">
        <v>0</v>
      </c>
      <c r="U54" s="18">
        <v>0</v>
      </c>
      <c r="V54" s="18">
        <v>2500</v>
      </c>
      <c r="W54" s="18">
        <v>7500</v>
      </c>
      <c r="X54" s="18">
        <v>1200</v>
      </c>
      <c r="Y54" s="18">
        <v>0</v>
      </c>
      <c r="Z54" s="18">
        <v>800</v>
      </c>
      <c r="AA54" s="18">
        <v>4000</v>
      </c>
      <c r="AB54" s="18">
        <v>0</v>
      </c>
      <c r="AC54" s="18">
        <v>0</v>
      </c>
      <c r="AD54" s="18">
        <v>0</v>
      </c>
      <c r="AE54" s="18">
        <f t="shared" si="9"/>
        <v>0</v>
      </c>
      <c r="AF54" s="18"/>
      <c r="AG54" s="18">
        <v>0</v>
      </c>
      <c r="AH54" s="18">
        <v>0</v>
      </c>
      <c r="AI54" s="18">
        <f t="shared" si="10"/>
        <v>33933</v>
      </c>
      <c r="AJ54" s="18">
        <f>AI54</f>
        <v>33933</v>
      </c>
      <c r="AK54" s="18">
        <v>0</v>
      </c>
      <c r="AL54" s="18">
        <v>6000</v>
      </c>
      <c r="AM54" s="18">
        <v>0</v>
      </c>
      <c r="AN54" s="18">
        <v>5007</v>
      </c>
      <c r="AO54" s="18">
        <v>0</v>
      </c>
      <c r="AP54" s="18">
        <v>10340</v>
      </c>
      <c r="AQ54" s="18">
        <v>0</v>
      </c>
      <c r="AR54" s="18">
        <v>3086</v>
      </c>
      <c r="AS54" s="18">
        <v>3200</v>
      </c>
      <c r="AT54" s="18">
        <v>5000</v>
      </c>
      <c r="AU54" s="18">
        <v>0</v>
      </c>
      <c r="AV54" s="18">
        <v>0</v>
      </c>
      <c r="AW54" s="18">
        <v>0</v>
      </c>
      <c r="AX54" s="18">
        <v>0</v>
      </c>
      <c r="AY54" s="18">
        <v>1300</v>
      </c>
      <c r="AZ54" s="18">
        <f t="shared" si="13"/>
        <v>9375</v>
      </c>
      <c r="BA54" s="18">
        <v>9375</v>
      </c>
      <c r="BB54" s="18">
        <v>0</v>
      </c>
      <c r="BC54" s="18">
        <v>0</v>
      </c>
      <c r="BD54" s="18">
        <v>6000</v>
      </c>
      <c r="BE54" s="18">
        <v>3375</v>
      </c>
      <c r="BF54" s="18">
        <v>0</v>
      </c>
      <c r="BG54" s="18">
        <v>0</v>
      </c>
      <c r="BH54" s="18">
        <v>0</v>
      </c>
      <c r="BI54" s="18">
        <v>0</v>
      </c>
      <c r="BJ54" s="18">
        <f t="shared" si="14"/>
        <v>84920</v>
      </c>
      <c r="BK54" s="18">
        <f>BL54+BN54</f>
        <v>84920</v>
      </c>
      <c r="BL54" s="18">
        <v>79920</v>
      </c>
      <c r="BM54" s="18">
        <v>0</v>
      </c>
      <c r="BN54" s="18">
        <v>5000</v>
      </c>
      <c r="BO54" s="18">
        <v>0</v>
      </c>
      <c r="BP54" s="18">
        <v>0</v>
      </c>
      <c r="BQ54" s="60">
        <v>0</v>
      </c>
      <c r="BR54" s="18">
        <v>4000</v>
      </c>
      <c r="BS54" s="18">
        <v>15728</v>
      </c>
      <c r="BT54" s="18">
        <v>0</v>
      </c>
      <c r="BU54" s="18">
        <f>BV54</f>
        <v>182636</v>
      </c>
      <c r="BV54" s="18">
        <f t="shared" si="4"/>
        <v>182636</v>
      </c>
      <c r="BW54" s="28">
        <f t="shared" si="5"/>
        <v>0</v>
      </c>
      <c r="BX54" s="96">
        <f t="shared" si="6"/>
        <v>88341</v>
      </c>
    </row>
    <row r="55" spans="1:76" ht="20.399999999999999" customHeight="1" x14ac:dyDescent="0.35">
      <c r="A55" s="20" t="s">
        <v>400</v>
      </c>
      <c r="B55" s="28"/>
      <c r="C55" s="28"/>
      <c r="D55" s="18">
        <v>90</v>
      </c>
      <c r="E55" s="28"/>
      <c r="F55" s="28"/>
      <c r="G55" s="18">
        <v>10</v>
      </c>
      <c r="H55" s="32" t="s">
        <v>255</v>
      </c>
      <c r="I55" s="18">
        <f t="shared" si="7"/>
        <v>347</v>
      </c>
      <c r="J55" s="18">
        <v>347</v>
      </c>
      <c r="K55" s="18">
        <v>0</v>
      </c>
      <c r="L55" s="18">
        <f t="shared" si="8"/>
        <v>33</v>
      </c>
      <c r="M55" s="18">
        <v>33</v>
      </c>
      <c r="N55" s="18">
        <v>0</v>
      </c>
      <c r="O55" s="18">
        <v>0</v>
      </c>
      <c r="P55" s="18">
        <v>0</v>
      </c>
      <c r="Q55" s="18">
        <v>33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5</v>
      </c>
      <c r="AA55" s="18">
        <v>246</v>
      </c>
      <c r="AB55" s="18">
        <v>53</v>
      </c>
      <c r="AC55" s="18">
        <v>10</v>
      </c>
      <c r="AD55" s="18">
        <v>0</v>
      </c>
      <c r="AE55" s="18">
        <f t="shared" si="9"/>
        <v>0</v>
      </c>
      <c r="AF55" s="18"/>
      <c r="AG55" s="18">
        <v>0</v>
      </c>
      <c r="AH55" s="18">
        <v>0</v>
      </c>
      <c r="AI55" s="18">
        <f t="shared" si="10"/>
        <v>39999</v>
      </c>
      <c r="AJ55" s="58">
        <f>SUM(AK55:AY55)</f>
        <v>39999</v>
      </c>
      <c r="AK55" s="18">
        <v>34084</v>
      </c>
      <c r="AL55" s="18">
        <v>4090</v>
      </c>
      <c r="AM55" s="28"/>
      <c r="AN55" s="18">
        <v>1310</v>
      </c>
      <c r="AO55" s="18">
        <v>86</v>
      </c>
      <c r="AP55" s="18">
        <v>16</v>
      </c>
      <c r="AQ55" s="18">
        <v>0</v>
      </c>
      <c r="AR55" s="18">
        <v>12</v>
      </c>
      <c r="AS55" s="18">
        <v>0</v>
      </c>
      <c r="AT55" s="18">
        <v>40</v>
      </c>
      <c r="AU55" s="18">
        <v>0</v>
      </c>
      <c r="AV55" s="18">
        <v>361</v>
      </c>
      <c r="AW55" s="18">
        <v>0</v>
      </c>
      <c r="AX55" s="18">
        <v>0</v>
      </c>
      <c r="AY55" s="18">
        <v>0</v>
      </c>
      <c r="AZ55" s="18">
        <f t="shared" si="13"/>
        <v>29148</v>
      </c>
      <c r="BA55" s="18">
        <f>+BE55</f>
        <v>29148</v>
      </c>
      <c r="BB55" s="18">
        <v>0</v>
      </c>
      <c r="BC55" s="18">
        <v>0</v>
      </c>
      <c r="BD55" s="18">
        <v>0</v>
      </c>
      <c r="BE55" s="18">
        <v>29148</v>
      </c>
      <c r="BF55" s="18">
        <v>0</v>
      </c>
      <c r="BG55" s="18">
        <v>0</v>
      </c>
      <c r="BH55" s="18">
        <v>0</v>
      </c>
      <c r="BI55" s="18">
        <v>0</v>
      </c>
      <c r="BJ55" s="18">
        <f t="shared" si="14"/>
        <v>7249</v>
      </c>
      <c r="BK55" s="100">
        <v>7249</v>
      </c>
      <c r="BL55" s="18">
        <v>2664</v>
      </c>
      <c r="BM55" s="18">
        <v>0</v>
      </c>
      <c r="BN55" s="18">
        <v>0</v>
      </c>
      <c r="BO55" s="18">
        <v>40</v>
      </c>
      <c r="BP55" s="18">
        <v>905</v>
      </c>
      <c r="BQ55" s="60">
        <v>3640</v>
      </c>
      <c r="BR55" s="18">
        <v>0</v>
      </c>
      <c r="BS55" s="18">
        <v>3640</v>
      </c>
      <c r="BT55" s="18">
        <v>0</v>
      </c>
      <c r="BU55" s="18">
        <v>80383</v>
      </c>
      <c r="BV55" s="18">
        <f t="shared" si="4"/>
        <v>80383</v>
      </c>
      <c r="BW55" s="28">
        <f t="shared" si="5"/>
        <v>0</v>
      </c>
      <c r="BX55" s="96">
        <f t="shared" si="6"/>
        <v>43986</v>
      </c>
    </row>
    <row r="56" spans="1:76" ht="20.399999999999999" customHeight="1" x14ac:dyDescent="0.35">
      <c r="A56" s="20" t="s">
        <v>685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32" t="s">
        <v>41</v>
      </c>
      <c r="I56" s="18">
        <f t="shared" si="7"/>
        <v>1678237</v>
      </c>
      <c r="J56" s="18">
        <v>1678237</v>
      </c>
      <c r="K56" s="18">
        <v>730365</v>
      </c>
      <c r="L56" s="18">
        <f t="shared" si="8"/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56</v>
      </c>
      <c r="X56" s="18">
        <v>599</v>
      </c>
      <c r="Y56" s="18">
        <v>856772</v>
      </c>
      <c r="Z56" s="18">
        <v>4372</v>
      </c>
      <c r="AA56" s="18">
        <v>67567</v>
      </c>
      <c r="AB56" s="18">
        <v>676</v>
      </c>
      <c r="AC56" s="18">
        <v>15983</v>
      </c>
      <c r="AD56" s="18">
        <v>1847</v>
      </c>
      <c r="AE56" s="18">
        <f t="shared" si="9"/>
        <v>391676</v>
      </c>
      <c r="AF56" s="18">
        <v>391676</v>
      </c>
      <c r="AG56" s="18">
        <v>368635</v>
      </c>
      <c r="AH56" s="18">
        <v>23041</v>
      </c>
      <c r="AI56" s="18">
        <f t="shared" si="10"/>
        <v>1785365</v>
      </c>
      <c r="AJ56" s="18">
        <v>1785365</v>
      </c>
      <c r="AK56" s="18">
        <v>0</v>
      </c>
      <c r="AL56" s="18">
        <v>7135</v>
      </c>
      <c r="AM56" s="18">
        <v>0</v>
      </c>
      <c r="AN56" s="18">
        <v>181083</v>
      </c>
      <c r="AO56" s="18">
        <v>11432</v>
      </c>
      <c r="AP56" s="18">
        <v>472675</v>
      </c>
      <c r="AQ56" s="18">
        <v>0</v>
      </c>
      <c r="AR56" s="18">
        <v>2300</v>
      </c>
      <c r="AS56" s="18">
        <v>0</v>
      </c>
      <c r="AT56" s="18">
        <v>26003</v>
      </c>
      <c r="AU56" s="18">
        <v>0</v>
      </c>
      <c r="AV56" s="18">
        <v>3115</v>
      </c>
      <c r="AW56" s="18">
        <v>0</v>
      </c>
      <c r="AX56" s="18">
        <v>999724</v>
      </c>
      <c r="AY56" s="18">
        <v>81898</v>
      </c>
      <c r="AZ56" s="18">
        <f t="shared" si="13"/>
        <v>3077</v>
      </c>
      <c r="BA56" s="18">
        <v>3077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3000</v>
      </c>
      <c r="BI56" s="18">
        <v>77</v>
      </c>
      <c r="BJ56" s="18">
        <f t="shared" si="14"/>
        <v>288648</v>
      </c>
      <c r="BK56" s="18">
        <v>288648</v>
      </c>
      <c r="BL56" s="18">
        <v>160312</v>
      </c>
      <c r="BM56" s="18">
        <v>99032</v>
      </c>
      <c r="BN56" s="18">
        <v>250</v>
      </c>
      <c r="BO56" s="18">
        <v>0</v>
      </c>
      <c r="BP56" s="18">
        <v>18373</v>
      </c>
      <c r="BQ56" s="60">
        <v>10681</v>
      </c>
      <c r="BR56" s="18">
        <v>1349</v>
      </c>
      <c r="BS56" s="18">
        <v>36598</v>
      </c>
      <c r="BT56" s="18">
        <v>0</v>
      </c>
      <c r="BU56" s="18">
        <v>4184950</v>
      </c>
      <c r="BV56" s="18">
        <f t="shared" si="4"/>
        <v>4184950</v>
      </c>
      <c r="BW56" s="28">
        <f t="shared" si="5"/>
        <v>0</v>
      </c>
      <c r="BX56" s="96">
        <f t="shared" si="6"/>
        <v>3893225</v>
      </c>
    </row>
    <row r="57" spans="1:76" ht="20.399999999999999" customHeight="1" x14ac:dyDescent="0.35">
      <c r="A57" s="20" t="s">
        <v>976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32" t="s">
        <v>255</v>
      </c>
      <c r="I57" s="18">
        <f t="shared" si="7"/>
        <v>26830</v>
      </c>
      <c r="J57" s="18">
        <v>26830</v>
      </c>
      <c r="K57" s="18">
        <v>0</v>
      </c>
      <c r="L57" s="18">
        <f t="shared" si="8"/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84</v>
      </c>
      <c r="X57" s="18">
        <v>105</v>
      </c>
      <c r="Y57" s="18">
        <v>20894</v>
      </c>
      <c r="Z57" s="18">
        <v>82</v>
      </c>
      <c r="AA57" s="18">
        <v>5665</v>
      </c>
      <c r="AB57" s="18">
        <v>0</v>
      </c>
      <c r="AC57" s="18">
        <v>0</v>
      </c>
      <c r="AD57" s="18">
        <v>0</v>
      </c>
      <c r="AE57" s="18">
        <f t="shared" si="9"/>
        <v>155</v>
      </c>
      <c r="AF57" s="18">
        <v>155</v>
      </c>
      <c r="AG57" s="18">
        <v>155</v>
      </c>
      <c r="AH57" s="18">
        <v>0</v>
      </c>
      <c r="AI57" s="18">
        <f t="shared" si="10"/>
        <v>717289</v>
      </c>
      <c r="AJ57" s="18">
        <v>717289</v>
      </c>
      <c r="AK57" s="18">
        <v>696227</v>
      </c>
      <c r="AL57" s="18">
        <v>3605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115</v>
      </c>
      <c r="AS57" s="18">
        <v>16468</v>
      </c>
      <c r="AT57" s="18">
        <v>874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f t="shared" si="13"/>
        <v>2437</v>
      </c>
      <c r="BA57" s="18">
        <v>2437</v>
      </c>
      <c r="BB57" s="18">
        <v>0</v>
      </c>
      <c r="BC57" s="18">
        <v>0</v>
      </c>
      <c r="BD57" s="18">
        <v>0</v>
      </c>
      <c r="BE57" s="18">
        <v>0</v>
      </c>
      <c r="BF57" s="18">
        <v>2363</v>
      </c>
      <c r="BG57" s="18">
        <v>74</v>
      </c>
      <c r="BH57" s="18">
        <v>0</v>
      </c>
      <c r="BI57" s="18">
        <v>0</v>
      </c>
      <c r="BJ57" s="18">
        <f t="shared" si="14"/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60">
        <v>0</v>
      </c>
      <c r="BR57" s="18">
        <v>0</v>
      </c>
      <c r="BS57" s="18">
        <v>62619</v>
      </c>
      <c r="BT57" s="18">
        <v>0</v>
      </c>
      <c r="BU57" s="18">
        <v>809330</v>
      </c>
      <c r="BV57" s="18">
        <f t="shared" si="4"/>
        <v>809330</v>
      </c>
      <c r="BW57" s="28">
        <f t="shared" si="5"/>
        <v>0</v>
      </c>
      <c r="BX57" s="96">
        <f t="shared" si="6"/>
        <v>806893</v>
      </c>
    </row>
    <row r="58" spans="1:76" ht="20.399999999999999" customHeight="1" x14ac:dyDescent="0.35">
      <c r="A58" s="20" t="s">
        <v>648</v>
      </c>
      <c r="B58" s="18"/>
      <c r="C58" s="18"/>
      <c r="D58" s="18"/>
      <c r="E58" s="18"/>
      <c r="F58" s="18"/>
      <c r="G58" s="18"/>
      <c r="H58" s="32" t="s">
        <v>46</v>
      </c>
      <c r="I58" s="18">
        <f t="shared" si="7"/>
        <v>668228.82899999991</v>
      </c>
      <c r="J58" s="18">
        <v>668228.82899999991</v>
      </c>
      <c r="K58" s="18">
        <v>2574.5250000000001</v>
      </c>
      <c r="L58" s="18">
        <f>SUM(N58:U58)</f>
        <v>292803.87199999997</v>
      </c>
      <c r="M58" s="18">
        <v>292803.87199999997</v>
      </c>
      <c r="N58" s="18">
        <v>234243.09759999998</v>
      </c>
      <c r="O58" s="18">
        <v>58560.774399999995</v>
      </c>
      <c r="P58" s="18"/>
      <c r="Q58" s="18"/>
      <c r="R58" s="18"/>
      <c r="S58" s="18"/>
      <c r="T58" s="18"/>
      <c r="U58" s="18"/>
      <c r="V58" s="18">
        <v>933.22</v>
      </c>
      <c r="W58" s="18"/>
      <c r="X58" s="18">
        <v>201879.46400000001</v>
      </c>
      <c r="Y58" s="18">
        <v>3137.47</v>
      </c>
      <c r="Z58" s="18"/>
      <c r="AA58" s="18">
        <v>108791.674</v>
      </c>
      <c r="AB58" s="18">
        <v>58108.603999999999</v>
      </c>
      <c r="AC58" s="18"/>
      <c r="AD58" s="18"/>
      <c r="AE58" s="18">
        <f t="shared" si="9"/>
        <v>140</v>
      </c>
      <c r="AF58" s="18">
        <v>140.13</v>
      </c>
      <c r="AG58" s="18"/>
      <c r="AH58" s="18">
        <v>140</v>
      </c>
      <c r="AI58" s="18">
        <f t="shared" si="10"/>
        <v>206710.55</v>
      </c>
      <c r="AJ58" s="18">
        <f>+SUM(AK58:AY58)</f>
        <v>206710.55</v>
      </c>
      <c r="AK58" s="18">
        <v>84726.066000000006</v>
      </c>
      <c r="AL58" s="18">
        <v>34941.203000000001</v>
      </c>
      <c r="AM58" s="18"/>
      <c r="AN58" s="18">
        <v>4596.5010000000002</v>
      </c>
      <c r="AO58" s="18">
        <v>3380.181</v>
      </c>
      <c r="AP58" s="18"/>
      <c r="AQ58" s="18"/>
      <c r="AR58" s="28"/>
      <c r="AS58" s="18"/>
      <c r="AT58" s="18">
        <v>4847.4560000000001</v>
      </c>
      <c r="AU58" s="18"/>
      <c r="AV58" s="18">
        <v>5740.5770000000002</v>
      </c>
      <c r="AW58" s="18">
        <v>68315.566000000006</v>
      </c>
      <c r="AX58" s="18"/>
      <c r="AY58" s="18">
        <v>163</v>
      </c>
      <c r="AZ58" s="18">
        <f t="shared" si="13"/>
        <v>4377.4260000000004</v>
      </c>
      <c r="BA58" s="18">
        <f>SUM(BB58:BI58)</f>
        <v>4377.4260000000004</v>
      </c>
      <c r="BB58" s="18">
        <v>2795.6990000000001</v>
      </c>
      <c r="BC58" s="18"/>
      <c r="BD58" s="28"/>
      <c r="BE58" s="18">
        <v>0</v>
      </c>
      <c r="BF58" s="18"/>
      <c r="BG58" s="18">
        <v>1581.7270000000001</v>
      </c>
      <c r="BH58" s="18"/>
      <c r="BI58" s="18"/>
      <c r="BJ58" s="18">
        <f t="shared" si="14"/>
        <v>137263.43899999998</v>
      </c>
      <c r="BK58" s="18">
        <f>SUM(BL58:BQ58)</f>
        <v>137263.43899999998</v>
      </c>
      <c r="BL58" s="18">
        <v>95872.411999999997</v>
      </c>
      <c r="BM58" s="18">
        <v>38982.196000000004</v>
      </c>
      <c r="BN58" s="18">
        <v>1060.107</v>
      </c>
      <c r="BO58" s="18"/>
      <c r="BP58" s="18">
        <v>949.32399999999996</v>
      </c>
      <c r="BQ58" s="60">
        <v>399.4</v>
      </c>
      <c r="BR58" s="18"/>
      <c r="BS58" s="18"/>
      <c r="BT58" s="18">
        <v>7706.268</v>
      </c>
      <c r="BU58" s="18">
        <v>1024426.512</v>
      </c>
      <c r="BV58" s="18">
        <f t="shared" si="4"/>
        <v>1024426.512</v>
      </c>
      <c r="BW58" s="28">
        <f t="shared" si="5"/>
        <v>0</v>
      </c>
      <c r="BX58" s="96">
        <f t="shared" si="6"/>
        <v>875079.37899999996</v>
      </c>
    </row>
    <row r="59" spans="1:76" ht="20.399999999999999" customHeight="1" x14ac:dyDescent="0.35">
      <c r="A59" s="20" t="s">
        <v>649</v>
      </c>
      <c r="B59" s="18"/>
      <c r="C59" s="18"/>
      <c r="D59" s="18"/>
      <c r="E59" s="18"/>
      <c r="F59" s="18"/>
      <c r="G59" s="18"/>
      <c r="H59" s="32" t="s">
        <v>46</v>
      </c>
      <c r="I59" s="18">
        <f>K59+L59+SUM(V59:AD59)</f>
        <v>178066.155</v>
      </c>
      <c r="J59" s="18">
        <v>178066.155</v>
      </c>
      <c r="K59" s="18">
        <v>36840.828000000001</v>
      </c>
      <c r="L59" s="18">
        <f>SUM(N59:U59)</f>
        <v>81588.926999999996</v>
      </c>
      <c r="M59" s="18">
        <v>81588.926999999996</v>
      </c>
      <c r="N59" s="18"/>
      <c r="O59" s="18"/>
      <c r="P59" s="18">
        <v>1200</v>
      </c>
      <c r="Q59" s="18">
        <v>73642.304999999993</v>
      </c>
      <c r="R59" s="18">
        <v>0</v>
      </c>
      <c r="S59" s="18">
        <v>6746.6220000000003</v>
      </c>
      <c r="T59" s="18">
        <v>0</v>
      </c>
      <c r="U59" s="18">
        <v>0</v>
      </c>
      <c r="V59" s="18">
        <v>0</v>
      </c>
      <c r="W59" s="18">
        <v>0</v>
      </c>
      <c r="X59" s="18">
        <v>59636.4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f t="shared" si="9"/>
        <v>0</v>
      </c>
      <c r="AF59" s="18">
        <v>0</v>
      </c>
      <c r="AG59" s="18">
        <v>0</v>
      </c>
      <c r="AH59" s="18">
        <v>0</v>
      </c>
      <c r="AI59" s="18">
        <f t="shared" si="10"/>
        <v>101432.69379999999</v>
      </c>
      <c r="AJ59" s="18">
        <f>+SUM(AK59:AY59)</f>
        <v>101432.69379999999</v>
      </c>
      <c r="AK59" s="18">
        <v>101432.69379999999</v>
      </c>
      <c r="AL59" s="18"/>
      <c r="AM59" s="18"/>
      <c r="AN59" s="18"/>
      <c r="AO59" s="18"/>
      <c r="AP59" s="18"/>
      <c r="AQ59" s="18"/>
      <c r="AR59" s="28"/>
      <c r="AS59" s="18"/>
      <c r="AT59" s="18"/>
      <c r="AU59" s="18"/>
      <c r="AV59" s="18"/>
      <c r="AW59" s="18"/>
      <c r="AX59" s="18"/>
      <c r="AY59" s="18"/>
      <c r="AZ59" s="18">
        <f t="shared" ref="AZ59" si="15">SUM(BB59:BI59)</f>
        <v>322817.32</v>
      </c>
      <c r="BA59" s="18">
        <f>SUM(BB59:BI59)</f>
        <v>322817.32</v>
      </c>
      <c r="BB59" s="18"/>
      <c r="BC59" s="18"/>
      <c r="BD59" s="28"/>
      <c r="BE59" s="18">
        <v>309280</v>
      </c>
      <c r="BF59" s="18">
        <v>13537.32</v>
      </c>
      <c r="BG59" s="18"/>
      <c r="BH59" s="18"/>
      <c r="BI59" s="18"/>
      <c r="BJ59" s="18">
        <f t="shared" ref="BJ59" si="16">SUM(BL59:BQ59)</f>
        <v>113203.81199999999</v>
      </c>
      <c r="BK59" s="18">
        <f>SUM(BL59:BQ59)</f>
        <v>113203.81199999999</v>
      </c>
      <c r="BL59" s="18">
        <v>52700.701999999997</v>
      </c>
      <c r="BM59" s="18">
        <v>41989.203000000001</v>
      </c>
      <c r="BN59" s="18">
        <v>0</v>
      </c>
      <c r="BO59" s="18">
        <v>10715</v>
      </c>
      <c r="BP59" s="18">
        <v>6324.7070000000003</v>
      </c>
      <c r="BQ59" s="60">
        <v>1474.2</v>
      </c>
      <c r="BR59" s="18">
        <v>0</v>
      </c>
      <c r="BS59" s="18">
        <v>0</v>
      </c>
      <c r="BT59" s="18">
        <v>0</v>
      </c>
      <c r="BU59" s="18">
        <v>715519.98080000002</v>
      </c>
      <c r="BV59" s="18">
        <f t="shared" si="4"/>
        <v>715519.98080000002</v>
      </c>
      <c r="BW59" s="28">
        <f t="shared" si="5"/>
        <v>0</v>
      </c>
      <c r="BX59" s="96">
        <f t="shared" si="6"/>
        <v>279498.84879999998</v>
      </c>
    </row>
    <row r="60" spans="1:76" ht="20.399999999999999" customHeight="1" x14ac:dyDescent="0.35">
      <c r="A60" s="20" t="s">
        <v>603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32" t="s">
        <v>46</v>
      </c>
      <c r="I60" s="18">
        <f t="shared" si="7"/>
        <v>675098</v>
      </c>
      <c r="J60" s="18">
        <f>I60</f>
        <v>675098</v>
      </c>
      <c r="K60" s="18">
        <v>0</v>
      </c>
      <c r="L60" s="18">
        <f>SUM(N60:U60)</f>
        <v>666390.53062134306</v>
      </c>
      <c r="M60" s="18">
        <v>666390.53062134306</v>
      </c>
      <c r="N60" s="18">
        <v>0</v>
      </c>
      <c r="O60" s="18">
        <v>0</v>
      </c>
      <c r="P60" s="18">
        <v>6.1631256661485834</v>
      </c>
      <c r="Q60" s="18">
        <v>268683.51779096952</v>
      </c>
      <c r="R60" s="18">
        <v>16776.028063256443</v>
      </c>
      <c r="S60" s="18">
        <v>0</v>
      </c>
      <c r="T60" s="18">
        <v>0</v>
      </c>
      <c r="U60" s="18">
        <v>380924.82164145098</v>
      </c>
      <c r="V60" s="18">
        <v>334.34956738856067</v>
      </c>
      <c r="W60" s="18">
        <v>208.51908503802704</v>
      </c>
      <c r="X60" s="18">
        <v>452.4761426564084</v>
      </c>
      <c r="Y60" s="18">
        <v>0</v>
      </c>
      <c r="Z60" s="18">
        <v>252.68815231209189</v>
      </c>
      <c r="AA60" s="18">
        <v>7297.6543825254339</v>
      </c>
      <c r="AB60" s="18">
        <v>27.73406549766862</v>
      </c>
      <c r="AC60" s="18">
        <v>134.04798323873169</v>
      </c>
      <c r="AD60" s="18">
        <v>0</v>
      </c>
      <c r="AE60" s="18">
        <f t="shared" si="9"/>
        <v>1211</v>
      </c>
      <c r="AF60" s="18">
        <v>1211</v>
      </c>
      <c r="AG60" s="18"/>
      <c r="AH60" s="18">
        <v>1211</v>
      </c>
      <c r="AI60" s="18">
        <f t="shared" si="10"/>
        <v>270507.76066365105</v>
      </c>
      <c r="AJ60" s="18">
        <v>270507.76066365105</v>
      </c>
      <c r="AK60" s="18">
        <v>4114.1952279326306</v>
      </c>
      <c r="AL60" s="18">
        <v>75456.074873348261</v>
      </c>
      <c r="AM60" s="18">
        <v>75595.747235124756</v>
      </c>
      <c r="AN60" s="18">
        <v>22542.505246277389</v>
      </c>
      <c r="AO60" s="18">
        <v>12684.092282646992</v>
      </c>
      <c r="AP60" s="18">
        <v>2482.6378590490694</v>
      </c>
      <c r="AQ60" s="18">
        <v>95.1613893422209</v>
      </c>
      <c r="AR60" s="18">
        <v>0</v>
      </c>
      <c r="AS60" s="18">
        <v>0</v>
      </c>
      <c r="AT60" s="18">
        <v>51636.565176543001</v>
      </c>
      <c r="AU60" s="18">
        <v>0</v>
      </c>
      <c r="AV60" s="18">
        <v>15366.26208709104</v>
      </c>
      <c r="AW60" s="18">
        <v>0</v>
      </c>
      <c r="AX60" s="18">
        <v>0</v>
      </c>
      <c r="AY60" s="18">
        <v>10534.519286295694</v>
      </c>
      <c r="AZ60" s="18">
        <f t="shared" si="13"/>
        <v>140801</v>
      </c>
      <c r="BA60" s="18">
        <v>140801</v>
      </c>
      <c r="BB60" s="18">
        <v>0</v>
      </c>
      <c r="BC60" s="18">
        <v>0</v>
      </c>
      <c r="BD60" s="18">
        <v>0</v>
      </c>
      <c r="BE60" s="18">
        <v>1000</v>
      </c>
      <c r="BF60" s="18">
        <v>136124.99482415704</v>
      </c>
      <c r="BG60" s="18">
        <v>3676.0051758429618</v>
      </c>
      <c r="BH60" s="18">
        <v>0</v>
      </c>
      <c r="BI60" s="18">
        <v>0</v>
      </c>
      <c r="BJ60" s="18">
        <f t="shared" si="14"/>
        <v>306882</v>
      </c>
      <c r="BK60" s="18">
        <v>306882</v>
      </c>
      <c r="BL60" s="18">
        <v>251417</v>
      </c>
      <c r="BM60" s="18">
        <v>0</v>
      </c>
      <c r="BN60" s="18">
        <v>0</v>
      </c>
      <c r="BO60" s="18">
        <v>0</v>
      </c>
      <c r="BP60" s="18">
        <v>30170.039999999997</v>
      </c>
      <c r="BQ60" s="60">
        <v>25294.960000000003</v>
      </c>
      <c r="BR60" s="18">
        <v>115193</v>
      </c>
      <c r="BS60" s="18">
        <v>2218</v>
      </c>
      <c r="BT60" s="18">
        <v>19896</v>
      </c>
      <c r="BU60" s="18">
        <f>BV60</f>
        <v>1531806.7606636509</v>
      </c>
      <c r="BV60" s="18">
        <f t="shared" si="4"/>
        <v>1531806.7606636509</v>
      </c>
      <c r="BW60" s="28">
        <f t="shared" si="5"/>
        <v>0</v>
      </c>
      <c r="BX60" s="96">
        <f t="shared" si="6"/>
        <v>1064227.7606636509</v>
      </c>
    </row>
    <row r="61" spans="1:76" ht="20.399999999999999" customHeight="1" x14ac:dyDescent="0.35">
      <c r="A61" s="20" t="s">
        <v>612</v>
      </c>
      <c r="B61" s="18">
        <v>52</v>
      </c>
      <c r="C61" s="28"/>
      <c r="D61" s="18">
        <v>67</v>
      </c>
      <c r="E61" s="18">
        <v>6</v>
      </c>
      <c r="F61" s="28"/>
      <c r="G61" s="18">
        <v>23</v>
      </c>
      <c r="H61" s="32" t="s">
        <v>46</v>
      </c>
      <c r="I61" s="18">
        <f t="shared" si="7"/>
        <v>666649</v>
      </c>
      <c r="J61" s="18">
        <v>666649</v>
      </c>
      <c r="K61" s="18">
        <v>12658</v>
      </c>
      <c r="L61" s="18">
        <f t="shared" si="8"/>
        <v>444429</v>
      </c>
      <c r="M61" s="18">
        <f>SUM(N61:U61)</f>
        <v>444429</v>
      </c>
      <c r="N61" s="18">
        <v>5667</v>
      </c>
      <c r="O61" s="18">
        <v>0</v>
      </c>
      <c r="P61" s="18">
        <v>0</v>
      </c>
      <c r="Q61" s="18">
        <v>348236</v>
      </c>
      <c r="R61" s="18">
        <v>0</v>
      </c>
      <c r="S61" s="18">
        <v>15349</v>
      </c>
      <c r="T61" s="18">
        <v>0</v>
      </c>
      <c r="U61" s="18">
        <v>75177</v>
      </c>
      <c r="V61" s="18">
        <v>7535</v>
      </c>
      <c r="W61" s="18">
        <v>45</v>
      </c>
      <c r="X61" s="18">
        <v>135530</v>
      </c>
      <c r="Y61" s="18">
        <v>0</v>
      </c>
      <c r="Z61" s="18">
        <v>520</v>
      </c>
      <c r="AA61" s="18">
        <v>21472</v>
      </c>
      <c r="AB61" s="18">
        <v>11578</v>
      </c>
      <c r="AC61" s="18">
        <v>23687</v>
      </c>
      <c r="AD61" s="18">
        <v>9195</v>
      </c>
      <c r="AE61" s="18">
        <f t="shared" si="9"/>
        <v>52051</v>
      </c>
      <c r="AF61" s="18">
        <v>52051</v>
      </c>
      <c r="AG61" s="18">
        <v>30901</v>
      </c>
      <c r="AH61" s="18">
        <v>21150</v>
      </c>
      <c r="AI61" s="18">
        <f t="shared" si="10"/>
        <v>716057</v>
      </c>
      <c r="AJ61" s="18">
        <v>716057</v>
      </c>
      <c r="AK61" s="18">
        <v>116549</v>
      </c>
      <c r="AL61" s="18">
        <v>12155</v>
      </c>
      <c r="AM61" s="18">
        <v>0</v>
      </c>
      <c r="AN61" s="18">
        <v>421700</v>
      </c>
      <c r="AO61" s="18">
        <v>22309</v>
      </c>
      <c r="AP61" s="18">
        <v>240</v>
      </c>
      <c r="AQ61" s="18">
        <v>1075</v>
      </c>
      <c r="AR61" s="18">
        <v>1900</v>
      </c>
      <c r="AS61" s="18">
        <v>1313</v>
      </c>
      <c r="AT61" s="18">
        <v>33746</v>
      </c>
      <c r="AU61" s="18">
        <v>0</v>
      </c>
      <c r="AV61" s="18">
        <v>15511</v>
      </c>
      <c r="AW61" s="18">
        <v>0</v>
      </c>
      <c r="AX61" s="18">
        <v>71717</v>
      </c>
      <c r="AY61" s="18">
        <v>17842</v>
      </c>
      <c r="AZ61" s="18">
        <f t="shared" si="13"/>
        <v>71227</v>
      </c>
      <c r="BA61" s="18">
        <v>71227</v>
      </c>
      <c r="BB61" s="18">
        <v>9010</v>
      </c>
      <c r="BC61" s="18">
        <v>1601</v>
      </c>
      <c r="BD61" s="18">
        <v>0</v>
      </c>
      <c r="BE61" s="18">
        <v>0</v>
      </c>
      <c r="BF61" s="18">
        <v>60352</v>
      </c>
      <c r="BG61" s="18">
        <v>243</v>
      </c>
      <c r="BH61" s="18">
        <v>21</v>
      </c>
      <c r="BI61" s="18">
        <v>0</v>
      </c>
      <c r="BJ61" s="18">
        <f t="shared" si="14"/>
        <v>177187</v>
      </c>
      <c r="BK61" s="18">
        <v>177187</v>
      </c>
      <c r="BL61" s="18">
        <v>141855</v>
      </c>
      <c r="BM61" s="18">
        <v>14139</v>
      </c>
      <c r="BN61" s="18">
        <v>7947</v>
      </c>
      <c r="BO61" s="28"/>
      <c r="BP61" s="18">
        <v>13246</v>
      </c>
      <c r="BQ61" s="60">
        <v>0</v>
      </c>
      <c r="BR61" s="18">
        <v>20388</v>
      </c>
      <c r="BS61" s="18">
        <v>11471</v>
      </c>
      <c r="BT61" s="18">
        <v>500</v>
      </c>
      <c r="BU61" s="18">
        <v>1715530</v>
      </c>
      <c r="BV61" s="18">
        <f t="shared" si="4"/>
        <v>1715530</v>
      </c>
      <c r="BW61" s="28">
        <f t="shared" si="5"/>
        <v>0</v>
      </c>
      <c r="BX61" s="96">
        <f t="shared" si="6"/>
        <v>1466616</v>
      </c>
    </row>
    <row r="62" spans="1:76" ht="20.399999999999999" customHeight="1" x14ac:dyDescent="0.35">
      <c r="A62" s="20" t="s">
        <v>615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32" t="s">
        <v>46</v>
      </c>
      <c r="I62" s="18">
        <f t="shared" si="7"/>
        <v>330968</v>
      </c>
      <c r="J62" s="18">
        <v>330968</v>
      </c>
      <c r="K62" s="18">
        <v>330968</v>
      </c>
      <c r="L62" s="18">
        <f t="shared" si="8"/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f t="shared" si="9"/>
        <v>0</v>
      </c>
      <c r="AF62" s="18"/>
      <c r="AG62" s="18">
        <v>0</v>
      </c>
      <c r="AH62" s="18">
        <v>0</v>
      </c>
      <c r="AI62" s="18">
        <f>AJ62</f>
        <v>161069</v>
      </c>
      <c r="AJ62" s="18">
        <v>161069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f>BA62</f>
        <v>8847</v>
      </c>
      <c r="BA62" s="18">
        <v>8847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f>BK62</f>
        <v>84143</v>
      </c>
      <c r="BK62" s="18">
        <v>84143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60">
        <v>0</v>
      </c>
      <c r="BR62" s="18">
        <v>823</v>
      </c>
      <c r="BS62" s="18">
        <v>0</v>
      </c>
      <c r="BT62" s="18">
        <v>3412</v>
      </c>
      <c r="BU62" s="18">
        <v>589262</v>
      </c>
      <c r="BV62" s="18">
        <f t="shared" si="4"/>
        <v>589262</v>
      </c>
      <c r="BW62" s="28">
        <f t="shared" si="5"/>
        <v>0</v>
      </c>
      <c r="BX62" s="96">
        <f t="shared" si="6"/>
        <v>492860</v>
      </c>
    </row>
    <row r="63" spans="1:76" ht="20.399999999999999" customHeight="1" x14ac:dyDescent="0.35">
      <c r="A63" s="101" t="s">
        <v>360</v>
      </c>
      <c r="B63" s="28"/>
      <c r="C63" s="28"/>
      <c r="D63" s="28"/>
      <c r="E63" s="28"/>
      <c r="F63" s="28"/>
      <c r="G63" s="28"/>
      <c r="H63" s="32" t="s">
        <v>87</v>
      </c>
      <c r="I63" s="18">
        <f t="shared" si="7"/>
        <v>169228.56199999998</v>
      </c>
      <c r="J63" s="18">
        <v>169228.56199999998</v>
      </c>
      <c r="K63" s="28"/>
      <c r="L63" s="18">
        <f t="shared" si="8"/>
        <v>113376.08199999999</v>
      </c>
      <c r="M63" s="18">
        <v>113376.08199999999</v>
      </c>
      <c r="N63" s="58"/>
      <c r="O63" s="58"/>
      <c r="P63" s="58"/>
      <c r="Q63" s="58">
        <v>113376.08199999999</v>
      </c>
      <c r="R63" s="58"/>
      <c r="S63" s="58"/>
      <c r="T63" s="58"/>
      <c r="U63" s="58"/>
      <c r="V63" s="28">
        <v>66</v>
      </c>
      <c r="W63" s="28">
        <v>591.81299999999999</v>
      </c>
      <c r="X63" s="28">
        <v>1023.348</v>
      </c>
      <c r="Y63" s="28"/>
      <c r="Z63" s="28"/>
      <c r="AA63" s="28">
        <v>43163</v>
      </c>
      <c r="AB63" s="28"/>
      <c r="AC63" s="28">
        <v>139</v>
      </c>
      <c r="AD63" s="28">
        <v>10869.319</v>
      </c>
      <c r="AE63" s="18">
        <f t="shared" si="9"/>
        <v>24100.933000000001</v>
      </c>
      <c r="AF63" s="28">
        <v>24100.933000000001</v>
      </c>
      <c r="AG63" s="28"/>
      <c r="AH63" s="28">
        <v>24100.933000000001</v>
      </c>
      <c r="AI63" s="18">
        <f t="shared" ref="AI63:AI70" si="17">SUM(AK63:AY63)</f>
        <v>870715.67200000014</v>
      </c>
      <c r="AJ63" s="28">
        <v>870715.67</v>
      </c>
      <c r="AK63" s="28"/>
      <c r="AL63" s="28">
        <v>56795.199999999997</v>
      </c>
      <c r="AM63" s="28"/>
      <c r="AN63" s="28">
        <v>23794.83</v>
      </c>
      <c r="AO63" s="28">
        <v>7263.3919999999998</v>
      </c>
      <c r="AP63" s="28"/>
      <c r="AQ63" s="28"/>
      <c r="AR63" s="28">
        <v>2693.25</v>
      </c>
      <c r="AS63" s="28">
        <v>659533.647</v>
      </c>
      <c r="AT63" s="28"/>
      <c r="AU63" s="28"/>
      <c r="AV63" s="28">
        <v>25811.881000000001</v>
      </c>
      <c r="AW63" s="28"/>
      <c r="AX63" s="28">
        <v>92144.172000000006</v>
      </c>
      <c r="AY63" s="28">
        <v>2679.3</v>
      </c>
      <c r="AZ63" s="18">
        <f t="shared" ref="AZ63:AZ70" si="18">SUM(BB63:BI63)</f>
        <v>206185.58100000001</v>
      </c>
      <c r="BA63" s="28">
        <v>206185.58100000001</v>
      </c>
      <c r="BB63" s="28">
        <v>40371</v>
      </c>
      <c r="BC63" s="28">
        <v>50464.580999999998</v>
      </c>
      <c r="BD63" s="28">
        <v>10000</v>
      </c>
      <c r="BE63" s="28">
        <v>30350</v>
      </c>
      <c r="BF63" s="28">
        <v>75000</v>
      </c>
      <c r="BG63" s="28"/>
      <c r="BH63" s="28"/>
      <c r="BI63" s="28"/>
      <c r="BJ63" s="18">
        <f t="shared" ref="BJ63:BJ70" si="19">SUM(BL63:BQ63)</f>
        <v>1112883.0129999998</v>
      </c>
      <c r="BK63" s="28">
        <v>1112883.013</v>
      </c>
      <c r="BL63" s="28">
        <v>822751.08799999999</v>
      </c>
      <c r="BM63" s="28"/>
      <c r="BN63" s="28">
        <v>140</v>
      </c>
      <c r="BO63" s="28">
        <v>225943.927</v>
      </c>
      <c r="BP63" s="28">
        <v>42163.196000000004</v>
      </c>
      <c r="BQ63" s="34">
        <v>21884.802</v>
      </c>
      <c r="BR63" s="28">
        <v>757499.04299999995</v>
      </c>
      <c r="BS63" s="28">
        <v>503</v>
      </c>
      <c r="BT63" s="28"/>
      <c r="BU63" s="28">
        <v>3141115.804</v>
      </c>
      <c r="BV63" s="18">
        <f t="shared" si="4"/>
        <v>3141115.804</v>
      </c>
      <c r="BW63" s="28">
        <f t="shared" si="5"/>
        <v>0</v>
      </c>
      <c r="BX63" s="96">
        <f t="shared" si="6"/>
        <v>1822047.21</v>
      </c>
    </row>
    <row r="64" spans="1:76" ht="20.399999999999999" customHeight="1" x14ac:dyDescent="0.35">
      <c r="A64" s="99" t="s">
        <v>495</v>
      </c>
      <c r="B64" s="28"/>
      <c r="C64" s="28"/>
      <c r="D64" s="28"/>
      <c r="E64" s="28"/>
      <c r="F64" s="28"/>
      <c r="G64" s="28"/>
      <c r="H64" s="32" t="s">
        <v>322</v>
      </c>
      <c r="I64" s="18">
        <f t="shared" si="7"/>
        <v>186913.25699999998</v>
      </c>
      <c r="J64" s="28">
        <v>186913.25699999998</v>
      </c>
      <c r="K64" s="28"/>
      <c r="L64" s="18">
        <f t="shared" si="8"/>
        <v>150969.068</v>
      </c>
      <c r="M64" s="28">
        <v>150969.068</v>
      </c>
      <c r="N64" s="58"/>
      <c r="O64" s="58"/>
      <c r="P64" s="58"/>
      <c r="Q64" s="58">
        <v>139918.27100000001</v>
      </c>
      <c r="R64" s="58"/>
      <c r="S64" s="58">
        <v>11050.797</v>
      </c>
      <c r="T64" s="58"/>
      <c r="U64" s="58"/>
      <c r="V64" s="28"/>
      <c r="W64" s="28"/>
      <c r="X64" s="28">
        <v>31609.839</v>
      </c>
      <c r="Y64" s="28">
        <v>3154.45</v>
      </c>
      <c r="Z64" s="28">
        <v>1179.9000000000001</v>
      </c>
      <c r="AA64" s="28"/>
      <c r="AB64" s="28"/>
      <c r="AC64" s="28"/>
      <c r="AD64" s="28"/>
      <c r="AE64" s="18">
        <f t="shared" si="9"/>
        <v>0</v>
      </c>
      <c r="AF64" s="28"/>
      <c r="AG64" s="28"/>
      <c r="AH64" s="28"/>
      <c r="AI64" s="18">
        <f t="shared" si="17"/>
        <v>28897.439999999999</v>
      </c>
      <c r="AJ64" s="28">
        <v>28897.439999999999</v>
      </c>
      <c r="AK64" s="28"/>
      <c r="AL64" s="28"/>
      <c r="AM64" s="28"/>
      <c r="AN64" s="28">
        <v>27240.7</v>
      </c>
      <c r="AO64" s="28">
        <v>764.13499999999999</v>
      </c>
      <c r="AP64" s="28"/>
      <c r="AQ64" s="28"/>
      <c r="AR64" s="28"/>
      <c r="AS64" s="28">
        <v>542.60500000000002</v>
      </c>
      <c r="AT64" s="28">
        <v>350</v>
      </c>
      <c r="AU64" s="28"/>
      <c r="AV64" s="28"/>
      <c r="AW64" s="28"/>
      <c r="AX64" s="28"/>
      <c r="AY64" s="28"/>
      <c r="AZ64" s="18">
        <f t="shared" si="18"/>
        <v>16411.191999999999</v>
      </c>
      <c r="BA64" s="28">
        <v>16411.191999999999</v>
      </c>
      <c r="BB64" s="28"/>
      <c r="BC64" s="28"/>
      <c r="BD64" s="28"/>
      <c r="BE64" s="28">
        <v>7391.97</v>
      </c>
      <c r="BF64" s="28">
        <v>8944.6589999999997</v>
      </c>
      <c r="BG64" s="28">
        <v>74.563000000000002</v>
      </c>
      <c r="BH64" s="28"/>
      <c r="BI64" s="28"/>
      <c r="BJ64" s="18">
        <f t="shared" si="19"/>
        <v>130663.641</v>
      </c>
      <c r="BK64" s="28">
        <v>130663.641</v>
      </c>
      <c r="BL64" s="28">
        <v>115803.603</v>
      </c>
      <c r="BM64" s="28"/>
      <c r="BN64" s="28"/>
      <c r="BO64" s="28"/>
      <c r="BP64" s="28">
        <v>14860.038</v>
      </c>
      <c r="BQ64" s="34"/>
      <c r="BR64" s="28"/>
      <c r="BS64" s="28"/>
      <c r="BT64" s="28"/>
      <c r="BU64" s="28">
        <v>362885.53</v>
      </c>
      <c r="BV64" s="18">
        <f>I64+AE64+AI64+AZ64+BJ64+BR64+BS64+BT64</f>
        <v>362885.53</v>
      </c>
      <c r="BW64" s="28">
        <f t="shared" si="5"/>
        <v>0</v>
      </c>
      <c r="BX64" s="96">
        <f t="shared" si="6"/>
        <v>215810.69699999999</v>
      </c>
    </row>
    <row r="65" spans="1:76" ht="20.399999999999999" customHeight="1" x14ac:dyDescent="0.35">
      <c r="A65" s="99" t="s">
        <v>632</v>
      </c>
      <c r="B65" s="28"/>
      <c r="C65" s="28"/>
      <c r="D65" s="28"/>
      <c r="E65" s="28"/>
      <c r="F65" s="28"/>
      <c r="G65" s="28"/>
      <c r="H65" s="32" t="s">
        <v>255</v>
      </c>
      <c r="I65" s="18">
        <f t="shared" si="7"/>
        <v>0</v>
      </c>
      <c r="J65" s="28"/>
      <c r="K65" s="28"/>
      <c r="L65" s="18">
        <f t="shared" si="8"/>
        <v>0</v>
      </c>
      <c r="M65" s="28"/>
      <c r="N65" s="58"/>
      <c r="O65" s="58"/>
      <c r="P65" s="58"/>
      <c r="Q65" s="58"/>
      <c r="R65" s="58"/>
      <c r="S65" s="58"/>
      <c r="T65" s="58"/>
      <c r="U65" s="58"/>
      <c r="V65" s="28"/>
      <c r="W65" s="28"/>
      <c r="X65" s="28"/>
      <c r="Y65" s="28"/>
      <c r="Z65" s="28"/>
      <c r="AA65" s="28"/>
      <c r="AB65" s="28"/>
      <c r="AC65" s="28"/>
      <c r="AD65" s="28"/>
      <c r="AE65" s="18">
        <f t="shared" si="9"/>
        <v>0</v>
      </c>
      <c r="AF65" s="28"/>
      <c r="AG65" s="28"/>
      <c r="AH65" s="28"/>
      <c r="AI65" s="18">
        <f t="shared" si="17"/>
        <v>0</v>
      </c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18">
        <f t="shared" si="18"/>
        <v>0</v>
      </c>
      <c r="BA65" s="28"/>
      <c r="BB65" s="28"/>
      <c r="BC65" s="28"/>
      <c r="BD65" s="28"/>
      <c r="BE65" s="28"/>
      <c r="BF65" s="28"/>
      <c r="BG65" s="28"/>
      <c r="BH65" s="28"/>
      <c r="BI65" s="28"/>
      <c r="BJ65" s="18">
        <f t="shared" si="19"/>
        <v>0</v>
      </c>
      <c r="BK65" s="28"/>
      <c r="BL65" s="28"/>
      <c r="BM65" s="28"/>
      <c r="BN65" s="28"/>
      <c r="BO65" s="28"/>
      <c r="BP65" s="28"/>
      <c r="BQ65" s="34"/>
      <c r="BR65" s="28"/>
      <c r="BS65" s="28"/>
      <c r="BT65" s="28"/>
      <c r="BU65" s="28"/>
      <c r="BV65" s="18">
        <f t="shared" si="4"/>
        <v>0</v>
      </c>
      <c r="BW65" s="28">
        <f t="shared" si="5"/>
        <v>0</v>
      </c>
      <c r="BX65" s="96">
        <f t="shared" si="6"/>
        <v>0</v>
      </c>
    </row>
    <row r="66" spans="1:76" ht="20.399999999999999" customHeight="1" x14ac:dyDescent="0.35">
      <c r="A66" s="99" t="s">
        <v>492</v>
      </c>
      <c r="B66" s="28"/>
      <c r="C66" s="28"/>
      <c r="D66" s="28"/>
      <c r="E66" s="28"/>
      <c r="F66" s="28"/>
      <c r="G66" s="28"/>
      <c r="H66" s="32" t="s">
        <v>46</v>
      </c>
      <c r="I66" s="18">
        <f t="shared" si="7"/>
        <v>0</v>
      </c>
      <c r="J66" s="28"/>
      <c r="K66" s="28"/>
      <c r="L66" s="18">
        <f t="shared" si="8"/>
        <v>0</v>
      </c>
      <c r="M66" s="28"/>
      <c r="N66" s="58"/>
      <c r="O66" s="58"/>
      <c r="P66" s="58"/>
      <c r="Q66" s="58"/>
      <c r="R66" s="58"/>
      <c r="S66" s="58"/>
      <c r="T66" s="58"/>
      <c r="U66" s="58"/>
      <c r="V66" s="28"/>
      <c r="W66" s="28"/>
      <c r="X66" s="28"/>
      <c r="Y66" s="28"/>
      <c r="Z66" s="28"/>
      <c r="AA66" s="28"/>
      <c r="AB66" s="28"/>
      <c r="AC66" s="28"/>
      <c r="AD66" s="28"/>
      <c r="AE66" s="18">
        <f t="shared" si="9"/>
        <v>0</v>
      </c>
      <c r="AF66" s="28"/>
      <c r="AG66" s="28"/>
      <c r="AH66" s="28"/>
      <c r="AI66" s="18">
        <f t="shared" si="17"/>
        <v>0</v>
      </c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18">
        <f t="shared" si="18"/>
        <v>0</v>
      </c>
      <c r="BA66" s="28"/>
      <c r="BB66" s="28"/>
      <c r="BC66" s="28"/>
      <c r="BD66" s="28"/>
      <c r="BE66" s="28"/>
      <c r="BF66" s="28"/>
      <c r="BG66" s="28"/>
      <c r="BH66" s="28"/>
      <c r="BI66" s="28"/>
      <c r="BJ66" s="18">
        <f t="shared" si="19"/>
        <v>0</v>
      </c>
      <c r="BK66" s="28"/>
      <c r="BL66" s="28"/>
      <c r="BM66" s="28"/>
      <c r="BN66" s="28"/>
      <c r="BO66" s="28"/>
      <c r="BP66" s="28"/>
      <c r="BQ66" s="34"/>
      <c r="BR66" s="28"/>
      <c r="BS66" s="28"/>
      <c r="BT66" s="28"/>
      <c r="BU66" s="28"/>
      <c r="BV66" s="18">
        <f t="shared" ref="BV66:BV70" si="20">I66+AE66+AI66+AZ66+BJ66+BR66+BS66+BT66</f>
        <v>0</v>
      </c>
      <c r="BW66" s="28">
        <f t="shared" ref="BW66:BW70" si="21">+BV66-BU66</f>
        <v>0</v>
      </c>
      <c r="BX66" s="96">
        <f t="shared" ref="BX66:BX70" si="22">+I66+AE66+AI66+BR66+BS66</f>
        <v>0</v>
      </c>
    </row>
    <row r="67" spans="1:76" ht="20.399999999999999" customHeight="1" x14ac:dyDescent="0.35">
      <c r="A67" s="20" t="s">
        <v>501</v>
      </c>
      <c r="B67" s="28"/>
      <c r="C67" s="28"/>
      <c r="D67" s="28"/>
      <c r="E67" s="28"/>
      <c r="F67" s="28"/>
      <c r="G67" s="28"/>
      <c r="H67" s="32" t="s">
        <v>46</v>
      </c>
      <c r="I67" s="18">
        <f t="shared" ref="I67:I70" si="23">K67+L67+SUM(V67:AD67)</f>
        <v>35620.021000000001</v>
      </c>
      <c r="J67" s="18">
        <f>K67+M67+SUM(V67:AD67)</f>
        <v>35620.021000000001</v>
      </c>
      <c r="K67" s="28">
        <v>31350</v>
      </c>
      <c r="L67" s="18">
        <f t="shared" ref="L67:L70" si="24">SUM(N67:U67)</f>
        <v>388</v>
      </c>
      <c r="M67" s="28">
        <v>388</v>
      </c>
      <c r="N67" s="58"/>
      <c r="O67" s="58"/>
      <c r="P67" s="58"/>
      <c r="Q67" s="58"/>
      <c r="R67" s="58"/>
      <c r="S67" s="58"/>
      <c r="T67" s="58">
        <v>388</v>
      </c>
      <c r="U67" s="58"/>
      <c r="V67" s="28"/>
      <c r="W67" s="28"/>
      <c r="X67" s="28">
        <v>1082.7</v>
      </c>
      <c r="Y67" s="28"/>
      <c r="Z67" s="28"/>
      <c r="AA67" s="28">
        <v>114.321</v>
      </c>
      <c r="AB67" s="28">
        <v>2685</v>
      </c>
      <c r="AC67" s="28"/>
      <c r="AD67" s="28"/>
      <c r="AE67" s="18">
        <f t="shared" si="9"/>
        <v>0</v>
      </c>
      <c r="AF67" s="28"/>
      <c r="AG67" s="28"/>
      <c r="AH67" s="28"/>
      <c r="AI67" s="18">
        <f t="shared" si="17"/>
        <v>2837.337</v>
      </c>
      <c r="AJ67" s="28">
        <v>2837.337</v>
      </c>
      <c r="AK67" s="28"/>
      <c r="AL67" s="28"/>
      <c r="AM67" s="28"/>
      <c r="AN67" s="28">
        <v>900</v>
      </c>
      <c r="AO67" s="28">
        <v>1404.63</v>
      </c>
      <c r="AP67" s="28"/>
      <c r="AQ67" s="28"/>
      <c r="AR67" s="28"/>
      <c r="AS67" s="28"/>
      <c r="AT67" s="28"/>
      <c r="AU67" s="28"/>
      <c r="AV67" s="28">
        <v>532.70699999999999</v>
      </c>
      <c r="AW67" s="28"/>
      <c r="AX67" s="28"/>
      <c r="AY67" s="28"/>
      <c r="AZ67" s="18">
        <f t="shared" si="18"/>
        <v>4163.3710000000001</v>
      </c>
      <c r="BA67" s="28">
        <v>4163.3710000000001</v>
      </c>
      <c r="BB67" s="28"/>
      <c r="BC67" s="28"/>
      <c r="BD67" s="28"/>
      <c r="BE67" s="28"/>
      <c r="BF67" s="28">
        <v>4163.3710000000001</v>
      </c>
      <c r="BG67" s="28"/>
      <c r="BH67" s="28"/>
      <c r="BI67" s="28"/>
      <c r="BJ67" s="18">
        <f t="shared" si="19"/>
        <v>5877.4920000000002</v>
      </c>
      <c r="BK67" s="18">
        <f>SUM(BL67:BQ67)</f>
        <v>5877.4920000000002</v>
      </c>
      <c r="BL67" s="28">
        <v>5627.8919999999998</v>
      </c>
      <c r="BM67" s="28"/>
      <c r="BN67" s="28">
        <v>249.6</v>
      </c>
      <c r="BO67" s="28"/>
      <c r="BP67" s="28"/>
      <c r="BQ67" s="34"/>
      <c r="BR67" s="28"/>
      <c r="BS67" s="28"/>
      <c r="BT67" s="28">
        <v>277.64999999999998</v>
      </c>
      <c r="BU67" s="28">
        <v>48775.870999999999</v>
      </c>
      <c r="BV67" s="18">
        <f t="shared" si="20"/>
        <v>48775.870999999999</v>
      </c>
      <c r="BW67" s="28">
        <f t="shared" si="21"/>
        <v>0</v>
      </c>
      <c r="BX67" s="96">
        <f t="shared" si="22"/>
        <v>38457.358</v>
      </c>
    </row>
    <row r="68" spans="1:76" ht="20.399999999999999" customHeight="1" x14ac:dyDescent="0.35">
      <c r="A68" s="99" t="s">
        <v>547</v>
      </c>
      <c r="B68" s="28"/>
      <c r="C68" s="28"/>
      <c r="D68" s="28"/>
      <c r="E68" s="28"/>
      <c r="F68" s="28"/>
      <c r="G68" s="28"/>
      <c r="H68" s="32" t="s">
        <v>255</v>
      </c>
      <c r="I68" s="18">
        <f t="shared" si="23"/>
        <v>0</v>
      </c>
      <c r="J68" s="28"/>
      <c r="K68" s="28"/>
      <c r="L68" s="18">
        <f t="shared" si="24"/>
        <v>0</v>
      </c>
      <c r="M68" s="28"/>
      <c r="N68" s="58"/>
      <c r="O68" s="58"/>
      <c r="P68" s="58"/>
      <c r="Q68" s="58"/>
      <c r="R68" s="58"/>
      <c r="S68" s="58"/>
      <c r="T68" s="58"/>
      <c r="U68" s="58"/>
      <c r="V68" s="28"/>
      <c r="W68" s="28"/>
      <c r="X68" s="28"/>
      <c r="Y68" s="28"/>
      <c r="Z68" s="28"/>
      <c r="AA68" s="28"/>
      <c r="AB68" s="28"/>
      <c r="AC68" s="28"/>
      <c r="AD68" s="28"/>
      <c r="AE68" s="18">
        <f t="shared" si="9"/>
        <v>0</v>
      </c>
      <c r="AF68" s="28"/>
      <c r="AG68" s="28"/>
      <c r="AH68" s="28"/>
      <c r="AI68" s="18">
        <f t="shared" si="17"/>
        <v>0</v>
      </c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18">
        <f t="shared" si="18"/>
        <v>0</v>
      </c>
      <c r="BA68" s="28"/>
      <c r="BB68" s="28"/>
      <c r="BC68" s="28"/>
      <c r="BD68" s="28"/>
      <c r="BE68" s="28"/>
      <c r="BF68" s="28"/>
      <c r="BG68" s="28"/>
      <c r="BH68" s="28"/>
      <c r="BI68" s="28"/>
      <c r="BJ68" s="18">
        <f t="shared" si="19"/>
        <v>0</v>
      </c>
      <c r="BK68" s="28"/>
      <c r="BL68" s="28"/>
      <c r="BM68" s="28"/>
      <c r="BN68" s="28"/>
      <c r="BO68" s="28"/>
      <c r="BP68" s="28"/>
      <c r="BQ68" s="34"/>
      <c r="BR68" s="28"/>
      <c r="BS68" s="28"/>
      <c r="BT68" s="28"/>
      <c r="BU68" s="28"/>
      <c r="BV68" s="18">
        <f t="shared" si="20"/>
        <v>0</v>
      </c>
      <c r="BW68" s="28">
        <f t="shared" si="21"/>
        <v>0</v>
      </c>
      <c r="BX68" s="96">
        <f t="shared" si="22"/>
        <v>0</v>
      </c>
    </row>
    <row r="69" spans="1:76" ht="20.399999999999999" customHeight="1" x14ac:dyDescent="0.35">
      <c r="A69" s="99" t="s">
        <v>646</v>
      </c>
      <c r="B69" s="28"/>
      <c r="C69" s="28"/>
      <c r="D69" s="28"/>
      <c r="E69" s="28"/>
      <c r="F69" s="28"/>
      <c r="G69" s="28"/>
      <c r="H69" s="32" t="s">
        <v>46</v>
      </c>
      <c r="I69" s="18">
        <f t="shared" si="23"/>
        <v>0</v>
      </c>
      <c r="J69" s="28"/>
      <c r="K69" s="28"/>
      <c r="L69" s="18">
        <f t="shared" si="24"/>
        <v>0</v>
      </c>
      <c r="M69" s="28"/>
      <c r="N69" s="58"/>
      <c r="O69" s="58"/>
      <c r="P69" s="58"/>
      <c r="Q69" s="58"/>
      <c r="R69" s="58"/>
      <c r="S69" s="58"/>
      <c r="T69" s="58"/>
      <c r="U69" s="58"/>
      <c r="V69" s="28"/>
      <c r="W69" s="28"/>
      <c r="X69" s="28"/>
      <c r="Y69" s="28"/>
      <c r="Z69" s="28"/>
      <c r="AA69" s="28"/>
      <c r="AB69" s="28"/>
      <c r="AC69" s="28"/>
      <c r="AD69" s="28"/>
      <c r="AE69" s="18">
        <f t="shared" si="9"/>
        <v>0</v>
      </c>
      <c r="AF69" s="28"/>
      <c r="AG69" s="28"/>
      <c r="AH69" s="28"/>
      <c r="AI69" s="18">
        <f t="shared" si="17"/>
        <v>0</v>
      </c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18">
        <f t="shared" si="18"/>
        <v>0</v>
      </c>
      <c r="BA69" s="28"/>
      <c r="BB69" s="28"/>
      <c r="BC69" s="28"/>
      <c r="BD69" s="28"/>
      <c r="BE69" s="28"/>
      <c r="BF69" s="28"/>
      <c r="BG69" s="28"/>
      <c r="BH69" s="28"/>
      <c r="BI69" s="28"/>
      <c r="BJ69" s="18">
        <f t="shared" si="19"/>
        <v>0</v>
      </c>
      <c r="BK69" s="28"/>
      <c r="BL69" s="28"/>
      <c r="BM69" s="28"/>
      <c r="BN69" s="28"/>
      <c r="BO69" s="28"/>
      <c r="BP69" s="28"/>
      <c r="BQ69" s="34"/>
      <c r="BR69" s="28"/>
      <c r="BS69" s="28"/>
      <c r="BT69" s="28"/>
      <c r="BU69" s="28"/>
      <c r="BV69" s="18">
        <f t="shared" si="20"/>
        <v>0</v>
      </c>
      <c r="BW69" s="28">
        <f t="shared" si="21"/>
        <v>0</v>
      </c>
      <c r="BX69" s="96">
        <f t="shared" si="22"/>
        <v>0</v>
      </c>
    </row>
    <row r="70" spans="1:76" ht="20.399999999999999" customHeight="1" x14ac:dyDescent="0.35">
      <c r="A70" s="99" t="s">
        <v>614</v>
      </c>
      <c r="B70" s="28"/>
      <c r="C70" s="28"/>
      <c r="D70" s="28"/>
      <c r="E70" s="28"/>
      <c r="F70" s="28"/>
      <c r="G70" s="28"/>
      <c r="H70" s="32" t="s">
        <v>255</v>
      </c>
      <c r="I70" s="18">
        <f t="shared" si="23"/>
        <v>0</v>
      </c>
      <c r="J70" s="28"/>
      <c r="K70" s="28"/>
      <c r="L70" s="18">
        <f t="shared" si="24"/>
        <v>0</v>
      </c>
      <c r="M70" s="28"/>
      <c r="N70" s="58"/>
      <c r="O70" s="58"/>
      <c r="P70" s="58"/>
      <c r="Q70" s="58"/>
      <c r="R70" s="58"/>
      <c r="S70" s="58"/>
      <c r="T70" s="58"/>
      <c r="U70" s="58"/>
      <c r="V70" s="28"/>
      <c r="W70" s="28"/>
      <c r="X70" s="28"/>
      <c r="Y70" s="28"/>
      <c r="Z70" s="28"/>
      <c r="AA70" s="28"/>
      <c r="AB70" s="28"/>
      <c r="AC70" s="28"/>
      <c r="AD70" s="28"/>
      <c r="AE70" s="18">
        <f t="shared" si="9"/>
        <v>0</v>
      </c>
      <c r="AF70" s="28"/>
      <c r="AG70" s="28"/>
      <c r="AH70" s="28"/>
      <c r="AI70" s="18">
        <f t="shared" si="17"/>
        <v>0</v>
      </c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18">
        <f t="shared" si="18"/>
        <v>0</v>
      </c>
      <c r="BA70" s="28"/>
      <c r="BB70" s="28"/>
      <c r="BC70" s="28"/>
      <c r="BD70" s="28"/>
      <c r="BE70" s="28"/>
      <c r="BF70" s="28"/>
      <c r="BG70" s="28"/>
      <c r="BH70" s="28"/>
      <c r="BI70" s="28"/>
      <c r="BJ70" s="18">
        <f t="shared" si="19"/>
        <v>0</v>
      </c>
      <c r="BK70" s="28"/>
      <c r="BL70" s="28"/>
      <c r="BM70" s="28"/>
      <c r="BN70" s="28"/>
      <c r="BO70" s="28"/>
      <c r="BP70" s="28"/>
      <c r="BQ70" s="34"/>
      <c r="BR70" s="28"/>
      <c r="BS70" s="28"/>
      <c r="BT70" s="28"/>
      <c r="BU70" s="28"/>
      <c r="BV70" s="18">
        <f t="shared" si="20"/>
        <v>0</v>
      </c>
      <c r="BW70" s="28">
        <f t="shared" si="21"/>
        <v>0</v>
      </c>
      <c r="BX70" s="96">
        <f t="shared" si="22"/>
        <v>0</v>
      </c>
    </row>
  </sheetData>
  <autoFilter ref="A1:BX70" xr:uid="{00000000-0009-0000-0000-000010000000}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D9"/>
  <sheetViews>
    <sheetView workbookViewId="0">
      <selection activeCell="J44" sqref="J44:K44"/>
    </sheetView>
  </sheetViews>
  <sheetFormatPr baseColWidth="10" defaultRowHeight="14.5" x14ac:dyDescent="0.35"/>
  <cols>
    <col min="1" max="1" width="19.54296875" bestFit="1" customWidth="1"/>
    <col min="2" max="2" width="31.81640625" style="13" customWidth="1"/>
    <col min="3" max="3" width="33.1796875" style="13" customWidth="1"/>
  </cols>
  <sheetData>
    <row r="3" spans="1:4" x14ac:dyDescent="0.35">
      <c r="A3" s="5" t="s">
        <v>653</v>
      </c>
      <c r="B3" s="13" t="s">
        <v>1591</v>
      </c>
      <c r="C3" s="13" t="s">
        <v>1592</v>
      </c>
    </row>
    <row r="4" spans="1:4" x14ac:dyDescent="0.35">
      <c r="A4" s="174">
        <v>2018</v>
      </c>
      <c r="B4" s="13">
        <v>785142127.5257175</v>
      </c>
      <c r="C4" s="13">
        <v>58871424.024000004</v>
      </c>
      <c r="D4" s="163"/>
    </row>
    <row r="5" spans="1:4" x14ac:dyDescent="0.35">
      <c r="A5" s="174">
        <v>2019</v>
      </c>
      <c r="B5" s="13">
        <v>832829803.7425046</v>
      </c>
      <c r="C5" s="13">
        <v>54689476.144399993</v>
      </c>
      <c r="D5" s="163"/>
    </row>
    <row r="6" spans="1:4" x14ac:dyDescent="0.35">
      <c r="A6" s="174">
        <v>2020</v>
      </c>
      <c r="B6" s="13">
        <v>917186002</v>
      </c>
      <c r="C6" s="13">
        <v>66220882.975204252</v>
      </c>
      <c r="D6" s="163"/>
    </row>
    <row r="7" spans="1:4" x14ac:dyDescent="0.35">
      <c r="A7" s="174">
        <v>2021</v>
      </c>
      <c r="B7" s="13">
        <v>1336856932</v>
      </c>
      <c r="C7" s="13">
        <v>90146181.688132793</v>
      </c>
      <c r="D7" s="163"/>
    </row>
    <row r="8" spans="1:4" x14ac:dyDescent="0.35">
      <c r="A8" s="174">
        <v>2022</v>
      </c>
      <c r="B8" s="13">
        <v>968945869</v>
      </c>
      <c r="C8" s="13">
        <v>86511779.479999989</v>
      </c>
      <c r="D8" s="163"/>
    </row>
    <row r="9" spans="1:4" x14ac:dyDescent="0.35">
      <c r="A9" s="174" t="s">
        <v>654</v>
      </c>
      <c r="B9" s="13">
        <v>4840960734.2682219</v>
      </c>
      <c r="C9" s="13">
        <v>356439744.31173706</v>
      </c>
      <c r="D9" s="16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59"/>
  <sheetViews>
    <sheetView workbookViewId="0">
      <pane ySplit="1" topLeftCell="A2" activePane="bottomLeft" state="frozen"/>
      <selection pane="bottomLeft" activeCell="E11" sqref="E11"/>
    </sheetView>
  </sheetViews>
  <sheetFormatPr baseColWidth="10" defaultRowHeight="14.5" x14ac:dyDescent="0.35"/>
  <cols>
    <col min="1" max="1" width="49.36328125" bestFit="1" customWidth="1"/>
    <col min="2" max="2" width="35.453125" bestFit="1" customWidth="1"/>
    <col min="3" max="3" width="37" bestFit="1" customWidth="1"/>
    <col min="4" max="4" width="13.90625" style="39" bestFit="1" customWidth="1"/>
    <col min="5" max="5" width="32.90625" customWidth="1"/>
    <col min="6" max="6" width="21.90625" bestFit="1" customWidth="1"/>
    <col min="11" max="11" width="15.08984375" bestFit="1" customWidth="1"/>
    <col min="12" max="12" width="14.08984375" bestFit="1" customWidth="1"/>
  </cols>
  <sheetData>
    <row r="1" spans="1:6" ht="28.25" customHeight="1" x14ac:dyDescent="0.35">
      <c r="A1" s="107" t="s">
        <v>617</v>
      </c>
      <c r="B1" s="107" t="s">
        <v>977</v>
      </c>
      <c r="C1" s="107" t="s">
        <v>978</v>
      </c>
      <c r="D1" s="108" t="s">
        <v>722</v>
      </c>
      <c r="E1" s="107" t="s">
        <v>982</v>
      </c>
    </row>
    <row r="2" spans="1:6" s="1" customFormat="1" ht="30" customHeight="1" x14ac:dyDescent="0.35">
      <c r="A2" s="50" t="s">
        <v>14</v>
      </c>
      <c r="B2" s="50">
        <v>214443.79963090841</v>
      </c>
      <c r="C2" s="50">
        <v>26644</v>
      </c>
      <c r="D2" s="36">
        <v>2018</v>
      </c>
      <c r="E2" s="50"/>
    </row>
    <row r="3" spans="1:6" s="1" customFormat="1" ht="30" customHeight="1" x14ac:dyDescent="0.35">
      <c r="A3" s="50" t="s">
        <v>30</v>
      </c>
      <c r="B3" s="50">
        <v>2284800</v>
      </c>
      <c r="C3" s="50">
        <v>140005.20000000001</v>
      </c>
      <c r="D3" s="36">
        <v>2018</v>
      </c>
      <c r="E3" s="50"/>
    </row>
    <row r="4" spans="1:6" s="1" customFormat="1" ht="30" customHeight="1" x14ac:dyDescent="0.35">
      <c r="A4" s="50" t="s">
        <v>51</v>
      </c>
      <c r="B4" s="50">
        <v>101416659</v>
      </c>
      <c r="C4" s="50">
        <v>6085153</v>
      </c>
      <c r="D4" s="36">
        <v>2018</v>
      </c>
      <c r="E4" s="50"/>
    </row>
    <row r="5" spans="1:6" s="1" customFormat="1" ht="30" customHeight="1" x14ac:dyDescent="0.35">
      <c r="A5" s="50" t="s">
        <v>62</v>
      </c>
      <c r="B5" s="50">
        <v>13650986.381086541</v>
      </c>
      <c r="C5" s="50">
        <v>1162727.2239999999</v>
      </c>
      <c r="D5" s="36">
        <v>2018</v>
      </c>
      <c r="E5" s="50"/>
    </row>
    <row r="6" spans="1:6" s="1" customFormat="1" ht="30" customHeight="1" x14ac:dyDescent="0.35">
      <c r="A6" s="50" t="s">
        <v>67</v>
      </c>
      <c r="B6" s="50">
        <v>134585550</v>
      </c>
      <c r="C6" s="50">
        <v>9956419</v>
      </c>
      <c r="D6" s="36">
        <v>2018</v>
      </c>
      <c r="E6" s="50"/>
    </row>
    <row r="7" spans="1:6" s="1" customFormat="1" ht="30" customHeight="1" x14ac:dyDescent="0.35">
      <c r="A7" s="50" t="s">
        <v>75</v>
      </c>
      <c r="B7" s="50">
        <v>126549642</v>
      </c>
      <c r="C7" s="50">
        <v>6100616</v>
      </c>
      <c r="D7" s="36">
        <v>2018</v>
      </c>
      <c r="E7" s="50"/>
    </row>
    <row r="8" spans="1:6" s="1" customFormat="1" ht="30" customHeight="1" x14ac:dyDescent="0.35">
      <c r="A8" s="50" t="s">
        <v>79</v>
      </c>
      <c r="B8" s="50">
        <v>211664011</v>
      </c>
      <c r="C8" s="50">
        <v>16614011</v>
      </c>
      <c r="D8" s="36">
        <v>2018</v>
      </c>
      <c r="E8" s="50"/>
    </row>
    <row r="9" spans="1:6" s="1" customFormat="1" ht="30" customHeight="1" x14ac:dyDescent="0.35">
      <c r="A9" s="50" t="s">
        <v>89</v>
      </c>
      <c r="B9" s="50">
        <v>53761566</v>
      </c>
      <c r="C9" s="50">
        <v>7956596</v>
      </c>
      <c r="D9" s="36">
        <v>2018</v>
      </c>
      <c r="E9" s="50"/>
    </row>
    <row r="10" spans="1:6" s="1" customFormat="1" ht="30" customHeight="1" x14ac:dyDescent="0.35">
      <c r="A10" s="50" t="s">
        <v>93</v>
      </c>
      <c r="B10" s="50">
        <v>141012255</v>
      </c>
      <c r="C10" s="50">
        <v>10787907</v>
      </c>
      <c r="D10" s="36">
        <v>2018</v>
      </c>
      <c r="E10" s="50"/>
      <c r="F10" s="175"/>
    </row>
    <row r="11" spans="1:6" s="1" customFormat="1" ht="30" customHeight="1" x14ac:dyDescent="0.35">
      <c r="A11" s="50" t="s">
        <v>112</v>
      </c>
      <c r="B11" s="50">
        <v>1100</v>
      </c>
      <c r="C11" s="50">
        <v>40813.356725251149</v>
      </c>
      <c r="D11" s="36">
        <v>2018</v>
      </c>
      <c r="E11" s="50"/>
    </row>
    <row r="12" spans="1:6" s="1" customFormat="1" ht="30" customHeight="1" x14ac:dyDescent="0.35">
      <c r="A12" s="50" t="s">
        <v>116</v>
      </c>
      <c r="B12" s="50">
        <v>1114.345</v>
      </c>
      <c r="C12" s="50">
        <v>41345.599999999999</v>
      </c>
      <c r="D12" s="36">
        <v>2018</v>
      </c>
      <c r="E12" s="50"/>
      <c r="F12" s="175"/>
    </row>
    <row r="13" spans="1:6" s="1" customFormat="1" ht="30" customHeight="1" x14ac:dyDescent="0.35">
      <c r="A13" s="50" t="s">
        <v>30</v>
      </c>
      <c r="B13" s="50">
        <v>2400000</v>
      </c>
      <c r="C13" s="50">
        <v>105774</v>
      </c>
      <c r="D13" s="36">
        <v>2019</v>
      </c>
      <c r="E13" s="50"/>
    </row>
    <row r="14" spans="1:6" s="1" customFormat="1" ht="30" customHeight="1" x14ac:dyDescent="0.35">
      <c r="A14" s="50" t="s">
        <v>51</v>
      </c>
      <c r="B14" s="50">
        <v>120141576</v>
      </c>
      <c r="C14" s="50">
        <v>10772886</v>
      </c>
      <c r="D14" s="36">
        <v>2019</v>
      </c>
      <c r="E14" s="50"/>
    </row>
    <row r="15" spans="1:6" s="1" customFormat="1" ht="30" customHeight="1" x14ac:dyDescent="0.35">
      <c r="A15" s="50" t="s">
        <v>62</v>
      </c>
      <c r="B15" s="50">
        <v>12834881.497898489</v>
      </c>
      <c r="C15" s="50">
        <v>1247622.9099999999</v>
      </c>
      <c r="D15" s="36">
        <v>2019</v>
      </c>
      <c r="E15" s="50"/>
    </row>
    <row r="16" spans="1:6" s="1" customFormat="1" ht="30" customHeight="1" x14ac:dyDescent="0.35">
      <c r="A16" s="50" t="s">
        <v>75</v>
      </c>
      <c r="B16" s="50">
        <v>257279841</v>
      </c>
      <c r="C16" s="50">
        <v>8067202</v>
      </c>
      <c r="D16" s="36">
        <v>2019</v>
      </c>
      <c r="E16" s="50"/>
    </row>
    <row r="17" spans="1:5" s="1" customFormat="1" ht="30" customHeight="1" x14ac:dyDescent="0.35">
      <c r="A17" s="50" t="s">
        <v>79</v>
      </c>
      <c r="B17" s="50">
        <v>219430681</v>
      </c>
      <c r="C17" s="50">
        <v>15379725</v>
      </c>
      <c r="D17" s="36">
        <v>2019</v>
      </c>
      <c r="E17" s="50"/>
    </row>
    <row r="18" spans="1:5" s="1" customFormat="1" ht="30" customHeight="1" x14ac:dyDescent="0.35">
      <c r="A18" s="50" t="s">
        <v>84</v>
      </c>
      <c r="B18" s="50">
        <v>1351143.2446061384</v>
      </c>
      <c r="C18" s="50">
        <v>212413.48</v>
      </c>
      <c r="D18" s="36">
        <v>2019</v>
      </c>
      <c r="E18" s="50"/>
    </row>
    <row r="19" spans="1:5" s="1" customFormat="1" ht="30" customHeight="1" x14ac:dyDescent="0.35">
      <c r="A19" s="50" t="s">
        <v>89</v>
      </c>
      <c r="B19" s="50">
        <v>73838678</v>
      </c>
      <c r="C19" s="50">
        <v>8829520</v>
      </c>
      <c r="D19" s="36">
        <v>2019</v>
      </c>
      <c r="E19" s="50"/>
    </row>
    <row r="20" spans="1:5" s="1" customFormat="1" ht="30" customHeight="1" x14ac:dyDescent="0.35">
      <c r="A20" s="50" t="s">
        <v>93</v>
      </c>
      <c r="B20" s="50">
        <v>145200000</v>
      </c>
      <c r="C20" s="50">
        <v>10000000</v>
      </c>
      <c r="D20" s="36">
        <v>2019</v>
      </c>
      <c r="E20" s="50"/>
    </row>
    <row r="21" spans="1:5" s="1" customFormat="1" ht="30" customHeight="1" x14ac:dyDescent="0.35">
      <c r="A21" s="103" t="s">
        <v>116</v>
      </c>
      <c r="B21" s="50">
        <v>1222</v>
      </c>
      <c r="C21" s="50">
        <v>45346</v>
      </c>
      <c r="D21" s="36">
        <v>2019</v>
      </c>
      <c r="E21" s="50"/>
    </row>
    <row r="22" spans="1:5" s="1" customFormat="1" ht="30" customHeight="1" x14ac:dyDescent="0.35">
      <c r="A22" s="50" t="s">
        <v>124</v>
      </c>
      <c r="B22" s="50">
        <v>351781</v>
      </c>
      <c r="C22" s="50">
        <v>28986.754400000002</v>
      </c>
      <c r="D22" s="36">
        <v>2019</v>
      </c>
      <c r="E22" s="50"/>
    </row>
    <row r="23" spans="1:5" s="1" customFormat="1" ht="30" customHeight="1" x14ac:dyDescent="0.35">
      <c r="A23" s="30" t="s">
        <v>276</v>
      </c>
      <c r="B23" s="35">
        <v>864000</v>
      </c>
      <c r="C23" s="35">
        <v>36644</v>
      </c>
      <c r="D23" s="36">
        <v>2020</v>
      </c>
      <c r="E23" s="50" t="s">
        <v>431</v>
      </c>
    </row>
    <row r="24" spans="1:5" s="1" customFormat="1" ht="30" customHeight="1" x14ac:dyDescent="0.35">
      <c r="A24" s="30" t="s">
        <v>300</v>
      </c>
      <c r="B24" s="35">
        <v>217118178</v>
      </c>
      <c r="C24" s="35">
        <v>14062413</v>
      </c>
      <c r="D24" s="36">
        <v>2020</v>
      </c>
      <c r="E24" s="50" t="s">
        <v>979</v>
      </c>
    </row>
    <row r="25" spans="1:5" s="1" customFormat="1" ht="30" customHeight="1" x14ac:dyDescent="0.35">
      <c r="A25" s="30" t="s">
        <v>317</v>
      </c>
      <c r="B25" s="35">
        <v>136670172</v>
      </c>
      <c r="C25" s="35">
        <v>12278735</v>
      </c>
      <c r="D25" s="36">
        <v>2020</v>
      </c>
      <c r="E25" s="50" t="s">
        <v>979</v>
      </c>
    </row>
    <row r="26" spans="1:5" s="1" customFormat="1" ht="30" customHeight="1" x14ac:dyDescent="0.35">
      <c r="A26" s="30" t="s">
        <v>346</v>
      </c>
      <c r="B26" s="35">
        <v>100891686</v>
      </c>
      <c r="C26" s="35">
        <v>4076828</v>
      </c>
      <c r="D26" s="36">
        <v>2020</v>
      </c>
      <c r="E26" s="50" t="s">
        <v>981</v>
      </c>
    </row>
    <row r="27" spans="1:5" s="1" customFormat="1" ht="30" customHeight="1" x14ac:dyDescent="0.35">
      <c r="A27" s="30" t="s">
        <v>346</v>
      </c>
      <c r="B27" s="35">
        <v>38006000</v>
      </c>
      <c r="C27" s="35">
        <v>1535745.2245173105</v>
      </c>
      <c r="D27" s="36">
        <v>2020</v>
      </c>
      <c r="E27" s="50" t="s">
        <v>981</v>
      </c>
    </row>
    <row r="28" spans="1:5" s="1" customFormat="1" ht="30" customHeight="1" x14ac:dyDescent="0.35">
      <c r="A28" s="30" t="s">
        <v>373</v>
      </c>
      <c r="B28" s="35">
        <v>75768590</v>
      </c>
      <c r="C28" s="35">
        <v>10716264</v>
      </c>
      <c r="D28" s="36">
        <v>2020</v>
      </c>
      <c r="E28" s="50" t="s">
        <v>431</v>
      </c>
    </row>
    <row r="29" spans="1:5" s="1" customFormat="1" ht="30" customHeight="1" x14ac:dyDescent="0.35">
      <c r="A29" s="30" t="s">
        <v>376</v>
      </c>
      <c r="B29" s="35">
        <v>141558748</v>
      </c>
      <c r="C29" s="35">
        <v>8000000</v>
      </c>
      <c r="D29" s="36">
        <v>2020</v>
      </c>
      <c r="E29" s="50" t="s">
        <v>431</v>
      </c>
    </row>
    <row r="30" spans="1:5" s="1" customFormat="1" ht="30" customHeight="1" x14ac:dyDescent="0.35">
      <c r="A30" s="30" t="s">
        <v>124</v>
      </c>
      <c r="B30" s="35">
        <v>3064747</v>
      </c>
      <c r="C30" s="35">
        <v>180172.930686935</v>
      </c>
      <c r="D30" s="36">
        <v>2020</v>
      </c>
      <c r="E30" s="50" t="s">
        <v>431</v>
      </c>
    </row>
    <row r="31" spans="1:5" s="1" customFormat="1" ht="30" customHeight="1" x14ac:dyDescent="0.35">
      <c r="A31" s="50" t="s">
        <v>62</v>
      </c>
      <c r="B31" s="35">
        <v>12834881</v>
      </c>
      <c r="C31" s="50">
        <v>1247623</v>
      </c>
      <c r="D31" s="36">
        <v>2020</v>
      </c>
      <c r="E31" s="50" t="s">
        <v>442</v>
      </c>
    </row>
    <row r="32" spans="1:5" s="1" customFormat="1" ht="30" customHeight="1" x14ac:dyDescent="0.35">
      <c r="A32" s="50" t="s">
        <v>329</v>
      </c>
      <c r="B32" s="50">
        <v>190409000</v>
      </c>
      <c r="C32" s="50">
        <v>14086457.82</v>
      </c>
      <c r="D32" s="36">
        <v>2020</v>
      </c>
      <c r="E32" s="50" t="s">
        <v>980</v>
      </c>
    </row>
    <row r="33" spans="1:27" s="1" customFormat="1" ht="30" customHeight="1" x14ac:dyDescent="0.35">
      <c r="A33" s="30" t="s">
        <v>151</v>
      </c>
      <c r="B33" s="35">
        <v>1423884</v>
      </c>
      <c r="C33" s="35">
        <v>243416</v>
      </c>
      <c r="D33" s="36">
        <v>2021</v>
      </c>
      <c r="E33" s="50" t="s">
        <v>983</v>
      </c>
    </row>
    <row r="34" spans="1:27" s="1" customFormat="1" ht="30" customHeight="1" x14ac:dyDescent="0.35">
      <c r="A34" s="30" t="s">
        <v>300</v>
      </c>
      <c r="B34" s="35">
        <v>223504324</v>
      </c>
      <c r="C34" s="35">
        <v>16291000</v>
      </c>
      <c r="D34" s="36">
        <v>2021</v>
      </c>
      <c r="E34" s="50" t="s">
        <v>979</v>
      </c>
    </row>
    <row r="35" spans="1:27" s="1" customFormat="1" ht="30" customHeight="1" x14ac:dyDescent="0.35">
      <c r="A35" s="30" t="s">
        <v>317</v>
      </c>
      <c r="B35" s="35">
        <v>133057329</v>
      </c>
      <c r="C35" s="50">
        <v>9102827</v>
      </c>
      <c r="D35" s="36">
        <v>2021</v>
      </c>
      <c r="E35" s="50" t="s">
        <v>979</v>
      </c>
    </row>
    <row r="36" spans="1:27" s="1" customFormat="1" ht="30" customHeight="1" x14ac:dyDescent="0.35">
      <c r="A36" s="30" t="s">
        <v>62</v>
      </c>
      <c r="B36" s="35">
        <v>4435522</v>
      </c>
      <c r="C36" s="35">
        <v>431177.40837950807</v>
      </c>
      <c r="D36" s="36">
        <v>2021</v>
      </c>
      <c r="E36" s="50" t="s">
        <v>442</v>
      </c>
    </row>
    <row r="37" spans="1:27" s="1" customFormat="1" ht="30" customHeight="1" x14ac:dyDescent="0.35">
      <c r="A37" s="30" t="s">
        <v>522</v>
      </c>
      <c r="B37" s="35">
        <v>135835358</v>
      </c>
      <c r="C37" s="35">
        <v>10000000</v>
      </c>
      <c r="D37" s="36">
        <v>2021</v>
      </c>
      <c r="E37" s="50" t="s">
        <v>980</v>
      </c>
    </row>
    <row r="38" spans="1:27" s="1" customFormat="1" ht="30" customHeight="1" x14ac:dyDescent="0.35">
      <c r="A38" s="30" t="s">
        <v>346</v>
      </c>
      <c r="B38" s="30">
        <f>292758524+34578461</f>
        <v>327336985</v>
      </c>
      <c r="C38" s="30">
        <f>5935556+1486873.81</f>
        <v>7422429.8100000005</v>
      </c>
      <c r="D38" s="36">
        <v>2021</v>
      </c>
      <c r="E38" s="50" t="s">
        <v>981</v>
      </c>
    </row>
    <row r="39" spans="1:27" s="1" customFormat="1" ht="30" customHeight="1" x14ac:dyDescent="0.35">
      <c r="A39" s="30" t="s">
        <v>373</v>
      </c>
      <c r="B39" s="35">
        <v>69161602</v>
      </c>
      <c r="C39" s="35">
        <v>14573460</v>
      </c>
      <c r="D39" s="36">
        <v>2021</v>
      </c>
      <c r="E39" s="50" t="s">
        <v>431</v>
      </c>
    </row>
    <row r="40" spans="1:27" s="1" customFormat="1" ht="30" customHeight="1" x14ac:dyDescent="0.35">
      <c r="A40" s="30" t="s">
        <v>376</v>
      </c>
      <c r="B40" s="35">
        <v>140247071</v>
      </c>
      <c r="C40" s="35">
        <v>8000000</v>
      </c>
      <c r="D40" s="36">
        <v>2021</v>
      </c>
      <c r="E40" s="50" t="s">
        <v>431</v>
      </c>
    </row>
    <row r="41" spans="1:27" s="1" customFormat="1" ht="30" customHeight="1" x14ac:dyDescent="0.35">
      <c r="A41" s="103" t="s">
        <v>124</v>
      </c>
      <c r="B41" s="50">
        <v>1388945</v>
      </c>
      <c r="C41" s="50">
        <v>81654.469753283032</v>
      </c>
      <c r="D41" s="36">
        <v>2021</v>
      </c>
      <c r="E41" s="50" t="s">
        <v>431</v>
      </c>
    </row>
    <row r="42" spans="1:27" s="1" customFormat="1" ht="30" customHeight="1" x14ac:dyDescent="0.35">
      <c r="A42" s="103" t="s">
        <v>276</v>
      </c>
      <c r="B42" s="50">
        <v>1088912</v>
      </c>
      <c r="C42" s="50">
        <v>50057</v>
      </c>
      <c r="D42" s="36">
        <v>2021</v>
      </c>
      <c r="E42" s="50" t="s">
        <v>431</v>
      </c>
    </row>
    <row r="43" spans="1:27" s="1" customFormat="1" ht="30" customHeight="1" x14ac:dyDescent="0.35">
      <c r="A43" s="103" t="s">
        <v>128</v>
      </c>
      <c r="B43" s="50">
        <v>299377000</v>
      </c>
      <c r="C43" s="50">
        <v>23950160</v>
      </c>
      <c r="D43" s="36">
        <v>2021</v>
      </c>
      <c r="E43" s="50" t="s">
        <v>979</v>
      </c>
    </row>
    <row r="44" spans="1:27" s="1" customFormat="1" ht="30" customHeight="1" x14ac:dyDescent="0.35">
      <c r="A44" s="20" t="s">
        <v>151</v>
      </c>
      <c r="B44" s="35">
        <v>2329600</v>
      </c>
      <c r="C44" s="18">
        <v>262000</v>
      </c>
      <c r="D44" s="36">
        <v>2022</v>
      </c>
      <c r="E44" s="20" t="s">
        <v>983</v>
      </c>
      <c r="F44" s="104"/>
      <c r="G44" s="105"/>
      <c r="H44" s="105"/>
      <c r="I44" s="105"/>
      <c r="J44" s="105"/>
      <c r="K44" s="106"/>
      <c r="L44" s="105"/>
      <c r="M44" s="105"/>
      <c r="N44" s="105"/>
      <c r="O44" s="105"/>
      <c r="P44" s="105"/>
      <c r="Q44" s="105"/>
      <c r="R44" s="105"/>
      <c r="S44" s="105"/>
      <c r="T44" s="106"/>
      <c r="U44" s="105"/>
      <c r="V44" s="105"/>
      <c r="W44" s="105"/>
      <c r="X44" s="105"/>
      <c r="Y44" s="105"/>
      <c r="Z44" s="105"/>
      <c r="AA44" s="105"/>
    </row>
    <row r="45" spans="1:27" s="1" customFormat="1" ht="30" customHeight="1" x14ac:dyDescent="0.35">
      <c r="A45" s="20" t="s">
        <v>346</v>
      </c>
      <c r="B45" s="35">
        <v>265237763</v>
      </c>
      <c r="C45" s="18">
        <v>7172899</v>
      </c>
      <c r="D45" s="36">
        <v>2022</v>
      </c>
      <c r="E45" s="50" t="s">
        <v>981</v>
      </c>
    </row>
    <row r="46" spans="1:27" s="1" customFormat="1" ht="30" customHeight="1" x14ac:dyDescent="0.35">
      <c r="A46" s="20" t="s">
        <v>300</v>
      </c>
      <c r="B46" s="35">
        <v>226156533</v>
      </c>
      <c r="C46" s="18">
        <v>27100412</v>
      </c>
      <c r="D46" s="36">
        <v>2022</v>
      </c>
      <c r="E46" s="50" t="s">
        <v>979</v>
      </c>
    </row>
    <row r="47" spans="1:27" s="1" customFormat="1" ht="30" customHeight="1" x14ac:dyDescent="0.35">
      <c r="A47" s="20" t="s">
        <v>522</v>
      </c>
      <c r="B47" s="35">
        <v>134248000</v>
      </c>
      <c r="C47" s="18">
        <v>15033200</v>
      </c>
      <c r="D47" s="36">
        <v>2022</v>
      </c>
      <c r="E47" s="50" t="s">
        <v>980</v>
      </c>
    </row>
    <row r="48" spans="1:27" s="1" customFormat="1" ht="30" customHeight="1" x14ac:dyDescent="0.35">
      <c r="A48" s="20" t="s">
        <v>685</v>
      </c>
      <c r="B48" s="35">
        <v>8885368</v>
      </c>
      <c r="C48" s="18">
        <v>977390.48</v>
      </c>
      <c r="D48" s="36">
        <v>2022</v>
      </c>
      <c r="E48" s="50" t="s">
        <v>431</v>
      </c>
    </row>
    <row r="49" spans="1:6" s="1" customFormat="1" ht="30" customHeight="1" x14ac:dyDescent="0.35">
      <c r="A49" s="20" t="s">
        <v>376</v>
      </c>
      <c r="B49" s="35">
        <v>143556211</v>
      </c>
      <c r="C49" s="18">
        <v>14341000</v>
      </c>
      <c r="D49" s="36">
        <v>2022</v>
      </c>
      <c r="E49" s="50" t="s">
        <v>431</v>
      </c>
    </row>
    <row r="50" spans="1:6" s="1" customFormat="1" ht="30" customHeight="1" x14ac:dyDescent="0.35">
      <c r="A50" s="20" t="s">
        <v>317</v>
      </c>
      <c r="B50" s="35">
        <v>100528139</v>
      </c>
      <c r="C50" s="18">
        <v>11359680</v>
      </c>
      <c r="D50" s="36">
        <v>2022</v>
      </c>
      <c r="E50" s="50" t="s">
        <v>979</v>
      </c>
    </row>
    <row r="51" spans="1:6" s="1" customFormat="1" ht="30" customHeight="1" x14ac:dyDescent="0.35">
      <c r="A51" s="20" t="s">
        <v>373</v>
      </c>
      <c r="B51" s="35">
        <v>83628875</v>
      </c>
      <c r="C51" s="18">
        <v>9455753</v>
      </c>
      <c r="D51" s="36">
        <v>2022</v>
      </c>
      <c r="E51" s="50" t="s">
        <v>431</v>
      </c>
    </row>
    <row r="52" spans="1:6" s="1" customFormat="1" ht="30" customHeight="1" x14ac:dyDescent="0.35">
      <c r="A52" s="20" t="s">
        <v>62</v>
      </c>
      <c r="B52" s="35">
        <v>4375380</v>
      </c>
      <c r="C52" s="18">
        <v>809445</v>
      </c>
      <c r="D52" s="36">
        <v>2022</v>
      </c>
      <c r="E52" s="20" t="s">
        <v>983</v>
      </c>
    </row>
    <row r="53" spans="1:6" s="1" customFormat="1" ht="30" customHeight="1" x14ac:dyDescent="0.35">
      <c r="A53" s="20" t="s">
        <v>151</v>
      </c>
      <c r="B53" s="35">
        <v>3484800</v>
      </c>
      <c r="C53" s="18">
        <v>258430</v>
      </c>
      <c r="D53" s="36">
        <v>2023</v>
      </c>
      <c r="E53" s="50" t="s">
        <v>983</v>
      </c>
      <c r="F53" s="175"/>
    </row>
    <row r="54" spans="1:6" s="1" customFormat="1" ht="30" customHeight="1" x14ac:dyDescent="0.35">
      <c r="A54" s="20" t="s">
        <v>317</v>
      </c>
      <c r="B54" s="35">
        <v>136235870</v>
      </c>
      <c r="C54" s="18">
        <v>19617965</v>
      </c>
      <c r="D54" s="36">
        <v>2023</v>
      </c>
      <c r="E54" s="50" t="s">
        <v>979</v>
      </c>
      <c r="F54" s="175"/>
    </row>
    <row r="55" spans="1:6" s="1" customFormat="1" ht="30" customHeight="1" x14ac:dyDescent="0.35">
      <c r="A55" s="20" t="s">
        <v>1593</v>
      </c>
      <c r="B55" s="35">
        <v>4619236</v>
      </c>
      <c r="C55" s="18">
        <v>438827.42</v>
      </c>
      <c r="D55" s="36">
        <v>2023</v>
      </c>
      <c r="E55" s="50" t="s">
        <v>983</v>
      </c>
      <c r="F55" s="175"/>
    </row>
    <row r="56" spans="1:6" s="1" customFormat="1" ht="30" customHeight="1" x14ac:dyDescent="0.35">
      <c r="A56" s="20" t="s">
        <v>522</v>
      </c>
      <c r="B56" s="35">
        <v>134553</v>
      </c>
      <c r="C56" s="18">
        <v>0</v>
      </c>
      <c r="D56" s="36">
        <v>2023</v>
      </c>
      <c r="E56" s="50" t="s">
        <v>980</v>
      </c>
      <c r="F56" s="175"/>
    </row>
    <row r="57" spans="1:6" s="1" customFormat="1" ht="30" customHeight="1" x14ac:dyDescent="0.35">
      <c r="A57" s="20" t="s">
        <v>346</v>
      </c>
      <c r="B57" s="35">
        <v>302164972</v>
      </c>
      <c r="C57" s="18">
        <v>5469886</v>
      </c>
      <c r="D57" s="36">
        <v>2023</v>
      </c>
      <c r="E57" s="50" t="s">
        <v>979</v>
      </c>
      <c r="F57" s="175"/>
    </row>
    <row r="58" spans="1:6" s="1" customFormat="1" ht="30" customHeight="1" x14ac:dyDescent="0.35">
      <c r="A58" s="20" t="s">
        <v>373</v>
      </c>
      <c r="B58" s="35">
        <v>85386035</v>
      </c>
      <c r="C58" s="18">
        <v>14170816</v>
      </c>
      <c r="D58" s="36">
        <v>2023</v>
      </c>
      <c r="E58" s="50" t="s">
        <v>431</v>
      </c>
      <c r="F58" s="175"/>
    </row>
    <row r="59" spans="1:6" s="1" customFormat="1" ht="30" customHeight="1" x14ac:dyDescent="0.35">
      <c r="A59" s="20" t="s">
        <v>376</v>
      </c>
      <c r="B59" s="35">
        <v>118664000</v>
      </c>
      <c r="C59" s="18">
        <v>12969952</v>
      </c>
      <c r="D59" s="36">
        <v>2023</v>
      </c>
      <c r="E59" s="50" t="s">
        <v>431</v>
      </c>
      <c r="F59" s="175"/>
    </row>
  </sheetData>
  <autoFilter ref="A1:E52" xr:uid="{00000000-0009-0000-0000-000012000000}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66"/>
  <sheetViews>
    <sheetView topLeftCell="D1" zoomScaleNormal="100" workbookViewId="0">
      <pane ySplit="1" topLeftCell="A643" activePane="bottomLeft" state="frozen"/>
      <selection pane="bottomLeft" activeCell="E660" sqref="E660"/>
    </sheetView>
  </sheetViews>
  <sheetFormatPr baseColWidth="10" defaultColWidth="43.08984375" defaultRowHeight="14" x14ac:dyDescent="0.35"/>
  <cols>
    <col min="1" max="1" width="38.6328125" style="14" customWidth="1"/>
    <col min="2" max="2" width="54.6328125" style="14" customWidth="1"/>
    <col min="3" max="3" width="97.1796875" style="23" customWidth="1"/>
    <col min="4" max="4" width="43" style="14" bestFit="1" customWidth="1"/>
    <col min="5" max="5" width="24.08984375" style="15" bestFit="1" customWidth="1"/>
    <col min="6" max="6" width="53.81640625" style="14" customWidth="1"/>
    <col min="7" max="7" width="32.6328125" style="14" bestFit="1" customWidth="1"/>
    <col min="8" max="8" width="12.90625" style="24" bestFit="1" customWidth="1"/>
    <col min="9" max="16384" width="43.08984375" style="14"/>
  </cols>
  <sheetData>
    <row r="1" spans="1:8" ht="30" customHeight="1" x14ac:dyDescent="0.35">
      <c r="A1" s="25" t="s">
        <v>617</v>
      </c>
      <c r="B1" s="25" t="s">
        <v>1254</v>
      </c>
      <c r="C1" s="25" t="s">
        <v>1255</v>
      </c>
      <c r="D1" s="25" t="s">
        <v>1256</v>
      </c>
      <c r="E1" s="120" t="s">
        <v>1257</v>
      </c>
      <c r="F1" s="25" t="s">
        <v>619</v>
      </c>
      <c r="G1" s="25" t="s">
        <v>620</v>
      </c>
      <c r="H1" s="25" t="s">
        <v>1253</v>
      </c>
    </row>
    <row r="2" spans="1:8" ht="24.65" customHeight="1" x14ac:dyDescent="0.35">
      <c r="A2" s="73" t="s">
        <v>14</v>
      </c>
      <c r="B2" s="69" t="s">
        <v>1007</v>
      </c>
      <c r="C2" s="115" t="s">
        <v>1008</v>
      </c>
      <c r="D2" s="69" t="s">
        <v>1009</v>
      </c>
      <c r="E2" s="22">
        <v>2670</v>
      </c>
      <c r="F2" s="69" t="s">
        <v>1010</v>
      </c>
      <c r="G2" s="69" t="s">
        <v>20</v>
      </c>
      <c r="H2" s="47">
        <v>2018</v>
      </c>
    </row>
    <row r="3" spans="1:8" ht="24.65" customHeight="1" x14ac:dyDescent="0.35">
      <c r="A3" s="73" t="s">
        <v>14</v>
      </c>
      <c r="B3" s="69" t="s">
        <v>1007</v>
      </c>
      <c r="C3" s="115" t="s">
        <v>1011</v>
      </c>
      <c r="D3" s="69" t="s">
        <v>1012</v>
      </c>
      <c r="E3" s="22">
        <v>4932</v>
      </c>
      <c r="F3" s="69" t="s">
        <v>1010</v>
      </c>
      <c r="G3" s="69" t="s">
        <v>20</v>
      </c>
      <c r="H3" s="47">
        <v>2018</v>
      </c>
    </row>
    <row r="4" spans="1:8" ht="24.65" customHeight="1" x14ac:dyDescent="0.35">
      <c r="A4" s="73" t="s">
        <v>14</v>
      </c>
      <c r="B4" s="69" t="s">
        <v>1007</v>
      </c>
      <c r="C4" s="115" t="s">
        <v>1013</v>
      </c>
      <c r="D4" s="69" t="s">
        <v>1012</v>
      </c>
      <c r="E4" s="22">
        <v>1800</v>
      </c>
      <c r="F4" s="69" t="s">
        <v>1010</v>
      </c>
      <c r="G4" s="69" t="s">
        <v>20</v>
      </c>
      <c r="H4" s="47">
        <v>2018</v>
      </c>
    </row>
    <row r="5" spans="1:8" ht="24.65" customHeight="1" x14ac:dyDescent="0.35">
      <c r="A5" s="73" t="s">
        <v>14</v>
      </c>
      <c r="B5" s="69" t="s">
        <v>1014</v>
      </c>
      <c r="C5" s="115" t="s">
        <v>1015</v>
      </c>
      <c r="D5" s="69" t="s">
        <v>1016</v>
      </c>
      <c r="E5" s="22">
        <v>415</v>
      </c>
      <c r="F5" s="69" t="s">
        <v>20</v>
      </c>
      <c r="G5" s="69" t="s">
        <v>20</v>
      </c>
      <c r="H5" s="47">
        <v>2018</v>
      </c>
    </row>
    <row r="6" spans="1:8" ht="24.65" customHeight="1" x14ac:dyDescent="0.35">
      <c r="A6" s="73" t="s">
        <v>14</v>
      </c>
      <c r="B6" s="69" t="s">
        <v>1014</v>
      </c>
      <c r="C6" s="115" t="s">
        <v>1017</v>
      </c>
      <c r="D6" s="69" t="s">
        <v>1018</v>
      </c>
      <c r="E6" s="22">
        <v>600</v>
      </c>
      <c r="F6" s="69" t="s">
        <v>20</v>
      </c>
      <c r="G6" s="69" t="s">
        <v>20</v>
      </c>
      <c r="H6" s="47">
        <v>2018</v>
      </c>
    </row>
    <row r="7" spans="1:8" ht="24.65" customHeight="1" x14ac:dyDescent="0.35">
      <c r="A7" s="73" t="s">
        <v>14</v>
      </c>
      <c r="B7" s="69" t="s">
        <v>1014</v>
      </c>
      <c r="C7" s="115" t="s">
        <v>1019</v>
      </c>
      <c r="D7" s="69" t="s">
        <v>1016</v>
      </c>
      <c r="E7" s="22">
        <v>4000</v>
      </c>
      <c r="F7" s="69" t="s">
        <v>1020</v>
      </c>
      <c r="G7" s="69" t="s">
        <v>20</v>
      </c>
      <c r="H7" s="47">
        <v>2018</v>
      </c>
    </row>
    <row r="8" spans="1:8" ht="24.65" customHeight="1" x14ac:dyDescent="0.35">
      <c r="A8" s="73" t="s">
        <v>14</v>
      </c>
      <c r="B8" s="69" t="s">
        <v>1021</v>
      </c>
      <c r="C8" s="115" t="s">
        <v>1022</v>
      </c>
      <c r="D8" s="69" t="s">
        <v>1012</v>
      </c>
      <c r="E8" s="22">
        <v>23500</v>
      </c>
      <c r="F8" s="69" t="s">
        <v>1023</v>
      </c>
      <c r="G8" s="69" t="s">
        <v>20</v>
      </c>
      <c r="H8" s="47">
        <v>2018</v>
      </c>
    </row>
    <row r="9" spans="1:8" ht="24.65" customHeight="1" x14ac:dyDescent="0.35">
      <c r="A9" s="73" t="s">
        <v>14</v>
      </c>
      <c r="B9" s="69" t="s">
        <v>1024</v>
      </c>
      <c r="C9" s="115" t="s">
        <v>1025</v>
      </c>
      <c r="D9" s="69" t="s">
        <v>1012</v>
      </c>
      <c r="E9" s="22">
        <v>807</v>
      </c>
      <c r="F9" s="69" t="s">
        <v>1026</v>
      </c>
      <c r="G9" s="69" t="s">
        <v>20</v>
      </c>
      <c r="H9" s="47">
        <v>2018</v>
      </c>
    </row>
    <row r="10" spans="1:8" ht="39" customHeight="1" x14ac:dyDescent="0.35">
      <c r="A10" s="73" t="s">
        <v>30</v>
      </c>
      <c r="B10" s="69" t="s">
        <v>1014</v>
      </c>
      <c r="C10" s="115" t="s">
        <v>1059</v>
      </c>
      <c r="D10" s="69" t="s">
        <v>1009</v>
      </c>
      <c r="E10" s="22">
        <v>12500</v>
      </c>
      <c r="F10" s="69" t="s">
        <v>1060</v>
      </c>
      <c r="G10" s="69" t="s">
        <v>131</v>
      </c>
      <c r="H10" s="47">
        <v>2018</v>
      </c>
    </row>
    <row r="11" spans="1:8" ht="39" customHeight="1" x14ac:dyDescent="0.35">
      <c r="A11" s="73" t="s">
        <v>30</v>
      </c>
      <c r="B11" s="69" t="s">
        <v>1043</v>
      </c>
      <c r="C11" s="115" t="s">
        <v>1061</v>
      </c>
      <c r="D11" s="69" t="s">
        <v>1032</v>
      </c>
      <c r="E11" s="22">
        <v>300</v>
      </c>
      <c r="F11" s="69" t="s">
        <v>1062</v>
      </c>
      <c r="G11" s="69" t="s">
        <v>20</v>
      </c>
      <c r="H11" s="47">
        <v>2018</v>
      </c>
    </row>
    <row r="12" spans="1:8" ht="39" customHeight="1" x14ac:dyDescent="0.35">
      <c r="A12" s="73" t="s">
        <v>30</v>
      </c>
      <c r="B12" s="69" t="s">
        <v>1014</v>
      </c>
      <c r="C12" s="115" t="s">
        <v>1063</v>
      </c>
      <c r="D12" s="69" t="s">
        <v>1018</v>
      </c>
      <c r="E12" s="22">
        <v>10562.986999999999</v>
      </c>
      <c r="F12" s="69" t="s">
        <v>1064</v>
      </c>
      <c r="G12" s="69" t="s">
        <v>131</v>
      </c>
      <c r="H12" s="47">
        <v>2018</v>
      </c>
    </row>
    <row r="13" spans="1:8" ht="39" customHeight="1" x14ac:dyDescent="0.35">
      <c r="A13" s="73" t="s">
        <v>30</v>
      </c>
      <c r="B13" s="69" t="s">
        <v>1014</v>
      </c>
      <c r="C13" s="115" t="s">
        <v>1065</v>
      </c>
      <c r="D13" s="69" t="s">
        <v>1016</v>
      </c>
      <c r="E13" s="22">
        <v>24302.799999999999</v>
      </c>
      <c r="F13" s="69" t="s">
        <v>1066</v>
      </c>
      <c r="G13" s="69" t="s">
        <v>1039</v>
      </c>
      <c r="H13" s="47">
        <v>2018</v>
      </c>
    </row>
    <row r="14" spans="1:8" ht="39" customHeight="1" x14ac:dyDescent="0.35">
      <c r="A14" s="73" t="s">
        <v>30</v>
      </c>
      <c r="B14" s="69" t="s">
        <v>1024</v>
      </c>
      <c r="C14" s="115" t="s">
        <v>1067</v>
      </c>
      <c r="D14" s="69" t="s">
        <v>1012</v>
      </c>
      <c r="E14" s="22">
        <v>2837.5</v>
      </c>
      <c r="F14" s="69" t="s">
        <v>20</v>
      </c>
      <c r="G14" s="69" t="s">
        <v>20</v>
      </c>
      <c r="H14" s="47">
        <v>2018</v>
      </c>
    </row>
    <row r="15" spans="1:8" ht="39" customHeight="1" x14ac:dyDescent="0.35">
      <c r="A15" s="73" t="s">
        <v>30</v>
      </c>
      <c r="B15" s="69" t="s">
        <v>1028</v>
      </c>
      <c r="C15" s="115" t="s">
        <v>1068</v>
      </c>
      <c r="D15" s="69" t="s">
        <v>1035</v>
      </c>
      <c r="E15" s="22">
        <v>1404</v>
      </c>
      <c r="F15" s="69" t="s">
        <v>1062</v>
      </c>
      <c r="G15" s="69" t="s">
        <v>20</v>
      </c>
      <c r="H15" s="47">
        <v>2018</v>
      </c>
    </row>
    <row r="16" spans="1:8" ht="24.65" customHeight="1" x14ac:dyDescent="0.35">
      <c r="A16" s="73" t="s">
        <v>30</v>
      </c>
      <c r="B16" s="69" t="s">
        <v>1053</v>
      </c>
      <c r="C16" s="115" t="s">
        <v>1069</v>
      </c>
      <c r="D16" s="69" t="s">
        <v>1012</v>
      </c>
      <c r="E16" s="22">
        <v>864</v>
      </c>
      <c r="F16" s="69" t="s">
        <v>1062</v>
      </c>
      <c r="G16" s="69" t="s">
        <v>20</v>
      </c>
      <c r="H16" s="47">
        <v>2018</v>
      </c>
    </row>
    <row r="17" spans="1:8" ht="24.65" customHeight="1" x14ac:dyDescent="0.35">
      <c r="A17" s="73" t="s">
        <v>30</v>
      </c>
      <c r="B17" s="69" t="s">
        <v>1048</v>
      </c>
      <c r="C17" s="115" t="s">
        <v>1070</v>
      </c>
      <c r="D17" s="69" t="s">
        <v>1012</v>
      </c>
      <c r="E17" s="22">
        <v>1763</v>
      </c>
      <c r="F17" s="69" t="s">
        <v>1062</v>
      </c>
      <c r="G17" s="69" t="s">
        <v>20</v>
      </c>
      <c r="H17" s="47">
        <v>2018</v>
      </c>
    </row>
    <row r="18" spans="1:8" ht="24.65" customHeight="1" x14ac:dyDescent="0.35">
      <c r="A18" s="73" t="s">
        <v>51</v>
      </c>
      <c r="B18" s="69" t="s">
        <v>1014</v>
      </c>
      <c r="C18" s="115" t="s">
        <v>1072</v>
      </c>
      <c r="D18" s="69" t="s">
        <v>1032</v>
      </c>
      <c r="E18" s="22">
        <v>17600</v>
      </c>
      <c r="F18" s="69" t="s">
        <v>52</v>
      </c>
      <c r="G18" s="69" t="s">
        <v>66</v>
      </c>
      <c r="H18" s="47">
        <v>2018</v>
      </c>
    </row>
    <row r="19" spans="1:8" ht="24.65" customHeight="1" x14ac:dyDescent="0.35">
      <c r="A19" s="73" t="s">
        <v>51</v>
      </c>
      <c r="B19" s="69" t="s">
        <v>1014</v>
      </c>
      <c r="C19" s="115" t="s">
        <v>1073</v>
      </c>
      <c r="D19" s="69" t="s">
        <v>1016</v>
      </c>
      <c r="E19" s="22">
        <v>17000</v>
      </c>
      <c r="F19" s="69" t="s">
        <v>1074</v>
      </c>
      <c r="G19" s="69" t="s">
        <v>66</v>
      </c>
      <c r="H19" s="47">
        <v>2018</v>
      </c>
    </row>
    <row r="20" spans="1:8" ht="24.65" customHeight="1" x14ac:dyDescent="0.35">
      <c r="A20" s="73" t="s">
        <v>51</v>
      </c>
      <c r="B20" s="69" t="s">
        <v>1028</v>
      </c>
      <c r="C20" s="115" t="s">
        <v>1075</v>
      </c>
      <c r="D20" s="69" t="s">
        <v>1035</v>
      </c>
      <c r="E20" s="22">
        <v>16500</v>
      </c>
      <c r="F20" s="69" t="s">
        <v>490</v>
      </c>
      <c r="G20" s="69" t="s">
        <v>83</v>
      </c>
      <c r="H20" s="47">
        <v>2018</v>
      </c>
    </row>
    <row r="21" spans="1:8" ht="24.65" customHeight="1" x14ac:dyDescent="0.35">
      <c r="A21" s="73" t="s">
        <v>51</v>
      </c>
      <c r="B21" s="69" t="s">
        <v>1028</v>
      </c>
      <c r="C21" s="115" t="s">
        <v>1076</v>
      </c>
      <c r="D21" s="69" t="s">
        <v>1035</v>
      </c>
      <c r="E21" s="22">
        <v>25000</v>
      </c>
      <c r="F21" s="69" t="s">
        <v>1077</v>
      </c>
      <c r="G21" s="69" t="s">
        <v>66</v>
      </c>
      <c r="H21" s="47">
        <v>2018</v>
      </c>
    </row>
    <row r="22" spans="1:8" ht="24.65" customHeight="1" x14ac:dyDescent="0.35">
      <c r="A22" s="73" t="s">
        <v>51</v>
      </c>
      <c r="B22" s="69" t="s">
        <v>1053</v>
      </c>
      <c r="C22" s="115" t="s">
        <v>1078</v>
      </c>
      <c r="D22" s="69" t="s">
        <v>1018</v>
      </c>
      <c r="E22" s="22">
        <v>1030</v>
      </c>
      <c r="F22" s="69" t="s">
        <v>1079</v>
      </c>
      <c r="G22" s="69" t="s">
        <v>66</v>
      </c>
      <c r="H22" s="47">
        <v>2018</v>
      </c>
    </row>
    <row r="23" spans="1:8" ht="24.65" customHeight="1" x14ac:dyDescent="0.35">
      <c r="A23" s="73" t="s">
        <v>51</v>
      </c>
      <c r="B23" s="69" t="s">
        <v>1053</v>
      </c>
      <c r="C23" s="115" t="s">
        <v>1080</v>
      </c>
      <c r="D23" s="69" t="s">
        <v>1012</v>
      </c>
      <c r="E23" s="22">
        <v>14447</v>
      </c>
      <c r="F23" s="69" t="s">
        <v>52</v>
      </c>
      <c r="G23" s="69" t="s">
        <v>66</v>
      </c>
      <c r="H23" s="47">
        <v>2018</v>
      </c>
    </row>
    <row r="24" spans="1:8" ht="24.65" customHeight="1" x14ac:dyDescent="0.35">
      <c r="A24" s="73" t="s">
        <v>51</v>
      </c>
      <c r="B24" s="69" t="s">
        <v>1053</v>
      </c>
      <c r="C24" s="115" t="s">
        <v>1081</v>
      </c>
      <c r="D24" s="69" t="s">
        <v>1012</v>
      </c>
      <c r="E24" s="22">
        <v>72200</v>
      </c>
      <c r="F24" s="69" t="s">
        <v>1082</v>
      </c>
      <c r="G24" s="69" t="s">
        <v>1083</v>
      </c>
      <c r="H24" s="47">
        <v>2018</v>
      </c>
    </row>
    <row r="25" spans="1:8" ht="24.65" customHeight="1" x14ac:dyDescent="0.35">
      <c r="A25" s="73" t="s">
        <v>51</v>
      </c>
      <c r="B25" s="69" t="s">
        <v>1014</v>
      </c>
      <c r="C25" s="115" t="s">
        <v>1084</v>
      </c>
      <c r="D25" s="69" t="s">
        <v>1012</v>
      </c>
      <c r="E25" s="22">
        <v>32850</v>
      </c>
      <c r="F25" s="69" t="s">
        <v>52</v>
      </c>
      <c r="G25" s="69" t="s">
        <v>66</v>
      </c>
      <c r="H25" s="47">
        <v>2018</v>
      </c>
    </row>
    <row r="26" spans="1:8" ht="24.65" customHeight="1" x14ac:dyDescent="0.35">
      <c r="A26" s="73" t="s">
        <v>51</v>
      </c>
      <c r="B26" s="69" t="s">
        <v>1014</v>
      </c>
      <c r="C26" s="115" t="s">
        <v>1085</v>
      </c>
      <c r="D26" s="69" t="s">
        <v>1032</v>
      </c>
      <c r="E26" s="22">
        <v>17600</v>
      </c>
      <c r="F26" s="69" t="s">
        <v>1079</v>
      </c>
      <c r="G26" s="69" t="s">
        <v>66</v>
      </c>
      <c r="H26" s="47">
        <v>2018</v>
      </c>
    </row>
    <row r="27" spans="1:8" ht="24.65" customHeight="1" x14ac:dyDescent="0.35">
      <c r="A27" s="73" t="s">
        <v>51</v>
      </c>
      <c r="B27" s="69" t="s">
        <v>1014</v>
      </c>
      <c r="C27" s="115" t="s">
        <v>1086</v>
      </c>
      <c r="D27" s="69" t="s">
        <v>1016</v>
      </c>
      <c r="E27" s="22">
        <v>17000</v>
      </c>
      <c r="F27" s="69" t="s">
        <v>1087</v>
      </c>
      <c r="G27" s="69" t="s">
        <v>66</v>
      </c>
      <c r="H27" s="47">
        <v>2018</v>
      </c>
    </row>
    <row r="28" spans="1:8" ht="24.65" customHeight="1" x14ac:dyDescent="0.35">
      <c r="A28" s="73" t="s">
        <v>51</v>
      </c>
      <c r="B28" s="69" t="s">
        <v>1028</v>
      </c>
      <c r="C28" s="115" t="s">
        <v>1088</v>
      </c>
      <c r="D28" s="69" t="s">
        <v>1035</v>
      </c>
      <c r="E28" s="22">
        <v>16500</v>
      </c>
      <c r="F28" s="69" t="s">
        <v>1089</v>
      </c>
      <c r="G28" s="69" t="s">
        <v>83</v>
      </c>
      <c r="H28" s="47">
        <v>2018</v>
      </c>
    </row>
    <row r="29" spans="1:8" ht="24.65" customHeight="1" x14ac:dyDescent="0.35">
      <c r="A29" s="73" t="s">
        <v>51</v>
      </c>
      <c r="B29" s="69" t="s">
        <v>1028</v>
      </c>
      <c r="C29" s="115" t="s">
        <v>1090</v>
      </c>
      <c r="D29" s="69" t="s">
        <v>1035</v>
      </c>
      <c r="E29" s="22">
        <v>25000</v>
      </c>
      <c r="F29" s="69" t="s">
        <v>1091</v>
      </c>
      <c r="G29" s="69" t="s">
        <v>66</v>
      </c>
      <c r="H29" s="47">
        <v>2018</v>
      </c>
    </row>
    <row r="30" spans="1:8" ht="24.65" customHeight="1" x14ac:dyDescent="0.35">
      <c r="A30" s="73" t="s">
        <v>51</v>
      </c>
      <c r="B30" s="69" t="s">
        <v>1053</v>
      </c>
      <c r="C30" s="115" t="s">
        <v>1092</v>
      </c>
      <c r="D30" s="69" t="s">
        <v>1018</v>
      </c>
      <c r="E30" s="22">
        <v>1030</v>
      </c>
      <c r="F30" s="69" t="s">
        <v>52</v>
      </c>
      <c r="G30" s="69" t="s">
        <v>66</v>
      </c>
      <c r="H30" s="47">
        <v>2018</v>
      </c>
    </row>
    <row r="31" spans="1:8" ht="24.65" customHeight="1" x14ac:dyDescent="0.35">
      <c r="A31" s="73" t="s">
        <v>51</v>
      </c>
      <c r="B31" s="69" t="s">
        <v>1053</v>
      </c>
      <c r="C31" s="115" t="s">
        <v>1093</v>
      </c>
      <c r="D31" s="69" t="s">
        <v>1012</v>
      </c>
      <c r="E31" s="22">
        <v>14447</v>
      </c>
      <c r="F31" s="69" t="s">
        <v>52</v>
      </c>
      <c r="G31" s="69" t="s">
        <v>66</v>
      </c>
      <c r="H31" s="47">
        <v>2018</v>
      </c>
    </row>
    <row r="32" spans="1:8" ht="24.65" customHeight="1" x14ac:dyDescent="0.35">
      <c r="A32" s="73" t="s">
        <v>51</v>
      </c>
      <c r="B32" s="69" t="s">
        <v>1053</v>
      </c>
      <c r="C32" s="115" t="s">
        <v>1094</v>
      </c>
      <c r="D32" s="69" t="s">
        <v>1012</v>
      </c>
      <c r="E32" s="22">
        <v>72200</v>
      </c>
      <c r="F32" s="69" t="s">
        <v>52</v>
      </c>
      <c r="G32" s="69" t="s">
        <v>66</v>
      </c>
      <c r="H32" s="47">
        <v>2018</v>
      </c>
    </row>
    <row r="33" spans="1:8" ht="24.65" customHeight="1" x14ac:dyDescent="0.35">
      <c r="A33" s="73" t="s">
        <v>51</v>
      </c>
      <c r="B33" s="69" t="s">
        <v>1014</v>
      </c>
      <c r="C33" s="115" t="s">
        <v>1095</v>
      </c>
      <c r="D33" s="69" t="s">
        <v>1012</v>
      </c>
      <c r="E33" s="22">
        <v>32850</v>
      </c>
      <c r="F33" s="69" t="s">
        <v>52</v>
      </c>
      <c r="G33" s="69" t="s">
        <v>66</v>
      </c>
      <c r="H33" s="47">
        <v>2018</v>
      </c>
    </row>
    <row r="34" spans="1:8" ht="24.65" customHeight="1" x14ac:dyDescent="0.35">
      <c r="A34" s="73" t="s">
        <v>38</v>
      </c>
      <c r="B34" s="69" t="s">
        <v>1028</v>
      </c>
      <c r="C34" s="115" t="s">
        <v>1103</v>
      </c>
      <c r="D34" s="69" t="s">
        <v>1035</v>
      </c>
      <c r="E34" s="22">
        <v>25000</v>
      </c>
      <c r="F34" s="69" t="s">
        <v>1104</v>
      </c>
      <c r="G34" s="69" t="s">
        <v>529</v>
      </c>
      <c r="H34" s="47">
        <v>2018</v>
      </c>
    </row>
    <row r="35" spans="1:8" ht="24.65" customHeight="1" x14ac:dyDescent="0.35">
      <c r="A35" s="73" t="s">
        <v>38</v>
      </c>
      <c r="B35" s="69" t="s">
        <v>1053</v>
      </c>
      <c r="C35" s="115" t="s">
        <v>1105</v>
      </c>
      <c r="D35" s="69" t="s">
        <v>1018</v>
      </c>
      <c r="E35" s="22">
        <v>200</v>
      </c>
      <c r="F35" s="69" t="s">
        <v>1106</v>
      </c>
      <c r="G35" s="69" t="s">
        <v>529</v>
      </c>
      <c r="H35" s="47">
        <v>2018</v>
      </c>
    </row>
    <row r="36" spans="1:8" ht="24.65" customHeight="1" x14ac:dyDescent="0.35">
      <c r="A36" s="73" t="s">
        <v>38</v>
      </c>
      <c r="B36" s="69" t="s">
        <v>1028</v>
      </c>
      <c r="C36" s="115" t="s">
        <v>1107</v>
      </c>
      <c r="D36" s="69" t="s">
        <v>1018</v>
      </c>
      <c r="E36" s="22">
        <v>1600</v>
      </c>
      <c r="F36" s="69" t="s">
        <v>1108</v>
      </c>
      <c r="G36" s="69" t="s">
        <v>529</v>
      </c>
      <c r="H36" s="47">
        <v>2018</v>
      </c>
    </row>
    <row r="37" spans="1:8" ht="24.65" customHeight="1" x14ac:dyDescent="0.35">
      <c r="A37" s="73" t="s">
        <v>38</v>
      </c>
      <c r="B37" s="69" t="s">
        <v>1048</v>
      </c>
      <c r="C37" s="115" t="s">
        <v>1109</v>
      </c>
      <c r="D37" s="69" t="s">
        <v>1012</v>
      </c>
      <c r="E37" s="22">
        <v>1600</v>
      </c>
      <c r="F37" s="69" t="s">
        <v>1110</v>
      </c>
      <c r="G37" s="69" t="s">
        <v>42</v>
      </c>
      <c r="H37" s="47">
        <v>2018</v>
      </c>
    </row>
    <row r="38" spans="1:8" ht="24.65" customHeight="1" x14ac:dyDescent="0.35">
      <c r="A38" s="73" t="s">
        <v>38</v>
      </c>
      <c r="B38" s="69" t="s">
        <v>1048</v>
      </c>
      <c r="C38" s="115" t="s">
        <v>1111</v>
      </c>
      <c r="D38" s="69" t="s">
        <v>1012</v>
      </c>
      <c r="E38" s="22">
        <v>35000</v>
      </c>
      <c r="F38" s="69" t="s">
        <v>1104</v>
      </c>
      <c r="G38" s="69" t="s">
        <v>529</v>
      </c>
      <c r="H38" s="47">
        <v>2018</v>
      </c>
    </row>
    <row r="39" spans="1:8" ht="24.65" customHeight="1" x14ac:dyDescent="0.35">
      <c r="A39" s="73" t="s">
        <v>38</v>
      </c>
      <c r="B39" s="69" t="s">
        <v>1048</v>
      </c>
      <c r="C39" s="115" t="s">
        <v>1111</v>
      </c>
      <c r="D39" s="69" t="s">
        <v>1012</v>
      </c>
      <c r="E39" s="22">
        <v>25000</v>
      </c>
      <c r="F39" s="69" t="s">
        <v>1112</v>
      </c>
      <c r="G39" s="69" t="s">
        <v>529</v>
      </c>
      <c r="H39" s="47">
        <v>2018</v>
      </c>
    </row>
    <row r="40" spans="1:8" ht="24.65" customHeight="1" x14ac:dyDescent="0.35">
      <c r="A40" s="73" t="s">
        <v>38</v>
      </c>
      <c r="B40" s="69" t="s">
        <v>1043</v>
      </c>
      <c r="C40" s="115" t="s">
        <v>1113</v>
      </c>
      <c r="D40" s="69" t="s">
        <v>1032</v>
      </c>
      <c r="E40" s="22">
        <v>7300</v>
      </c>
      <c r="F40" s="69" t="s">
        <v>1114</v>
      </c>
      <c r="G40" s="69" t="s">
        <v>529</v>
      </c>
      <c r="H40" s="47">
        <v>2018</v>
      </c>
    </row>
    <row r="41" spans="1:8" ht="24.65" customHeight="1" x14ac:dyDescent="0.35">
      <c r="A41" s="73" t="s">
        <v>38</v>
      </c>
      <c r="B41" s="69" t="s">
        <v>1028</v>
      </c>
      <c r="C41" s="115" t="s">
        <v>1115</v>
      </c>
      <c r="D41" s="69" t="s">
        <v>1035</v>
      </c>
      <c r="E41" s="22">
        <v>1700</v>
      </c>
      <c r="F41" s="69" t="s">
        <v>1114</v>
      </c>
      <c r="G41" s="69" t="s">
        <v>529</v>
      </c>
      <c r="H41" s="47">
        <v>2018</v>
      </c>
    </row>
    <row r="42" spans="1:8" ht="24.65" customHeight="1" x14ac:dyDescent="0.35">
      <c r="A42" s="73" t="s">
        <v>38</v>
      </c>
      <c r="B42" s="69" t="s">
        <v>1014</v>
      </c>
      <c r="C42" s="115" t="s">
        <v>1116</v>
      </c>
      <c r="D42" s="69" t="s">
        <v>1016</v>
      </c>
      <c r="E42" s="22">
        <v>6000</v>
      </c>
      <c r="F42" s="69" t="s">
        <v>1114</v>
      </c>
      <c r="G42" s="69" t="s">
        <v>529</v>
      </c>
      <c r="H42" s="47">
        <v>2018</v>
      </c>
    </row>
    <row r="43" spans="1:8" ht="24.65" customHeight="1" x14ac:dyDescent="0.35">
      <c r="A43" s="73" t="s">
        <v>38</v>
      </c>
      <c r="B43" s="69" t="s">
        <v>1048</v>
      </c>
      <c r="C43" s="115" t="s">
        <v>1111</v>
      </c>
      <c r="D43" s="69" t="s">
        <v>1012</v>
      </c>
      <c r="E43" s="22">
        <v>15000</v>
      </c>
      <c r="F43" s="69" t="s">
        <v>1117</v>
      </c>
      <c r="G43" s="69" t="s">
        <v>529</v>
      </c>
      <c r="H43" s="47">
        <v>2018</v>
      </c>
    </row>
    <row r="44" spans="1:8" ht="24.65" customHeight="1" x14ac:dyDescent="0.35">
      <c r="A44" s="73" t="s">
        <v>38</v>
      </c>
      <c r="B44" s="69" t="s">
        <v>1043</v>
      </c>
      <c r="C44" s="115" t="s">
        <v>1118</v>
      </c>
      <c r="D44" s="69" t="s">
        <v>1032</v>
      </c>
      <c r="E44" s="22">
        <v>7000</v>
      </c>
      <c r="F44" s="69" t="s">
        <v>1117</v>
      </c>
      <c r="G44" s="69" t="s">
        <v>529</v>
      </c>
      <c r="H44" s="47">
        <v>2018</v>
      </c>
    </row>
    <row r="45" spans="1:8" ht="24.65" customHeight="1" x14ac:dyDescent="0.35">
      <c r="A45" s="73" t="s">
        <v>38</v>
      </c>
      <c r="B45" s="69" t="s">
        <v>1053</v>
      </c>
      <c r="C45" s="115" t="s">
        <v>1119</v>
      </c>
      <c r="D45" s="69" t="s">
        <v>1012</v>
      </c>
      <c r="E45" s="22">
        <v>1100</v>
      </c>
      <c r="F45" s="69" t="s">
        <v>1120</v>
      </c>
      <c r="G45" s="69" t="s">
        <v>529</v>
      </c>
      <c r="H45" s="47">
        <v>2018</v>
      </c>
    </row>
    <row r="46" spans="1:8" ht="24.65" customHeight="1" x14ac:dyDescent="0.35">
      <c r="A46" s="73" t="s">
        <v>38</v>
      </c>
      <c r="B46" s="69" t="s">
        <v>1048</v>
      </c>
      <c r="C46" s="115" t="s">
        <v>1121</v>
      </c>
      <c r="D46" s="69" t="s">
        <v>1012</v>
      </c>
      <c r="E46" s="22">
        <v>20000</v>
      </c>
      <c r="F46" s="69" t="s">
        <v>1104</v>
      </c>
      <c r="G46" s="69" t="s">
        <v>529</v>
      </c>
      <c r="H46" s="47">
        <v>2018</v>
      </c>
    </row>
    <row r="47" spans="1:8" ht="24.65" customHeight="1" x14ac:dyDescent="0.35">
      <c r="A47" s="73" t="s">
        <v>38</v>
      </c>
      <c r="B47" s="69" t="s">
        <v>1048</v>
      </c>
      <c r="C47" s="115" t="s">
        <v>1121</v>
      </c>
      <c r="D47" s="69" t="s">
        <v>1012</v>
      </c>
      <c r="E47" s="22">
        <v>15500</v>
      </c>
      <c r="F47" s="69" t="s">
        <v>1122</v>
      </c>
      <c r="G47" s="69" t="s">
        <v>529</v>
      </c>
      <c r="H47" s="47">
        <v>2018</v>
      </c>
    </row>
    <row r="48" spans="1:8" ht="24.65" customHeight="1" x14ac:dyDescent="0.35">
      <c r="A48" s="73" t="s">
        <v>38</v>
      </c>
      <c r="B48" s="69" t="s">
        <v>1048</v>
      </c>
      <c r="C48" s="115" t="s">
        <v>1121</v>
      </c>
      <c r="D48" s="69" t="s">
        <v>1012</v>
      </c>
      <c r="E48" s="22">
        <v>13500</v>
      </c>
      <c r="F48" s="69" t="s">
        <v>1123</v>
      </c>
      <c r="G48" s="69" t="s">
        <v>529</v>
      </c>
      <c r="H48" s="47">
        <v>2018</v>
      </c>
    </row>
    <row r="49" spans="1:8" ht="24.65" customHeight="1" x14ac:dyDescent="0.35">
      <c r="A49" s="73" t="s">
        <v>62</v>
      </c>
      <c r="B49" s="69" t="s">
        <v>1053</v>
      </c>
      <c r="C49" s="115" t="s">
        <v>1126</v>
      </c>
      <c r="D49" s="69" t="s">
        <v>1012</v>
      </c>
      <c r="E49" s="22">
        <v>81122</v>
      </c>
      <c r="F49" s="69" t="s">
        <v>65</v>
      </c>
      <c r="G49" s="69" t="s">
        <v>66</v>
      </c>
      <c r="H49" s="47">
        <v>2018</v>
      </c>
    </row>
    <row r="50" spans="1:8" ht="24.65" customHeight="1" x14ac:dyDescent="0.35">
      <c r="A50" s="73" t="s">
        <v>62</v>
      </c>
      <c r="B50" s="69" t="s">
        <v>1021</v>
      </c>
      <c r="C50" s="115" t="s">
        <v>1127</v>
      </c>
      <c r="D50" s="69" t="s">
        <v>1012</v>
      </c>
      <c r="E50" s="22">
        <v>15000</v>
      </c>
      <c r="F50" s="69" t="s">
        <v>65</v>
      </c>
      <c r="G50" s="69" t="s">
        <v>66</v>
      </c>
      <c r="H50" s="47">
        <v>2018</v>
      </c>
    </row>
    <row r="51" spans="1:8" ht="24.65" customHeight="1" x14ac:dyDescent="0.35">
      <c r="A51" s="73" t="s">
        <v>54</v>
      </c>
      <c r="B51" s="69" t="s">
        <v>1014</v>
      </c>
      <c r="C51" s="115" t="s">
        <v>1128</v>
      </c>
      <c r="D51" s="69" t="s">
        <v>1012</v>
      </c>
      <c r="E51" s="22">
        <v>10500</v>
      </c>
      <c r="F51" s="69" t="s">
        <v>284</v>
      </c>
      <c r="G51" s="69" t="s">
        <v>61</v>
      </c>
      <c r="H51" s="47">
        <v>2018</v>
      </c>
    </row>
    <row r="52" spans="1:8" ht="24.65" customHeight="1" x14ac:dyDescent="0.35">
      <c r="A52" s="73" t="s">
        <v>67</v>
      </c>
      <c r="B52" s="69" t="s">
        <v>1028</v>
      </c>
      <c r="C52" s="115" t="s">
        <v>1129</v>
      </c>
      <c r="D52" s="69" t="s">
        <v>1035</v>
      </c>
      <c r="E52" s="22">
        <v>13783.118</v>
      </c>
      <c r="F52" s="69" t="s">
        <v>1130</v>
      </c>
      <c r="G52" s="69" t="s">
        <v>78</v>
      </c>
      <c r="H52" s="47">
        <v>2018</v>
      </c>
    </row>
    <row r="53" spans="1:8" ht="24.65" customHeight="1" x14ac:dyDescent="0.35">
      <c r="A53" s="73" t="s">
        <v>67</v>
      </c>
      <c r="B53" s="69" t="s">
        <v>1028</v>
      </c>
      <c r="C53" s="115" t="s">
        <v>1131</v>
      </c>
      <c r="D53" s="69" t="s">
        <v>1035</v>
      </c>
      <c r="E53" s="22">
        <v>4770.5</v>
      </c>
      <c r="F53" s="69" t="s">
        <v>1132</v>
      </c>
      <c r="G53" s="69" t="s">
        <v>78</v>
      </c>
      <c r="H53" s="47">
        <v>2018</v>
      </c>
    </row>
    <row r="54" spans="1:8" ht="24.65" customHeight="1" x14ac:dyDescent="0.35">
      <c r="A54" s="73" t="s">
        <v>67</v>
      </c>
      <c r="B54" s="69" t="s">
        <v>1028</v>
      </c>
      <c r="C54" s="115" t="s">
        <v>1133</v>
      </c>
      <c r="D54" s="69" t="s">
        <v>1035</v>
      </c>
      <c r="E54" s="22">
        <v>3002.4</v>
      </c>
      <c r="F54" s="69" t="s">
        <v>1134</v>
      </c>
      <c r="G54" s="69" t="s">
        <v>78</v>
      </c>
      <c r="H54" s="47">
        <v>2018</v>
      </c>
    </row>
    <row r="55" spans="1:8" ht="24.65" customHeight="1" x14ac:dyDescent="0.35">
      <c r="A55" s="73" t="s">
        <v>67</v>
      </c>
      <c r="B55" s="69" t="s">
        <v>1028</v>
      </c>
      <c r="C55" s="115" t="s">
        <v>1135</v>
      </c>
      <c r="D55" s="69" t="s">
        <v>1035</v>
      </c>
      <c r="E55" s="22">
        <v>14789.628000000001</v>
      </c>
      <c r="F55" s="69" t="s">
        <v>1136</v>
      </c>
      <c r="G55" s="69" t="s">
        <v>78</v>
      </c>
      <c r="H55" s="47">
        <v>2018</v>
      </c>
    </row>
    <row r="56" spans="1:8" ht="24.65" customHeight="1" x14ac:dyDescent="0.35">
      <c r="A56" s="73" t="s">
        <v>67</v>
      </c>
      <c r="B56" s="69" t="s">
        <v>1028</v>
      </c>
      <c r="C56" s="115" t="s">
        <v>1137</v>
      </c>
      <c r="D56" s="69" t="s">
        <v>1035</v>
      </c>
      <c r="E56" s="22">
        <v>21701.491999999998</v>
      </c>
      <c r="F56" s="69" t="s">
        <v>1130</v>
      </c>
      <c r="G56" s="69" t="s">
        <v>78</v>
      </c>
      <c r="H56" s="47">
        <v>2018</v>
      </c>
    </row>
    <row r="57" spans="1:8" ht="24.65" customHeight="1" x14ac:dyDescent="0.35">
      <c r="A57" s="73" t="s">
        <v>67</v>
      </c>
      <c r="B57" s="69" t="s">
        <v>1028</v>
      </c>
      <c r="C57" s="115" t="s">
        <v>1138</v>
      </c>
      <c r="D57" s="69" t="s">
        <v>1035</v>
      </c>
      <c r="E57" s="22">
        <v>9955.2999999999993</v>
      </c>
      <c r="F57" s="69" t="s">
        <v>1130</v>
      </c>
      <c r="G57" s="69" t="s">
        <v>78</v>
      </c>
      <c r="H57" s="47">
        <v>2018</v>
      </c>
    </row>
    <row r="58" spans="1:8" ht="24.65" customHeight="1" x14ac:dyDescent="0.35">
      <c r="A58" s="73" t="s">
        <v>67</v>
      </c>
      <c r="B58" s="69" t="s">
        <v>1028</v>
      </c>
      <c r="C58" s="115" t="s">
        <v>1139</v>
      </c>
      <c r="D58" s="69" t="s">
        <v>1035</v>
      </c>
      <c r="E58" s="22">
        <v>12078.9</v>
      </c>
      <c r="F58" s="69" t="s">
        <v>1130</v>
      </c>
      <c r="G58" s="69" t="s">
        <v>78</v>
      </c>
      <c r="H58" s="47">
        <v>2018</v>
      </c>
    </row>
    <row r="59" spans="1:8" ht="24.65" customHeight="1" x14ac:dyDescent="0.35">
      <c r="A59" s="73" t="s">
        <v>67</v>
      </c>
      <c r="B59" s="69" t="s">
        <v>1028</v>
      </c>
      <c r="C59" s="115" t="s">
        <v>1140</v>
      </c>
      <c r="D59" s="69" t="s">
        <v>1035</v>
      </c>
      <c r="E59" s="22">
        <v>16004.213</v>
      </c>
      <c r="F59" s="69" t="s">
        <v>1141</v>
      </c>
      <c r="G59" s="69" t="s">
        <v>2</v>
      </c>
      <c r="H59" s="47">
        <v>2018</v>
      </c>
    </row>
    <row r="60" spans="1:8" ht="24.65" customHeight="1" x14ac:dyDescent="0.35">
      <c r="A60" s="73" t="s">
        <v>67</v>
      </c>
      <c r="B60" s="69" t="s">
        <v>1028</v>
      </c>
      <c r="C60" s="115" t="s">
        <v>1142</v>
      </c>
      <c r="D60" s="69" t="s">
        <v>1035</v>
      </c>
      <c r="E60" s="22">
        <v>1500</v>
      </c>
      <c r="F60" s="69" t="s">
        <v>1130</v>
      </c>
      <c r="G60" s="69" t="s">
        <v>78</v>
      </c>
      <c r="H60" s="47">
        <v>2018</v>
      </c>
    </row>
    <row r="61" spans="1:8" ht="24.65" customHeight="1" x14ac:dyDescent="0.35">
      <c r="A61" s="73" t="s">
        <v>67</v>
      </c>
      <c r="B61" s="69" t="s">
        <v>1024</v>
      </c>
      <c r="C61" s="115" t="s">
        <v>1143</v>
      </c>
      <c r="D61" s="69" t="s">
        <v>1012</v>
      </c>
      <c r="E61" s="22">
        <v>8150</v>
      </c>
      <c r="F61" s="69" t="s">
        <v>1130</v>
      </c>
      <c r="G61" s="69" t="s">
        <v>78</v>
      </c>
      <c r="H61" s="47">
        <v>2018</v>
      </c>
    </row>
    <row r="62" spans="1:8" ht="24.65" customHeight="1" x14ac:dyDescent="0.35">
      <c r="A62" s="73" t="s">
        <v>67</v>
      </c>
      <c r="B62" s="69" t="s">
        <v>1007</v>
      </c>
      <c r="C62" s="115" t="s">
        <v>1144</v>
      </c>
      <c r="D62" s="69" t="s">
        <v>1012</v>
      </c>
      <c r="E62" s="22">
        <v>25000</v>
      </c>
      <c r="F62" s="69" t="s">
        <v>1145</v>
      </c>
      <c r="G62" s="69" t="s">
        <v>78</v>
      </c>
      <c r="H62" s="47">
        <v>2018</v>
      </c>
    </row>
    <row r="63" spans="1:8" ht="24.65" customHeight="1" x14ac:dyDescent="0.35">
      <c r="A63" s="73" t="s">
        <v>67</v>
      </c>
      <c r="B63" s="69" t="s">
        <v>1053</v>
      </c>
      <c r="C63" s="115" t="s">
        <v>1146</v>
      </c>
      <c r="D63" s="69" t="s">
        <v>1018</v>
      </c>
      <c r="E63" s="22">
        <v>7000</v>
      </c>
      <c r="F63" s="69" t="s">
        <v>1147</v>
      </c>
      <c r="G63" s="69" t="s">
        <v>78</v>
      </c>
      <c r="H63" s="47">
        <v>2018</v>
      </c>
    </row>
    <row r="64" spans="1:8" ht="24.65" customHeight="1" x14ac:dyDescent="0.35">
      <c r="A64" s="73" t="s">
        <v>75</v>
      </c>
      <c r="B64" s="69" t="s">
        <v>1014</v>
      </c>
      <c r="C64" s="115" t="s">
        <v>1148</v>
      </c>
      <c r="D64" s="69" t="s">
        <v>1032</v>
      </c>
      <c r="E64" s="22">
        <v>4862</v>
      </c>
      <c r="F64" s="69" t="s">
        <v>115</v>
      </c>
      <c r="G64" s="69" t="s">
        <v>78</v>
      </c>
      <c r="H64" s="47">
        <v>2018</v>
      </c>
    </row>
    <row r="65" spans="1:8" ht="24.65" customHeight="1" x14ac:dyDescent="0.35">
      <c r="A65" s="73" t="s">
        <v>75</v>
      </c>
      <c r="B65" s="69" t="s">
        <v>1014</v>
      </c>
      <c r="C65" s="115" t="s">
        <v>1149</v>
      </c>
      <c r="D65" s="69" t="s">
        <v>1016</v>
      </c>
      <c r="E65" s="22">
        <v>695</v>
      </c>
      <c r="F65" s="69" t="s">
        <v>1150</v>
      </c>
      <c r="G65" s="69" t="s">
        <v>78</v>
      </c>
      <c r="H65" s="47">
        <v>2018</v>
      </c>
    </row>
    <row r="66" spans="1:8" ht="24.65" customHeight="1" x14ac:dyDescent="0.35">
      <c r="A66" s="73" t="s">
        <v>79</v>
      </c>
      <c r="B66" s="69" t="s">
        <v>1014</v>
      </c>
      <c r="C66" s="115" t="s">
        <v>1169</v>
      </c>
      <c r="D66" s="69" t="s">
        <v>1016</v>
      </c>
      <c r="E66" s="22">
        <v>4650</v>
      </c>
      <c r="F66" s="69" t="s">
        <v>1154</v>
      </c>
      <c r="G66" s="69" t="s">
        <v>83</v>
      </c>
      <c r="H66" s="47">
        <v>2018</v>
      </c>
    </row>
    <row r="67" spans="1:8" ht="24.65" customHeight="1" x14ac:dyDescent="0.35">
      <c r="A67" s="73" t="s">
        <v>79</v>
      </c>
      <c r="B67" s="69" t="s">
        <v>1028</v>
      </c>
      <c r="C67" s="115" t="s">
        <v>1165</v>
      </c>
      <c r="D67" s="69" t="s">
        <v>1035</v>
      </c>
      <c r="E67" s="22">
        <v>5580</v>
      </c>
      <c r="F67" s="69" t="s">
        <v>1170</v>
      </c>
      <c r="G67" s="69" t="s">
        <v>83</v>
      </c>
      <c r="H67" s="47">
        <v>2018</v>
      </c>
    </row>
    <row r="68" spans="1:8" ht="24.65" customHeight="1" x14ac:dyDescent="0.35">
      <c r="A68" s="73" t="s">
        <v>79</v>
      </c>
      <c r="B68" s="69" t="s">
        <v>1028</v>
      </c>
      <c r="C68" s="115" t="s">
        <v>1171</v>
      </c>
      <c r="D68" s="69" t="s">
        <v>1035</v>
      </c>
      <c r="E68" s="22">
        <v>24703</v>
      </c>
      <c r="F68" s="69" t="s">
        <v>1170</v>
      </c>
      <c r="G68" s="69" t="s">
        <v>83</v>
      </c>
      <c r="H68" s="47">
        <v>2018</v>
      </c>
    </row>
    <row r="69" spans="1:8" ht="24.65" customHeight="1" x14ac:dyDescent="0.35">
      <c r="A69" s="73" t="s">
        <v>79</v>
      </c>
      <c r="B69" s="69" t="s">
        <v>1028</v>
      </c>
      <c r="C69" s="115" t="s">
        <v>1167</v>
      </c>
      <c r="D69" s="69" t="s">
        <v>1035</v>
      </c>
      <c r="E69" s="22">
        <v>9189</v>
      </c>
      <c r="F69" s="69" t="s">
        <v>1170</v>
      </c>
      <c r="G69" s="69" t="s">
        <v>83</v>
      </c>
      <c r="H69" s="47">
        <v>2018</v>
      </c>
    </row>
    <row r="70" spans="1:8" ht="24.65" customHeight="1" x14ac:dyDescent="0.35">
      <c r="A70" s="73" t="s">
        <v>79</v>
      </c>
      <c r="B70" s="69" t="s">
        <v>1028</v>
      </c>
      <c r="C70" s="115" t="s">
        <v>1172</v>
      </c>
      <c r="D70" s="69" t="s">
        <v>1035</v>
      </c>
      <c r="E70" s="22">
        <v>22169</v>
      </c>
      <c r="F70" s="69" t="s">
        <v>1170</v>
      </c>
      <c r="G70" s="69" t="s">
        <v>83</v>
      </c>
      <c r="H70" s="47">
        <v>2018</v>
      </c>
    </row>
    <row r="71" spans="1:8" ht="24.65" customHeight="1" x14ac:dyDescent="0.35">
      <c r="A71" s="73" t="s">
        <v>79</v>
      </c>
      <c r="B71" s="69" t="s">
        <v>1028</v>
      </c>
      <c r="C71" s="115" t="s">
        <v>1173</v>
      </c>
      <c r="D71" s="69" t="s">
        <v>1035</v>
      </c>
      <c r="E71" s="22">
        <v>186</v>
      </c>
      <c r="F71" s="69" t="s">
        <v>1170</v>
      </c>
      <c r="G71" s="69" t="s">
        <v>83</v>
      </c>
      <c r="H71" s="47">
        <v>2018</v>
      </c>
    </row>
    <row r="72" spans="1:8" ht="24.65" customHeight="1" x14ac:dyDescent="0.35">
      <c r="A72" s="73" t="s">
        <v>79</v>
      </c>
      <c r="B72" s="69" t="s">
        <v>1014</v>
      </c>
      <c r="C72" s="115" t="s">
        <v>1155</v>
      </c>
      <c r="D72" s="69" t="s">
        <v>1012</v>
      </c>
      <c r="E72" s="22">
        <v>10875</v>
      </c>
      <c r="F72" s="69" t="s">
        <v>146</v>
      </c>
      <c r="G72" s="69" t="s">
        <v>83</v>
      </c>
      <c r="H72" s="47">
        <v>2018</v>
      </c>
    </row>
    <row r="73" spans="1:8" ht="24.65" customHeight="1" x14ac:dyDescent="0.35">
      <c r="A73" s="73" t="s">
        <v>79</v>
      </c>
      <c r="B73" s="69" t="s">
        <v>1053</v>
      </c>
      <c r="C73" s="115" t="s">
        <v>1174</v>
      </c>
      <c r="D73" s="69" t="s">
        <v>1012</v>
      </c>
      <c r="E73" s="22">
        <v>52154</v>
      </c>
      <c r="F73" s="69" t="s">
        <v>1170</v>
      </c>
      <c r="G73" s="69" t="s">
        <v>83</v>
      </c>
      <c r="H73" s="47">
        <v>2018</v>
      </c>
    </row>
    <row r="74" spans="1:8" ht="24.65" customHeight="1" x14ac:dyDescent="0.35">
      <c r="A74" s="73" t="s">
        <v>79</v>
      </c>
      <c r="B74" s="69" t="s">
        <v>1014</v>
      </c>
      <c r="C74" s="115" t="s">
        <v>1175</v>
      </c>
      <c r="D74" s="69" t="s">
        <v>1012</v>
      </c>
      <c r="E74" s="22">
        <v>6116</v>
      </c>
      <c r="F74" s="69" t="s">
        <v>1176</v>
      </c>
      <c r="G74" s="69" t="s">
        <v>83</v>
      </c>
      <c r="H74" s="47">
        <v>2018</v>
      </c>
    </row>
    <row r="75" spans="1:8" ht="24.65" customHeight="1" x14ac:dyDescent="0.35">
      <c r="A75" s="73" t="s">
        <v>89</v>
      </c>
      <c r="B75" s="69" t="s">
        <v>1014</v>
      </c>
      <c r="C75" s="115" t="s">
        <v>1186</v>
      </c>
      <c r="D75" s="69" t="s">
        <v>1016</v>
      </c>
      <c r="E75" s="22">
        <v>3000</v>
      </c>
      <c r="F75" s="69" t="s">
        <v>92</v>
      </c>
      <c r="G75" s="69" t="s">
        <v>136</v>
      </c>
      <c r="H75" s="47">
        <v>2018</v>
      </c>
    </row>
    <row r="76" spans="1:8" ht="24.65" customHeight="1" x14ac:dyDescent="0.35">
      <c r="A76" s="73" t="s">
        <v>89</v>
      </c>
      <c r="B76" s="69" t="s">
        <v>1028</v>
      </c>
      <c r="C76" s="115" t="s">
        <v>1187</v>
      </c>
      <c r="D76" s="69" t="s">
        <v>1035</v>
      </c>
      <c r="E76" s="22">
        <v>164217</v>
      </c>
      <c r="F76" s="69" t="s">
        <v>17</v>
      </c>
      <c r="G76" s="69" t="s">
        <v>136</v>
      </c>
      <c r="H76" s="47">
        <v>2018</v>
      </c>
    </row>
    <row r="77" spans="1:8" ht="24.65" customHeight="1" x14ac:dyDescent="0.35">
      <c r="A77" s="73" t="s">
        <v>89</v>
      </c>
      <c r="B77" s="69" t="s">
        <v>1007</v>
      </c>
      <c r="C77" s="115" t="s">
        <v>1188</v>
      </c>
      <c r="D77" s="69" t="s">
        <v>1012</v>
      </c>
      <c r="E77" s="22">
        <v>400952</v>
      </c>
      <c r="F77" s="69" t="s">
        <v>92</v>
      </c>
      <c r="G77" s="69" t="s">
        <v>136</v>
      </c>
      <c r="H77" s="47">
        <v>2018</v>
      </c>
    </row>
    <row r="78" spans="1:8" ht="24.65" customHeight="1" x14ac:dyDescent="0.35">
      <c r="A78" s="73" t="s">
        <v>89</v>
      </c>
      <c r="B78" s="69" t="s">
        <v>1024</v>
      </c>
      <c r="C78" s="115" t="s">
        <v>1189</v>
      </c>
      <c r="D78" s="69" t="s">
        <v>1012</v>
      </c>
      <c r="E78" s="22">
        <v>32753</v>
      </c>
      <c r="F78" s="69" t="s">
        <v>92</v>
      </c>
      <c r="G78" s="69" t="s">
        <v>136</v>
      </c>
      <c r="H78" s="47">
        <v>2018</v>
      </c>
    </row>
    <row r="79" spans="1:8" ht="24.65" customHeight="1" x14ac:dyDescent="0.35">
      <c r="A79" s="73" t="s">
        <v>89</v>
      </c>
      <c r="B79" s="69" t="s">
        <v>1053</v>
      </c>
      <c r="C79" s="115" t="s">
        <v>1190</v>
      </c>
      <c r="D79" s="69" t="s">
        <v>1018</v>
      </c>
      <c r="E79" s="22">
        <v>46141</v>
      </c>
      <c r="F79" s="69" t="s">
        <v>92</v>
      </c>
      <c r="G79" s="69" t="s">
        <v>136</v>
      </c>
      <c r="H79" s="47">
        <v>2018</v>
      </c>
    </row>
    <row r="80" spans="1:8" ht="24.65" customHeight="1" x14ac:dyDescent="0.35">
      <c r="A80" s="73" t="s">
        <v>89</v>
      </c>
      <c r="B80" s="69" t="s">
        <v>1014</v>
      </c>
      <c r="C80" s="115" t="s">
        <v>1191</v>
      </c>
      <c r="D80" s="69" t="s">
        <v>1012</v>
      </c>
      <c r="E80" s="22">
        <v>78343</v>
      </c>
      <c r="F80" s="69" t="s">
        <v>92</v>
      </c>
      <c r="G80" s="69" t="s">
        <v>136</v>
      </c>
      <c r="H80" s="47">
        <v>2018</v>
      </c>
    </row>
    <row r="81" spans="1:8" ht="24.65" customHeight="1" x14ac:dyDescent="0.35">
      <c r="A81" s="73" t="s">
        <v>93</v>
      </c>
      <c r="B81" s="69" t="s">
        <v>1028</v>
      </c>
      <c r="C81" s="115" t="s">
        <v>1198</v>
      </c>
      <c r="D81" s="69" t="s">
        <v>1012</v>
      </c>
      <c r="E81" s="22">
        <v>135185</v>
      </c>
      <c r="F81" s="69" t="s">
        <v>1199</v>
      </c>
      <c r="G81" s="69" t="s">
        <v>20</v>
      </c>
      <c r="H81" s="47">
        <v>2018</v>
      </c>
    </row>
    <row r="82" spans="1:8" ht="24.65" customHeight="1" x14ac:dyDescent="0.35">
      <c r="A82" s="73" t="s">
        <v>93</v>
      </c>
      <c r="B82" s="69" t="s">
        <v>1048</v>
      </c>
      <c r="C82" s="115" t="s">
        <v>1198</v>
      </c>
      <c r="D82" s="69" t="s">
        <v>1012</v>
      </c>
      <c r="E82" s="22">
        <v>14792</v>
      </c>
      <c r="F82" s="69" t="s">
        <v>1199</v>
      </c>
      <c r="G82" s="69" t="s">
        <v>20</v>
      </c>
      <c r="H82" s="47">
        <v>2018</v>
      </c>
    </row>
    <row r="83" spans="1:8" ht="24.65" customHeight="1" x14ac:dyDescent="0.35">
      <c r="A83" s="73" t="s">
        <v>93</v>
      </c>
      <c r="B83" s="69" t="s">
        <v>1014</v>
      </c>
      <c r="C83" s="115" t="s">
        <v>1198</v>
      </c>
      <c r="D83" s="69" t="s">
        <v>1012</v>
      </c>
      <c r="E83" s="22">
        <v>114665</v>
      </c>
      <c r="F83" s="69" t="s">
        <v>1199</v>
      </c>
      <c r="G83" s="69" t="s">
        <v>20</v>
      </c>
      <c r="H83" s="47">
        <v>2018</v>
      </c>
    </row>
    <row r="84" spans="1:8" ht="24.65" customHeight="1" x14ac:dyDescent="0.35">
      <c r="A84" s="73" t="s">
        <v>93</v>
      </c>
      <c r="B84" s="69" t="s">
        <v>1053</v>
      </c>
      <c r="C84" s="115" t="s">
        <v>1198</v>
      </c>
      <c r="D84" s="69" t="s">
        <v>1012</v>
      </c>
      <c r="E84" s="22">
        <v>143546</v>
      </c>
      <c r="F84" s="69" t="s">
        <v>1199</v>
      </c>
      <c r="G84" s="69" t="s">
        <v>20</v>
      </c>
      <c r="H84" s="47">
        <v>2018</v>
      </c>
    </row>
    <row r="85" spans="1:8" ht="24.65" customHeight="1" x14ac:dyDescent="0.35">
      <c r="A85" s="73" t="s">
        <v>93</v>
      </c>
      <c r="B85" s="69" t="s">
        <v>1024</v>
      </c>
      <c r="C85" s="115" t="s">
        <v>1198</v>
      </c>
      <c r="D85" s="69" t="s">
        <v>1012</v>
      </c>
      <c r="E85" s="22">
        <v>58560</v>
      </c>
      <c r="F85" s="69" t="s">
        <v>1199</v>
      </c>
      <c r="G85" s="69" t="s">
        <v>20</v>
      </c>
      <c r="H85" s="47">
        <v>2018</v>
      </c>
    </row>
    <row r="86" spans="1:8" ht="24.65" customHeight="1" x14ac:dyDescent="0.35">
      <c r="A86" s="73" t="s">
        <v>93</v>
      </c>
      <c r="B86" s="69" t="s">
        <v>1014</v>
      </c>
      <c r="C86" s="115" t="s">
        <v>1198</v>
      </c>
      <c r="D86" s="69" t="s">
        <v>1012</v>
      </c>
      <c r="E86" s="22">
        <v>124676</v>
      </c>
      <c r="F86" s="69" t="s">
        <v>1199</v>
      </c>
      <c r="G86" s="69" t="s">
        <v>20</v>
      </c>
      <c r="H86" s="47">
        <v>2018</v>
      </c>
    </row>
    <row r="87" spans="1:8" ht="24.65" customHeight="1" x14ac:dyDescent="0.35">
      <c r="A87" s="73" t="s">
        <v>93</v>
      </c>
      <c r="B87" s="69" t="s">
        <v>1014</v>
      </c>
      <c r="C87" s="115" t="s">
        <v>1198</v>
      </c>
      <c r="D87" s="69" t="s">
        <v>1012</v>
      </c>
      <c r="E87" s="22">
        <v>47562</v>
      </c>
      <c r="F87" s="69" t="s">
        <v>1199</v>
      </c>
      <c r="G87" s="69" t="s">
        <v>20</v>
      </c>
      <c r="H87" s="47">
        <v>2018</v>
      </c>
    </row>
    <row r="88" spans="1:8" ht="24.65" customHeight="1" x14ac:dyDescent="0.35">
      <c r="A88" s="73" t="s">
        <v>96</v>
      </c>
      <c r="B88" s="69" t="s">
        <v>1014</v>
      </c>
      <c r="C88" s="115" t="s">
        <v>1200</v>
      </c>
      <c r="D88" s="69" t="s">
        <v>1012</v>
      </c>
      <c r="E88" s="22">
        <v>51187</v>
      </c>
      <c r="F88" s="69" t="s">
        <v>17</v>
      </c>
      <c r="G88" s="69" t="s">
        <v>136</v>
      </c>
      <c r="H88" s="47">
        <v>2018</v>
      </c>
    </row>
    <row r="89" spans="1:8" ht="24.65" customHeight="1" x14ac:dyDescent="0.35">
      <c r="A89" s="73" t="s">
        <v>96</v>
      </c>
      <c r="B89" s="69" t="s">
        <v>1014</v>
      </c>
      <c r="C89" s="115" t="s">
        <v>1200</v>
      </c>
      <c r="D89" s="69" t="s">
        <v>1012</v>
      </c>
      <c r="E89" s="22">
        <v>17062</v>
      </c>
      <c r="F89" s="69" t="s">
        <v>17</v>
      </c>
      <c r="G89" s="69" t="s">
        <v>136</v>
      </c>
      <c r="H89" s="47">
        <v>2018</v>
      </c>
    </row>
    <row r="90" spans="1:8" ht="24.65" customHeight="1" x14ac:dyDescent="0.35">
      <c r="A90" s="73" t="s">
        <v>101</v>
      </c>
      <c r="B90" s="69" t="s">
        <v>1014</v>
      </c>
      <c r="C90" s="115" t="s">
        <v>1201</v>
      </c>
      <c r="D90" s="69" t="s">
        <v>1016</v>
      </c>
      <c r="E90" s="22">
        <v>200000</v>
      </c>
      <c r="F90" s="69" t="s">
        <v>1202</v>
      </c>
      <c r="G90" s="69" t="s">
        <v>83</v>
      </c>
      <c r="H90" s="47">
        <v>2018</v>
      </c>
    </row>
    <row r="91" spans="1:8" ht="24.65" customHeight="1" x14ac:dyDescent="0.35">
      <c r="A91" s="73" t="s">
        <v>101</v>
      </c>
      <c r="B91" s="69" t="s">
        <v>1028</v>
      </c>
      <c r="C91" s="115" t="s">
        <v>1203</v>
      </c>
      <c r="D91" s="69" t="s">
        <v>1035</v>
      </c>
      <c r="E91" s="22">
        <v>254980</v>
      </c>
      <c r="F91" s="69" t="s">
        <v>1204</v>
      </c>
      <c r="G91" s="69" t="s">
        <v>83</v>
      </c>
      <c r="H91" s="47">
        <v>2018</v>
      </c>
    </row>
    <row r="92" spans="1:8" ht="24.65" customHeight="1" x14ac:dyDescent="0.35">
      <c r="A92" s="73" t="s">
        <v>101</v>
      </c>
      <c r="B92" s="69" t="s">
        <v>1007</v>
      </c>
      <c r="C92" s="115" t="s">
        <v>1205</v>
      </c>
      <c r="D92" s="69" t="s">
        <v>1032</v>
      </c>
      <c r="E92" s="22">
        <v>358200</v>
      </c>
      <c r="F92" s="69" t="s">
        <v>1202</v>
      </c>
      <c r="G92" s="69" t="s">
        <v>83</v>
      </c>
      <c r="H92" s="47">
        <v>2018</v>
      </c>
    </row>
    <row r="93" spans="1:8" ht="24.65" customHeight="1" x14ac:dyDescent="0.35">
      <c r="A93" s="73" t="s">
        <v>101</v>
      </c>
      <c r="B93" s="69" t="s">
        <v>1014</v>
      </c>
      <c r="C93" s="115" t="s">
        <v>1201</v>
      </c>
      <c r="D93" s="69" t="s">
        <v>1012</v>
      </c>
      <c r="E93" s="22">
        <v>300000</v>
      </c>
      <c r="F93" s="69" t="s">
        <v>83</v>
      </c>
      <c r="G93" s="69" t="s">
        <v>83</v>
      </c>
      <c r="H93" s="47">
        <v>2018</v>
      </c>
    </row>
    <row r="94" spans="1:8" ht="24.65" customHeight="1" x14ac:dyDescent="0.35">
      <c r="A94" s="73" t="s">
        <v>101</v>
      </c>
      <c r="B94" s="69" t="s">
        <v>1014</v>
      </c>
      <c r="C94" s="115" t="s">
        <v>1206</v>
      </c>
      <c r="D94" s="69" t="s">
        <v>1032</v>
      </c>
      <c r="E94" s="22">
        <v>1370</v>
      </c>
      <c r="F94" s="69" t="s">
        <v>1202</v>
      </c>
      <c r="G94" s="69" t="s">
        <v>83</v>
      </c>
      <c r="H94" s="47">
        <v>2018</v>
      </c>
    </row>
    <row r="95" spans="1:8" ht="24.65" customHeight="1" x14ac:dyDescent="0.35">
      <c r="A95" s="73" t="s">
        <v>101</v>
      </c>
      <c r="B95" s="69" t="s">
        <v>1053</v>
      </c>
      <c r="C95" s="115" t="s">
        <v>1207</v>
      </c>
      <c r="D95" s="69" t="s">
        <v>1012</v>
      </c>
      <c r="E95" s="22">
        <v>5893.1</v>
      </c>
      <c r="F95" s="69" t="s">
        <v>83</v>
      </c>
      <c r="G95" s="69" t="s">
        <v>83</v>
      </c>
      <c r="H95" s="47">
        <v>2018</v>
      </c>
    </row>
    <row r="96" spans="1:8" ht="24.65" customHeight="1" x14ac:dyDescent="0.35">
      <c r="A96" s="73" t="s">
        <v>101</v>
      </c>
      <c r="B96" s="69" t="s">
        <v>1053</v>
      </c>
      <c r="C96" s="115" t="s">
        <v>1208</v>
      </c>
      <c r="D96" s="69" t="s">
        <v>1012</v>
      </c>
      <c r="E96" s="22">
        <v>2600</v>
      </c>
      <c r="F96" s="69" t="s">
        <v>1209</v>
      </c>
      <c r="G96" s="69" t="s">
        <v>1209</v>
      </c>
      <c r="H96" s="47">
        <v>2018</v>
      </c>
    </row>
    <row r="97" spans="1:8" ht="24.65" customHeight="1" x14ac:dyDescent="0.35">
      <c r="A97" s="73" t="s">
        <v>106</v>
      </c>
      <c r="B97" s="69" t="s">
        <v>1028</v>
      </c>
      <c r="C97" s="115" t="s">
        <v>1232</v>
      </c>
      <c r="D97" s="69" t="s">
        <v>1035</v>
      </c>
      <c r="E97" s="22">
        <v>100</v>
      </c>
      <c r="F97" s="69" t="s">
        <v>405</v>
      </c>
      <c r="G97" s="69" t="s">
        <v>78</v>
      </c>
      <c r="H97" s="47">
        <v>2018</v>
      </c>
    </row>
    <row r="98" spans="1:8" ht="24.65" customHeight="1" x14ac:dyDescent="0.35">
      <c r="A98" s="73" t="s">
        <v>106</v>
      </c>
      <c r="B98" s="69" t="s">
        <v>1014</v>
      </c>
      <c r="C98" s="115" t="s">
        <v>1233</v>
      </c>
      <c r="D98" s="69" t="s">
        <v>1012</v>
      </c>
      <c r="E98" s="22">
        <v>100</v>
      </c>
      <c r="F98" s="69" t="s">
        <v>405</v>
      </c>
      <c r="G98" s="69" t="s">
        <v>78</v>
      </c>
      <c r="H98" s="47">
        <v>2018</v>
      </c>
    </row>
    <row r="99" spans="1:8" ht="24.65" customHeight="1" x14ac:dyDescent="0.35">
      <c r="A99" s="73" t="s">
        <v>106</v>
      </c>
      <c r="B99" s="69" t="s">
        <v>1053</v>
      </c>
      <c r="C99" s="115" t="s">
        <v>1234</v>
      </c>
      <c r="D99" s="69" t="s">
        <v>1032</v>
      </c>
      <c r="E99" s="22">
        <v>150</v>
      </c>
      <c r="F99" s="69" t="s">
        <v>405</v>
      </c>
      <c r="G99" s="69" t="s">
        <v>78</v>
      </c>
      <c r="H99" s="47">
        <v>2018</v>
      </c>
    </row>
    <row r="100" spans="1:8" ht="24.65" customHeight="1" x14ac:dyDescent="0.35">
      <c r="A100" s="73" t="s">
        <v>106</v>
      </c>
      <c r="B100" s="69" t="s">
        <v>1048</v>
      </c>
      <c r="C100" s="115" t="s">
        <v>1235</v>
      </c>
      <c r="D100" s="69" t="s">
        <v>1012</v>
      </c>
      <c r="E100" s="22">
        <v>100</v>
      </c>
      <c r="F100" s="69" t="s">
        <v>565</v>
      </c>
      <c r="G100" s="69" t="s">
        <v>78</v>
      </c>
      <c r="H100" s="47">
        <v>2018</v>
      </c>
    </row>
    <row r="101" spans="1:8" ht="24.65" customHeight="1" x14ac:dyDescent="0.35">
      <c r="A101" s="73" t="s">
        <v>106</v>
      </c>
      <c r="B101" s="69" t="s">
        <v>1193</v>
      </c>
      <c r="C101" s="115" t="s">
        <v>1236</v>
      </c>
      <c r="D101" s="69" t="s">
        <v>1012</v>
      </c>
      <c r="E101" s="22">
        <v>200</v>
      </c>
      <c r="F101" s="69" t="s">
        <v>47</v>
      </c>
      <c r="G101" s="69" t="s">
        <v>78</v>
      </c>
      <c r="H101" s="47">
        <v>2018</v>
      </c>
    </row>
    <row r="102" spans="1:8" ht="24.65" customHeight="1" x14ac:dyDescent="0.35">
      <c r="A102" s="73" t="s">
        <v>106</v>
      </c>
      <c r="B102" s="69" t="s">
        <v>1048</v>
      </c>
      <c r="C102" s="115" t="s">
        <v>1237</v>
      </c>
      <c r="D102" s="69" t="s">
        <v>1012</v>
      </c>
      <c r="E102" s="22">
        <v>1000</v>
      </c>
      <c r="F102" s="69" t="s">
        <v>1238</v>
      </c>
      <c r="G102" s="69" t="s">
        <v>78</v>
      </c>
      <c r="H102" s="47">
        <v>2018</v>
      </c>
    </row>
    <row r="103" spans="1:8" ht="24.65" customHeight="1" x14ac:dyDescent="0.35">
      <c r="A103" s="73" t="s">
        <v>116</v>
      </c>
      <c r="B103" s="69" t="s">
        <v>1014</v>
      </c>
      <c r="C103" s="115" t="s">
        <v>1240</v>
      </c>
      <c r="D103" s="69" t="s">
        <v>1012</v>
      </c>
      <c r="E103" s="22">
        <v>14000</v>
      </c>
      <c r="F103" s="69" t="s">
        <v>44</v>
      </c>
      <c r="G103" s="69" t="s">
        <v>66</v>
      </c>
      <c r="H103" s="47">
        <v>2018</v>
      </c>
    </row>
    <row r="104" spans="1:8" ht="24.65" customHeight="1" x14ac:dyDescent="0.35">
      <c r="A104" s="73" t="s">
        <v>118</v>
      </c>
      <c r="B104" s="69" t="s">
        <v>1028</v>
      </c>
      <c r="C104" s="115" t="s">
        <v>1244</v>
      </c>
      <c r="D104" s="69" t="s">
        <v>1012</v>
      </c>
      <c r="E104" s="22">
        <v>18000</v>
      </c>
      <c r="F104" s="69" t="s">
        <v>1245</v>
      </c>
      <c r="G104" s="69" t="s">
        <v>165</v>
      </c>
      <c r="H104" s="47">
        <v>2018</v>
      </c>
    </row>
    <row r="105" spans="1:8" ht="24.65" customHeight="1" x14ac:dyDescent="0.35">
      <c r="A105" s="73" t="s">
        <v>118</v>
      </c>
      <c r="B105" s="69" t="s">
        <v>1048</v>
      </c>
      <c r="C105" s="115" t="s">
        <v>1246</v>
      </c>
      <c r="D105" s="69" t="s">
        <v>1012</v>
      </c>
      <c r="E105" s="22">
        <v>45000</v>
      </c>
      <c r="F105" s="69" t="s">
        <v>146</v>
      </c>
      <c r="G105" s="69" t="s">
        <v>165</v>
      </c>
      <c r="H105" s="47">
        <v>2018</v>
      </c>
    </row>
    <row r="106" spans="1:8" ht="24.65" customHeight="1" x14ac:dyDescent="0.35">
      <c r="A106" s="73" t="s">
        <v>14</v>
      </c>
      <c r="B106" s="69" t="s">
        <v>1014</v>
      </c>
      <c r="C106" s="115" t="s">
        <v>1027</v>
      </c>
      <c r="D106" s="69" t="s">
        <v>1016</v>
      </c>
      <c r="E106" s="22">
        <v>3293</v>
      </c>
      <c r="F106" s="69" t="s">
        <v>17</v>
      </c>
      <c r="G106" s="69" t="s">
        <v>20</v>
      </c>
      <c r="H106" s="47">
        <v>2019</v>
      </c>
    </row>
    <row r="107" spans="1:8" ht="24.65" customHeight="1" x14ac:dyDescent="0.35">
      <c r="A107" s="73" t="s">
        <v>14</v>
      </c>
      <c r="B107" s="69" t="s">
        <v>1028</v>
      </c>
      <c r="C107" s="115" t="s">
        <v>1029</v>
      </c>
      <c r="D107" s="69" t="s">
        <v>1018</v>
      </c>
      <c r="E107" s="22">
        <v>200</v>
      </c>
      <c r="F107" s="69" t="s">
        <v>17</v>
      </c>
      <c r="G107" s="69" t="s">
        <v>20</v>
      </c>
      <c r="H107" s="47">
        <v>2019</v>
      </c>
    </row>
    <row r="108" spans="1:8" ht="24.65" customHeight="1" x14ac:dyDescent="0.35">
      <c r="A108" s="73" t="s">
        <v>14</v>
      </c>
      <c r="B108" s="69" t="s">
        <v>1024</v>
      </c>
      <c r="C108" s="115" t="s">
        <v>1030</v>
      </c>
      <c r="D108" s="69" t="s">
        <v>1012</v>
      </c>
      <c r="E108" s="22">
        <v>700</v>
      </c>
      <c r="F108" s="69" t="s">
        <v>17</v>
      </c>
      <c r="G108" s="69" t="s">
        <v>20</v>
      </c>
      <c r="H108" s="47">
        <v>2019</v>
      </c>
    </row>
    <row r="109" spans="1:8" ht="24.65" customHeight="1" x14ac:dyDescent="0.35">
      <c r="A109" s="73" t="s">
        <v>14</v>
      </c>
      <c r="B109" s="69" t="s">
        <v>1007</v>
      </c>
      <c r="C109" s="115" t="s">
        <v>1031</v>
      </c>
      <c r="D109" s="69" t="s">
        <v>1032</v>
      </c>
      <c r="E109" s="22">
        <v>21611</v>
      </c>
      <c r="F109" s="69" t="s">
        <v>17</v>
      </c>
      <c r="G109" s="69" t="s">
        <v>20</v>
      </c>
      <c r="H109" s="47">
        <v>2019</v>
      </c>
    </row>
    <row r="110" spans="1:8" ht="24.65" customHeight="1" x14ac:dyDescent="0.35">
      <c r="A110" s="73" t="s">
        <v>14</v>
      </c>
      <c r="B110" s="69" t="s">
        <v>1007</v>
      </c>
      <c r="C110" s="115" t="s">
        <v>1033</v>
      </c>
      <c r="D110" s="69" t="s">
        <v>1018</v>
      </c>
      <c r="E110" s="22">
        <v>1013</v>
      </c>
      <c r="F110" s="69" t="s">
        <v>17</v>
      </c>
      <c r="G110" s="69" t="s">
        <v>20</v>
      </c>
      <c r="H110" s="47">
        <v>2019</v>
      </c>
    </row>
    <row r="111" spans="1:8" ht="24.65" customHeight="1" x14ac:dyDescent="0.35">
      <c r="A111" s="73" t="s">
        <v>14</v>
      </c>
      <c r="B111" s="69" t="s">
        <v>1028</v>
      </c>
      <c r="C111" s="115" t="s">
        <v>1034</v>
      </c>
      <c r="D111" s="69" t="s">
        <v>1035</v>
      </c>
      <c r="E111" s="22">
        <v>8105</v>
      </c>
      <c r="F111" s="69" t="s">
        <v>17</v>
      </c>
      <c r="G111" s="69" t="s">
        <v>20</v>
      </c>
      <c r="H111" s="47">
        <v>2019</v>
      </c>
    </row>
    <row r="112" spans="1:8" ht="24.65" customHeight="1" x14ac:dyDescent="0.35">
      <c r="A112" s="73" t="s">
        <v>14</v>
      </c>
      <c r="B112" s="69" t="s">
        <v>1024</v>
      </c>
      <c r="C112" s="115" t="s">
        <v>1036</v>
      </c>
      <c r="D112" s="69" t="s">
        <v>1012</v>
      </c>
      <c r="E112" s="22">
        <v>2906</v>
      </c>
      <c r="F112" s="69" t="s">
        <v>17</v>
      </c>
      <c r="G112" s="69" t="s">
        <v>20</v>
      </c>
      <c r="H112" s="47">
        <v>2019</v>
      </c>
    </row>
    <row r="113" spans="1:8" ht="24.65" customHeight="1" x14ac:dyDescent="0.35">
      <c r="A113" s="73" t="s">
        <v>30</v>
      </c>
      <c r="B113" s="69" t="s">
        <v>1014</v>
      </c>
      <c r="C113" s="115" t="s">
        <v>1037</v>
      </c>
      <c r="D113" s="69" t="s">
        <v>1012</v>
      </c>
      <c r="E113" s="22">
        <v>33193.5</v>
      </c>
      <c r="F113" s="69" t="s">
        <v>1038</v>
      </c>
      <c r="G113" s="69" t="s">
        <v>1039</v>
      </c>
      <c r="H113" s="47">
        <v>2019</v>
      </c>
    </row>
    <row r="114" spans="1:8" ht="24.65" customHeight="1" x14ac:dyDescent="0.35">
      <c r="A114" s="73" t="s">
        <v>30</v>
      </c>
      <c r="B114" s="69" t="s">
        <v>1014</v>
      </c>
      <c r="C114" s="115" t="s">
        <v>1040</v>
      </c>
      <c r="D114" s="69" t="s">
        <v>1016</v>
      </c>
      <c r="E114" s="22">
        <v>2116.75</v>
      </c>
      <c r="F114" s="69" t="s">
        <v>17</v>
      </c>
      <c r="G114" s="69" t="s">
        <v>136</v>
      </c>
      <c r="H114" s="47">
        <v>2019</v>
      </c>
    </row>
    <row r="115" spans="1:8" ht="24.65" customHeight="1" x14ac:dyDescent="0.35">
      <c r="A115" s="73" t="s">
        <v>30</v>
      </c>
      <c r="B115" s="69" t="s">
        <v>1014</v>
      </c>
      <c r="C115" s="115" t="s">
        <v>1041</v>
      </c>
      <c r="D115" s="69" t="s">
        <v>1012</v>
      </c>
      <c r="E115" s="22">
        <v>10825.97</v>
      </c>
      <c r="F115" s="69" t="s">
        <v>131</v>
      </c>
      <c r="G115" s="69" t="s">
        <v>131</v>
      </c>
      <c r="H115" s="47">
        <v>2019</v>
      </c>
    </row>
    <row r="116" spans="1:8" ht="24.65" customHeight="1" x14ac:dyDescent="0.35">
      <c r="A116" s="73" t="s">
        <v>30</v>
      </c>
      <c r="B116" s="69" t="s">
        <v>1028</v>
      </c>
      <c r="C116" s="115" t="s">
        <v>1042</v>
      </c>
      <c r="D116" s="69" t="s">
        <v>1035</v>
      </c>
      <c r="E116" s="22">
        <v>3500</v>
      </c>
      <c r="F116" s="69" t="s">
        <v>131</v>
      </c>
      <c r="G116" s="69" t="s">
        <v>131</v>
      </c>
      <c r="H116" s="47">
        <v>2019</v>
      </c>
    </row>
    <row r="117" spans="1:8" ht="24.65" customHeight="1" x14ac:dyDescent="0.35">
      <c r="A117" s="73" t="s">
        <v>30</v>
      </c>
      <c r="B117" s="69" t="s">
        <v>1043</v>
      </c>
      <c r="C117" s="115" t="s">
        <v>1044</v>
      </c>
      <c r="D117" s="69" t="s">
        <v>1032</v>
      </c>
      <c r="E117" s="22">
        <v>9200</v>
      </c>
      <c r="F117" s="69" t="s">
        <v>1045</v>
      </c>
      <c r="G117" s="69" t="s">
        <v>20</v>
      </c>
      <c r="H117" s="47">
        <v>2019</v>
      </c>
    </row>
    <row r="118" spans="1:8" ht="24.65" customHeight="1" x14ac:dyDescent="0.35">
      <c r="A118" s="73" t="s">
        <v>30</v>
      </c>
      <c r="B118" s="69" t="s">
        <v>1014</v>
      </c>
      <c r="C118" s="115" t="s">
        <v>1046</v>
      </c>
      <c r="D118" s="69" t="s">
        <v>1009</v>
      </c>
      <c r="E118" s="22">
        <v>3443.1</v>
      </c>
      <c r="F118" s="69" t="s">
        <v>1047</v>
      </c>
      <c r="G118" s="69" t="s">
        <v>20</v>
      </c>
      <c r="H118" s="47">
        <v>2019</v>
      </c>
    </row>
    <row r="119" spans="1:8" ht="24.65" customHeight="1" x14ac:dyDescent="0.35">
      <c r="A119" s="73" t="s">
        <v>30</v>
      </c>
      <c r="B119" s="69" t="s">
        <v>1048</v>
      </c>
      <c r="C119" s="115" t="s">
        <v>1049</v>
      </c>
      <c r="D119" s="69" t="s">
        <v>1012</v>
      </c>
      <c r="E119" s="22">
        <v>200</v>
      </c>
      <c r="F119" s="69" t="s">
        <v>20</v>
      </c>
      <c r="G119" s="69" t="s">
        <v>20</v>
      </c>
      <c r="H119" s="47">
        <v>2019</v>
      </c>
    </row>
    <row r="120" spans="1:8" ht="24.65" customHeight="1" x14ac:dyDescent="0.35">
      <c r="A120" s="73" t="s">
        <v>30</v>
      </c>
      <c r="B120" s="69" t="s">
        <v>1048</v>
      </c>
      <c r="C120" s="115" t="s">
        <v>1049</v>
      </c>
      <c r="D120" s="69" t="s">
        <v>1012</v>
      </c>
      <c r="E120" s="22">
        <v>200</v>
      </c>
      <c r="F120" s="69" t="s">
        <v>17</v>
      </c>
      <c r="G120" s="69" t="s">
        <v>136</v>
      </c>
      <c r="H120" s="47">
        <v>2019</v>
      </c>
    </row>
    <row r="121" spans="1:8" ht="24.65" customHeight="1" x14ac:dyDescent="0.35">
      <c r="A121" s="73" t="s">
        <v>30</v>
      </c>
      <c r="B121" s="69" t="s">
        <v>1048</v>
      </c>
      <c r="C121" s="115" t="s">
        <v>1050</v>
      </c>
      <c r="D121" s="69" t="s">
        <v>1012</v>
      </c>
      <c r="E121" s="22">
        <v>2080</v>
      </c>
      <c r="F121" s="69" t="s">
        <v>20</v>
      </c>
      <c r="G121" s="69" t="s">
        <v>20</v>
      </c>
      <c r="H121" s="47">
        <v>2019</v>
      </c>
    </row>
    <row r="122" spans="1:8" ht="24.65" customHeight="1" x14ac:dyDescent="0.35">
      <c r="A122" s="73" t="s">
        <v>30</v>
      </c>
      <c r="B122" s="69" t="s">
        <v>1024</v>
      </c>
      <c r="C122" s="115" t="s">
        <v>1051</v>
      </c>
      <c r="D122" s="69" t="s">
        <v>1012</v>
      </c>
      <c r="E122" s="22">
        <v>7500</v>
      </c>
      <c r="F122" s="69" t="s">
        <v>1052</v>
      </c>
      <c r="G122" s="69" t="s">
        <v>136</v>
      </c>
      <c r="H122" s="47">
        <v>2019</v>
      </c>
    </row>
    <row r="123" spans="1:8" ht="24.65" customHeight="1" x14ac:dyDescent="0.35">
      <c r="A123" s="73" t="s">
        <v>30</v>
      </c>
      <c r="B123" s="69" t="s">
        <v>1053</v>
      </c>
      <c r="C123" s="115" t="s">
        <v>1054</v>
      </c>
      <c r="D123" s="69" t="s">
        <v>1012</v>
      </c>
      <c r="E123" s="22">
        <v>1600</v>
      </c>
      <c r="F123" s="69" t="s">
        <v>1055</v>
      </c>
      <c r="G123" s="69" t="s">
        <v>20</v>
      </c>
      <c r="H123" s="47">
        <v>2019</v>
      </c>
    </row>
    <row r="124" spans="1:8" ht="24.65" customHeight="1" x14ac:dyDescent="0.35">
      <c r="A124" s="73" t="s">
        <v>30</v>
      </c>
      <c r="B124" s="69" t="s">
        <v>1048</v>
      </c>
      <c r="C124" s="115" t="s">
        <v>1056</v>
      </c>
      <c r="D124" s="69" t="s">
        <v>1012</v>
      </c>
      <c r="E124" s="22">
        <v>350</v>
      </c>
      <c r="F124" s="69" t="s">
        <v>17</v>
      </c>
      <c r="G124" s="69" t="s">
        <v>136</v>
      </c>
      <c r="H124" s="47">
        <v>2019</v>
      </c>
    </row>
    <row r="125" spans="1:8" ht="24.65" customHeight="1" x14ac:dyDescent="0.35">
      <c r="A125" s="73" t="s">
        <v>30</v>
      </c>
      <c r="B125" s="69" t="s">
        <v>1048</v>
      </c>
      <c r="C125" s="115" t="s">
        <v>1057</v>
      </c>
      <c r="D125" s="69" t="s">
        <v>1012</v>
      </c>
      <c r="E125" s="22">
        <v>837.5</v>
      </c>
      <c r="F125" s="69" t="s">
        <v>20</v>
      </c>
      <c r="G125" s="69" t="s">
        <v>20</v>
      </c>
      <c r="H125" s="47">
        <v>2019</v>
      </c>
    </row>
    <row r="126" spans="1:8" ht="24.65" customHeight="1" x14ac:dyDescent="0.35">
      <c r="A126" s="73" t="s">
        <v>30</v>
      </c>
      <c r="B126" s="69" t="s">
        <v>1048</v>
      </c>
      <c r="C126" s="115" t="s">
        <v>1058</v>
      </c>
      <c r="D126" s="69" t="s">
        <v>1012</v>
      </c>
      <c r="E126" s="22">
        <v>937.5</v>
      </c>
      <c r="F126" s="69" t="s">
        <v>94</v>
      </c>
      <c r="G126" s="69" t="s">
        <v>20</v>
      </c>
      <c r="H126" s="47">
        <v>2019</v>
      </c>
    </row>
    <row r="127" spans="1:8" ht="24.65" customHeight="1" x14ac:dyDescent="0.35">
      <c r="A127" s="73" t="s">
        <v>30</v>
      </c>
      <c r="B127" s="69" t="s">
        <v>1048</v>
      </c>
      <c r="C127" s="115" t="s">
        <v>1049</v>
      </c>
      <c r="D127" s="69" t="s">
        <v>1012</v>
      </c>
      <c r="E127" s="22">
        <v>200</v>
      </c>
      <c r="F127" s="69" t="s">
        <v>17</v>
      </c>
      <c r="G127" s="69" t="s">
        <v>136</v>
      </c>
      <c r="H127" s="47">
        <v>2019</v>
      </c>
    </row>
    <row r="128" spans="1:8" ht="24.65" customHeight="1" x14ac:dyDescent="0.35">
      <c r="A128" s="73" t="s">
        <v>30</v>
      </c>
      <c r="B128" s="69" t="s">
        <v>1048</v>
      </c>
      <c r="C128" s="115" t="s">
        <v>1049</v>
      </c>
      <c r="D128" s="69" t="s">
        <v>1012</v>
      </c>
      <c r="E128" s="22">
        <v>200</v>
      </c>
      <c r="F128" s="69" t="s">
        <v>94</v>
      </c>
      <c r="G128" s="69" t="s">
        <v>20</v>
      </c>
      <c r="H128" s="47">
        <v>2019</v>
      </c>
    </row>
    <row r="129" spans="1:8" ht="24.65" customHeight="1" x14ac:dyDescent="0.35">
      <c r="A129" s="73" t="s">
        <v>43</v>
      </c>
      <c r="B129" s="69" t="s">
        <v>1014</v>
      </c>
      <c r="C129" s="115" t="s">
        <v>1071</v>
      </c>
      <c r="D129" s="69" t="s">
        <v>1012</v>
      </c>
      <c r="E129" s="22">
        <v>100</v>
      </c>
      <c r="F129" s="69" t="s">
        <v>49</v>
      </c>
      <c r="G129" s="69" t="s">
        <v>66</v>
      </c>
      <c r="H129" s="47">
        <v>2019</v>
      </c>
    </row>
    <row r="130" spans="1:8" ht="24.65" customHeight="1" x14ac:dyDescent="0.35">
      <c r="A130" s="73" t="s">
        <v>54</v>
      </c>
      <c r="B130" s="69" t="s">
        <v>1014</v>
      </c>
      <c r="C130" s="115" t="s">
        <v>1096</v>
      </c>
      <c r="D130" s="69" t="s">
        <v>1012</v>
      </c>
      <c r="E130" s="22">
        <v>400</v>
      </c>
      <c r="F130" s="69" t="s">
        <v>1097</v>
      </c>
      <c r="G130" s="69" t="s">
        <v>61</v>
      </c>
      <c r="H130" s="47">
        <v>2019</v>
      </c>
    </row>
    <row r="131" spans="1:8" ht="24.65" customHeight="1" x14ac:dyDescent="0.35">
      <c r="A131" s="73" t="s">
        <v>54</v>
      </c>
      <c r="B131" s="69" t="s">
        <v>1014</v>
      </c>
      <c r="C131" s="115" t="s">
        <v>1098</v>
      </c>
      <c r="D131" s="69" t="s">
        <v>1012</v>
      </c>
      <c r="E131" s="22">
        <v>595</v>
      </c>
      <c r="F131" s="69" t="s">
        <v>1097</v>
      </c>
      <c r="G131" s="69" t="s">
        <v>61</v>
      </c>
      <c r="H131" s="47">
        <v>2019</v>
      </c>
    </row>
    <row r="132" spans="1:8" ht="24.65" customHeight="1" x14ac:dyDescent="0.35">
      <c r="A132" s="73" t="s">
        <v>54</v>
      </c>
      <c r="B132" s="69" t="s">
        <v>1028</v>
      </c>
      <c r="C132" s="115" t="s">
        <v>1099</v>
      </c>
      <c r="D132" s="69" t="s">
        <v>1035</v>
      </c>
      <c r="E132" s="22">
        <v>1500</v>
      </c>
      <c r="F132" s="69" t="s">
        <v>1097</v>
      </c>
      <c r="G132" s="69" t="s">
        <v>61</v>
      </c>
      <c r="H132" s="47">
        <v>2019</v>
      </c>
    </row>
    <row r="133" spans="1:8" ht="24.65" customHeight="1" x14ac:dyDescent="0.35">
      <c r="A133" s="73" t="s">
        <v>54</v>
      </c>
      <c r="B133" s="69" t="s">
        <v>1053</v>
      </c>
      <c r="C133" s="115" t="s">
        <v>1100</v>
      </c>
      <c r="D133" s="69" t="s">
        <v>1018</v>
      </c>
      <c r="E133" s="22">
        <v>500</v>
      </c>
      <c r="F133" s="69" t="s">
        <v>1097</v>
      </c>
      <c r="G133" s="69" t="s">
        <v>61</v>
      </c>
      <c r="H133" s="47">
        <v>2019</v>
      </c>
    </row>
    <row r="134" spans="1:8" ht="24.65" customHeight="1" x14ac:dyDescent="0.35">
      <c r="A134" s="73" t="s">
        <v>54</v>
      </c>
      <c r="B134" s="69" t="s">
        <v>1043</v>
      </c>
      <c r="C134" s="115" t="s">
        <v>1101</v>
      </c>
      <c r="D134" s="69" t="s">
        <v>1032</v>
      </c>
      <c r="E134" s="22">
        <v>400</v>
      </c>
      <c r="F134" s="69" t="s">
        <v>1097</v>
      </c>
      <c r="G134" s="69" t="s">
        <v>61</v>
      </c>
      <c r="H134" s="47">
        <v>2019</v>
      </c>
    </row>
    <row r="135" spans="1:8" ht="24.65" customHeight="1" x14ac:dyDescent="0.35">
      <c r="A135" s="73" t="s">
        <v>54</v>
      </c>
      <c r="B135" s="69" t="s">
        <v>1024</v>
      </c>
      <c r="C135" s="115" t="s">
        <v>1102</v>
      </c>
      <c r="D135" s="69" t="s">
        <v>1012</v>
      </c>
      <c r="E135" s="22">
        <v>250</v>
      </c>
      <c r="F135" s="69" t="s">
        <v>1097</v>
      </c>
      <c r="G135" s="69" t="s">
        <v>61</v>
      </c>
      <c r="H135" s="47">
        <v>2019</v>
      </c>
    </row>
    <row r="136" spans="1:8" ht="24.65" customHeight="1" x14ac:dyDescent="0.35">
      <c r="A136" s="73" t="s">
        <v>62</v>
      </c>
      <c r="B136" s="69" t="s">
        <v>1014</v>
      </c>
      <c r="C136" s="115" t="s">
        <v>1124</v>
      </c>
      <c r="D136" s="69" t="s">
        <v>1012</v>
      </c>
      <c r="E136" s="22">
        <v>115000</v>
      </c>
      <c r="F136" s="69" t="s">
        <v>49</v>
      </c>
      <c r="G136" s="69" t="s">
        <v>66</v>
      </c>
      <c r="H136" s="47">
        <v>2019</v>
      </c>
    </row>
    <row r="137" spans="1:8" ht="24.65" customHeight="1" x14ac:dyDescent="0.35">
      <c r="A137" s="73" t="s">
        <v>62</v>
      </c>
      <c r="B137" s="69" t="s">
        <v>1021</v>
      </c>
      <c r="C137" s="115" t="s">
        <v>1125</v>
      </c>
      <c r="D137" s="69" t="s">
        <v>1012</v>
      </c>
      <c r="E137" s="22">
        <v>15000</v>
      </c>
      <c r="F137" s="69" t="s">
        <v>49</v>
      </c>
      <c r="G137" s="69" t="s">
        <v>66</v>
      </c>
      <c r="H137" s="47">
        <v>2019</v>
      </c>
    </row>
    <row r="138" spans="1:8" ht="24.65" customHeight="1" x14ac:dyDescent="0.35">
      <c r="A138" s="73" t="s">
        <v>75</v>
      </c>
      <c r="B138" s="69" t="s">
        <v>1151</v>
      </c>
      <c r="C138" s="115" t="s">
        <v>1152</v>
      </c>
      <c r="D138" s="69" t="s">
        <v>1012</v>
      </c>
      <c r="E138" s="22">
        <v>47700</v>
      </c>
      <c r="F138" s="69" t="s">
        <v>115</v>
      </c>
      <c r="G138" s="69" t="s">
        <v>78</v>
      </c>
      <c r="H138" s="47">
        <v>2019</v>
      </c>
    </row>
    <row r="139" spans="1:8" ht="24.65" customHeight="1" x14ac:dyDescent="0.35">
      <c r="A139" s="73" t="s">
        <v>79</v>
      </c>
      <c r="B139" s="69" t="s">
        <v>1014</v>
      </c>
      <c r="C139" s="115" t="s">
        <v>1153</v>
      </c>
      <c r="D139" s="69" t="s">
        <v>1016</v>
      </c>
      <c r="E139" s="22">
        <v>16957</v>
      </c>
      <c r="F139" s="69" t="s">
        <v>1154</v>
      </c>
      <c r="G139" s="69" t="s">
        <v>83</v>
      </c>
      <c r="H139" s="47">
        <v>2019</v>
      </c>
    </row>
    <row r="140" spans="1:8" ht="24.65" customHeight="1" x14ac:dyDescent="0.35">
      <c r="A140" s="73" t="s">
        <v>79</v>
      </c>
      <c r="B140" s="69" t="s">
        <v>1014</v>
      </c>
      <c r="C140" s="115" t="s">
        <v>1155</v>
      </c>
      <c r="D140" s="69" t="s">
        <v>1012</v>
      </c>
      <c r="E140" s="22">
        <v>1000</v>
      </c>
      <c r="F140" s="69" t="s">
        <v>146</v>
      </c>
      <c r="G140" s="69" t="s">
        <v>83</v>
      </c>
      <c r="H140" s="47">
        <v>2019</v>
      </c>
    </row>
    <row r="141" spans="1:8" ht="24.65" customHeight="1" x14ac:dyDescent="0.35">
      <c r="A141" s="73" t="s">
        <v>79</v>
      </c>
      <c r="B141" s="69" t="s">
        <v>1053</v>
      </c>
      <c r="C141" s="115" t="s">
        <v>1156</v>
      </c>
      <c r="D141" s="69" t="s">
        <v>1012</v>
      </c>
      <c r="E141" s="22">
        <v>59407</v>
      </c>
      <c r="F141" s="69" t="s">
        <v>1157</v>
      </c>
      <c r="G141" s="69" t="s">
        <v>83</v>
      </c>
      <c r="H141" s="47">
        <v>2019</v>
      </c>
    </row>
    <row r="142" spans="1:8" ht="24.65" customHeight="1" x14ac:dyDescent="0.35">
      <c r="A142" s="73" t="s">
        <v>79</v>
      </c>
      <c r="B142" s="69" t="s">
        <v>1014</v>
      </c>
      <c r="C142" s="115" t="s">
        <v>1158</v>
      </c>
      <c r="D142" s="69" t="s">
        <v>1012</v>
      </c>
      <c r="E142" s="22">
        <v>6233</v>
      </c>
      <c r="F142" s="69" t="s">
        <v>1159</v>
      </c>
      <c r="G142" s="69" t="s">
        <v>1160</v>
      </c>
      <c r="H142" s="47">
        <v>2019</v>
      </c>
    </row>
    <row r="143" spans="1:8" ht="24.65" customHeight="1" x14ac:dyDescent="0.35">
      <c r="A143" s="73" t="s">
        <v>79</v>
      </c>
      <c r="B143" s="69" t="s">
        <v>1014</v>
      </c>
      <c r="C143" s="115" t="s">
        <v>1153</v>
      </c>
      <c r="D143" s="69" t="s">
        <v>1012</v>
      </c>
      <c r="E143" s="22">
        <v>208</v>
      </c>
      <c r="F143" s="69" t="s">
        <v>1157</v>
      </c>
      <c r="G143" s="69" t="s">
        <v>83</v>
      </c>
      <c r="H143" s="47">
        <v>2019</v>
      </c>
    </row>
    <row r="144" spans="1:8" ht="24.65" customHeight="1" x14ac:dyDescent="0.35">
      <c r="A144" s="73" t="s">
        <v>79</v>
      </c>
      <c r="B144" s="69" t="s">
        <v>1014</v>
      </c>
      <c r="C144" s="115" t="s">
        <v>1155</v>
      </c>
      <c r="D144" s="69" t="s">
        <v>1012</v>
      </c>
      <c r="E144" s="22">
        <v>500</v>
      </c>
      <c r="F144" s="69" t="s">
        <v>1157</v>
      </c>
      <c r="G144" s="69" t="s">
        <v>83</v>
      </c>
      <c r="H144" s="47">
        <v>2019</v>
      </c>
    </row>
    <row r="145" spans="1:8" ht="24.65" customHeight="1" x14ac:dyDescent="0.35">
      <c r="A145" s="73" t="s">
        <v>79</v>
      </c>
      <c r="B145" s="69" t="s">
        <v>1014</v>
      </c>
      <c r="C145" s="115" t="s">
        <v>1161</v>
      </c>
      <c r="D145" s="69" t="s">
        <v>1012</v>
      </c>
      <c r="E145" s="22">
        <v>3518</v>
      </c>
      <c r="F145" s="69" t="s">
        <v>1162</v>
      </c>
      <c r="G145" s="69" t="s">
        <v>83</v>
      </c>
      <c r="H145" s="47">
        <v>2019</v>
      </c>
    </row>
    <row r="146" spans="1:8" ht="24.65" customHeight="1" x14ac:dyDescent="0.35">
      <c r="A146" s="73" t="s">
        <v>79</v>
      </c>
      <c r="B146" s="69" t="s">
        <v>1014</v>
      </c>
      <c r="C146" s="115" t="s">
        <v>1163</v>
      </c>
      <c r="D146" s="69" t="s">
        <v>1016</v>
      </c>
      <c r="E146" s="22">
        <v>531</v>
      </c>
      <c r="F146" s="69" t="s">
        <v>1164</v>
      </c>
      <c r="G146" s="69" t="s">
        <v>83</v>
      </c>
      <c r="H146" s="47">
        <v>2019</v>
      </c>
    </row>
    <row r="147" spans="1:8" ht="24.65" customHeight="1" x14ac:dyDescent="0.35">
      <c r="A147" s="73" t="s">
        <v>79</v>
      </c>
      <c r="B147" s="69" t="s">
        <v>1028</v>
      </c>
      <c r="C147" s="115" t="s">
        <v>1165</v>
      </c>
      <c r="D147" s="69" t="s">
        <v>1035</v>
      </c>
      <c r="E147" s="22">
        <v>44756</v>
      </c>
      <c r="F147" s="69" t="s">
        <v>1157</v>
      </c>
      <c r="G147" s="69" t="s">
        <v>83</v>
      </c>
      <c r="H147" s="47">
        <v>2019</v>
      </c>
    </row>
    <row r="148" spans="1:8" ht="24.65" customHeight="1" x14ac:dyDescent="0.35">
      <c r="A148" s="73" t="s">
        <v>79</v>
      </c>
      <c r="B148" s="69" t="s">
        <v>1028</v>
      </c>
      <c r="C148" s="115" t="s">
        <v>1166</v>
      </c>
      <c r="D148" s="69" t="s">
        <v>1035</v>
      </c>
      <c r="E148" s="22">
        <v>63078</v>
      </c>
      <c r="F148" s="69" t="s">
        <v>1157</v>
      </c>
      <c r="G148" s="69" t="s">
        <v>83</v>
      </c>
      <c r="H148" s="47">
        <v>2019</v>
      </c>
    </row>
    <row r="149" spans="1:8" ht="24.65" customHeight="1" x14ac:dyDescent="0.35">
      <c r="A149" s="73" t="s">
        <v>79</v>
      </c>
      <c r="B149" s="69" t="s">
        <v>1028</v>
      </c>
      <c r="C149" s="115" t="s">
        <v>1167</v>
      </c>
      <c r="D149" s="69" t="s">
        <v>1035</v>
      </c>
      <c r="E149" s="22">
        <v>3182</v>
      </c>
      <c r="F149" s="69" t="s">
        <v>1157</v>
      </c>
      <c r="G149" s="69" t="s">
        <v>83</v>
      </c>
      <c r="H149" s="47">
        <v>2019</v>
      </c>
    </row>
    <row r="150" spans="1:8" ht="24.65" customHeight="1" x14ac:dyDescent="0.35">
      <c r="A150" s="73" t="s">
        <v>79</v>
      </c>
      <c r="B150" s="69" t="s">
        <v>1028</v>
      </c>
      <c r="C150" s="115" t="s">
        <v>1168</v>
      </c>
      <c r="D150" s="69" t="s">
        <v>1035</v>
      </c>
      <c r="E150" s="22">
        <v>188</v>
      </c>
      <c r="F150" s="69" t="s">
        <v>1157</v>
      </c>
      <c r="G150" s="69" t="s">
        <v>83</v>
      </c>
      <c r="H150" s="47">
        <v>2019</v>
      </c>
    </row>
    <row r="151" spans="1:8" ht="24.65" customHeight="1" x14ac:dyDescent="0.35">
      <c r="A151" s="73" t="s">
        <v>84</v>
      </c>
      <c r="B151" s="69" t="s">
        <v>1014</v>
      </c>
      <c r="C151" s="115" t="s">
        <v>1177</v>
      </c>
      <c r="D151" s="69" t="s">
        <v>1012</v>
      </c>
      <c r="E151" s="22">
        <v>6124.6</v>
      </c>
      <c r="F151" s="69" t="s">
        <v>1178</v>
      </c>
      <c r="G151" s="69" t="s">
        <v>20</v>
      </c>
      <c r="H151" s="47">
        <v>2019</v>
      </c>
    </row>
    <row r="152" spans="1:8" ht="24.65" customHeight="1" x14ac:dyDescent="0.35">
      <c r="A152" s="73" t="s">
        <v>84</v>
      </c>
      <c r="B152" s="69" t="s">
        <v>1028</v>
      </c>
      <c r="C152" s="115" t="s">
        <v>1179</v>
      </c>
      <c r="D152" s="69" t="s">
        <v>1035</v>
      </c>
      <c r="E152" s="22">
        <v>300</v>
      </c>
      <c r="F152" s="69" t="s">
        <v>1178</v>
      </c>
      <c r="G152" s="69" t="s">
        <v>20</v>
      </c>
      <c r="H152" s="47">
        <v>2019</v>
      </c>
    </row>
    <row r="153" spans="1:8" ht="24.65" customHeight="1" x14ac:dyDescent="0.35">
      <c r="A153" s="73" t="s">
        <v>84</v>
      </c>
      <c r="B153" s="69" t="s">
        <v>1024</v>
      </c>
      <c r="C153" s="115" t="s">
        <v>1180</v>
      </c>
      <c r="D153" s="69" t="s">
        <v>1012</v>
      </c>
      <c r="E153" s="22">
        <v>2700</v>
      </c>
      <c r="F153" s="69" t="s">
        <v>350</v>
      </c>
      <c r="G153" s="69" t="s">
        <v>20</v>
      </c>
      <c r="H153" s="47">
        <v>2019</v>
      </c>
    </row>
    <row r="154" spans="1:8" ht="24.65" customHeight="1" x14ac:dyDescent="0.35">
      <c r="A154" s="73" t="s">
        <v>84</v>
      </c>
      <c r="B154" s="69" t="s">
        <v>1021</v>
      </c>
      <c r="C154" s="115" t="s">
        <v>1181</v>
      </c>
      <c r="D154" s="69" t="s">
        <v>1012</v>
      </c>
      <c r="E154" s="22">
        <v>3379.0419999999999</v>
      </c>
      <c r="F154" s="69" t="s">
        <v>1178</v>
      </c>
      <c r="G154" s="69" t="s">
        <v>20</v>
      </c>
      <c r="H154" s="47">
        <v>2019</v>
      </c>
    </row>
    <row r="155" spans="1:8" ht="24.65" customHeight="1" x14ac:dyDescent="0.35">
      <c r="A155" s="73" t="s">
        <v>84</v>
      </c>
      <c r="B155" s="69" t="s">
        <v>1151</v>
      </c>
      <c r="C155" s="115" t="s">
        <v>1182</v>
      </c>
      <c r="D155" s="69" t="s">
        <v>1018</v>
      </c>
      <c r="E155" s="22">
        <v>854.61</v>
      </c>
      <c r="F155" s="69" t="s">
        <v>1178</v>
      </c>
      <c r="G155" s="69" t="s">
        <v>20</v>
      </c>
      <c r="H155" s="47">
        <v>2019</v>
      </c>
    </row>
    <row r="156" spans="1:8" ht="24.65" customHeight="1" x14ac:dyDescent="0.35">
      <c r="A156" s="73" t="s">
        <v>84</v>
      </c>
      <c r="B156" s="69" t="s">
        <v>1048</v>
      </c>
      <c r="C156" s="116" t="s">
        <v>1183</v>
      </c>
      <c r="D156" s="69" t="s">
        <v>1012</v>
      </c>
      <c r="E156" s="22">
        <v>114529.16</v>
      </c>
      <c r="F156" s="69" t="s">
        <v>1184</v>
      </c>
      <c r="G156" s="69" t="s">
        <v>1185</v>
      </c>
      <c r="H156" s="47">
        <v>2019</v>
      </c>
    </row>
    <row r="157" spans="1:8" ht="24.65" customHeight="1" x14ac:dyDescent="0.35">
      <c r="A157" s="73" t="s">
        <v>89</v>
      </c>
      <c r="B157" s="69" t="s">
        <v>1014</v>
      </c>
      <c r="C157" s="115" t="s">
        <v>1192</v>
      </c>
      <c r="D157" s="69" t="s">
        <v>1012</v>
      </c>
      <c r="E157" s="22">
        <v>389235</v>
      </c>
      <c r="F157" s="69" t="s">
        <v>136</v>
      </c>
      <c r="G157" s="69" t="s">
        <v>136</v>
      </c>
      <c r="H157" s="47">
        <v>2019</v>
      </c>
    </row>
    <row r="158" spans="1:8" ht="24.65" customHeight="1" x14ac:dyDescent="0.35">
      <c r="A158" s="73" t="s">
        <v>89</v>
      </c>
      <c r="B158" s="69" t="s">
        <v>1193</v>
      </c>
      <c r="C158" s="115" t="s">
        <v>1194</v>
      </c>
      <c r="D158" s="69" t="s">
        <v>1012</v>
      </c>
      <c r="E158" s="22">
        <v>321259</v>
      </c>
      <c r="F158" s="69" t="s">
        <v>136</v>
      </c>
      <c r="G158" s="69" t="s">
        <v>136</v>
      </c>
      <c r="H158" s="47">
        <v>2019</v>
      </c>
    </row>
    <row r="159" spans="1:8" ht="24.65" customHeight="1" x14ac:dyDescent="0.35">
      <c r="A159" s="73" t="s">
        <v>93</v>
      </c>
      <c r="B159" s="69" t="s">
        <v>1028</v>
      </c>
      <c r="C159" s="115" t="s">
        <v>1195</v>
      </c>
      <c r="D159" s="69" t="s">
        <v>1012</v>
      </c>
      <c r="E159" s="22">
        <v>175275</v>
      </c>
      <c r="F159" s="69" t="s">
        <v>94</v>
      </c>
      <c r="G159" s="69" t="s">
        <v>20</v>
      </c>
      <c r="H159" s="47">
        <v>2019</v>
      </c>
    </row>
    <row r="160" spans="1:8" ht="24.65" customHeight="1" x14ac:dyDescent="0.35">
      <c r="A160" s="73" t="s">
        <v>93</v>
      </c>
      <c r="B160" s="69" t="s">
        <v>1048</v>
      </c>
      <c r="C160" s="115" t="s">
        <v>1195</v>
      </c>
      <c r="D160" s="69" t="s">
        <v>1012</v>
      </c>
      <c r="E160" s="22">
        <v>20523</v>
      </c>
      <c r="F160" s="69" t="s">
        <v>94</v>
      </c>
      <c r="G160" s="69" t="s">
        <v>20</v>
      </c>
      <c r="H160" s="47">
        <v>2019</v>
      </c>
    </row>
    <row r="161" spans="1:8" ht="24.65" customHeight="1" x14ac:dyDescent="0.35">
      <c r="A161" s="73" t="s">
        <v>93</v>
      </c>
      <c r="B161" s="69" t="s">
        <v>1014</v>
      </c>
      <c r="C161" s="115" t="s">
        <v>1195</v>
      </c>
      <c r="D161" s="69" t="s">
        <v>1012</v>
      </c>
      <c r="E161" s="22">
        <v>25946</v>
      </c>
      <c r="F161" s="69" t="s">
        <v>94</v>
      </c>
      <c r="G161" s="69" t="s">
        <v>20</v>
      </c>
      <c r="H161" s="47">
        <v>2019</v>
      </c>
    </row>
    <row r="162" spans="1:8" ht="24.65" customHeight="1" x14ac:dyDescent="0.35">
      <c r="A162" s="73" t="s">
        <v>93</v>
      </c>
      <c r="B162" s="69" t="s">
        <v>1053</v>
      </c>
      <c r="C162" s="115" t="s">
        <v>1195</v>
      </c>
      <c r="D162" s="69" t="s">
        <v>1012</v>
      </c>
      <c r="E162" s="22">
        <v>131020</v>
      </c>
      <c r="F162" s="69" t="s">
        <v>94</v>
      </c>
      <c r="G162" s="69" t="s">
        <v>20</v>
      </c>
      <c r="H162" s="47">
        <v>2019</v>
      </c>
    </row>
    <row r="163" spans="1:8" ht="24.65" customHeight="1" x14ac:dyDescent="0.35">
      <c r="A163" s="73" t="s">
        <v>93</v>
      </c>
      <c r="B163" s="69" t="s">
        <v>1024</v>
      </c>
      <c r="C163" s="115" t="s">
        <v>1195</v>
      </c>
      <c r="D163" s="69" t="s">
        <v>1012</v>
      </c>
      <c r="E163" s="22">
        <v>33800</v>
      </c>
      <c r="F163" s="69" t="s">
        <v>94</v>
      </c>
      <c r="G163" s="69" t="s">
        <v>20</v>
      </c>
      <c r="H163" s="47">
        <v>2019</v>
      </c>
    </row>
    <row r="164" spans="1:8" ht="24.65" customHeight="1" x14ac:dyDescent="0.35">
      <c r="A164" s="73" t="s">
        <v>93</v>
      </c>
      <c r="B164" s="69" t="s">
        <v>1014</v>
      </c>
      <c r="C164" s="115" t="s">
        <v>1195</v>
      </c>
      <c r="D164" s="69" t="s">
        <v>1012</v>
      </c>
      <c r="E164" s="22">
        <v>113832</v>
      </c>
      <c r="F164" s="69" t="s">
        <v>94</v>
      </c>
      <c r="G164" s="69" t="s">
        <v>20</v>
      </c>
      <c r="H164" s="47">
        <v>2019</v>
      </c>
    </row>
    <row r="165" spans="1:8" ht="24.65" customHeight="1" x14ac:dyDescent="0.35">
      <c r="A165" s="73" t="s">
        <v>93</v>
      </c>
      <c r="B165" s="69" t="s">
        <v>1014</v>
      </c>
      <c r="C165" s="115" t="s">
        <v>1195</v>
      </c>
      <c r="D165" s="69" t="s">
        <v>1012</v>
      </c>
      <c r="E165" s="22">
        <v>67966</v>
      </c>
      <c r="F165" s="69" t="s">
        <v>94</v>
      </c>
      <c r="G165" s="69" t="s">
        <v>20</v>
      </c>
      <c r="H165" s="47">
        <v>2019</v>
      </c>
    </row>
    <row r="166" spans="1:8" ht="24.65" customHeight="1" x14ac:dyDescent="0.35">
      <c r="A166" s="73" t="s">
        <v>93</v>
      </c>
      <c r="B166" s="69" t="s">
        <v>1028</v>
      </c>
      <c r="C166" s="115" t="s">
        <v>1196</v>
      </c>
      <c r="D166" s="69" t="s">
        <v>1012</v>
      </c>
      <c r="E166" s="22">
        <v>175275</v>
      </c>
      <c r="F166" s="69" t="s">
        <v>94</v>
      </c>
      <c r="G166" s="69" t="s">
        <v>20</v>
      </c>
      <c r="H166" s="47">
        <v>2019</v>
      </c>
    </row>
    <row r="167" spans="1:8" ht="24.65" customHeight="1" x14ac:dyDescent="0.35">
      <c r="A167" s="73" t="s">
        <v>93</v>
      </c>
      <c r="B167" s="69" t="s">
        <v>1048</v>
      </c>
      <c r="C167" s="115" t="s">
        <v>1196</v>
      </c>
      <c r="D167" s="69" t="s">
        <v>1012</v>
      </c>
      <c r="E167" s="22">
        <v>20523</v>
      </c>
      <c r="F167" s="69" t="s">
        <v>94</v>
      </c>
      <c r="G167" s="69" t="s">
        <v>20</v>
      </c>
      <c r="H167" s="47">
        <v>2019</v>
      </c>
    </row>
    <row r="168" spans="1:8" ht="24.65" customHeight="1" x14ac:dyDescent="0.35">
      <c r="A168" s="73" t="s">
        <v>93</v>
      </c>
      <c r="B168" s="69" t="s">
        <v>1193</v>
      </c>
      <c r="C168" s="115" t="s">
        <v>1197</v>
      </c>
      <c r="D168" s="69" t="s">
        <v>1012</v>
      </c>
      <c r="E168" s="22">
        <v>25946</v>
      </c>
      <c r="F168" s="69" t="s">
        <v>94</v>
      </c>
      <c r="G168" s="69" t="s">
        <v>20</v>
      </c>
      <c r="H168" s="47">
        <v>2019</v>
      </c>
    </row>
    <row r="169" spans="1:8" ht="24.65" customHeight="1" x14ac:dyDescent="0.35">
      <c r="A169" s="73" t="s">
        <v>93</v>
      </c>
      <c r="B169" s="69" t="s">
        <v>1053</v>
      </c>
      <c r="C169" s="115" t="s">
        <v>1196</v>
      </c>
      <c r="D169" s="69" t="s">
        <v>1012</v>
      </c>
      <c r="E169" s="22">
        <v>131020</v>
      </c>
      <c r="F169" s="69" t="s">
        <v>94</v>
      </c>
      <c r="G169" s="69" t="s">
        <v>20</v>
      </c>
      <c r="H169" s="47">
        <v>2019</v>
      </c>
    </row>
    <row r="170" spans="1:8" ht="24.65" customHeight="1" x14ac:dyDescent="0.35">
      <c r="A170" s="73" t="s">
        <v>93</v>
      </c>
      <c r="B170" s="69" t="s">
        <v>1024</v>
      </c>
      <c r="C170" s="115" t="s">
        <v>1196</v>
      </c>
      <c r="D170" s="69" t="s">
        <v>1012</v>
      </c>
      <c r="E170" s="22">
        <v>33800</v>
      </c>
      <c r="F170" s="69" t="s">
        <v>94</v>
      </c>
      <c r="G170" s="69" t="s">
        <v>20</v>
      </c>
      <c r="H170" s="47">
        <v>2019</v>
      </c>
    </row>
    <row r="171" spans="1:8" ht="24.65" customHeight="1" x14ac:dyDescent="0.35">
      <c r="A171" s="73" t="s">
        <v>93</v>
      </c>
      <c r="B171" s="69" t="s">
        <v>1014</v>
      </c>
      <c r="C171" s="115" t="s">
        <v>1196</v>
      </c>
      <c r="D171" s="69" t="s">
        <v>1012</v>
      </c>
      <c r="E171" s="22">
        <v>113832</v>
      </c>
      <c r="F171" s="69" t="s">
        <v>94</v>
      </c>
      <c r="G171" s="69" t="s">
        <v>20</v>
      </c>
      <c r="H171" s="47">
        <v>2019</v>
      </c>
    </row>
    <row r="172" spans="1:8" ht="24.65" customHeight="1" x14ac:dyDescent="0.35">
      <c r="A172" s="73" t="s">
        <v>93</v>
      </c>
      <c r="B172" s="69" t="s">
        <v>1014</v>
      </c>
      <c r="C172" s="115" t="s">
        <v>1196</v>
      </c>
      <c r="D172" s="69" t="s">
        <v>1012</v>
      </c>
      <c r="E172" s="22">
        <v>67966</v>
      </c>
      <c r="F172" s="69" t="s">
        <v>94</v>
      </c>
      <c r="G172" s="69" t="s">
        <v>20</v>
      </c>
      <c r="H172" s="47">
        <v>2019</v>
      </c>
    </row>
    <row r="173" spans="1:8" ht="24.65" customHeight="1" x14ac:dyDescent="0.35">
      <c r="A173" s="73" t="s">
        <v>96</v>
      </c>
      <c r="B173" s="69" t="s">
        <v>1014</v>
      </c>
      <c r="C173" s="115" t="s">
        <v>1196</v>
      </c>
      <c r="D173" s="69" t="s">
        <v>1012</v>
      </c>
      <c r="E173" s="22">
        <v>26066</v>
      </c>
      <c r="F173" s="69" t="s">
        <v>131</v>
      </c>
      <c r="G173" s="69" t="s">
        <v>131</v>
      </c>
      <c r="H173" s="47">
        <v>2019</v>
      </c>
    </row>
    <row r="174" spans="1:8" ht="24.65" customHeight="1" x14ac:dyDescent="0.35">
      <c r="A174" s="73" t="s">
        <v>101</v>
      </c>
      <c r="B174" s="69" t="s">
        <v>1014</v>
      </c>
      <c r="C174" s="115" t="s">
        <v>1210</v>
      </c>
      <c r="D174" s="69" t="s">
        <v>1016</v>
      </c>
      <c r="E174" s="22">
        <v>200000</v>
      </c>
      <c r="F174" s="69" t="s">
        <v>102</v>
      </c>
      <c r="G174" s="69" t="s">
        <v>83</v>
      </c>
      <c r="H174" s="47">
        <v>2019</v>
      </c>
    </row>
    <row r="175" spans="1:8" ht="24.65" customHeight="1" x14ac:dyDescent="0.35">
      <c r="A175" s="73" t="s">
        <v>101</v>
      </c>
      <c r="B175" s="69" t="s">
        <v>1028</v>
      </c>
      <c r="C175" s="115" t="s">
        <v>1211</v>
      </c>
      <c r="D175" s="69" t="s">
        <v>1035</v>
      </c>
      <c r="E175" s="22">
        <v>254980</v>
      </c>
      <c r="F175" s="69" t="s">
        <v>1212</v>
      </c>
      <c r="G175" s="69" t="s">
        <v>83</v>
      </c>
      <c r="H175" s="47">
        <v>2019</v>
      </c>
    </row>
    <row r="176" spans="1:8" ht="24.65" customHeight="1" x14ac:dyDescent="0.35">
      <c r="A176" s="73" t="s">
        <v>101</v>
      </c>
      <c r="B176" s="69" t="s">
        <v>1007</v>
      </c>
      <c r="C176" s="115" t="s">
        <v>1213</v>
      </c>
      <c r="D176" s="69" t="s">
        <v>1032</v>
      </c>
      <c r="E176" s="22">
        <v>358200</v>
      </c>
      <c r="F176" s="69" t="s">
        <v>102</v>
      </c>
      <c r="G176" s="69" t="s">
        <v>83</v>
      </c>
      <c r="H176" s="47">
        <v>2019</v>
      </c>
    </row>
    <row r="177" spans="1:8" ht="24.65" customHeight="1" x14ac:dyDescent="0.35">
      <c r="A177" s="73" t="s">
        <v>101</v>
      </c>
      <c r="B177" s="69" t="s">
        <v>1024</v>
      </c>
      <c r="C177" s="115" t="s">
        <v>1210</v>
      </c>
      <c r="D177" s="69" t="s">
        <v>1018</v>
      </c>
      <c r="E177" s="22">
        <v>300000</v>
      </c>
      <c r="F177" s="69" t="s">
        <v>83</v>
      </c>
      <c r="G177" s="69" t="s">
        <v>83</v>
      </c>
      <c r="H177" s="47">
        <v>2019</v>
      </c>
    </row>
    <row r="178" spans="1:8" ht="24.65" customHeight="1" x14ac:dyDescent="0.35">
      <c r="A178" s="73" t="s">
        <v>101</v>
      </c>
      <c r="B178" s="69" t="s">
        <v>1014</v>
      </c>
      <c r="C178" s="115" t="s">
        <v>1214</v>
      </c>
      <c r="D178" s="69" t="s">
        <v>1012</v>
      </c>
      <c r="E178" s="22">
        <v>1370</v>
      </c>
      <c r="F178" s="69" t="s">
        <v>102</v>
      </c>
      <c r="G178" s="69" t="s">
        <v>83</v>
      </c>
      <c r="H178" s="47">
        <v>2019</v>
      </c>
    </row>
    <row r="179" spans="1:8" ht="24.65" customHeight="1" x14ac:dyDescent="0.35">
      <c r="A179" s="73" t="s">
        <v>101</v>
      </c>
      <c r="B179" s="69" t="s">
        <v>1053</v>
      </c>
      <c r="C179" s="115" t="s">
        <v>1215</v>
      </c>
      <c r="D179" s="69" t="s">
        <v>1012</v>
      </c>
      <c r="E179" s="22">
        <v>5893.1</v>
      </c>
      <c r="F179" s="69" t="s">
        <v>83</v>
      </c>
      <c r="G179" s="69" t="s">
        <v>83</v>
      </c>
      <c r="H179" s="47">
        <v>2019</v>
      </c>
    </row>
    <row r="180" spans="1:8" ht="24.65" customHeight="1" x14ac:dyDescent="0.35">
      <c r="A180" s="73" t="s">
        <v>101</v>
      </c>
      <c r="B180" s="69" t="s">
        <v>1053</v>
      </c>
      <c r="C180" s="115" t="s">
        <v>1216</v>
      </c>
      <c r="D180" s="69" t="s">
        <v>1018</v>
      </c>
      <c r="E180" s="22">
        <v>2600</v>
      </c>
      <c r="F180" s="69" t="s">
        <v>1209</v>
      </c>
      <c r="G180" s="69" t="s">
        <v>1209</v>
      </c>
      <c r="H180" s="47">
        <v>2019</v>
      </c>
    </row>
    <row r="181" spans="1:8" ht="24.65" customHeight="1" x14ac:dyDescent="0.35">
      <c r="A181" s="73" t="s">
        <v>106</v>
      </c>
      <c r="B181" s="69" t="s">
        <v>1193</v>
      </c>
      <c r="C181" s="115" t="s">
        <v>1217</v>
      </c>
      <c r="D181" s="69" t="s">
        <v>1012</v>
      </c>
      <c r="E181" s="22">
        <v>200</v>
      </c>
      <c r="F181" s="69" t="s">
        <v>47</v>
      </c>
      <c r="G181" s="69" t="s">
        <v>66</v>
      </c>
      <c r="H181" s="47">
        <v>2019</v>
      </c>
    </row>
    <row r="182" spans="1:8" ht="24.65" customHeight="1" x14ac:dyDescent="0.35">
      <c r="A182" s="73" t="s">
        <v>106</v>
      </c>
      <c r="B182" s="69" t="s">
        <v>1053</v>
      </c>
      <c r="C182" s="115" t="s">
        <v>1218</v>
      </c>
      <c r="D182" s="69" t="s">
        <v>1035</v>
      </c>
      <c r="E182" s="22">
        <v>75</v>
      </c>
      <c r="F182" s="69" t="s">
        <v>1219</v>
      </c>
      <c r="G182" s="69" t="s">
        <v>78</v>
      </c>
      <c r="H182" s="47">
        <v>2019</v>
      </c>
    </row>
    <row r="183" spans="1:8" ht="24.65" customHeight="1" x14ac:dyDescent="0.35">
      <c r="A183" s="73" t="s">
        <v>106</v>
      </c>
      <c r="B183" s="69" t="s">
        <v>1053</v>
      </c>
      <c r="C183" s="115" t="s">
        <v>1220</v>
      </c>
      <c r="D183" s="69" t="s">
        <v>1012</v>
      </c>
      <c r="E183" s="22">
        <v>250</v>
      </c>
      <c r="F183" s="69" t="s">
        <v>1219</v>
      </c>
      <c r="G183" s="69" t="s">
        <v>78</v>
      </c>
      <c r="H183" s="47">
        <v>2019</v>
      </c>
    </row>
    <row r="184" spans="1:8" ht="24.65" customHeight="1" x14ac:dyDescent="0.35">
      <c r="A184" s="73" t="s">
        <v>106</v>
      </c>
      <c r="B184" s="69" t="s">
        <v>1014</v>
      </c>
      <c r="C184" s="115" t="s">
        <v>1221</v>
      </c>
      <c r="D184" s="69" t="s">
        <v>1012</v>
      </c>
      <c r="E184" s="22">
        <v>50</v>
      </c>
      <c r="F184" s="69" t="s">
        <v>1222</v>
      </c>
      <c r="G184" s="69" t="s">
        <v>78</v>
      </c>
      <c r="H184" s="47">
        <v>2019</v>
      </c>
    </row>
    <row r="185" spans="1:8" ht="24.65" customHeight="1" x14ac:dyDescent="0.35">
      <c r="A185" s="73" t="s">
        <v>106</v>
      </c>
      <c r="B185" s="69" t="s">
        <v>1053</v>
      </c>
      <c r="C185" s="115" t="s">
        <v>1223</v>
      </c>
      <c r="D185" s="69" t="s">
        <v>1032</v>
      </c>
      <c r="E185" s="22">
        <v>50</v>
      </c>
      <c r="F185" s="69" t="s">
        <v>1222</v>
      </c>
      <c r="G185" s="69" t="s">
        <v>78</v>
      </c>
      <c r="H185" s="47">
        <v>2019</v>
      </c>
    </row>
    <row r="186" spans="1:8" ht="24.65" customHeight="1" x14ac:dyDescent="0.35">
      <c r="A186" s="73" t="s">
        <v>106</v>
      </c>
      <c r="B186" s="69" t="s">
        <v>1048</v>
      </c>
      <c r="C186" s="115" t="s">
        <v>1224</v>
      </c>
      <c r="D186" s="69" t="s">
        <v>1012</v>
      </c>
      <c r="E186" s="22">
        <v>100</v>
      </c>
      <c r="F186" s="69" t="s">
        <v>565</v>
      </c>
      <c r="G186" s="69" t="s">
        <v>78</v>
      </c>
      <c r="H186" s="47">
        <v>2019</v>
      </c>
    </row>
    <row r="187" spans="1:8" ht="24.65" customHeight="1" x14ac:dyDescent="0.35">
      <c r="A187" s="73" t="s">
        <v>106</v>
      </c>
      <c r="B187" s="69" t="s">
        <v>1014</v>
      </c>
      <c r="C187" s="115" t="s">
        <v>1225</v>
      </c>
      <c r="D187" s="69" t="s">
        <v>1012</v>
      </c>
      <c r="E187" s="22">
        <v>100</v>
      </c>
      <c r="F187" s="69" t="s">
        <v>565</v>
      </c>
      <c r="G187" s="69" t="s">
        <v>78</v>
      </c>
      <c r="H187" s="47">
        <v>2019</v>
      </c>
    </row>
    <row r="188" spans="1:8" ht="24.65" customHeight="1" x14ac:dyDescent="0.35">
      <c r="A188" s="73" t="s">
        <v>106</v>
      </c>
      <c r="B188" s="69" t="s">
        <v>1048</v>
      </c>
      <c r="C188" s="115" t="s">
        <v>1226</v>
      </c>
      <c r="D188" s="69" t="s">
        <v>1012</v>
      </c>
      <c r="E188" s="22">
        <v>300</v>
      </c>
      <c r="F188" s="69" t="s">
        <v>47</v>
      </c>
      <c r="G188" s="69" t="s">
        <v>66</v>
      </c>
      <c r="H188" s="47">
        <v>2019</v>
      </c>
    </row>
    <row r="189" spans="1:8" ht="24.65" customHeight="1" x14ac:dyDescent="0.35">
      <c r="A189" s="73" t="s">
        <v>106</v>
      </c>
      <c r="B189" s="69" t="s">
        <v>1048</v>
      </c>
      <c r="C189" s="115" t="s">
        <v>1227</v>
      </c>
      <c r="D189" s="69" t="s">
        <v>1012</v>
      </c>
      <c r="E189" s="22">
        <v>3000</v>
      </c>
      <c r="F189" s="69" t="s">
        <v>1228</v>
      </c>
      <c r="G189" s="69" t="s">
        <v>66</v>
      </c>
      <c r="H189" s="47">
        <v>2019</v>
      </c>
    </row>
    <row r="190" spans="1:8" ht="24.65" customHeight="1" x14ac:dyDescent="0.35">
      <c r="A190" s="73" t="s">
        <v>106</v>
      </c>
      <c r="B190" s="69" t="s">
        <v>1193</v>
      </c>
      <c r="C190" s="115" t="s">
        <v>1229</v>
      </c>
      <c r="D190" s="69" t="s">
        <v>1012</v>
      </c>
      <c r="E190" s="22">
        <v>50</v>
      </c>
      <c r="F190" s="69" t="s">
        <v>47</v>
      </c>
      <c r="G190" s="69" t="s">
        <v>66</v>
      </c>
      <c r="H190" s="47">
        <v>2019</v>
      </c>
    </row>
    <row r="191" spans="1:8" ht="24.65" customHeight="1" x14ac:dyDescent="0.35">
      <c r="A191" s="73" t="s">
        <v>106</v>
      </c>
      <c r="B191" s="69" t="s">
        <v>1014</v>
      </c>
      <c r="C191" s="115" t="s">
        <v>1230</v>
      </c>
      <c r="D191" s="69" t="s">
        <v>1012</v>
      </c>
      <c r="E191" s="22">
        <v>300</v>
      </c>
      <c r="F191" s="69" t="s">
        <v>1222</v>
      </c>
      <c r="G191" s="69" t="s">
        <v>78</v>
      </c>
      <c r="H191" s="47">
        <v>2019</v>
      </c>
    </row>
    <row r="192" spans="1:8" ht="24.65" customHeight="1" x14ac:dyDescent="0.35">
      <c r="A192" s="73" t="s">
        <v>106</v>
      </c>
      <c r="B192" s="69" t="s">
        <v>1048</v>
      </c>
      <c r="C192" s="115" t="s">
        <v>1227</v>
      </c>
      <c r="D192" s="69" t="s">
        <v>1012</v>
      </c>
      <c r="E192" s="22">
        <v>1100</v>
      </c>
      <c r="F192" s="69" t="s">
        <v>1231</v>
      </c>
      <c r="G192" s="69" t="s">
        <v>131</v>
      </c>
      <c r="H192" s="47">
        <v>2019</v>
      </c>
    </row>
    <row r="193" spans="1:10" ht="24.65" customHeight="1" x14ac:dyDescent="0.35">
      <c r="A193" s="73" t="s">
        <v>116</v>
      </c>
      <c r="B193" s="69" t="s">
        <v>1028</v>
      </c>
      <c r="C193" s="115" t="s">
        <v>1239</v>
      </c>
      <c r="D193" s="69" t="s">
        <v>1012</v>
      </c>
      <c r="E193" s="22">
        <v>15000</v>
      </c>
      <c r="F193" s="69" t="s">
        <v>44</v>
      </c>
      <c r="G193" s="69" t="s">
        <v>66</v>
      </c>
      <c r="H193" s="47">
        <v>2019</v>
      </c>
    </row>
    <row r="194" spans="1:10" ht="24.65" customHeight="1" x14ac:dyDescent="0.35">
      <c r="A194" s="73" t="s">
        <v>118</v>
      </c>
      <c r="B194" s="69" t="s">
        <v>1028</v>
      </c>
      <c r="C194" s="115" t="s">
        <v>1241</v>
      </c>
      <c r="D194" s="69" t="s">
        <v>1012</v>
      </c>
      <c r="E194" s="22">
        <v>64617.898999999998</v>
      </c>
      <c r="F194" s="69" t="s">
        <v>1242</v>
      </c>
      <c r="G194" s="69" t="s">
        <v>165</v>
      </c>
      <c r="H194" s="47">
        <v>2019</v>
      </c>
    </row>
    <row r="195" spans="1:10" ht="24.65" customHeight="1" x14ac:dyDescent="0.35">
      <c r="A195" s="73" t="s">
        <v>118</v>
      </c>
      <c r="B195" s="69" t="s">
        <v>1014</v>
      </c>
      <c r="C195" s="115" t="s">
        <v>1243</v>
      </c>
      <c r="D195" s="69" t="s">
        <v>1018</v>
      </c>
      <c r="E195" s="22">
        <v>55930.6</v>
      </c>
      <c r="F195" s="69" t="s">
        <v>29</v>
      </c>
      <c r="G195" s="69" t="s">
        <v>165</v>
      </c>
      <c r="H195" s="47">
        <v>2019</v>
      </c>
    </row>
    <row r="196" spans="1:10" ht="24.65" customHeight="1" x14ac:dyDescent="0.35">
      <c r="A196" s="73" t="s">
        <v>124</v>
      </c>
      <c r="B196" s="69" t="s">
        <v>1014</v>
      </c>
      <c r="C196" s="115" t="s">
        <v>1247</v>
      </c>
      <c r="D196" s="69" t="s">
        <v>1016</v>
      </c>
      <c r="E196" s="22">
        <v>200</v>
      </c>
      <c r="F196" s="69" t="s">
        <v>166</v>
      </c>
      <c r="G196" s="69" t="s">
        <v>20</v>
      </c>
      <c r="H196" s="47">
        <v>2019</v>
      </c>
    </row>
    <row r="197" spans="1:10" ht="24.65" customHeight="1" x14ac:dyDescent="0.35">
      <c r="A197" s="73" t="s">
        <v>124</v>
      </c>
      <c r="B197" s="69" t="s">
        <v>1014</v>
      </c>
      <c r="C197" s="115" t="s">
        <v>1248</v>
      </c>
      <c r="D197" s="69" t="s">
        <v>1012</v>
      </c>
      <c r="E197" s="22">
        <v>300</v>
      </c>
      <c r="F197" s="69" t="s">
        <v>166</v>
      </c>
      <c r="G197" s="69" t="s">
        <v>20</v>
      </c>
      <c r="H197" s="47">
        <v>2019</v>
      </c>
    </row>
    <row r="198" spans="1:10" ht="24.65" customHeight="1" x14ac:dyDescent="0.35">
      <c r="A198" s="73" t="s">
        <v>124</v>
      </c>
      <c r="B198" s="69" t="s">
        <v>1028</v>
      </c>
      <c r="C198" s="115" t="s">
        <v>1249</v>
      </c>
      <c r="D198" s="69" t="s">
        <v>1035</v>
      </c>
      <c r="E198" s="22">
        <v>200</v>
      </c>
      <c r="F198" s="69" t="s">
        <v>166</v>
      </c>
      <c r="G198" s="69" t="s">
        <v>20</v>
      </c>
      <c r="H198" s="47">
        <v>2019</v>
      </c>
    </row>
    <row r="199" spans="1:10" ht="24.65" customHeight="1" x14ac:dyDescent="0.35">
      <c r="A199" s="73" t="s">
        <v>124</v>
      </c>
      <c r="B199" s="69" t="s">
        <v>1014</v>
      </c>
      <c r="C199" s="115" t="s">
        <v>1250</v>
      </c>
      <c r="D199" s="69" t="s">
        <v>1012</v>
      </c>
      <c r="E199" s="22">
        <v>1</v>
      </c>
      <c r="F199" s="69" t="s">
        <v>166</v>
      </c>
      <c r="G199" s="69" t="s">
        <v>20</v>
      </c>
      <c r="H199" s="47">
        <v>2019</v>
      </c>
    </row>
    <row r="200" spans="1:10" ht="24.65" customHeight="1" x14ac:dyDescent="0.35">
      <c r="A200" s="73" t="s">
        <v>124</v>
      </c>
      <c r="B200" s="69" t="s">
        <v>1048</v>
      </c>
      <c r="C200" s="115" t="s">
        <v>1251</v>
      </c>
      <c r="D200" s="69" t="s">
        <v>1012</v>
      </c>
      <c r="E200" s="22">
        <v>3725</v>
      </c>
      <c r="F200" s="69" t="s">
        <v>166</v>
      </c>
      <c r="G200" s="69" t="s">
        <v>20</v>
      </c>
      <c r="H200" s="47">
        <v>2019</v>
      </c>
    </row>
    <row r="201" spans="1:10" ht="24.65" customHeight="1" x14ac:dyDescent="0.35">
      <c r="A201" s="73" t="s">
        <v>124</v>
      </c>
      <c r="B201" s="69" t="s">
        <v>1048</v>
      </c>
      <c r="C201" s="115" t="s">
        <v>1252</v>
      </c>
      <c r="D201" s="69" t="s">
        <v>1009</v>
      </c>
      <c r="E201" s="22">
        <v>910</v>
      </c>
      <c r="F201" s="69" t="s">
        <v>166</v>
      </c>
      <c r="G201" s="69" t="s">
        <v>20</v>
      </c>
      <c r="H201" s="47">
        <v>2019</v>
      </c>
    </row>
    <row r="202" spans="1:10" ht="24.65" customHeight="1" x14ac:dyDescent="0.35">
      <c r="A202" s="52" t="s">
        <v>259</v>
      </c>
      <c r="B202" s="52" t="s">
        <v>1258</v>
      </c>
      <c r="C202" s="52"/>
      <c r="D202" s="52" t="s">
        <v>1259</v>
      </c>
      <c r="E202" s="22">
        <v>475</v>
      </c>
      <c r="F202" s="52" t="s">
        <v>482</v>
      </c>
      <c r="G202" s="46" t="s">
        <v>20</v>
      </c>
      <c r="H202" s="47">
        <v>2020</v>
      </c>
      <c r="J202" s="15"/>
    </row>
    <row r="203" spans="1:10" ht="24.65" customHeight="1" x14ac:dyDescent="0.35">
      <c r="A203" s="52" t="s">
        <v>259</v>
      </c>
      <c r="B203" s="52" t="s">
        <v>1260</v>
      </c>
      <c r="C203" s="52" t="s">
        <v>1261</v>
      </c>
      <c r="D203" s="46" t="s">
        <v>1262</v>
      </c>
      <c r="E203" s="22">
        <v>35000</v>
      </c>
      <c r="F203" s="52" t="s">
        <v>482</v>
      </c>
      <c r="G203" s="46" t="s">
        <v>20</v>
      </c>
      <c r="H203" s="47">
        <v>2020</v>
      </c>
    </row>
    <row r="204" spans="1:10" ht="24.65" customHeight="1" x14ac:dyDescent="0.35">
      <c r="A204" s="52" t="s">
        <v>259</v>
      </c>
      <c r="B204" s="52" t="s">
        <v>1263</v>
      </c>
      <c r="C204" s="52" t="s">
        <v>1264</v>
      </c>
      <c r="D204" s="46" t="s">
        <v>1262</v>
      </c>
      <c r="E204" s="22">
        <v>7272</v>
      </c>
      <c r="F204" s="52" t="s">
        <v>482</v>
      </c>
      <c r="G204" s="46" t="s">
        <v>20</v>
      </c>
      <c r="H204" s="47">
        <v>2020</v>
      </c>
    </row>
    <row r="205" spans="1:10" ht="24.65" customHeight="1" x14ac:dyDescent="0.35">
      <c r="A205" s="52" t="s">
        <v>259</v>
      </c>
      <c r="B205" s="52" t="s">
        <v>1265</v>
      </c>
      <c r="C205" s="52" t="s">
        <v>1266</v>
      </c>
      <c r="D205" s="52" t="s">
        <v>1267</v>
      </c>
      <c r="E205" s="22">
        <v>360</v>
      </c>
      <c r="F205" s="52" t="s">
        <v>482</v>
      </c>
      <c r="G205" s="46" t="s">
        <v>20</v>
      </c>
      <c r="H205" s="47">
        <v>2020</v>
      </c>
    </row>
    <row r="206" spans="1:10" ht="24.65" customHeight="1" x14ac:dyDescent="0.35">
      <c r="A206" s="52" t="s">
        <v>259</v>
      </c>
      <c r="B206" s="52" t="s">
        <v>1268</v>
      </c>
      <c r="C206" s="52" t="s">
        <v>1269</v>
      </c>
      <c r="D206" s="46" t="s">
        <v>1262</v>
      </c>
      <c r="E206" s="22">
        <v>115</v>
      </c>
      <c r="F206" s="52" t="s">
        <v>482</v>
      </c>
      <c r="G206" s="46" t="s">
        <v>20</v>
      </c>
      <c r="H206" s="47">
        <v>2020</v>
      </c>
    </row>
    <row r="207" spans="1:10" ht="24.65" customHeight="1" x14ac:dyDescent="0.35">
      <c r="A207" s="52" t="s">
        <v>259</v>
      </c>
      <c r="B207" s="52" t="s">
        <v>1270</v>
      </c>
      <c r="C207" s="52" t="s">
        <v>1271</v>
      </c>
      <c r="D207" s="46" t="s">
        <v>1262</v>
      </c>
      <c r="E207" s="22">
        <v>500</v>
      </c>
      <c r="F207" s="52" t="s">
        <v>482</v>
      </c>
      <c r="G207" s="46" t="s">
        <v>20</v>
      </c>
      <c r="H207" s="47">
        <v>2020</v>
      </c>
    </row>
    <row r="208" spans="1:10" ht="24.65" customHeight="1" x14ac:dyDescent="0.35">
      <c r="A208" s="52" t="s">
        <v>259</v>
      </c>
      <c r="B208" s="52" t="s">
        <v>1270</v>
      </c>
      <c r="C208" s="52" t="s">
        <v>1272</v>
      </c>
      <c r="D208" s="46" t="s">
        <v>1262</v>
      </c>
      <c r="E208" s="22">
        <v>262</v>
      </c>
      <c r="F208" s="52" t="s">
        <v>482</v>
      </c>
      <c r="G208" s="46" t="s">
        <v>20</v>
      </c>
      <c r="H208" s="47">
        <v>2020</v>
      </c>
    </row>
    <row r="209" spans="1:8" ht="24.65" customHeight="1" x14ac:dyDescent="0.35">
      <c r="A209" s="52" t="s">
        <v>259</v>
      </c>
      <c r="B209" s="52" t="s">
        <v>1273</v>
      </c>
      <c r="C209" s="52"/>
      <c r="D209" s="46" t="s">
        <v>1262</v>
      </c>
      <c r="E209" s="22">
        <v>6000</v>
      </c>
      <c r="F209" s="52" t="s">
        <v>482</v>
      </c>
      <c r="G209" s="46" t="s">
        <v>20</v>
      </c>
      <c r="H209" s="47">
        <v>2020</v>
      </c>
    </row>
    <row r="210" spans="1:8" ht="24.65" customHeight="1" x14ac:dyDescent="0.35">
      <c r="A210" s="46" t="s">
        <v>14</v>
      </c>
      <c r="B210" s="46" t="s">
        <v>1270</v>
      </c>
      <c r="C210" s="46" t="s">
        <v>1274</v>
      </c>
      <c r="D210" s="46" t="s">
        <v>1275</v>
      </c>
      <c r="E210" s="22">
        <v>2000</v>
      </c>
      <c r="F210" s="46" t="s">
        <v>20</v>
      </c>
      <c r="G210" s="46" t="s">
        <v>20</v>
      </c>
      <c r="H210" s="47">
        <v>2020</v>
      </c>
    </row>
    <row r="211" spans="1:8" ht="24.65" customHeight="1" x14ac:dyDescent="0.35">
      <c r="A211" s="46" t="s">
        <v>14</v>
      </c>
      <c r="B211" s="46" t="s">
        <v>1265</v>
      </c>
      <c r="C211" s="46" t="s">
        <v>1276</v>
      </c>
      <c r="D211" s="46" t="s">
        <v>1275</v>
      </c>
      <c r="E211" s="22">
        <v>1255</v>
      </c>
      <c r="F211" s="46" t="s">
        <v>20</v>
      </c>
      <c r="G211" s="46" t="s">
        <v>20</v>
      </c>
      <c r="H211" s="47">
        <v>2020</v>
      </c>
    </row>
    <row r="212" spans="1:8" ht="24.65" customHeight="1" x14ac:dyDescent="0.35">
      <c r="A212" s="46" t="s">
        <v>14</v>
      </c>
      <c r="B212" s="52" t="s">
        <v>1268</v>
      </c>
      <c r="C212" s="46" t="s">
        <v>1277</v>
      </c>
      <c r="D212" s="46" t="s">
        <v>1262</v>
      </c>
      <c r="E212" s="22">
        <v>3170</v>
      </c>
      <c r="F212" s="46" t="s">
        <v>20</v>
      </c>
      <c r="G212" s="46" t="s">
        <v>20</v>
      </c>
      <c r="H212" s="47">
        <v>2020</v>
      </c>
    </row>
    <row r="213" spans="1:8" ht="24.65" customHeight="1" x14ac:dyDescent="0.35">
      <c r="A213" s="46" t="s">
        <v>14</v>
      </c>
      <c r="B213" s="46" t="s">
        <v>1278</v>
      </c>
      <c r="C213" s="46" t="s">
        <v>1279</v>
      </c>
      <c r="D213" s="46" t="s">
        <v>1267</v>
      </c>
      <c r="E213" s="22">
        <v>2410</v>
      </c>
      <c r="F213" s="46" t="s">
        <v>20</v>
      </c>
      <c r="G213" s="46" t="s">
        <v>20</v>
      </c>
      <c r="H213" s="47">
        <v>2020</v>
      </c>
    </row>
    <row r="214" spans="1:8" ht="24.65" customHeight="1" x14ac:dyDescent="0.35">
      <c r="A214" s="46" t="s">
        <v>14</v>
      </c>
      <c r="B214" s="46" t="s">
        <v>1273</v>
      </c>
      <c r="C214" s="46" t="s">
        <v>1280</v>
      </c>
      <c r="D214" s="46" t="s">
        <v>1262</v>
      </c>
      <c r="E214" s="22">
        <v>467</v>
      </c>
      <c r="F214" s="46" t="s">
        <v>20</v>
      </c>
      <c r="G214" s="46" t="s">
        <v>20</v>
      </c>
      <c r="H214" s="47">
        <v>2020</v>
      </c>
    </row>
    <row r="215" spans="1:8" ht="24.65" customHeight="1" x14ac:dyDescent="0.35">
      <c r="A215" s="46" t="s">
        <v>14</v>
      </c>
      <c r="B215" s="46" t="s">
        <v>1270</v>
      </c>
      <c r="C215" s="46" t="s">
        <v>1281</v>
      </c>
      <c r="D215" s="46" t="s">
        <v>1282</v>
      </c>
      <c r="E215" s="22">
        <v>5740</v>
      </c>
      <c r="F215" s="46" t="s">
        <v>136</v>
      </c>
      <c r="G215" s="46" t="s">
        <v>136</v>
      </c>
      <c r="H215" s="47">
        <v>2020</v>
      </c>
    </row>
    <row r="216" spans="1:8" ht="24.65" customHeight="1" x14ac:dyDescent="0.35">
      <c r="A216" s="46" t="s">
        <v>276</v>
      </c>
      <c r="B216" s="46" t="s">
        <v>1270</v>
      </c>
      <c r="C216" s="46" t="s">
        <v>1283</v>
      </c>
      <c r="D216" s="46" t="s">
        <v>1262</v>
      </c>
      <c r="E216" s="22">
        <v>88440</v>
      </c>
      <c r="F216" s="46" t="s">
        <v>136</v>
      </c>
      <c r="G216" s="46" t="s">
        <v>136</v>
      </c>
      <c r="H216" s="47">
        <v>2020</v>
      </c>
    </row>
    <row r="217" spans="1:8" ht="24.65" customHeight="1" x14ac:dyDescent="0.35">
      <c r="A217" s="46" t="s">
        <v>276</v>
      </c>
      <c r="B217" s="46" t="s">
        <v>1265</v>
      </c>
      <c r="C217" s="46" t="s">
        <v>1284</v>
      </c>
      <c r="D217" s="46" t="s">
        <v>1262</v>
      </c>
      <c r="E217" s="22">
        <v>2700</v>
      </c>
      <c r="F217" s="46" t="s">
        <v>20</v>
      </c>
      <c r="G217" s="46" t="s">
        <v>20</v>
      </c>
      <c r="H217" s="47">
        <v>2020</v>
      </c>
    </row>
    <row r="218" spans="1:8" ht="24.65" customHeight="1" x14ac:dyDescent="0.35">
      <c r="A218" s="46" t="s">
        <v>276</v>
      </c>
      <c r="B218" s="46" t="s">
        <v>1270</v>
      </c>
      <c r="C218" s="46" t="s">
        <v>1285</v>
      </c>
      <c r="D218" s="46" t="s">
        <v>1262</v>
      </c>
      <c r="E218" s="22">
        <v>500000</v>
      </c>
      <c r="F218" s="46" t="s">
        <v>136</v>
      </c>
      <c r="G218" s="46" t="s">
        <v>136</v>
      </c>
      <c r="H218" s="47">
        <v>2020</v>
      </c>
    </row>
    <row r="219" spans="1:8" ht="24.65" customHeight="1" x14ac:dyDescent="0.35">
      <c r="A219" s="52" t="s">
        <v>282</v>
      </c>
      <c r="B219" s="52" t="s">
        <v>1273</v>
      </c>
      <c r="C219" s="52" t="s">
        <v>1286</v>
      </c>
      <c r="D219" s="46" t="s">
        <v>1262</v>
      </c>
      <c r="E219" s="22">
        <v>83</v>
      </c>
      <c r="F219" s="52" t="s">
        <v>1287</v>
      </c>
      <c r="G219" s="52" t="s">
        <v>61</v>
      </c>
      <c r="H219" s="47">
        <v>2020</v>
      </c>
    </row>
    <row r="220" spans="1:8" ht="24.65" customHeight="1" x14ac:dyDescent="0.35">
      <c r="A220" s="52" t="s">
        <v>282</v>
      </c>
      <c r="B220" s="52" t="s">
        <v>1273</v>
      </c>
      <c r="C220" s="52" t="s">
        <v>1288</v>
      </c>
      <c r="D220" s="52" t="s">
        <v>1267</v>
      </c>
      <c r="E220" s="22">
        <v>39</v>
      </c>
      <c r="F220" s="52"/>
      <c r="G220" s="52" t="s">
        <v>61</v>
      </c>
      <c r="H220" s="47">
        <v>2020</v>
      </c>
    </row>
    <row r="221" spans="1:8" ht="24.65" customHeight="1" x14ac:dyDescent="0.35">
      <c r="A221" s="52" t="s">
        <v>282</v>
      </c>
      <c r="B221" s="52" t="s">
        <v>1268</v>
      </c>
      <c r="C221" s="52" t="s">
        <v>1289</v>
      </c>
      <c r="D221" s="46" t="s">
        <v>1262</v>
      </c>
      <c r="E221" s="22">
        <v>1115</v>
      </c>
      <c r="F221" s="52" t="s">
        <v>1287</v>
      </c>
      <c r="G221" s="52" t="s">
        <v>61</v>
      </c>
      <c r="H221" s="47">
        <v>2020</v>
      </c>
    </row>
    <row r="222" spans="1:8" ht="24.65" customHeight="1" x14ac:dyDescent="0.35">
      <c r="A222" s="52" t="s">
        <v>282</v>
      </c>
      <c r="B222" s="52" t="s">
        <v>1273</v>
      </c>
      <c r="C222" s="52" t="s">
        <v>1290</v>
      </c>
      <c r="D222" s="46" t="s">
        <v>1262</v>
      </c>
      <c r="E222" s="22">
        <v>370</v>
      </c>
      <c r="F222" s="52" t="s">
        <v>1291</v>
      </c>
      <c r="G222" s="52" t="s">
        <v>61</v>
      </c>
      <c r="H222" s="47">
        <v>2020</v>
      </c>
    </row>
    <row r="223" spans="1:8" ht="24.65" customHeight="1" x14ac:dyDescent="0.35">
      <c r="A223" s="52" t="s">
        <v>282</v>
      </c>
      <c r="B223" s="52" t="s">
        <v>1273</v>
      </c>
      <c r="C223" s="52" t="s">
        <v>1292</v>
      </c>
      <c r="D223" s="46" t="s">
        <v>1262</v>
      </c>
      <c r="E223" s="22">
        <v>1100</v>
      </c>
      <c r="F223" s="52" t="s">
        <v>690</v>
      </c>
      <c r="G223" s="52" t="s">
        <v>131</v>
      </c>
      <c r="H223" s="47">
        <v>2020</v>
      </c>
    </row>
    <row r="224" spans="1:8" ht="24.65" customHeight="1" x14ac:dyDescent="0.35">
      <c r="A224" s="46" t="s">
        <v>300</v>
      </c>
      <c r="B224" s="46" t="s">
        <v>1270</v>
      </c>
      <c r="C224" s="46" t="s">
        <v>1169</v>
      </c>
      <c r="D224" s="46" t="s">
        <v>1282</v>
      </c>
      <c r="E224" s="22">
        <v>12307</v>
      </c>
      <c r="F224" s="46" t="s">
        <v>1293</v>
      </c>
      <c r="G224" s="46" t="s">
        <v>1294</v>
      </c>
      <c r="H224" s="47">
        <v>2020</v>
      </c>
    </row>
    <row r="225" spans="1:8" ht="24.65" customHeight="1" x14ac:dyDescent="0.35">
      <c r="A225" s="46" t="s">
        <v>300</v>
      </c>
      <c r="B225" s="46" t="s">
        <v>1270</v>
      </c>
      <c r="C225" s="46" t="s">
        <v>1295</v>
      </c>
      <c r="D225" s="46" t="s">
        <v>1262</v>
      </c>
      <c r="E225" s="22">
        <v>528893</v>
      </c>
      <c r="F225" s="46" t="s">
        <v>82</v>
      </c>
      <c r="G225" s="46" t="s">
        <v>1294</v>
      </c>
      <c r="H225" s="47">
        <v>2020</v>
      </c>
    </row>
    <row r="226" spans="1:8" ht="24.65" customHeight="1" x14ac:dyDescent="0.35">
      <c r="A226" s="46" t="s">
        <v>300</v>
      </c>
      <c r="B226" s="46" t="s">
        <v>1296</v>
      </c>
      <c r="C226" s="46" t="s">
        <v>1297</v>
      </c>
      <c r="D226" s="52" t="s">
        <v>1259</v>
      </c>
      <c r="E226" s="22">
        <v>85711</v>
      </c>
      <c r="F226" s="46" t="s">
        <v>82</v>
      </c>
      <c r="G226" s="46" t="s">
        <v>1294</v>
      </c>
      <c r="H226" s="47">
        <v>2020</v>
      </c>
    </row>
    <row r="227" spans="1:8" ht="24.65" customHeight="1" x14ac:dyDescent="0.35">
      <c r="A227" s="46" t="s">
        <v>300</v>
      </c>
      <c r="B227" s="46" t="s">
        <v>1278</v>
      </c>
      <c r="C227" s="46" t="s">
        <v>1298</v>
      </c>
      <c r="D227" s="46" t="s">
        <v>1262</v>
      </c>
      <c r="E227" s="22">
        <v>2433</v>
      </c>
      <c r="F227" s="46" t="s">
        <v>1299</v>
      </c>
      <c r="G227" s="46" t="s">
        <v>66</v>
      </c>
      <c r="H227" s="47">
        <v>2020</v>
      </c>
    </row>
    <row r="228" spans="1:8" ht="24.65" customHeight="1" x14ac:dyDescent="0.35">
      <c r="A228" s="46" t="s">
        <v>300</v>
      </c>
      <c r="B228" s="46" t="s">
        <v>1258</v>
      </c>
      <c r="C228" s="46" t="s">
        <v>1300</v>
      </c>
      <c r="D228" s="46" t="s">
        <v>1262</v>
      </c>
      <c r="E228" s="22">
        <v>24998</v>
      </c>
      <c r="F228" s="46" t="s">
        <v>82</v>
      </c>
      <c r="G228" s="46" t="s">
        <v>1294</v>
      </c>
      <c r="H228" s="47">
        <v>2020</v>
      </c>
    </row>
    <row r="229" spans="1:8" ht="24.65" customHeight="1" x14ac:dyDescent="0.35">
      <c r="A229" s="46" t="s">
        <v>317</v>
      </c>
      <c r="B229" s="46" t="s">
        <v>1296</v>
      </c>
      <c r="C229" s="46" t="s">
        <v>1301</v>
      </c>
      <c r="D229" s="46" t="s">
        <v>1267</v>
      </c>
      <c r="E229" s="22">
        <v>40000</v>
      </c>
      <c r="F229" s="46" t="s">
        <v>52</v>
      </c>
      <c r="G229" s="46" t="s">
        <v>66</v>
      </c>
      <c r="H229" s="47">
        <v>2020</v>
      </c>
    </row>
    <row r="230" spans="1:8" ht="24.65" customHeight="1" x14ac:dyDescent="0.35">
      <c r="A230" s="46" t="s">
        <v>317</v>
      </c>
      <c r="B230" s="46" t="s">
        <v>1270</v>
      </c>
      <c r="C230" s="46" t="s">
        <v>1302</v>
      </c>
      <c r="D230" s="46" t="s">
        <v>1262</v>
      </c>
      <c r="E230" s="22">
        <v>30931</v>
      </c>
      <c r="F230" s="46" t="s">
        <v>443</v>
      </c>
      <c r="G230" s="46" t="s">
        <v>66</v>
      </c>
      <c r="H230" s="47">
        <v>2020</v>
      </c>
    </row>
    <row r="231" spans="1:8" ht="24.65" customHeight="1" x14ac:dyDescent="0.35">
      <c r="A231" s="46" t="s">
        <v>317</v>
      </c>
      <c r="B231" s="46" t="s">
        <v>1296</v>
      </c>
      <c r="C231" s="46" t="s">
        <v>1303</v>
      </c>
      <c r="D231" s="46" t="s">
        <v>1267</v>
      </c>
      <c r="E231" s="22">
        <v>21300</v>
      </c>
      <c r="F231" s="46" t="s">
        <v>82</v>
      </c>
      <c r="G231" s="46" t="s">
        <v>1294</v>
      </c>
      <c r="H231" s="47">
        <v>2020</v>
      </c>
    </row>
    <row r="232" spans="1:8" ht="24.65" customHeight="1" x14ac:dyDescent="0.35">
      <c r="A232" s="46" t="s">
        <v>317</v>
      </c>
      <c r="B232" s="46" t="s">
        <v>1273</v>
      </c>
      <c r="C232" s="46" t="s">
        <v>1304</v>
      </c>
      <c r="D232" s="46" t="s">
        <v>1262</v>
      </c>
      <c r="E232" s="22">
        <v>36000</v>
      </c>
      <c r="F232" s="46" t="s">
        <v>1305</v>
      </c>
      <c r="G232" s="46" t="s">
        <v>66</v>
      </c>
      <c r="H232" s="47">
        <v>2020</v>
      </c>
    </row>
    <row r="233" spans="1:8" ht="24.65" customHeight="1" x14ac:dyDescent="0.35">
      <c r="A233" s="46" t="s">
        <v>317</v>
      </c>
      <c r="B233" s="46" t="s">
        <v>1270</v>
      </c>
      <c r="C233" s="46" t="s">
        <v>1306</v>
      </c>
      <c r="D233" s="46" t="s">
        <v>1262</v>
      </c>
      <c r="E233" s="22">
        <v>11350</v>
      </c>
      <c r="F233" s="46" t="s">
        <v>52</v>
      </c>
      <c r="G233" s="46" t="s">
        <v>66</v>
      </c>
      <c r="H233" s="47">
        <v>2020</v>
      </c>
    </row>
    <row r="234" spans="1:8" ht="24.65" customHeight="1" x14ac:dyDescent="0.35">
      <c r="A234" s="46" t="s">
        <v>317</v>
      </c>
      <c r="B234" s="46" t="s">
        <v>1296</v>
      </c>
      <c r="C234" s="46" t="s">
        <v>1307</v>
      </c>
      <c r="D234" s="52" t="s">
        <v>1259</v>
      </c>
      <c r="E234" s="22">
        <v>9237</v>
      </c>
      <c r="F234" s="46" t="s">
        <v>52</v>
      </c>
      <c r="G234" s="46" t="s">
        <v>66</v>
      </c>
      <c r="H234" s="47">
        <v>2020</v>
      </c>
    </row>
    <row r="235" spans="1:8" ht="24.65" customHeight="1" x14ac:dyDescent="0.35">
      <c r="A235" s="46" t="s">
        <v>323</v>
      </c>
      <c r="B235" s="46" t="s">
        <v>1273</v>
      </c>
      <c r="C235" s="46" t="s">
        <v>1308</v>
      </c>
      <c r="D235" s="46" t="s">
        <v>1262</v>
      </c>
      <c r="E235" s="22">
        <v>5650</v>
      </c>
      <c r="F235" s="46" t="s">
        <v>61</v>
      </c>
      <c r="G235" s="46" t="s">
        <v>61</v>
      </c>
      <c r="H235" s="47">
        <v>2020</v>
      </c>
    </row>
    <row r="236" spans="1:8" ht="24.65" customHeight="1" x14ac:dyDescent="0.35">
      <c r="A236" s="52" t="s">
        <v>329</v>
      </c>
      <c r="B236" s="46" t="s">
        <v>1296</v>
      </c>
      <c r="C236" s="52" t="s">
        <v>1309</v>
      </c>
      <c r="D236" s="46" t="s">
        <v>1262</v>
      </c>
      <c r="E236" s="22">
        <v>11187</v>
      </c>
      <c r="F236" s="52" t="s">
        <v>1310</v>
      </c>
      <c r="G236" s="46" t="s">
        <v>78</v>
      </c>
      <c r="H236" s="47">
        <v>2020</v>
      </c>
    </row>
    <row r="237" spans="1:8" ht="24.65" customHeight="1" x14ac:dyDescent="0.35">
      <c r="A237" s="52" t="s">
        <v>329</v>
      </c>
      <c r="B237" s="52" t="s">
        <v>1270</v>
      </c>
      <c r="C237" s="52" t="s">
        <v>1311</v>
      </c>
      <c r="D237" s="46" t="s">
        <v>1262</v>
      </c>
      <c r="E237" s="22">
        <v>10186</v>
      </c>
      <c r="F237" s="52" t="s">
        <v>1310</v>
      </c>
      <c r="G237" s="46" t="s">
        <v>78</v>
      </c>
      <c r="H237" s="47">
        <v>2020</v>
      </c>
    </row>
    <row r="238" spans="1:8" ht="24.65" customHeight="1" x14ac:dyDescent="0.35">
      <c r="A238" s="52" t="s">
        <v>329</v>
      </c>
      <c r="B238" s="52" t="s">
        <v>1312</v>
      </c>
      <c r="C238" s="52" t="s">
        <v>1313</v>
      </c>
      <c r="D238" s="46" t="s">
        <v>1262</v>
      </c>
      <c r="E238" s="22">
        <v>3974</v>
      </c>
      <c r="F238" s="52" t="s">
        <v>1314</v>
      </c>
      <c r="G238" s="46" t="s">
        <v>78</v>
      </c>
      <c r="H238" s="47">
        <v>2020</v>
      </c>
    </row>
    <row r="239" spans="1:8" ht="24.65" customHeight="1" x14ac:dyDescent="0.35">
      <c r="A239" s="52" t="s">
        <v>329</v>
      </c>
      <c r="B239" s="52" t="s">
        <v>1278</v>
      </c>
      <c r="C239" s="52" t="s">
        <v>1315</v>
      </c>
      <c r="D239" s="46" t="s">
        <v>1262</v>
      </c>
      <c r="E239" s="22">
        <v>3300</v>
      </c>
      <c r="F239" s="52"/>
      <c r="G239" s="46" t="s">
        <v>78</v>
      </c>
      <c r="H239" s="47">
        <v>2020</v>
      </c>
    </row>
    <row r="240" spans="1:8" ht="24.65" customHeight="1" x14ac:dyDescent="0.35">
      <c r="A240" s="52" t="s">
        <v>329</v>
      </c>
      <c r="B240" s="46" t="s">
        <v>1296</v>
      </c>
      <c r="C240" s="52" t="s">
        <v>1316</v>
      </c>
      <c r="D240" s="52" t="s">
        <v>1259</v>
      </c>
      <c r="E240" s="22">
        <v>90141</v>
      </c>
      <c r="F240" s="52" t="s">
        <v>1317</v>
      </c>
      <c r="G240" s="46" t="s">
        <v>78</v>
      </c>
      <c r="H240" s="47">
        <v>2020</v>
      </c>
    </row>
    <row r="241" spans="1:8" ht="24.65" customHeight="1" x14ac:dyDescent="0.35">
      <c r="A241" s="52" t="s">
        <v>329</v>
      </c>
      <c r="B241" s="52" t="s">
        <v>1260</v>
      </c>
      <c r="C241" s="52" t="s">
        <v>1318</v>
      </c>
      <c r="D241" s="46" t="s">
        <v>1262</v>
      </c>
      <c r="E241" s="22">
        <v>8097</v>
      </c>
      <c r="F241" s="52" t="s">
        <v>1317</v>
      </c>
      <c r="G241" s="46" t="s">
        <v>78</v>
      </c>
      <c r="H241" s="47">
        <v>2020</v>
      </c>
    </row>
    <row r="242" spans="1:8" ht="24.65" customHeight="1" x14ac:dyDescent="0.35">
      <c r="A242" s="52" t="s">
        <v>329</v>
      </c>
      <c r="B242" s="52" t="s">
        <v>1270</v>
      </c>
      <c r="C242" s="52" t="s">
        <v>1319</v>
      </c>
      <c r="D242" s="46" t="s">
        <v>1262</v>
      </c>
      <c r="E242" s="22">
        <v>500000</v>
      </c>
      <c r="F242" s="52" t="s">
        <v>1320</v>
      </c>
      <c r="G242" s="46" t="s">
        <v>1321</v>
      </c>
      <c r="H242" s="47">
        <v>2020</v>
      </c>
    </row>
    <row r="243" spans="1:8" ht="24.65" customHeight="1" x14ac:dyDescent="0.35">
      <c r="A243" s="52" t="s">
        <v>329</v>
      </c>
      <c r="B243" s="52" t="s">
        <v>1265</v>
      </c>
      <c r="C243" s="52" t="s">
        <v>1322</v>
      </c>
      <c r="D243" s="46" t="s">
        <v>1262</v>
      </c>
      <c r="E243" s="22">
        <v>25000</v>
      </c>
      <c r="F243" s="52" t="s">
        <v>1317</v>
      </c>
      <c r="G243" s="46" t="s">
        <v>78</v>
      </c>
      <c r="H243" s="47">
        <v>2020</v>
      </c>
    </row>
    <row r="244" spans="1:8" ht="24.65" customHeight="1" x14ac:dyDescent="0.35">
      <c r="A244" s="46" t="s">
        <v>62</v>
      </c>
      <c r="B244" s="52" t="s">
        <v>1268</v>
      </c>
      <c r="C244" s="46" t="s">
        <v>1323</v>
      </c>
      <c r="D244" s="46" t="s">
        <v>1262</v>
      </c>
      <c r="E244" s="22">
        <v>96295</v>
      </c>
      <c r="F244" s="46" t="s">
        <v>484</v>
      </c>
      <c r="G244" s="46" t="s">
        <v>66</v>
      </c>
      <c r="H244" s="47">
        <v>2020</v>
      </c>
    </row>
    <row r="245" spans="1:8" ht="24.65" customHeight="1" x14ac:dyDescent="0.35">
      <c r="A245" s="46" t="s">
        <v>62</v>
      </c>
      <c r="B245" s="46" t="s">
        <v>1260</v>
      </c>
      <c r="C245" s="46" t="s">
        <v>1324</v>
      </c>
      <c r="D245" s="46" t="s">
        <v>1262</v>
      </c>
      <c r="E245" s="22">
        <v>15000</v>
      </c>
      <c r="F245" s="46" t="s">
        <v>484</v>
      </c>
      <c r="G245" s="46" t="s">
        <v>66</v>
      </c>
      <c r="H245" s="47">
        <v>2020</v>
      </c>
    </row>
    <row r="246" spans="1:8" ht="24.65" customHeight="1" x14ac:dyDescent="0.35">
      <c r="A246" s="46" t="s">
        <v>62</v>
      </c>
      <c r="B246" s="46" t="s">
        <v>1270</v>
      </c>
      <c r="C246" s="52" t="s">
        <v>1319</v>
      </c>
      <c r="D246" s="46" t="s">
        <v>1262</v>
      </c>
      <c r="E246" s="22">
        <v>50000</v>
      </c>
      <c r="F246" s="46" t="s">
        <v>1320</v>
      </c>
      <c r="G246" s="46" t="s">
        <v>1321</v>
      </c>
      <c r="H246" s="47">
        <v>2020</v>
      </c>
    </row>
    <row r="247" spans="1:8" ht="24.65" customHeight="1" x14ac:dyDescent="0.35">
      <c r="A247" s="46" t="s">
        <v>62</v>
      </c>
      <c r="B247" s="46" t="s">
        <v>1270</v>
      </c>
      <c r="C247" s="46" t="s">
        <v>1325</v>
      </c>
      <c r="D247" s="46" t="s">
        <v>1262</v>
      </c>
      <c r="E247" s="22">
        <v>12825</v>
      </c>
      <c r="F247" s="46" t="s">
        <v>484</v>
      </c>
      <c r="G247" s="46" t="s">
        <v>66</v>
      </c>
      <c r="H247" s="47">
        <v>2020</v>
      </c>
    </row>
    <row r="248" spans="1:8" ht="24.65" customHeight="1" x14ac:dyDescent="0.35">
      <c r="A248" s="46" t="s">
        <v>517</v>
      </c>
      <c r="B248" s="46" t="s">
        <v>1270</v>
      </c>
      <c r="C248" s="46" t="s">
        <v>1326</v>
      </c>
      <c r="D248" s="46" t="s">
        <v>1262</v>
      </c>
      <c r="E248" s="22">
        <v>450</v>
      </c>
      <c r="F248" s="46" t="s">
        <v>77</v>
      </c>
      <c r="G248" s="46" t="s">
        <v>78</v>
      </c>
      <c r="H248" s="47">
        <v>2020</v>
      </c>
    </row>
    <row r="249" spans="1:8" ht="24.65" customHeight="1" x14ac:dyDescent="0.35">
      <c r="A249" s="46" t="s">
        <v>341</v>
      </c>
      <c r="B249" s="52" t="s">
        <v>1268</v>
      </c>
      <c r="C249" s="46" t="s">
        <v>1327</v>
      </c>
      <c r="D249" s="46" t="s">
        <v>1262</v>
      </c>
      <c r="E249" s="22">
        <v>1246</v>
      </c>
      <c r="F249" s="46" t="s">
        <v>20</v>
      </c>
      <c r="G249" s="46" t="s">
        <v>20</v>
      </c>
      <c r="H249" s="47">
        <v>2020</v>
      </c>
    </row>
    <row r="250" spans="1:8" ht="24.65" customHeight="1" x14ac:dyDescent="0.35">
      <c r="A250" s="46" t="s">
        <v>341</v>
      </c>
      <c r="B250" s="46" t="s">
        <v>1270</v>
      </c>
      <c r="C250" s="46" t="s">
        <v>1328</v>
      </c>
      <c r="D250" s="46" t="s">
        <v>1262</v>
      </c>
      <c r="E250" s="22">
        <v>201360</v>
      </c>
      <c r="F250" s="46" t="s">
        <v>20</v>
      </c>
      <c r="G250" s="46" t="s">
        <v>20</v>
      </c>
      <c r="H250" s="47">
        <v>2020</v>
      </c>
    </row>
    <row r="251" spans="1:8" ht="24.65" customHeight="1" x14ac:dyDescent="0.35">
      <c r="A251" s="46" t="s">
        <v>341</v>
      </c>
      <c r="B251" s="46" t="s">
        <v>1273</v>
      </c>
      <c r="C251" s="46" t="s">
        <v>1329</v>
      </c>
      <c r="D251" s="46" t="s">
        <v>1262</v>
      </c>
      <c r="E251" s="22">
        <v>575</v>
      </c>
      <c r="F251" s="46" t="s">
        <v>20</v>
      </c>
      <c r="G251" s="46" t="s">
        <v>20</v>
      </c>
      <c r="H251" s="47">
        <v>2020</v>
      </c>
    </row>
    <row r="252" spans="1:8" ht="24.65" customHeight="1" x14ac:dyDescent="0.35">
      <c r="A252" s="46" t="s">
        <v>341</v>
      </c>
      <c r="B252" s="46" t="s">
        <v>1296</v>
      </c>
      <c r="C252" s="46" t="s">
        <v>1330</v>
      </c>
      <c r="D252" s="52" t="s">
        <v>1259</v>
      </c>
      <c r="E252" s="22">
        <v>300</v>
      </c>
      <c r="F252" s="46" t="s">
        <v>20</v>
      </c>
      <c r="G252" s="46" t="s">
        <v>20</v>
      </c>
      <c r="H252" s="47">
        <v>2020</v>
      </c>
    </row>
    <row r="253" spans="1:8" ht="24.65" customHeight="1" x14ac:dyDescent="0.35">
      <c r="A253" s="46" t="s">
        <v>341</v>
      </c>
      <c r="B253" s="46" t="s">
        <v>1265</v>
      </c>
      <c r="C253" s="46" t="s">
        <v>1331</v>
      </c>
      <c r="D253" s="46" t="s">
        <v>1262</v>
      </c>
      <c r="E253" s="22">
        <v>10575</v>
      </c>
      <c r="F253" s="46" t="s">
        <v>20</v>
      </c>
      <c r="G253" s="46" t="s">
        <v>20</v>
      </c>
      <c r="H253" s="47">
        <v>2020</v>
      </c>
    </row>
    <row r="254" spans="1:8" ht="24.65" customHeight="1" x14ac:dyDescent="0.35">
      <c r="A254" s="46" t="s">
        <v>341</v>
      </c>
      <c r="B254" s="46" t="s">
        <v>1296</v>
      </c>
      <c r="C254" s="46" t="s">
        <v>1332</v>
      </c>
      <c r="D254" s="52" t="s">
        <v>1259</v>
      </c>
      <c r="E254" s="22">
        <v>29138</v>
      </c>
      <c r="F254" s="46" t="s">
        <v>20</v>
      </c>
      <c r="G254" s="46" t="s">
        <v>20</v>
      </c>
      <c r="H254" s="47">
        <v>2020</v>
      </c>
    </row>
    <row r="255" spans="1:8" ht="24.65" customHeight="1" x14ac:dyDescent="0.35">
      <c r="A255" s="46" t="s">
        <v>341</v>
      </c>
      <c r="B255" s="46" t="s">
        <v>1270</v>
      </c>
      <c r="C255" s="46" t="s">
        <v>1333</v>
      </c>
      <c r="D255" s="46" t="s">
        <v>1262</v>
      </c>
      <c r="E255" s="22">
        <v>49864</v>
      </c>
      <c r="F255" s="46" t="s">
        <v>20</v>
      </c>
      <c r="G255" s="46" t="s">
        <v>20</v>
      </c>
      <c r="H255" s="47">
        <v>2020</v>
      </c>
    </row>
    <row r="256" spans="1:8" ht="24.65" customHeight="1" x14ac:dyDescent="0.35">
      <c r="A256" s="52" t="s">
        <v>346</v>
      </c>
      <c r="B256" s="52" t="s">
        <v>1273</v>
      </c>
      <c r="C256" s="52"/>
      <c r="D256" s="46" t="s">
        <v>1262</v>
      </c>
      <c r="E256" s="22">
        <v>6000</v>
      </c>
      <c r="F256" s="52" t="s">
        <v>637</v>
      </c>
      <c r="G256" s="46" t="s">
        <v>78</v>
      </c>
      <c r="H256" s="47">
        <v>2020</v>
      </c>
    </row>
    <row r="257" spans="1:8" ht="24.65" customHeight="1" x14ac:dyDescent="0.35">
      <c r="A257" s="52" t="s">
        <v>346</v>
      </c>
      <c r="B257" s="52" t="s">
        <v>1273</v>
      </c>
      <c r="C257" s="52"/>
      <c r="D257" s="46" t="s">
        <v>1262</v>
      </c>
      <c r="E257" s="22">
        <v>101016</v>
      </c>
      <c r="F257" s="52" t="s">
        <v>637</v>
      </c>
      <c r="G257" s="46" t="s">
        <v>78</v>
      </c>
      <c r="H257" s="47">
        <v>2020</v>
      </c>
    </row>
    <row r="258" spans="1:8" ht="24.65" customHeight="1" x14ac:dyDescent="0.35">
      <c r="A258" s="52" t="s">
        <v>346</v>
      </c>
      <c r="B258" s="46" t="s">
        <v>1296</v>
      </c>
      <c r="C258" s="52" t="s">
        <v>1334</v>
      </c>
      <c r="D258" s="52" t="s">
        <v>1259</v>
      </c>
      <c r="E258" s="22">
        <v>605</v>
      </c>
      <c r="F258" s="52" t="s">
        <v>637</v>
      </c>
      <c r="G258" s="46" t="s">
        <v>78</v>
      </c>
      <c r="H258" s="47">
        <v>2020</v>
      </c>
    </row>
    <row r="259" spans="1:8" ht="24.65" customHeight="1" x14ac:dyDescent="0.35">
      <c r="A259" s="52" t="s">
        <v>346</v>
      </c>
      <c r="B259" s="52" t="s">
        <v>1268</v>
      </c>
      <c r="C259" s="52" t="s">
        <v>1335</v>
      </c>
      <c r="D259" s="46" t="s">
        <v>1262</v>
      </c>
      <c r="E259" s="22">
        <v>4974</v>
      </c>
      <c r="F259" s="52" t="s">
        <v>637</v>
      </c>
      <c r="G259" s="46" t="s">
        <v>78</v>
      </c>
      <c r="H259" s="47">
        <v>2020</v>
      </c>
    </row>
    <row r="260" spans="1:8" ht="24.65" customHeight="1" x14ac:dyDescent="0.35">
      <c r="A260" s="46" t="s">
        <v>348</v>
      </c>
      <c r="B260" s="52" t="s">
        <v>1268</v>
      </c>
      <c r="C260" s="46" t="s">
        <v>1336</v>
      </c>
      <c r="D260" s="46" t="s">
        <v>1262</v>
      </c>
      <c r="E260" s="22">
        <v>1800</v>
      </c>
      <c r="F260" s="46" t="s">
        <v>20</v>
      </c>
      <c r="G260" s="46" t="s">
        <v>20</v>
      </c>
      <c r="H260" s="47">
        <v>2020</v>
      </c>
    </row>
    <row r="261" spans="1:8" ht="24.65" customHeight="1" x14ac:dyDescent="0.35">
      <c r="A261" s="52" t="s">
        <v>1337</v>
      </c>
      <c r="B261" s="46" t="s">
        <v>1296</v>
      </c>
      <c r="C261" s="52" t="s">
        <v>1338</v>
      </c>
      <c r="D261" s="52" t="s">
        <v>1259</v>
      </c>
      <c r="E261" s="22">
        <v>26005</v>
      </c>
      <c r="F261" s="52" t="s">
        <v>1339</v>
      </c>
      <c r="G261" s="46" t="s">
        <v>66</v>
      </c>
      <c r="H261" s="47">
        <v>2020</v>
      </c>
    </row>
    <row r="262" spans="1:8" ht="24.65" customHeight="1" x14ac:dyDescent="0.35">
      <c r="A262" s="52" t="s">
        <v>1337</v>
      </c>
      <c r="B262" s="52" t="s">
        <v>1273</v>
      </c>
      <c r="C262" s="52" t="s">
        <v>1340</v>
      </c>
      <c r="D262" s="46" t="s">
        <v>1262</v>
      </c>
      <c r="E262" s="22">
        <v>1000</v>
      </c>
      <c r="F262" s="52"/>
      <c r="G262" s="46" t="s">
        <v>66</v>
      </c>
      <c r="H262" s="47">
        <v>2020</v>
      </c>
    </row>
    <row r="263" spans="1:8" ht="24.65" customHeight="1" x14ac:dyDescent="0.35">
      <c r="A263" s="52" t="s">
        <v>365</v>
      </c>
      <c r="B263" s="52" t="s">
        <v>1273</v>
      </c>
      <c r="C263" s="52" t="s">
        <v>1341</v>
      </c>
      <c r="D263" s="52" t="s">
        <v>1342</v>
      </c>
      <c r="E263" s="22">
        <v>3000</v>
      </c>
      <c r="F263" s="52" t="s">
        <v>1343</v>
      </c>
      <c r="G263" s="46" t="s">
        <v>136</v>
      </c>
      <c r="H263" s="47">
        <v>2020</v>
      </c>
    </row>
    <row r="264" spans="1:8" ht="24.65" customHeight="1" x14ac:dyDescent="0.35">
      <c r="A264" s="52" t="s">
        <v>365</v>
      </c>
      <c r="B264" s="52" t="s">
        <v>1273</v>
      </c>
      <c r="C264" s="52" t="s">
        <v>1341</v>
      </c>
      <c r="D264" s="52" t="s">
        <v>1259</v>
      </c>
      <c r="E264" s="22">
        <v>2000</v>
      </c>
      <c r="F264" s="52" t="s">
        <v>1343</v>
      </c>
      <c r="G264" s="46" t="s">
        <v>136</v>
      </c>
      <c r="H264" s="47">
        <v>2020</v>
      </c>
    </row>
    <row r="265" spans="1:8" ht="24.65" customHeight="1" x14ac:dyDescent="0.35">
      <c r="A265" s="46" t="s">
        <v>370</v>
      </c>
      <c r="B265" s="46" t="s">
        <v>1270</v>
      </c>
      <c r="C265" s="46" t="s">
        <v>1344</v>
      </c>
      <c r="D265" s="46" t="s">
        <v>1275</v>
      </c>
      <c r="E265" s="22">
        <v>3000</v>
      </c>
      <c r="F265" s="46" t="s">
        <v>166</v>
      </c>
      <c r="G265" s="46" t="s">
        <v>20</v>
      </c>
      <c r="H265" s="47">
        <v>2020</v>
      </c>
    </row>
    <row r="266" spans="1:8" ht="24.65" customHeight="1" x14ac:dyDescent="0.35">
      <c r="A266" s="46" t="s">
        <v>370</v>
      </c>
      <c r="B266" s="46" t="s">
        <v>1270</v>
      </c>
      <c r="C266" s="46" t="s">
        <v>1345</v>
      </c>
      <c r="D266" s="46" t="s">
        <v>1262</v>
      </c>
      <c r="E266" s="22">
        <v>50000</v>
      </c>
      <c r="F266" s="46" t="s">
        <v>166</v>
      </c>
      <c r="G266" s="46" t="s">
        <v>20</v>
      </c>
      <c r="H266" s="47">
        <v>2020</v>
      </c>
    </row>
    <row r="267" spans="1:8" ht="24.65" customHeight="1" x14ac:dyDescent="0.35">
      <c r="A267" s="46" t="s">
        <v>373</v>
      </c>
      <c r="B267" s="46" t="s">
        <v>1296</v>
      </c>
      <c r="C267" s="46" t="s">
        <v>1346</v>
      </c>
      <c r="D267" s="46" t="s">
        <v>1267</v>
      </c>
      <c r="E267" s="22">
        <v>4680</v>
      </c>
      <c r="F267" s="46" t="s">
        <v>92</v>
      </c>
      <c r="G267" s="46" t="s">
        <v>136</v>
      </c>
      <c r="H267" s="47">
        <v>2020</v>
      </c>
    </row>
    <row r="268" spans="1:8" ht="24.65" customHeight="1" x14ac:dyDescent="0.35">
      <c r="A268" s="46" t="s">
        <v>373</v>
      </c>
      <c r="B268" s="46" t="s">
        <v>1296</v>
      </c>
      <c r="C268" s="46" t="s">
        <v>1347</v>
      </c>
      <c r="D268" s="52" t="s">
        <v>1259</v>
      </c>
      <c r="E268" s="22">
        <v>47426</v>
      </c>
      <c r="F268" s="46" t="s">
        <v>92</v>
      </c>
      <c r="G268" s="46" t="s">
        <v>136</v>
      </c>
      <c r="H268" s="47">
        <v>2020</v>
      </c>
    </row>
    <row r="269" spans="1:8" ht="24.65" customHeight="1" x14ac:dyDescent="0.35">
      <c r="A269" s="46" t="s">
        <v>373</v>
      </c>
      <c r="B269" s="46" t="s">
        <v>1270</v>
      </c>
      <c r="C269" s="46" t="s">
        <v>1348</v>
      </c>
      <c r="D269" s="46" t="s">
        <v>1282</v>
      </c>
      <c r="E269" s="22">
        <v>563000</v>
      </c>
      <c r="F269" s="46" t="s">
        <v>92</v>
      </c>
      <c r="G269" s="46" t="s">
        <v>136</v>
      </c>
      <c r="H269" s="47">
        <v>2020</v>
      </c>
    </row>
    <row r="270" spans="1:8" ht="24.65" customHeight="1" x14ac:dyDescent="0.35">
      <c r="A270" s="46" t="s">
        <v>373</v>
      </c>
      <c r="B270" s="46" t="s">
        <v>1296</v>
      </c>
      <c r="C270" s="46" t="s">
        <v>1349</v>
      </c>
      <c r="D270" s="52" t="s">
        <v>1259</v>
      </c>
      <c r="E270" s="22">
        <v>44600</v>
      </c>
      <c r="F270" s="46" t="s">
        <v>92</v>
      </c>
      <c r="G270" s="46" t="s">
        <v>136</v>
      </c>
      <c r="H270" s="47">
        <v>2020</v>
      </c>
    </row>
    <row r="271" spans="1:8" ht="24.65" customHeight="1" x14ac:dyDescent="0.35">
      <c r="A271" s="46" t="s">
        <v>373</v>
      </c>
      <c r="B271" s="46" t="s">
        <v>1265</v>
      </c>
      <c r="C271" s="46" t="s">
        <v>1350</v>
      </c>
      <c r="D271" s="46" t="s">
        <v>1267</v>
      </c>
      <c r="E271" s="22">
        <v>14950</v>
      </c>
      <c r="F271" s="46" t="s">
        <v>136</v>
      </c>
      <c r="G271" s="46" t="s">
        <v>136</v>
      </c>
      <c r="H271" s="47">
        <v>2020</v>
      </c>
    </row>
    <row r="272" spans="1:8" ht="24.65" customHeight="1" x14ac:dyDescent="0.35">
      <c r="A272" s="46" t="s">
        <v>373</v>
      </c>
      <c r="B272" s="52" t="s">
        <v>1268</v>
      </c>
      <c r="C272" s="46" t="s">
        <v>1351</v>
      </c>
      <c r="D272" s="46" t="s">
        <v>1262</v>
      </c>
      <c r="E272" s="22">
        <v>35000</v>
      </c>
      <c r="F272" s="46" t="s">
        <v>136</v>
      </c>
      <c r="G272" s="46" t="s">
        <v>136</v>
      </c>
      <c r="H272" s="47">
        <v>2020</v>
      </c>
    </row>
    <row r="273" spans="1:8" ht="24.65" customHeight="1" x14ac:dyDescent="0.35">
      <c r="A273" s="46" t="s">
        <v>373</v>
      </c>
      <c r="B273" s="46" t="s">
        <v>1278</v>
      </c>
      <c r="C273" s="46" t="s">
        <v>1352</v>
      </c>
      <c r="D273" s="46" t="s">
        <v>1267</v>
      </c>
      <c r="E273" s="22">
        <v>9000</v>
      </c>
      <c r="F273" s="46" t="s">
        <v>136</v>
      </c>
      <c r="G273" s="46" t="s">
        <v>136</v>
      </c>
      <c r="H273" s="47">
        <v>2020</v>
      </c>
    </row>
    <row r="274" spans="1:8" ht="24.65" customHeight="1" x14ac:dyDescent="0.35">
      <c r="A274" s="46" t="s">
        <v>373</v>
      </c>
      <c r="B274" s="46" t="s">
        <v>1353</v>
      </c>
      <c r="C274" s="46" t="s">
        <v>1354</v>
      </c>
      <c r="D274" s="46" t="s">
        <v>1267</v>
      </c>
      <c r="E274" s="22">
        <v>10000</v>
      </c>
      <c r="F274" s="46" t="s">
        <v>92</v>
      </c>
      <c r="G274" s="46" t="s">
        <v>136</v>
      </c>
      <c r="H274" s="47">
        <v>2020</v>
      </c>
    </row>
    <row r="275" spans="1:8" ht="24.65" customHeight="1" x14ac:dyDescent="0.35">
      <c r="A275" s="52" t="s">
        <v>374</v>
      </c>
      <c r="B275" s="52" t="s">
        <v>1260</v>
      </c>
      <c r="C275" s="52" t="s">
        <v>1355</v>
      </c>
      <c r="D275" s="46" t="s">
        <v>1262</v>
      </c>
      <c r="E275" s="22">
        <v>10800</v>
      </c>
      <c r="F275" s="52" t="s">
        <v>1356</v>
      </c>
      <c r="G275" s="52" t="s">
        <v>1294</v>
      </c>
      <c r="H275" s="47">
        <v>2020</v>
      </c>
    </row>
    <row r="276" spans="1:8" ht="24.65" customHeight="1" x14ac:dyDescent="0.35">
      <c r="A276" s="52" t="s">
        <v>374</v>
      </c>
      <c r="B276" s="52" t="s">
        <v>1273</v>
      </c>
      <c r="C276" s="52" t="s">
        <v>1357</v>
      </c>
      <c r="D276" s="46" t="s">
        <v>1262</v>
      </c>
      <c r="E276" s="22">
        <v>1170</v>
      </c>
      <c r="F276" s="52" t="s">
        <v>1356</v>
      </c>
      <c r="G276" s="52" t="s">
        <v>1294</v>
      </c>
      <c r="H276" s="47">
        <v>2020</v>
      </c>
    </row>
    <row r="277" spans="1:8" ht="24.65" customHeight="1" x14ac:dyDescent="0.35">
      <c r="A277" s="52" t="s">
        <v>374</v>
      </c>
      <c r="B277" s="52" t="s">
        <v>1265</v>
      </c>
      <c r="C277" s="52" t="s">
        <v>1358</v>
      </c>
      <c r="D277" s="46" t="s">
        <v>1262</v>
      </c>
      <c r="E277" s="22">
        <v>500</v>
      </c>
      <c r="F277" s="52" t="s">
        <v>1359</v>
      </c>
      <c r="G277" s="52" t="s">
        <v>1294</v>
      </c>
      <c r="H277" s="47">
        <v>2020</v>
      </c>
    </row>
    <row r="278" spans="1:8" ht="24.65" customHeight="1" x14ac:dyDescent="0.35">
      <c r="A278" s="46" t="s">
        <v>376</v>
      </c>
      <c r="B278" s="46" t="s">
        <v>1270</v>
      </c>
      <c r="C278" s="46" t="s">
        <v>1360</v>
      </c>
      <c r="D278" s="46" t="s">
        <v>1262</v>
      </c>
      <c r="E278" s="22">
        <v>480000</v>
      </c>
      <c r="F278" s="46" t="s">
        <v>1321</v>
      </c>
      <c r="G278" s="46" t="s">
        <v>1321</v>
      </c>
      <c r="H278" s="47">
        <v>2020</v>
      </c>
    </row>
    <row r="279" spans="1:8" ht="24.65" customHeight="1" x14ac:dyDescent="0.35">
      <c r="A279" s="46" t="s">
        <v>376</v>
      </c>
      <c r="B279" s="46" t="s">
        <v>1296</v>
      </c>
      <c r="C279" s="46" t="s">
        <v>1361</v>
      </c>
      <c r="D279" s="46" t="s">
        <v>1262</v>
      </c>
      <c r="E279" s="22">
        <v>136808</v>
      </c>
      <c r="F279" s="46" t="s">
        <v>94</v>
      </c>
      <c r="G279" s="46" t="s">
        <v>20</v>
      </c>
      <c r="H279" s="47">
        <v>2020</v>
      </c>
    </row>
    <row r="280" spans="1:8" ht="24.65" customHeight="1" x14ac:dyDescent="0.35">
      <c r="A280" s="46" t="s">
        <v>376</v>
      </c>
      <c r="B280" s="46" t="s">
        <v>1273</v>
      </c>
      <c r="C280" s="46" t="s">
        <v>1196</v>
      </c>
      <c r="D280" s="46" t="s">
        <v>1362</v>
      </c>
      <c r="E280" s="22">
        <v>5148</v>
      </c>
      <c r="F280" s="46" t="s">
        <v>94</v>
      </c>
      <c r="G280" s="46" t="s">
        <v>20</v>
      </c>
      <c r="H280" s="47">
        <v>2020</v>
      </c>
    </row>
    <row r="281" spans="1:8" ht="24.65" customHeight="1" x14ac:dyDescent="0.35">
      <c r="A281" s="46" t="s">
        <v>376</v>
      </c>
      <c r="B281" s="46" t="s">
        <v>1363</v>
      </c>
      <c r="C281" s="46" t="s">
        <v>1195</v>
      </c>
      <c r="D281" s="46" t="s">
        <v>1362</v>
      </c>
      <c r="E281" s="22">
        <v>16512</v>
      </c>
      <c r="F281" s="46" t="s">
        <v>94</v>
      </c>
      <c r="G281" s="46" t="s">
        <v>20</v>
      </c>
      <c r="H281" s="47">
        <v>2020</v>
      </c>
    </row>
    <row r="282" spans="1:8" ht="24.65" customHeight="1" x14ac:dyDescent="0.35">
      <c r="A282" s="46" t="s">
        <v>376</v>
      </c>
      <c r="B282" s="46" t="s">
        <v>1278</v>
      </c>
      <c r="C282" s="46" t="s">
        <v>1195</v>
      </c>
      <c r="D282" s="46" t="s">
        <v>1362</v>
      </c>
      <c r="E282" s="22">
        <v>47368</v>
      </c>
      <c r="F282" s="46" t="s">
        <v>94</v>
      </c>
      <c r="G282" s="46" t="s">
        <v>20</v>
      </c>
      <c r="H282" s="47">
        <v>2020</v>
      </c>
    </row>
    <row r="283" spans="1:8" ht="24.65" customHeight="1" x14ac:dyDescent="0.35">
      <c r="A283" s="46" t="s">
        <v>376</v>
      </c>
      <c r="B283" s="52" t="s">
        <v>1268</v>
      </c>
      <c r="C283" s="46" t="s">
        <v>1364</v>
      </c>
      <c r="D283" s="46" t="s">
        <v>1362</v>
      </c>
      <c r="E283" s="22">
        <v>1697</v>
      </c>
      <c r="F283" s="46" t="s">
        <v>94</v>
      </c>
      <c r="G283" s="46" t="s">
        <v>20</v>
      </c>
      <c r="H283" s="47">
        <v>2020</v>
      </c>
    </row>
    <row r="284" spans="1:8" ht="24.65" customHeight="1" x14ac:dyDescent="0.35">
      <c r="A284" s="46" t="s">
        <v>376</v>
      </c>
      <c r="B284" s="46" t="s">
        <v>1270</v>
      </c>
      <c r="C284" s="46" t="s">
        <v>1195</v>
      </c>
      <c r="D284" s="46" t="s">
        <v>1362</v>
      </c>
      <c r="E284" s="22">
        <v>713147</v>
      </c>
      <c r="F284" s="46" t="s">
        <v>94</v>
      </c>
      <c r="G284" s="46" t="s">
        <v>20</v>
      </c>
      <c r="H284" s="47">
        <v>2020</v>
      </c>
    </row>
    <row r="285" spans="1:8" ht="24.65" customHeight="1" x14ac:dyDescent="0.35">
      <c r="A285" s="46" t="s">
        <v>376</v>
      </c>
      <c r="B285" s="46" t="s">
        <v>1365</v>
      </c>
      <c r="C285" s="46" t="s">
        <v>1366</v>
      </c>
      <c r="D285" s="46" t="s">
        <v>1362</v>
      </c>
      <c r="E285" s="22">
        <v>41381</v>
      </c>
      <c r="F285" s="46" t="s">
        <v>94</v>
      </c>
      <c r="G285" s="46" t="s">
        <v>20</v>
      </c>
      <c r="H285" s="47">
        <v>2020</v>
      </c>
    </row>
    <row r="286" spans="1:8" ht="24.65" customHeight="1" x14ac:dyDescent="0.35">
      <c r="A286" s="46" t="s">
        <v>377</v>
      </c>
      <c r="B286" s="46" t="s">
        <v>1273</v>
      </c>
      <c r="C286" s="46" t="s">
        <v>1367</v>
      </c>
      <c r="D286" s="46" t="s">
        <v>1262</v>
      </c>
      <c r="E286" s="22">
        <v>67500</v>
      </c>
      <c r="F286" s="46" t="s">
        <v>94</v>
      </c>
      <c r="G286" s="46" t="s">
        <v>20</v>
      </c>
      <c r="H286" s="47">
        <v>2020</v>
      </c>
    </row>
    <row r="287" spans="1:8" ht="24.65" customHeight="1" x14ac:dyDescent="0.35">
      <c r="A287" s="46" t="s">
        <v>382</v>
      </c>
      <c r="B287" s="46" t="s">
        <v>1270</v>
      </c>
      <c r="C287" s="46" t="s">
        <v>1368</v>
      </c>
      <c r="D287" s="46" t="s">
        <v>1262</v>
      </c>
      <c r="E287" s="22">
        <v>3000</v>
      </c>
      <c r="F287" s="46" t="s">
        <v>606</v>
      </c>
      <c r="G287" s="46" t="s">
        <v>66</v>
      </c>
      <c r="H287" s="47">
        <v>2020</v>
      </c>
    </row>
    <row r="288" spans="1:8" ht="24.65" customHeight="1" x14ac:dyDescent="0.35">
      <c r="A288" s="46" t="s">
        <v>382</v>
      </c>
      <c r="B288" s="46" t="s">
        <v>1273</v>
      </c>
      <c r="C288" s="46" t="s">
        <v>1369</v>
      </c>
      <c r="D288" s="46" t="s">
        <v>1275</v>
      </c>
      <c r="E288" s="22">
        <v>1230</v>
      </c>
      <c r="F288" s="46" t="s">
        <v>1294</v>
      </c>
      <c r="G288" s="46" t="s">
        <v>1294</v>
      </c>
      <c r="H288" s="47">
        <v>2020</v>
      </c>
    </row>
    <row r="289" spans="1:8" ht="24.65" customHeight="1" x14ac:dyDescent="0.35">
      <c r="A289" s="46" t="s">
        <v>382</v>
      </c>
      <c r="B289" s="46" t="s">
        <v>1273</v>
      </c>
      <c r="C289" s="46" t="s">
        <v>1370</v>
      </c>
      <c r="D289" s="46" t="s">
        <v>1262</v>
      </c>
      <c r="E289" s="22">
        <v>250</v>
      </c>
      <c r="F289" s="46" t="s">
        <v>1294</v>
      </c>
      <c r="G289" s="46" t="s">
        <v>1294</v>
      </c>
      <c r="H289" s="47">
        <v>2020</v>
      </c>
    </row>
    <row r="290" spans="1:8" ht="24.65" customHeight="1" x14ac:dyDescent="0.35">
      <c r="A290" s="52" t="s">
        <v>106</v>
      </c>
      <c r="B290" s="52" t="s">
        <v>1270</v>
      </c>
      <c r="C290" s="52" t="s">
        <v>1371</v>
      </c>
      <c r="D290" s="46" t="s">
        <v>1262</v>
      </c>
      <c r="E290" s="22">
        <v>10000</v>
      </c>
      <c r="F290" s="52" t="s">
        <v>690</v>
      </c>
      <c r="G290" s="52" t="s">
        <v>131</v>
      </c>
      <c r="H290" s="47">
        <v>2020</v>
      </c>
    </row>
    <row r="291" spans="1:8" ht="24.65" customHeight="1" x14ac:dyDescent="0.35">
      <c r="A291" s="52" t="s">
        <v>106</v>
      </c>
      <c r="B291" s="52" t="s">
        <v>1273</v>
      </c>
      <c r="C291" s="52" t="s">
        <v>1227</v>
      </c>
      <c r="D291" s="46" t="s">
        <v>1262</v>
      </c>
      <c r="E291" s="22">
        <v>9972</v>
      </c>
      <c r="F291" s="52" t="s">
        <v>690</v>
      </c>
      <c r="G291" s="52" t="s">
        <v>131</v>
      </c>
      <c r="H291" s="47">
        <v>2020</v>
      </c>
    </row>
    <row r="292" spans="1:8" ht="24.65" customHeight="1" x14ac:dyDescent="0.35">
      <c r="A292" s="52" t="s">
        <v>128</v>
      </c>
      <c r="B292" s="52" t="s">
        <v>1270</v>
      </c>
      <c r="C292" s="52" t="s">
        <v>1372</v>
      </c>
      <c r="D292" s="46" t="s">
        <v>1262</v>
      </c>
      <c r="E292" s="22">
        <v>500000</v>
      </c>
      <c r="F292" s="52" t="s">
        <v>1321</v>
      </c>
      <c r="G292" s="52" t="s">
        <v>1321</v>
      </c>
      <c r="H292" s="47">
        <v>2020</v>
      </c>
    </row>
    <row r="293" spans="1:8" ht="24.65" customHeight="1" x14ac:dyDescent="0.35">
      <c r="A293" s="52" t="s">
        <v>128</v>
      </c>
      <c r="B293" s="52" t="s">
        <v>1270</v>
      </c>
      <c r="C293" s="52" t="s">
        <v>1373</v>
      </c>
      <c r="D293" s="46" t="s">
        <v>1262</v>
      </c>
      <c r="E293" s="22">
        <v>271580</v>
      </c>
      <c r="F293" s="52"/>
      <c r="G293" s="52" t="s">
        <v>575</v>
      </c>
      <c r="H293" s="47">
        <v>2020</v>
      </c>
    </row>
    <row r="294" spans="1:8" ht="24.65" customHeight="1" x14ac:dyDescent="0.35">
      <c r="A294" s="52" t="s">
        <v>128</v>
      </c>
      <c r="B294" s="52" t="s">
        <v>1273</v>
      </c>
      <c r="C294" s="52" t="s">
        <v>1374</v>
      </c>
      <c r="D294" s="46" t="s">
        <v>1262</v>
      </c>
      <c r="E294" s="22">
        <v>105631</v>
      </c>
      <c r="F294" s="52"/>
      <c r="G294" s="52" t="s">
        <v>575</v>
      </c>
      <c r="H294" s="47">
        <v>2020</v>
      </c>
    </row>
    <row r="295" spans="1:8" ht="24.65" customHeight="1" x14ac:dyDescent="0.35">
      <c r="A295" s="52" t="s">
        <v>128</v>
      </c>
      <c r="B295" s="52" t="s">
        <v>1278</v>
      </c>
      <c r="C295" s="52" t="s">
        <v>1375</v>
      </c>
      <c r="D295" s="52" t="s">
        <v>1376</v>
      </c>
      <c r="E295" s="22">
        <v>5495</v>
      </c>
      <c r="F295" s="52"/>
      <c r="G295" s="52" t="s">
        <v>575</v>
      </c>
      <c r="H295" s="47">
        <v>2020</v>
      </c>
    </row>
    <row r="296" spans="1:8" ht="24.65" customHeight="1" x14ac:dyDescent="0.35">
      <c r="A296" s="52" t="s">
        <v>128</v>
      </c>
      <c r="B296" s="46" t="s">
        <v>1296</v>
      </c>
      <c r="C296" s="52" t="s">
        <v>1377</v>
      </c>
      <c r="D296" s="52" t="s">
        <v>1267</v>
      </c>
      <c r="E296" s="22">
        <v>1782</v>
      </c>
      <c r="F296" s="52"/>
      <c r="G296" s="52" t="s">
        <v>575</v>
      </c>
      <c r="H296" s="47">
        <v>2020</v>
      </c>
    </row>
    <row r="297" spans="1:8" ht="24.65" customHeight="1" x14ac:dyDescent="0.35">
      <c r="A297" s="52" t="s">
        <v>128</v>
      </c>
      <c r="B297" s="52" t="s">
        <v>1278</v>
      </c>
      <c r="C297" s="52" t="s">
        <v>1378</v>
      </c>
      <c r="D297" s="46" t="s">
        <v>1262</v>
      </c>
      <c r="E297" s="22">
        <v>7050</v>
      </c>
      <c r="F297" s="52"/>
      <c r="G297" s="52" t="s">
        <v>575</v>
      </c>
      <c r="H297" s="47">
        <v>2020</v>
      </c>
    </row>
    <row r="298" spans="1:8" ht="24.65" customHeight="1" x14ac:dyDescent="0.35">
      <c r="A298" s="46" t="s">
        <v>118</v>
      </c>
      <c r="B298" s="46" t="s">
        <v>1296</v>
      </c>
      <c r="C298" s="46" t="s">
        <v>1379</v>
      </c>
      <c r="D298" s="46" t="s">
        <v>1267</v>
      </c>
      <c r="E298" s="22">
        <v>81736</v>
      </c>
      <c r="F298" s="46" t="s">
        <v>1380</v>
      </c>
      <c r="G298" s="46" t="s">
        <v>165</v>
      </c>
      <c r="H298" s="47">
        <v>2020</v>
      </c>
    </row>
    <row r="299" spans="1:8" ht="24.65" customHeight="1" x14ac:dyDescent="0.35">
      <c r="A299" s="46" t="s">
        <v>118</v>
      </c>
      <c r="B299" s="46" t="s">
        <v>1270</v>
      </c>
      <c r="C299" s="46" t="s">
        <v>1319</v>
      </c>
      <c r="D299" s="46" t="s">
        <v>1262</v>
      </c>
      <c r="E299" s="22">
        <v>100000</v>
      </c>
      <c r="F299" s="46" t="s">
        <v>1320</v>
      </c>
      <c r="G299" s="46" t="s">
        <v>1321</v>
      </c>
      <c r="H299" s="47">
        <v>2020</v>
      </c>
    </row>
    <row r="300" spans="1:8" ht="24.65" customHeight="1" x14ac:dyDescent="0.35">
      <c r="A300" s="46" t="s">
        <v>118</v>
      </c>
      <c r="B300" s="46" t="s">
        <v>1273</v>
      </c>
      <c r="C300" s="46" t="s">
        <v>1243</v>
      </c>
      <c r="D300" s="46" t="s">
        <v>1262</v>
      </c>
      <c r="E300" s="22">
        <v>43736</v>
      </c>
      <c r="F300" s="46" t="s">
        <v>119</v>
      </c>
      <c r="G300" s="46" t="s">
        <v>165</v>
      </c>
      <c r="H300" s="47">
        <v>2020</v>
      </c>
    </row>
    <row r="301" spans="1:8" ht="24.65" customHeight="1" x14ac:dyDescent="0.35">
      <c r="A301" s="46" t="s">
        <v>124</v>
      </c>
      <c r="B301" s="46" t="s">
        <v>1312</v>
      </c>
      <c r="C301" s="46" t="s">
        <v>1381</v>
      </c>
      <c r="D301" s="46" t="s">
        <v>1262</v>
      </c>
      <c r="E301" s="22">
        <v>260</v>
      </c>
      <c r="F301" s="46" t="s">
        <v>166</v>
      </c>
      <c r="G301" s="46" t="s">
        <v>20</v>
      </c>
      <c r="H301" s="117">
        <v>2020</v>
      </c>
    </row>
    <row r="302" spans="1:8" ht="24.65" customHeight="1" x14ac:dyDescent="0.35">
      <c r="A302" s="46" t="s">
        <v>124</v>
      </c>
      <c r="B302" s="46" t="s">
        <v>1270</v>
      </c>
      <c r="C302" s="46" t="s">
        <v>1382</v>
      </c>
      <c r="D302" s="46" t="s">
        <v>1282</v>
      </c>
      <c r="E302" s="22">
        <v>120</v>
      </c>
      <c r="F302" s="46" t="s">
        <v>166</v>
      </c>
      <c r="G302" s="46" t="s">
        <v>20</v>
      </c>
      <c r="H302" s="47">
        <v>2020</v>
      </c>
    </row>
    <row r="303" spans="1:8" ht="24.65" customHeight="1" x14ac:dyDescent="0.35">
      <c r="A303" s="46" t="s">
        <v>124</v>
      </c>
      <c r="B303" s="46" t="s">
        <v>1270</v>
      </c>
      <c r="C303" s="46" t="s">
        <v>1383</v>
      </c>
      <c r="D303" s="46" t="s">
        <v>1376</v>
      </c>
      <c r="E303" s="22">
        <v>200</v>
      </c>
      <c r="F303" s="46" t="s">
        <v>166</v>
      </c>
      <c r="G303" s="46" t="s">
        <v>20</v>
      </c>
      <c r="H303" s="47">
        <v>2020</v>
      </c>
    </row>
    <row r="304" spans="1:8" ht="24.65" customHeight="1" x14ac:dyDescent="0.35">
      <c r="A304" s="46" t="s">
        <v>124</v>
      </c>
      <c r="B304" s="52" t="s">
        <v>1268</v>
      </c>
      <c r="C304" s="46" t="s">
        <v>1384</v>
      </c>
      <c r="D304" s="46" t="s">
        <v>1262</v>
      </c>
      <c r="E304" s="22">
        <v>420</v>
      </c>
      <c r="F304" s="46" t="s">
        <v>166</v>
      </c>
      <c r="G304" s="46" t="s">
        <v>20</v>
      </c>
      <c r="H304" s="47">
        <v>2020</v>
      </c>
    </row>
    <row r="305" spans="1:8" ht="24.65" customHeight="1" x14ac:dyDescent="0.35">
      <c r="A305" s="46" t="s">
        <v>124</v>
      </c>
      <c r="B305" s="52" t="s">
        <v>1268</v>
      </c>
      <c r="C305" s="46" t="s">
        <v>1385</v>
      </c>
      <c r="D305" s="46" t="s">
        <v>1262</v>
      </c>
      <c r="E305" s="22">
        <v>200</v>
      </c>
      <c r="F305" s="46" t="s">
        <v>166</v>
      </c>
      <c r="G305" s="46" t="s">
        <v>20</v>
      </c>
      <c r="H305" s="47">
        <v>2020</v>
      </c>
    </row>
    <row r="306" spans="1:8" ht="24.65" customHeight="1" x14ac:dyDescent="0.35">
      <c r="A306" s="46" t="s">
        <v>124</v>
      </c>
      <c r="B306" s="46" t="s">
        <v>1278</v>
      </c>
      <c r="C306" s="46" t="s">
        <v>1386</v>
      </c>
      <c r="D306" s="46" t="s">
        <v>1267</v>
      </c>
      <c r="E306" s="22">
        <v>320</v>
      </c>
      <c r="F306" s="46" t="s">
        <v>166</v>
      </c>
      <c r="G306" s="46" t="s">
        <v>20</v>
      </c>
      <c r="H306" s="47">
        <v>2020</v>
      </c>
    </row>
    <row r="307" spans="1:8" ht="24.65" customHeight="1" x14ac:dyDescent="0.35">
      <c r="A307" s="52" t="s">
        <v>402</v>
      </c>
      <c r="B307" s="46" t="s">
        <v>1296</v>
      </c>
      <c r="C307" s="52"/>
      <c r="D307" s="52" t="s">
        <v>1259</v>
      </c>
      <c r="E307" s="22">
        <v>15979</v>
      </c>
      <c r="F307" s="52" t="s">
        <v>1387</v>
      </c>
      <c r="G307" s="46" t="s">
        <v>66</v>
      </c>
      <c r="H307" s="47">
        <v>2020</v>
      </c>
    </row>
    <row r="308" spans="1:8" ht="24.65" customHeight="1" x14ac:dyDescent="0.35">
      <c r="A308" s="52" t="s">
        <v>402</v>
      </c>
      <c r="B308" s="52" t="s">
        <v>1270</v>
      </c>
      <c r="C308" s="52"/>
      <c r="D308" s="46" t="s">
        <v>1262</v>
      </c>
      <c r="E308" s="22">
        <v>12000</v>
      </c>
      <c r="F308" s="52" t="s">
        <v>690</v>
      </c>
      <c r="G308" s="52" t="s">
        <v>131</v>
      </c>
      <c r="H308" s="47">
        <v>2020</v>
      </c>
    </row>
    <row r="309" spans="1:8" ht="24.65" customHeight="1" x14ac:dyDescent="0.35">
      <c r="A309" s="52" t="s">
        <v>402</v>
      </c>
      <c r="B309" s="52" t="s">
        <v>1273</v>
      </c>
      <c r="C309" s="52"/>
      <c r="D309" s="46" t="s">
        <v>1262</v>
      </c>
      <c r="E309" s="22">
        <v>4498</v>
      </c>
      <c r="F309" s="52" t="s">
        <v>1387</v>
      </c>
      <c r="G309" s="46" t="s">
        <v>66</v>
      </c>
      <c r="H309" s="47">
        <v>2020</v>
      </c>
    </row>
    <row r="310" spans="1:8" ht="24.65" customHeight="1" x14ac:dyDescent="0.35">
      <c r="A310" s="52" t="s">
        <v>411</v>
      </c>
      <c r="B310" s="52" t="s">
        <v>1270</v>
      </c>
      <c r="C310" s="52" t="s">
        <v>1388</v>
      </c>
      <c r="D310" s="46" t="s">
        <v>1262</v>
      </c>
      <c r="E310" s="22">
        <v>2500</v>
      </c>
      <c r="F310" s="52" t="s">
        <v>1317</v>
      </c>
      <c r="G310" s="46" t="s">
        <v>78</v>
      </c>
      <c r="H310" s="47">
        <v>2020</v>
      </c>
    </row>
    <row r="311" spans="1:8" ht="24.65" customHeight="1" x14ac:dyDescent="0.35">
      <c r="A311" s="52" t="s">
        <v>417</v>
      </c>
      <c r="B311" s="52" t="s">
        <v>1273</v>
      </c>
      <c r="C311" s="52" t="s">
        <v>1389</v>
      </c>
      <c r="D311" s="46" t="s">
        <v>1376</v>
      </c>
      <c r="E311" s="22">
        <v>3000</v>
      </c>
      <c r="F311" s="52" t="s">
        <v>1321</v>
      </c>
      <c r="G311" s="52" t="s">
        <v>1321</v>
      </c>
      <c r="H311" s="47">
        <v>2020</v>
      </c>
    </row>
    <row r="312" spans="1:8" ht="24.65" customHeight="1" x14ac:dyDescent="0.35">
      <c r="A312" s="52" t="s">
        <v>417</v>
      </c>
      <c r="B312" s="52" t="s">
        <v>1273</v>
      </c>
      <c r="C312" s="52" t="s">
        <v>1389</v>
      </c>
      <c r="D312" s="52" t="s">
        <v>1259</v>
      </c>
      <c r="E312" s="22">
        <v>2000</v>
      </c>
      <c r="F312" s="52" t="s">
        <v>1321</v>
      </c>
      <c r="G312" s="52" t="s">
        <v>1321</v>
      </c>
      <c r="H312" s="47">
        <v>2020</v>
      </c>
    </row>
    <row r="313" spans="1:8" ht="24.65" customHeight="1" x14ac:dyDescent="0.35">
      <c r="A313" s="37" t="s">
        <v>14</v>
      </c>
      <c r="B313" s="37" t="s">
        <v>1393</v>
      </c>
      <c r="C313" s="37" t="str">
        <f>VLOOKUP(B313,[1]RSE!$B$4:$C$26,2,FALSE)</f>
        <v>Eaux et assainissement des eaux</v>
      </c>
      <c r="D313" s="37" t="s">
        <v>1262</v>
      </c>
      <c r="E313" s="22">
        <v>18282</v>
      </c>
      <c r="F313" s="37" t="s">
        <v>438</v>
      </c>
      <c r="G313" s="37" t="s">
        <v>20</v>
      </c>
      <c r="H313" s="52">
        <v>2021</v>
      </c>
    </row>
    <row r="314" spans="1:8" ht="24.65" customHeight="1" x14ac:dyDescent="0.35">
      <c r="A314" s="37" t="s">
        <v>14</v>
      </c>
      <c r="B314" s="37" t="s">
        <v>1296</v>
      </c>
      <c r="C314" s="37" t="str">
        <f>VLOOKUP(B314,[1]RSE!$B$4:$C$26,2,FALSE)</f>
        <v>Education</v>
      </c>
      <c r="D314" s="37" t="s">
        <v>1267</v>
      </c>
      <c r="E314" s="22">
        <v>535</v>
      </c>
      <c r="F314" s="37" t="s">
        <v>438</v>
      </c>
      <c r="G314" s="37" t="s">
        <v>20</v>
      </c>
      <c r="H314" s="52">
        <v>2021</v>
      </c>
    </row>
    <row r="315" spans="1:8" ht="24.65" customHeight="1" x14ac:dyDescent="0.35">
      <c r="A315" s="37" t="s">
        <v>14</v>
      </c>
      <c r="B315" s="37" t="s">
        <v>1270</v>
      </c>
      <c r="C315" s="37" t="str">
        <f>VLOOKUP(B315,[1]RSE!$B$4:$C$26,2,FALSE)</f>
        <v>Santé</v>
      </c>
      <c r="D315" s="37" t="s">
        <v>1262</v>
      </c>
      <c r="E315" s="22">
        <v>4481</v>
      </c>
      <c r="F315" s="37" t="s">
        <v>438</v>
      </c>
      <c r="G315" s="37" t="s">
        <v>20</v>
      </c>
      <c r="H315" s="52">
        <v>2021</v>
      </c>
    </row>
    <row r="316" spans="1:8" ht="24.65" customHeight="1" x14ac:dyDescent="0.35">
      <c r="A316" s="37" t="s">
        <v>14</v>
      </c>
      <c r="B316" s="37" t="s">
        <v>1394</v>
      </c>
      <c r="C316" s="37" t="str">
        <f>VLOOKUP(B316,[1]RSE!$B$4:$C$26,2,FALSE)</f>
        <v>Electrification</v>
      </c>
      <c r="D316" s="37" t="s">
        <v>1267</v>
      </c>
      <c r="E316" s="22">
        <v>8243</v>
      </c>
      <c r="F316" s="37" t="s">
        <v>20</v>
      </c>
      <c r="G316" s="37" t="s">
        <v>20</v>
      </c>
      <c r="H316" s="52">
        <v>2021</v>
      </c>
    </row>
    <row r="317" spans="1:8" ht="24.65" customHeight="1" x14ac:dyDescent="0.35">
      <c r="A317" s="37" t="s">
        <v>14</v>
      </c>
      <c r="B317" s="37" t="s">
        <v>1296</v>
      </c>
      <c r="C317" s="37" t="str">
        <f>VLOOKUP(B317,[1]RSE!$B$4:$C$26,2,FALSE)</f>
        <v>Education</v>
      </c>
      <c r="D317" s="37" t="s">
        <v>1395</v>
      </c>
      <c r="E317" s="22">
        <v>4375</v>
      </c>
      <c r="F317" s="37" t="s">
        <v>20</v>
      </c>
      <c r="G317" s="37" t="s">
        <v>20</v>
      </c>
      <c r="H317" s="52">
        <v>2021</v>
      </c>
    </row>
    <row r="318" spans="1:8" ht="24.65" customHeight="1" x14ac:dyDescent="0.35">
      <c r="A318" s="37" t="s">
        <v>14</v>
      </c>
      <c r="B318" s="37" t="s">
        <v>1263</v>
      </c>
      <c r="C318" s="37" t="str">
        <f>VLOOKUP(B318,[1]RSE!$B$4:$C$26,2,FALSE)</f>
        <v>Environnement</v>
      </c>
      <c r="D318" s="37" t="s">
        <v>1262</v>
      </c>
      <c r="E318" s="22">
        <v>3000</v>
      </c>
      <c r="F318" s="37" t="s">
        <v>20</v>
      </c>
      <c r="G318" s="37" t="s">
        <v>20</v>
      </c>
      <c r="H318" s="52">
        <v>2021</v>
      </c>
    </row>
    <row r="319" spans="1:8" ht="24.65" customHeight="1" x14ac:dyDescent="0.35">
      <c r="A319" s="37" t="s">
        <v>14</v>
      </c>
      <c r="B319" s="37" t="s">
        <v>1265</v>
      </c>
      <c r="C319" s="37" t="str">
        <f>VLOOKUP(B319,[1]RSE!$B$4:$C$26,2,FALSE)</f>
        <v>Agriculture</v>
      </c>
      <c r="D319" s="37" t="s">
        <v>1275</v>
      </c>
      <c r="E319" s="22">
        <v>1633</v>
      </c>
      <c r="F319" s="37" t="s">
        <v>20</v>
      </c>
      <c r="G319" s="37" t="s">
        <v>20</v>
      </c>
      <c r="H319" s="52">
        <v>2021</v>
      </c>
    </row>
    <row r="320" spans="1:8" ht="24.65" customHeight="1" x14ac:dyDescent="0.35">
      <c r="A320" s="37" t="s">
        <v>14</v>
      </c>
      <c r="B320" s="37" t="s">
        <v>1273</v>
      </c>
      <c r="C320" s="37" t="str">
        <f>VLOOKUP(B320,[1]RSE!$B$4:$C$26,2,FALSE)</f>
        <v>Dons</v>
      </c>
      <c r="D320" s="37" t="s">
        <v>1262</v>
      </c>
      <c r="E320" s="22">
        <v>3361</v>
      </c>
      <c r="F320" s="37" t="s">
        <v>20</v>
      </c>
      <c r="G320" s="37" t="s">
        <v>20</v>
      </c>
      <c r="H320" s="52">
        <v>2021</v>
      </c>
    </row>
    <row r="321" spans="1:8" ht="24.65" customHeight="1" x14ac:dyDescent="0.35">
      <c r="A321" s="37" t="s">
        <v>14</v>
      </c>
      <c r="B321" s="37" t="s">
        <v>1396</v>
      </c>
      <c r="C321" s="37" t="str">
        <f>VLOOKUP(B321,[1]RSE!$B$4:$C$26,2,FALSE)</f>
        <v>Education</v>
      </c>
      <c r="D321" s="37" t="s">
        <v>1395</v>
      </c>
      <c r="E321" s="22">
        <v>500</v>
      </c>
      <c r="F321" s="37" t="s">
        <v>131</v>
      </c>
      <c r="G321" s="37" t="s">
        <v>131</v>
      </c>
      <c r="H321" s="52">
        <v>2021</v>
      </c>
    </row>
    <row r="322" spans="1:8" ht="24.65" customHeight="1" x14ac:dyDescent="0.35">
      <c r="A322" s="37" t="s">
        <v>14</v>
      </c>
      <c r="B322" s="37" t="s">
        <v>1278</v>
      </c>
      <c r="C322" s="37" t="str">
        <f>VLOOKUP(B322,[1]RSE!$B$4:$C$26,2,FALSE)</f>
        <v>Activités socio-culturelles</v>
      </c>
      <c r="D322" s="37" t="s">
        <v>1262</v>
      </c>
      <c r="E322" s="22">
        <v>500</v>
      </c>
      <c r="F322" s="37" t="s">
        <v>136</v>
      </c>
      <c r="G322" s="37" t="s">
        <v>136</v>
      </c>
      <c r="H322" s="52">
        <v>2021</v>
      </c>
    </row>
    <row r="323" spans="1:8" ht="24.65" customHeight="1" x14ac:dyDescent="0.35">
      <c r="A323" s="37" t="s">
        <v>14</v>
      </c>
      <c r="B323" s="37" t="s">
        <v>1273</v>
      </c>
      <c r="C323" s="37" t="str">
        <f>VLOOKUP(B323,[1]RSE!$B$4:$C$26,2,FALSE)</f>
        <v>Dons</v>
      </c>
      <c r="D323" s="37" t="s">
        <v>1395</v>
      </c>
      <c r="E323" s="22">
        <v>500</v>
      </c>
      <c r="F323" s="37" t="s">
        <v>131</v>
      </c>
      <c r="G323" s="37" t="s">
        <v>131</v>
      </c>
      <c r="H323" s="52">
        <v>2021</v>
      </c>
    </row>
    <row r="324" spans="1:8" ht="24.65" customHeight="1" x14ac:dyDescent="0.35">
      <c r="A324" s="37" t="s">
        <v>300</v>
      </c>
      <c r="B324" s="37" t="s">
        <v>1270</v>
      </c>
      <c r="C324" s="37" t="str">
        <f>VLOOKUP(B324,[1]RSE!$B$4:$C$26,2,FALSE)</f>
        <v>Santé</v>
      </c>
      <c r="D324" s="37" t="s">
        <v>1282</v>
      </c>
      <c r="E324" s="22">
        <v>12314</v>
      </c>
      <c r="F324" s="37" t="s">
        <v>1293</v>
      </c>
      <c r="G324" s="37" t="s">
        <v>1294</v>
      </c>
      <c r="H324" s="52">
        <v>2021</v>
      </c>
    </row>
    <row r="325" spans="1:8" ht="24.65" customHeight="1" x14ac:dyDescent="0.35">
      <c r="A325" s="37" t="s">
        <v>300</v>
      </c>
      <c r="B325" s="37" t="s">
        <v>1270</v>
      </c>
      <c r="C325" s="37" t="str">
        <f>VLOOKUP(B325,[1]RSE!$B$4:$C$26,2,FALSE)</f>
        <v>Santé</v>
      </c>
      <c r="D325" s="37" t="s">
        <v>1282</v>
      </c>
      <c r="E325" s="22">
        <v>1505</v>
      </c>
      <c r="F325" s="37" t="s">
        <v>1293</v>
      </c>
      <c r="G325" s="37" t="s">
        <v>1294</v>
      </c>
      <c r="H325" s="52">
        <v>2021</v>
      </c>
    </row>
    <row r="326" spans="1:8" ht="24.65" customHeight="1" x14ac:dyDescent="0.35">
      <c r="A326" s="37" t="s">
        <v>300</v>
      </c>
      <c r="B326" s="37" t="s">
        <v>1296</v>
      </c>
      <c r="C326" s="37" t="str">
        <f>VLOOKUP(B326,[1]RSE!$B$4:$C$26,2,FALSE)</f>
        <v>Education</v>
      </c>
      <c r="D326" s="37" t="s">
        <v>1395</v>
      </c>
      <c r="E326" s="22">
        <v>129388</v>
      </c>
      <c r="F326" s="37" t="s">
        <v>82</v>
      </c>
      <c r="G326" s="37" t="s">
        <v>1294</v>
      </c>
      <c r="H326" s="52">
        <v>2021</v>
      </c>
    </row>
    <row r="327" spans="1:8" ht="24.65" customHeight="1" x14ac:dyDescent="0.35">
      <c r="A327" s="37" t="s">
        <v>300</v>
      </c>
      <c r="B327" s="37" t="s">
        <v>1296</v>
      </c>
      <c r="C327" s="37" t="str">
        <f>VLOOKUP(B327,[1]RSE!$B$4:$C$26,2,FALSE)</f>
        <v>Education</v>
      </c>
      <c r="D327" s="37" t="s">
        <v>1395</v>
      </c>
      <c r="E327" s="22">
        <v>70961</v>
      </c>
      <c r="F327" s="37" t="s">
        <v>82</v>
      </c>
      <c r="G327" s="37" t="s">
        <v>1294</v>
      </c>
      <c r="H327" s="52">
        <v>2021</v>
      </c>
    </row>
    <row r="328" spans="1:8" ht="24.65" customHeight="1" x14ac:dyDescent="0.35">
      <c r="A328" s="37" t="s">
        <v>300</v>
      </c>
      <c r="B328" s="37" t="s">
        <v>1296</v>
      </c>
      <c r="C328" s="37" t="str">
        <f>VLOOKUP(B328,[1]RSE!$B$4:$C$26,2,FALSE)</f>
        <v>Education</v>
      </c>
      <c r="D328" s="37" t="s">
        <v>1395</v>
      </c>
      <c r="E328" s="22">
        <v>47413</v>
      </c>
      <c r="F328" s="37" t="s">
        <v>82</v>
      </c>
      <c r="G328" s="37" t="s">
        <v>1294</v>
      </c>
      <c r="H328" s="52">
        <v>2021</v>
      </c>
    </row>
    <row r="329" spans="1:8" ht="24.65" customHeight="1" x14ac:dyDescent="0.35">
      <c r="A329" s="37" t="s">
        <v>300</v>
      </c>
      <c r="B329" s="37" t="s">
        <v>1296</v>
      </c>
      <c r="C329" s="37" t="str">
        <f>VLOOKUP(B329,[1]RSE!$B$4:$C$26,2,FALSE)</f>
        <v>Education</v>
      </c>
      <c r="D329" s="37" t="s">
        <v>1395</v>
      </c>
      <c r="E329" s="22">
        <v>202</v>
      </c>
      <c r="F329" s="37" t="s">
        <v>82</v>
      </c>
      <c r="G329" s="37" t="s">
        <v>1294</v>
      </c>
      <c r="H329" s="52">
        <v>2021</v>
      </c>
    </row>
    <row r="330" spans="1:8" ht="24.65" customHeight="1" x14ac:dyDescent="0.35">
      <c r="A330" s="37" t="s">
        <v>300</v>
      </c>
      <c r="B330" s="37" t="s">
        <v>1296</v>
      </c>
      <c r="C330" s="37" t="str">
        <f>VLOOKUP(B330,[1]RSE!$B$4:$C$26,2,FALSE)</f>
        <v>Education</v>
      </c>
      <c r="D330" s="37" t="s">
        <v>1395</v>
      </c>
      <c r="E330" s="22">
        <v>4267</v>
      </c>
      <c r="F330" s="37" t="s">
        <v>82</v>
      </c>
      <c r="G330" s="37" t="s">
        <v>1294</v>
      </c>
      <c r="H330" s="52">
        <v>2021</v>
      </c>
    </row>
    <row r="331" spans="1:8" ht="24.65" customHeight="1" x14ac:dyDescent="0.35">
      <c r="A331" s="37" t="s">
        <v>300</v>
      </c>
      <c r="B331" s="37" t="s">
        <v>1296</v>
      </c>
      <c r="C331" s="37" t="str">
        <f>VLOOKUP(B331,[1]RSE!$B$4:$C$26,2,FALSE)</f>
        <v>Education</v>
      </c>
      <c r="D331" s="37" t="s">
        <v>1395</v>
      </c>
      <c r="E331" s="22">
        <v>27998</v>
      </c>
      <c r="F331" s="37" t="s">
        <v>82</v>
      </c>
      <c r="G331" s="37" t="s">
        <v>1294</v>
      </c>
      <c r="H331" s="52">
        <v>2021</v>
      </c>
    </row>
    <row r="332" spans="1:8" ht="24.65" customHeight="1" x14ac:dyDescent="0.35">
      <c r="A332" s="37" t="s">
        <v>300</v>
      </c>
      <c r="B332" s="37" t="s">
        <v>1296</v>
      </c>
      <c r="C332" s="37" t="str">
        <f>VLOOKUP(B332,[1]RSE!$B$4:$C$26,2,FALSE)</f>
        <v>Education</v>
      </c>
      <c r="D332" s="37" t="s">
        <v>1395</v>
      </c>
      <c r="E332" s="22">
        <v>7357</v>
      </c>
      <c r="F332" s="37" t="s">
        <v>82</v>
      </c>
      <c r="G332" s="37" t="s">
        <v>1294</v>
      </c>
      <c r="H332" s="52">
        <v>2021</v>
      </c>
    </row>
    <row r="333" spans="1:8" ht="24.65" customHeight="1" x14ac:dyDescent="0.35">
      <c r="A333" s="37" t="s">
        <v>300</v>
      </c>
      <c r="B333" s="37" t="s">
        <v>1273</v>
      </c>
      <c r="C333" s="37" t="str">
        <f>VLOOKUP(B333,[1]RSE!$B$4:$C$26,2,FALSE)</f>
        <v>Dons</v>
      </c>
      <c r="D333" s="37" t="s">
        <v>1262</v>
      </c>
      <c r="E333" s="22">
        <v>2613</v>
      </c>
      <c r="F333" s="37" t="s">
        <v>82</v>
      </c>
      <c r="G333" s="37" t="s">
        <v>1294</v>
      </c>
      <c r="H333" s="52">
        <v>2021</v>
      </c>
    </row>
    <row r="334" spans="1:8" ht="24.65" customHeight="1" x14ac:dyDescent="0.35">
      <c r="A334" s="37" t="s">
        <v>300</v>
      </c>
      <c r="B334" s="37" t="s">
        <v>1273</v>
      </c>
      <c r="C334" s="37" t="str">
        <f>VLOOKUP(B334,[1]RSE!$B$4:$C$26,2,FALSE)</f>
        <v>Dons</v>
      </c>
      <c r="D334" s="37" t="s">
        <v>1262</v>
      </c>
      <c r="E334" s="22">
        <v>5000</v>
      </c>
      <c r="F334" s="37" t="s">
        <v>82</v>
      </c>
      <c r="G334" s="37" t="s">
        <v>1294</v>
      </c>
      <c r="H334" s="52">
        <v>2021</v>
      </c>
    </row>
    <row r="335" spans="1:8" ht="24.65" customHeight="1" x14ac:dyDescent="0.35">
      <c r="A335" s="37" t="s">
        <v>300</v>
      </c>
      <c r="B335" s="37" t="s">
        <v>1273</v>
      </c>
      <c r="C335" s="37" t="str">
        <f>VLOOKUP(B335,[1]RSE!$B$4:$C$26,2,FALSE)</f>
        <v>Dons</v>
      </c>
      <c r="D335" s="37" t="s">
        <v>1262</v>
      </c>
      <c r="E335" s="22">
        <v>23000</v>
      </c>
      <c r="F335" s="37" t="s">
        <v>82</v>
      </c>
      <c r="G335" s="37" t="s">
        <v>1294</v>
      </c>
      <c r="H335" s="52">
        <v>2021</v>
      </c>
    </row>
    <row r="336" spans="1:8" ht="24.65" customHeight="1" x14ac:dyDescent="0.35">
      <c r="A336" s="37" t="s">
        <v>300</v>
      </c>
      <c r="B336" s="37" t="s">
        <v>1278</v>
      </c>
      <c r="C336" s="37" t="str">
        <f>VLOOKUP(B336,[1]RSE!$B$4:$C$26,2,FALSE)</f>
        <v>Activités socio-culturelles</v>
      </c>
      <c r="D336" s="37" t="s">
        <v>1376</v>
      </c>
      <c r="E336" s="22">
        <v>2389</v>
      </c>
      <c r="F336" s="37" t="s">
        <v>82</v>
      </c>
      <c r="G336" s="37" t="s">
        <v>1294</v>
      </c>
      <c r="H336" s="52">
        <v>2021</v>
      </c>
    </row>
    <row r="337" spans="1:8" ht="24.65" customHeight="1" x14ac:dyDescent="0.35">
      <c r="A337" s="37" t="s">
        <v>300</v>
      </c>
      <c r="B337" s="37" t="s">
        <v>1260</v>
      </c>
      <c r="C337" s="37" t="str">
        <f>VLOOKUP(B337,[1]RSE!$B$4:$C$26,2,FALSE)</f>
        <v>Infrastructure routière</v>
      </c>
      <c r="D337" s="37" t="s">
        <v>1262</v>
      </c>
      <c r="E337" s="22">
        <v>47652</v>
      </c>
      <c r="F337" s="37" t="s">
        <v>82</v>
      </c>
      <c r="G337" s="37" t="s">
        <v>1294</v>
      </c>
      <c r="H337" s="52">
        <v>2021</v>
      </c>
    </row>
    <row r="338" spans="1:8" ht="24.65" customHeight="1" x14ac:dyDescent="0.35">
      <c r="A338" s="37" t="s">
        <v>300</v>
      </c>
      <c r="B338" s="37" t="s">
        <v>1263</v>
      </c>
      <c r="C338" s="37" t="str">
        <f>VLOOKUP(B338,[1]RSE!$B$4:$C$26,2,FALSE)</f>
        <v>Environnement</v>
      </c>
      <c r="D338" s="37" t="s">
        <v>1262</v>
      </c>
      <c r="E338" s="22">
        <v>1000</v>
      </c>
      <c r="F338" s="37" t="s">
        <v>82</v>
      </c>
      <c r="G338" s="37" t="s">
        <v>1294</v>
      </c>
      <c r="H338" s="52">
        <v>2021</v>
      </c>
    </row>
    <row r="339" spans="1:8" ht="24.65" customHeight="1" x14ac:dyDescent="0.35">
      <c r="A339" s="37" t="s">
        <v>422</v>
      </c>
      <c r="B339" s="37" t="s">
        <v>1270</v>
      </c>
      <c r="C339" s="37" t="str">
        <f>VLOOKUP(B339,[1]RSE!$B$4:$C$26,2,FALSE)</f>
        <v>Santé</v>
      </c>
      <c r="D339" s="37" t="s">
        <v>1262</v>
      </c>
      <c r="E339" s="22">
        <v>20039</v>
      </c>
      <c r="F339" s="37" t="s">
        <v>484</v>
      </c>
      <c r="G339" s="37" t="s">
        <v>66</v>
      </c>
      <c r="H339" s="52">
        <v>2021</v>
      </c>
    </row>
    <row r="340" spans="1:8" ht="24.65" customHeight="1" x14ac:dyDescent="0.35">
      <c r="A340" s="118" t="s">
        <v>276</v>
      </c>
      <c r="B340" s="37" t="s">
        <v>1393</v>
      </c>
      <c r="C340" s="37" t="str">
        <f>VLOOKUP(B340,[1]RSE!$B$4:$C$26,2,FALSE)</f>
        <v>Eaux et assainissement des eaux</v>
      </c>
      <c r="D340" s="37" t="s">
        <v>1262</v>
      </c>
      <c r="E340" s="22">
        <v>7000</v>
      </c>
      <c r="F340" s="37" t="s">
        <v>20</v>
      </c>
      <c r="G340" s="37" t="s">
        <v>20</v>
      </c>
      <c r="H340" s="52">
        <v>2021</v>
      </c>
    </row>
    <row r="341" spans="1:8" ht="24.65" customHeight="1" x14ac:dyDescent="0.35">
      <c r="A341" s="118" t="s">
        <v>276</v>
      </c>
      <c r="B341" s="37" t="s">
        <v>1296</v>
      </c>
      <c r="C341" s="37" t="str">
        <f>VLOOKUP(B341,[1]RSE!$B$4:$C$26,2,FALSE)</f>
        <v>Education</v>
      </c>
      <c r="D341" s="37" t="s">
        <v>1395</v>
      </c>
      <c r="E341" s="22">
        <v>12012</v>
      </c>
      <c r="F341" s="37" t="s">
        <v>20</v>
      </c>
      <c r="G341" s="37" t="s">
        <v>20</v>
      </c>
      <c r="H341" s="52">
        <v>2021</v>
      </c>
    </row>
    <row r="342" spans="1:8" ht="24.65" customHeight="1" x14ac:dyDescent="0.35">
      <c r="A342" s="118" t="s">
        <v>276</v>
      </c>
      <c r="B342" s="37" t="s">
        <v>1270</v>
      </c>
      <c r="C342" s="37" t="str">
        <f>VLOOKUP(B342,[1]RSE!$B$4:$C$26,2,FALSE)</f>
        <v>Santé</v>
      </c>
      <c r="D342" s="37" t="s">
        <v>1262</v>
      </c>
      <c r="E342" s="22">
        <v>3816</v>
      </c>
      <c r="F342" s="37" t="s">
        <v>20</v>
      </c>
      <c r="G342" s="37" t="s">
        <v>20</v>
      </c>
      <c r="H342" s="52">
        <v>2021</v>
      </c>
    </row>
    <row r="343" spans="1:8" ht="24.65" customHeight="1" x14ac:dyDescent="0.35">
      <c r="A343" s="118" t="s">
        <v>276</v>
      </c>
      <c r="B343" s="37" t="s">
        <v>1296</v>
      </c>
      <c r="C343" s="37" t="str">
        <f>VLOOKUP(B343,[1]RSE!$B$4:$C$26,2,FALSE)</f>
        <v>Education</v>
      </c>
      <c r="D343" s="37" t="s">
        <v>1262</v>
      </c>
      <c r="E343" s="22">
        <v>2476</v>
      </c>
      <c r="F343" s="37" t="s">
        <v>20</v>
      </c>
      <c r="G343" s="37" t="s">
        <v>20</v>
      </c>
      <c r="H343" s="52">
        <v>2021</v>
      </c>
    </row>
    <row r="344" spans="1:8" ht="24.65" customHeight="1" x14ac:dyDescent="0.35">
      <c r="A344" s="118" t="s">
        <v>276</v>
      </c>
      <c r="B344" s="37" t="s">
        <v>1265</v>
      </c>
      <c r="C344" s="37" t="str">
        <f>VLOOKUP(B344,[1]RSE!$B$4:$C$26,2,FALSE)</f>
        <v>Agriculture</v>
      </c>
      <c r="D344" s="37" t="s">
        <v>1275</v>
      </c>
      <c r="E344" s="22">
        <v>1708</v>
      </c>
      <c r="F344" s="37" t="s">
        <v>20</v>
      </c>
      <c r="G344" s="37" t="s">
        <v>20</v>
      </c>
      <c r="H344" s="52">
        <v>2021</v>
      </c>
    </row>
    <row r="345" spans="1:8" ht="24.65" customHeight="1" x14ac:dyDescent="0.35">
      <c r="A345" s="118" t="s">
        <v>276</v>
      </c>
      <c r="B345" s="37" t="s">
        <v>1393</v>
      </c>
      <c r="C345" s="37" t="str">
        <f>VLOOKUP(B345,[1]RSE!$B$4:$C$26,2,FALSE)</f>
        <v>Eaux et assainissement des eaux</v>
      </c>
      <c r="D345" s="37" t="s">
        <v>1395</v>
      </c>
      <c r="E345" s="22">
        <v>1281</v>
      </c>
      <c r="F345" s="37" t="s">
        <v>20</v>
      </c>
      <c r="G345" s="37" t="s">
        <v>20</v>
      </c>
      <c r="H345" s="52">
        <v>2021</v>
      </c>
    </row>
    <row r="346" spans="1:8" ht="24.65" customHeight="1" x14ac:dyDescent="0.35">
      <c r="A346" s="37" t="s">
        <v>317</v>
      </c>
      <c r="B346" s="37" t="s">
        <v>1396</v>
      </c>
      <c r="C346" s="37" t="str">
        <f>VLOOKUP(B346,[1]RSE!$B$4:$C$26,2,FALSE)</f>
        <v>Education</v>
      </c>
      <c r="D346" s="37" t="s">
        <v>1395</v>
      </c>
      <c r="E346" s="22">
        <v>47500</v>
      </c>
      <c r="F346" s="37" t="s">
        <v>52</v>
      </c>
      <c r="G346" s="37" t="s">
        <v>66</v>
      </c>
      <c r="H346" s="52">
        <v>2021</v>
      </c>
    </row>
    <row r="347" spans="1:8" ht="24.65" customHeight="1" x14ac:dyDescent="0.35">
      <c r="A347" s="37" t="s">
        <v>317</v>
      </c>
      <c r="B347" s="37" t="s">
        <v>1296</v>
      </c>
      <c r="C347" s="37" t="str">
        <f>VLOOKUP(B347,[1]RSE!$B$4:$C$26,2,FALSE)</f>
        <v>Education</v>
      </c>
      <c r="D347" s="37" t="s">
        <v>1395</v>
      </c>
      <c r="E347" s="22">
        <v>22655</v>
      </c>
      <c r="F347" s="37" t="s">
        <v>82</v>
      </c>
      <c r="G347" s="37" t="s">
        <v>1294</v>
      </c>
      <c r="H347" s="52">
        <v>2021</v>
      </c>
    </row>
    <row r="348" spans="1:8" ht="24.65" customHeight="1" x14ac:dyDescent="0.35">
      <c r="A348" s="37" t="s">
        <v>317</v>
      </c>
      <c r="B348" s="37" t="s">
        <v>1270</v>
      </c>
      <c r="C348" s="37" t="str">
        <f>VLOOKUP(B348,[1]RSE!$B$4:$C$26,2,FALSE)</f>
        <v>Santé</v>
      </c>
      <c r="D348" s="37" t="s">
        <v>1262</v>
      </c>
      <c r="E348" s="22">
        <v>62000</v>
      </c>
      <c r="F348" s="37" t="s">
        <v>443</v>
      </c>
      <c r="G348" s="37" t="s">
        <v>66</v>
      </c>
      <c r="H348" s="52">
        <v>2021</v>
      </c>
    </row>
    <row r="349" spans="1:8" ht="24.65" customHeight="1" x14ac:dyDescent="0.35">
      <c r="A349" s="37" t="s">
        <v>501</v>
      </c>
      <c r="B349" s="37" t="s">
        <v>1296</v>
      </c>
      <c r="C349" s="37" t="str">
        <f>VLOOKUP(B349,[1]RSE!$B$4:$C$26,2,FALSE)</f>
        <v>Education</v>
      </c>
      <c r="D349" s="37" t="s">
        <v>1395</v>
      </c>
      <c r="E349" s="22">
        <v>500</v>
      </c>
      <c r="F349" s="37" t="s">
        <v>1294</v>
      </c>
      <c r="G349" s="37" t="s">
        <v>1294</v>
      </c>
      <c r="H349" s="52">
        <v>2021</v>
      </c>
    </row>
    <row r="350" spans="1:8" ht="24.65" customHeight="1" x14ac:dyDescent="0.35">
      <c r="A350" s="37" t="s">
        <v>501</v>
      </c>
      <c r="B350" s="37" t="s">
        <v>1260</v>
      </c>
      <c r="C350" s="37" t="str">
        <f>VLOOKUP(B350,[1]RSE!$B$4:$C$26,2,FALSE)</f>
        <v>Infrastructure routière</v>
      </c>
      <c r="D350" s="37" t="s">
        <v>1262</v>
      </c>
      <c r="E350" s="22">
        <v>2500</v>
      </c>
      <c r="F350" s="37" t="s">
        <v>82</v>
      </c>
      <c r="G350" s="37" t="s">
        <v>1294</v>
      </c>
      <c r="H350" s="52">
        <v>2021</v>
      </c>
    </row>
    <row r="351" spans="1:8" ht="24.65" customHeight="1" x14ac:dyDescent="0.35">
      <c r="A351" s="37" t="s">
        <v>501</v>
      </c>
      <c r="B351" s="37" t="s">
        <v>1273</v>
      </c>
      <c r="C351" s="37" t="str">
        <f>VLOOKUP(B351,[1]RSE!$B$4:$C$26,2,FALSE)</f>
        <v>Dons</v>
      </c>
      <c r="D351" s="37" t="s">
        <v>1262</v>
      </c>
      <c r="E351" s="22">
        <v>700</v>
      </c>
      <c r="F351" s="37" t="s">
        <v>82</v>
      </c>
      <c r="G351" s="37" t="s">
        <v>1294</v>
      </c>
      <c r="H351" s="52">
        <v>2021</v>
      </c>
    </row>
    <row r="352" spans="1:8" ht="24.65" customHeight="1" x14ac:dyDescent="0.35">
      <c r="A352" s="37" t="s">
        <v>501</v>
      </c>
      <c r="B352" s="37" t="s">
        <v>1273</v>
      </c>
      <c r="C352" s="37" t="str">
        <f>VLOOKUP(B352,[1]RSE!$B$4:$C$26,2,FALSE)</f>
        <v>Dons</v>
      </c>
      <c r="D352" s="37" t="s">
        <v>1262</v>
      </c>
      <c r="E352" s="22">
        <v>550</v>
      </c>
      <c r="F352" s="37" t="s">
        <v>1294</v>
      </c>
      <c r="G352" s="37" t="s">
        <v>1294</v>
      </c>
      <c r="H352" s="52">
        <v>2021</v>
      </c>
    </row>
    <row r="353" spans="1:8" ht="24.65" customHeight="1" x14ac:dyDescent="0.35">
      <c r="A353" s="37" t="s">
        <v>323</v>
      </c>
      <c r="B353" s="37" t="s">
        <v>1273</v>
      </c>
      <c r="C353" s="37" t="str">
        <f>VLOOKUP(B353,[1]RSE!$B$4:$C$26,2,FALSE)</f>
        <v>Dons</v>
      </c>
      <c r="D353" s="37" t="s">
        <v>1262</v>
      </c>
      <c r="E353" s="22">
        <v>3418</v>
      </c>
      <c r="F353" s="37" t="s">
        <v>284</v>
      </c>
      <c r="G353" s="37" t="s">
        <v>61</v>
      </c>
      <c r="H353" s="52">
        <v>2021</v>
      </c>
    </row>
    <row r="354" spans="1:8" ht="24.65" customHeight="1" x14ac:dyDescent="0.35">
      <c r="A354" s="37" t="s">
        <v>323</v>
      </c>
      <c r="B354" s="37" t="s">
        <v>1273</v>
      </c>
      <c r="C354" s="37" t="str">
        <f>VLOOKUP(B354,[1]RSE!$B$4:$C$26,2,FALSE)</f>
        <v>Dons</v>
      </c>
      <c r="D354" s="37" t="s">
        <v>1267</v>
      </c>
      <c r="E354" s="22">
        <v>60</v>
      </c>
      <c r="F354" s="37" t="s">
        <v>284</v>
      </c>
      <c r="G354" s="37" t="s">
        <v>61</v>
      </c>
      <c r="H354" s="52">
        <v>2021</v>
      </c>
    </row>
    <row r="355" spans="1:8" ht="24.65" customHeight="1" x14ac:dyDescent="0.35">
      <c r="A355" s="37" t="s">
        <v>323</v>
      </c>
      <c r="B355" s="37" t="s">
        <v>1273</v>
      </c>
      <c r="C355" s="37" t="str">
        <f>VLOOKUP(B355,[1]RSE!$B$4:$C$26,2,FALSE)</f>
        <v>Dons</v>
      </c>
      <c r="D355" s="37" t="s">
        <v>1262</v>
      </c>
      <c r="E355" s="22">
        <v>1800</v>
      </c>
      <c r="F355" s="37" t="s">
        <v>284</v>
      </c>
      <c r="G355" s="37" t="s">
        <v>61</v>
      </c>
      <c r="H355" s="52">
        <v>2021</v>
      </c>
    </row>
    <row r="356" spans="1:8" ht="24.65" customHeight="1" x14ac:dyDescent="0.35">
      <c r="A356" s="37" t="s">
        <v>323</v>
      </c>
      <c r="B356" s="37" t="s">
        <v>1270</v>
      </c>
      <c r="C356" s="37" t="str">
        <f>VLOOKUP(B356,[1]RSE!$B$4:$C$26,2,FALSE)</f>
        <v>Santé</v>
      </c>
      <c r="D356" s="37" t="s">
        <v>1282</v>
      </c>
      <c r="E356" s="22">
        <v>500</v>
      </c>
      <c r="F356" s="37" t="s">
        <v>284</v>
      </c>
      <c r="G356" s="37" t="s">
        <v>61</v>
      </c>
      <c r="H356" s="52">
        <v>2021</v>
      </c>
    </row>
    <row r="357" spans="1:8" ht="24.65" customHeight="1" x14ac:dyDescent="0.35">
      <c r="A357" s="37" t="s">
        <v>323</v>
      </c>
      <c r="B357" s="37" t="s">
        <v>1396</v>
      </c>
      <c r="C357" s="37" t="str">
        <f>VLOOKUP(B357,[1]RSE!$B$4:$C$26,2,FALSE)</f>
        <v>Education</v>
      </c>
      <c r="D357" s="37" t="s">
        <v>1267</v>
      </c>
      <c r="E357" s="22">
        <v>300</v>
      </c>
      <c r="F357" s="37" t="s">
        <v>284</v>
      </c>
      <c r="G357" s="37" t="s">
        <v>61</v>
      </c>
      <c r="H357" s="52">
        <v>2021</v>
      </c>
    </row>
    <row r="358" spans="1:8" ht="24.65" customHeight="1" x14ac:dyDescent="0.35">
      <c r="A358" s="37" t="s">
        <v>323</v>
      </c>
      <c r="B358" s="37" t="s">
        <v>1393</v>
      </c>
      <c r="C358" s="37" t="str">
        <f>VLOOKUP(B358,[1]RSE!$B$4:$C$26,2,FALSE)</f>
        <v>Eaux et assainissement des eaux</v>
      </c>
      <c r="D358" s="37" t="s">
        <v>1262</v>
      </c>
      <c r="E358" s="22">
        <v>314</v>
      </c>
      <c r="F358" s="37" t="s">
        <v>284</v>
      </c>
      <c r="G358" s="37" t="s">
        <v>61</v>
      </c>
      <c r="H358" s="52">
        <v>2021</v>
      </c>
    </row>
    <row r="359" spans="1:8" ht="24.65" customHeight="1" x14ac:dyDescent="0.35">
      <c r="A359" s="37" t="s">
        <v>323</v>
      </c>
      <c r="B359" s="37" t="s">
        <v>1270</v>
      </c>
      <c r="C359" s="37" t="str">
        <f>VLOOKUP(B359,[1]RSE!$B$4:$C$26,2,FALSE)</f>
        <v>Santé</v>
      </c>
      <c r="D359" s="37" t="s">
        <v>1282</v>
      </c>
      <c r="E359" s="22">
        <v>230.25</v>
      </c>
      <c r="F359" s="37" t="s">
        <v>284</v>
      </c>
      <c r="G359" s="37" t="s">
        <v>61</v>
      </c>
      <c r="H359" s="52">
        <v>2021</v>
      </c>
    </row>
    <row r="360" spans="1:8" ht="24.65" customHeight="1" x14ac:dyDescent="0.35">
      <c r="A360" s="37" t="s">
        <v>323</v>
      </c>
      <c r="B360" s="37" t="s">
        <v>1278</v>
      </c>
      <c r="C360" s="37" t="str">
        <f>VLOOKUP(B360,[1]RSE!$B$4:$C$26,2,FALSE)</f>
        <v>Activités socio-culturelles</v>
      </c>
      <c r="D360" s="37" t="s">
        <v>1267</v>
      </c>
      <c r="E360" s="22">
        <v>525</v>
      </c>
      <c r="F360" s="37" t="s">
        <v>284</v>
      </c>
      <c r="G360" s="37" t="s">
        <v>61</v>
      </c>
      <c r="H360" s="52">
        <v>2021</v>
      </c>
    </row>
    <row r="361" spans="1:8" ht="24.65" customHeight="1" x14ac:dyDescent="0.35">
      <c r="A361" s="37" t="s">
        <v>323</v>
      </c>
      <c r="B361" s="37" t="s">
        <v>1273</v>
      </c>
      <c r="C361" s="37" t="str">
        <f>VLOOKUP(B361,[1]RSE!$B$4:$C$26,2,FALSE)</f>
        <v>Dons</v>
      </c>
      <c r="D361" s="37" t="s">
        <v>1262</v>
      </c>
      <c r="E361" s="22">
        <v>55</v>
      </c>
      <c r="F361" s="37" t="s">
        <v>284</v>
      </c>
      <c r="G361" s="37" t="s">
        <v>61</v>
      </c>
      <c r="H361" s="52">
        <v>2021</v>
      </c>
    </row>
    <row r="362" spans="1:8" ht="24.65" customHeight="1" x14ac:dyDescent="0.35">
      <c r="A362" s="37" t="s">
        <v>323</v>
      </c>
      <c r="B362" s="37" t="s">
        <v>1273</v>
      </c>
      <c r="C362" s="37" t="str">
        <f>VLOOKUP(B362,[1]RSE!$B$4:$C$26,2,FALSE)</f>
        <v>Dons</v>
      </c>
      <c r="D362" s="37" t="s">
        <v>1262</v>
      </c>
      <c r="E362" s="22">
        <v>675</v>
      </c>
      <c r="F362" s="37" t="s">
        <v>284</v>
      </c>
      <c r="G362" s="37" t="s">
        <v>61</v>
      </c>
      <c r="H362" s="52">
        <v>2021</v>
      </c>
    </row>
    <row r="363" spans="1:8" ht="24.65" customHeight="1" x14ac:dyDescent="0.35">
      <c r="A363" s="37" t="s">
        <v>323</v>
      </c>
      <c r="B363" s="37" t="s">
        <v>1265</v>
      </c>
      <c r="C363" s="37" t="str">
        <f>VLOOKUP(B363,[1]RSE!$B$4:$C$26,2,FALSE)</f>
        <v>Agriculture</v>
      </c>
      <c r="D363" s="37" t="s">
        <v>1275</v>
      </c>
      <c r="E363" s="22">
        <v>400</v>
      </c>
      <c r="F363" s="37" t="s">
        <v>284</v>
      </c>
      <c r="G363" s="37" t="s">
        <v>61</v>
      </c>
      <c r="H363" s="52">
        <v>2021</v>
      </c>
    </row>
    <row r="364" spans="1:8" ht="24.65" customHeight="1" x14ac:dyDescent="0.35">
      <c r="A364" s="37" t="s">
        <v>323</v>
      </c>
      <c r="B364" s="37" t="s">
        <v>1278</v>
      </c>
      <c r="C364" s="37" t="str">
        <f>VLOOKUP(B364,[1]RSE!$B$4:$C$26,2,FALSE)</f>
        <v>Activités socio-culturelles</v>
      </c>
      <c r="D364" s="37" t="s">
        <v>1267</v>
      </c>
      <c r="E364" s="22">
        <v>400</v>
      </c>
      <c r="F364" s="37" t="s">
        <v>284</v>
      </c>
      <c r="G364" s="37" t="s">
        <v>61</v>
      </c>
      <c r="H364" s="52">
        <v>2021</v>
      </c>
    </row>
    <row r="365" spans="1:8" ht="24.65" customHeight="1" x14ac:dyDescent="0.35">
      <c r="A365" s="37" t="s">
        <v>323</v>
      </c>
      <c r="B365" s="37" t="s">
        <v>1296</v>
      </c>
      <c r="C365" s="37" t="str">
        <f>VLOOKUP(B365,[1]RSE!$B$4:$C$26,2,FALSE)</f>
        <v>Education</v>
      </c>
      <c r="D365" s="37" t="s">
        <v>1267</v>
      </c>
      <c r="E365" s="22">
        <v>1200</v>
      </c>
      <c r="F365" s="37" t="s">
        <v>284</v>
      </c>
      <c r="G365" s="37" t="s">
        <v>61</v>
      </c>
      <c r="H365" s="52">
        <v>2021</v>
      </c>
    </row>
    <row r="366" spans="1:8" ht="24.65" customHeight="1" x14ac:dyDescent="0.35">
      <c r="A366" s="37" t="s">
        <v>323</v>
      </c>
      <c r="B366" s="37" t="s">
        <v>1393</v>
      </c>
      <c r="C366" s="37" t="str">
        <f>VLOOKUP(B366,[1]RSE!$B$4:$C$26,2,FALSE)</f>
        <v>Eaux et assainissement des eaux</v>
      </c>
      <c r="D366" s="37" t="s">
        <v>1262</v>
      </c>
      <c r="E366" s="22">
        <v>350</v>
      </c>
      <c r="F366" s="37" t="s">
        <v>284</v>
      </c>
      <c r="G366" s="37" t="s">
        <v>61</v>
      </c>
      <c r="H366" s="52">
        <v>2021</v>
      </c>
    </row>
    <row r="367" spans="1:8" ht="24.65" customHeight="1" x14ac:dyDescent="0.35">
      <c r="A367" s="37" t="s">
        <v>323</v>
      </c>
      <c r="B367" s="37" t="s">
        <v>1260</v>
      </c>
      <c r="C367" s="37" t="str">
        <f>VLOOKUP(B367,[1]RSE!$B$4:$C$26,2,FALSE)</f>
        <v>Infrastructure routière</v>
      </c>
      <c r="D367" s="37" t="s">
        <v>1262</v>
      </c>
      <c r="E367" s="22">
        <v>86742.74</v>
      </c>
      <c r="F367" s="37" t="s">
        <v>284</v>
      </c>
      <c r="G367" s="37" t="s">
        <v>61</v>
      </c>
      <c r="H367" s="52">
        <v>2021</v>
      </c>
    </row>
    <row r="368" spans="1:8" ht="24.65" customHeight="1" x14ac:dyDescent="0.35">
      <c r="A368" s="37" t="s">
        <v>323</v>
      </c>
      <c r="B368" s="37" t="s">
        <v>1396</v>
      </c>
      <c r="C368" s="37" t="str">
        <f>VLOOKUP(B368,[1]RSE!$B$4:$C$26,2,FALSE)</f>
        <v>Education</v>
      </c>
      <c r="D368" s="37" t="s">
        <v>1395</v>
      </c>
      <c r="E368" s="22">
        <v>1500</v>
      </c>
      <c r="F368" s="37" t="s">
        <v>284</v>
      </c>
      <c r="G368" s="37" t="s">
        <v>61</v>
      </c>
      <c r="H368" s="52">
        <v>2021</v>
      </c>
    </row>
    <row r="369" spans="1:8" ht="24.65" customHeight="1" x14ac:dyDescent="0.35">
      <c r="A369" s="37" t="s">
        <v>341</v>
      </c>
      <c r="B369" s="37" t="s">
        <v>1270</v>
      </c>
      <c r="C369" s="37" t="str">
        <f>VLOOKUP(B369,[1]RSE!$B$4:$C$26,2,FALSE)</f>
        <v>Santé</v>
      </c>
      <c r="D369" s="37" t="s">
        <v>1262</v>
      </c>
      <c r="E369" s="22">
        <v>29252</v>
      </c>
      <c r="F369" s="37" t="s">
        <v>20</v>
      </c>
      <c r="G369" s="37" t="s">
        <v>20</v>
      </c>
      <c r="H369" s="52">
        <v>2021</v>
      </c>
    </row>
    <row r="370" spans="1:8" ht="24.65" customHeight="1" x14ac:dyDescent="0.35">
      <c r="A370" s="37" t="s">
        <v>341</v>
      </c>
      <c r="B370" s="37" t="s">
        <v>1273</v>
      </c>
      <c r="C370" s="37" t="str">
        <f>VLOOKUP(B370,[1]RSE!$B$4:$C$26,2,FALSE)</f>
        <v>Dons</v>
      </c>
      <c r="D370" s="37" t="s">
        <v>1262</v>
      </c>
      <c r="E370" s="22">
        <v>4534</v>
      </c>
      <c r="F370" s="37" t="s">
        <v>20</v>
      </c>
      <c r="G370" s="37" t="s">
        <v>20</v>
      </c>
      <c r="H370" s="52">
        <v>2021</v>
      </c>
    </row>
    <row r="371" spans="1:8" ht="24.65" customHeight="1" x14ac:dyDescent="0.35">
      <c r="A371" s="37" t="s">
        <v>341</v>
      </c>
      <c r="B371" s="37" t="s">
        <v>1393</v>
      </c>
      <c r="C371" s="37" t="str">
        <f>VLOOKUP(B371,[1]RSE!$B$4:$C$26,2,FALSE)</f>
        <v>Eaux et assainissement des eaux</v>
      </c>
      <c r="D371" s="37" t="s">
        <v>1262</v>
      </c>
      <c r="E371" s="22">
        <v>149508</v>
      </c>
      <c r="F371" s="37" t="s">
        <v>20</v>
      </c>
      <c r="G371" s="37" t="s">
        <v>20</v>
      </c>
      <c r="H371" s="52">
        <v>2021</v>
      </c>
    </row>
    <row r="372" spans="1:8" ht="24.65" customHeight="1" x14ac:dyDescent="0.35">
      <c r="A372" s="37" t="s">
        <v>341</v>
      </c>
      <c r="B372" s="37" t="s">
        <v>1270</v>
      </c>
      <c r="C372" s="37" t="str">
        <f>VLOOKUP(B372,[1]RSE!$B$4:$C$26,2,FALSE)</f>
        <v>Santé</v>
      </c>
      <c r="D372" s="37" t="s">
        <v>1275</v>
      </c>
      <c r="E372" s="22">
        <v>5485</v>
      </c>
      <c r="F372" s="37" t="s">
        <v>20</v>
      </c>
      <c r="G372" s="37" t="s">
        <v>20</v>
      </c>
      <c r="H372" s="52">
        <v>2021</v>
      </c>
    </row>
    <row r="373" spans="1:8" ht="24.65" customHeight="1" x14ac:dyDescent="0.35">
      <c r="A373" s="37" t="s">
        <v>341</v>
      </c>
      <c r="B373" s="37" t="s">
        <v>1265</v>
      </c>
      <c r="C373" s="37" t="str">
        <f>VLOOKUP(B373,[1]RSE!$B$4:$C$26,2,FALSE)</f>
        <v>Agriculture</v>
      </c>
      <c r="D373" s="37" t="s">
        <v>1262</v>
      </c>
      <c r="E373" s="22">
        <v>27798</v>
      </c>
      <c r="F373" s="37" t="s">
        <v>20</v>
      </c>
      <c r="G373" s="37" t="s">
        <v>20</v>
      </c>
      <c r="H373" s="52">
        <v>2021</v>
      </c>
    </row>
    <row r="374" spans="1:8" ht="24.65" customHeight="1" x14ac:dyDescent="0.35">
      <c r="A374" s="37" t="s">
        <v>341</v>
      </c>
      <c r="B374" s="37" t="s">
        <v>1296</v>
      </c>
      <c r="C374" s="37" t="str">
        <f>VLOOKUP(B374,[1]RSE!$B$4:$C$26,2,FALSE)</f>
        <v>Education</v>
      </c>
      <c r="D374" s="37" t="s">
        <v>1395</v>
      </c>
      <c r="E374" s="22">
        <v>72975</v>
      </c>
      <c r="F374" s="37" t="s">
        <v>20</v>
      </c>
      <c r="G374" s="37" t="s">
        <v>20</v>
      </c>
      <c r="H374" s="52">
        <v>2021</v>
      </c>
    </row>
    <row r="375" spans="1:8" ht="24.65" customHeight="1" x14ac:dyDescent="0.35">
      <c r="A375" s="37" t="s">
        <v>341</v>
      </c>
      <c r="B375" s="37" t="s">
        <v>1270</v>
      </c>
      <c r="C375" s="37" t="str">
        <f>VLOOKUP(B375,[1]RSE!$B$4:$C$26,2,FALSE)</f>
        <v>Santé</v>
      </c>
      <c r="D375" s="37" t="s">
        <v>1262</v>
      </c>
      <c r="E375" s="22">
        <v>7729</v>
      </c>
      <c r="F375" s="37" t="s">
        <v>20</v>
      </c>
      <c r="G375" s="37" t="s">
        <v>20</v>
      </c>
      <c r="H375" s="52">
        <v>2021</v>
      </c>
    </row>
    <row r="376" spans="1:8" ht="24.65" customHeight="1" x14ac:dyDescent="0.35">
      <c r="A376" s="37" t="s">
        <v>341</v>
      </c>
      <c r="B376" s="37" t="s">
        <v>1260</v>
      </c>
      <c r="C376" s="37" t="str">
        <f>VLOOKUP(B376,[1]RSE!$B$4:$C$26,2,FALSE)</f>
        <v>Infrastructure routière</v>
      </c>
      <c r="D376" s="37" t="s">
        <v>1262</v>
      </c>
      <c r="E376" s="22">
        <v>26855</v>
      </c>
      <c r="F376" s="37" t="s">
        <v>20</v>
      </c>
      <c r="G376" s="37" t="s">
        <v>20</v>
      </c>
      <c r="H376" s="52">
        <v>2021</v>
      </c>
    </row>
    <row r="377" spans="1:8" ht="24.65" customHeight="1" x14ac:dyDescent="0.35">
      <c r="A377" s="37" t="s">
        <v>341</v>
      </c>
      <c r="B377" s="37" t="s">
        <v>1273</v>
      </c>
      <c r="C377" s="37" t="str">
        <f>VLOOKUP(B377,[1]RSE!$B$4:$C$26,2,FALSE)</f>
        <v>Dons</v>
      </c>
      <c r="D377" s="37" t="s">
        <v>1262</v>
      </c>
      <c r="E377" s="22">
        <v>10647</v>
      </c>
      <c r="F377" s="37" t="s">
        <v>20</v>
      </c>
      <c r="G377" s="37" t="s">
        <v>20</v>
      </c>
      <c r="H377" s="52">
        <v>2021</v>
      </c>
    </row>
    <row r="378" spans="1:8" ht="24.65" customHeight="1" x14ac:dyDescent="0.35">
      <c r="A378" s="37" t="s">
        <v>341</v>
      </c>
      <c r="B378" s="37" t="s">
        <v>1273</v>
      </c>
      <c r="C378" s="37" t="str">
        <f>VLOOKUP(B378,[1]RSE!$B$4:$C$26,2,FALSE)</f>
        <v>Dons</v>
      </c>
      <c r="D378" s="37" t="s">
        <v>1262</v>
      </c>
      <c r="E378" s="22">
        <v>2380</v>
      </c>
      <c r="F378" s="37" t="s">
        <v>20</v>
      </c>
      <c r="G378" s="37" t="s">
        <v>20</v>
      </c>
      <c r="H378" s="52">
        <v>2021</v>
      </c>
    </row>
    <row r="379" spans="1:8" ht="24.65" customHeight="1" x14ac:dyDescent="0.35">
      <c r="A379" s="37" t="s">
        <v>346</v>
      </c>
      <c r="B379" s="37" t="s">
        <v>1296</v>
      </c>
      <c r="C379" s="37" t="str">
        <f>VLOOKUP(B379,[1]RSE!$B$4:$C$26,2,FALSE)</f>
        <v>Education</v>
      </c>
      <c r="D379" s="37" t="s">
        <v>1395</v>
      </c>
      <c r="E379" s="22">
        <v>2879</v>
      </c>
      <c r="F379" s="37" t="s">
        <v>452</v>
      </c>
      <c r="G379" s="37" t="s">
        <v>78</v>
      </c>
      <c r="H379" s="52">
        <v>2021</v>
      </c>
    </row>
    <row r="380" spans="1:8" ht="24.65" customHeight="1" x14ac:dyDescent="0.35">
      <c r="A380" s="37" t="s">
        <v>346</v>
      </c>
      <c r="B380" s="37" t="s">
        <v>1393</v>
      </c>
      <c r="C380" s="37" t="str">
        <f>VLOOKUP(B380,[1]RSE!$B$4:$C$26,2,FALSE)</f>
        <v>Eaux et assainissement des eaux</v>
      </c>
      <c r="D380" s="37" t="s">
        <v>1262</v>
      </c>
      <c r="E380" s="22">
        <v>23044</v>
      </c>
      <c r="F380" s="37" t="s">
        <v>452</v>
      </c>
      <c r="G380" s="37" t="s">
        <v>78</v>
      </c>
      <c r="H380" s="52">
        <v>2021</v>
      </c>
    </row>
    <row r="381" spans="1:8" ht="24.65" customHeight="1" x14ac:dyDescent="0.35">
      <c r="A381" s="37" t="s">
        <v>346</v>
      </c>
      <c r="B381" s="37" t="s">
        <v>1273</v>
      </c>
      <c r="C381" s="37" t="str">
        <f>VLOOKUP(B381,[1]RSE!$B$4:$C$26,2,FALSE)</f>
        <v>Dons</v>
      </c>
      <c r="D381" s="37" t="s">
        <v>1262</v>
      </c>
      <c r="E381" s="22">
        <v>472255</v>
      </c>
      <c r="F381" s="37" t="s">
        <v>452</v>
      </c>
      <c r="G381" s="37" t="s">
        <v>78</v>
      </c>
      <c r="H381" s="52">
        <v>2021</v>
      </c>
    </row>
    <row r="382" spans="1:8" ht="24.65" customHeight="1" x14ac:dyDescent="0.35">
      <c r="A382" s="37" t="s">
        <v>346</v>
      </c>
      <c r="B382" s="37" t="s">
        <v>1278</v>
      </c>
      <c r="C382" s="37" t="str">
        <f>VLOOKUP(B382,[1]RSE!$B$4:$C$26,2,FALSE)</f>
        <v>Activités socio-culturelles</v>
      </c>
      <c r="D382" s="37" t="s">
        <v>1262</v>
      </c>
      <c r="E382" s="22">
        <v>54770</v>
      </c>
      <c r="F382" s="37" t="s">
        <v>452</v>
      </c>
      <c r="G382" s="37" t="s">
        <v>78</v>
      </c>
      <c r="H382" s="52">
        <v>2021</v>
      </c>
    </row>
    <row r="383" spans="1:8" ht="24.65" customHeight="1" x14ac:dyDescent="0.35">
      <c r="A383" s="37" t="s">
        <v>348</v>
      </c>
      <c r="B383" s="37" t="s">
        <v>1396</v>
      </c>
      <c r="C383" s="37" t="str">
        <f>VLOOKUP(B383,[1]RSE!$B$4:$C$26,2,FALSE)</f>
        <v>Education</v>
      </c>
      <c r="D383" s="37" t="s">
        <v>1395</v>
      </c>
      <c r="E383" s="22">
        <v>1000</v>
      </c>
      <c r="F383" s="37" t="s">
        <v>20</v>
      </c>
      <c r="G383" s="37" t="s">
        <v>20</v>
      </c>
      <c r="H383" s="52">
        <v>2021</v>
      </c>
    </row>
    <row r="384" spans="1:8" ht="24.65" customHeight="1" x14ac:dyDescent="0.35">
      <c r="A384" s="37" t="s">
        <v>614</v>
      </c>
      <c r="B384" s="37" t="s">
        <v>1270</v>
      </c>
      <c r="C384" s="37" t="str">
        <f>VLOOKUP(B384,[1]RSE!$B$4:$C$26,2,FALSE)</f>
        <v>Santé</v>
      </c>
      <c r="D384" s="37" t="s">
        <v>1376</v>
      </c>
      <c r="E384" s="22">
        <v>3000</v>
      </c>
      <c r="F384" s="37" t="s">
        <v>326</v>
      </c>
      <c r="G384" s="37" t="s">
        <v>326</v>
      </c>
      <c r="H384" s="52">
        <v>2021</v>
      </c>
    </row>
    <row r="385" spans="1:8" ht="24.65" customHeight="1" x14ac:dyDescent="0.35">
      <c r="A385" s="37" t="s">
        <v>614</v>
      </c>
      <c r="B385" s="37" t="s">
        <v>1396</v>
      </c>
      <c r="C385" s="37" t="str">
        <f>VLOOKUP(B385,[1]RSE!$B$4:$C$26,2,FALSE)</f>
        <v>Education</v>
      </c>
      <c r="D385" s="37" t="s">
        <v>1395</v>
      </c>
      <c r="E385" s="22">
        <v>2000</v>
      </c>
      <c r="F385" s="37" t="s">
        <v>326</v>
      </c>
      <c r="G385" s="37" t="s">
        <v>326</v>
      </c>
      <c r="H385" s="52">
        <v>2021</v>
      </c>
    </row>
    <row r="386" spans="1:8" ht="24.65" customHeight="1" x14ac:dyDescent="0.35">
      <c r="A386" s="37" t="s">
        <v>614</v>
      </c>
      <c r="B386" s="37" t="s">
        <v>1270</v>
      </c>
      <c r="C386" s="37" t="str">
        <f>VLOOKUP(B386,[1]RSE!$B$4:$C$26,2,FALSE)</f>
        <v>Santé</v>
      </c>
      <c r="D386" s="37" t="s">
        <v>1376</v>
      </c>
      <c r="E386" s="22">
        <v>3000</v>
      </c>
      <c r="F386" s="37" t="s">
        <v>136</v>
      </c>
      <c r="G386" s="37" t="s">
        <v>136</v>
      </c>
      <c r="H386" s="52">
        <v>2021</v>
      </c>
    </row>
    <row r="387" spans="1:8" ht="24.65" customHeight="1" x14ac:dyDescent="0.35">
      <c r="A387" s="37" t="s">
        <v>614</v>
      </c>
      <c r="B387" s="37" t="s">
        <v>1396</v>
      </c>
      <c r="C387" s="37" t="str">
        <f>VLOOKUP(B387,[1]RSE!$B$4:$C$26,2,FALSE)</f>
        <v>Education</v>
      </c>
      <c r="D387" s="37" t="s">
        <v>1395</v>
      </c>
      <c r="E387" s="22">
        <v>2000</v>
      </c>
      <c r="F387" s="37" t="s">
        <v>136</v>
      </c>
      <c r="G387" s="37" t="s">
        <v>136</v>
      </c>
      <c r="H387" s="52">
        <v>2021</v>
      </c>
    </row>
    <row r="388" spans="1:8" ht="24.65" customHeight="1" x14ac:dyDescent="0.35">
      <c r="A388" s="37" t="s">
        <v>547</v>
      </c>
      <c r="B388" s="37" t="s">
        <v>1270</v>
      </c>
      <c r="C388" s="37" t="str">
        <f>VLOOKUP(B388,[1]RSE!$B$4:$C$26,2,FALSE)</f>
        <v>Santé</v>
      </c>
      <c r="D388" s="37" t="s">
        <v>1262</v>
      </c>
      <c r="E388" s="22">
        <v>3000</v>
      </c>
      <c r="F388" s="37" t="s">
        <v>136</v>
      </c>
      <c r="G388" s="37" t="s">
        <v>136</v>
      </c>
      <c r="H388" s="52">
        <v>2021</v>
      </c>
    </row>
    <row r="389" spans="1:8" ht="24.65" customHeight="1" x14ac:dyDescent="0.35">
      <c r="A389" s="37" t="s">
        <v>547</v>
      </c>
      <c r="B389" s="37" t="s">
        <v>1396</v>
      </c>
      <c r="C389" s="37" t="str">
        <f>VLOOKUP(B389,[1]RSE!$B$4:$C$26,2,FALSE)</f>
        <v>Education</v>
      </c>
      <c r="D389" s="37" t="s">
        <v>1395</v>
      </c>
      <c r="E389" s="22">
        <v>2000</v>
      </c>
      <c r="F389" s="37" t="s">
        <v>136</v>
      </c>
      <c r="G389" s="37" t="s">
        <v>136</v>
      </c>
      <c r="H389" s="52">
        <v>2021</v>
      </c>
    </row>
    <row r="390" spans="1:8" ht="24.65" customHeight="1" x14ac:dyDescent="0.35">
      <c r="A390" s="37" t="s">
        <v>551</v>
      </c>
      <c r="B390" s="37" t="s">
        <v>1270</v>
      </c>
      <c r="C390" s="37" t="str">
        <f>VLOOKUP(B390,[1]RSE!$B$4:$C$26,2,FALSE)</f>
        <v>Santé</v>
      </c>
      <c r="D390" s="37" t="s">
        <v>1275</v>
      </c>
      <c r="E390" s="22">
        <v>2000</v>
      </c>
      <c r="F390" s="37" t="s">
        <v>166</v>
      </c>
      <c r="G390" s="37" t="s">
        <v>20</v>
      </c>
      <c r="H390" s="52">
        <v>2021</v>
      </c>
    </row>
    <row r="391" spans="1:8" ht="24.65" customHeight="1" x14ac:dyDescent="0.35">
      <c r="A391" s="37" t="s">
        <v>551</v>
      </c>
      <c r="B391" s="37" t="s">
        <v>1296</v>
      </c>
      <c r="C391" s="37" t="str">
        <f>VLOOKUP(B391,[1]RSE!$B$4:$C$26,2,FALSE)</f>
        <v>Education</v>
      </c>
      <c r="D391" s="37" t="s">
        <v>1267</v>
      </c>
      <c r="E391" s="22">
        <v>3000</v>
      </c>
      <c r="F391" s="37" t="s">
        <v>166</v>
      </c>
      <c r="G391" s="37" t="s">
        <v>20</v>
      </c>
      <c r="H391" s="52">
        <v>2021</v>
      </c>
    </row>
    <row r="392" spans="1:8" ht="24.65" customHeight="1" x14ac:dyDescent="0.35">
      <c r="A392" s="37" t="s">
        <v>376</v>
      </c>
      <c r="B392" s="37" t="s">
        <v>1296</v>
      </c>
      <c r="C392" s="37" t="str">
        <f>VLOOKUP(B392,[1]RSE!$B$4:$C$26,2,FALSE)</f>
        <v>Education</v>
      </c>
      <c r="D392" s="37" t="s">
        <v>1262</v>
      </c>
      <c r="E392" s="22">
        <v>253093</v>
      </c>
      <c r="F392" s="37" t="s">
        <v>94</v>
      </c>
      <c r="G392" s="37" t="s">
        <v>20</v>
      </c>
      <c r="H392" s="52">
        <v>2021</v>
      </c>
    </row>
    <row r="393" spans="1:8" ht="24.65" customHeight="1" x14ac:dyDescent="0.35">
      <c r="A393" s="37" t="s">
        <v>376</v>
      </c>
      <c r="B393" s="37" t="s">
        <v>1273</v>
      </c>
      <c r="C393" s="37" t="str">
        <f>VLOOKUP(B393,[1]RSE!$B$4:$C$26,2,FALSE)</f>
        <v>Dons</v>
      </c>
      <c r="D393" s="37" t="s">
        <v>1262</v>
      </c>
      <c r="E393" s="22">
        <v>10348</v>
      </c>
      <c r="F393" s="37" t="s">
        <v>20</v>
      </c>
      <c r="G393" s="37" t="s">
        <v>20</v>
      </c>
      <c r="H393" s="52">
        <v>2021</v>
      </c>
    </row>
    <row r="394" spans="1:8" ht="24.65" customHeight="1" x14ac:dyDescent="0.35">
      <c r="A394" s="37" t="s">
        <v>376</v>
      </c>
      <c r="B394" s="37" t="s">
        <v>1273</v>
      </c>
      <c r="C394" s="37" t="str">
        <f>VLOOKUP(B394,[1]RSE!$B$4:$C$26,2,FALSE)</f>
        <v>Dons</v>
      </c>
      <c r="D394" s="37" t="s">
        <v>1262</v>
      </c>
      <c r="E394" s="22">
        <v>80633</v>
      </c>
      <c r="F394" s="37" t="s">
        <v>20</v>
      </c>
      <c r="G394" s="37" t="s">
        <v>20</v>
      </c>
      <c r="H394" s="52">
        <v>2021</v>
      </c>
    </row>
    <row r="395" spans="1:8" ht="24.65" customHeight="1" x14ac:dyDescent="0.35">
      <c r="A395" s="37" t="s">
        <v>376</v>
      </c>
      <c r="B395" s="37" t="s">
        <v>1278</v>
      </c>
      <c r="C395" s="37" t="str">
        <f>VLOOKUP(B395,[1]RSE!$B$4:$C$26,2,FALSE)</f>
        <v>Activités socio-culturelles</v>
      </c>
      <c r="D395" s="37" t="s">
        <v>1262</v>
      </c>
      <c r="E395" s="22">
        <v>38722</v>
      </c>
      <c r="F395" s="37" t="s">
        <v>94</v>
      </c>
      <c r="G395" s="37" t="s">
        <v>20</v>
      </c>
      <c r="H395" s="52">
        <v>2021</v>
      </c>
    </row>
    <row r="396" spans="1:8" ht="24.65" customHeight="1" x14ac:dyDescent="0.35">
      <c r="A396" s="37" t="s">
        <v>376</v>
      </c>
      <c r="B396" s="37" t="s">
        <v>1393</v>
      </c>
      <c r="C396" s="37" t="str">
        <f>VLOOKUP(B396,[1]RSE!$B$4:$C$26,2,FALSE)</f>
        <v>Eaux et assainissement des eaux</v>
      </c>
      <c r="D396" s="37" t="s">
        <v>1262</v>
      </c>
      <c r="E396" s="22">
        <v>78094</v>
      </c>
      <c r="F396" s="37" t="s">
        <v>94</v>
      </c>
      <c r="G396" s="37" t="s">
        <v>20</v>
      </c>
      <c r="H396" s="52">
        <v>2021</v>
      </c>
    </row>
    <row r="397" spans="1:8" ht="24.65" customHeight="1" x14ac:dyDescent="0.35">
      <c r="A397" s="37" t="s">
        <v>376</v>
      </c>
      <c r="B397" s="37" t="s">
        <v>1270</v>
      </c>
      <c r="C397" s="37" t="str">
        <f>VLOOKUP(B397,[1]RSE!$B$4:$C$26,2,FALSE)</f>
        <v>Santé</v>
      </c>
      <c r="D397" s="37" t="s">
        <v>1262</v>
      </c>
      <c r="E397" s="22">
        <v>226402</v>
      </c>
      <c r="F397" s="37" t="s">
        <v>94</v>
      </c>
      <c r="G397" s="37" t="s">
        <v>20</v>
      </c>
      <c r="H397" s="52">
        <v>2021</v>
      </c>
    </row>
    <row r="398" spans="1:8" ht="24.65" customHeight="1" x14ac:dyDescent="0.35">
      <c r="A398" s="37" t="s">
        <v>376</v>
      </c>
      <c r="B398" s="37" t="s">
        <v>1401</v>
      </c>
      <c r="C398" s="37" t="str">
        <f>VLOOKUP(B398,[1]RSE!$B$4:$C$26,2,FALSE)</f>
        <v>Dons</v>
      </c>
      <c r="D398" s="37" t="s">
        <v>1262</v>
      </c>
      <c r="E398" s="22">
        <v>86291</v>
      </c>
      <c r="F398" s="37" t="s">
        <v>94</v>
      </c>
      <c r="G398" s="37" t="s">
        <v>20</v>
      </c>
      <c r="H398" s="52">
        <v>2021</v>
      </c>
    </row>
    <row r="399" spans="1:8" ht="24.65" customHeight="1" x14ac:dyDescent="0.35">
      <c r="A399" s="37" t="s">
        <v>382</v>
      </c>
      <c r="B399" s="37" t="s">
        <v>1265</v>
      </c>
      <c r="C399" s="37" t="str">
        <f>VLOOKUP(B399,[1]RSE!$B$4:$C$26,2,FALSE)</f>
        <v>Agriculture</v>
      </c>
      <c r="D399" s="37" t="s">
        <v>1275</v>
      </c>
      <c r="E399" s="22">
        <v>5378</v>
      </c>
      <c r="F399" s="37" t="s">
        <v>561</v>
      </c>
      <c r="G399" s="37" t="s">
        <v>1294</v>
      </c>
      <c r="H399" s="52">
        <v>2021</v>
      </c>
    </row>
    <row r="400" spans="1:8" ht="24.65" customHeight="1" x14ac:dyDescent="0.35">
      <c r="A400" s="37" t="s">
        <v>382</v>
      </c>
      <c r="B400" s="37" t="s">
        <v>1273</v>
      </c>
      <c r="C400" s="37" t="str">
        <f>VLOOKUP(B400,[1]RSE!$B$4:$C$26,2,FALSE)</f>
        <v>Dons</v>
      </c>
      <c r="D400" s="37" t="s">
        <v>1262</v>
      </c>
      <c r="E400" s="22">
        <v>6825</v>
      </c>
      <c r="F400" s="37" t="s">
        <v>1294</v>
      </c>
      <c r="G400" s="37" t="s">
        <v>1294</v>
      </c>
      <c r="H400" s="52">
        <v>2021</v>
      </c>
    </row>
    <row r="401" spans="1:8" ht="24.65" customHeight="1" x14ac:dyDescent="0.35">
      <c r="A401" s="37" t="s">
        <v>382</v>
      </c>
      <c r="B401" s="37" t="s">
        <v>1296</v>
      </c>
      <c r="C401" s="37" t="str">
        <f>VLOOKUP(B401,[1]RSE!$B$4:$C$26,2,FALSE)</f>
        <v>Education</v>
      </c>
      <c r="D401" s="37" t="s">
        <v>1395</v>
      </c>
      <c r="E401" s="22">
        <v>1534</v>
      </c>
      <c r="F401" s="37" t="s">
        <v>1294</v>
      </c>
      <c r="G401" s="37" t="s">
        <v>1294</v>
      </c>
      <c r="H401" s="52">
        <v>2021</v>
      </c>
    </row>
    <row r="402" spans="1:8" ht="24.65" customHeight="1" x14ac:dyDescent="0.35">
      <c r="A402" s="37" t="s">
        <v>382</v>
      </c>
      <c r="B402" s="37" t="s">
        <v>1270</v>
      </c>
      <c r="C402" s="37" t="str">
        <f>VLOOKUP(B402,[1]RSE!$B$4:$C$26,2,FALSE)</f>
        <v>Santé</v>
      </c>
      <c r="D402" s="37" t="s">
        <v>1282</v>
      </c>
      <c r="E402" s="22">
        <v>621</v>
      </c>
      <c r="F402" s="37" t="s">
        <v>1294</v>
      </c>
      <c r="G402" s="37" t="s">
        <v>1294</v>
      </c>
      <c r="H402" s="52">
        <v>2021</v>
      </c>
    </row>
    <row r="403" spans="1:8" ht="24.65" customHeight="1" x14ac:dyDescent="0.35">
      <c r="A403" s="37" t="s">
        <v>382</v>
      </c>
      <c r="B403" s="37" t="s">
        <v>1278</v>
      </c>
      <c r="C403" s="37" t="str">
        <f>VLOOKUP(B403,[1]RSE!$B$4:$C$26,2,FALSE)</f>
        <v>Activités socio-culturelles</v>
      </c>
      <c r="D403" s="37" t="s">
        <v>1262</v>
      </c>
      <c r="E403" s="22">
        <v>800</v>
      </c>
      <c r="F403" s="37" t="s">
        <v>1294</v>
      </c>
      <c r="G403" s="37" t="s">
        <v>1294</v>
      </c>
      <c r="H403" s="52">
        <v>2021</v>
      </c>
    </row>
    <row r="404" spans="1:8" ht="24.65" customHeight="1" x14ac:dyDescent="0.35">
      <c r="A404" s="37" t="s">
        <v>569</v>
      </c>
      <c r="B404" s="37" t="s">
        <v>1278</v>
      </c>
      <c r="C404" s="37" t="str">
        <f>VLOOKUP(B404,[1]RSE!$B$4:$C$26,2,FALSE)</f>
        <v>Activités socio-culturelles</v>
      </c>
      <c r="D404" s="37" t="s">
        <v>1262</v>
      </c>
      <c r="E404" s="22">
        <v>31138</v>
      </c>
      <c r="F404" s="37" t="s">
        <v>165</v>
      </c>
      <c r="G404" s="37" t="s">
        <v>165</v>
      </c>
      <c r="H404" s="52">
        <v>2021</v>
      </c>
    </row>
    <row r="405" spans="1:8" ht="24.65" customHeight="1" x14ac:dyDescent="0.35">
      <c r="A405" s="37" t="s">
        <v>569</v>
      </c>
      <c r="B405" s="37" t="s">
        <v>1296</v>
      </c>
      <c r="C405" s="37" t="str">
        <f>VLOOKUP(B405,[1]RSE!$B$4:$C$26,2,FALSE)</f>
        <v>Education</v>
      </c>
      <c r="D405" s="37" t="s">
        <v>1267</v>
      </c>
      <c r="E405" s="22">
        <v>40385</v>
      </c>
      <c r="F405" s="37" t="s">
        <v>119</v>
      </c>
      <c r="G405" s="37" t="s">
        <v>165</v>
      </c>
      <c r="H405" s="52">
        <v>2021</v>
      </c>
    </row>
    <row r="406" spans="1:8" ht="24.65" customHeight="1" x14ac:dyDescent="0.35">
      <c r="A406" s="37" t="s">
        <v>569</v>
      </c>
      <c r="B406" s="37" t="s">
        <v>1278</v>
      </c>
      <c r="C406" s="37" t="str">
        <f>VLOOKUP(B406,[1]RSE!$B$4:$C$26,2,FALSE)</f>
        <v>Activités socio-culturelles</v>
      </c>
      <c r="D406" s="37" t="s">
        <v>1262</v>
      </c>
      <c r="E406" s="22">
        <v>6650</v>
      </c>
      <c r="F406" s="37" t="s">
        <v>29</v>
      </c>
      <c r="G406" s="37" t="s">
        <v>29</v>
      </c>
      <c r="H406" s="52">
        <v>2021</v>
      </c>
    </row>
    <row r="407" spans="1:8" ht="24.65" customHeight="1" x14ac:dyDescent="0.35">
      <c r="A407" s="37" t="s">
        <v>391</v>
      </c>
      <c r="B407" s="37" t="s">
        <v>1273</v>
      </c>
      <c r="C407" s="37" t="str">
        <f>VLOOKUP(B407,[1]RSE!$B$4:$C$26,2,FALSE)</f>
        <v>Dons</v>
      </c>
      <c r="D407" s="37" t="s">
        <v>1262</v>
      </c>
      <c r="E407" s="22">
        <v>130</v>
      </c>
      <c r="F407" s="37" t="s">
        <v>136</v>
      </c>
      <c r="G407" s="37" t="s">
        <v>136</v>
      </c>
      <c r="H407" s="52">
        <v>2021</v>
      </c>
    </row>
    <row r="408" spans="1:8" ht="24.65" customHeight="1" x14ac:dyDescent="0.35">
      <c r="A408" s="37" t="s">
        <v>391</v>
      </c>
      <c r="B408" s="37" t="s">
        <v>1393</v>
      </c>
      <c r="C408" s="37" t="str">
        <f>VLOOKUP(B408,[1]RSE!$B$4:$C$26,2,FALSE)</f>
        <v>Eaux et assainissement des eaux</v>
      </c>
      <c r="D408" s="37" t="s">
        <v>1262</v>
      </c>
      <c r="E408" s="22">
        <v>450</v>
      </c>
      <c r="F408" s="37" t="s">
        <v>1405</v>
      </c>
      <c r="G408" s="37" t="s">
        <v>136</v>
      </c>
      <c r="H408" s="52">
        <v>2021</v>
      </c>
    </row>
    <row r="409" spans="1:8" ht="24.65" customHeight="1" x14ac:dyDescent="0.35">
      <c r="A409" s="37" t="s">
        <v>110</v>
      </c>
      <c r="B409" s="37" t="s">
        <v>1296</v>
      </c>
      <c r="C409" s="37" t="str">
        <f>VLOOKUP(B409,[1]RSE!$B$4:$C$26,2,FALSE)</f>
        <v>Education</v>
      </c>
      <c r="D409" s="37" t="s">
        <v>1395</v>
      </c>
      <c r="E409" s="22">
        <v>33667</v>
      </c>
      <c r="F409" s="37" t="s">
        <v>606</v>
      </c>
      <c r="G409" s="37" t="s">
        <v>66</v>
      </c>
      <c r="H409" s="52">
        <v>2021</v>
      </c>
    </row>
    <row r="410" spans="1:8" ht="24.65" customHeight="1" x14ac:dyDescent="0.35">
      <c r="A410" s="37" t="s">
        <v>110</v>
      </c>
      <c r="B410" s="37" t="s">
        <v>1273</v>
      </c>
      <c r="C410" s="37" t="str">
        <f>VLOOKUP(B410,[1]RSE!$B$4:$C$26,2,FALSE)</f>
        <v>Dons</v>
      </c>
      <c r="D410" s="37" t="s">
        <v>1376</v>
      </c>
      <c r="E410" s="22">
        <v>21444</v>
      </c>
      <c r="F410" s="37" t="s">
        <v>606</v>
      </c>
      <c r="G410" s="37" t="s">
        <v>66</v>
      </c>
      <c r="H410" s="52">
        <v>2021</v>
      </c>
    </row>
    <row r="411" spans="1:8" ht="24.65" customHeight="1" x14ac:dyDescent="0.35">
      <c r="A411" s="119" t="s">
        <v>124</v>
      </c>
      <c r="B411" s="37" t="s">
        <v>1296</v>
      </c>
      <c r="C411" s="37" t="str">
        <f>VLOOKUP(B411,[1]RSE!$B$4:$C$26,2,FALSE)</f>
        <v>Education</v>
      </c>
      <c r="D411" s="37" t="s">
        <v>1267</v>
      </c>
      <c r="E411" s="22">
        <v>100</v>
      </c>
      <c r="F411" s="37" t="s">
        <v>166</v>
      </c>
      <c r="G411" s="37" t="s">
        <v>20</v>
      </c>
      <c r="H411" s="52">
        <v>2021</v>
      </c>
    </row>
    <row r="412" spans="1:8" ht="24.65" customHeight="1" x14ac:dyDescent="0.35">
      <c r="A412" s="119" t="s">
        <v>124</v>
      </c>
      <c r="B412" s="37" t="s">
        <v>1296</v>
      </c>
      <c r="C412" s="37" t="str">
        <f>VLOOKUP(B412,[1]RSE!$B$4:$C$26,2,FALSE)</f>
        <v>Education</v>
      </c>
      <c r="D412" s="37" t="s">
        <v>1395</v>
      </c>
      <c r="E412" s="22">
        <v>100</v>
      </c>
      <c r="F412" s="37" t="s">
        <v>166</v>
      </c>
      <c r="G412" s="37" t="s">
        <v>20</v>
      </c>
      <c r="H412" s="52">
        <v>2021</v>
      </c>
    </row>
    <row r="413" spans="1:8" ht="24.65" customHeight="1" x14ac:dyDescent="0.35">
      <c r="A413" s="119" t="s">
        <v>124</v>
      </c>
      <c r="B413" s="37" t="s">
        <v>1393</v>
      </c>
      <c r="C413" s="37" t="str">
        <f>VLOOKUP(B413,[1]RSE!$B$4:$C$26,2,FALSE)</f>
        <v>Eaux et assainissement des eaux</v>
      </c>
      <c r="D413" s="37" t="s">
        <v>1262</v>
      </c>
      <c r="E413" s="22">
        <v>100</v>
      </c>
      <c r="F413" s="37" t="s">
        <v>166</v>
      </c>
      <c r="G413" s="37" t="s">
        <v>20</v>
      </c>
      <c r="H413" s="52">
        <v>2021</v>
      </c>
    </row>
    <row r="414" spans="1:8" ht="24.65" customHeight="1" x14ac:dyDescent="0.35">
      <c r="A414" s="119" t="s">
        <v>124</v>
      </c>
      <c r="B414" s="37" t="s">
        <v>1278</v>
      </c>
      <c r="C414" s="37" t="str">
        <f>VLOOKUP(B414,[1]RSE!$B$4:$C$26,2,FALSE)</f>
        <v>Activités socio-culturelles</v>
      </c>
      <c r="D414" s="37" t="s">
        <v>1262</v>
      </c>
      <c r="E414" s="22">
        <v>100</v>
      </c>
      <c r="F414" s="37" t="s">
        <v>166</v>
      </c>
      <c r="G414" s="37" t="s">
        <v>20</v>
      </c>
      <c r="H414" s="52">
        <v>2021</v>
      </c>
    </row>
    <row r="415" spans="1:8" ht="24.65" customHeight="1" x14ac:dyDescent="0.35">
      <c r="A415" s="119" t="s">
        <v>124</v>
      </c>
      <c r="B415" s="37" t="s">
        <v>1278</v>
      </c>
      <c r="C415" s="37" t="str">
        <f>VLOOKUP(B415,[1]RSE!$B$4:$C$26,2,FALSE)</f>
        <v>Activités socio-culturelles</v>
      </c>
      <c r="D415" s="37" t="s">
        <v>1267</v>
      </c>
      <c r="E415" s="22">
        <v>100</v>
      </c>
      <c r="F415" s="37" t="s">
        <v>166</v>
      </c>
      <c r="G415" s="37" t="s">
        <v>20</v>
      </c>
      <c r="H415" s="52">
        <v>2021</v>
      </c>
    </row>
    <row r="416" spans="1:8" ht="24.65" customHeight="1" x14ac:dyDescent="0.35">
      <c r="A416" s="119" t="s">
        <v>124</v>
      </c>
      <c r="B416" s="37" t="s">
        <v>1393</v>
      </c>
      <c r="C416" s="37" t="str">
        <f>VLOOKUP(B416,[1]RSE!$B$4:$C$26,2,FALSE)</f>
        <v>Eaux et assainissement des eaux</v>
      </c>
      <c r="D416" s="37" t="s">
        <v>1262</v>
      </c>
      <c r="E416" s="22">
        <v>100</v>
      </c>
      <c r="F416" s="37" t="s">
        <v>166</v>
      </c>
      <c r="G416" s="37" t="s">
        <v>20</v>
      </c>
      <c r="H416" s="52">
        <v>2021</v>
      </c>
    </row>
    <row r="417" spans="1:8" ht="24.65" customHeight="1" x14ac:dyDescent="0.35">
      <c r="A417" s="37" t="s">
        <v>603</v>
      </c>
      <c r="B417" s="37" t="s">
        <v>1296</v>
      </c>
      <c r="C417" s="37" t="str">
        <f>VLOOKUP(B417,[1]RSE!$B$4:$C$26,2,FALSE)</f>
        <v>Education</v>
      </c>
      <c r="D417" s="37" t="s">
        <v>1395</v>
      </c>
      <c r="E417" s="22">
        <v>500</v>
      </c>
      <c r="F417" s="37" t="s">
        <v>474</v>
      </c>
      <c r="G417" s="37" t="s">
        <v>66</v>
      </c>
      <c r="H417" s="52">
        <v>2021</v>
      </c>
    </row>
    <row r="418" spans="1:8" ht="24.65" customHeight="1" x14ac:dyDescent="0.35">
      <c r="A418" s="37" t="s">
        <v>603</v>
      </c>
      <c r="B418" s="37" t="s">
        <v>1270</v>
      </c>
      <c r="C418" s="37" t="str">
        <f>VLOOKUP(B418,[1]RSE!$B$4:$C$26,2,FALSE)</f>
        <v>Santé</v>
      </c>
      <c r="D418" s="37" t="s">
        <v>1262</v>
      </c>
      <c r="E418" s="22">
        <v>59000</v>
      </c>
      <c r="F418" s="37" t="s">
        <v>474</v>
      </c>
      <c r="G418" s="37" t="s">
        <v>66</v>
      </c>
      <c r="H418" s="52">
        <v>2021</v>
      </c>
    </row>
    <row r="419" spans="1:8" ht="24.65" customHeight="1" x14ac:dyDescent="0.35">
      <c r="A419" s="37" t="s">
        <v>603</v>
      </c>
      <c r="B419" s="37" t="s">
        <v>1270</v>
      </c>
      <c r="C419" s="37" t="str">
        <f>VLOOKUP(B419,[1]RSE!$B$4:$C$26,2,FALSE)</f>
        <v>Santé</v>
      </c>
      <c r="D419" s="37" t="s">
        <v>1262</v>
      </c>
      <c r="E419" s="22">
        <v>2552</v>
      </c>
      <c r="F419" s="37" t="s">
        <v>474</v>
      </c>
      <c r="G419" s="37" t="s">
        <v>66</v>
      </c>
      <c r="H419" s="52">
        <v>2021</v>
      </c>
    </row>
    <row r="420" spans="1:8" ht="24.65" customHeight="1" x14ac:dyDescent="0.35">
      <c r="A420" s="37" t="s">
        <v>603</v>
      </c>
      <c r="B420" s="37" t="s">
        <v>1270</v>
      </c>
      <c r="C420" s="37" t="str">
        <f>VLOOKUP(B420,[1]RSE!$B$4:$C$26,2,FALSE)</f>
        <v>Santé</v>
      </c>
      <c r="D420" s="37" t="s">
        <v>1262</v>
      </c>
      <c r="E420" s="22">
        <v>1000</v>
      </c>
      <c r="F420" s="37" t="s">
        <v>474</v>
      </c>
      <c r="G420" s="37" t="s">
        <v>66</v>
      </c>
      <c r="H420" s="52">
        <v>2021</v>
      </c>
    </row>
    <row r="421" spans="1:8" ht="24.65" customHeight="1" x14ac:dyDescent="0.35">
      <c r="A421" s="37" t="s">
        <v>603</v>
      </c>
      <c r="B421" s="37" t="s">
        <v>1270</v>
      </c>
      <c r="C421" s="37" t="str">
        <f>VLOOKUP(B421,[1]RSE!$B$4:$C$26,2,FALSE)</f>
        <v>Santé</v>
      </c>
      <c r="D421" s="37" t="s">
        <v>1262</v>
      </c>
      <c r="E421" s="22">
        <v>9450</v>
      </c>
      <c r="F421" s="37" t="s">
        <v>131</v>
      </c>
      <c r="G421" s="37" t="s">
        <v>131</v>
      </c>
      <c r="H421" s="52">
        <v>2021</v>
      </c>
    </row>
    <row r="422" spans="1:8" ht="24.65" customHeight="1" x14ac:dyDescent="0.35">
      <c r="A422" s="37" t="s">
        <v>603</v>
      </c>
      <c r="B422" s="37" t="s">
        <v>1278</v>
      </c>
      <c r="C422" s="37" t="str">
        <f>VLOOKUP(B422,[1]RSE!$B$4:$C$26,2,FALSE)</f>
        <v>Activités socio-culturelles</v>
      </c>
      <c r="D422" s="37" t="s">
        <v>1376</v>
      </c>
      <c r="E422" s="22">
        <v>1000</v>
      </c>
      <c r="F422" s="37" t="s">
        <v>474</v>
      </c>
      <c r="G422" s="37" t="s">
        <v>66</v>
      </c>
      <c r="H422" s="52">
        <v>2021</v>
      </c>
    </row>
    <row r="423" spans="1:8" ht="24.65" customHeight="1" x14ac:dyDescent="0.35">
      <c r="A423" s="37" t="s">
        <v>612</v>
      </c>
      <c r="B423" s="37" t="s">
        <v>1273</v>
      </c>
      <c r="C423" s="37" t="str">
        <f>VLOOKUP(B423,[1]RSE!$B$4:$C$26,2,FALSE)</f>
        <v>Dons</v>
      </c>
      <c r="D423" s="37" t="s">
        <v>1262</v>
      </c>
      <c r="E423" s="22">
        <v>2966</v>
      </c>
      <c r="F423" s="37" t="s">
        <v>452</v>
      </c>
      <c r="G423" s="37" t="s">
        <v>78</v>
      </c>
      <c r="H423" s="52">
        <v>2021</v>
      </c>
    </row>
    <row r="424" spans="1:8" ht="24.65" customHeight="1" x14ac:dyDescent="0.35">
      <c r="A424" s="71" t="s">
        <v>285</v>
      </c>
      <c r="B424" s="71" t="s">
        <v>1227</v>
      </c>
      <c r="C424" s="37" t="str">
        <f>VLOOKUP(B424,[1]RSE!$B$4:$C$26,2,FALSE)</f>
        <v>Appui institutionnel</v>
      </c>
      <c r="D424" s="37" t="s">
        <v>1262</v>
      </c>
      <c r="E424" s="22">
        <v>30000</v>
      </c>
      <c r="F424" s="71" t="s">
        <v>1407</v>
      </c>
      <c r="G424" s="71" t="s">
        <v>529</v>
      </c>
      <c r="H424" s="52">
        <v>2021</v>
      </c>
    </row>
    <row r="425" spans="1:8" ht="24.65" customHeight="1" x14ac:dyDescent="0.35">
      <c r="A425" s="71" t="s">
        <v>434</v>
      </c>
      <c r="B425" s="71" t="s">
        <v>1260</v>
      </c>
      <c r="C425" s="37" t="str">
        <f>VLOOKUP(B425,[1]RSE!$B$4:$C$26,2,FALSE)</f>
        <v>Infrastructure routière</v>
      </c>
      <c r="D425" s="37" t="s">
        <v>1395</v>
      </c>
      <c r="E425" s="22">
        <v>350</v>
      </c>
      <c r="F425" s="71" t="s">
        <v>482</v>
      </c>
      <c r="G425" s="71" t="s">
        <v>1408</v>
      </c>
      <c r="H425" s="52">
        <v>2021</v>
      </c>
    </row>
    <row r="426" spans="1:8" ht="24.65" customHeight="1" x14ac:dyDescent="0.35">
      <c r="A426" s="71" t="s">
        <v>434</v>
      </c>
      <c r="B426" s="71" t="s">
        <v>1409</v>
      </c>
      <c r="C426" s="37" t="str">
        <f>VLOOKUP(B426,[1]RSE!$B$4:$C$26,2,FALSE)</f>
        <v>Infrastructure routière</v>
      </c>
      <c r="D426" s="37" t="s">
        <v>1262</v>
      </c>
      <c r="E426" s="22">
        <v>3000</v>
      </c>
      <c r="F426" s="71" t="s">
        <v>482</v>
      </c>
      <c r="G426" s="71" t="s">
        <v>1408</v>
      </c>
      <c r="H426" s="52">
        <v>2021</v>
      </c>
    </row>
    <row r="427" spans="1:8" ht="24.65" customHeight="1" x14ac:dyDescent="0.35">
      <c r="A427" s="71" t="s">
        <v>434</v>
      </c>
      <c r="B427" s="71" t="s">
        <v>1409</v>
      </c>
      <c r="C427" s="37" t="str">
        <f>VLOOKUP(B427,[1]RSE!$B$4:$C$26,2,FALSE)</f>
        <v>Infrastructure routière</v>
      </c>
      <c r="D427" s="37" t="s">
        <v>1262</v>
      </c>
      <c r="E427" s="22">
        <v>250</v>
      </c>
      <c r="F427" s="71" t="s">
        <v>482</v>
      </c>
      <c r="G427" s="71" t="s">
        <v>1408</v>
      </c>
      <c r="H427" s="52">
        <v>2021</v>
      </c>
    </row>
    <row r="428" spans="1:8" ht="24.65" customHeight="1" x14ac:dyDescent="0.35">
      <c r="A428" s="71" t="s">
        <v>434</v>
      </c>
      <c r="B428" s="71" t="s">
        <v>1409</v>
      </c>
      <c r="C428" s="37" t="str">
        <f>VLOOKUP(B428,[1]RSE!$B$4:$C$26,2,FALSE)</f>
        <v>Infrastructure routière</v>
      </c>
      <c r="D428" s="37" t="s">
        <v>1395</v>
      </c>
      <c r="E428" s="22">
        <v>1500</v>
      </c>
      <c r="F428" s="71" t="s">
        <v>482</v>
      </c>
      <c r="G428" s="71" t="s">
        <v>1408</v>
      </c>
      <c r="H428" s="52">
        <v>2021</v>
      </c>
    </row>
    <row r="429" spans="1:8" ht="24.65" customHeight="1" x14ac:dyDescent="0.35">
      <c r="A429" s="71" t="s">
        <v>434</v>
      </c>
      <c r="B429" s="71" t="s">
        <v>1410</v>
      </c>
      <c r="C429" s="37" t="str">
        <f>VLOOKUP(B429,[1]RSE!$B$4:$C$26,2,FALSE)</f>
        <v>Eaux et assainissement des eaux</v>
      </c>
      <c r="D429" s="37" t="s">
        <v>1262</v>
      </c>
      <c r="E429" s="22">
        <v>1200</v>
      </c>
      <c r="F429" s="71" t="s">
        <v>482</v>
      </c>
      <c r="G429" s="71" t="s">
        <v>1408</v>
      </c>
      <c r="H429" s="52">
        <v>2021</v>
      </c>
    </row>
    <row r="430" spans="1:8" ht="24.65" customHeight="1" x14ac:dyDescent="0.35">
      <c r="A430" s="71" t="s">
        <v>434</v>
      </c>
      <c r="B430" s="71" t="s">
        <v>1296</v>
      </c>
      <c r="C430" s="37" t="str">
        <f>VLOOKUP(B430,[1]RSE!$B$4:$C$26,2,FALSE)</f>
        <v>Education</v>
      </c>
      <c r="D430" s="37" t="s">
        <v>1395</v>
      </c>
      <c r="E430" s="22">
        <v>3280</v>
      </c>
      <c r="F430" s="71" t="s">
        <v>482</v>
      </c>
      <c r="G430" s="71" t="s">
        <v>1408</v>
      </c>
      <c r="H430" s="52">
        <v>2021</v>
      </c>
    </row>
    <row r="431" spans="1:8" ht="24.65" customHeight="1" x14ac:dyDescent="0.35">
      <c r="A431" s="71" t="s">
        <v>434</v>
      </c>
      <c r="B431" s="71" t="s">
        <v>1273</v>
      </c>
      <c r="C431" s="37" t="str">
        <f>VLOOKUP(B431,[1]RSE!$B$4:$C$26,2,FALSE)</f>
        <v>Dons</v>
      </c>
      <c r="D431" s="37" t="s">
        <v>1262</v>
      </c>
      <c r="E431" s="22">
        <v>1500</v>
      </c>
      <c r="F431" s="71" t="s">
        <v>482</v>
      </c>
      <c r="G431" s="71" t="s">
        <v>1408</v>
      </c>
      <c r="H431" s="52">
        <v>2021</v>
      </c>
    </row>
    <row r="432" spans="1:8" ht="24.65" customHeight="1" x14ac:dyDescent="0.35">
      <c r="A432" s="71" t="s">
        <v>434</v>
      </c>
      <c r="B432" s="71" t="s">
        <v>1273</v>
      </c>
      <c r="C432" s="37" t="str">
        <f>VLOOKUP(B432,[1]RSE!$B$4:$C$26,2,FALSE)</f>
        <v>Dons</v>
      </c>
      <c r="D432" s="37" t="s">
        <v>1275</v>
      </c>
      <c r="E432" s="22">
        <v>240</v>
      </c>
      <c r="F432" s="71" t="s">
        <v>482</v>
      </c>
      <c r="G432" s="71" t="s">
        <v>1408</v>
      </c>
      <c r="H432" s="52">
        <v>2021</v>
      </c>
    </row>
    <row r="433" spans="1:8" ht="24.65" customHeight="1" x14ac:dyDescent="0.35">
      <c r="A433" s="71" t="s">
        <v>434</v>
      </c>
      <c r="B433" s="71" t="s">
        <v>1296</v>
      </c>
      <c r="C433" s="37" t="str">
        <f>VLOOKUP(B433,[1]RSE!$B$4:$C$26,2,FALSE)</f>
        <v>Education</v>
      </c>
      <c r="D433" s="37" t="s">
        <v>1395</v>
      </c>
      <c r="E433" s="22">
        <v>100</v>
      </c>
      <c r="F433" s="71" t="s">
        <v>482</v>
      </c>
      <c r="G433" s="71" t="s">
        <v>1408</v>
      </c>
      <c r="H433" s="52">
        <v>2021</v>
      </c>
    </row>
    <row r="434" spans="1:8" ht="24.65" customHeight="1" x14ac:dyDescent="0.35">
      <c r="A434" s="71" t="s">
        <v>434</v>
      </c>
      <c r="B434" s="71" t="s">
        <v>1353</v>
      </c>
      <c r="C434" s="37" t="str">
        <f>VLOOKUP(B434,[1]RSE!$B$4:$C$26,2,FALSE)</f>
        <v>Sport</v>
      </c>
      <c r="D434" s="37" t="s">
        <v>1395</v>
      </c>
      <c r="E434" s="22">
        <v>1749</v>
      </c>
      <c r="F434" s="71" t="s">
        <v>482</v>
      </c>
      <c r="G434" s="71" t="s">
        <v>1408</v>
      </c>
      <c r="H434" s="52">
        <v>2021</v>
      </c>
    </row>
    <row r="435" spans="1:8" ht="24.65" customHeight="1" x14ac:dyDescent="0.35">
      <c r="A435" s="71" t="s">
        <v>434</v>
      </c>
      <c r="B435" s="71" t="s">
        <v>1273</v>
      </c>
      <c r="C435" s="37" t="str">
        <f>VLOOKUP(B435,[1]RSE!$B$4:$C$26,2,FALSE)</f>
        <v>Dons</v>
      </c>
      <c r="D435" s="37" t="s">
        <v>1376</v>
      </c>
      <c r="E435" s="22">
        <v>250</v>
      </c>
      <c r="F435" s="71" t="s">
        <v>482</v>
      </c>
      <c r="G435" s="71" t="s">
        <v>1408</v>
      </c>
      <c r="H435" s="52">
        <v>2021</v>
      </c>
    </row>
    <row r="436" spans="1:8" ht="24.65" customHeight="1" x14ac:dyDescent="0.35">
      <c r="A436" s="71" t="s">
        <v>434</v>
      </c>
      <c r="B436" s="71" t="s">
        <v>1411</v>
      </c>
      <c r="C436" s="37" t="str">
        <f>VLOOKUP(B436,[1]RSE!$B$4:$C$26,2,FALSE)</f>
        <v>Infrastructure routière</v>
      </c>
      <c r="D436" s="37" t="s">
        <v>1412</v>
      </c>
      <c r="E436" s="22">
        <v>1600</v>
      </c>
      <c r="F436" s="71" t="s">
        <v>482</v>
      </c>
      <c r="G436" s="71" t="s">
        <v>1408</v>
      </c>
      <c r="H436" s="52">
        <v>2021</v>
      </c>
    </row>
    <row r="437" spans="1:8" ht="24.65" customHeight="1" x14ac:dyDescent="0.35">
      <c r="A437" s="71" t="s">
        <v>434</v>
      </c>
      <c r="B437" s="71" t="s">
        <v>1411</v>
      </c>
      <c r="C437" s="37" t="str">
        <f>VLOOKUP(B437,[1]RSE!$B$4:$C$26,2,FALSE)</f>
        <v>Infrastructure routière</v>
      </c>
      <c r="D437" s="37" t="s">
        <v>1262</v>
      </c>
      <c r="E437" s="22">
        <v>1600</v>
      </c>
      <c r="F437" s="71" t="s">
        <v>482</v>
      </c>
      <c r="G437" s="71" t="s">
        <v>1408</v>
      </c>
      <c r="H437" s="52">
        <v>2021</v>
      </c>
    </row>
    <row r="438" spans="1:8" ht="24.65" customHeight="1" x14ac:dyDescent="0.35">
      <c r="A438" s="71" t="s">
        <v>434</v>
      </c>
      <c r="B438" s="71" t="s">
        <v>1411</v>
      </c>
      <c r="C438" s="37" t="str">
        <f>VLOOKUP(B438,[1]RSE!$B$4:$C$26,2,FALSE)</f>
        <v>Infrastructure routière</v>
      </c>
      <c r="D438" s="37" t="s">
        <v>1412</v>
      </c>
      <c r="E438" s="22">
        <v>2000</v>
      </c>
      <c r="F438" s="71" t="s">
        <v>482</v>
      </c>
      <c r="G438" s="71" t="s">
        <v>1408</v>
      </c>
      <c r="H438" s="52">
        <v>2021</v>
      </c>
    </row>
    <row r="439" spans="1:8" ht="24.65" customHeight="1" x14ac:dyDescent="0.35">
      <c r="A439" s="71" t="s">
        <v>1390</v>
      </c>
      <c r="B439" s="37" t="s">
        <v>1296</v>
      </c>
      <c r="C439" s="37" t="str">
        <f>VLOOKUP(B439,[1]RSE!$B$4:$C$26,2,FALSE)</f>
        <v>Education</v>
      </c>
      <c r="D439" s="37" t="s">
        <v>1395</v>
      </c>
      <c r="E439" s="22">
        <v>13300</v>
      </c>
      <c r="F439" s="71" t="s">
        <v>1413</v>
      </c>
      <c r="G439" s="71" t="s">
        <v>136</v>
      </c>
      <c r="H439" s="52">
        <v>2021</v>
      </c>
    </row>
    <row r="440" spans="1:8" ht="24.65" customHeight="1" x14ac:dyDescent="0.35">
      <c r="A440" s="71" t="s">
        <v>1390</v>
      </c>
      <c r="B440" s="71" t="s">
        <v>1296</v>
      </c>
      <c r="C440" s="37" t="str">
        <f>VLOOKUP(B440,[1]RSE!$B$4:$C$26,2,FALSE)</f>
        <v>Education</v>
      </c>
      <c r="D440" s="37" t="s">
        <v>1395</v>
      </c>
      <c r="E440" s="22">
        <v>13705</v>
      </c>
      <c r="F440" s="71" t="s">
        <v>1414</v>
      </c>
      <c r="G440" s="71" t="s">
        <v>136</v>
      </c>
      <c r="H440" s="52">
        <v>2021</v>
      </c>
    </row>
    <row r="441" spans="1:8" ht="24.65" customHeight="1" x14ac:dyDescent="0.35">
      <c r="A441" s="71" t="s">
        <v>1390</v>
      </c>
      <c r="B441" s="71" t="s">
        <v>1227</v>
      </c>
      <c r="C441" s="37" t="str">
        <f>VLOOKUP(B441,[1]RSE!$B$4:$C$26,2,FALSE)</f>
        <v>Appui institutionnel</v>
      </c>
      <c r="D441" s="37" t="s">
        <v>1412</v>
      </c>
      <c r="E441" s="22">
        <v>19900</v>
      </c>
      <c r="F441" s="71" t="s">
        <v>1415</v>
      </c>
      <c r="G441" s="71" t="s">
        <v>136</v>
      </c>
      <c r="H441" s="52">
        <v>2021</v>
      </c>
    </row>
    <row r="442" spans="1:8" ht="24.65" customHeight="1" x14ac:dyDescent="0.35">
      <c r="A442" s="71" t="s">
        <v>1390</v>
      </c>
      <c r="B442" s="71" t="s">
        <v>1296</v>
      </c>
      <c r="C442" s="37" t="str">
        <f>VLOOKUP(B442,[1]RSE!$B$4:$C$26,2,FALSE)</f>
        <v>Education</v>
      </c>
      <c r="D442" s="37" t="s">
        <v>1395</v>
      </c>
      <c r="E442" s="22">
        <v>6352</v>
      </c>
      <c r="F442" s="71" t="s">
        <v>393</v>
      </c>
      <c r="G442" s="71" t="s">
        <v>136</v>
      </c>
      <c r="H442" s="52">
        <v>2021</v>
      </c>
    </row>
    <row r="443" spans="1:8" ht="24.65" customHeight="1" x14ac:dyDescent="0.35">
      <c r="A443" s="71" t="s">
        <v>1390</v>
      </c>
      <c r="B443" s="71" t="s">
        <v>1296</v>
      </c>
      <c r="C443" s="37" t="str">
        <f>VLOOKUP(B443,[1]RSE!$B$4:$C$26,2,FALSE)</f>
        <v>Education</v>
      </c>
      <c r="D443" s="37" t="s">
        <v>1395</v>
      </c>
      <c r="E443" s="22">
        <v>18000</v>
      </c>
      <c r="F443" s="71" t="s">
        <v>1416</v>
      </c>
      <c r="G443" s="71" t="s">
        <v>136</v>
      </c>
      <c r="H443" s="52">
        <v>2021</v>
      </c>
    </row>
    <row r="444" spans="1:8" ht="24.65" customHeight="1" x14ac:dyDescent="0.35">
      <c r="A444" s="71" t="s">
        <v>1390</v>
      </c>
      <c r="B444" s="71" t="s">
        <v>1296</v>
      </c>
      <c r="C444" s="37" t="str">
        <f>VLOOKUP(B444,[1]RSE!$B$4:$C$26,2,FALSE)</f>
        <v>Education</v>
      </c>
      <c r="D444" s="37" t="s">
        <v>1395</v>
      </c>
      <c r="E444" s="22">
        <v>28184</v>
      </c>
      <c r="F444" s="71" t="s">
        <v>1417</v>
      </c>
      <c r="G444" s="71" t="s">
        <v>136</v>
      </c>
      <c r="H444" s="52">
        <v>2021</v>
      </c>
    </row>
    <row r="445" spans="1:8" ht="24.65" customHeight="1" x14ac:dyDescent="0.35">
      <c r="A445" s="71" t="s">
        <v>1390</v>
      </c>
      <c r="B445" s="71" t="s">
        <v>1265</v>
      </c>
      <c r="C445" s="37" t="str">
        <f>VLOOKUP(B445,[1]RSE!$B$4:$C$26,2,FALSE)</f>
        <v>Agriculture</v>
      </c>
      <c r="D445" s="37" t="s">
        <v>1262</v>
      </c>
      <c r="E445" s="22">
        <v>10613</v>
      </c>
      <c r="F445" s="71" t="s">
        <v>1417</v>
      </c>
      <c r="G445" s="71" t="s">
        <v>136</v>
      </c>
      <c r="H445" s="52">
        <v>2021</v>
      </c>
    </row>
    <row r="446" spans="1:8" ht="24.65" customHeight="1" x14ac:dyDescent="0.35">
      <c r="A446" s="71" t="s">
        <v>1390</v>
      </c>
      <c r="B446" s="37" t="s">
        <v>1260</v>
      </c>
      <c r="C446" s="37" t="str">
        <f>VLOOKUP(B446,[1]RSE!$B$4:$C$26,2,FALSE)</f>
        <v>Infrastructure routière</v>
      </c>
      <c r="D446" s="37" t="s">
        <v>1262</v>
      </c>
      <c r="E446" s="22">
        <v>10937</v>
      </c>
      <c r="F446" s="71" t="s">
        <v>1416</v>
      </c>
      <c r="G446" s="71" t="s">
        <v>136</v>
      </c>
      <c r="H446" s="52">
        <v>2021</v>
      </c>
    </row>
    <row r="447" spans="1:8" ht="24.65" customHeight="1" x14ac:dyDescent="0.35">
      <c r="A447" s="71" t="s">
        <v>1390</v>
      </c>
      <c r="B447" s="71" t="s">
        <v>1270</v>
      </c>
      <c r="C447" s="37" t="str">
        <f>VLOOKUP(B447,[1]RSE!$B$4:$C$26,2,FALSE)</f>
        <v>Santé</v>
      </c>
      <c r="D447" s="37" t="s">
        <v>1282</v>
      </c>
      <c r="E447" s="22">
        <v>6502</v>
      </c>
      <c r="F447" s="71" t="s">
        <v>393</v>
      </c>
      <c r="G447" s="71" t="s">
        <v>136</v>
      </c>
      <c r="H447" s="52">
        <v>2021</v>
      </c>
    </row>
    <row r="448" spans="1:8" ht="24.65" customHeight="1" x14ac:dyDescent="0.35">
      <c r="A448" s="71" t="s">
        <v>1390</v>
      </c>
      <c r="B448" s="71" t="s">
        <v>1296</v>
      </c>
      <c r="C448" s="37" t="str">
        <f>VLOOKUP(B448,[1]RSE!$B$4:$C$26,2,FALSE)</f>
        <v>Education</v>
      </c>
      <c r="D448" s="37" t="s">
        <v>1395</v>
      </c>
      <c r="E448" s="22">
        <v>10165</v>
      </c>
      <c r="F448" s="71" t="s">
        <v>1418</v>
      </c>
      <c r="G448" s="71" t="s">
        <v>136</v>
      </c>
      <c r="H448" s="52">
        <v>2021</v>
      </c>
    </row>
    <row r="449" spans="1:8" ht="24.65" customHeight="1" x14ac:dyDescent="0.35">
      <c r="A449" s="71" t="s">
        <v>1390</v>
      </c>
      <c r="B449" s="71" t="s">
        <v>1419</v>
      </c>
      <c r="C449" s="37" t="str">
        <f>VLOOKUP(B449,[1]RSE!$B$4:$C$26,2,FALSE)</f>
        <v>Activités socio-culturelles</v>
      </c>
      <c r="D449" s="37" t="s">
        <v>1267</v>
      </c>
      <c r="E449" s="22">
        <v>22158</v>
      </c>
      <c r="F449" s="71" t="s">
        <v>1420</v>
      </c>
      <c r="G449" s="71" t="s">
        <v>136</v>
      </c>
      <c r="H449" s="52">
        <v>2021</v>
      </c>
    </row>
    <row r="450" spans="1:8" ht="24.65" customHeight="1" x14ac:dyDescent="0.35">
      <c r="A450" s="71" t="s">
        <v>1390</v>
      </c>
      <c r="B450" s="71" t="s">
        <v>1396</v>
      </c>
      <c r="C450" s="37" t="str">
        <f>VLOOKUP(B450,[1]RSE!$B$4:$C$26,2,FALSE)</f>
        <v>Education</v>
      </c>
      <c r="D450" s="37" t="s">
        <v>1262</v>
      </c>
      <c r="E450" s="22">
        <v>7635</v>
      </c>
      <c r="F450" s="71" t="s">
        <v>1415</v>
      </c>
      <c r="G450" s="71" t="s">
        <v>136</v>
      </c>
      <c r="H450" s="52">
        <v>2021</v>
      </c>
    </row>
    <row r="451" spans="1:8" ht="24.65" customHeight="1" x14ac:dyDescent="0.35">
      <c r="A451" s="71" t="s">
        <v>1390</v>
      </c>
      <c r="B451" s="71" t="s">
        <v>1273</v>
      </c>
      <c r="C451" s="37" t="str">
        <f>VLOOKUP(B451,[1]RSE!$B$4:$C$26,2,FALSE)</f>
        <v>Dons</v>
      </c>
      <c r="D451" s="37" t="s">
        <v>1312</v>
      </c>
      <c r="E451" s="22">
        <v>2738</v>
      </c>
      <c r="F451" s="71" t="s">
        <v>1415</v>
      </c>
      <c r="G451" s="71" t="s">
        <v>136</v>
      </c>
      <c r="H451" s="52">
        <v>2021</v>
      </c>
    </row>
    <row r="452" spans="1:8" ht="24.65" customHeight="1" x14ac:dyDescent="0.35">
      <c r="A452" s="71" t="s">
        <v>1390</v>
      </c>
      <c r="B452" s="71" t="s">
        <v>1270</v>
      </c>
      <c r="C452" s="37" t="str">
        <f>VLOOKUP(B452,[1]RSE!$B$4:$C$26,2,FALSE)</f>
        <v>Santé</v>
      </c>
      <c r="D452" s="37" t="s">
        <v>1282</v>
      </c>
      <c r="E452" s="22">
        <v>7000</v>
      </c>
      <c r="F452" s="71" t="s">
        <v>1415</v>
      </c>
      <c r="G452" s="71" t="s">
        <v>136</v>
      </c>
      <c r="H452" s="52">
        <v>2021</v>
      </c>
    </row>
    <row r="453" spans="1:8" ht="24.65" customHeight="1" x14ac:dyDescent="0.35">
      <c r="A453" s="71" t="s">
        <v>1390</v>
      </c>
      <c r="B453" s="71" t="s">
        <v>1270</v>
      </c>
      <c r="C453" s="37" t="str">
        <f>VLOOKUP(B453,[1]RSE!$B$4:$C$26,2,FALSE)</f>
        <v>Santé</v>
      </c>
      <c r="D453" s="37" t="s">
        <v>1282</v>
      </c>
      <c r="E453" s="22">
        <v>3000</v>
      </c>
      <c r="F453" s="71" t="s">
        <v>1415</v>
      </c>
      <c r="G453" s="71" t="s">
        <v>136</v>
      </c>
      <c r="H453" s="52">
        <v>2021</v>
      </c>
    </row>
    <row r="454" spans="1:8" ht="24.65" customHeight="1" x14ac:dyDescent="0.35">
      <c r="A454" s="71" t="s">
        <v>1390</v>
      </c>
      <c r="B454" s="71" t="s">
        <v>1421</v>
      </c>
      <c r="C454" s="37" t="str">
        <f>VLOOKUP(B454,[1]RSE!$B$4:$C$26,2,FALSE)</f>
        <v>Eaux et assainissement des eaux</v>
      </c>
      <c r="D454" s="37" t="s">
        <v>1262</v>
      </c>
      <c r="E454" s="22">
        <v>10584</v>
      </c>
      <c r="F454" s="71" t="s">
        <v>1417</v>
      </c>
      <c r="G454" s="71" t="s">
        <v>136</v>
      </c>
      <c r="H454" s="52">
        <v>2021</v>
      </c>
    </row>
    <row r="455" spans="1:8" ht="24.65" customHeight="1" x14ac:dyDescent="0.35">
      <c r="A455" s="71" t="s">
        <v>1390</v>
      </c>
      <c r="B455" s="71" t="s">
        <v>1419</v>
      </c>
      <c r="C455" s="37" t="str">
        <f>VLOOKUP(B455,[1]RSE!$B$4:$C$26,2,FALSE)</f>
        <v>Activités socio-culturelles</v>
      </c>
      <c r="D455" s="37" t="s">
        <v>1267</v>
      </c>
      <c r="E455" s="22">
        <v>7600</v>
      </c>
      <c r="F455" s="71" t="s">
        <v>1416</v>
      </c>
      <c r="G455" s="71" t="s">
        <v>136</v>
      </c>
      <c r="H455" s="52">
        <v>2021</v>
      </c>
    </row>
    <row r="456" spans="1:8" ht="24.65" customHeight="1" x14ac:dyDescent="0.35">
      <c r="A456" s="71" t="s">
        <v>1390</v>
      </c>
      <c r="B456" s="71" t="s">
        <v>1396</v>
      </c>
      <c r="C456" s="37" t="str">
        <f>VLOOKUP(B456,[1]RSE!$B$4:$C$26,2,FALSE)</f>
        <v>Education</v>
      </c>
      <c r="D456" s="37" t="s">
        <v>1395</v>
      </c>
      <c r="E456" s="22">
        <v>41460</v>
      </c>
      <c r="F456" s="71" t="s">
        <v>1420</v>
      </c>
      <c r="G456" s="71" t="s">
        <v>136</v>
      </c>
      <c r="H456" s="52">
        <v>2021</v>
      </c>
    </row>
    <row r="457" spans="1:8" ht="24.65" customHeight="1" x14ac:dyDescent="0.35">
      <c r="A457" s="71" t="s">
        <v>1390</v>
      </c>
      <c r="B457" s="71" t="s">
        <v>1296</v>
      </c>
      <c r="C457" s="37" t="str">
        <f>VLOOKUP(B457,[1]RSE!$B$4:$C$26,2,FALSE)</f>
        <v>Education</v>
      </c>
      <c r="D457" s="37" t="s">
        <v>1395</v>
      </c>
      <c r="E457" s="22">
        <v>4772</v>
      </c>
      <c r="F457" s="71" t="s">
        <v>1417</v>
      </c>
      <c r="G457" s="71" t="s">
        <v>136</v>
      </c>
      <c r="H457" s="52">
        <v>2021</v>
      </c>
    </row>
    <row r="458" spans="1:8" ht="24.65" customHeight="1" x14ac:dyDescent="0.35">
      <c r="A458" s="71" t="s">
        <v>1390</v>
      </c>
      <c r="B458" s="71" t="s">
        <v>1421</v>
      </c>
      <c r="C458" s="37" t="str">
        <f>VLOOKUP(B458,[1]RSE!$B$4:$C$26,2,FALSE)</f>
        <v>Eaux et assainissement des eaux</v>
      </c>
      <c r="D458" s="37" t="s">
        <v>1262</v>
      </c>
      <c r="E458" s="22">
        <v>2700</v>
      </c>
      <c r="F458" s="71" t="s">
        <v>1422</v>
      </c>
      <c r="G458" s="71" t="s">
        <v>136</v>
      </c>
      <c r="H458" s="52">
        <v>2021</v>
      </c>
    </row>
    <row r="459" spans="1:8" ht="24.65" customHeight="1" x14ac:dyDescent="0.35">
      <c r="A459" s="71" t="s">
        <v>1390</v>
      </c>
      <c r="B459" s="71" t="s">
        <v>1270</v>
      </c>
      <c r="C459" s="37" t="str">
        <f>VLOOKUP(B459,[1]RSE!$B$4:$C$26,2,FALSE)</f>
        <v>Santé</v>
      </c>
      <c r="D459" s="37" t="s">
        <v>1282</v>
      </c>
      <c r="E459" s="22">
        <v>4000</v>
      </c>
      <c r="F459" s="71" t="s">
        <v>1423</v>
      </c>
      <c r="G459" s="71" t="s">
        <v>136</v>
      </c>
      <c r="H459" s="52">
        <v>2021</v>
      </c>
    </row>
    <row r="460" spans="1:8" ht="24.65" customHeight="1" x14ac:dyDescent="0.35">
      <c r="A460" s="71" t="s">
        <v>1390</v>
      </c>
      <c r="B460" s="71" t="s">
        <v>1421</v>
      </c>
      <c r="C460" s="37" t="str">
        <f>VLOOKUP(B460,[1]RSE!$B$4:$C$26,2,FALSE)</f>
        <v>Eaux et assainissement des eaux</v>
      </c>
      <c r="D460" s="37" t="s">
        <v>1262</v>
      </c>
      <c r="E460" s="22">
        <v>4848</v>
      </c>
      <c r="F460" s="71" t="s">
        <v>393</v>
      </c>
      <c r="G460" s="71" t="s">
        <v>136</v>
      </c>
      <c r="H460" s="52">
        <v>2021</v>
      </c>
    </row>
    <row r="461" spans="1:8" ht="24.65" customHeight="1" x14ac:dyDescent="0.35">
      <c r="A461" s="71" t="s">
        <v>1390</v>
      </c>
      <c r="B461" s="71" t="s">
        <v>1270</v>
      </c>
      <c r="C461" s="37" t="str">
        <f>VLOOKUP(B461,[1]RSE!$B$4:$C$26,2,FALSE)</f>
        <v>Santé</v>
      </c>
      <c r="D461" s="37" t="s">
        <v>1282</v>
      </c>
      <c r="E461" s="22">
        <v>9858</v>
      </c>
      <c r="F461" s="71" t="s">
        <v>393</v>
      </c>
      <c r="G461" s="71" t="s">
        <v>136</v>
      </c>
      <c r="H461" s="52">
        <v>2021</v>
      </c>
    </row>
    <row r="462" spans="1:8" ht="24.65" customHeight="1" x14ac:dyDescent="0.35">
      <c r="A462" s="71" t="s">
        <v>1390</v>
      </c>
      <c r="B462" s="71" t="s">
        <v>1419</v>
      </c>
      <c r="C462" s="37" t="str">
        <f>VLOOKUP(B462,[1]RSE!$B$4:$C$26,2,FALSE)</f>
        <v>Activités socio-culturelles</v>
      </c>
      <c r="D462" s="37" t="s">
        <v>1267</v>
      </c>
      <c r="E462" s="22">
        <v>20389</v>
      </c>
      <c r="F462" s="71" t="s">
        <v>1415</v>
      </c>
      <c r="G462" s="71" t="s">
        <v>136</v>
      </c>
      <c r="H462" s="52">
        <v>2021</v>
      </c>
    </row>
    <row r="463" spans="1:8" ht="24.65" customHeight="1" x14ac:dyDescent="0.35">
      <c r="A463" s="71" t="s">
        <v>1390</v>
      </c>
      <c r="B463" s="71" t="s">
        <v>1270</v>
      </c>
      <c r="C463" s="37" t="str">
        <f>VLOOKUP(B463,[1]RSE!$B$4:$C$26,2,FALSE)</f>
        <v>Santé</v>
      </c>
      <c r="D463" s="37" t="s">
        <v>1282</v>
      </c>
      <c r="E463" s="22">
        <v>5260</v>
      </c>
      <c r="F463" s="71" t="s">
        <v>1424</v>
      </c>
      <c r="G463" s="71" t="s">
        <v>136</v>
      </c>
      <c r="H463" s="52">
        <v>2021</v>
      </c>
    </row>
    <row r="464" spans="1:8" ht="24.65" customHeight="1" x14ac:dyDescent="0.35">
      <c r="A464" s="71" t="s">
        <v>1390</v>
      </c>
      <c r="B464" s="71" t="s">
        <v>1296</v>
      </c>
      <c r="C464" s="37" t="str">
        <f>VLOOKUP(B464,[1]RSE!$B$4:$C$26,2,FALSE)</f>
        <v>Education</v>
      </c>
      <c r="D464" s="37" t="s">
        <v>1395</v>
      </c>
      <c r="E464" s="22">
        <v>10208</v>
      </c>
      <c r="F464" s="71" t="s">
        <v>1416</v>
      </c>
      <c r="G464" s="71" t="s">
        <v>136</v>
      </c>
      <c r="H464" s="52">
        <v>2021</v>
      </c>
    </row>
    <row r="465" spans="1:8" ht="24.65" customHeight="1" x14ac:dyDescent="0.35">
      <c r="A465" s="71" t="s">
        <v>1390</v>
      </c>
      <c r="B465" s="37" t="s">
        <v>1278</v>
      </c>
      <c r="C465" s="37" t="str">
        <f>VLOOKUP(B465,[1]RSE!$B$4:$C$26,2,FALSE)</f>
        <v>Activités socio-culturelles</v>
      </c>
      <c r="D465" s="37" t="s">
        <v>1275</v>
      </c>
      <c r="E465" s="22">
        <v>44485</v>
      </c>
      <c r="F465" s="71" t="s">
        <v>1415</v>
      </c>
      <c r="G465" s="71" t="s">
        <v>136</v>
      </c>
      <c r="H465" s="52">
        <v>2021</v>
      </c>
    </row>
    <row r="466" spans="1:8" ht="24.65" customHeight="1" x14ac:dyDescent="0.35">
      <c r="A466" s="71" t="s">
        <v>1390</v>
      </c>
      <c r="B466" s="71" t="s">
        <v>1265</v>
      </c>
      <c r="C466" s="37" t="str">
        <f>VLOOKUP(B466,[1]RSE!$B$4:$C$26,2,FALSE)</f>
        <v>Agriculture</v>
      </c>
      <c r="D466" s="37" t="s">
        <v>1262</v>
      </c>
      <c r="E466" s="22">
        <v>30000</v>
      </c>
      <c r="F466" s="71" t="s">
        <v>1415</v>
      </c>
      <c r="G466" s="71" t="s">
        <v>136</v>
      </c>
      <c r="H466" s="52">
        <v>2021</v>
      </c>
    </row>
    <row r="467" spans="1:8" ht="24.65" customHeight="1" x14ac:dyDescent="0.35">
      <c r="A467" s="71" t="s">
        <v>1390</v>
      </c>
      <c r="B467" s="71" t="s">
        <v>1270</v>
      </c>
      <c r="C467" s="37" t="str">
        <f>VLOOKUP(B467,[1]RSE!$B$4:$C$26,2,FALSE)</f>
        <v>Santé</v>
      </c>
      <c r="D467" s="37" t="s">
        <v>1282</v>
      </c>
      <c r="E467" s="22">
        <v>7000</v>
      </c>
      <c r="F467" s="71" t="s">
        <v>1415</v>
      </c>
      <c r="G467" s="71" t="s">
        <v>136</v>
      </c>
      <c r="H467" s="52">
        <v>2021</v>
      </c>
    </row>
    <row r="468" spans="1:8" ht="24.65" customHeight="1" x14ac:dyDescent="0.35">
      <c r="A468" s="71" t="s">
        <v>1390</v>
      </c>
      <c r="B468" s="71" t="s">
        <v>1265</v>
      </c>
      <c r="C468" s="37" t="str">
        <f>VLOOKUP(B468,[1]RSE!$B$4:$C$26,2,FALSE)</f>
        <v>Agriculture</v>
      </c>
      <c r="D468" s="37" t="s">
        <v>1262</v>
      </c>
      <c r="E468" s="22">
        <v>1962</v>
      </c>
      <c r="F468" s="71" t="s">
        <v>1425</v>
      </c>
      <c r="G468" s="71" t="s">
        <v>136</v>
      </c>
      <c r="H468" s="52">
        <v>2021</v>
      </c>
    </row>
    <row r="469" spans="1:8" ht="24.65" customHeight="1" x14ac:dyDescent="0.35">
      <c r="A469" s="71" t="s">
        <v>1390</v>
      </c>
      <c r="B469" s="71" t="s">
        <v>1273</v>
      </c>
      <c r="C469" s="37" t="str">
        <f>VLOOKUP(B469,[1]RSE!$B$4:$C$26,2,FALSE)</f>
        <v>Dons</v>
      </c>
      <c r="D469" s="37" t="s">
        <v>1262</v>
      </c>
      <c r="E469" s="22">
        <v>22714</v>
      </c>
      <c r="F469" s="71" t="s">
        <v>1415</v>
      </c>
      <c r="G469" s="71" t="s">
        <v>136</v>
      </c>
      <c r="H469" s="52">
        <v>2021</v>
      </c>
    </row>
    <row r="470" spans="1:8" ht="24.65" customHeight="1" x14ac:dyDescent="0.35">
      <c r="A470" s="71" t="s">
        <v>62</v>
      </c>
      <c r="B470" s="71" t="s">
        <v>1426</v>
      </c>
      <c r="C470" s="37" t="str">
        <f>VLOOKUP(B470,[1]RSE!$B$4:$C$26,2,FALSE)</f>
        <v>Infrastructure routière</v>
      </c>
      <c r="D470" s="37" t="s">
        <v>1262</v>
      </c>
      <c r="E470" s="22">
        <v>1870</v>
      </c>
      <c r="F470" s="71" t="s">
        <v>291</v>
      </c>
      <c r="G470" s="37" t="s">
        <v>1294</v>
      </c>
      <c r="H470" s="52">
        <v>2021</v>
      </c>
    </row>
    <row r="471" spans="1:8" ht="24.65" customHeight="1" x14ac:dyDescent="0.35">
      <c r="A471" s="71" t="s">
        <v>62</v>
      </c>
      <c r="B471" s="71" t="s">
        <v>1427</v>
      </c>
      <c r="C471" s="37" t="str">
        <f>VLOOKUP(B471,[1]RSE!$B$4:$C$26,2,FALSE)</f>
        <v>Electrification</v>
      </c>
      <c r="D471" s="37" t="s">
        <v>1262</v>
      </c>
      <c r="E471" s="22">
        <v>3380</v>
      </c>
      <c r="F471" s="71" t="s">
        <v>291</v>
      </c>
      <c r="G471" s="37" t="s">
        <v>1294</v>
      </c>
      <c r="H471" s="52">
        <v>2021</v>
      </c>
    </row>
    <row r="472" spans="1:8" ht="24.65" customHeight="1" x14ac:dyDescent="0.35">
      <c r="A472" s="71" t="s">
        <v>62</v>
      </c>
      <c r="B472" s="71" t="s">
        <v>1396</v>
      </c>
      <c r="C472" s="37" t="str">
        <f>VLOOKUP(B472,[1]RSE!$B$4:$C$26,2,FALSE)</f>
        <v>Education</v>
      </c>
      <c r="D472" s="37" t="s">
        <v>1395</v>
      </c>
      <c r="E472" s="22">
        <v>3199</v>
      </c>
      <c r="F472" s="71" t="s">
        <v>1428</v>
      </c>
      <c r="G472" s="71" t="s">
        <v>66</v>
      </c>
      <c r="H472" s="52">
        <v>2021</v>
      </c>
    </row>
    <row r="473" spans="1:8" ht="24.65" customHeight="1" x14ac:dyDescent="0.35">
      <c r="A473" s="71" t="s">
        <v>62</v>
      </c>
      <c r="B473" s="71" t="s">
        <v>1396</v>
      </c>
      <c r="C473" s="37" t="str">
        <f>VLOOKUP(B473,[1]RSE!$B$4:$C$26,2,FALSE)</f>
        <v>Education</v>
      </c>
      <c r="D473" s="37" t="s">
        <v>1395</v>
      </c>
      <c r="E473" s="22">
        <v>2550</v>
      </c>
      <c r="F473" s="71" t="s">
        <v>1428</v>
      </c>
      <c r="G473" s="71" t="s">
        <v>66</v>
      </c>
      <c r="H473" s="52">
        <v>2021</v>
      </c>
    </row>
    <row r="474" spans="1:8" ht="24.65" customHeight="1" x14ac:dyDescent="0.35">
      <c r="A474" s="71" t="s">
        <v>62</v>
      </c>
      <c r="B474" s="16" t="s">
        <v>1429</v>
      </c>
      <c r="C474" s="37" t="str">
        <f>VLOOKUP(B474,[1]RSE!$B$4:$C$26,2,FALSE)</f>
        <v>Infrastructure routière</v>
      </c>
      <c r="D474" s="37" t="s">
        <v>1262</v>
      </c>
      <c r="E474" s="22">
        <v>40000</v>
      </c>
      <c r="F474" s="71" t="s">
        <v>1428</v>
      </c>
      <c r="G474" s="71" t="s">
        <v>66</v>
      </c>
      <c r="H474" s="52">
        <v>2021</v>
      </c>
    </row>
    <row r="475" spans="1:8" ht="24.65" customHeight="1" x14ac:dyDescent="0.35">
      <c r="A475" s="71" t="s">
        <v>62</v>
      </c>
      <c r="B475" s="71" t="s">
        <v>1430</v>
      </c>
      <c r="C475" s="37" t="str">
        <f>VLOOKUP(B475,[1]RSE!$B$4:$C$26,2,FALSE)</f>
        <v>Infrastructure routière</v>
      </c>
      <c r="D475" s="37" t="s">
        <v>1262</v>
      </c>
      <c r="E475" s="22">
        <v>50100</v>
      </c>
      <c r="F475" s="71" t="s">
        <v>1428</v>
      </c>
      <c r="G475" s="71" t="s">
        <v>66</v>
      </c>
      <c r="H475" s="52">
        <v>2021</v>
      </c>
    </row>
    <row r="476" spans="1:8" ht="24.65" customHeight="1" x14ac:dyDescent="0.35">
      <c r="A476" s="71" t="s">
        <v>1391</v>
      </c>
      <c r="B476" s="71" t="s">
        <v>1270</v>
      </c>
      <c r="C476" s="37" t="str">
        <f>VLOOKUP(B476,[1]RSE!$B$4:$C$26,2,FALSE)</f>
        <v>Santé</v>
      </c>
      <c r="D476" s="37" t="s">
        <v>1262</v>
      </c>
      <c r="E476" s="22">
        <v>300</v>
      </c>
      <c r="F476" s="71" t="s">
        <v>1431</v>
      </c>
      <c r="G476" s="37" t="s">
        <v>78</v>
      </c>
      <c r="H476" s="52">
        <v>2021</v>
      </c>
    </row>
    <row r="477" spans="1:8" ht="24.65" customHeight="1" x14ac:dyDescent="0.35">
      <c r="A477" s="71" t="s">
        <v>1391</v>
      </c>
      <c r="B477" s="71" t="s">
        <v>1265</v>
      </c>
      <c r="C477" s="37" t="str">
        <f>VLOOKUP(B477,[1]RSE!$B$4:$C$26,2,FALSE)</f>
        <v>Agriculture</v>
      </c>
      <c r="D477" s="37" t="s">
        <v>1262</v>
      </c>
      <c r="E477" s="22">
        <v>300</v>
      </c>
      <c r="F477" s="71" t="s">
        <v>1431</v>
      </c>
      <c r="G477" s="37" t="s">
        <v>78</v>
      </c>
      <c r="H477" s="52">
        <v>2021</v>
      </c>
    </row>
    <row r="478" spans="1:8" ht="24.65" customHeight="1" x14ac:dyDescent="0.35">
      <c r="A478" s="71" t="s">
        <v>1391</v>
      </c>
      <c r="B478" s="71" t="s">
        <v>1411</v>
      </c>
      <c r="C478" s="37" t="str">
        <f>VLOOKUP(B478,[1]RSE!$B$4:$C$26,2,FALSE)</f>
        <v>Infrastructure routière</v>
      </c>
      <c r="D478" s="37" t="s">
        <v>1262</v>
      </c>
      <c r="E478" s="22">
        <v>7000</v>
      </c>
      <c r="F478" s="71" t="s">
        <v>1431</v>
      </c>
      <c r="G478" s="37" t="s">
        <v>78</v>
      </c>
      <c r="H478" s="52">
        <v>2021</v>
      </c>
    </row>
    <row r="479" spans="1:8" ht="24.65" customHeight="1" x14ac:dyDescent="0.35">
      <c r="A479" s="71" t="s">
        <v>1392</v>
      </c>
      <c r="B479" s="71" t="s">
        <v>1270</v>
      </c>
      <c r="C479" s="37" t="str">
        <f>VLOOKUP(B479,[1]RSE!$B$4:$C$26,2,FALSE)</f>
        <v>Santé</v>
      </c>
      <c r="D479" s="37" t="s">
        <v>1282</v>
      </c>
      <c r="E479" s="22">
        <v>19897.394</v>
      </c>
      <c r="F479" s="71" t="s">
        <v>1432</v>
      </c>
      <c r="G479" s="71" t="s">
        <v>78</v>
      </c>
      <c r="H479" s="52">
        <v>2021</v>
      </c>
    </row>
    <row r="480" spans="1:8" ht="24.65" customHeight="1" x14ac:dyDescent="0.35">
      <c r="A480" s="71" t="s">
        <v>1392</v>
      </c>
      <c r="B480" s="71" t="s">
        <v>1270</v>
      </c>
      <c r="C480" s="37" t="str">
        <f>VLOOKUP(B480,[1]RSE!$B$4:$C$26,2,FALSE)</f>
        <v>Santé</v>
      </c>
      <c r="D480" s="37" t="s">
        <v>1262</v>
      </c>
      <c r="E480" s="22">
        <v>15913.74</v>
      </c>
      <c r="F480" s="71" t="s">
        <v>1433</v>
      </c>
      <c r="G480" s="71" t="s">
        <v>2</v>
      </c>
      <c r="H480" s="52">
        <v>2021</v>
      </c>
    </row>
    <row r="481" spans="1:8" ht="24.65" customHeight="1" x14ac:dyDescent="0.35">
      <c r="A481" s="71" t="s">
        <v>1392</v>
      </c>
      <c r="B481" s="71" t="s">
        <v>1396</v>
      </c>
      <c r="C481" s="37" t="str">
        <f>VLOOKUP(B481,[1]RSE!$B$4:$C$26,2,FALSE)</f>
        <v>Education</v>
      </c>
      <c r="D481" s="37" t="s">
        <v>1395</v>
      </c>
      <c r="E481" s="22">
        <v>147912.60200000001</v>
      </c>
      <c r="F481" s="71" t="s">
        <v>1434</v>
      </c>
      <c r="G481" s="37" t="s">
        <v>78</v>
      </c>
      <c r="H481" s="52">
        <v>2021</v>
      </c>
    </row>
    <row r="482" spans="1:8" ht="24.65" customHeight="1" x14ac:dyDescent="0.35">
      <c r="A482" s="71" t="s">
        <v>1392</v>
      </c>
      <c r="B482" s="71" t="s">
        <v>1260</v>
      </c>
      <c r="C482" s="37" t="str">
        <f>VLOOKUP(B482,[1]RSE!$B$4:$C$26,2,FALSE)</f>
        <v>Infrastructure routière</v>
      </c>
      <c r="D482" s="37" t="s">
        <v>1262</v>
      </c>
      <c r="E482" s="22">
        <v>12626.98</v>
      </c>
      <c r="F482" s="71" t="s">
        <v>1433</v>
      </c>
      <c r="G482" s="37" t="s">
        <v>78</v>
      </c>
      <c r="H482" s="52">
        <v>2021</v>
      </c>
    </row>
    <row r="483" spans="1:8" ht="24.65" customHeight="1" x14ac:dyDescent="0.35">
      <c r="A483" s="71" t="s">
        <v>1392</v>
      </c>
      <c r="B483" s="71" t="s">
        <v>1273</v>
      </c>
      <c r="C483" s="37" t="str">
        <f>VLOOKUP(B483,[1]RSE!$B$4:$C$26,2,FALSE)</f>
        <v>Dons</v>
      </c>
      <c r="D483" s="37" t="s">
        <v>1262</v>
      </c>
      <c r="E483" s="22">
        <v>6645.2950000000001</v>
      </c>
      <c r="F483" s="71" t="s">
        <v>1435</v>
      </c>
      <c r="G483" s="37" t="s">
        <v>78</v>
      </c>
      <c r="H483" s="52">
        <v>2021</v>
      </c>
    </row>
    <row r="484" spans="1:8" ht="24.65" customHeight="1" x14ac:dyDescent="0.35">
      <c r="A484" s="71" t="s">
        <v>1392</v>
      </c>
      <c r="B484" s="71" t="s">
        <v>1421</v>
      </c>
      <c r="C484" s="37" t="str">
        <f>VLOOKUP(B484,[1]RSE!$B$4:$C$26,2,FALSE)</f>
        <v>Eaux et assainissement des eaux</v>
      </c>
      <c r="D484" s="37" t="s">
        <v>1262</v>
      </c>
      <c r="E484" s="22">
        <v>11500</v>
      </c>
      <c r="F484" s="71" t="s">
        <v>1433</v>
      </c>
      <c r="G484" s="37" t="s">
        <v>78</v>
      </c>
      <c r="H484" s="52">
        <v>2021</v>
      </c>
    </row>
    <row r="485" spans="1:8" ht="24.65" customHeight="1" x14ac:dyDescent="0.35">
      <c r="A485" s="71" t="s">
        <v>1392</v>
      </c>
      <c r="B485" s="71" t="s">
        <v>1419</v>
      </c>
      <c r="C485" s="37" t="str">
        <f>VLOOKUP(B485,[1]RSE!$B$4:$C$26,2,FALSE)</f>
        <v>Activités socio-culturelles</v>
      </c>
      <c r="D485" s="37" t="s">
        <v>1262</v>
      </c>
      <c r="E485" s="22">
        <v>54544.9</v>
      </c>
      <c r="F485" s="71" t="s">
        <v>66</v>
      </c>
      <c r="G485" s="71" t="s">
        <v>66</v>
      </c>
      <c r="H485" s="52">
        <v>2021</v>
      </c>
    </row>
    <row r="486" spans="1:8" ht="24.65" customHeight="1" x14ac:dyDescent="0.35">
      <c r="A486" s="71" t="s">
        <v>292</v>
      </c>
      <c r="B486" s="71" t="s">
        <v>1270</v>
      </c>
      <c r="C486" s="37" t="str">
        <f>VLOOKUP(B486,[1]RSE!$B$4:$C$26,2,FALSE)</f>
        <v>Santé</v>
      </c>
      <c r="D486" s="37" t="s">
        <v>1262</v>
      </c>
      <c r="E486" s="22">
        <v>5500</v>
      </c>
      <c r="F486" s="71" t="s">
        <v>1436</v>
      </c>
      <c r="G486" s="71" t="s">
        <v>1408</v>
      </c>
      <c r="H486" s="52">
        <v>2021</v>
      </c>
    </row>
    <row r="487" spans="1:8" ht="24.65" customHeight="1" x14ac:dyDescent="0.35">
      <c r="A487" s="71" t="s">
        <v>292</v>
      </c>
      <c r="B487" s="71" t="s">
        <v>1410</v>
      </c>
      <c r="C487" s="37" t="str">
        <f>VLOOKUP(B487,[1]RSE!$B$4:$C$26,2,FALSE)</f>
        <v>Eaux et assainissement des eaux</v>
      </c>
      <c r="D487" s="37" t="s">
        <v>1262</v>
      </c>
      <c r="E487" s="22">
        <v>6670</v>
      </c>
      <c r="F487" s="71" t="s">
        <v>1436</v>
      </c>
      <c r="G487" s="71" t="s">
        <v>1408</v>
      </c>
      <c r="H487" s="52">
        <v>2021</v>
      </c>
    </row>
    <row r="488" spans="1:8" ht="24.65" customHeight="1" x14ac:dyDescent="0.35">
      <c r="A488" s="71" t="s">
        <v>128</v>
      </c>
      <c r="B488" s="71" t="s">
        <v>1270</v>
      </c>
      <c r="C488" s="37" t="str">
        <f>VLOOKUP(B488,[1]RSE!$B$4:$C$26,2,FALSE)</f>
        <v>Santé</v>
      </c>
      <c r="D488" s="37" t="s">
        <v>1262</v>
      </c>
      <c r="E488" s="22">
        <v>12430</v>
      </c>
      <c r="F488" s="71" t="s">
        <v>575</v>
      </c>
      <c r="G488" s="71" t="s">
        <v>575</v>
      </c>
      <c r="H488" s="52">
        <v>2021</v>
      </c>
    </row>
    <row r="489" spans="1:8" ht="24.65" customHeight="1" x14ac:dyDescent="0.35">
      <c r="A489" s="71" t="s">
        <v>128</v>
      </c>
      <c r="B489" s="71" t="s">
        <v>1396</v>
      </c>
      <c r="C489" s="37" t="str">
        <f>VLOOKUP(B489,[1]RSE!$B$4:$C$26,2,FALSE)</f>
        <v>Education</v>
      </c>
      <c r="D489" s="37" t="s">
        <v>1395</v>
      </c>
      <c r="E489" s="22">
        <v>54204</v>
      </c>
      <c r="F489" s="71" t="s">
        <v>1438</v>
      </c>
      <c r="G489" s="71" t="s">
        <v>1438</v>
      </c>
      <c r="H489" s="52">
        <v>2021</v>
      </c>
    </row>
    <row r="490" spans="1:8" ht="24.65" customHeight="1" x14ac:dyDescent="0.35">
      <c r="A490" s="71" t="s">
        <v>128</v>
      </c>
      <c r="B490" s="71" t="s">
        <v>1273</v>
      </c>
      <c r="C490" s="37" t="str">
        <f>VLOOKUP(B490,[1]RSE!$B$4:$C$26,2,FALSE)</f>
        <v>Dons</v>
      </c>
      <c r="D490" s="37" t="s">
        <v>1262</v>
      </c>
      <c r="E490" s="22">
        <v>311116</v>
      </c>
      <c r="F490" s="71" t="s">
        <v>1439</v>
      </c>
      <c r="G490" s="71" t="s">
        <v>575</v>
      </c>
      <c r="H490" s="52">
        <v>2021</v>
      </c>
    </row>
    <row r="491" spans="1:8" ht="24.65" customHeight="1" x14ac:dyDescent="0.35">
      <c r="A491" s="71" t="s">
        <v>128</v>
      </c>
      <c r="B491" s="71" t="s">
        <v>1419</v>
      </c>
      <c r="C491" s="37" t="str">
        <f>VLOOKUP(B491,[1]RSE!$B$4:$C$26,2,FALSE)</f>
        <v>Activités socio-culturelles</v>
      </c>
      <c r="D491" s="37" t="s">
        <v>1376</v>
      </c>
      <c r="E491" s="22">
        <v>218628</v>
      </c>
      <c r="F491" s="71" t="s">
        <v>1439</v>
      </c>
      <c r="G491" s="71" t="s">
        <v>575</v>
      </c>
      <c r="H491" s="52">
        <v>2021</v>
      </c>
    </row>
    <row r="492" spans="1:8" ht="24.65" customHeight="1" x14ac:dyDescent="0.35">
      <c r="A492" s="71" t="s">
        <v>128</v>
      </c>
      <c r="B492" s="71" t="s">
        <v>1270</v>
      </c>
      <c r="C492" s="37" t="str">
        <f>VLOOKUP(B492,[1]RSE!$B$4:$C$26,2,FALSE)</f>
        <v>Santé</v>
      </c>
      <c r="D492" s="37" t="s">
        <v>1262</v>
      </c>
      <c r="E492" s="22">
        <v>557851</v>
      </c>
      <c r="F492" s="71" t="s">
        <v>1440</v>
      </c>
      <c r="G492" s="71" t="s">
        <v>1440</v>
      </c>
      <c r="H492" s="52">
        <v>2021</v>
      </c>
    </row>
    <row r="493" spans="1:8" ht="24.65" customHeight="1" x14ac:dyDescent="0.35">
      <c r="A493" s="17" t="s">
        <v>14</v>
      </c>
      <c r="B493" s="17" t="s">
        <v>1270</v>
      </c>
      <c r="C493" s="17" t="s">
        <v>146</v>
      </c>
      <c r="D493" s="52" t="s">
        <v>1282</v>
      </c>
      <c r="E493" s="22">
        <v>235</v>
      </c>
      <c r="F493" s="17" t="s">
        <v>20</v>
      </c>
      <c r="G493" s="17" t="s">
        <v>20</v>
      </c>
      <c r="H493" s="52">
        <v>2022</v>
      </c>
    </row>
    <row r="494" spans="1:8" ht="24.65" customHeight="1" x14ac:dyDescent="0.35">
      <c r="A494" s="17" t="s">
        <v>14</v>
      </c>
      <c r="B494" s="17" t="s">
        <v>1273</v>
      </c>
      <c r="C494" s="17" t="s">
        <v>146</v>
      </c>
      <c r="D494" s="52" t="s">
        <v>1262</v>
      </c>
      <c r="E494" s="22">
        <v>360</v>
      </c>
      <c r="F494" s="17" t="s">
        <v>20</v>
      </c>
      <c r="G494" s="17" t="s">
        <v>20</v>
      </c>
      <c r="H494" s="52">
        <v>2022</v>
      </c>
    </row>
    <row r="495" spans="1:8" ht="24.65" customHeight="1" x14ac:dyDescent="0.35">
      <c r="A495" s="17" t="s">
        <v>14</v>
      </c>
      <c r="B495" s="17" t="s">
        <v>1296</v>
      </c>
      <c r="C495" s="17" t="s">
        <v>146</v>
      </c>
      <c r="D495" s="17" t="s">
        <v>1441</v>
      </c>
      <c r="E495" s="22">
        <v>500</v>
      </c>
      <c r="F495" s="17" t="s">
        <v>131</v>
      </c>
      <c r="G495" s="17" t="s">
        <v>131</v>
      </c>
      <c r="H495" s="52">
        <v>2022</v>
      </c>
    </row>
    <row r="496" spans="1:8" ht="24.65" customHeight="1" x14ac:dyDescent="0.35">
      <c r="A496" s="17" t="s">
        <v>14</v>
      </c>
      <c r="B496" s="17" t="s">
        <v>1273</v>
      </c>
      <c r="C496" s="17" t="s">
        <v>146</v>
      </c>
      <c r="D496" s="17" t="s">
        <v>1262</v>
      </c>
      <c r="E496" s="22">
        <v>18463</v>
      </c>
      <c r="F496" s="17" t="s">
        <v>20</v>
      </c>
      <c r="G496" s="17" t="s">
        <v>20</v>
      </c>
      <c r="H496" s="52">
        <v>2022</v>
      </c>
    </row>
    <row r="497" spans="1:8" ht="24.65" customHeight="1" x14ac:dyDescent="0.35">
      <c r="A497" s="17" t="s">
        <v>14</v>
      </c>
      <c r="B497" s="17" t="s">
        <v>1265</v>
      </c>
      <c r="C497" s="17" t="s">
        <v>1442</v>
      </c>
      <c r="D497" s="17" t="s">
        <v>1275</v>
      </c>
      <c r="E497" s="22">
        <v>7752</v>
      </c>
      <c r="F497" s="17" t="s">
        <v>20</v>
      </c>
      <c r="G497" s="17" t="s">
        <v>20</v>
      </c>
      <c r="H497" s="52">
        <v>2022</v>
      </c>
    </row>
    <row r="498" spans="1:8" ht="24.65" customHeight="1" x14ac:dyDescent="0.35">
      <c r="A498" s="17" t="s">
        <v>14</v>
      </c>
      <c r="B498" s="17" t="s">
        <v>1270</v>
      </c>
      <c r="C498" s="17" t="s">
        <v>146</v>
      </c>
      <c r="D498" s="17" t="s">
        <v>1282</v>
      </c>
      <c r="E498" s="22">
        <v>4997</v>
      </c>
      <c r="F498" s="17" t="s">
        <v>136</v>
      </c>
      <c r="G498" s="17" t="s">
        <v>136</v>
      </c>
      <c r="H498" s="52">
        <v>2022</v>
      </c>
    </row>
    <row r="499" spans="1:8" ht="24.65" customHeight="1" x14ac:dyDescent="0.35">
      <c r="A499" s="17" t="s">
        <v>14</v>
      </c>
      <c r="B499" s="17" t="s">
        <v>1270</v>
      </c>
      <c r="C499" s="17" t="s">
        <v>146</v>
      </c>
      <c r="D499" s="17" t="s">
        <v>1282</v>
      </c>
      <c r="E499" s="22">
        <v>2199</v>
      </c>
      <c r="F499" s="17" t="s">
        <v>136</v>
      </c>
      <c r="G499" s="17" t="s">
        <v>136</v>
      </c>
      <c r="H499" s="52">
        <v>2022</v>
      </c>
    </row>
    <row r="500" spans="1:8" ht="24.65" customHeight="1" x14ac:dyDescent="0.35">
      <c r="A500" s="17" t="s">
        <v>14</v>
      </c>
      <c r="B500" s="17" t="s">
        <v>1296</v>
      </c>
      <c r="C500" s="17" t="s">
        <v>146</v>
      </c>
      <c r="D500" s="17" t="s">
        <v>1259</v>
      </c>
      <c r="E500" s="22">
        <v>17489</v>
      </c>
      <c r="F500" s="17" t="s">
        <v>136</v>
      </c>
      <c r="G500" s="17" t="s">
        <v>136</v>
      </c>
      <c r="H500" s="52">
        <v>2022</v>
      </c>
    </row>
    <row r="501" spans="1:8" ht="24.65" customHeight="1" x14ac:dyDescent="0.35">
      <c r="A501" s="17" t="s">
        <v>14</v>
      </c>
      <c r="B501" s="17" t="s">
        <v>1393</v>
      </c>
      <c r="C501" s="17" t="s">
        <v>146</v>
      </c>
      <c r="D501" s="17" t="s">
        <v>1262</v>
      </c>
      <c r="E501" s="22">
        <v>9894</v>
      </c>
      <c r="F501" s="17" t="s">
        <v>136</v>
      </c>
      <c r="G501" s="17" t="s">
        <v>136</v>
      </c>
      <c r="H501" s="52">
        <v>2022</v>
      </c>
    </row>
    <row r="502" spans="1:8" ht="24.65" customHeight="1" x14ac:dyDescent="0.35">
      <c r="A502" s="17" t="s">
        <v>448</v>
      </c>
      <c r="B502" s="17" t="s">
        <v>1270</v>
      </c>
      <c r="C502" s="19" t="s">
        <v>1443</v>
      </c>
      <c r="D502" s="17" t="s">
        <v>1282</v>
      </c>
      <c r="E502" s="22">
        <v>208000</v>
      </c>
      <c r="F502" s="19" t="s">
        <v>77</v>
      </c>
      <c r="G502" s="19" t="s">
        <v>78</v>
      </c>
      <c r="H502" s="52">
        <v>2022</v>
      </c>
    </row>
    <row r="503" spans="1:8" ht="24.65" customHeight="1" x14ac:dyDescent="0.35">
      <c r="A503" s="17" t="s">
        <v>448</v>
      </c>
      <c r="B503" s="17" t="s">
        <v>1260</v>
      </c>
      <c r="C503" s="19" t="s">
        <v>1444</v>
      </c>
      <c r="D503" s="19" t="s">
        <v>1262</v>
      </c>
      <c r="E503" s="22">
        <v>7000</v>
      </c>
      <c r="F503" s="19" t="s">
        <v>77</v>
      </c>
      <c r="G503" s="19" t="s">
        <v>78</v>
      </c>
      <c r="H503" s="52">
        <v>2022</v>
      </c>
    </row>
    <row r="504" spans="1:8" ht="24.65" customHeight="1" x14ac:dyDescent="0.35">
      <c r="A504" s="17" t="s">
        <v>151</v>
      </c>
      <c r="B504" s="17" t="s">
        <v>1258</v>
      </c>
      <c r="C504" s="17" t="s">
        <v>1445</v>
      </c>
      <c r="D504" s="17" t="s">
        <v>1262</v>
      </c>
      <c r="E504" s="22">
        <v>7000</v>
      </c>
      <c r="F504" s="17" t="s">
        <v>82</v>
      </c>
      <c r="G504" s="17" t="s">
        <v>1294</v>
      </c>
      <c r="H504" s="52">
        <v>2022</v>
      </c>
    </row>
    <row r="505" spans="1:8" ht="24.65" customHeight="1" x14ac:dyDescent="0.35">
      <c r="A505" s="17" t="s">
        <v>151</v>
      </c>
      <c r="B505" s="17" t="s">
        <v>1273</v>
      </c>
      <c r="C505" s="17" t="s">
        <v>1446</v>
      </c>
      <c r="D505" s="17" t="s">
        <v>1262</v>
      </c>
      <c r="E505" s="22">
        <v>2000</v>
      </c>
      <c r="F505" s="17" t="s">
        <v>44</v>
      </c>
      <c r="G505" s="17" t="s">
        <v>66</v>
      </c>
      <c r="H505" s="52">
        <v>2022</v>
      </c>
    </row>
    <row r="506" spans="1:8" ht="24.65" customHeight="1" x14ac:dyDescent="0.35">
      <c r="A506" s="17" t="s">
        <v>151</v>
      </c>
      <c r="B506" s="17" t="s">
        <v>1393</v>
      </c>
      <c r="C506" s="17" t="s">
        <v>1447</v>
      </c>
      <c r="D506" s="17" t="s">
        <v>1262</v>
      </c>
      <c r="E506" s="22">
        <v>10000</v>
      </c>
      <c r="F506" s="17" t="s">
        <v>44</v>
      </c>
      <c r="G506" s="17" t="s">
        <v>66</v>
      </c>
      <c r="H506" s="52">
        <v>2022</v>
      </c>
    </row>
    <row r="507" spans="1:8" ht="24.65" customHeight="1" x14ac:dyDescent="0.35">
      <c r="A507" s="17" t="s">
        <v>151</v>
      </c>
      <c r="B507" s="17" t="s">
        <v>1273</v>
      </c>
      <c r="C507" s="17" t="s">
        <v>1448</v>
      </c>
      <c r="D507" s="17" t="s">
        <v>1262</v>
      </c>
      <c r="E507" s="22">
        <v>10000</v>
      </c>
      <c r="F507" s="17" t="s">
        <v>606</v>
      </c>
      <c r="G507" s="17" t="s">
        <v>66</v>
      </c>
      <c r="H507" s="52">
        <v>2022</v>
      </c>
    </row>
    <row r="508" spans="1:8" ht="24.65" customHeight="1" x14ac:dyDescent="0.35">
      <c r="A508" s="17" t="s">
        <v>292</v>
      </c>
      <c r="B508" s="17" t="s">
        <v>1260</v>
      </c>
      <c r="C508" s="17" t="s">
        <v>1449</v>
      </c>
      <c r="D508" s="17" t="s">
        <v>1262</v>
      </c>
      <c r="E508" s="22">
        <v>0</v>
      </c>
      <c r="F508" s="17" t="s">
        <v>20</v>
      </c>
      <c r="G508" s="17" t="s">
        <v>20</v>
      </c>
      <c r="H508" s="52">
        <v>2022</v>
      </c>
    </row>
    <row r="509" spans="1:8" ht="24.65" customHeight="1" x14ac:dyDescent="0.35">
      <c r="A509" s="17" t="s">
        <v>292</v>
      </c>
      <c r="B509" s="17" t="s">
        <v>1270</v>
      </c>
      <c r="C509" s="17" t="s">
        <v>1450</v>
      </c>
      <c r="D509" s="17" t="s">
        <v>1262</v>
      </c>
      <c r="E509" s="22">
        <v>0</v>
      </c>
      <c r="F509" s="17" t="s">
        <v>20</v>
      </c>
      <c r="G509" s="17" t="s">
        <v>20</v>
      </c>
      <c r="H509" s="52">
        <v>2022</v>
      </c>
    </row>
    <row r="510" spans="1:8" ht="24.65" customHeight="1" x14ac:dyDescent="0.35">
      <c r="A510" s="17" t="s">
        <v>292</v>
      </c>
      <c r="B510" s="17" t="s">
        <v>1265</v>
      </c>
      <c r="C510" s="17" t="s">
        <v>1451</v>
      </c>
      <c r="D510" s="17" t="s">
        <v>1275</v>
      </c>
      <c r="E510" s="22">
        <v>0</v>
      </c>
      <c r="F510" s="17" t="s">
        <v>20</v>
      </c>
      <c r="G510" s="17" t="s">
        <v>20</v>
      </c>
      <c r="H510" s="52">
        <v>2022</v>
      </c>
    </row>
    <row r="511" spans="1:8" ht="24.65" customHeight="1" x14ac:dyDescent="0.35">
      <c r="A511" s="17" t="s">
        <v>292</v>
      </c>
      <c r="B511" s="17" t="s">
        <v>1265</v>
      </c>
      <c r="C511" s="17" t="s">
        <v>1452</v>
      </c>
      <c r="D511" s="17" t="s">
        <v>1275</v>
      </c>
      <c r="E511" s="22">
        <v>0</v>
      </c>
      <c r="F511" s="17" t="s">
        <v>20</v>
      </c>
      <c r="G511" s="17" t="s">
        <v>20</v>
      </c>
      <c r="H511" s="52">
        <v>2022</v>
      </c>
    </row>
    <row r="512" spans="1:8" ht="24.65" customHeight="1" x14ac:dyDescent="0.35">
      <c r="A512" s="17" t="s">
        <v>292</v>
      </c>
      <c r="B512" s="17" t="s">
        <v>1265</v>
      </c>
      <c r="C512" s="17" t="s">
        <v>1453</v>
      </c>
      <c r="D512" s="17" t="s">
        <v>1275</v>
      </c>
      <c r="E512" s="22">
        <v>0</v>
      </c>
      <c r="F512" s="17" t="s">
        <v>20</v>
      </c>
      <c r="G512" s="17" t="s">
        <v>20</v>
      </c>
      <c r="H512" s="52">
        <v>2022</v>
      </c>
    </row>
    <row r="513" spans="1:8" ht="24.65" customHeight="1" x14ac:dyDescent="0.35">
      <c r="A513" s="17" t="s">
        <v>300</v>
      </c>
      <c r="B513" s="17" t="s">
        <v>1273</v>
      </c>
      <c r="C513" s="17" t="s">
        <v>1454</v>
      </c>
      <c r="D513" s="17" t="s">
        <v>1262</v>
      </c>
      <c r="E513" s="22">
        <v>3102</v>
      </c>
      <c r="F513" s="17" t="s">
        <v>82</v>
      </c>
      <c r="G513" s="17" t="s">
        <v>1294</v>
      </c>
      <c r="H513" s="52">
        <v>2022</v>
      </c>
    </row>
    <row r="514" spans="1:8" ht="24.65" customHeight="1" x14ac:dyDescent="0.35">
      <c r="A514" s="17" t="s">
        <v>300</v>
      </c>
      <c r="B514" s="17" t="s">
        <v>1273</v>
      </c>
      <c r="C514" s="17" t="s">
        <v>1399</v>
      </c>
      <c r="D514" s="17" t="s">
        <v>1262</v>
      </c>
      <c r="E514" s="22">
        <v>3050</v>
      </c>
      <c r="F514" s="17" t="s">
        <v>82</v>
      </c>
      <c r="G514" s="17" t="s">
        <v>1294</v>
      </c>
      <c r="H514" s="52">
        <v>2022</v>
      </c>
    </row>
    <row r="515" spans="1:8" ht="24.65" customHeight="1" x14ac:dyDescent="0.35">
      <c r="A515" s="17" t="s">
        <v>300</v>
      </c>
      <c r="B515" s="17" t="s">
        <v>1258</v>
      </c>
      <c r="C515" s="17" t="s">
        <v>1455</v>
      </c>
      <c r="D515" s="17" t="s">
        <v>1262</v>
      </c>
      <c r="E515" s="22">
        <v>6093</v>
      </c>
      <c r="F515" s="17" t="s">
        <v>82</v>
      </c>
      <c r="G515" s="17" t="s">
        <v>1294</v>
      </c>
      <c r="H515" s="52">
        <v>2022</v>
      </c>
    </row>
    <row r="516" spans="1:8" ht="24.65" customHeight="1" x14ac:dyDescent="0.35">
      <c r="A516" s="17" t="s">
        <v>300</v>
      </c>
      <c r="B516" s="17" t="s">
        <v>1270</v>
      </c>
      <c r="C516" s="17" t="s">
        <v>1456</v>
      </c>
      <c r="D516" s="17" t="s">
        <v>1282</v>
      </c>
      <c r="E516" s="22">
        <v>6157</v>
      </c>
      <c r="F516" s="17" t="s">
        <v>1293</v>
      </c>
      <c r="G516" s="17" t="s">
        <v>1294</v>
      </c>
      <c r="H516" s="52">
        <v>2022</v>
      </c>
    </row>
    <row r="517" spans="1:8" ht="24.65" customHeight="1" x14ac:dyDescent="0.35">
      <c r="A517" s="17" t="s">
        <v>300</v>
      </c>
      <c r="B517" s="17" t="s">
        <v>1270</v>
      </c>
      <c r="C517" s="17" t="s">
        <v>1457</v>
      </c>
      <c r="D517" s="17" t="s">
        <v>1282</v>
      </c>
      <c r="E517" s="22">
        <v>2914</v>
      </c>
      <c r="F517" s="17" t="s">
        <v>82</v>
      </c>
      <c r="G517" s="17" t="s">
        <v>1294</v>
      </c>
      <c r="H517" s="52">
        <v>2022</v>
      </c>
    </row>
    <row r="518" spans="1:8" ht="24.65" customHeight="1" x14ac:dyDescent="0.35">
      <c r="A518" s="17" t="s">
        <v>300</v>
      </c>
      <c r="B518" s="17" t="s">
        <v>1270</v>
      </c>
      <c r="C518" s="17" t="s">
        <v>1240</v>
      </c>
      <c r="D518" s="17" t="s">
        <v>1262</v>
      </c>
      <c r="E518" s="22">
        <v>500</v>
      </c>
      <c r="F518" s="17" t="s">
        <v>131</v>
      </c>
      <c r="G518" s="17" t="s">
        <v>131</v>
      </c>
      <c r="H518" s="52">
        <v>2022</v>
      </c>
    </row>
    <row r="519" spans="1:8" ht="24.65" customHeight="1" x14ac:dyDescent="0.35">
      <c r="A519" s="17" t="s">
        <v>300</v>
      </c>
      <c r="B519" s="17" t="s">
        <v>1296</v>
      </c>
      <c r="C519" s="17" t="s">
        <v>1303</v>
      </c>
      <c r="D519" s="17" t="s">
        <v>1259</v>
      </c>
      <c r="E519" s="22">
        <v>22836</v>
      </c>
      <c r="F519" s="17" t="s">
        <v>82</v>
      </c>
      <c r="G519" s="17" t="s">
        <v>1294</v>
      </c>
      <c r="H519" s="52">
        <v>2022</v>
      </c>
    </row>
    <row r="520" spans="1:8" ht="24.65" customHeight="1" x14ac:dyDescent="0.35">
      <c r="A520" s="17" t="s">
        <v>300</v>
      </c>
      <c r="B520" s="17" t="s">
        <v>1296</v>
      </c>
      <c r="C520" s="17" t="s">
        <v>1397</v>
      </c>
      <c r="D520" s="17" t="s">
        <v>1259</v>
      </c>
      <c r="E520" s="22">
        <v>48152</v>
      </c>
      <c r="F520" s="17" t="s">
        <v>82</v>
      </c>
      <c r="G520" s="17" t="s">
        <v>1294</v>
      </c>
      <c r="H520" s="52">
        <v>2022</v>
      </c>
    </row>
    <row r="521" spans="1:8" ht="24.65" customHeight="1" x14ac:dyDescent="0.35">
      <c r="A521" s="17" t="s">
        <v>300</v>
      </c>
      <c r="B521" s="17" t="s">
        <v>1296</v>
      </c>
      <c r="C521" s="17" t="s">
        <v>1458</v>
      </c>
      <c r="D521" s="17" t="s">
        <v>1259</v>
      </c>
      <c r="E521" s="22">
        <v>6962</v>
      </c>
      <c r="F521" s="17" t="s">
        <v>82</v>
      </c>
      <c r="G521" s="17" t="s">
        <v>1294</v>
      </c>
      <c r="H521" s="52">
        <v>2022</v>
      </c>
    </row>
    <row r="522" spans="1:8" ht="24.65" customHeight="1" x14ac:dyDescent="0.35">
      <c r="A522" s="17" t="s">
        <v>300</v>
      </c>
      <c r="B522" s="17" t="s">
        <v>1296</v>
      </c>
      <c r="C522" s="17" t="s">
        <v>1398</v>
      </c>
      <c r="D522" s="17" t="s">
        <v>1259</v>
      </c>
      <c r="E522" s="22">
        <v>33018</v>
      </c>
      <c r="F522" s="17" t="s">
        <v>82</v>
      </c>
      <c r="G522" s="17" t="s">
        <v>1294</v>
      </c>
      <c r="H522" s="52">
        <v>2022</v>
      </c>
    </row>
    <row r="523" spans="1:8" ht="24.65" customHeight="1" x14ac:dyDescent="0.35">
      <c r="A523" s="17" t="s">
        <v>300</v>
      </c>
      <c r="B523" s="17" t="s">
        <v>1273</v>
      </c>
      <c r="C523" s="17"/>
      <c r="D523" s="17" t="s">
        <v>1262</v>
      </c>
      <c r="E523" s="22">
        <v>3000</v>
      </c>
      <c r="F523" s="17" t="s">
        <v>131</v>
      </c>
      <c r="G523" s="17" t="s">
        <v>131</v>
      </c>
      <c r="H523" s="52">
        <v>2022</v>
      </c>
    </row>
    <row r="524" spans="1:8" ht="24.65" customHeight="1" x14ac:dyDescent="0.35">
      <c r="A524" s="17" t="s">
        <v>300</v>
      </c>
      <c r="B524" s="17" t="s">
        <v>1393</v>
      </c>
      <c r="C524" s="17" t="s">
        <v>1240</v>
      </c>
      <c r="D524" s="17" t="s">
        <v>1262</v>
      </c>
      <c r="E524" s="22">
        <v>1000</v>
      </c>
      <c r="F524" s="17" t="s">
        <v>131</v>
      </c>
      <c r="G524" s="17" t="s">
        <v>131</v>
      </c>
      <c r="H524" s="52">
        <v>2022</v>
      </c>
    </row>
    <row r="525" spans="1:8" ht="24.65" customHeight="1" x14ac:dyDescent="0.35">
      <c r="A525" s="17" t="s">
        <v>300</v>
      </c>
      <c r="B525" s="17" t="s">
        <v>1278</v>
      </c>
      <c r="C525" s="17" t="s">
        <v>1459</v>
      </c>
      <c r="D525" s="17" t="s">
        <v>1441</v>
      </c>
      <c r="E525" s="22">
        <v>2472</v>
      </c>
      <c r="F525" s="17" t="s">
        <v>1460</v>
      </c>
      <c r="G525" s="17" t="s">
        <v>1461</v>
      </c>
      <c r="H525" s="52">
        <v>2022</v>
      </c>
    </row>
    <row r="526" spans="1:8" ht="24.65" customHeight="1" x14ac:dyDescent="0.35">
      <c r="A526" s="17" t="s">
        <v>300</v>
      </c>
      <c r="B526" s="17" t="s">
        <v>1278</v>
      </c>
      <c r="C526" s="17" t="s">
        <v>1462</v>
      </c>
      <c r="D526" s="17" t="s">
        <v>1441</v>
      </c>
      <c r="E526" s="22">
        <v>2916</v>
      </c>
      <c r="F526" s="17" t="s">
        <v>78</v>
      </c>
      <c r="G526" s="17" t="s">
        <v>78</v>
      </c>
      <c r="H526" s="52">
        <v>2022</v>
      </c>
    </row>
    <row r="527" spans="1:8" ht="24.65" customHeight="1" x14ac:dyDescent="0.35">
      <c r="A527" s="17" t="s">
        <v>470</v>
      </c>
      <c r="B527" s="17" t="s">
        <v>1270</v>
      </c>
      <c r="C527" s="17" t="s">
        <v>1463</v>
      </c>
      <c r="D527" s="17" t="s">
        <v>1262</v>
      </c>
      <c r="E527" s="22">
        <v>8000</v>
      </c>
      <c r="F527" s="17" t="s">
        <v>484</v>
      </c>
      <c r="G527" s="17" t="s">
        <v>66</v>
      </c>
      <c r="H527" s="52">
        <v>2022</v>
      </c>
    </row>
    <row r="528" spans="1:8" ht="24.65" customHeight="1" x14ac:dyDescent="0.35">
      <c r="A528" s="17" t="s">
        <v>470</v>
      </c>
      <c r="B528" s="17" t="s">
        <v>1273</v>
      </c>
      <c r="C528" s="17" t="s">
        <v>1273</v>
      </c>
      <c r="D528" s="17" t="s">
        <v>1262</v>
      </c>
      <c r="E528" s="22">
        <v>500</v>
      </c>
      <c r="F528" s="17" t="s">
        <v>1464</v>
      </c>
      <c r="G528" s="17" t="s">
        <v>66</v>
      </c>
      <c r="H528" s="52">
        <v>2022</v>
      </c>
    </row>
    <row r="529" spans="1:8" ht="24.65" customHeight="1" x14ac:dyDescent="0.35">
      <c r="A529" s="17" t="s">
        <v>470</v>
      </c>
      <c r="B529" s="17" t="s">
        <v>1273</v>
      </c>
      <c r="C529" s="17" t="s">
        <v>1273</v>
      </c>
      <c r="D529" s="17" t="s">
        <v>1262</v>
      </c>
      <c r="E529" s="22">
        <v>1500</v>
      </c>
      <c r="F529" s="17" t="s">
        <v>1465</v>
      </c>
      <c r="G529" s="17" t="s">
        <v>66</v>
      </c>
      <c r="H529" s="52">
        <v>2022</v>
      </c>
    </row>
    <row r="530" spans="1:8" ht="24.65" customHeight="1" x14ac:dyDescent="0.35">
      <c r="A530" s="17" t="s">
        <v>470</v>
      </c>
      <c r="B530" s="17" t="s">
        <v>1270</v>
      </c>
      <c r="C530" s="17" t="s">
        <v>1466</v>
      </c>
      <c r="D530" s="17" t="s">
        <v>1282</v>
      </c>
      <c r="E530" s="22">
        <v>755</v>
      </c>
      <c r="F530" s="17" t="s">
        <v>484</v>
      </c>
      <c r="G530" s="17" t="s">
        <v>66</v>
      </c>
      <c r="H530" s="52">
        <v>2022</v>
      </c>
    </row>
    <row r="531" spans="1:8" ht="24.65" customHeight="1" x14ac:dyDescent="0.35">
      <c r="A531" s="17" t="s">
        <v>422</v>
      </c>
      <c r="B531" s="17" t="s">
        <v>1273</v>
      </c>
      <c r="C531" s="17" t="s">
        <v>146</v>
      </c>
      <c r="D531" s="17" t="s">
        <v>1262</v>
      </c>
      <c r="E531" s="22">
        <v>44525</v>
      </c>
      <c r="F531" s="17" t="s">
        <v>484</v>
      </c>
      <c r="G531" s="17" t="s">
        <v>66</v>
      </c>
      <c r="H531" s="52">
        <v>2022</v>
      </c>
    </row>
    <row r="532" spans="1:8" ht="24.65" customHeight="1" x14ac:dyDescent="0.35">
      <c r="A532" s="17" t="s">
        <v>422</v>
      </c>
      <c r="B532" s="17" t="s">
        <v>1270</v>
      </c>
      <c r="C532" s="17" t="s">
        <v>1467</v>
      </c>
      <c r="D532" s="17" t="s">
        <v>1282</v>
      </c>
      <c r="E532" s="22">
        <v>9651</v>
      </c>
      <c r="F532" s="17" t="s">
        <v>484</v>
      </c>
      <c r="G532" s="17" t="s">
        <v>66</v>
      </c>
      <c r="H532" s="52">
        <v>2022</v>
      </c>
    </row>
    <row r="533" spans="1:8" ht="24.65" customHeight="1" x14ac:dyDescent="0.35">
      <c r="A533" s="17" t="s">
        <v>317</v>
      </c>
      <c r="B533" s="17" t="s">
        <v>1270</v>
      </c>
      <c r="C533" s="17" t="s">
        <v>1468</v>
      </c>
      <c r="D533" s="17" t="s">
        <v>1262</v>
      </c>
      <c r="E533" s="22">
        <v>12558</v>
      </c>
      <c r="F533" s="17" t="s">
        <v>443</v>
      </c>
      <c r="G533" s="17" t="s">
        <v>66</v>
      </c>
      <c r="H533" s="52">
        <v>2022</v>
      </c>
    </row>
    <row r="534" spans="1:8" ht="24.65" customHeight="1" x14ac:dyDescent="0.35">
      <c r="A534" s="17" t="s">
        <v>317</v>
      </c>
      <c r="B534" s="17" t="s">
        <v>1273</v>
      </c>
      <c r="C534" s="17" t="s">
        <v>1469</v>
      </c>
      <c r="D534" s="17" t="s">
        <v>1262</v>
      </c>
      <c r="E534" s="22">
        <v>71270</v>
      </c>
      <c r="F534" s="17" t="s">
        <v>443</v>
      </c>
      <c r="G534" s="17" t="s">
        <v>66</v>
      </c>
      <c r="H534" s="52">
        <v>2022</v>
      </c>
    </row>
    <row r="535" spans="1:8" ht="24.65" customHeight="1" x14ac:dyDescent="0.35">
      <c r="A535" s="17" t="s">
        <v>317</v>
      </c>
      <c r="B535" s="17" t="s">
        <v>1393</v>
      </c>
      <c r="C535" s="17" t="s">
        <v>1470</v>
      </c>
      <c r="D535" s="17" t="s">
        <v>1262</v>
      </c>
      <c r="E535" s="22">
        <v>27798</v>
      </c>
      <c r="F535" s="17" t="s">
        <v>443</v>
      </c>
      <c r="G535" s="17" t="s">
        <v>66</v>
      </c>
      <c r="H535" s="52">
        <v>2022</v>
      </c>
    </row>
    <row r="536" spans="1:8" ht="24.65" customHeight="1" x14ac:dyDescent="0.35">
      <c r="A536" s="17" t="s">
        <v>317</v>
      </c>
      <c r="B536" s="17" t="s">
        <v>1265</v>
      </c>
      <c r="C536" s="17" t="s">
        <v>1471</v>
      </c>
      <c r="D536" s="17" t="s">
        <v>1262</v>
      </c>
      <c r="E536" s="22">
        <v>1332</v>
      </c>
      <c r="F536" s="17" t="s">
        <v>443</v>
      </c>
      <c r="G536" s="17" t="s">
        <v>66</v>
      </c>
      <c r="H536" s="52">
        <v>2022</v>
      </c>
    </row>
    <row r="537" spans="1:8" ht="24.65" customHeight="1" x14ac:dyDescent="0.35">
      <c r="A537" s="17" t="s">
        <v>317</v>
      </c>
      <c r="B537" s="17" t="s">
        <v>1296</v>
      </c>
      <c r="C537" s="17" t="s">
        <v>1472</v>
      </c>
      <c r="D537" s="17" t="s">
        <v>1259</v>
      </c>
      <c r="E537" s="22">
        <v>19717</v>
      </c>
      <c r="F537" s="17" t="s">
        <v>82</v>
      </c>
      <c r="G537" s="17" t="s">
        <v>1294</v>
      </c>
      <c r="H537" s="52">
        <v>2022</v>
      </c>
    </row>
    <row r="538" spans="1:8" ht="24.65" customHeight="1" x14ac:dyDescent="0.35">
      <c r="A538" s="17" t="s">
        <v>317</v>
      </c>
      <c r="B538" s="17" t="s">
        <v>1296</v>
      </c>
      <c r="C538" s="17" t="s">
        <v>1473</v>
      </c>
      <c r="D538" s="17" t="s">
        <v>1259</v>
      </c>
      <c r="E538" s="22">
        <v>2000</v>
      </c>
      <c r="F538" s="17" t="s">
        <v>443</v>
      </c>
      <c r="G538" s="17" t="s">
        <v>66</v>
      </c>
      <c r="H538" s="52">
        <v>2022</v>
      </c>
    </row>
    <row r="539" spans="1:8" ht="24.65" customHeight="1" x14ac:dyDescent="0.35">
      <c r="A539" s="17" t="s">
        <v>323</v>
      </c>
      <c r="B539" s="17" t="s">
        <v>1273</v>
      </c>
      <c r="C539" s="17" t="s">
        <v>1474</v>
      </c>
      <c r="D539" s="17" t="s">
        <v>1262</v>
      </c>
      <c r="E539" s="22">
        <v>100</v>
      </c>
      <c r="F539" s="17" t="s">
        <v>326</v>
      </c>
      <c r="G539" s="17" t="s">
        <v>326</v>
      </c>
      <c r="H539" s="52">
        <v>2022</v>
      </c>
    </row>
    <row r="540" spans="1:8" ht="24.65" customHeight="1" x14ac:dyDescent="0.35">
      <c r="A540" s="17" t="s">
        <v>323</v>
      </c>
      <c r="B540" s="17" t="s">
        <v>1273</v>
      </c>
      <c r="C540" s="17" t="s">
        <v>1475</v>
      </c>
      <c r="D540" s="17" t="s">
        <v>1262</v>
      </c>
      <c r="E540" s="22">
        <v>600</v>
      </c>
      <c r="F540" s="17" t="s">
        <v>326</v>
      </c>
      <c r="G540" s="17" t="s">
        <v>326</v>
      </c>
      <c r="H540" s="52">
        <v>2022</v>
      </c>
    </row>
    <row r="541" spans="1:8" ht="24.65" customHeight="1" x14ac:dyDescent="0.35">
      <c r="A541" s="17" t="s">
        <v>323</v>
      </c>
      <c r="B541" s="17" t="s">
        <v>1270</v>
      </c>
      <c r="C541" s="17" t="s">
        <v>1476</v>
      </c>
      <c r="D541" s="17" t="s">
        <v>1262</v>
      </c>
      <c r="E541" s="22">
        <v>928</v>
      </c>
      <c r="F541" s="17" t="s">
        <v>326</v>
      </c>
      <c r="G541" s="17" t="s">
        <v>326</v>
      </c>
      <c r="H541" s="52">
        <v>2022</v>
      </c>
    </row>
    <row r="542" spans="1:8" ht="24.65" customHeight="1" x14ac:dyDescent="0.35">
      <c r="A542" s="17" t="s">
        <v>323</v>
      </c>
      <c r="B542" s="17" t="s">
        <v>1393</v>
      </c>
      <c r="C542" s="17" t="s">
        <v>1477</v>
      </c>
      <c r="D542" s="17" t="s">
        <v>1262</v>
      </c>
      <c r="E542" s="22">
        <v>689</v>
      </c>
      <c r="F542" s="17" t="s">
        <v>326</v>
      </c>
      <c r="G542" s="17" t="s">
        <v>326</v>
      </c>
      <c r="H542" s="52">
        <v>2022</v>
      </c>
    </row>
    <row r="543" spans="1:8" ht="24.65" customHeight="1" x14ac:dyDescent="0.35">
      <c r="A543" s="17" t="s">
        <v>323</v>
      </c>
      <c r="B543" s="17" t="s">
        <v>1278</v>
      </c>
      <c r="C543" s="17" t="s">
        <v>1478</v>
      </c>
      <c r="D543" s="17" t="s">
        <v>1267</v>
      </c>
      <c r="E543" s="22">
        <v>1996</v>
      </c>
      <c r="F543" s="17" t="s">
        <v>326</v>
      </c>
      <c r="G543" s="17" t="s">
        <v>326</v>
      </c>
      <c r="H543" s="52">
        <v>2022</v>
      </c>
    </row>
    <row r="544" spans="1:8" ht="24.65" customHeight="1" x14ac:dyDescent="0.35">
      <c r="A544" s="17" t="s">
        <v>323</v>
      </c>
      <c r="B544" s="17" t="s">
        <v>1265</v>
      </c>
      <c r="C544" s="17" t="s">
        <v>1479</v>
      </c>
      <c r="D544" s="17" t="s">
        <v>1275</v>
      </c>
      <c r="E544" s="22">
        <v>1550</v>
      </c>
      <c r="F544" s="17" t="s">
        <v>326</v>
      </c>
      <c r="G544" s="17" t="s">
        <v>326</v>
      </c>
      <c r="H544" s="52">
        <v>2022</v>
      </c>
    </row>
    <row r="545" spans="1:8" ht="24.65" customHeight="1" x14ac:dyDescent="0.35">
      <c r="A545" s="17" t="s">
        <v>323</v>
      </c>
      <c r="B545" s="17" t="s">
        <v>1296</v>
      </c>
      <c r="C545" s="17" t="s">
        <v>1480</v>
      </c>
      <c r="D545" s="17" t="s">
        <v>1259</v>
      </c>
      <c r="E545" s="22">
        <v>520</v>
      </c>
      <c r="F545" s="17" t="s">
        <v>326</v>
      </c>
      <c r="G545" s="17" t="s">
        <v>326</v>
      </c>
      <c r="H545" s="52">
        <v>2022</v>
      </c>
    </row>
    <row r="546" spans="1:8" ht="24.65" customHeight="1" x14ac:dyDescent="0.35">
      <c r="A546" s="17" t="s">
        <v>323</v>
      </c>
      <c r="B546" s="17" t="s">
        <v>1260</v>
      </c>
      <c r="C546" s="17"/>
      <c r="D546" s="17" t="s">
        <v>1262</v>
      </c>
      <c r="E546" s="22">
        <v>50020</v>
      </c>
      <c r="F546" s="17" t="s">
        <v>326</v>
      </c>
      <c r="G546" s="17" t="s">
        <v>326</v>
      </c>
      <c r="H546" s="52">
        <v>2022</v>
      </c>
    </row>
    <row r="547" spans="1:8" ht="24.65" customHeight="1" x14ac:dyDescent="0.35">
      <c r="A547" s="17" t="s">
        <v>323</v>
      </c>
      <c r="B547" s="17" t="s">
        <v>1296</v>
      </c>
      <c r="C547" s="17" t="s">
        <v>146</v>
      </c>
      <c r="D547" s="17" t="s">
        <v>1262</v>
      </c>
      <c r="E547" s="22">
        <v>150</v>
      </c>
      <c r="F547" s="17" t="s">
        <v>326</v>
      </c>
      <c r="G547" s="17" t="s">
        <v>326</v>
      </c>
      <c r="H547" s="52">
        <v>2022</v>
      </c>
    </row>
    <row r="548" spans="1:8" ht="24.65" customHeight="1" x14ac:dyDescent="0.35">
      <c r="A548" s="17" t="s">
        <v>38</v>
      </c>
      <c r="B548" s="17" t="s">
        <v>1278</v>
      </c>
      <c r="C548" s="17" t="s">
        <v>1406</v>
      </c>
      <c r="D548" s="17" t="s">
        <v>1262</v>
      </c>
      <c r="E548" s="22">
        <v>120302</v>
      </c>
      <c r="F548" s="17" t="s">
        <v>1407</v>
      </c>
      <c r="G548" s="17" t="s">
        <v>529</v>
      </c>
      <c r="H548" s="52">
        <v>2022</v>
      </c>
    </row>
    <row r="549" spans="1:8" ht="24.65" customHeight="1" x14ac:dyDescent="0.35">
      <c r="A549" s="17" t="s">
        <v>62</v>
      </c>
      <c r="B549" s="17" t="s">
        <v>1273</v>
      </c>
      <c r="C549" s="19" t="s">
        <v>1481</v>
      </c>
      <c r="D549" s="17" t="s">
        <v>1262</v>
      </c>
      <c r="E549" s="22">
        <v>150</v>
      </c>
      <c r="F549" s="19" t="s">
        <v>484</v>
      </c>
      <c r="G549" s="19" t="s">
        <v>66</v>
      </c>
      <c r="H549" s="52">
        <v>2022</v>
      </c>
    </row>
    <row r="550" spans="1:8" ht="24.65" customHeight="1" x14ac:dyDescent="0.35">
      <c r="A550" s="17" t="s">
        <v>62</v>
      </c>
      <c r="B550" s="17" t="s">
        <v>1270</v>
      </c>
      <c r="C550" s="19" t="s">
        <v>1482</v>
      </c>
      <c r="D550" s="17" t="s">
        <v>1262</v>
      </c>
      <c r="E550" s="22">
        <v>3938</v>
      </c>
      <c r="F550" s="19" t="s">
        <v>484</v>
      </c>
      <c r="G550" s="19" t="s">
        <v>66</v>
      </c>
      <c r="H550" s="52">
        <v>2022</v>
      </c>
    </row>
    <row r="551" spans="1:8" ht="24.65" customHeight="1" x14ac:dyDescent="0.35">
      <c r="A551" s="17" t="s">
        <v>62</v>
      </c>
      <c r="B551" s="17" t="s">
        <v>1296</v>
      </c>
      <c r="C551" s="19" t="s">
        <v>1483</v>
      </c>
      <c r="D551" s="17" t="s">
        <v>1259</v>
      </c>
      <c r="E551" s="22">
        <v>3309</v>
      </c>
      <c r="F551" s="19" t="s">
        <v>484</v>
      </c>
      <c r="G551" s="19" t="s">
        <v>66</v>
      </c>
      <c r="H551" s="52">
        <v>2022</v>
      </c>
    </row>
    <row r="552" spans="1:8" ht="24.65" customHeight="1" x14ac:dyDescent="0.35">
      <c r="A552" s="17" t="s">
        <v>62</v>
      </c>
      <c r="B552" s="17" t="s">
        <v>1278</v>
      </c>
      <c r="C552" s="19" t="s">
        <v>1484</v>
      </c>
      <c r="D552" s="17" t="s">
        <v>1267</v>
      </c>
      <c r="E552" s="22">
        <v>250</v>
      </c>
      <c r="F552" s="19" t="s">
        <v>484</v>
      </c>
      <c r="G552" s="19" t="s">
        <v>66</v>
      </c>
      <c r="H552" s="52">
        <v>2022</v>
      </c>
    </row>
    <row r="553" spans="1:8" ht="24.65" customHeight="1" x14ac:dyDescent="0.35">
      <c r="A553" s="17" t="s">
        <v>62</v>
      </c>
      <c r="B553" s="17" t="s">
        <v>1296</v>
      </c>
      <c r="C553" s="19" t="s">
        <v>1485</v>
      </c>
      <c r="D553" s="17" t="s">
        <v>1259</v>
      </c>
      <c r="E553" s="22">
        <v>3199</v>
      </c>
      <c r="F553" s="19" t="s">
        <v>484</v>
      </c>
      <c r="G553" s="19" t="s">
        <v>66</v>
      </c>
      <c r="H553" s="52">
        <v>2022</v>
      </c>
    </row>
    <row r="554" spans="1:8" ht="24.65" customHeight="1" x14ac:dyDescent="0.35">
      <c r="A554" s="17" t="s">
        <v>865</v>
      </c>
      <c r="B554" s="17" t="s">
        <v>1278</v>
      </c>
      <c r="C554" s="17" t="s">
        <v>1486</v>
      </c>
      <c r="D554" s="17" t="s">
        <v>1262</v>
      </c>
      <c r="E554" s="22">
        <v>5956</v>
      </c>
      <c r="F554" s="17" t="s">
        <v>78</v>
      </c>
      <c r="G554" s="17" t="s">
        <v>78</v>
      </c>
      <c r="H554" s="52">
        <v>2022</v>
      </c>
    </row>
    <row r="555" spans="1:8" ht="24.65" customHeight="1" x14ac:dyDescent="0.35">
      <c r="A555" s="17" t="s">
        <v>522</v>
      </c>
      <c r="B555" s="17" t="s">
        <v>1260</v>
      </c>
      <c r="C555" s="17" t="s">
        <v>1487</v>
      </c>
      <c r="D555" s="17" t="s">
        <v>1262</v>
      </c>
      <c r="E555" s="22">
        <v>64908</v>
      </c>
      <c r="F555" s="17" t="s">
        <v>77</v>
      </c>
      <c r="G555" s="17" t="s">
        <v>78</v>
      </c>
      <c r="H555" s="52">
        <v>2022</v>
      </c>
    </row>
    <row r="556" spans="1:8" ht="24.65" customHeight="1" x14ac:dyDescent="0.35">
      <c r="A556" s="17" t="s">
        <v>522</v>
      </c>
      <c r="B556" s="17" t="s">
        <v>1393</v>
      </c>
      <c r="C556" s="17" t="s">
        <v>1488</v>
      </c>
      <c r="D556" s="17" t="s">
        <v>1262</v>
      </c>
      <c r="E556" s="22">
        <v>34530</v>
      </c>
      <c r="F556" s="17" t="s">
        <v>1489</v>
      </c>
      <c r="G556" s="17" t="s">
        <v>78</v>
      </c>
      <c r="H556" s="52">
        <v>2022</v>
      </c>
    </row>
    <row r="557" spans="1:8" ht="24.65" customHeight="1" x14ac:dyDescent="0.35">
      <c r="A557" s="17" t="s">
        <v>522</v>
      </c>
      <c r="B557" s="17" t="s">
        <v>1273</v>
      </c>
      <c r="C557" s="17" t="s">
        <v>1490</v>
      </c>
      <c r="D557" s="17" t="s">
        <v>1441</v>
      </c>
      <c r="E557" s="22">
        <v>10000</v>
      </c>
      <c r="F557" s="17" t="s">
        <v>1489</v>
      </c>
      <c r="G557" s="17" t="s">
        <v>78</v>
      </c>
      <c r="H557" s="52">
        <v>2022</v>
      </c>
    </row>
    <row r="558" spans="1:8" ht="24.65" customHeight="1" x14ac:dyDescent="0.35">
      <c r="A558" s="17" t="s">
        <v>522</v>
      </c>
      <c r="B558" s="17" t="s">
        <v>1265</v>
      </c>
      <c r="C558" s="17" t="s">
        <v>1491</v>
      </c>
      <c r="D558" s="17" t="s">
        <v>1441</v>
      </c>
      <c r="E558" s="22">
        <v>25000</v>
      </c>
      <c r="F558" s="17" t="s">
        <v>1489</v>
      </c>
      <c r="G558" s="17" t="s">
        <v>78</v>
      </c>
      <c r="H558" s="52">
        <v>2022</v>
      </c>
    </row>
    <row r="559" spans="1:8" ht="24.65" customHeight="1" x14ac:dyDescent="0.35">
      <c r="A559" s="17" t="s">
        <v>522</v>
      </c>
      <c r="B559" s="17" t="s">
        <v>1296</v>
      </c>
      <c r="C559" s="17" t="s">
        <v>1492</v>
      </c>
      <c r="D559" s="17" t="s">
        <v>1259</v>
      </c>
      <c r="E559" s="22">
        <v>4640</v>
      </c>
      <c r="F559" s="17" t="s">
        <v>77</v>
      </c>
      <c r="G559" s="17" t="s">
        <v>78</v>
      </c>
      <c r="H559" s="52">
        <v>2022</v>
      </c>
    </row>
    <row r="560" spans="1:8" ht="24.65" customHeight="1" x14ac:dyDescent="0.35">
      <c r="A560" s="17" t="s">
        <v>522</v>
      </c>
      <c r="B560" s="17" t="s">
        <v>1270</v>
      </c>
      <c r="C560" s="17" t="s">
        <v>1493</v>
      </c>
      <c r="D560" s="17" t="s">
        <v>1262</v>
      </c>
      <c r="E560" s="22">
        <v>10000</v>
      </c>
      <c r="F560" s="17" t="s">
        <v>78</v>
      </c>
      <c r="G560" s="17" t="s">
        <v>78</v>
      </c>
      <c r="H560" s="52">
        <v>2022</v>
      </c>
    </row>
    <row r="561" spans="1:8" ht="24.65" customHeight="1" x14ac:dyDescent="0.35">
      <c r="A561" s="17" t="s">
        <v>341</v>
      </c>
      <c r="B561" s="17" t="s">
        <v>1393</v>
      </c>
      <c r="C561" s="17" t="s">
        <v>1494</v>
      </c>
      <c r="D561" s="17" t="s">
        <v>1262</v>
      </c>
      <c r="E561" s="22">
        <v>30913</v>
      </c>
      <c r="F561" s="17" t="s">
        <v>20</v>
      </c>
      <c r="G561" s="17" t="s">
        <v>20</v>
      </c>
      <c r="H561" s="52">
        <v>2022</v>
      </c>
    </row>
    <row r="562" spans="1:8" ht="24.65" customHeight="1" x14ac:dyDescent="0.35">
      <c r="A562" s="17" t="s">
        <v>341</v>
      </c>
      <c r="B562" s="17" t="s">
        <v>1312</v>
      </c>
      <c r="C562" s="17" t="s">
        <v>1495</v>
      </c>
      <c r="D562" s="17" t="s">
        <v>1262</v>
      </c>
      <c r="E562" s="22">
        <v>16415.7</v>
      </c>
      <c r="F562" s="17" t="s">
        <v>20</v>
      </c>
      <c r="G562" s="17" t="s">
        <v>20</v>
      </c>
      <c r="H562" s="52">
        <v>2022</v>
      </c>
    </row>
    <row r="563" spans="1:8" ht="24.65" customHeight="1" x14ac:dyDescent="0.35">
      <c r="A563" s="17" t="s">
        <v>341</v>
      </c>
      <c r="B563" s="17" t="s">
        <v>1270</v>
      </c>
      <c r="C563" s="17" t="s">
        <v>1496</v>
      </c>
      <c r="D563" s="17" t="s">
        <v>1262</v>
      </c>
      <c r="E563" s="22">
        <v>8003</v>
      </c>
      <c r="F563" s="17" t="s">
        <v>20</v>
      </c>
      <c r="G563" s="17" t="s">
        <v>20</v>
      </c>
      <c r="H563" s="52">
        <v>2022</v>
      </c>
    </row>
    <row r="564" spans="1:8" ht="24.65" customHeight="1" x14ac:dyDescent="0.35">
      <c r="A564" s="17" t="s">
        <v>341</v>
      </c>
      <c r="B564" s="17" t="s">
        <v>1265</v>
      </c>
      <c r="C564" s="17" t="s">
        <v>1497</v>
      </c>
      <c r="D564" s="17" t="s">
        <v>1275</v>
      </c>
      <c r="E564" s="22">
        <v>20452</v>
      </c>
      <c r="F564" s="17" t="s">
        <v>20</v>
      </c>
      <c r="G564" s="17" t="s">
        <v>20</v>
      </c>
      <c r="H564" s="52">
        <v>2022</v>
      </c>
    </row>
    <row r="565" spans="1:8" ht="24.65" customHeight="1" x14ac:dyDescent="0.35">
      <c r="A565" s="17" t="s">
        <v>341</v>
      </c>
      <c r="B565" s="17" t="s">
        <v>1296</v>
      </c>
      <c r="C565" s="17" t="s">
        <v>1498</v>
      </c>
      <c r="D565" s="17" t="s">
        <v>1259</v>
      </c>
      <c r="E565" s="22">
        <v>54819</v>
      </c>
      <c r="F565" s="17" t="s">
        <v>20</v>
      </c>
      <c r="G565" s="17" t="s">
        <v>20</v>
      </c>
      <c r="H565" s="52">
        <v>2022</v>
      </c>
    </row>
    <row r="566" spans="1:8" ht="24.65" customHeight="1" x14ac:dyDescent="0.35">
      <c r="A566" s="17" t="s">
        <v>346</v>
      </c>
      <c r="B566" s="17" t="s">
        <v>1278</v>
      </c>
      <c r="C566" s="17" t="s">
        <v>1278</v>
      </c>
      <c r="D566" s="17" t="s">
        <v>1262</v>
      </c>
      <c r="E566" s="22">
        <v>785375</v>
      </c>
      <c r="F566" s="17" t="s">
        <v>452</v>
      </c>
      <c r="G566" s="17" t="s">
        <v>78</v>
      </c>
      <c r="H566" s="52">
        <v>2022</v>
      </c>
    </row>
    <row r="567" spans="1:8" ht="24.65" customHeight="1" x14ac:dyDescent="0.35">
      <c r="A567" s="17" t="s">
        <v>346</v>
      </c>
      <c r="B567" s="17" t="s">
        <v>1393</v>
      </c>
      <c r="C567" s="17" t="s">
        <v>1499</v>
      </c>
      <c r="D567" s="17" t="s">
        <v>1262</v>
      </c>
      <c r="E567" s="22">
        <v>36262</v>
      </c>
      <c r="F567" s="17" t="s">
        <v>452</v>
      </c>
      <c r="G567" s="17" t="s">
        <v>78</v>
      </c>
      <c r="H567" s="52">
        <v>2022</v>
      </c>
    </row>
    <row r="568" spans="1:8" ht="24.65" customHeight="1" x14ac:dyDescent="0.35">
      <c r="A568" s="17" t="s">
        <v>346</v>
      </c>
      <c r="B568" s="17" t="s">
        <v>1265</v>
      </c>
      <c r="C568" s="17" t="s">
        <v>1500</v>
      </c>
      <c r="D568" s="17" t="s">
        <v>1262</v>
      </c>
      <c r="E568" s="22">
        <v>5044</v>
      </c>
      <c r="F568" s="17" t="s">
        <v>452</v>
      </c>
      <c r="G568" s="17" t="s">
        <v>78</v>
      </c>
      <c r="H568" s="52">
        <v>2022</v>
      </c>
    </row>
    <row r="569" spans="1:8" ht="24.65" customHeight="1" x14ac:dyDescent="0.35">
      <c r="A569" s="17" t="s">
        <v>346</v>
      </c>
      <c r="B569" s="17" t="s">
        <v>1278</v>
      </c>
      <c r="C569" s="17" t="s">
        <v>1501</v>
      </c>
      <c r="D569" s="17" t="s">
        <v>1262</v>
      </c>
      <c r="E569" s="22">
        <v>61132</v>
      </c>
      <c r="F569" s="17" t="s">
        <v>452</v>
      </c>
      <c r="G569" s="17" t="s">
        <v>78</v>
      </c>
      <c r="H569" s="52">
        <v>2022</v>
      </c>
    </row>
    <row r="570" spans="1:8" ht="24.65" customHeight="1" x14ac:dyDescent="0.35">
      <c r="A570" s="17" t="s">
        <v>346</v>
      </c>
      <c r="B570" s="17" t="s">
        <v>1296</v>
      </c>
      <c r="C570" s="17" t="s">
        <v>1502</v>
      </c>
      <c r="D570" s="17" t="s">
        <v>1259</v>
      </c>
      <c r="E570" s="22">
        <v>11625</v>
      </c>
      <c r="F570" s="17" t="s">
        <v>452</v>
      </c>
      <c r="G570" s="17" t="s">
        <v>78</v>
      </c>
      <c r="H570" s="52">
        <v>2022</v>
      </c>
    </row>
    <row r="571" spans="1:8" ht="24.65" customHeight="1" x14ac:dyDescent="0.35">
      <c r="A571" s="17" t="s">
        <v>348</v>
      </c>
      <c r="B571" s="17" t="s">
        <v>1296</v>
      </c>
      <c r="C571" s="17" t="s">
        <v>146</v>
      </c>
      <c r="D571" s="17" t="s">
        <v>1259</v>
      </c>
      <c r="E571" s="22">
        <v>1000</v>
      </c>
      <c r="F571" s="17" t="s">
        <v>20</v>
      </c>
      <c r="G571" s="17" t="s">
        <v>20</v>
      </c>
      <c r="H571" s="52">
        <v>2022</v>
      </c>
    </row>
    <row r="572" spans="1:8" ht="24.65" customHeight="1" x14ac:dyDescent="0.35">
      <c r="A572" s="17" t="s">
        <v>354</v>
      </c>
      <c r="B572" s="17" t="s">
        <v>1273</v>
      </c>
      <c r="C572" s="17" t="s">
        <v>1503</v>
      </c>
      <c r="D572" s="17" t="s">
        <v>1262</v>
      </c>
      <c r="E572" s="22">
        <v>146</v>
      </c>
      <c r="F572" s="17" t="s">
        <v>1504</v>
      </c>
      <c r="G572" s="17" t="s">
        <v>66</v>
      </c>
      <c r="H572" s="52">
        <v>2022</v>
      </c>
    </row>
    <row r="573" spans="1:8" ht="24.65" customHeight="1" x14ac:dyDescent="0.35">
      <c r="A573" s="17" t="s">
        <v>354</v>
      </c>
      <c r="B573" s="17" t="s">
        <v>1273</v>
      </c>
      <c r="C573" s="17" t="s">
        <v>1505</v>
      </c>
      <c r="D573" s="17" t="s">
        <v>1262</v>
      </c>
      <c r="E573" s="22">
        <v>60</v>
      </c>
      <c r="F573" s="17" t="s">
        <v>1504</v>
      </c>
      <c r="G573" s="17" t="s">
        <v>66</v>
      </c>
      <c r="H573" s="52">
        <v>2022</v>
      </c>
    </row>
    <row r="574" spans="1:8" ht="24.65" customHeight="1" x14ac:dyDescent="0.35">
      <c r="A574" s="17" t="s">
        <v>354</v>
      </c>
      <c r="B574" s="17" t="s">
        <v>1273</v>
      </c>
      <c r="C574" s="17" t="s">
        <v>1506</v>
      </c>
      <c r="D574" s="17" t="s">
        <v>1262</v>
      </c>
      <c r="E574" s="22">
        <v>565</v>
      </c>
      <c r="F574" s="17" t="s">
        <v>1504</v>
      </c>
      <c r="G574" s="17" t="s">
        <v>66</v>
      </c>
      <c r="H574" s="52">
        <v>2022</v>
      </c>
    </row>
    <row r="575" spans="1:8" ht="24.65" customHeight="1" x14ac:dyDescent="0.35">
      <c r="A575" s="17" t="s">
        <v>354</v>
      </c>
      <c r="B575" s="17" t="s">
        <v>1258</v>
      </c>
      <c r="C575" s="17" t="s">
        <v>1507</v>
      </c>
      <c r="D575" s="17" t="s">
        <v>1262</v>
      </c>
      <c r="E575" s="22">
        <v>200</v>
      </c>
      <c r="F575" s="17" t="s">
        <v>484</v>
      </c>
      <c r="G575" s="17" t="s">
        <v>66</v>
      </c>
      <c r="H575" s="52">
        <v>2022</v>
      </c>
    </row>
    <row r="576" spans="1:8" ht="24.65" customHeight="1" x14ac:dyDescent="0.35">
      <c r="A576" s="17" t="s">
        <v>354</v>
      </c>
      <c r="B576" s="17" t="s">
        <v>1273</v>
      </c>
      <c r="C576" s="17" t="s">
        <v>1508</v>
      </c>
      <c r="D576" s="17" t="s">
        <v>1262</v>
      </c>
      <c r="E576" s="22">
        <v>465</v>
      </c>
      <c r="F576" s="17" t="s">
        <v>484</v>
      </c>
      <c r="G576" s="17" t="s">
        <v>66</v>
      </c>
      <c r="H576" s="52">
        <v>2022</v>
      </c>
    </row>
    <row r="577" spans="1:8" ht="24.65" customHeight="1" x14ac:dyDescent="0.35">
      <c r="A577" s="17" t="s">
        <v>551</v>
      </c>
      <c r="B577" s="17" t="s">
        <v>1296</v>
      </c>
      <c r="C577" s="17" t="s">
        <v>1509</v>
      </c>
      <c r="D577" s="17" t="s">
        <v>1267</v>
      </c>
      <c r="E577" s="22">
        <v>2000</v>
      </c>
      <c r="F577" s="17" t="s">
        <v>166</v>
      </c>
      <c r="G577" s="17" t="s">
        <v>20</v>
      </c>
      <c r="H577" s="52">
        <v>2022</v>
      </c>
    </row>
    <row r="578" spans="1:8" ht="24.65" customHeight="1" x14ac:dyDescent="0.35">
      <c r="A578" s="17" t="s">
        <v>551</v>
      </c>
      <c r="B578" s="17" t="s">
        <v>1270</v>
      </c>
      <c r="C578" s="17" t="s">
        <v>1510</v>
      </c>
      <c r="D578" s="17" t="s">
        <v>1275</v>
      </c>
      <c r="E578" s="22">
        <v>3000</v>
      </c>
      <c r="F578" s="17" t="s">
        <v>166</v>
      </c>
      <c r="G578" s="17" t="s">
        <v>20</v>
      </c>
      <c r="H578" s="52">
        <v>2022</v>
      </c>
    </row>
    <row r="579" spans="1:8" ht="24.65" customHeight="1" x14ac:dyDescent="0.35">
      <c r="A579" s="17" t="s">
        <v>373</v>
      </c>
      <c r="B579" s="17" t="s">
        <v>1393</v>
      </c>
      <c r="C579" s="17" t="s">
        <v>1511</v>
      </c>
      <c r="D579" s="17" t="s">
        <v>1262</v>
      </c>
      <c r="E579" s="22">
        <v>9774</v>
      </c>
      <c r="F579" s="17" t="s">
        <v>92</v>
      </c>
      <c r="G579" s="17" t="s">
        <v>136</v>
      </c>
      <c r="H579" s="52">
        <v>2022</v>
      </c>
    </row>
    <row r="580" spans="1:8" ht="24.65" customHeight="1" x14ac:dyDescent="0.35">
      <c r="A580" s="17" t="s">
        <v>373</v>
      </c>
      <c r="B580" s="17" t="s">
        <v>1273</v>
      </c>
      <c r="C580" s="17" t="s">
        <v>1512</v>
      </c>
      <c r="D580" s="17" t="s">
        <v>1262</v>
      </c>
      <c r="E580" s="22">
        <v>20000</v>
      </c>
      <c r="F580" s="17" t="s">
        <v>92</v>
      </c>
      <c r="G580" s="17" t="s">
        <v>136</v>
      </c>
      <c r="H580" s="52">
        <v>2022</v>
      </c>
    </row>
    <row r="581" spans="1:8" ht="24.65" customHeight="1" x14ac:dyDescent="0.35">
      <c r="A581" s="17" t="s">
        <v>373</v>
      </c>
      <c r="B581" s="17" t="s">
        <v>1296</v>
      </c>
      <c r="C581" s="17" t="s">
        <v>1513</v>
      </c>
      <c r="D581" s="17" t="s">
        <v>1267</v>
      </c>
      <c r="E581" s="22">
        <v>10000</v>
      </c>
      <c r="F581" s="17" t="s">
        <v>92</v>
      </c>
      <c r="G581" s="17" t="s">
        <v>136</v>
      </c>
      <c r="H581" s="52">
        <v>2022</v>
      </c>
    </row>
    <row r="582" spans="1:8" ht="24.65" customHeight="1" x14ac:dyDescent="0.35">
      <c r="A582" s="17" t="s">
        <v>373</v>
      </c>
      <c r="B582" s="17" t="s">
        <v>1278</v>
      </c>
      <c r="C582" s="17" t="s">
        <v>1514</v>
      </c>
      <c r="D582" s="17" t="s">
        <v>1267</v>
      </c>
      <c r="E582" s="22">
        <v>6000</v>
      </c>
      <c r="F582" s="17" t="s">
        <v>92</v>
      </c>
      <c r="G582" s="17" t="s">
        <v>136</v>
      </c>
      <c r="H582" s="52">
        <v>2022</v>
      </c>
    </row>
    <row r="583" spans="1:8" ht="24.65" customHeight="1" x14ac:dyDescent="0.35">
      <c r="A583" s="17" t="s">
        <v>373</v>
      </c>
      <c r="B583" s="17" t="s">
        <v>1270</v>
      </c>
      <c r="C583" s="17" t="s">
        <v>1515</v>
      </c>
      <c r="D583" s="17" t="s">
        <v>1282</v>
      </c>
      <c r="E583" s="22">
        <v>7000</v>
      </c>
      <c r="F583" s="17" t="s">
        <v>92</v>
      </c>
      <c r="G583" s="17" t="s">
        <v>136</v>
      </c>
      <c r="H583" s="52">
        <v>2022</v>
      </c>
    </row>
    <row r="584" spans="1:8" ht="24.65" customHeight="1" x14ac:dyDescent="0.35">
      <c r="A584" s="17" t="s">
        <v>373</v>
      </c>
      <c r="B584" s="17" t="s">
        <v>1270</v>
      </c>
      <c r="C584" s="17" t="s">
        <v>1516</v>
      </c>
      <c r="D584" s="17" t="s">
        <v>1282</v>
      </c>
      <c r="E584" s="22">
        <v>7000</v>
      </c>
      <c r="F584" s="17" t="s">
        <v>92</v>
      </c>
      <c r="G584" s="17" t="s">
        <v>136</v>
      </c>
      <c r="H584" s="52">
        <v>2022</v>
      </c>
    </row>
    <row r="585" spans="1:8" ht="24.65" customHeight="1" x14ac:dyDescent="0.35">
      <c r="A585" s="17" t="s">
        <v>373</v>
      </c>
      <c r="B585" s="17" t="s">
        <v>1296</v>
      </c>
      <c r="C585" s="17" t="s">
        <v>1517</v>
      </c>
      <c r="D585" s="17" t="s">
        <v>1282</v>
      </c>
      <c r="E585" s="22">
        <v>14407</v>
      </c>
      <c r="F585" s="17" t="s">
        <v>92</v>
      </c>
      <c r="G585" s="17" t="s">
        <v>136</v>
      </c>
      <c r="H585" s="52">
        <v>2022</v>
      </c>
    </row>
    <row r="586" spans="1:8" ht="24.65" customHeight="1" x14ac:dyDescent="0.35">
      <c r="A586" s="17" t="s">
        <v>373</v>
      </c>
      <c r="B586" s="17" t="s">
        <v>1296</v>
      </c>
      <c r="C586" s="17" t="s">
        <v>1518</v>
      </c>
      <c r="D586" s="17" t="s">
        <v>1259</v>
      </c>
      <c r="E586" s="22">
        <v>17000</v>
      </c>
      <c r="F586" s="17" t="s">
        <v>92</v>
      </c>
      <c r="G586" s="17" t="s">
        <v>136</v>
      </c>
      <c r="H586" s="52">
        <v>2022</v>
      </c>
    </row>
    <row r="587" spans="1:8" ht="24.65" customHeight="1" x14ac:dyDescent="0.35">
      <c r="A587" s="17" t="s">
        <v>373</v>
      </c>
      <c r="B587" s="52" t="s">
        <v>1296</v>
      </c>
      <c r="C587" s="17" t="s">
        <v>1519</v>
      </c>
      <c r="D587" s="17" t="s">
        <v>1259</v>
      </c>
      <c r="E587" s="22">
        <f>11000+9322+19000+9322</f>
        <v>48644</v>
      </c>
      <c r="F587" s="17" t="s">
        <v>92</v>
      </c>
      <c r="G587" s="17" t="s">
        <v>136</v>
      </c>
      <c r="H587" s="52">
        <v>2022</v>
      </c>
    </row>
    <row r="588" spans="1:8" ht="24.65" customHeight="1" x14ac:dyDescent="0.35">
      <c r="A588" s="17" t="s">
        <v>373</v>
      </c>
      <c r="B588" s="52" t="s">
        <v>1296</v>
      </c>
      <c r="C588" s="17" t="s">
        <v>1520</v>
      </c>
      <c r="D588" s="17" t="s">
        <v>1259</v>
      </c>
      <c r="E588" s="22" t="s">
        <v>1521</v>
      </c>
      <c r="F588" s="17" t="s">
        <v>92</v>
      </c>
      <c r="G588" s="17" t="s">
        <v>136</v>
      </c>
      <c r="H588" s="52">
        <v>2022</v>
      </c>
    </row>
    <row r="589" spans="1:8" ht="24.65" customHeight="1" x14ac:dyDescent="0.35">
      <c r="A589" s="17" t="s">
        <v>373</v>
      </c>
      <c r="B589" s="52" t="s">
        <v>1260</v>
      </c>
      <c r="C589" s="17" t="s">
        <v>1522</v>
      </c>
      <c r="D589" s="17" t="s">
        <v>1262</v>
      </c>
      <c r="E589" s="22">
        <v>100649</v>
      </c>
      <c r="F589" s="17" t="s">
        <v>92</v>
      </c>
      <c r="G589" s="17" t="s">
        <v>136</v>
      </c>
      <c r="H589" s="52">
        <v>2022</v>
      </c>
    </row>
    <row r="590" spans="1:8" ht="24.65" customHeight="1" x14ac:dyDescent="0.35">
      <c r="A590" s="17" t="s">
        <v>373</v>
      </c>
      <c r="B590" s="52" t="s">
        <v>1296</v>
      </c>
      <c r="C590" s="17" t="s">
        <v>1523</v>
      </c>
      <c r="D590" s="17" t="s">
        <v>1259</v>
      </c>
      <c r="E590" s="22">
        <v>115000</v>
      </c>
      <c r="F590" s="17" t="s">
        <v>92</v>
      </c>
      <c r="G590" s="17" t="s">
        <v>136</v>
      </c>
      <c r="H590" s="52">
        <v>2022</v>
      </c>
    </row>
    <row r="591" spans="1:8" ht="24.65" customHeight="1" x14ac:dyDescent="0.35">
      <c r="A591" s="17" t="s">
        <v>373</v>
      </c>
      <c r="B591" s="52" t="s">
        <v>1296</v>
      </c>
      <c r="C591" s="17" t="s">
        <v>1524</v>
      </c>
      <c r="D591" s="17" t="s">
        <v>1259</v>
      </c>
      <c r="E591" s="22">
        <v>41338</v>
      </c>
      <c r="F591" s="17" t="s">
        <v>92</v>
      </c>
      <c r="G591" s="17" t="s">
        <v>136</v>
      </c>
      <c r="H591" s="52">
        <v>2022</v>
      </c>
    </row>
    <row r="592" spans="1:8" ht="24.65" customHeight="1" x14ac:dyDescent="0.35">
      <c r="A592" s="17" t="s">
        <v>373</v>
      </c>
      <c r="B592" s="52" t="s">
        <v>1296</v>
      </c>
      <c r="C592" s="17" t="s">
        <v>1525</v>
      </c>
      <c r="D592" s="17" t="s">
        <v>1259</v>
      </c>
      <c r="E592" s="22">
        <v>16952</v>
      </c>
      <c r="F592" s="17" t="s">
        <v>92</v>
      </c>
      <c r="G592" s="17" t="s">
        <v>136</v>
      </c>
      <c r="H592" s="52">
        <v>2022</v>
      </c>
    </row>
    <row r="593" spans="1:8" ht="24.65" customHeight="1" x14ac:dyDescent="0.35">
      <c r="A593" s="17" t="s">
        <v>373</v>
      </c>
      <c r="B593" s="17" t="s">
        <v>1278</v>
      </c>
      <c r="C593" s="17" t="s">
        <v>1526</v>
      </c>
      <c r="D593" s="17" t="s">
        <v>1262</v>
      </c>
      <c r="E593" s="22">
        <v>48900</v>
      </c>
      <c r="F593" s="17" t="s">
        <v>92</v>
      </c>
      <c r="G593" s="17" t="s">
        <v>136</v>
      </c>
      <c r="H593" s="52">
        <v>2022</v>
      </c>
    </row>
    <row r="594" spans="1:8" ht="24.65" customHeight="1" x14ac:dyDescent="0.35">
      <c r="A594" s="17" t="s">
        <v>373</v>
      </c>
      <c r="B594" s="17" t="s">
        <v>1273</v>
      </c>
      <c r="C594" s="17" t="s">
        <v>1527</v>
      </c>
      <c r="D594" s="17" t="s">
        <v>1262</v>
      </c>
      <c r="E594" s="22">
        <v>15000</v>
      </c>
      <c r="F594" s="17" t="s">
        <v>92</v>
      </c>
      <c r="G594" s="17" t="s">
        <v>136</v>
      </c>
      <c r="H594" s="52">
        <v>2022</v>
      </c>
    </row>
    <row r="595" spans="1:8" ht="24.65" customHeight="1" x14ac:dyDescent="0.35">
      <c r="A595" s="17" t="s">
        <v>373</v>
      </c>
      <c r="B595" s="17" t="s">
        <v>1296</v>
      </c>
      <c r="C595" s="17" t="s">
        <v>1528</v>
      </c>
      <c r="D595" s="17" t="s">
        <v>1262</v>
      </c>
      <c r="E595" s="22">
        <v>5010</v>
      </c>
      <c r="F595" s="17" t="s">
        <v>92</v>
      </c>
      <c r="G595" s="17" t="s">
        <v>136</v>
      </c>
      <c r="H595" s="52">
        <v>2022</v>
      </c>
    </row>
    <row r="596" spans="1:8" ht="24.65" customHeight="1" x14ac:dyDescent="0.35">
      <c r="A596" s="17" t="s">
        <v>373</v>
      </c>
      <c r="B596" s="17" t="s">
        <v>1296</v>
      </c>
      <c r="C596" s="17" t="s">
        <v>1529</v>
      </c>
      <c r="D596" s="17" t="s">
        <v>1262</v>
      </c>
      <c r="E596" s="22">
        <v>21900</v>
      </c>
      <c r="F596" s="17" t="s">
        <v>92</v>
      </c>
      <c r="G596" s="17" t="s">
        <v>136</v>
      </c>
      <c r="H596" s="52">
        <v>2022</v>
      </c>
    </row>
    <row r="597" spans="1:8" ht="24.65" customHeight="1" x14ac:dyDescent="0.35">
      <c r="A597" s="17" t="s">
        <v>373</v>
      </c>
      <c r="B597" s="17" t="s">
        <v>1278</v>
      </c>
      <c r="C597" s="17" t="s">
        <v>1530</v>
      </c>
      <c r="D597" s="17" t="s">
        <v>1275</v>
      </c>
      <c r="E597" s="22">
        <v>16950</v>
      </c>
      <c r="F597" s="17" t="s">
        <v>92</v>
      </c>
      <c r="G597" s="17" t="s">
        <v>136</v>
      </c>
      <c r="H597" s="52">
        <v>2022</v>
      </c>
    </row>
    <row r="598" spans="1:8" ht="24.65" customHeight="1" x14ac:dyDescent="0.35">
      <c r="A598" s="17" t="s">
        <v>373</v>
      </c>
      <c r="B598" s="17" t="s">
        <v>1260</v>
      </c>
      <c r="C598" s="17" t="s">
        <v>1531</v>
      </c>
      <c r="D598" s="17" t="s">
        <v>1262</v>
      </c>
      <c r="E598" s="22">
        <v>25000</v>
      </c>
      <c r="F598" s="17" t="s">
        <v>92</v>
      </c>
      <c r="G598" s="17" t="s">
        <v>136</v>
      </c>
      <c r="H598" s="52">
        <v>2022</v>
      </c>
    </row>
    <row r="599" spans="1:8" ht="24.65" customHeight="1" x14ac:dyDescent="0.35">
      <c r="A599" s="17" t="s">
        <v>373</v>
      </c>
      <c r="B599" s="17" t="s">
        <v>1296</v>
      </c>
      <c r="C599" s="17" t="s">
        <v>1532</v>
      </c>
      <c r="D599" s="17" t="s">
        <v>1267</v>
      </c>
      <c r="E599" s="22">
        <v>27600</v>
      </c>
      <c r="F599" s="17" t="s">
        <v>92</v>
      </c>
      <c r="G599" s="17" t="s">
        <v>136</v>
      </c>
      <c r="H599" s="52">
        <v>2022</v>
      </c>
    </row>
    <row r="600" spans="1:8" ht="24.65" customHeight="1" x14ac:dyDescent="0.35">
      <c r="A600" s="17" t="s">
        <v>373</v>
      </c>
      <c r="B600" s="17" t="s">
        <v>1296</v>
      </c>
      <c r="C600" s="17" t="s">
        <v>1533</v>
      </c>
      <c r="D600" s="17" t="s">
        <v>1267</v>
      </c>
      <c r="E600" s="22">
        <v>9000</v>
      </c>
      <c r="F600" s="17" t="s">
        <v>92</v>
      </c>
      <c r="G600" s="17" t="s">
        <v>136</v>
      </c>
      <c r="H600" s="52">
        <v>2022</v>
      </c>
    </row>
    <row r="601" spans="1:8" ht="24.65" customHeight="1" x14ac:dyDescent="0.35">
      <c r="A601" s="17" t="s">
        <v>373</v>
      </c>
      <c r="B601" s="17" t="s">
        <v>1278</v>
      </c>
      <c r="C601" s="17" t="s">
        <v>1534</v>
      </c>
      <c r="D601" s="17" t="s">
        <v>1262</v>
      </c>
      <c r="E601" s="22">
        <v>10000</v>
      </c>
      <c r="F601" s="17" t="s">
        <v>92</v>
      </c>
      <c r="G601" s="17" t="s">
        <v>136</v>
      </c>
      <c r="H601" s="52">
        <v>2022</v>
      </c>
    </row>
    <row r="602" spans="1:8" ht="24.65" customHeight="1" x14ac:dyDescent="0.35">
      <c r="A602" s="17" t="s">
        <v>376</v>
      </c>
      <c r="B602" s="17" t="s">
        <v>1393</v>
      </c>
      <c r="C602" s="17" t="s">
        <v>1198</v>
      </c>
      <c r="D602" s="17" t="s">
        <v>1262</v>
      </c>
      <c r="E602" s="22">
        <v>13610</v>
      </c>
      <c r="F602" s="17" t="s">
        <v>94</v>
      </c>
      <c r="G602" s="17" t="s">
        <v>20</v>
      </c>
      <c r="H602" s="52">
        <v>2022</v>
      </c>
    </row>
    <row r="603" spans="1:8" ht="24.65" customHeight="1" x14ac:dyDescent="0.35">
      <c r="A603" s="17" t="s">
        <v>376</v>
      </c>
      <c r="B603" s="17" t="s">
        <v>1393</v>
      </c>
      <c r="C603" s="17" t="s">
        <v>1535</v>
      </c>
      <c r="D603" s="17" t="s">
        <v>1262</v>
      </c>
      <c r="E603" s="22">
        <v>794117</v>
      </c>
      <c r="F603" s="17" t="s">
        <v>94</v>
      </c>
      <c r="G603" s="17" t="s">
        <v>20</v>
      </c>
      <c r="H603" s="52">
        <v>2022</v>
      </c>
    </row>
    <row r="604" spans="1:8" ht="24.65" customHeight="1" x14ac:dyDescent="0.35">
      <c r="A604" s="17" t="s">
        <v>376</v>
      </c>
      <c r="B604" s="17" t="s">
        <v>1273</v>
      </c>
      <c r="C604" s="17" t="s">
        <v>1198</v>
      </c>
      <c r="D604" s="17" t="s">
        <v>1262</v>
      </c>
      <c r="E604" s="22">
        <v>19655</v>
      </c>
      <c r="F604" s="17" t="s">
        <v>94</v>
      </c>
      <c r="G604" s="17" t="s">
        <v>20</v>
      </c>
      <c r="H604" s="52">
        <v>2022</v>
      </c>
    </row>
    <row r="605" spans="1:8" ht="24.65" customHeight="1" x14ac:dyDescent="0.35">
      <c r="A605" s="17" t="s">
        <v>376</v>
      </c>
      <c r="B605" s="17" t="s">
        <v>1393</v>
      </c>
      <c r="C605" s="17" t="s">
        <v>1198</v>
      </c>
      <c r="D605" s="17" t="s">
        <v>1262</v>
      </c>
      <c r="E605" s="22">
        <v>316383</v>
      </c>
      <c r="F605" s="17" t="s">
        <v>94</v>
      </c>
      <c r="G605" s="17" t="s">
        <v>20</v>
      </c>
      <c r="H605" s="52">
        <v>2022</v>
      </c>
    </row>
    <row r="606" spans="1:8" ht="24.65" customHeight="1" x14ac:dyDescent="0.35">
      <c r="A606" s="17" t="s">
        <v>376</v>
      </c>
      <c r="B606" s="17" t="s">
        <v>1273</v>
      </c>
      <c r="C606" s="17" t="s">
        <v>1535</v>
      </c>
      <c r="D606" s="17" t="s">
        <v>1262</v>
      </c>
      <c r="E606" s="22">
        <v>105013</v>
      </c>
      <c r="F606" s="17" t="s">
        <v>94</v>
      </c>
      <c r="G606" s="17" t="s">
        <v>20</v>
      </c>
      <c r="H606" s="52">
        <v>2022</v>
      </c>
    </row>
    <row r="607" spans="1:8" ht="24.65" customHeight="1" x14ac:dyDescent="0.35">
      <c r="A607" s="17" t="s">
        <v>376</v>
      </c>
      <c r="B607" s="17" t="s">
        <v>1273</v>
      </c>
      <c r="C607" s="17" t="s">
        <v>1198</v>
      </c>
      <c r="D607" s="17" t="s">
        <v>1267</v>
      </c>
      <c r="E607" s="22">
        <v>53681</v>
      </c>
      <c r="F607" s="17" t="s">
        <v>94</v>
      </c>
      <c r="G607" s="17" t="s">
        <v>20</v>
      </c>
      <c r="H607" s="52">
        <v>2022</v>
      </c>
    </row>
    <row r="608" spans="1:8" ht="24.65" customHeight="1" x14ac:dyDescent="0.35">
      <c r="A608" s="17" t="s">
        <v>376</v>
      </c>
      <c r="B608" s="17" t="s">
        <v>1270</v>
      </c>
      <c r="C608" s="17" t="s">
        <v>1536</v>
      </c>
      <c r="D608" s="17" t="s">
        <v>1282</v>
      </c>
      <c r="E608" s="22">
        <v>266067</v>
      </c>
      <c r="F608" s="17" t="s">
        <v>94</v>
      </c>
      <c r="G608" s="17" t="s">
        <v>20</v>
      </c>
      <c r="H608" s="52">
        <v>2022</v>
      </c>
    </row>
    <row r="609" spans="1:8" ht="24.65" customHeight="1" x14ac:dyDescent="0.35">
      <c r="A609" s="17" t="s">
        <v>376</v>
      </c>
      <c r="B609" s="17" t="s">
        <v>1270</v>
      </c>
      <c r="C609" s="17" t="s">
        <v>1537</v>
      </c>
      <c r="D609" s="17" t="s">
        <v>1282</v>
      </c>
      <c r="E609" s="22">
        <v>7499</v>
      </c>
      <c r="F609" s="17" t="s">
        <v>94</v>
      </c>
      <c r="G609" s="17" t="s">
        <v>20</v>
      </c>
      <c r="H609" s="52">
        <v>2022</v>
      </c>
    </row>
    <row r="610" spans="1:8" ht="24.65" customHeight="1" x14ac:dyDescent="0.35">
      <c r="A610" s="17" t="s">
        <v>376</v>
      </c>
      <c r="B610" s="17" t="s">
        <v>1296</v>
      </c>
      <c r="C610" s="17" t="s">
        <v>1198</v>
      </c>
      <c r="D610" s="17" t="s">
        <v>1259</v>
      </c>
      <c r="E610" s="22">
        <v>347964</v>
      </c>
      <c r="F610" s="17" t="s">
        <v>94</v>
      </c>
      <c r="G610" s="17" t="s">
        <v>20</v>
      </c>
      <c r="H610" s="52">
        <v>2022</v>
      </c>
    </row>
    <row r="611" spans="1:8" ht="24.65" customHeight="1" x14ac:dyDescent="0.35">
      <c r="A611" s="17" t="s">
        <v>376</v>
      </c>
      <c r="B611" s="17" t="s">
        <v>1296</v>
      </c>
      <c r="C611" s="17" t="s">
        <v>1537</v>
      </c>
      <c r="D611" s="17" t="s">
        <v>1259</v>
      </c>
      <c r="E611" s="22">
        <v>176770</v>
      </c>
      <c r="F611" s="17" t="s">
        <v>94</v>
      </c>
      <c r="G611" s="17" t="s">
        <v>20</v>
      </c>
      <c r="H611" s="52">
        <v>2022</v>
      </c>
    </row>
    <row r="612" spans="1:8" ht="24.65" customHeight="1" x14ac:dyDescent="0.35">
      <c r="A612" s="17" t="s">
        <v>376</v>
      </c>
      <c r="B612" s="17" t="s">
        <v>1273</v>
      </c>
      <c r="C612" s="17" t="s">
        <v>1535</v>
      </c>
      <c r="D612" s="17" t="s">
        <v>1262</v>
      </c>
      <c r="E612" s="22">
        <v>495920</v>
      </c>
      <c r="F612" s="17" t="s">
        <v>166</v>
      </c>
      <c r="G612" s="17" t="s">
        <v>20</v>
      </c>
      <c r="H612" s="52">
        <v>2022</v>
      </c>
    </row>
    <row r="613" spans="1:8" ht="24.65" customHeight="1" x14ac:dyDescent="0.35">
      <c r="A613" s="17" t="s">
        <v>376</v>
      </c>
      <c r="B613" s="17" t="s">
        <v>1273</v>
      </c>
      <c r="C613" s="17" t="s">
        <v>1400</v>
      </c>
      <c r="D613" s="17" t="s">
        <v>1262</v>
      </c>
      <c r="E613" s="22">
        <v>239674</v>
      </c>
      <c r="F613" s="17" t="s">
        <v>166</v>
      </c>
      <c r="G613" s="17" t="s">
        <v>20</v>
      </c>
      <c r="H613" s="52">
        <v>2022</v>
      </c>
    </row>
    <row r="614" spans="1:8" ht="24.65" customHeight="1" x14ac:dyDescent="0.35">
      <c r="A614" s="17" t="s">
        <v>382</v>
      </c>
      <c r="B614" s="17" t="s">
        <v>1278</v>
      </c>
      <c r="C614" s="17" t="s">
        <v>1402</v>
      </c>
      <c r="D614" s="17" t="s">
        <v>1262</v>
      </c>
      <c r="E614" s="22">
        <v>8671</v>
      </c>
      <c r="F614" s="17" t="s">
        <v>1294</v>
      </c>
      <c r="G614" s="17" t="s">
        <v>1294</v>
      </c>
      <c r="H614" s="52">
        <v>2022</v>
      </c>
    </row>
    <row r="615" spans="1:8" ht="24.65" customHeight="1" x14ac:dyDescent="0.35">
      <c r="A615" s="17" t="s">
        <v>382</v>
      </c>
      <c r="B615" s="17" t="s">
        <v>1265</v>
      </c>
      <c r="C615" s="17" t="s">
        <v>1538</v>
      </c>
      <c r="D615" s="52" t="s">
        <v>1262</v>
      </c>
      <c r="E615" s="22">
        <v>2500</v>
      </c>
      <c r="F615" s="17" t="s">
        <v>1539</v>
      </c>
      <c r="G615" s="17" t="s">
        <v>1294</v>
      </c>
      <c r="H615" s="52">
        <v>2022</v>
      </c>
    </row>
    <row r="616" spans="1:8" ht="24.65" customHeight="1" x14ac:dyDescent="0.35">
      <c r="A616" s="17" t="s">
        <v>382</v>
      </c>
      <c r="B616" s="17" t="s">
        <v>1296</v>
      </c>
      <c r="C616" s="17" t="s">
        <v>1403</v>
      </c>
      <c r="D616" s="52" t="s">
        <v>1259</v>
      </c>
      <c r="E616" s="22">
        <v>3982</v>
      </c>
      <c r="F616" s="17" t="s">
        <v>1294</v>
      </c>
      <c r="G616" s="17" t="s">
        <v>1294</v>
      </c>
      <c r="H616" s="52">
        <v>2022</v>
      </c>
    </row>
    <row r="617" spans="1:8" ht="24.65" customHeight="1" x14ac:dyDescent="0.35">
      <c r="A617" s="17" t="s">
        <v>382</v>
      </c>
      <c r="B617" s="17" t="s">
        <v>1270</v>
      </c>
      <c r="C617" s="17" t="s">
        <v>1404</v>
      </c>
      <c r="D617" s="52" t="s">
        <v>1282</v>
      </c>
      <c r="E617" s="22">
        <v>1457</v>
      </c>
      <c r="F617" s="17" t="s">
        <v>1294</v>
      </c>
      <c r="G617" s="17" t="s">
        <v>1294</v>
      </c>
      <c r="H617" s="52">
        <v>2022</v>
      </c>
    </row>
    <row r="618" spans="1:8" ht="24.65" customHeight="1" x14ac:dyDescent="0.35">
      <c r="A618" s="17" t="s">
        <v>382</v>
      </c>
      <c r="B618" s="17" t="s">
        <v>1312</v>
      </c>
      <c r="C618" s="17" t="s">
        <v>1540</v>
      </c>
      <c r="D618" s="52" t="s">
        <v>1262</v>
      </c>
      <c r="E618" s="22">
        <v>4000</v>
      </c>
      <c r="F618" s="17" t="s">
        <v>1541</v>
      </c>
      <c r="G618" s="17" t="s">
        <v>66</v>
      </c>
      <c r="H618" s="52">
        <v>2022</v>
      </c>
    </row>
    <row r="619" spans="1:8" ht="24.65" customHeight="1" x14ac:dyDescent="0.35">
      <c r="A619" s="17" t="s">
        <v>382</v>
      </c>
      <c r="B619" s="17" t="s">
        <v>1273</v>
      </c>
      <c r="C619" s="17" t="s">
        <v>1542</v>
      </c>
      <c r="D619" s="52" t="s">
        <v>1262</v>
      </c>
      <c r="E619" s="22">
        <v>1270</v>
      </c>
      <c r="F619" s="17" t="s">
        <v>1294</v>
      </c>
      <c r="G619" s="17" t="s">
        <v>1294</v>
      </c>
      <c r="H619" s="52">
        <v>2022</v>
      </c>
    </row>
    <row r="620" spans="1:8" ht="24.65" customHeight="1" x14ac:dyDescent="0.35">
      <c r="A620" s="17" t="s">
        <v>638</v>
      </c>
      <c r="B620" s="17" t="s">
        <v>1273</v>
      </c>
      <c r="C620" s="17" t="s">
        <v>1543</v>
      </c>
      <c r="D620" s="17" t="s">
        <v>1262</v>
      </c>
      <c r="E620" s="22">
        <v>7464</v>
      </c>
      <c r="F620" s="17" t="s">
        <v>10</v>
      </c>
      <c r="G620" s="17" t="s">
        <v>10</v>
      </c>
      <c r="H620" s="52">
        <v>2022</v>
      </c>
    </row>
    <row r="621" spans="1:8" ht="24.65" customHeight="1" x14ac:dyDescent="0.35">
      <c r="A621" s="17" t="s">
        <v>638</v>
      </c>
      <c r="B621" s="17" t="s">
        <v>1273</v>
      </c>
      <c r="C621" s="17" t="s">
        <v>1544</v>
      </c>
      <c r="D621" s="17" t="s">
        <v>1262</v>
      </c>
      <c r="E621" s="22">
        <v>6079</v>
      </c>
      <c r="F621" s="17" t="s">
        <v>10</v>
      </c>
      <c r="G621" s="17" t="s">
        <v>10</v>
      </c>
      <c r="H621" s="52">
        <v>2022</v>
      </c>
    </row>
    <row r="622" spans="1:8" ht="24.65" customHeight="1" x14ac:dyDescent="0.35">
      <c r="A622" s="17" t="s">
        <v>106</v>
      </c>
      <c r="B622" s="17" t="s">
        <v>1260</v>
      </c>
      <c r="C622" s="17" t="s">
        <v>1545</v>
      </c>
      <c r="D622" s="17" t="s">
        <v>1262</v>
      </c>
      <c r="E622" s="22">
        <v>2298</v>
      </c>
      <c r="F622" s="17" t="s">
        <v>78</v>
      </c>
      <c r="G622" s="17" t="s">
        <v>78</v>
      </c>
      <c r="H622" s="52">
        <v>2022</v>
      </c>
    </row>
    <row r="623" spans="1:8" ht="24.65" customHeight="1" x14ac:dyDescent="0.35">
      <c r="A623" s="17" t="s">
        <v>106</v>
      </c>
      <c r="B623" s="17" t="s">
        <v>1273</v>
      </c>
      <c r="C623" s="17" t="s">
        <v>1546</v>
      </c>
      <c r="D623" s="17" t="s">
        <v>1262</v>
      </c>
      <c r="E623" s="22">
        <v>22301</v>
      </c>
      <c r="F623" s="17" t="s">
        <v>78</v>
      </c>
      <c r="G623" s="17" t="s">
        <v>78</v>
      </c>
      <c r="H623" s="52">
        <v>2022</v>
      </c>
    </row>
    <row r="624" spans="1:8" ht="24.65" customHeight="1" x14ac:dyDescent="0.35">
      <c r="A624" s="17" t="s">
        <v>106</v>
      </c>
      <c r="B624" s="17" t="s">
        <v>1296</v>
      </c>
      <c r="C624" s="17" t="s">
        <v>1547</v>
      </c>
      <c r="D624" s="17" t="s">
        <v>1267</v>
      </c>
      <c r="E624" s="22">
        <v>1450</v>
      </c>
      <c r="F624" s="17" t="s">
        <v>78</v>
      </c>
      <c r="G624" s="17" t="s">
        <v>78</v>
      </c>
      <c r="H624" s="52">
        <v>2022</v>
      </c>
    </row>
    <row r="625" spans="1:8" ht="24.65" customHeight="1" x14ac:dyDescent="0.35">
      <c r="A625" s="17" t="s">
        <v>643</v>
      </c>
      <c r="B625" s="17" t="s">
        <v>1273</v>
      </c>
      <c r="C625" s="17" t="s">
        <v>1548</v>
      </c>
      <c r="D625" s="17" t="s">
        <v>1262</v>
      </c>
      <c r="E625" s="22">
        <v>100</v>
      </c>
      <c r="F625" s="17" t="s">
        <v>20</v>
      </c>
      <c r="G625" s="17" t="s">
        <v>20</v>
      </c>
      <c r="H625" s="52">
        <v>2022</v>
      </c>
    </row>
    <row r="626" spans="1:8" ht="24.65" customHeight="1" x14ac:dyDescent="0.35">
      <c r="A626" s="17" t="s">
        <v>643</v>
      </c>
      <c r="B626" s="17" t="s">
        <v>1273</v>
      </c>
      <c r="C626" s="17" t="s">
        <v>1549</v>
      </c>
      <c r="D626" s="17" t="s">
        <v>1262</v>
      </c>
      <c r="E626" s="22">
        <v>1950</v>
      </c>
      <c r="F626" s="17" t="s">
        <v>20</v>
      </c>
      <c r="G626" s="17" t="s">
        <v>20</v>
      </c>
      <c r="H626" s="52">
        <v>2022</v>
      </c>
    </row>
    <row r="627" spans="1:8" ht="24.65" customHeight="1" x14ac:dyDescent="0.35">
      <c r="A627" s="17" t="s">
        <v>643</v>
      </c>
      <c r="B627" s="17" t="s">
        <v>1273</v>
      </c>
      <c r="C627" s="17" t="s">
        <v>1550</v>
      </c>
      <c r="D627" s="17" t="s">
        <v>1267</v>
      </c>
      <c r="E627" s="22">
        <v>59</v>
      </c>
      <c r="F627" s="17" t="s">
        <v>20</v>
      </c>
      <c r="G627" s="17" t="s">
        <v>20</v>
      </c>
      <c r="H627" s="52">
        <v>2022</v>
      </c>
    </row>
    <row r="628" spans="1:8" ht="24.65" customHeight="1" x14ac:dyDescent="0.35">
      <c r="A628" s="17" t="s">
        <v>643</v>
      </c>
      <c r="B628" s="17" t="s">
        <v>1296</v>
      </c>
      <c r="C628" s="17" t="s">
        <v>1551</v>
      </c>
      <c r="D628" s="17" t="s">
        <v>1259</v>
      </c>
      <c r="E628" s="22">
        <v>1600</v>
      </c>
      <c r="F628" s="17" t="s">
        <v>20</v>
      </c>
      <c r="G628" s="17" t="s">
        <v>20</v>
      </c>
      <c r="H628" s="52">
        <v>2022</v>
      </c>
    </row>
    <row r="629" spans="1:8" ht="24.65" customHeight="1" x14ac:dyDescent="0.35">
      <c r="A629" s="17" t="s">
        <v>569</v>
      </c>
      <c r="B629" s="17" t="s">
        <v>1273</v>
      </c>
      <c r="C629" s="17" t="s">
        <v>1552</v>
      </c>
      <c r="D629" s="17" t="s">
        <v>1262</v>
      </c>
      <c r="E629" s="22">
        <v>39122</v>
      </c>
      <c r="F629" s="17" t="s">
        <v>29</v>
      </c>
      <c r="G629" s="17" t="s">
        <v>29</v>
      </c>
      <c r="H629" s="52">
        <v>2022</v>
      </c>
    </row>
    <row r="630" spans="1:8" ht="24.65" customHeight="1" x14ac:dyDescent="0.35">
      <c r="A630" s="17" t="s">
        <v>569</v>
      </c>
      <c r="B630" s="17" t="s">
        <v>1296</v>
      </c>
      <c r="C630" s="17" t="s">
        <v>1028</v>
      </c>
      <c r="D630" s="17" t="s">
        <v>1267</v>
      </c>
      <c r="E630" s="22">
        <v>40385</v>
      </c>
      <c r="F630" s="17" t="s">
        <v>29</v>
      </c>
      <c r="G630" s="17" t="s">
        <v>29</v>
      </c>
      <c r="H630" s="52">
        <v>2022</v>
      </c>
    </row>
    <row r="631" spans="1:8" ht="24.65" customHeight="1" x14ac:dyDescent="0.35">
      <c r="A631" s="17" t="s">
        <v>569</v>
      </c>
      <c r="B631" s="17" t="s">
        <v>1273</v>
      </c>
      <c r="C631" s="17" t="s">
        <v>1553</v>
      </c>
      <c r="D631" s="17" t="s">
        <v>1262</v>
      </c>
      <c r="E631" s="22">
        <v>19708</v>
      </c>
      <c r="F631" s="17" t="s">
        <v>29</v>
      </c>
      <c r="G631" s="17" t="s">
        <v>29</v>
      </c>
      <c r="H631" s="52">
        <v>2022</v>
      </c>
    </row>
    <row r="632" spans="1:8" ht="24.65" customHeight="1" x14ac:dyDescent="0.35">
      <c r="A632" s="17" t="s">
        <v>685</v>
      </c>
      <c r="B632" s="17" t="s">
        <v>1278</v>
      </c>
      <c r="C632" s="17" t="s">
        <v>1554</v>
      </c>
      <c r="D632" s="17" t="s">
        <v>1262</v>
      </c>
      <c r="E632" s="22">
        <v>0</v>
      </c>
      <c r="F632" s="17" t="s">
        <v>166</v>
      </c>
      <c r="G632" s="17" t="s">
        <v>20</v>
      </c>
      <c r="H632" s="52">
        <v>2022</v>
      </c>
    </row>
    <row r="633" spans="1:8" ht="24.65" customHeight="1" x14ac:dyDescent="0.35">
      <c r="A633" s="17" t="s">
        <v>685</v>
      </c>
      <c r="B633" s="17" t="s">
        <v>1296</v>
      </c>
      <c r="C633" s="17" t="s">
        <v>1555</v>
      </c>
      <c r="D633" s="17" t="s">
        <v>1267</v>
      </c>
      <c r="E633" s="22">
        <v>200</v>
      </c>
      <c r="F633" s="17" t="s">
        <v>166</v>
      </c>
      <c r="G633" s="17" t="s">
        <v>20</v>
      </c>
      <c r="H633" s="52">
        <v>2022</v>
      </c>
    </row>
    <row r="634" spans="1:8" ht="24.65" customHeight="1" x14ac:dyDescent="0.35">
      <c r="A634" s="17" t="s">
        <v>685</v>
      </c>
      <c r="B634" s="17" t="s">
        <v>1270</v>
      </c>
      <c r="C634" s="17" t="s">
        <v>1556</v>
      </c>
      <c r="D634" s="17" t="s">
        <v>1259</v>
      </c>
      <c r="E634" s="22">
        <v>100</v>
      </c>
      <c r="F634" s="17" t="s">
        <v>166</v>
      </c>
      <c r="G634" s="17" t="s">
        <v>20</v>
      </c>
      <c r="H634" s="52">
        <v>2022</v>
      </c>
    </row>
    <row r="635" spans="1:8" ht="24.65" customHeight="1" x14ac:dyDescent="0.35">
      <c r="A635" s="17" t="s">
        <v>976</v>
      </c>
      <c r="B635" s="17" t="s">
        <v>1393</v>
      </c>
      <c r="C635" s="17" t="s">
        <v>1557</v>
      </c>
      <c r="D635" s="17" t="s">
        <v>1262</v>
      </c>
      <c r="E635" s="22">
        <v>4625</v>
      </c>
      <c r="F635" s="17" t="s">
        <v>20</v>
      </c>
      <c r="G635" s="17" t="s">
        <v>20</v>
      </c>
      <c r="H635" s="52">
        <v>2022</v>
      </c>
    </row>
    <row r="636" spans="1:8" ht="24.65" customHeight="1" x14ac:dyDescent="0.35">
      <c r="A636" s="17" t="s">
        <v>976</v>
      </c>
      <c r="B636" s="17" t="s">
        <v>1265</v>
      </c>
      <c r="C636" s="17" t="s">
        <v>1558</v>
      </c>
      <c r="D636" s="17" t="s">
        <v>1275</v>
      </c>
      <c r="E636" s="22">
        <v>3728</v>
      </c>
      <c r="F636" s="17" t="s">
        <v>20</v>
      </c>
      <c r="G636" s="17" t="s">
        <v>20</v>
      </c>
      <c r="H636" s="52">
        <v>2022</v>
      </c>
    </row>
    <row r="637" spans="1:8" ht="24.65" customHeight="1" x14ac:dyDescent="0.35">
      <c r="A637" s="17" t="s">
        <v>976</v>
      </c>
      <c r="B637" s="17" t="s">
        <v>1296</v>
      </c>
      <c r="C637" s="17" t="s">
        <v>1559</v>
      </c>
      <c r="D637" s="17" t="s">
        <v>1259</v>
      </c>
      <c r="E637" s="22">
        <v>2000</v>
      </c>
      <c r="F637" s="17" t="s">
        <v>20</v>
      </c>
      <c r="G637" s="17" t="s">
        <v>20</v>
      </c>
      <c r="H637" s="52">
        <v>2022</v>
      </c>
    </row>
    <row r="638" spans="1:8" ht="24.65" customHeight="1" x14ac:dyDescent="0.35">
      <c r="A638" s="17" t="s">
        <v>612</v>
      </c>
      <c r="B638" s="17" t="s">
        <v>1278</v>
      </c>
      <c r="C638" s="17" t="s">
        <v>1560</v>
      </c>
      <c r="D638" s="17" t="s">
        <v>1262</v>
      </c>
      <c r="E638" s="22">
        <v>5932</v>
      </c>
      <c r="F638" s="17" t="s">
        <v>77</v>
      </c>
      <c r="G638" s="17" t="s">
        <v>78</v>
      </c>
      <c r="H638" s="52">
        <v>2022</v>
      </c>
    </row>
    <row r="639" spans="1:8" ht="24.65" customHeight="1" x14ac:dyDescent="0.35">
      <c r="A639" s="17" t="s">
        <v>615</v>
      </c>
      <c r="B639" s="17" t="s">
        <v>1278</v>
      </c>
      <c r="C639" s="17" t="s">
        <v>1561</v>
      </c>
      <c r="D639" s="17" t="s">
        <v>1267</v>
      </c>
      <c r="E639" s="22">
        <v>1000</v>
      </c>
      <c r="F639" s="17" t="s">
        <v>44</v>
      </c>
      <c r="G639" s="17" t="s">
        <v>66</v>
      </c>
      <c r="H639" s="52">
        <v>2022</v>
      </c>
    </row>
    <row r="640" spans="1:8" ht="24.65" customHeight="1" x14ac:dyDescent="0.35">
      <c r="A640" s="17" t="s">
        <v>615</v>
      </c>
      <c r="B640" s="17" t="s">
        <v>1270</v>
      </c>
      <c r="C640" s="17" t="s">
        <v>1404</v>
      </c>
      <c r="D640" s="17" t="s">
        <v>1282</v>
      </c>
      <c r="E640" s="22">
        <v>908</v>
      </c>
      <c r="F640" s="17" t="s">
        <v>1293</v>
      </c>
      <c r="G640" s="17" t="s">
        <v>1294</v>
      </c>
      <c r="H640" s="52">
        <v>2022</v>
      </c>
    </row>
    <row r="641" spans="1:8" ht="24.65" customHeight="1" x14ac:dyDescent="0.35">
      <c r="A641" s="17" t="s">
        <v>615</v>
      </c>
      <c r="B641" s="17" t="s">
        <v>1296</v>
      </c>
      <c r="C641" s="17" t="s">
        <v>1562</v>
      </c>
      <c r="D641" s="17" t="s">
        <v>1259</v>
      </c>
      <c r="E641" s="22">
        <v>1617</v>
      </c>
      <c r="F641" s="17" t="s">
        <v>44</v>
      </c>
      <c r="G641" s="17" t="s">
        <v>66</v>
      </c>
      <c r="H641" s="52">
        <v>2022</v>
      </c>
    </row>
    <row r="642" spans="1:8" ht="24.65" customHeight="1" x14ac:dyDescent="0.35">
      <c r="A642" s="21" t="s">
        <v>1563</v>
      </c>
      <c r="B642" s="17" t="s">
        <v>1296</v>
      </c>
      <c r="C642" s="21"/>
      <c r="D642" s="17" t="s">
        <v>1259</v>
      </c>
      <c r="E642" s="22">
        <v>27866</v>
      </c>
      <c r="F642" s="17" t="s">
        <v>1438</v>
      </c>
      <c r="G642" s="17" t="s">
        <v>1294</v>
      </c>
      <c r="H642" s="52">
        <v>2022</v>
      </c>
    </row>
    <row r="643" spans="1:8" ht="24.65" customHeight="1" x14ac:dyDescent="0.35">
      <c r="A643" s="21" t="s">
        <v>1563</v>
      </c>
      <c r="B643" s="17" t="s">
        <v>1273</v>
      </c>
      <c r="C643" s="21"/>
      <c r="D643" s="17" t="s">
        <v>1262</v>
      </c>
      <c r="E643" s="22">
        <v>500</v>
      </c>
      <c r="F643" s="17" t="s">
        <v>1438</v>
      </c>
      <c r="G643" s="17" t="s">
        <v>1294</v>
      </c>
      <c r="H643" s="52">
        <v>2022</v>
      </c>
    </row>
    <row r="644" spans="1:8" ht="24.65" customHeight="1" x14ac:dyDescent="0.35">
      <c r="A644" s="21" t="s">
        <v>1564</v>
      </c>
      <c r="B644" s="17" t="s">
        <v>1393</v>
      </c>
      <c r="C644" s="21" t="s">
        <v>1565</v>
      </c>
      <c r="D644" s="17" t="s">
        <v>1262</v>
      </c>
      <c r="E644" s="22">
        <v>7400</v>
      </c>
      <c r="F644" s="21" t="s">
        <v>1566</v>
      </c>
      <c r="G644" s="21" t="s">
        <v>20</v>
      </c>
      <c r="H644" s="52">
        <v>2022</v>
      </c>
    </row>
    <row r="645" spans="1:8" ht="24.65" customHeight="1" x14ac:dyDescent="0.35">
      <c r="A645" s="21" t="s">
        <v>1564</v>
      </c>
      <c r="B645" s="17" t="s">
        <v>1296</v>
      </c>
      <c r="C645" s="21" t="s">
        <v>1567</v>
      </c>
      <c r="D645" s="17" t="s">
        <v>1259</v>
      </c>
      <c r="E645" s="22">
        <v>5204.1790000000001</v>
      </c>
      <c r="F645" s="21" t="s">
        <v>1568</v>
      </c>
      <c r="G645" s="21" t="s">
        <v>20</v>
      </c>
      <c r="H645" s="52">
        <v>2022</v>
      </c>
    </row>
    <row r="646" spans="1:8" ht="24.65" customHeight="1" x14ac:dyDescent="0.35">
      <c r="A646" s="21" t="s">
        <v>1564</v>
      </c>
      <c r="B646" s="17" t="s">
        <v>1278</v>
      </c>
      <c r="C646" s="21" t="s">
        <v>1569</v>
      </c>
      <c r="D646" s="17" t="s">
        <v>1262</v>
      </c>
      <c r="E646" s="22">
        <v>1000</v>
      </c>
      <c r="F646" s="21" t="s">
        <v>136</v>
      </c>
      <c r="G646" s="21" t="s">
        <v>136</v>
      </c>
      <c r="H646" s="52">
        <v>2022</v>
      </c>
    </row>
    <row r="647" spans="1:8" ht="24.65" customHeight="1" x14ac:dyDescent="0.35">
      <c r="A647" s="21" t="s">
        <v>1564</v>
      </c>
      <c r="B647" s="21" t="s">
        <v>1265</v>
      </c>
      <c r="C647" s="21" t="s">
        <v>1570</v>
      </c>
      <c r="D647" s="17" t="s">
        <v>1262</v>
      </c>
      <c r="E647" s="22">
        <v>300</v>
      </c>
      <c r="F647" s="21" t="s">
        <v>1571</v>
      </c>
      <c r="G647" s="21" t="s">
        <v>20</v>
      </c>
      <c r="H647" s="52">
        <v>2022</v>
      </c>
    </row>
    <row r="648" spans="1:8" ht="24.65" customHeight="1" x14ac:dyDescent="0.35">
      <c r="A648" s="21" t="s">
        <v>1564</v>
      </c>
      <c r="B648" s="21" t="s">
        <v>1265</v>
      </c>
      <c r="C648" s="21" t="s">
        <v>1572</v>
      </c>
      <c r="D648" s="17" t="s">
        <v>1267</v>
      </c>
      <c r="E648" s="22">
        <v>500</v>
      </c>
      <c r="F648" s="21" t="s">
        <v>1573</v>
      </c>
      <c r="G648" s="21" t="s">
        <v>20</v>
      </c>
      <c r="H648" s="52">
        <v>2022</v>
      </c>
    </row>
    <row r="649" spans="1:8" ht="24.65" customHeight="1" x14ac:dyDescent="0.35">
      <c r="A649" s="21" t="s">
        <v>1564</v>
      </c>
      <c r="B649" s="17" t="s">
        <v>1296</v>
      </c>
      <c r="C649" s="21" t="s">
        <v>1574</v>
      </c>
      <c r="D649" s="17" t="s">
        <v>1259</v>
      </c>
      <c r="E649" s="22">
        <v>5933.9</v>
      </c>
      <c r="F649" s="21" t="s">
        <v>1575</v>
      </c>
      <c r="G649" s="21" t="s">
        <v>20</v>
      </c>
      <c r="H649" s="52">
        <v>2022</v>
      </c>
    </row>
    <row r="650" spans="1:8" ht="24.65" customHeight="1" x14ac:dyDescent="0.35">
      <c r="A650" s="21" t="s">
        <v>572</v>
      </c>
      <c r="B650" s="21" t="s">
        <v>1270</v>
      </c>
      <c r="C650" s="21" t="s">
        <v>1576</v>
      </c>
      <c r="D650" s="52" t="s">
        <v>1282</v>
      </c>
      <c r="E650" s="22">
        <v>421</v>
      </c>
      <c r="F650" s="21" t="s">
        <v>606</v>
      </c>
      <c r="G650" s="21" t="s">
        <v>66</v>
      </c>
      <c r="H650" s="52">
        <v>2022</v>
      </c>
    </row>
    <row r="651" spans="1:8" ht="24.65" customHeight="1" x14ac:dyDescent="0.35">
      <c r="A651" s="21" t="s">
        <v>572</v>
      </c>
      <c r="B651" s="17" t="s">
        <v>1273</v>
      </c>
      <c r="C651" s="21" t="s">
        <v>1577</v>
      </c>
      <c r="D651" s="52" t="s">
        <v>1262</v>
      </c>
      <c r="E651" s="22">
        <v>370095</v>
      </c>
      <c r="F651" s="21" t="s">
        <v>606</v>
      </c>
      <c r="G651" s="21" t="s">
        <v>66</v>
      </c>
      <c r="H651" s="52">
        <v>2022</v>
      </c>
    </row>
    <row r="652" spans="1:8" ht="24.65" customHeight="1" x14ac:dyDescent="0.35">
      <c r="A652" s="17" t="s">
        <v>841</v>
      </c>
      <c r="B652" s="17" t="s">
        <v>1270</v>
      </c>
      <c r="C652" s="17" t="s">
        <v>1437</v>
      </c>
      <c r="D652" s="17" t="s">
        <v>1578</v>
      </c>
      <c r="E652" s="22">
        <v>18605</v>
      </c>
      <c r="F652" s="17" t="s">
        <v>1439</v>
      </c>
      <c r="G652" s="17" t="s">
        <v>1440</v>
      </c>
      <c r="H652" s="52">
        <v>2022</v>
      </c>
    </row>
    <row r="653" spans="1:8" ht="24.65" customHeight="1" x14ac:dyDescent="0.35">
      <c r="A653" s="17" t="s">
        <v>841</v>
      </c>
      <c r="B653" s="17" t="s">
        <v>1296</v>
      </c>
      <c r="C653" s="17" t="s">
        <v>1579</v>
      </c>
      <c r="D653" s="17" t="s">
        <v>1259</v>
      </c>
      <c r="E653" s="22">
        <v>39959</v>
      </c>
      <c r="F653" s="17" t="s">
        <v>1439</v>
      </c>
      <c r="G653" s="17" t="s">
        <v>1440</v>
      </c>
      <c r="H653" s="52">
        <v>2022</v>
      </c>
    </row>
    <row r="654" spans="1:8" ht="24.65" customHeight="1" x14ac:dyDescent="0.35">
      <c r="A654" s="17" t="s">
        <v>841</v>
      </c>
      <c r="B654" s="17" t="s">
        <v>1273</v>
      </c>
      <c r="C654" s="17" t="s">
        <v>1580</v>
      </c>
      <c r="D654" s="17" t="s">
        <v>1578</v>
      </c>
      <c r="E654" s="22">
        <v>239513</v>
      </c>
      <c r="F654" s="17" t="s">
        <v>1439</v>
      </c>
      <c r="G654" s="17" t="s">
        <v>1440</v>
      </c>
      <c r="H654" s="52">
        <v>2022</v>
      </c>
    </row>
    <row r="655" spans="1:8" ht="24.65" customHeight="1" x14ac:dyDescent="0.35">
      <c r="A655" s="17" t="s">
        <v>841</v>
      </c>
      <c r="B655" s="17" t="s">
        <v>1273</v>
      </c>
      <c r="C655" s="17" t="s">
        <v>1581</v>
      </c>
      <c r="D655" s="17" t="s">
        <v>1441</v>
      </c>
      <c r="E655" s="22">
        <v>196319</v>
      </c>
      <c r="F655" s="17" t="s">
        <v>1439</v>
      </c>
      <c r="G655" s="17" t="s">
        <v>1440</v>
      </c>
      <c r="H655" s="52">
        <v>2022</v>
      </c>
    </row>
    <row r="656" spans="1:8" ht="24.65" customHeight="1" x14ac:dyDescent="0.35">
      <c r="A656" s="17" t="s">
        <v>495</v>
      </c>
      <c r="B656" s="17" t="s">
        <v>1296</v>
      </c>
      <c r="C656" s="17" t="s">
        <v>1562</v>
      </c>
      <c r="D656" s="52" t="s">
        <v>1262</v>
      </c>
      <c r="E656" s="22">
        <v>2000</v>
      </c>
      <c r="F656" s="17" t="s">
        <v>78</v>
      </c>
      <c r="G656" s="17" t="s">
        <v>78</v>
      </c>
      <c r="H656" s="52">
        <v>2022</v>
      </c>
    </row>
    <row r="657" spans="1:8" ht="24.65" customHeight="1" x14ac:dyDescent="0.35">
      <c r="A657" s="17" t="s">
        <v>495</v>
      </c>
      <c r="B657" s="17" t="s">
        <v>1273</v>
      </c>
      <c r="C657" s="17" t="s">
        <v>1466</v>
      </c>
      <c r="D657" s="52" t="s">
        <v>1262</v>
      </c>
      <c r="E657" s="22">
        <v>1000</v>
      </c>
      <c r="F657" s="17" t="s">
        <v>78</v>
      </c>
      <c r="G657" s="17" t="s">
        <v>78</v>
      </c>
      <c r="H657" s="52">
        <v>2022</v>
      </c>
    </row>
    <row r="658" spans="1:8" ht="24.65" customHeight="1" x14ac:dyDescent="0.35">
      <c r="A658" s="17" t="s">
        <v>841</v>
      </c>
      <c r="B658" s="17" t="s">
        <v>1273</v>
      </c>
      <c r="C658" s="17" t="s">
        <v>1582</v>
      </c>
      <c r="D658" s="52" t="s">
        <v>1578</v>
      </c>
      <c r="E658" s="22">
        <v>711806</v>
      </c>
      <c r="F658" s="17" t="s">
        <v>1440</v>
      </c>
      <c r="G658" s="17" t="s">
        <v>1440</v>
      </c>
      <c r="H658" s="52">
        <v>2022</v>
      </c>
    </row>
    <row r="659" spans="1:8" ht="24.65" customHeight="1" x14ac:dyDescent="0.35">
      <c r="A659" s="17" t="s">
        <v>388</v>
      </c>
      <c r="B659" s="17" t="s">
        <v>1273</v>
      </c>
      <c r="C659" s="17" t="s">
        <v>1583</v>
      </c>
      <c r="D659" s="52" t="s">
        <v>1578</v>
      </c>
      <c r="E659" s="22">
        <v>2494</v>
      </c>
      <c r="F659" s="17" t="s">
        <v>1584</v>
      </c>
      <c r="G659" s="17" t="s">
        <v>288</v>
      </c>
      <c r="H659" s="52">
        <v>2022</v>
      </c>
    </row>
    <row r="660" spans="1:8" x14ac:dyDescent="0.35">
      <c r="G660" s="24"/>
      <c r="H660" s="14"/>
    </row>
    <row r="661" spans="1:8" x14ac:dyDescent="0.35">
      <c r="G661" s="24"/>
      <c r="H661" s="14"/>
    </row>
    <row r="662" spans="1:8" x14ac:dyDescent="0.35">
      <c r="G662" s="24"/>
      <c r="H662" s="14"/>
    </row>
    <row r="663" spans="1:8" x14ac:dyDescent="0.35">
      <c r="G663" s="24"/>
      <c r="H663" s="14"/>
    </row>
    <row r="664" spans="1:8" x14ac:dyDescent="0.35">
      <c r="G664" s="24"/>
      <c r="H664" s="14"/>
    </row>
    <row r="665" spans="1:8" x14ac:dyDescent="0.35">
      <c r="G665" s="24"/>
      <c r="H665" s="14"/>
    </row>
    <row r="666" spans="1:8" x14ac:dyDescent="0.35">
      <c r="G666" s="24"/>
      <c r="H666" s="14"/>
    </row>
  </sheetData>
  <autoFilter ref="A1:H201" xr:uid="{00000000-0009-0000-0000-000013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Feuil2</vt:lpstr>
      <vt:lpstr>INFO_TITRE_MINIER</vt:lpstr>
      <vt:lpstr>SONDAGE</vt:lpstr>
      <vt:lpstr>PRODUCTION CIMICS</vt:lpstr>
      <vt:lpstr>Feuil1</vt:lpstr>
      <vt:lpstr>Feuil3</vt:lpstr>
      <vt:lpstr>ok</vt:lpstr>
      <vt:lpstr>MAIN D'OEUVRE</vt:lpstr>
      <vt:lpstr>Feuil6</vt:lpstr>
      <vt:lpstr>PRODUCTION_TRANSFORMEE</vt:lpstr>
      <vt:lpstr>Feuil7</vt:lpstr>
      <vt:lpstr>EXPORTATION</vt:lpstr>
      <vt:lpstr>2018_CHARGES</vt:lpstr>
      <vt:lpstr>2019_CHARGES</vt:lpstr>
      <vt:lpstr>2020_CHARGES</vt:lpstr>
      <vt:lpstr>2021_CHARGES</vt:lpstr>
      <vt:lpstr>2022_CHARGES</vt:lpstr>
      <vt:lpstr>Feuil4</vt:lpstr>
      <vt:lpstr>PRODUCTION ELECTRICITE</vt:lpstr>
      <vt:lpstr>REALISATION SOCIALE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Fallou DIONE</dc:creator>
  <cp:lastModifiedBy>sie rachid traore</cp:lastModifiedBy>
  <cp:lastPrinted>2024-04-02T21:09:07Z</cp:lastPrinted>
  <dcterms:created xsi:type="dcterms:W3CDTF">2024-02-27T11:51:39Z</dcterms:created>
  <dcterms:modified xsi:type="dcterms:W3CDTF">2026-06-05T04:34:50Z</dcterms:modified>
</cp:coreProperties>
</file>