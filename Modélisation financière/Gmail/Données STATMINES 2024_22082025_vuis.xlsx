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tr2_11_faireuneanalysecomparativedescotsdeprojets\Gmail\"/>
    </mc:Choice>
  </mc:AlternateContent>
  <xr:revisionPtr revIDLastSave="0" documentId="13_ncr:1_{820327BC-2C85-494E-AAEE-180AC85BBCF2}" xr6:coauthVersionLast="47" xr6:coauthVersionMax="47" xr10:uidLastSave="{00000000-0000-0000-0000-000000000000}"/>
  <bookViews>
    <workbookView xWindow="-110" yWindow="-110" windowWidth="19420" windowHeight="10300" tabRatio="879" xr2:uid="{00000000-000D-0000-FFFF-FFFF00000000}"/>
  </bookViews>
  <sheets>
    <sheet name="Info titre" sheetId="1" r:id="rId1"/>
    <sheet name="PRODUCTION CIMICS" sheetId="3" r:id="rId2"/>
    <sheet name="PRODUCTION TRANSFORME" sheetId="2" r:id="rId3"/>
    <sheet name="EXPORTATION" sheetId="4" r:id="rId4"/>
    <sheet name="AutoProdELECTRICITE" sheetId="8" r:id="rId5"/>
    <sheet name="MAIN D'OEUVRE" sheetId="6" r:id="rId6"/>
    <sheet name="CHARGES" sheetId="5" r:id="rId7"/>
    <sheet name="RSE" sheetId="7" r:id="rId8"/>
  </sheets>
  <definedNames>
    <definedName name="_xlnm._FilterDatabase" localSheetId="4" hidden="1">AutoProdELECTRICITE!$A$1:$X$12</definedName>
    <definedName name="_xlnm._FilterDatabase" localSheetId="6" hidden="1">CHARGES!$A$1:$BP$63</definedName>
    <definedName name="_xlnm._FilterDatabase" localSheetId="3" hidden="1">EXPORTATION!$A$1:$E$45</definedName>
    <definedName name="_xlnm._FilterDatabase" localSheetId="0" hidden="1">'Info titre'!$A$1:$P$70</definedName>
    <definedName name="_xlnm._FilterDatabase" localSheetId="5" hidden="1">'MAIN D''OEUVRE'!$A$1:$J$271</definedName>
    <definedName name="_xlnm._FilterDatabase" localSheetId="1" hidden="1">'PRODUCTION CIMICS'!$A$1:$E$18</definedName>
    <definedName name="_xlnm._FilterDatabase" localSheetId="2" hidden="1">'PRODUCTION TRANSFORME'!$A$1:$O$50</definedName>
    <definedName name="_xlnm._FilterDatabase" localSheetId="7" hidden="1">RSE!$A$1:$L$117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6" l="1"/>
  <c r="I217" i="6"/>
  <c r="J217" i="6"/>
  <c r="J127" i="6"/>
  <c r="I127" i="6"/>
  <c r="I126" i="6"/>
  <c r="E13" i="4"/>
  <c r="E12" i="4"/>
  <c r="D12" i="4"/>
  <c r="D13" i="4"/>
  <c r="M15" i="2"/>
  <c r="L15" i="2"/>
  <c r="J15" i="2"/>
  <c r="H15" i="2"/>
  <c r="G15" i="2"/>
  <c r="E15" i="2"/>
  <c r="D15" i="2"/>
  <c r="M14" i="2"/>
  <c r="L14" i="2"/>
  <c r="J14" i="2"/>
  <c r="I14" i="2"/>
  <c r="E14" i="2"/>
  <c r="H14" i="2"/>
  <c r="G14" i="2"/>
  <c r="F14" i="2"/>
  <c r="D14" i="2"/>
  <c r="J109" i="6"/>
  <c r="J108" i="6"/>
  <c r="J229" i="6"/>
  <c r="I229" i="6"/>
  <c r="I228" i="6"/>
  <c r="I181" i="6"/>
  <c r="I180" i="6"/>
  <c r="I246" i="6"/>
  <c r="I247" i="6"/>
  <c r="E2" i="4"/>
  <c r="D2" i="4"/>
  <c r="I259" i="6"/>
  <c r="I258" i="6"/>
  <c r="D45" i="4"/>
  <c r="E45" i="4"/>
  <c r="J48" i="2"/>
  <c r="I48" i="2"/>
  <c r="E48" i="2"/>
  <c r="D48" i="2"/>
  <c r="I97" i="6"/>
  <c r="I96" i="6"/>
  <c r="E11" i="2"/>
  <c r="D11" i="2"/>
  <c r="E10" i="2"/>
  <c r="D10" i="2"/>
  <c r="E8" i="4"/>
  <c r="D8" i="4"/>
  <c r="M9" i="2"/>
  <c r="L9" i="2"/>
  <c r="K9" i="2"/>
  <c r="I9" i="2"/>
  <c r="H9" i="2"/>
  <c r="G9" i="2"/>
  <c r="F9" i="2"/>
  <c r="D9" i="2"/>
  <c r="I8" i="2"/>
  <c r="M8" i="2"/>
  <c r="L8" i="2"/>
  <c r="K8" i="2"/>
  <c r="J8" i="2"/>
  <c r="H8" i="2"/>
  <c r="G8" i="2"/>
  <c r="F8" i="2"/>
  <c r="D8" i="2"/>
  <c r="E8" i="2"/>
  <c r="H73" i="6"/>
  <c r="H72" i="6"/>
  <c r="M5" i="2"/>
  <c r="J5" i="2"/>
  <c r="I5" i="2"/>
  <c r="H5" i="2"/>
  <c r="E5" i="2"/>
  <c r="D5" i="2"/>
  <c r="X5" i="8"/>
  <c r="X9" i="8"/>
  <c r="X4" i="8"/>
  <c r="X10" i="8"/>
  <c r="X12" i="8"/>
  <c r="X6" i="8"/>
  <c r="X3" i="8"/>
  <c r="X7" i="8"/>
  <c r="X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A7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IAMGOLD BOTO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A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DIACK</t>
        </r>
      </text>
    </comment>
    <comment ref="A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MANSADALA</t>
        </r>
      </text>
    </comment>
  </commentList>
</comments>
</file>

<file path=xl/sharedStrings.xml><?xml version="1.0" encoding="utf-8"?>
<sst xmlns="http://schemas.openxmlformats.org/spreadsheetml/2006/main" count="3762" uniqueCount="629">
  <si>
    <t>entreprise_id</t>
  </si>
  <si>
    <t>num_titre_minier</t>
  </si>
  <si>
    <t>nom_perimetre</t>
  </si>
  <si>
    <t>nm_nature</t>
  </si>
  <si>
    <t>nm_region</t>
  </si>
  <si>
    <t>substance_desc</t>
  </si>
  <si>
    <t>substance</t>
  </si>
  <si>
    <t>nm_commune</t>
  </si>
  <si>
    <t>nm_departement</t>
  </si>
  <si>
    <t>date_signature</t>
  </si>
  <si>
    <t>date_octroi</t>
  </si>
  <si>
    <t>superficie_octroye</t>
  </si>
  <si>
    <t>superficie_exploite</t>
  </si>
  <si>
    <t>superficie_rendue</t>
  </si>
  <si>
    <t>superficie_rehabilite</t>
  </si>
  <si>
    <t>date_fin</t>
  </si>
  <si>
    <t>AFRIGEM SL</t>
  </si>
  <si>
    <t>10333/MMIAPME/DMG</t>
  </si>
  <si>
    <t>LINGEKHOTO</t>
  </si>
  <si>
    <t>Permis de recherche</t>
  </si>
  <si>
    <t>KEDOUGOU</t>
  </si>
  <si>
    <t>Or et Substances connexes</t>
  </si>
  <si>
    <t>Or</t>
  </si>
  <si>
    <t>AFRIGOLD SARL</t>
  </si>
  <si>
    <t>UTMWGS 84 ZONE 28</t>
  </si>
  <si>
    <t>KARAKHAENA</t>
  </si>
  <si>
    <t>Permis d’exploitation</t>
  </si>
  <si>
    <t>SARAYA</t>
  </si>
  <si>
    <t>AGEM SENEGAL EXPLORATION SUARL</t>
  </si>
  <si>
    <t>DAORALA</t>
  </si>
  <si>
    <t>MISSIRA SIRIMANA</t>
  </si>
  <si>
    <t>012395/MMG/DMG</t>
  </si>
  <si>
    <t>NOUMOUFOUKHA</t>
  </si>
  <si>
    <t>MEDINA BAFFE</t>
  </si>
  <si>
    <t>AMAFRIQUE SENEGAL</t>
  </si>
  <si>
    <t>018603/MMG/DMG</t>
  </si>
  <si>
    <t>THILOGNE</t>
  </si>
  <si>
    <t>MATAM</t>
  </si>
  <si>
    <t>Phosphate de chaux</t>
  </si>
  <si>
    <t>AGNAM-CIVOL</t>
  </si>
  <si>
    <t>ARDIMINES SARL</t>
  </si>
  <si>
    <t>002734</t>
  </si>
  <si>
    <t>TOMBO</t>
  </si>
  <si>
    <t xml:space="preserve"> TOMBORONKOTO</t>
  </si>
  <si>
    <t>ATIC SARL</t>
  </si>
  <si>
    <t>CONCESSION MINIERE DES ICS</t>
  </si>
  <si>
    <t>Carrière</t>
  </si>
  <si>
    <t>THIES</t>
  </si>
  <si>
    <t>SILEX</t>
  </si>
  <si>
    <t>Silex</t>
  </si>
  <si>
    <t>MBORO</t>
  </si>
  <si>
    <t>TIVAOUANE</t>
  </si>
  <si>
    <t>BAMBADJI SA</t>
  </si>
  <si>
    <t>012407/ MMG/DMG</t>
  </si>
  <si>
    <t>BAMBADJI</t>
  </si>
  <si>
    <t>MADINA BAFFE/ BEMBOU</t>
  </si>
  <si>
    <t>BARRICK GOLD SENEGAL</t>
  </si>
  <si>
    <t>023585/MMG/DMG</t>
  </si>
  <si>
    <t>BAMBADJI SUD</t>
  </si>
  <si>
    <t>BEMBOU/ MEDINA BAFFE</t>
  </si>
  <si>
    <t>BMCC SA</t>
  </si>
  <si>
    <t>001840/MMG/DMG</t>
  </si>
  <si>
    <t>Cherif Lo NGAKHAM</t>
  </si>
  <si>
    <t>DIOURBEL</t>
  </si>
  <si>
    <t>Substances connexes</t>
  </si>
  <si>
    <t xml:space="preserve"> GAWANE/LAMBAYE/BABA GARAGE</t>
  </si>
  <si>
    <t>BAMBEY</t>
  </si>
  <si>
    <t>BB FIRST COMMODITY HOLDING LIMITED</t>
  </si>
  <si>
    <t>N°007391</t>
  </si>
  <si>
    <t>MADINA FOULBE</t>
  </si>
  <si>
    <t>TAMBACOUNDA</t>
  </si>
  <si>
    <t>BAKEL</t>
  </si>
  <si>
    <t>BHAIRAVA AGRICOLE SARL</t>
  </si>
  <si>
    <t>N°10566</t>
  </si>
  <si>
    <t>KAOUROU</t>
  </si>
  <si>
    <t>SADATOU</t>
  </si>
  <si>
    <t>BOSFOR SARL</t>
  </si>
  <si>
    <t>0062254 MEMDMGBD</t>
  </si>
  <si>
    <t>NDIASS/ THIES</t>
  </si>
  <si>
    <t>Calcaire</t>
  </si>
  <si>
    <t>NDIASS</t>
  </si>
  <si>
    <t>BOTO SA- MANAGEM GROUP</t>
  </si>
  <si>
    <t>2020-981</t>
  </si>
  <si>
    <t>BOTO</t>
  </si>
  <si>
    <t>BOYA SA</t>
  </si>
  <si>
    <t>011843/MIM/DMG</t>
  </si>
  <si>
    <t>DIAMBA SUD</t>
  </si>
  <si>
    <t xml:space="preserve"> BEMBOU</t>
  </si>
  <si>
    <t>011842/MIM/DMG</t>
  </si>
  <si>
    <t>DIAMBA NORD</t>
  </si>
  <si>
    <t>CHESSER</t>
  </si>
  <si>
    <t>006873873</t>
  </si>
  <si>
    <t>BONDOLA</t>
  </si>
  <si>
    <t>Bembou</t>
  </si>
  <si>
    <t>Kedougou</t>
  </si>
  <si>
    <t>MORICHOU</t>
  </si>
  <si>
    <t>Sadatou</t>
  </si>
  <si>
    <t>CILAGE MINE SA</t>
  </si>
  <si>
    <t>N°004304</t>
  </si>
  <si>
    <t>PERIMETRE1</t>
  </si>
  <si>
    <t>Sémi-mécanisée</t>
  </si>
  <si>
    <t>MISSIRAH SIRIMANA</t>
  </si>
  <si>
    <t>TOMBORONKOTO</t>
  </si>
  <si>
    <t>005494</t>
  </si>
  <si>
    <t>POUT</t>
  </si>
  <si>
    <t>KEUR MOUSSA</t>
  </si>
  <si>
    <t>CIMENTS DU SAHEL</t>
  </si>
  <si>
    <t>N°2000-105 du 22 février 2000</t>
  </si>
  <si>
    <t>CALCAIRE KIRENE</t>
  </si>
  <si>
    <t>Concession minière</t>
  </si>
  <si>
    <t>DIASS</t>
  </si>
  <si>
    <t>MBOUR</t>
  </si>
  <si>
    <t>N°2000-106 du 22 février 2000</t>
  </si>
  <si>
    <t>ARGILE-LATERITE TCHIKY</t>
  </si>
  <si>
    <t>Argile</t>
  </si>
  <si>
    <t>2015-639 du 15 mai 2015</t>
  </si>
  <si>
    <t>CALCAIRE BANDIA</t>
  </si>
  <si>
    <t>COMPAGNIE GENERALE D'EXPLOITATION DE CARRIERE</t>
  </si>
  <si>
    <t>2704/MIM/DMG</t>
  </si>
  <si>
    <t>BANDIA</t>
  </si>
  <si>
    <t>2703/MIM/DMG</t>
  </si>
  <si>
    <t>2702/MIM/DMG</t>
  </si>
  <si>
    <t>Basalte</t>
  </si>
  <si>
    <t>N’GOUNDIANE</t>
  </si>
  <si>
    <t>4844/MIM/DMG</t>
  </si>
  <si>
    <t>4842/MIM/DMG</t>
  </si>
  <si>
    <t>2081/MIM/DMG</t>
  </si>
  <si>
    <t>17373/MMGCABCT1</t>
  </si>
  <si>
    <t>222/MMG</t>
  </si>
  <si>
    <t>N’GOUNDIANE/ TASSETTE</t>
  </si>
  <si>
    <t>4843/MIM/DMG</t>
  </si>
  <si>
    <t>10283/MMG</t>
  </si>
  <si>
    <t>220/MIMCABCT</t>
  </si>
  <si>
    <t>MAKO</t>
  </si>
  <si>
    <t>CSE GRANULATS</t>
  </si>
  <si>
    <t>DIACK</t>
  </si>
  <si>
    <t>033738</t>
  </si>
  <si>
    <t>MANSADALA</t>
  </si>
  <si>
    <t>DIALACOTO</t>
  </si>
  <si>
    <t>DALEMA</t>
  </si>
  <si>
    <t>N°007325/MMG/DMG</t>
  </si>
  <si>
    <t>DAMASH MINERALS LTD</t>
  </si>
  <si>
    <t>19005/MIM/DMG</t>
  </si>
  <si>
    <t>Permis de Kolda</t>
  </si>
  <si>
    <t>KOLDA</t>
  </si>
  <si>
    <t xml:space="preserve"> MEDINA  EL HADJI</t>
  </si>
  <si>
    <t>DANGOTE CEMENT SENEGAL</t>
  </si>
  <si>
    <t>2008-1431</t>
  </si>
  <si>
    <t>ENTREPRISE OUSMANE SOW</t>
  </si>
  <si>
    <t>N°024704</t>
  </si>
  <si>
    <t>PAKI TOGLOU</t>
  </si>
  <si>
    <t>Basalte (Grès)</t>
  </si>
  <si>
    <t>Grès</t>
  </si>
  <si>
    <t>GAZAL CARRIERES SUARL</t>
  </si>
  <si>
    <t>6101/MIMTPME/DMG</t>
  </si>
  <si>
    <t>GECAMINES</t>
  </si>
  <si>
    <t>N°028849</t>
  </si>
  <si>
    <t>N'GOUDIANE</t>
  </si>
  <si>
    <t>N°0032820</t>
  </si>
  <si>
    <t>GLOBAL IMMO SENEGAL SARL</t>
  </si>
  <si>
    <t>013588</t>
  </si>
  <si>
    <t>ICS</t>
  </si>
  <si>
    <t>DAROU KHOUDOSS</t>
  </si>
  <si>
    <t>GOLD MINING CORPORATION (GMC)</t>
  </si>
  <si>
    <t>KOUSSOKO</t>
  </si>
  <si>
    <t>G-PHOS S.A.U</t>
  </si>
  <si>
    <t>12950</t>
  </si>
  <si>
    <t>Niakhène</t>
  </si>
  <si>
    <t>GRANDE COTE OPERATIONS</t>
  </si>
  <si>
    <t>2017-1326</t>
  </si>
  <si>
    <t>GRANDE COTE</t>
  </si>
  <si>
    <t>Ilménite, zircon, rutile, leucoxène</t>
  </si>
  <si>
    <t>DAROU KHOUDOSS/ MBORO/ KAYAR/ KAB GAYE</t>
  </si>
  <si>
    <t>TIVAOUANE/ KEBEMER</t>
  </si>
  <si>
    <t>HARANGA RESSOURCES SENEGAL</t>
  </si>
  <si>
    <t>N°3473</t>
  </si>
  <si>
    <t>IBEL SUD</t>
  </si>
  <si>
    <t>IBEL/ BANDAFASSI</t>
  </si>
  <si>
    <t>HOLDING ATLANTQUE MINING PETROLUM-SA</t>
  </si>
  <si>
    <t>INDUSTRIES CHIMIQUES DU SENEGAL</t>
  </si>
  <si>
    <t>D1999-1020</t>
  </si>
  <si>
    <t>TOBENE NORD</t>
  </si>
  <si>
    <t xml:space="preserve"> DAROU KHOUDOSS</t>
  </si>
  <si>
    <t>INTERNATIONAL MINING COMPANY (IMC)</t>
  </si>
  <si>
    <t>020031/MIM/DMG</t>
  </si>
  <si>
    <t>DOUTA</t>
  </si>
  <si>
    <t>KHOSSANTO</t>
  </si>
  <si>
    <t>KUTLU GABANE HOLDING S.A</t>
  </si>
  <si>
    <t>024218</t>
  </si>
  <si>
    <t>Ngoudiane-EGCCBN</t>
  </si>
  <si>
    <t>Makabingui Gold Operations S.A</t>
  </si>
  <si>
    <t>2017-1416</t>
  </si>
  <si>
    <t>SAMBARABOUGOU</t>
  </si>
  <si>
    <t>MANDINGA RESOURCES</t>
  </si>
  <si>
    <t>Uranium</t>
  </si>
  <si>
    <t xml:space="preserve"> SARAYA</t>
  </si>
  <si>
    <t>MASSAWA JERSEY LIMITED</t>
  </si>
  <si>
    <t>0070-MM</t>
  </si>
  <si>
    <t>KANOUMBA</t>
  </si>
  <si>
    <t xml:space="preserve"> KHOSSANTO</t>
  </si>
  <si>
    <t>PETOWAL MINING COMPANY (PMC) SA</t>
  </si>
  <si>
    <t>2016-995</t>
  </si>
  <si>
    <t>PROCHIMAT SA</t>
  </si>
  <si>
    <t>MBODIENE</t>
  </si>
  <si>
    <t>Attapulgite</t>
  </si>
  <si>
    <t xml:space="preserve"> MALICOUNDA</t>
  </si>
  <si>
    <t>M’BOUR</t>
  </si>
  <si>
    <t>NINANING</t>
  </si>
  <si>
    <t>PROSPECTIUNI</t>
  </si>
  <si>
    <t>OUEST LAMINIA</t>
  </si>
  <si>
    <t>DINDEFELLO, TOMBORONKOTO, BANDAFASSI</t>
  </si>
  <si>
    <t>ROYAL SENEGAL MINES ET EQUIPEMENT</t>
  </si>
  <si>
    <t>00365/MMG/DMG</t>
  </si>
  <si>
    <t>SABODALA GOLD OPERATIONS</t>
  </si>
  <si>
    <t>2015-1136</t>
  </si>
  <si>
    <t>SABODALA</t>
  </si>
  <si>
    <t xml:space="preserve"> SABODALA</t>
  </si>
  <si>
    <t>SABODALA MINING COMPANY</t>
  </si>
  <si>
    <t>008707/MMG/DMG</t>
  </si>
  <si>
    <t>BRANSAN</t>
  </si>
  <si>
    <t>SAMAGOLD SARL</t>
  </si>
  <si>
    <t>SOUROUKOTO</t>
  </si>
  <si>
    <t xml:space="preserve"> MISSIRAH SIRIMANA</t>
  </si>
  <si>
    <t>SOUROUKOTO NORD</t>
  </si>
  <si>
    <t>SOUROUKOTO SUD 2</t>
  </si>
  <si>
    <t>SENEGAL MINES</t>
  </si>
  <si>
    <t>15M</t>
  </si>
  <si>
    <t xml:space="preserve"> N’GUENIENE</t>
  </si>
  <si>
    <t>SEN-HMC SUARL</t>
  </si>
  <si>
    <t>001092</t>
  </si>
  <si>
    <t>Petite mine</t>
  </si>
  <si>
    <t>SAINT-LOUIS</t>
  </si>
  <si>
    <t>Minéraux Lourds</t>
  </si>
  <si>
    <t xml:space="preserve"> N’DIEBENE GANDIOLE</t>
  </si>
  <si>
    <t>SEPHOS SENEGAL SA</t>
  </si>
  <si>
    <t>10357/MMI/PME/DMG</t>
  </si>
  <si>
    <t xml:space="preserve"> CHERIF LÖ/ PAMBAL</t>
  </si>
  <si>
    <t>SERIGNE SALIOU MBACKE SUARL</t>
  </si>
  <si>
    <t>002592/MMG/DMG</t>
  </si>
  <si>
    <t>SANSAMBA</t>
  </si>
  <si>
    <t>SOCABEG MINING</t>
  </si>
  <si>
    <t>013957</t>
  </si>
  <si>
    <t>NDINDY</t>
  </si>
  <si>
    <t>N’DINDY/ THILMAKHA/ DAROU MOUSTY</t>
  </si>
  <si>
    <t>DIOURBEL/ TIVAOUANE/ KEBEMER</t>
  </si>
  <si>
    <t>SOCOCIM INDUSTRIES</t>
  </si>
  <si>
    <t>2006-359</t>
  </si>
  <si>
    <t>BARGNY</t>
  </si>
  <si>
    <t>DAKAR</t>
  </si>
  <si>
    <t>Marno calcaires</t>
  </si>
  <si>
    <t>RUFISQUE/BARGNY</t>
  </si>
  <si>
    <t>RUFISQUE</t>
  </si>
  <si>
    <t>latérite</t>
  </si>
  <si>
    <t>Latérite</t>
  </si>
  <si>
    <t>FOULOUM</t>
  </si>
  <si>
    <t>MALICOUNDA</t>
  </si>
  <si>
    <t>2009-1470</t>
  </si>
  <si>
    <t>2019-1239</t>
  </si>
  <si>
    <t>NGURKOKH</t>
  </si>
  <si>
    <t>017372</t>
  </si>
  <si>
    <t>NGOUNDIANE</t>
  </si>
  <si>
    <t>030225</t>
  </si>
  <si>
    <t>030226</t>
  </si>
  <si>
    <t>026843</t>
  </si>
  <si>
    <t>031213</t>
  </si>
  <si>
    <t>DIOBASS</t>
  </si>
  <si>
    <t>013308</t>
  </si>
  <si>
    <t>SOCIETE DE CONCASSAGE ET DU BETON (SOCOBE)</t>
  </si>
  <si>
    <t>MBORO/ TAIBA NDIAYE</t>
  </si>
  <si>
    <t>SOCIETE DE MANUFACTURE DE PRODUCTION INDUSTRIELLE DU SENEGAL (SOMAPIS)</t>
  </si>
  <si>
    <t>007526/DMG/MMG</t>
  </si>
  <si>
    <t>ICS Darou Khoudoss</t>
  </si>
  <si>
    <t>SOCIETE MINIERE DE LA VALLEE DU FLEUVE SENEGAL –SOMIVA</t>
  </si>
  <si>
    <t>2011770</t>
  </si>
  <si>
    <t>NDENDORY</t>
  </si>
  <si>
    <t>KANEL</t>
  </si>
  <si>
    <t>SOCIETE SENEGALAISE DE NEGOCE INTERNATIONALE (SNEPAC) SARL</t>
  </si>
  <si>
    <t>BANTACCO</t>
  </si>
  <si>
    <t>SOCIETE SENEGALAISE DES PHOSPHATES DE THIES (SSPT)</t>
  </si>
  <si>
    <t>ALLOU KAGNE</t>
  </si>
  <si>
    <t>SODEMINES</t>
  </si>
  <si>
    <t>MMGDMG023589</t>
  </si>
  <si>
    <t>WASSADOU SUD</t>
  </si>
  <si>
    <t>MMGDMG023599</t>
  </si>
  <si>
    <t>SODEVCO</t>
  </si>
  <si>
    <t>9047MEF/MMAI</t>
  </si>
  <si>
    <t>NOTTO</t>
  </si>
  <si>
    <t>STRATEX-EMC.SA</t>
  </si>
  <si>
    <t>N°00008153</t>
  </si>
  <si>
    <t>SENALA</t>
  </si>
  <si>
    <t>SWAMI MINES SA</t>
  </si>
  <si>
    <t>14179 DU 22/09/2016</t>
  </si>
  <si>
    <t>ICS DE THIES</t>
  </si>
  <si>
    <t>M’BORO</t>
  </si>
  <si>
    <t>TALIX-MINES</t>
  </si>
  <si>
    <t>09104MMITPMEDGM</t>
  </si>
  <si>
    <t>TALIX-MINES SITE DE DIACK</t>
  </si>
  <si>
    <t>TANOR SAS</t>
  </si>
  <si>
    <t>008205</t>
  </si>
  <si>
    <t>ICS Darou Khoudoss Mboro</t>
  </si>
  <si>
    <t>M’BORO/ DAROU KHOUDOSS</t>
  </si>
  <si>
    <t>VAPROM AFRICA SA</t>
  </si>
  <si>
    <t>09040/MMD/MMG</t>
  </si>
  <si>
    <t>SORED MINES SA</t>
  </si>
  <si>
    <t>2007-1327</t>
  </si>
  <si>
    <t>NIAMIA</t>
  </si>
  <si>
    <t>qte_prd_vendu_pays</t>
  </si>
  <si>
    <t>qte_prd_vendu_etrger</t>
  </si>
  <si>
    <t>qte_prd_immobilise</t>
  </si>
  <si>
    <t>qte_stock_ouverture</t>
  </si>
  <si>
    <t>qte_prd_stock_cloture</t>
  </si>
  <si>
    <t>val_prd_vendu_pays</t>
  </si>
  <si>
    <t>val_prd_vendu_etrger</t>
  </si>
  <si>
    <t>val_prd_immobilise</t>
  </si>
  <si>
    <t>val_prd_stock_ouverture</t>
  </si>
  <si>
    <t>val_prd_stock_cloture</t>
  </si>
  <si>
    <t>Production (tonnes)</t>
  </si>
  <si>
    <t>Production (FCFA)</t>
  </si>
  <si>
    <t>Argent</t>
  </si>
  <si>
    <t>Grande Côte Opérations S.A</t>
  </si>
  <si>
    <t>Manganèse</t>
  </si>
  <si>
    <t>Phosphates</t>
  </si>
  <si>
    <t>SENEGAL MINES S.A</t>
  </si>
  <si>
    <t>Prochimat SA</t>
  </si>
  <si>
    <t>Zircon</t>
  </si>
  <si>
    <t>Ilménite</t>
  </si>
  <si>
    <t>Leucoxène</t>
  </si>
  <si>
    <t>COGECA</t>
  </si>
  <si>
    <t>TALIX MINES</t>
  </si>
  <si>
    <t xml:space="preserve">Rutile </t>
  </si>
  <si>
    <t>Acide phosphorique</t>
  </si>
  <si>
    <t>Ciment</t>
  </si>
  <si>
    <t>SOCIETE DE COMMERCIALISATION DU CIMENT</t>
  </si>
  <si>
    <t>Engrais</t>
  </si>
  <si>
    <t>Clinker</t>
  </si>
  <si>
    <t>Hormite</t>
  </si>
  <si>
    <t>qte_brute</t>
  </si>
  <si>
    <t>cout_production</t>
  </si>
  <si>
    <t>qte_transforme</t>
  </si>
  <si>
    <t xml:space="preserve">Latérite </t>
  </si>
  <si>
    <t>INDUSTRIE CHIMIQUES DU SENEGAL / INDORAMA</t>
  </si>
  <si>
    <t>Phosphate</t>
  </si>
  <si>
    <t>Produits</t>
  </si>
  <si>
    <t>Pays</t>
  </si>
  <si>
    <t>qte_vendu_pays</t>
  </si>
  <si>
    <t>val_produit</t>
  </si>
  <si>
    <t>Gambie</t>
  </si>
  <si>
    <t>Mali</t>
  </si>
  <si>
    <t>Mauritanie</t>
  </si>
  <si>
    <t>nbr_fourn_loc</t>
  </si>
  <si>
    <t>ttl_paye_fourn_loc</t>
  </si>
  <si>
    <t>pct_paye_fourn_loc</t>
  </si>
  <si>
    <t>nbr_fourn_etrg</t>
  </si>
  <si>
    <t>ttl_pay_fourn_etrg</t>
  </si>
  <si>
    <t>pct_pay_fourn_etrg</t>
  </si>
  <si>
    <t>achat</t>
  </si>
  <si>
    <t>matier_consmbl</t>
  </si>
  <si>
    <t>matier_combustbl</t>
  </si>
  <si>
    <t>gaz_industriel</t>
  </si>
  <si>
    <t>gaz_naturel</t>
  </si>
  <si>
    <t>essence</t>
  </si>
  <si>
    <t>gas_oil</t>
  </si>
  <si>
    <t>fuel_oil</t>
  </si>
  <si>
    <t>huile_lubrif</t>
  </si>
  <si>
    <t>charbon</t>
  </si>
  <si>
    <t>autre_combustbl</t>
  </si>
  <si>
    <t>fourn_bureau_infmtq</t>
  </si>
  <si>
    <t>eau</t>
  </si>
  <si>
    <t>electricite</t>
  </si>
  <si>
    <t>autre_energ</t>
  </si>
  <si>
    <t>fourn_bureau_nonstockbl</t>
  </si>
  <si>
    <t>achat_materl_outilg</t>
  </si>
  <si>
    <t>achat_etud_servc</t>
  </si>
  <si>
    <t>achat_materl_equip</t>
  </si>
  <si>
    <t>autre_achat</t>
  </si>
  <si>
    <t>transprt_bien_persnl</t>
  </si>
  <si>
    <t>transprt_marchnds</t>
  </si>
  <si>
    <t>transprt_persn</t>
  </si>
  <si>
    <t>servc_exterieur</t>
  </si>
  <si>
    <t>soustraitc_generl</t>
  </si>
  <si>
    <t>loctn_charg_lctv</t>
  </si>
  <si>
    <t>redvanc_creditbail</t>
  </si>
  <si>
    <t>entretn_repar_maint</t>
  </si>
  <si>
    <t>prime_assur</t>
  </si>
  <si>
    <t>etud_rech_doc</t>
  </si>
  <si>
    <t>pub_publictn</t>
  </si>
  <si>
    <t>frais_telecom</t>
  </si>
  <si>
    <t>frais_bancaire</t>
  </si>
  <si>
    <t>autre_service</t>
  </si>
  <si>
    <t>remuneratn_conseil</t>
  </si>
  <si>
    <t>frais_formtn_persnl</t>
  </si>
  <si>
    <t>redvanc_brevt_licn</t>
  </si>
  <si>
    <t>remuneratn_pers_ext</t>
  </si>
  <si>
    <t>autre_charg_ext</t>
  </si>
  <si>
    <t>impot_tax_versmt</t>
  </si>
  <si>
    <t>impot_tax_entreprs</t>
  </si>
  <si>
    <t>impot_tax_indirect</t>
  </si>
  <si>
    <t>droit_entre</t>
  </si>
  <si>
    <t>tax_superficiaire</t>
  </si>
  <si>
    <t>redvanc_miniere</t>
  </si>
  <si>
    <t>droit_enregistrmt</t>
  </si>
  <si>
    <t>penalit_amend_fiscl</t>
  </si>
  <si>
    <t>autre_droit_imp</t>
  </si>
  <si>
    <t>charge_personnel</t>
  </si>
  <si>
    <t>salair_direct_nat</t>
  </si>
  <si>
    <t>salair_direct_nonnat</t>
  </si>
  <si>
    <t>Indemnt_forfait_pers</t>
  </si>
  <si>
    <t>avantage_nature</t>
  </si>
  <si>
    <t>charg_social</t>
  </si>
  <si>
    <t>autre_charg_social</t>
  </si>
  <si>
    <t>frais_financier</t>
  </si>
  <si>
    <t>autre_charge</t>
  </si>
  <si>
    <t>impot_resultat</t>
  </si>
  <si>
    <t>ttl_generl_charg</t>
  </si>
  <si>
    <t>realistn_soc_typ_desc</t>
  </si>
  <si>
    <t>realistn_autre_desc</t>
  </si>
  <si>
    <t>realistn_desc</t>
  </si>
  <si>
    <t>benefic_typ_desc</t>
  </si>
  <si>
    <t>benefic_autre_desc</t>
  </si>
  <si>
    <t>montant_realisatn</t>
  </si>
  <si>
    <t>Population générale</t>
  </si>
  <si>
    <t>Santé</t>
  </si>
  <si>
    <t>Eaux et assainissement des eaux</t>
  </si>
  <si>
    <t>Faranding</t>
  </si>
  <si>
    <t>Associations</t>
  </si>
  <si>
    <t>Agriculture</t>
  </si>
  <si>
    <t>Femmes</t>
  </si>
  <si>
    <t>District sanitaire</t>
  </si>
  <si>
    <t>Education</t>
  </si>
  <si>
    <t>Fourniture scolaire</t>
  </si>
  <si>
    <t>Dons</t>
  </si>
  <si>
    <t>Appui institutionnel</t>
  </si>
  <si>
    <t>Religieux</t>
  </si>
  <si>
    <t>Denrées</t>
  </si>
  <si>
    <t>Appui financier</t>
  </si>
  <si>
    <t>Uniforme scolaire</t>
  </si>
  <si>
    <t>Divers cadeaux</t>
  </si>
  <si>
    <t>Modalités</t>
  </si>
  <si>
    <t>Nationalite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</si>
  <si>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</si>
  <si>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</si>
  <si>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</si>
  <si>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</si>
  <si>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 xml:space="preserve">Total </t>
  </si>
  <si>
    <t>femme</t>
  </si>
  <si>
    <t>Employés expatriés</t>
  </si>
  <si>
    <t>homme</t>
  </si>
  <si>
    <t>salaire</t>
  </si>
  <si>
    <t>Employés sénégalais</t>
  </si>
  <si>
    <t>SORED-MINES SA</t>
  </si>
  <si>
    <t>qte_electrc_autoconsom</t>
  </si>
  <si>
    <t>vendu_electrc_ind</t>
  </si>
  <si>
    <t>qte_electrc_vendu</t>
  </si>
  <si>
    <t>solaire_ind</t>
  </si>
  <si>
    <t>fuel_ind</t>
  </si>
  <si>
    <t>fuel_qte</t>
  </si>
  <si>
    <t>fuel_unite_mesr</t>
  </si>
  <si>
    <t>diesel_ind</t>
  </si>
  <si>
    <t>diesel_qte</t>
  </si>
  <si>
    <t>diesel_unite_mesr</t>
  </si>
  <si>
    <t>charbon_ind</t>
  </si>
  <si>
    <t>charbon_qte</t>
  </si>
  <si>
    <t>charbon_unite_mesr</t>
  </si>
  <si>
    <t>gaz_nat_ind</t>
  </si>
  <si>
    <t>gaz_nat_qte</t>
  </si>
  <si>
    <t>gaz_nat_unite_mesr</t>
  </si>
  <si>
    <t>autre_source</t>
  </si>
  <si>
    <t>autre_ind</t>
  </si>
  <si>
    <t>autre_qte</t>
  </si>
  <si>
    <t>autre_unite_mesr</t>
  </si>
  <si>
    <t>autre_unite_mesr_desc</t>
  </si>
  <si>
    <t>Prix Implicite</t>
  </si>
  <si>
    <t>BAMBUK MINERALS Sarl</t>
  </si>
  <si>
    <t>Sangola</t>
  </si>
  <si>
    <t>koulountou Est</t>
  </si>
  <si>
    <t>GH MINING Sarl</t>
  </si>
  <si>
    <t xml:space="preserve">G-SAND </t>
  </si>
  <si>
    <t>Abéné</t>
  </si>
  <si>
    <t>NIAMAYA</t>
  </si>
  <si>
    <t>SOMA</t>
  </si>
  <si>
    <t>West WIND S.A.</t>
  </si>
  <si>
    <t>Matam Nord</t>
  </si>
  <si>
    <t>Ndendory</t>
  </si>
  <si>
    <t>007612</t>
  </si>
  <si>
    <t>07062019014934</t>
  </si>
  <si>
    <t>006243/MMG/DMG</t>
  </si>
  <si>
    <t>Sud Kenieaba/Medina Foulbé</t>
  </si>
  <si>
    <t>004713/MMG/DGM</t>
  </si>
  <si>
    <t>035627</t>
  </si>
  <si>
    <t>005709</t>
  </si>
  <si>
    <t>002152</t>
  </si>
  <si>
    <t>Rutile</t>
  </si>
  <si>
    <t>Calcaire/Argile/Calcaire</t>
  </si>
  <si>
    <t>Marno calcaires/Argile</t>
  </si>
  <si>
    <t>Marno calcaires/Argile/Laterite</t>
  </si>
  <si>
    <t>Entreprise_id</t>
  </si>
  <si>
    <t>Substance</t>
  </si>
  <si>
    <t>CiMENTS DE L'AFRIQUE SENEGAL S.A.</t>
  </si>
  <si>
    <t>CIMENTS DE L'AFRIQUE SENEGAL S.A.</t>
  </si>
  <si>
    <t>Calcaire/clincker/ciment</t>
  </si>
  <si>
    <t>ciment</t>
  </si>
  <si>
    <t>ZIGUINCHOR</t>
  </si>
  <si>
    <t>Namel</t>
  </si>
  <si>
    <t>Perrmis de recherche</t>
  </si>
  <si>
    <t>BANDAFASSI/DAKATELI</t>
  </si>
  <si>
    <t>KEDOUGOU/SALEMATA</t>
  </si>
  <si>
    <t>KAFOUNTINE</t>
  </si>
  <si>
    <t>BIGNONA</t>
  </si>
  <si>
    <t>BEMBOU/TOMBORONKOTO</t>
  </si>
  <si>
    <t>KEDOUGOU/SARAYA</t>
  </si>
  <si>
    <t>BANDAFASSI/NENEFISSA/TOMBORONKOTO</t>
  </si>
  <si>
    <t>NDIEBENE GANDIOLE</t>
  </si>
  <si>
    <t>LAM LAM</t>
  </si>
  <si>
    <t>clinker</t>
  </si>
  <si>
    <t>1670/MMG/DMG</t>
  </si>
  <si>
    <t>Moellons</t>
  </si>
  <si>
    <t>Moellons Diack</t>
  </si>
  <si>
    <t>Moellons Mansadala</t>
  </si>
  <si>
    <t>Calcaire/clinker/ciment</t>
  </si>
  <si>
    <t>Basalte/calcaire</t>
  </si>
  <si>
    <t>Basalte Diack</t>
  </si>
  <si>
    <t>Basalte Bandia</t>
  </si>
  <si>
    <t>estimatn_autoconsommtn (FCFA)</t>
  </si>
  <si>
    <t>Calcaire/Basalte</t>
  </si>
  <si>
    <t>Guinnée Bissau</t>
  </si>
  <si>
    <t>Activités socioculturelles</t>
  </si>
  <si>
    <t>Médicament</t>
  </si>
  <si>
    <t>Dépsitage Cancer</t>
  </si>
  <si>
    <t>Bloc Salle de Classe</t>
  </si>
  <si>
    <t>Bloc administratif</t>
  </si>
  <si>
    <t>Matériel et Mobilier</t>
  </si>
  <si>
    <t>Matériel sportif</t>
  </si>
  <si>
    <t>Bibliothèque</t>
  </si>
  <si>
    <t>Péeringe lieux saints</t>
  </si>
  <si>
    <t>Bouteille d'eau</t>
  </si>
  <si>
    <t>Personnel CDS</t>
  </si>
  <si>
    <t>Ecole</t>
  </si>
  <si>
    <t>POPENGUINE</t>
  </si>
  <si>
    <t>TOUBA/TIVAOUANE</t>
  </si>
  <si>
    <t>AGROMINE S.A.</t>
  </si>
  <si>
    <t>023247/MMG/DMG</t>
  </si>
  <si>
    <t>LAMBAYE</t>
  </si>
  <si>
    <t>ALBINA SENEGAL</t>
  </si>
  <si>
    <t>035589</t>
  </si>
  <si>
    <t>INDE</t>
  </si>
  <si>
    <t>Montants forfaitaires remis aux collectivités locales</t>
  </si>
  <si>
    <t>Appui vivirer</t>
  </si>
  <si>
    <t>Conctruction de tente à Walo keur Massamba Niang</t>
  </si>
  <si>
    <t>Construction de Tente à Diakhal</t>
  </si>
  <si>
    <t>Acquisition de 04 moulins à mil</t>
  </si>
  <si>
    <t>Construire un mur de clôture ' école élémentaire)</t>
  </si>
  <si>
    <t>Acquisition de 02 moissonneuses batteuses</t>
  </si>
  <si>
    <t>Dotation de 04 combinés (moulins à mil)</t>
  </si>
  <si>
    <t>Réhabilitation poste de santé  de Thieppe</t>
  </si>
  <si>
    <t>Aménagement périmètre maraîcher</t>
  </si>
  <si>
    <t>Gawane</t>
  </si>
  <si>
    <t>Lambaye</t>
  </si>
  <si>
    <t>Baba Garage</t>
  </si>
  <si>
    <t>Toutes les Communes</t>
  </si>
  <si>
    <t>Daorola</t>
  </si>
  <si>
    <t>Activité socio-culturelles</t>
  </si>
  <si>
    <t>Noumoufoukha</t>
  </si>
  <si>
    <t>Population Générale</t>
  </si>
  <si>
    <t>Eaux assainissement des eaux</t>
  </si>
  <si>
    <t>Kanel</t>
  </si>
  <si>
    <t>OGO/NABADJI CIVOL</t>
  </si>
  <si>
    <t>Tonnes</t>
  </si>
  <si>
    <t>FRANCE</t>
  </si>
  <si>
    <t>COTE D'IVOIRE</t>
  </si>
  <si>
    <t>EMIRATS ARABES UNIS</t>
  </si>
  <si>
    <t>SUISSE</t>
  </si>
  <si>
    <t>ANGLETERRE</t>
  </si>
  <si>
    <t>000698</t>
  </si>
  <si>
    <t>CHINE</t>
  </si>
  <si>
    <t>Infrastructure Routière</t>
  </si>
  <si>
    <t>Machine pour les femmes</t>
  </si>
  <si>
    <t>FADL</t>
  </si>
  <si>
    <t>Appui financiers au groupement feminin</t>
  </si>
  <si>
    <t>Dotation pour les jeunes et ASC</t>
  </si>
  <si>
    <t>Dotation pour salaires employés des écoles</t>
  </si>
  <si>
    <t>Médecins hôpital de kéniéba</t>
  </si>
  <si>
    <t>Gasoil pour l'ambulance</t>
  </si>
  <si>
    <t>Travaux routiers</t>
  </si>
  <si>
    <t>Achat de 3 moteurs pompes forage</t>
  </si>
  <si>
    <t>Achat machine moulin</t>
  </si>
  <si>
    <t>Dotation pour les femmes</t>
  </si>
  <si>
    <t>Jeunesse</t>
  </si>
  <si>
    <t>Jeunesses</t>
  </si>
  <si>
    <t>PAYS BAS</t>
  </si>
  <si>
    <t>ROYAUME UNIS</t>
  </si>
  <si>
    <t>Autres</t>
  </si>
  <si>
    <t>Ecole de LAM LAM</t>
  </si>
  <si>
    <t>CAMACOES</t>
  </si>
  <si>
    <t>CNTS (Aide à la réfection des locaux)</t>
  </si>
  <si>
    <t>ASEDEM</t>
  </si>
  <si>
    <t>Aide financière pour naissance et décès</t>
  </si>
  <si>
    <t>Pélérinage réligieux</t>
  </si>
  <si>
    <t>Institut Pasteur ( test de niveau sur Ecole)</t>
  </si>
  <si>
    <t>Aide financière aux dépenses médicales</t>
  </si>
  <si>
    <t>Syndicat pro</t>
  </si>
  <si>
    <t>Famille Employés SSPT</t>
  </si>
  <si>
    <t>Employés SSPT</t>
  </si>
  <si>
    <t>THIES/DAKAR</t>
  </si>
  <si>
    <t>Litres</t>
  </si>
  <si>
    <t>Achat intrants agricoles</t>
  </si>
  <si>
    <t>Construction salles de classes, mur et cloture, terrain de basket multifonctionnel, thies, Diokoul Diawrigne, Kabe gaye, thies,kebemer</t>
  </si>
  <si>
    <t>Achat de lits d'accouchement pour le poste de santé de Diogo.
Equipement médical pour le poste de santté de Diourbel et thiokhmate</t>
  </si>
  <si>
    <t>Entretien forage Darou beye</t>
  </si>
  <si>
    <t>Appui aux associations sportives</t>
  </si>
  <si>
    <t>Activités de la vie locale ( événements réligieux et autres)</t>
  </si>
  <si>
    <t>Appui institutionnel lors de éléction, des fêtes d'indépendances, des examans</t>
  </si>
  <si>
    <t>Financement des activités génératrice de revenus</t>
  </si>
  <si>
    <t>THIEP</t>
  </si>
  <si>
    <t>THIEP, DIOKOUL, THIES</t>
  </si>
  <si>
    <t>DAROU KHOUDOSS, MEOUANE</t>
  </si>
  <si>
    <t>KEBEMER</t>
  </si>
  <si>
    <t>KEBEMER, TIVAOUANE</t>
  </si>
  <si>
    <t>NDANDE, KEBEMER, MEOUANE, LOUGA, TIVAOUANE</t>
  </si>
  <si>
    <t>07062022013498</t>
  </si>
  <si>
    <t>MADINA</t>
  </si>
  <si>
    <t>Missirah Sirimana</t>
  </si>
  <si>
    <t>GAMBIA</t>
  </si>
  <si>
    <t>MALI</t>
  </si>
  <si>
    <t>UNITED ARAB EMIRATES</t>
  </si>
  <si>
    <t>INDIA</t>
  </si>
  <si>
    <t>Infrastructure ( à usage non exclusif à l'entreprise)</t>
  </si>
  <si>
    <t>AMSTERDAM</t>
  </si>
  <si>
    <t>Allemagne</t>
  </si>
  <si>
    <t>Gasoil Carburant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</si>
</sst>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_-* #,##0.00\ _C_F_A_-;\-* #,##0.00\ _C_F_A_-;_-* &quot;-&quot;\ _C_F_A_-;_-@_-"/>
    <numFmt numFmtId="167" formatCode="_-* #,##0.0\ _C_F_A_-;\-* #,##0.0\ _C_F_A_-;_-* &quot;-&quot;\ _C_F_A_-;_-@_-"/>
    <numFmt numFmtId="168" formatCode="_-* #,##0.000\ _C_F_A_-;\-* #,##0.000\ _C_F_A_-;_-* &quot;-&quot;\ _C_F_A_-;_-@_-"/>
    <numFmt numFmtId="169" formatCode="_-* #,##0.0000\ _C_F_A_-;\-* #,##0.0000\ _C_F_A_-;_-* &quot;-&quot;\ _C_F_A_-;_-@_-"/>
    <numFmt numFmtId="170" formatCode="_-* #,##0\ _€_-;\-* #,##0\ _€_-;_-* &quot;-&quot;??\ _€_-;_-@_-"/>
    <numFmt numFmtId="171" formatCode="0.000"/>
    <numFmt numFmtId="172" formatCode="_-* #,##0.000000\ _C_F_A_-;\-* #,##0.000000\ _C_F_A_-;_-* &quot;-&quot;\ _C_F_A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rgb="FF00000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indexed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164" fontId="2" fillId="0" borderId="1" xfId="1" applyFont="1" applyFill="1" applyBorder="1" applyAlignment="1">
      <alignment horizontal="center" vertical="center" wrapText="1"/>
    </xf>
    <xf numFmtId="164" fontId="2" fillId="0" borderId="1" xfId="1" applyFont="1" applyFill="1" applyBorder="1" applyAlignment="1">
      <alignment vertical="center" wrapText="1"/>
    </xf>
    <xf numFmtId="0" fontId="2" fillId="0" borderId="1" xfId="3" applyFont="1" applyBorder="1" applyAlignment="1">
      <alignment horizontal="center" vertical="center" wrapText="1"/>
    </xf>
    <xf numFmtId="164" fontId="6" fillId="0" borderId="0" xfId="1" applyFont="1" applyFill="1" applyBorder="1" applyAlignment="1">
      <alignment vertical="center" wrapText="1"/>
    </xf>
    <xf numFmtId="15" fontId="4" fillId="0" borderId="1" xfId="5" applyNumberFormat="1" applyFont="1" applyBorder="1" applyAlignment="1">
      <alignment horizontal="right" vertical="center" wrapText="1"/>
    </xf>
    <xf numFmtId="164" fontId="4" fillId="0" borderId="1" xfId="1" applyFont="1" applyFill="1" applyBorder="1" applyAlignment="1">
      <alignment vertical="center" wrapText="1"/>
    </xf>
    <xf numFmtId="0" fontId="4" fillId="0" borderId="1" xfId="6" applyFont="1" applyBorder="1" applyAlignment="1">
      <alignment vertical="center" wrapText="1"/>
    </xf>
    <xf numFmtId="164" fontId="6" fillId="0" borderId="1" xfId="1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164" fontId="7" fillId="0" borderId="1" xfId="1" applyFont="1" applyFill="1" applyBorder="1" applyAlignment="1">
      <alignment vertical="center" wrapText="1"/>
    </xf>
    <xf numFmtId="164" fontId="5" fillId="0" borderId="1" xfId="1" applyFont="1" applyFill="1" applyBorder="1" applyAlignment="1">
      <alignment vertical="center" wrapText="1"/>
    </xf>
    <xf numFmtId="14" fontId="4" fillId="0" borderId="1" xfId="5" applyNumberFormat="1" applyFont="1" applyBorder="1" applyAlignment="1">
      <alignment horizontal="right" vertical="center" wrapText="1"/>
    </xf>
    <xf numFmtId="15" fontId="4" fillId="0" borderId="1" xfId="5" applyNumberFormat="1" applyFont="1" applyBorder="1" applyAlignment="1">
      <alignment vertical="center" wrapText="1"/>
    </xf>
    <xf numFmtId="14" fontId="4" fillId="0" borderId="1" xfId="1" applyNumberFormat="1" applyFont="1" applyFill="1" applyBorder="1" applyAlignment="1">
      <alignment horizontal="right" vertical="center" wrapText="1"/>
    </xf>
    <xf numFmtId="166" fontId="4" fillId="0" borderId="1" xfId="1" applyNumberFormat="1" applyFont="1" applyFill="1" applyBorder="1" applyAlignment="1">
      <alignment vertical="center" wrapText="1"/>
    </xf>
    <xf numFmtId="167" fontId="4" fillId="0" borderId="1" xfId="1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9" fontId="4" fillId="0" borderId="1" xfId="1" applyNumberFormat="1" applyFont="1" applyFill="1" applyBorder="1" applyAlignment="1">
      <alignment vertical="center" wrapText="1"/>
    </xf>
    <xf numFmtId="168" fontId="4" fillId="0" borderId="1" xfId="1" applyNumberFormat="1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5" fillId="0" borderId="1" xfId="3" applyFont="1" applyBorder="1" applyAlignment="1">
      <alignment vertical="center" wrapText="1"/>
    </xf>
    <xf numFmtId="14" fontId="5" fillId="0" borderId="1" xfId="3" applyNumberFormat="1" applyFont="1" applyBorder="1" applyAlignment="1">
      <alignment horizontal="right" vertical="center" wrapText="1"/>
    </xf>
    <xf numFmtId="0" fontId="5" fillId="0" borderId="1" xfId="3" applyFont="1" applyBorder="1" applyAlignment="1">
      <alignment horizontal="right" vertical="center" wrapText="1"/>
    </xf>
    <xf numFmtId="49" fontId="6" fillId="0" borderId="1" xfId="1" applyNumberFormat="1" applyFont="1" applyFill="1" applyBorder="1" applyAlignment="1">
      <alignment vertical="center" wrapText="1"/>
    </xf>
    <xf numFmtId="0" fontId="4" fillId="0" borderId="1" xfId="5" applyFont="1" applyBorder="1" applyAlignment="1">
      <alignment vertical="center" wrapText="1"/>
    </xf>
    <xf numFmtId="166" fontId="6" fillId="0" borderId="1" xfId="1" applyNumberFormat="1" applyFont="1" applyFill="1" applyBorder="1" applyAlignment="1">
      <alignment vertical="center" wrapText="1"/>
    </xf>
    <xf numFmtId="167" fontId="6" fillId="0" borderId="1" xfId="1" applyNumberFormat="1" applyFont="1" applyFill="1" applyBorder="1" applyAlignment="1">
      <alignment vertical="center" wrapText="1"/>
    </xf>
    <xf numFmtId="168" fontId="6" fillId="0" borderId="1" xfId="1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6" fillId="0" borderId="1" xfId="1" applyFont="1" applyFill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169" fontId="6" fillId="0" borderId="1" xfId="1" applyNumberFormat="1" applyFont="1" applyFill="1" applyBorder="1" applyAlignment="1">
      <alignment vertical="center" wrapText="1"/>
    </xf>
    <xf numFmtId="14" fontId="4" fillId="0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5" fontId="7" fillId="0" borderId="1" xfId="0" applyNumberFormat="1" applyFont="1" applyBorder="1" applyAlignment="1">
      <alignment horizontal="right" vertical="center" wrapText="1"/>
    </xf>
    <xf numFmtId="164" fontId="0" fillId="0" borderId="0" xfId="1" applyFont="1"/>
    <xf numFmtId="0" fontId="2" fillId="2" borderId="1" xfId="3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164" fontId="4" fillId="0" borderId="2" xfId="1" applyFont="1" applyBorder="1" applyAlignment="1">
      <alignment horizontal="center" vertical="center" wrapText="1"/>
    </xf>
    <xf numFmtId="166" fontId="4" fillId="0" borderId="2" xfId="1" applyNumberFormat="1" applyFont="1" applyBorder="1" applyAlignment="1">
      <alignment horizontal="center" vertical="center" wrapText="1"/>
    </xf>
    <xf numFmtId="164" fontId="8" fillId="0" borderId="1" xfId="1" applyFont="1" applyFill="1" applyBorder="1" applyAlignment="1">
      <alignment horizontal="center" vertical="center"/>
    </xf>
    <xf numFmtId="164" fontId="7" fillId="0" borderId="1" xfId="1" applyFont="1" applyFill="1" applyBorder="1" applyAlignment="1">
      <alignment horizontal="center" vertical="center" wrapText="1"/>
    </xf>
    <xf numFmtId="164" fontId="11" fillId="5" borderId="1" xfId="1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164" fontId="2" fillId="2" borderId="3" xfId="1" applyFont="1" applyFill="1" applyBorder="1" applyAlignment="1">
      <alignment horizontal="center" vertical="center" wrapText="1"/>
    </xf>
    <xf numFmtId="0" fontId="4" fillId="0" borderId="3" xfId="8" applyFont="1" applyBorder="1" applyAlignment="1">
      <alignment horizontal="center" vertical="center" wrapText="1"/>
    </xf>
    <xf numFmtId="164" fontId="4" fillId="0" borderId="3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3" xfId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1" applyFont="1" applyFill="1" applyBorder="1" applyAlignment="1" applyProtection="1">
      <alignment horizontal="right" vertical="center" wrapText="1"/>
    </xf>
    <xf numFmtId="0" fontId="0" fillId="0" borderId="0" xfId="0" applyAlignment="1">
      <alignment vertical="center"/>
    </xf>
    <xf numFmtId="170" fontId="6" fillId="0" borderId="3" xfId="9" applyNumberFormat="1" applyFont="1" applyFill="1" applyBorder="1" applyAlignment="1">
      <alignment vertical="center" wrapText="1"/>
    </xf>
    <xf numFmtId="164" fontId="6" fillId="0" borderId="3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3" xfId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166" fontId="6" fillId="0" borderId="0" xfId="1" applyNumberFormat="1" applyFont="1" applyBorder="1" applyAlignment="1">
      <alignment wrapText="1"/>
    </xf>
    <xf numFmtId="0" fontId="4" fillId="3" borderId="1" xfId="4" applyFont="1" applyFill="1" applyBorder="1" applyAlignment="1">
      <alignment vertical="center" wrapText="1"/>
    </xf>
    <xf numFmtId="0" fontId="4" fillId="0" borderId="5" xfId="6" applyFont="1" applyBorder="1" applyAlignment="1">
      <alignment vertical="center" wrapText="1"/>
    </xf>
    <xf numFmtId="49" fontId="6" fillId="0" borderId="5" xfId="1" applyNumberFormat="1" applyFont="1" applyFill="1" applyBorder="1" applyAlignment="1">
      <alignment vertical="center" wrapText="1"/>
    </xf>
    <xf numFmtId="164" fontId="6" fillId="0" borderId="5" xfId="1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4" fontId="6" fillId="0" borderId="5" xfId="0" applyNumberFormat="1" applyFont="1" applyBorder="1" applyAlignment="1">
      <alignment vertical="center" wrapText="1"/>
    </xf>
    <xf numFmtId="15" fontId="4" fillId="0" borderId="5" xfId="5" applyNumberFormat="1" applyFont="1" applyBorder="1" applyAlignment="1">
      <alignment horizontal="right" vertical="center" wrapText="1"/>
    </xf>
    <xf numFmtId="0" fontId="4" fillId="0" borderId="0" xfId="4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3" applyFont="1" applyAlignment="1">
      <alignment vertical="center" wrapText="1"/>
    </xf>
    <xf numFmtId="1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5" fontId="7" fillId="0" borderId="0" xfId="0" applyNumberFormat="1" applyFont="1" applyAlignment="1">
      <alignment horizontal="right" vertical="center" wrapText="1"/>
    </xf>
    <xf numFmtId="0" fontId="4" fillId="4" borderId="0" xfId="4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4" borderId="0" xfId="3" applyFont="1" applyFill="1" applyAlignment="1">
      <alignment vertical="center" wrapText="1"/>
    </xf>
    <xf numFmtId="14" fontId="7" fillId="4" borderId="0" xfId="0" applyNumberFormat="1" applyFont="1" applyFill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15" fontId="7" fillId="4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wrapText="1"/>
    </xf>
    <xf numFmtId="49" fontId="2" fillId="0" borderId="1" xfId="1" applyNumberFormat="1" applyFont="1" applyFill="1" applyBorder="1" applyAlignment="1">
      <alignment vertical="center" wrapText="1"/>
    </xf>
    <xf numFmtId="49" fontId="5" fillId="0" borderId="1" xfId="3" applyNumberFormat="1" applyFont="1" applyBorder="1" applyAlignment="1">
      <alignment vertical="center" wrapText="1"/>
    </xf>
    <xf numFmtId="49" fontId="4" fillId="0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Fill="1" applyBorder="1" applyAlignment="1">
      <alignment vertical="center" wrapText="1"/>
    </xf>
    <xf numFmtId="49" fontId="6" fillId="0" borderId="1" xfId="1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7" fillId="4" borderId="0" xfId="0" applyNumberFormat="1" applyFont="1" applyFill="1" applyAlignment="1">
      <alignment vertical="center" wrapText="1"/>
    </xf>
    <xf numFmtId="49" fontId="6" fillId="0" borderId="5" xfId="1" applyNumberFormat="1" applyFont="1" applyFill="1" applyBorder="1" applyAlignment="1">
      <alignment horizontal="left" vertical="center" wrapText="1"/>
    </xf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1" applyFont="1" applyAlignment="1">
      <alignment vertical="center"/>
    </xf>
    <xf numFmtId="170" fontId="6" fillId="0" borderId="1" xfId="9" applyNumberFormat="1" applyFont="1" applyFill="1" applyBorder="1" applyAlignment="1">
      <alignment vertical="center" wrapText="1"/>
    </xf>
    <xf numFmtId="164" fontId="5" fillId="0" borderId="1" xfId="1" applyFont="1" applyFill="1" applyBorder="1" applyAlignment="1" applyProtection="1">
      <alignment horizontal="right" vertical="center" wrapText="1"/>
    </xf>
    <xf numFmtId="164" fontId="5" fillId="0" borderId="1" xfId="1" applyFont="1" applyFill="1" applyBorder="1" applyAlignment="1" applyProtection="1">
      <alignment vertical="center" wrapText="1"/>
    </xf>
    <xf numFmtId="164" fontId="4" fillId="3" borderId="1" xfId="1" applyFont="1" applyFill="1" applyBorder="1" applyAlignment="1">
      <alignment vertical="center" wrapText="1"/>
    </xf>
    <xf numFmtId="164" fontId="4" fillId="0" borderId="1" xfId="1" applyFont="1" applyBorder="1" applyAlignment="1">
      <alignment vertical="center" wrapText="1"/>
    </xf>
    <xf numFmtId="0" fontId="4" fillId="0" borderId="0" xfId="6" applyFont="1" applyAlignment="1">
      <alignment vertical="center" wrapText="1"/>
    </xf>
    <xf numFmtId="49" fontId="6" fillId="0" borderId="0" xfId="1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 wrapText="1"/>
    </xf>
    <xf numFmtId="15" fontId="4" fillId="0" borderId="0" xfId="5" applyNumberFormat="1" applyFont="1" applyAlignment="1">
      <alignment horizontal="right" vertical="center" wrapText="1"/>
    </xf>
    <xf numFmtId="168" fontId="5" fillId="0" borderId="1" xfId="1" applyNumberFormat="1" applyFont="1" applyFill="1" applyBorder="1" applyAlignment="1" applyProtection="1">
      <alignment vertical="center" wrapText="1"/>
    </xf>
    <xf numFmtId="9" fontId="4" fillId="0" borderId="1" xfId="2" applyFont="1" applyFill="1" applyBorder="1" applyAlignment="1">
      <alignment horizontal="center" vertical="center" wrapText="1"/>
    </xf>
    <xf numFmtId="168" fontId="4" fillId="0" borderId="1" xfId="1" applyNumberFormat="1" applyFont="1" applyFill="1" applyBorder="1" applyAlignment="1">
      <alignment horizontal="center" vertical="center" wrapText="1"/>
    </xf>
    <xf numFmtId="171" fontId="4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6" borderId="1" xfId="4" applyFont="1" applyFill="1" applyBorder="1" applyAlignment="1">
      <alignment vertical="center" wrapText="1"/>
    </xf>
    <xf numFmtId="167" fontId="4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6" borderId="2" xfId="7" applyFont="1" applyFill="1" applyBorder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6" fontId="4" fillId="0" borderId="0" xfId="1" applyNumberFormat="1" applyFont="1" applyBorder="1" applyAlignment="1">
      <alignment horizontal="center" vertical="center" wrapText="1"/>
    </xf>
    <xf numFmtId="164" fontId="4" fillId="6" borderId="1" xfId="1" applyFont="1" applyFill="1" applyBorder="1" applyAlignment="1">
      <alignment vertical="center" wrapText="1"/>
    </xf>
    <xf numFmtId="164" fontId="4" fillId="4" borderId="1" xfId="1" applyFont="1" applyFill="1" applyBorder="1" applyAlignment="1">
      <alignment vertical="center" wrapText="1"/>
    </xf>
    <xf numFmtId="0" fontId="4" fillId="7" borderId="1" xfId="4" applyFont="1" applyFill="1" applyBorder="1" applyAlignment="1">
      <alignment vertical="center" wrapText="1"/>
    </xf>
    <xf numFmtId="164" fontId="4" fillId="7" borderId="1" xfId="1" applyFont="1" applyFill="1" applyBorder="1" applyAlignment="1">
      <alignment vertical="center"/>
    </xf>
    <xf numFmtId="0" fontId="4" fillId="7" borderId="2" xfId="7" applyFont="1" applyFill="1" applyBorder="1" applyAlignment="1">
      <alignment horizontal="center" vertical="center" wrapText="1"/>
    </xf>
    <xf numFmtId="164" fontId="4" fillId="7" borderId="1" xfId="1" applyFont="1" applyFill="1" applyBorder="1" applyAlignment="1">
      <alignment vertical="center" wrapText="1"/>
    </xf>
    <xf numFmtId="0" fontId="4" fillId="0" borderId="1" xfId="8" applyFont="1" applyBorder="1" applyAlignment="1">
      <alignment horizontal="center" vertical="center" wrapText="1"/>
    </xf>
    <xf numFmtId="164" fontId="4" fillId="0" borderId="4" xfId="1" applyFont="1" applyFill="1" applyBorder="1" applyAlignment="1">
      <alignment horizontal="center" vertical="center" wrapText="1"/>
    </xf>
    <xf numFmtId="0" fontId="4" fillId="6" borderId="3" xfId="4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172" fontId="6" fillId="0" borderId="1" xfId="1" applyNumberFormat="1" applyFont="1" applyFill="1" applyBorder="1" applyAlignment="1">
      <alignment vertical="center" wrapText="1"/>
    </xf>
  </cellXfs>
  <cellStyles count="10">
    <cellStyle name="Milliers [0]" xfId="1" builtinId="6"/>
    <cellStyle name="Milliers 2 3" xfId="9" xr:uid="{00000000-0005-0000-0000-000001000000}"/>
    <cellStyle name="Normal" xfId="0" builtinId="0"/>
    <cellStyle name="Normal 2" xfId="3" xr:uid="{00000000-0005-0000-0000-000003000000}"/>
    <cellStyle name="Normal_Feuil1" xfId="5" xr:uid="{00000000-0005-0000-0000-000004000000}"/>
    <cellStyle name="Normal_Feuil12" xfId="8" xr:uid="{00000000-0005-0000-0000-000005000000}"/>
    <cellStyle name="Normal_Feuil7" xfId="4" xr:uid="{00000000-0005-0000-0000-000006000000}"/>
    <cellStyle name="Normal_Feuil8" xfId="7" xr:uid="{00000000-0005-0000-0000-000007000000}"/>
    <cellStyle name="Normal_Feuil9" xfId="6" xr:uid="{00000000-0005-0000-0000-000008000000}"/>
    <cellStyle name="Pourcentage" xfId="2" builtinId="5"/>
  </cellStyles>
  <dxfs count="5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15"/>
  <sheetViews>
    <sheetView tabSelected="1" workbookViewId="0">
      <pane ySplit="1" topLeftCell="A94" activePane="bottomLeft" state="frozen"/>
      <selection pane="bottomLeft" activeCell="A76" sqref="A76"/>
    </sheetView>
  </sheetViews>
  <sheetFormatPr baseColWidth="10" defaultColWidth="11.54296875" defaultRowHeight="14" x14ac:dyDescent="0.3"/>
  <cols>
    <col min="1" max="1" width="53.453125" style="20" customWidth="1"/>
    <col min="2" max="2" width="49.81640625" style="97" customWidth="1"/>
    <col min="3" max="3" width="29.1796875" style="20" customWidth="1"/>
    <col min="4" max="7" width="22.6328125" style="20" customWidth="1"/>
    <col min="8" max="8" width="31.453125" style="20" customWidth="1"/>
    <col min="9" max="16" width="22.6328125" style="20" customWidth="1"/>
    <col min="17" max="16384" width="11.54296875" style="20"/>
  </cols>
  <sheetData>
    <row r="1" spans="1:16" ht="30.65" customHeight="1" x14ac:dyDescent="0.3">
      <c r="A1" s="1" t="s">
        <v>0</v>
      </c>
      <c r="B1" s="8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25.25" hidden="1" customHeight="1" x14ac:dyDescent="0.3">
      <c r="A2" s="67" t="s">
        <v>16</v>
      </c>
      <c r="B2" s="88" t="s">
        <v>17</v>
      </c>
      <c r="C2" s="8" t="s">
        <v>18</v>
      </c>
      <c r="D2" s="8" t="s">
        <v>19</v>
      </c>
      <c r="E2" s="21" t="s">
        <v>20</v>
      </c>
      <c r="F2" s="6" t="s">
        <v>21</v>
      </c>
      <c r="G2" s="21" t="s">
        <v>22</v>
      </c>
      <c r="H2" s="21" t="s">
        <v>20</v>
      </c>
      <c r="I2" s="21" t="s">
        <v>20</v>
      </c>
      <c r="J2" s="22">
        <v>40513</v>
      </c>
      <c r="K2" s="22">
        <v>40513</v>
      </c>
      <c r="L2" s="23">
        <v>157</v>
      </c>
      <c r="M2" s="23">
        <v>0</v>
      </c>
      <c r="N2" s="23">
        <v>36.5</v>
      </c>
      <c r="O2" s="23">
        <v>36.5</v>
      </c>
      <c r="P2" s="5">
        <v>401768</v>
      </c>
    </row>
    <row r="3" spans="1:16" ht="25.25" hidden="1" customHeight="1" x14ac:dyDescent="0.3">
      <c r="A3" s="67" t="s">
        <v>23</v>
      </c>
      <c r="B3" s="24" t="s">
        <v>24</v>
      </c>
      <c r="C3" s="8" t="s">
        <v>25</v>
      </c>
      <c r="D3" s="8" t="s">
        <v>26</v>
      </c>
      <c r="E3" s="8" t="s">
        <v>20</v>
      </c>
      <c r="F3" s="6" t="s">
        <v>21</v>
      </c>
      <c r="G3" s="21" t="s">
        <v>22</v>
      </c>
      <c r="H3" s="8" t="s">
        <v>27</v>
      </c>
      <c r="I3" s="21" t="s">
        <v>20</v>
      </c>
      <c r="J3" s="9">
        <v>42285</v>
      </c>
      <c r="K3" s="9">
        <v>42402</v>
      </c>
      <c r="L3" s="8">
        <v>0</v>
      </c>
      <c r="M3" s="8">
        <v>39</v>
      </c>
      <c r="N3" s="8">
        <v>0</v>
      </c>
      <c r="O3" s="8">
        <v>0</v>
      </c>
      <c r="P3" s="5">
        <v>401768</v>
      </c>
    </row>
    <row r="4" spans="1:16" ht="25.25" hidden="1" customHeight="1" x14ac:dyDescent="0.3">
      <c r="A4" s="67" t="s">
        <v>28</v>
      </c>
      <c r="B4" s="89">
        <v>26974</v>
      </c>
      <c r="C4" s="8" t="s">
        <v>29</v>
      </c>
      <c r="D4" s="8" t="s">
        <v>19</v>
      </c>
      <c r="E4" s="8" t="s">
        <v>20</v>
      </c>
      <c r="F4" s="6" t="s">
        <v>22</v>
      </c>
      <c r="G4" s="11" t="s">
        <v>22</v>
      </c>
      <c r="H4" s="8" t="s">
        <v>30</v>
      </c>
      <c r="I4" s="8" t="s">
        <v>27</v>
      </c>
      <c r="J4" s="9">
        <v>44228</v>
      </c>
      <c r="K4" s="9">
        <v>44405</v>
      </c>
      <c r="L4" s="8">
        <v>83</v>
      </c>
      <c r="M4" s="8">
        <v>0</v>
      </c>
      <c r="N4" s="8">
        <v>0</v>
      </c>
      <c r="O4" s="8">
        <v>0</v>
      </c>
      <c r="P4" s="5">
        <v>401768</v>
      </c>
    </row>
    <row r="5" spans="1:16" ht="25.25" hidden="1" customHeight="1" x14ac:dyDescent="0.3">
      <c r="A5" s="67" t="s">
        <v>28</v>
      </c>
      <c r="B5" s="90" t="s">
        <v>31</v>
      </c>
      <c r="C5" s="8" t="s">
        <v>32</v>
      </c>
      <c r="D5" s="8" t="s">
        <v>19</v>
      </c>
      <c r="E5" s="8" t="s">
        <v>20</v>
      </c>
      <c r="F5" s="6" t="s">
        <v>22</v>
      </c>
      <c r="G5" s="11" t="s">
        <v>22</v>
      </c>
      <c r="H5" s="8" t="s">
        <v>33</v>
      </c>
      <c r="I5" s="8" t="s">
        <v>27</v>
      </c>
      <c r="J5" s="9">
        <v>43231</v>
      </c>
      <c r="K5" s="9">
        <v>43256</v>
      </c>
      <c r="L5" s="8">
        <v>79</v>
      </c>
      <c r="M5" s="8">
        <v>0</v>
      </c>
      <c r="N5" s="8">
        <v>19</v>
      </c>
      <c r="O5" s="8">
        <v>0</v>
      </c>
      <c r="P5" s="5">
        <v>401768</v>
      </c>
    </row>
    <row r="6" spans="1:16" ht="25.25" hidden="1" customHeight="1" x14ac:dyDescent="0.3">
      <c r="A6" s="67" t="s">
        <v>539</v>
      </c>
      <c r="B6" s="24" t="s">
        <v>540</v>
      </c>
      <c r="C6" s="17" t="s">
        <v>541</v>
      </c>
      <c r="D6" s="17" t="s">
        <v>19</v>
      </c>
      <c r="E6" s="8" t="s">
        <v>63</v>
      </c>
      <c r="F6" s="8" t="s">
        <v>38</v>
      </c>
      <c r="G6" s="8" t="s">
        <v>38</v>
      </c>
      <c r="H6" s="8" t="s">
        <v>541</v>
      </c>
      <c r="I6" s="8" t="s">
        <v>66</v>
      </c>
      <c r="J6" s="9">
        <v>43486</v>
      </c>
      <c r="K6" s="9">
        <v>44778</v>
      </c>
      <c r="L6" s="17">
        <v>421</v>
      </c>
      <c r="M6" s="17"/>
      <c r="N6" s="17">
        <v>144</v>
      </c>
      <c r="O6" s="17"/>
      <c r="P6" s="5"/>
    </row>
    <row r="7" spans="1:16" ht="25.25" hidden="1" customHeight="1" x14ac:dyDescent="0.3">
      <c r="A7" s="67" t="s">
        <v>542</v>
      </c>
      <c r="B7" s="24" t="s">
        <v>543</v>
      </c>
      <c r="C7" s="17" t="s">
        <v>119</v>
      </c>
      <c r="D7" s="17" t="s">
        <v>46</v>
      </c>
      <c r="E7" s="8" t="s">
        <v>47</v>
      </c>
      <c r="F7" s="8" t="s">
        <v>79</v>
      </c>
      <c r="G7" s="8" t="s">
        <v>79</v>
      </c>
      <c r="H7" s="8" t="s">
        <v>286</v>
      </c>
      <c r="I7" s="8" t="s">
        <v>111</v>
      </c>
      <c r="J7" s="9">
        <v>45259</v>
      </c>
      <c r="K7" s="9">
        <v>45259</v>
      </c>
      <c r="L7" s="17">
        <v>0.15</v>
      </c>
      <c r="M7" s="17">
        <v>0.15</v>
      </c>
      <c r="N7" s="17"/>
      <c r="O7" s="17">
        <v>0</v>
      </c>
      <c r="P7" s="5">
        <v>401768</v>
      </c>
    </row>
    <row r="8" spans="1:16" ht="25.25" hidden="1" customHeight="1" x14ac:dyDescent="0.3">
      <c r="A8" s="67" t="s">
        <v>34</v>
      </c>
      <c r="B8" s="24" t="s">
        <v>35</v>
      </c>
      <c r="C8" s="8" t="s">
        <v>36</v>
      </c>
      <c r="D8" s="8" t="s">
        <v>19</v>
      </c>
      <c r="E8" s="8" t="s">
        <v>37</v>
      </c>
      <c r="F8" s="6" t="s">
        <v>38</v>
      </c>
      <c r="G8" s="8" t="s">
        <v>38</v>
      </c>
      <c r="H8" s="8" t="s">
        <v>39</v>
      </c>
      <c r="I8" s="8" t="s">
        <v>37</v>
      </c>
      <c r="J8" s="9">
        <v>42157</v>
      </c>
      <c r="K8" s="9">
        <v>42200</v>
      </c>
      <c r="L8" s="8">
        <v>1590</v>
      </c>
      <c r="M8" s="8">
        <v>0</v>
      </c>
      <c r="N8" s="8">
        <v>401</v>
      </c>
      <c r="O8" s="8">
        <v>0</v>
      </c>
      <c r="P8" s="9">
        <v>44420</v>
      </c>
    </row>
    <row r="9" spans="1:16" ht="25.25" hidden="1" customHeight="1" x14ac:dyDescent="0.3">
      <c r="A9" s="67" t="s">
        <v>40</v>
      </c>
      <c r="B9" s="90" t="s">
        <v>41</v>
      </c>
      <c r="C9" s="8" t="s">
        <v>42</v>
      </c>
      <c r="D9" s="8" t="s">
        <v>19</v>
      </c>
      <c r="E9" s="6" t="s">
        <v>20</v>
      </c>
      <c r="F9" s="6" t="s">
        <v>22</v>
      </c>
      <c r="G9" s="11" t="s">
        <v>22</v>
      </c>
      <c r="H9" s="6" t="s">
        <v>43</v>
      </c>
      <c r="I9" s="6" t="s">
        <v>20</v>
      </c>
      <c r="J9" s="12">
        <v>43503</v>
      </c>
      <c r="K9" s="12">
        <v>43510</v>
      </c>
      <c r="L9" s="6">
        <v>22</v>
      </c>
      <c r="M9" s="6">
        <v>0</v>
      </c>
      <c r="N9" s="6">
        <v>0</v>
      </c>
      <c r="O9" s="6">
        <v>0</v>
      </c>
      <c r="P9" s="5">
        <v>401768</v>
      </c>
    </row>
    <row r="10" spans="1:16" ht="25.25" hidden="1" customHeight="1" x14ac:dyDescent="0.3">
      <c r="A10" s="67" t="s">
        <v>52</v>
      </c>
      <c r="B10" s="24" t="s">
        <v>53</v>
      </c>
      <c r="C10" s="8" t="s">
        <v>54</v>
      </c>
      <c r="D10" s="8" t="s">
        <v>19</v>
      </c>
      <c r="E10" s="8" t="s">
        <v>20</v>
      </c>
      <c r="F10" s="6" t="s">
        <v>22</v>
      </c>
      <c r="G10" s="11" t="s">
        <v>22</v>
      </c>
      <c r="H10" s="8" t="s">
        <v>55</v>
      </c>
      <c r="I10" s="8" t="s">
        <v>27</v>
      </c>
      <c r="J10" s="9">
        <v>43231</v>
      </c>
      <c r="K10" s="9">
        <v>44704</v>
      </c>
      <c r="L10" s="17">
        <v>176</v>
      </c>
      <c r="M10" s="17"/>
      <c r="N10" s="17"/>
      <c r="O10" s="17"/>
      <c r="P10" s="5">
        <v>401768</v>
      </c>
    </row>
    <row r="11" spans="1:16" ht="25.25" hidden="1" customHeight="1" x14ac:dyDescent="0.3">
      <c r="A11" s="67" t="s">
        <v>472</v>
      </c>
      <c r="B11" s="93" t="s">
        <v>484</v>
      </c>
      <c r="C11" s="8" t="s">
        <v>473</v>
      </c>
      <c r="D11" s="8" t="s">
        <v>19</v>
      </c>
      <c r="E11" s="34" t="s">
        <v>20</v>
      </c>
      <c r="F11" s="6" t="s">
        <v>22</v>
      </c>
      <c r="G11" s="21" t="s">
        <v>22</v>
      </c>
      <c r="H11" s="21" t="s">
        <v>510</v>
      </c>
      <c r="I11" s="21" t="s">
        <v>20</v>
      </c>
      <c r="J11" s="35">
        <v>43570</v>
      </c>
      <c r="K11" s="35">
        <v>43623</v>
      </c>
      <c r="L11" s="36">
        <v>381</v>
      </c>
      <c r="M11" s="36">
        <v>0</v>
      </c>
      <c r="N11" s="36">
        <v>93.2</v>
      </c>
      <c r="O11" s="36">
        <v>0</v>
      </c>
      <c r="P11" s="37"/>
    </row>
    <row r="12" spans="1:16" ht="25.25" hidden="1" customHeight="1" x14ac:dyDescent="0.3">
      <c r="A12" s="67" t="s">
        <v>472</v>
      </c>
      <c r="B12" s="93" t="s">
        <v>483</v>
      </c>
      <c r="C12" s="8" t="s">
        <v>474</v>
      </c>
      <c r="D12" s="8" t="s">
        <v>19</v>
      </c>
      <c r="E12" s="34" t="s">
        <v>20</v>
      </c>
      <c r="F12" s="6" t="s">
        <v>22</v>
      </c>
      <c r="G12" s="21" t="s">
        <v>22</v>
      </c>
      <c r="H12" s="21" t="s">
        <v>508</v>
      </c>
      <c r="I12" s="21" t="s">
        <v>509</v>
      </c>
      <c r="J12" s="35">
        <v>43374</v>
      </c>
      <c r="K12" s="35">
        <v>43410</v>
      </c>
      <c r="L12" s="36">
        <v>26</v>
      </c>
      <c r="M12" s="36">
        <v>0</v>
      </c>
      <c r="N12" s="36">
        <v>8.6999999999999993</v>
      </c>
      <c r="O12" s="36">
        <v>0</v>
      </c>
      <c r="P12" s="37"/>
    </row>
    <row r="13" spans="1:16" ht="25.25" hidden="1" customHeight="1" x14ac:dyDescent="0.3">
      <c r="A13" s="67" t="s">
        <v>56</v>
      </c>
      <c r="B13" s="24" t="s">
        <v>57</v>
      </c>
      <c r="C13" s="8" t="s">
        <v>58</v>
      </c>
      <c r="D13" s="8" t="s">
        <v>19</v>
      </c>
      <c r="E13" s="8" t="s">
        <v>20</v>
      </c>
      <c r="F13" s="6" t="s">
        <v>22</v>
      </c>
      <c r="G13" s="11" t="s">
        <v>22</v>
      </c>
      <c r="H13" s="8" t="s">
        <v>59</v>
      </c>
      <c r="I13" s="8" t="s">
        <v>27</v>
      </c>
      <c r="J13" s="9">
        <v>44781</v>
      </c>
      <c r="K13" s="9">
        <v>44789</v>
      </c>
      <c r="L13" s="17">
        <v>58</v>
      </c>
      <c r="M13" s="17"/>
      <c r="N13" s="17"/>
      <c r="O13" s="17"/>
      <c r="P13" s="5">
        <v>401768</v>
      </c>
    </row>
    <row r="14" spans="1:16" ht="25.25" hidden="1" customHeight="1" x14ac:dyDescent="0.3">
      <c r="A14" s="67" t="s">
        <v>67</v>
      </c>
      <c r="B14" s="24" t="s">
        <v>68</v>
      </c>
      <c r="C14" s="8" t="s">
        <v>69</v>
      </c>
      <c r="D14" s="8" t="s">
        <v>19</v>
      </c>
      <c r="E14" s="8" t="s">
        <v>70</v>
      </c>
      <c r="F14" s="6" t="s">
        <v>22</v>
      </c>
      <c r="G14" s="11" t="s">
        <v>22</v>
      </c>
      <c r="H14" s="8" t="s">
        <v>69</v>
      </c>
      <c r="I14" s="8" t="s">
        <v>71</v>
      </c>
      <c r="J14" s="9">
        <v>43086</v>
      </c>
      <c r="K14" s="9">
        <v>43115</v>
      </c>
      <c r="L14" s="8">
        <v>260</v>
      </c>
      <c r="M14" s="8">
        <v>0</v>
      </c>
      <c r="N14" s="8">
        <v>65</v>
      </c>
      <c r="O14" s="8">
        <v>0</v>
      </c>
      <c r="P14" s="5">
        <v>401768</v>
      </c>
    </row>
    <row r="15" spans="1:16" ht="25.25" hidden="1" customHeight="1" x14ac:dyDescent="0.3">
      <c r="A15" s="67" t="s">
        <v>60</v>
      </c>
      <c r="B15" s="90" t="s">
        <v>61</v>
      </c>
      <c r="C15" s="8" t="s">
        <v>62</v>
      </c>
      <c r="D15" s="8" t="s">
        <v>26</v>
      </c>
      <c r="E15" s="6" t="s">
        <v>63</v>
      </c>
      <c r="F15" s="6" t="s">
        <v>64</v>
      </c>
      <c r="G15" s="8" t="s">
        <v>38</v>
      </c>
      <c r="H15" s="6" t="s">
        <v>65</v>
      </c>
      <c r="I15" s="6" t="s">
        <v>66</v>
      </c>
      <c r="J15" s="12">
        <v>43180</v>
      </c>
      <c r="K15" s="25"/>
      <c r="L15" s="6">
        <v>75</v>
      </c>
      <c r="M15" s="6">
        <v>5</v>
      </c>
      <c r="N15" s="6">
        <v>0</v>
      </c>
      <c r="O15" s="6">
        <v>0</v>
      </c>
      <c r="P15" s="5">
        <v>401768</v>
      </c>
    </row>
    <row r="16" spans="1:16" ht="25.25" hidden="1" customHeight="1" x14ac:dyDescent="0.3">
      <c r="A16" s="67" t="s">
        <v>497</v>
      </c>
      <c r="B16" s="24" t="s">
        <v>103</v>
      </c>
      <c r="C16" s="8" t="s">
        <v>104</v>
      </c>
      <c r="D16" s="8" t="s">
        <v>26</v>
      </c>
      <c r="E16" s="8" t="s">
        <v>47</v>
      </c>
      <c r="F16" s="6" t="s">
        <v>79</v>
      </c>
      <c r="G16" s="8" t="s">
        <v>79</v>
      </c>
      <c r="H16" s="8" t="s">
        <v>105</v>
      </c>
      <c r="I16" s="8" t="s">
        <v>47</v>
      </c>
      <c r="J16" s="9">
        <v>42479</v>
      </c>
      <c r="K16" s="9">
        <v>44279</v>
      </c>
      <c r="L16" s="26">
        <v>2.77</v>
      </c>
      <c r="M16" s="26">
        <v>2.77</v>
      </c>
      <c r="N16" s="8">
        <v>0</v>
      </c>
      <c r="O16" s="8">
        <v>0</v>
      </c>
      <c r="P16" s="5">
        <v>401768</v>
      </c>
    </row>
    <row r="17" spans="1:16" ht="25.25" hidden="1" customHeight="1" x14ac:dyDescent="0.3">
      <c r="A17" s="67" t="s">
        <v>106</v>
      </c>
      <c r="B17" s="24" t="s">
        <v>107</v>
      </c>
      <c r="C17" s="8" t="s">
        <v>108</v>
      </c>
      <c r="D17" s="8" t="s">
        <v>109</v>
      </c>
      <c r="E17" s="8" t="s">
        <v>47</v>
      </c>
      <c r="F17" s="6" t="s">
        <v>79</v>
      </c>
      <c r="G17" s="8" t="s">
        <v>79</v>
      </c>
      <c r="H17" s="8" t="s">
        <v>110</v>
      </c>
      <c r="I17" s="8" t="s">
        <v>111</v>
      </c>
      <c r="J17" s="9">
        <v>36574</v>
      </c>
      <c r="K17" s="9">
        <v>36578</v>
      </c>
      <c r="L17" s="8">
        <v>3.5</v>
      </c>
      <c r="M17" s="8">
        <v>1.9</v>
      </c>
      <c r="N17" s="8">
        <v>0</v>
      </c>
      <c r="O17" s="8">
        <v>0.65</v>
      </c>
      <c r="P17" s="13">
        <v>401768</v>
      </c>
    </row>
    <row r="18" spans="1:16" ht="25.25" hidden="1" customHeight="1" x14ac:dyDescent="0.3">
      <c r="A18" s="67" t="s">
        <v>106</v>
      </c>
      <c r="B18" s="24" t="s">
        <v>112</v>
      </c>
      <c r="C18" s="8" t="s">
        <v>113</v>
      </c>
      <c r="D18" s="8" t="s">
        <v>109</v>
      </c>
      <c r="E18" s="8" t="s">
        <v>47</v>
      </c>
      <c r="F18" s="6" t="s">
        <v>114</v>
      </c>
      <c r="G18" s="8" t="s">
        <v>114</v>
      </c>
      <c r="H18" s="8" t="s">
        <v>110</v>
      </c>
      <c r="I18" s="8" t="s">
        <v>111</v>
      </c>
      <c r="J18" s="9">
        <v>36574</v>
      </c>
      <c r="K18" s="9">
        <v>36578</v>
      </c>
      <c r="L18" s="27">
        <v>2</v>
      </c>
      <c r="M18" s="26">
        <v>0.72</v>
      </c>
      <c r="N18" s="8">
        <v>0</v>
      </c>
      <c r="O18" s="26">
        <v>0.18</v>
      </c>
      <c r="P18" s="13">
        <v>401768</v>
      </c>
    </row>
    <row r="19" spans="1:16" ht="25.25" hidden="1" customHeight="1" x14ac:dyDescent="0.3">
      <c r="A19" s="67" t="s">
        <v>106</v>
      </c>
      <c r="B19" s="24" t="s">
        <v>115</v>
      </c>
      <c r="C19" s="8" t="s">
        <v>116</v>
      </c>
      <c r="D19" s="8" t="s">
        <v>109</v>
      </c>
      <c r="E19" s="8" t="s">
        <v>47</v>
      </c>
      <c r="F19" s="6" t="s">
        <v>79</v>
      </c>
      <c r="G19" s="8" t="s">
        <v>79</v>
      </c>
      <c r="H19" s="8" t="s">
        <v>110</v>
      </c>
      <c r="I19" s="8" t="s">
        <v>111</v>
      </c>
      <c r="J19" s="9">
        <v>36574</v>
      </c>
      <c r="K19" s="9">
        <v>42139</v>
      </c>
      <c r="L19" s="26">
        <v>2.36</v>
      </c>
      <c r="M19" s="26">
        <v>0.1</v>
      </c>
      <c r="N19" s="8"/>
      <c r="O19" s="8"/>
      <c r="P19" s="13">
        <v>401768</v>
      </c>
    </row>
    <row r="20" spans="1:16" ht="25.25" hidden="1" customHeight="1" x14ac:dyDescent="0.3">
      <c r="A20" s="67" t="s">
        <v>134</v>
      </c>
      <c r="B20" s="91" t="s">
        <v>514</v>
      </c>
      <c r="C20" s="8" t="s">
        <v>135</v>
      </c>
      <c r="D20" s="8" t="s">
        <v>46</v>
      </c>
      <c r="E20" s="8" t="s">
        <v>47</v>
      </c>
      <c r="F20" s="6" t="s">
        <v>122</v>
      </c>
      <c r="G20" s="8" t="s">
        <v>122</v>
      </c>
      <c r="H20" s="8" t="s">
        <v>123</v>
      </c>
      <c r="I20" s="8" t="s">
        <v>47</v>
      </c>
      <c r="J20" s="9">
        <v>43844</v>
      </c>
      <c r="K20" s="9"/>
      <c r="L20" s="28">
        <v>9.1999999999999998E-2</v>
      </c>
      <c r="M20" s="26">
        <v>0.12</v>
      </c>
      <c r="N20" s="8">
        <v>0</v>
      </c>
      <c r="O20" s="8">
        <v>0</v>
      </c>
      <c r="P20" s="5">
        <v>401768</v>
      </c>
    </row>
    <row r="21" spans="1:16" ht="25.25" hidden="1" customHeight="1" x14ac:dyDescent="0.3">
      <c r="A21" s="67" t="s">
        <v>134</v>
      </c>
      <c r="B21" s="24" t="s">
        <v>136</v>
      </c>
      <c r="C21" s="8" t="s">
        <v>137</v>
      </c>
      <c r="D21" s="8" t="s">
        <v>46</v>
      </c>
      <c r="E21" s="8" t="s">
        <v>70</v>
      </c>
      <c r="F21" s="6" t="s">
        <v>122</v>
      </c>
      <c r="G21" s="8" t="s">
        <v>122</v>
      </c>
      <c r="H21" s="8" t="s">
        <v>138</v>
      </c>
      <c r="I21" s="8" t="s">
        <v>70</v>
      </c>
      <c r="J21" s="9">
        <v>44489</v>
      </c>
      <c r="K21" s="9">
        <v>44489</v>
      </c>
      <c r="L21" s="26">
        <v>0.5</v>
      </c>
      <c r="M21" s="26">
        <v>0.5</v>
      </c>
      <c r="N21" s="8">
        <v>0</v>
      </c>
      <c r="O21" s="8">
        <v>0</v>
      </c>
      <c r="P21" s="5">
        <v>401768</v>
      </c>
    </row>
    <row r="22" spans="1:16" ht="25.25" hidden="1" customHeight="1" x14ac:dyDescent="0.3">
      <c r="A22" s="67" t="s">
        <v>139</v>
      </c>
      <c r="B22" s="24" t="s">
        <v>140</v>
      </c>
      <c r="C22" s="8" t="s">
        <v>139</v>
      </c>
      <c r="D22" s="8" t="s">
        <v>19</v>
      </c>
      <c r="E22" s="8" t="s">
        <v>20</v>
      </c>
      <c r="F22" s="6" t="s">
        <v>22</v>
      </c>
      <c r="G22" s="29" t="s">
        <v>22</v>
      </c>
      <c r="H22" s="17" t="s">
        <v>59</v>
      </c>
      <c r="I22" s="17" t="s">
        <v>27</v>
      </c>
      <c r="J22" s="9">
        <v>44256</v>
      </c>
      <c r="K22" s="9">
        <v>44280</v>
      </c>
      <c r="L22" s="17">
        <v>298</v>
      </c>
      <c r="M22" s="17"/>
      <c r="N22" s="17"/>
      <c r="O22" s="17"/>
      <c r="P22" s="5">
        <v>401768</v>
      </c>
    </row>
    <row r="23" spans="1:16" ht="25.25" hidden="1" customHeight="1" x14ac:dyDescent="0.3">
      <c r="A23" s="67" t="s">
        <v>155</v>
      </c>
      <c r="B23" s="24" t="s">
        <v>156</v>
      </c>
      <c r="C23" s="17" t="s">
        <v>135</v>
      </c>
      <c r="D23" s="17" t="s">
        <v>46</v>
      </c>
      <c r="E23" s="8" t="s">
        <v>47</v>
      </c>
      <c r="F23" s="8" t="s">
        <v>122</v>
      </c>
      <c r="G23" s="8" t="s">
        <v>122</v>
      </c>
      <c r="H23" s="8" t="s">
        <v>157</v>
      </c>
      <c r="I23" s="8" t="s">
        <v>47</v>
      </c>
      <c r="J23" s="17"/>
      <c r="K23" s="9">
        <v>44879</v>
      </c>
      <c r="L23" s="17">
        <v>0.83</v>
      </c>
      <c r="M23" s="17">
        <v>0.83</v>
      </c>
      <c r="N23" s="17"/>
      <c r="O23" s="17"/>
      <c r="P23" s="5">
        <v>401768</v>
      </c>
    </row>
    <row r="24" spans="1:16" ht="25.25" hidden="1" customHeight="1" x14ac:dyDescent="0.3">
      <c r="A24" s="67" t="s">
        <v>155</v>
      </c>
      <c r="B24" s="24" t="s">
        <v>158</v>
      </c>
      <c r="C24" s="17" t="s">
        <v>119</v>
      </c>
      <c r="D24" s="17" t="s">
        <v>46</v>
      </c>
      <c r="E24" s="8" t="s">
        <v>47</v>
      </c>
      <c r="F24" s="8" t="s">
        <v>79</v>
      </c>
      <c r="G24" s="8" t="s">
        <v>79</v>
      </c>
      <c r="H24" s="8" t="s">
        <v>119</v>
      </c>
      <c r="I24" s="8" t="s">
        <v>47</v>
      </c>
      <c r="J24" s="17"/>
      <c r="K24" s="9">
        <v>44476</v>
      </c>
      <c r="L24" s="17">
        <v>0.17228099999999999</v>
      </c>
      <c r="M24" s="17">
        <v>0.89400000000000002</v>
      </c>
      <c r="N24" s="17"/>
      <c r="O24" s="17">
        <v>0.14499999999999999</v>
      </c>
      <c r="P24" s="5">
        <v>401768</v>
      </c>
    </row>
    <row r="25" spans="1:16" ht="25.25" hidden="1" customHeight="1" x14ac:dyDescent="0.3">
      <c r="A25" s="124" t="s">
        <v>475</v>
      </c>
      <c r="B25" s="93" t="s">
        <v>485</v>
      </c>
      <c r="C25" s="8" t="s">
        <v>486</v>
      </c>
      <c r="D25" s="8" t="s">
        <v>230</v>
      </c>
      <c r="E25" s="34" t="s">
        <v>70</v>
      </c>
      <c r="F25" s="6" t="s">
        <v>320</v>
      </c>
      <c r="G25" s="21" t="s">
        <v>320</v>
      </c>
      <c r="H25" s="21" t="s">
        <v>69</v>
      </c>
      <c r="I25" s="21" t="s">
        <v>71</v>
      </c>
      <c r="J25" s="35">
        <v>40914</v>
      </c>
      <c r="K25" s="35">
        <v>40918</v>
      </c>
      <c r="L25" s="36">
        <v>4.18</v>
      </c>
      <c r="M25" s="36">
        <v>0.02</v>
      </c>
      <c r="N25" s="36">
        <v>1.87</v>
      </c>
      <c r="O25" s="36">
        <v>0</v>
      </c>
      <c r="P25" s="37"/>
    </row>
    <row r="26" spans="1:16" ht="25.25" hidden="1" customHeight="1" x14ac:dyDescent="0.3">
      <c r="A26" s="124" t="s">
        <v>159</v>
      </c>
      <c r="B26" s="24" t="s">
        <v>160</v>
      </c>
      <c r="C26" s="8" t="s">
        <v>161</v>
      </c>
      <c r="D26" s="8" t="s">
        <v>46</v>
      </c>
      <c r="E26" s="8" t="s">
        <v>47</v>
      </c>
      <c r="F26" s="6" t="s">
        <v>49</v>
      </c>
      <c r="G26" s="8" t="s">
        <v>49</v>
      </c>
      <c r="H26" s="8" t="s">
        <v>162</v>
      </c>
      <c r="I26" s="8" t="s">
        <v>51</v>
      </c>
      <c r="J26" s="9">
        <v>43273</v>
      </c>
      <c r="K26" s="9">
        <v>43273</v>
      </c>
      <c r="L26" s="27">
        <v>0.1</v>
      </c>
      <c r="M26" s="27">
        <v>0.1</v>
      </c>
      <c r="N26" s="8"/>
      <c r="O26" s="8"/>
      <c r="P26" s="5">
        <v>401768</v>
      </c>
    </row>
    <row r="27" spans="1:16" ht="25.25" hidden="1" customHeight="1" x14ac:dyDescent="0.3">
      <c r="A27" s="124" t="s">
        <v>163</v>
      </c>
      <c r="B27" s="92" t="s">
        <v>24</v>
      </c>
      <c r="C27" s="8" t="s">
        <v>164</v>
      </c>
      <c r="D27" s="8" t="s">
        <v>19</v>
      </c>
      <c r="E27" s="17" t="s">
        <v>20</v>
      </c>
      <c r="F27" s="6" t="s">
        <v>21</v>
      </c>
      <c r="G27" s="29" t="s">
        <v>22</v>
      </c>
      <c r="H27" s="17" t="s">
        <v>164</v>
      </c>
      <c r="I27" s="17" t="s">
        <v>20</v>
      </c>
      <c r="J27" s="9">
        <v>44257</v>
      </c>
      <c r="K27" s="9">
        <v>44413</v>
      </c>
      <c r="L27" s="27">
        <v>26.2</v>
      </c>
      <c r="M27" s="8">
        <v>0</v>
      </c>
      <c r="N27" s="8">
        <v>0</v>
      </c>
      <c r="O27" s="8">
        <v>0</v>
      </c>
      <c r="P27" s="9">
        <v>401768</v>
      </c>
    </row>
    <row r="28" spans="1:16" ht="25.25" hidden="1" customHeight="1" x14ac:dyDescent="0.3">
      <c r="A28" s="67" t="s">
        <v>165</v>
      </c>
      <c r="B28" s="24" t="s">
        <v>166</v>
      </c>
      <c r="C28" s="8" t="s">
        <v>167</v>
      </c>
      <c r="D28" s="8" t="s">
        <v>19</v>
      </c>
      <c r="E28" s="8" t="s">
        <v>47</v>
      </c>
      <c r="F28" s="6" t="s">
        <v>38</v>
      </c>
      <c r="G28" s="8" t="s">
        <v>38</v>
      </c>
      <c r="H28" s="8" t="s">
        <v>51</v>
      </c>
      <c r="I28" s="8" t="s">
        <v>51</v>
      </c>
      <c r="J28" s="9">
        <v>42145</v>
      </c>
      <c r="K28" s="9">
        <v>42179</v>
      </c>
      <c r="L28" s="8">
        <v>636</v>
      </c>
      <c r="M28" s="8">
        <v>0</v>
      </c>
      <c r="N28" s="8">
        <v>0</v>
      </c>
      <c r="O28" s="8">
        <v>0</v>
      </c>
      <c r="P28" s="5">
        <v>401768</v>
      </c>
    </row>
    <row r="29" spans="1:16" ht="25.25" hidden="1" customHeight="1" x14ac:dyDescent="0.3">
      <c r="A29" s="124" t="s">
        <v>168</v>
      </c>
      <c r="B29" s="24" t="s">
        <v>169</v>
      </c>
      <c r="C29" s="8" t="s">
        <v>170</v>
      </c>
      <c r="D29" s="8" t="s">
        <v>109</v>
      </c>
      <c r="E29" s="30" t="s">
        <v>47</v>
      </c>
      <c r="F29" s="6" t="s">
        <v>171</v>
      </c>
      <c r="G29" s="30" t="s">
        <v>171</v>
      </c>
      <c r="H29" s="30" t="s">
        <v>172</v>
      </c>
      <c r="I29" s="30" t="s">
        <v>173</v>
      </c>
      <c r="J29" s="31">
        <v>38239</v>
      </c>
      <c r="K29" s="31">
        <v>38249</v>
      </c>
      <c r="L29" s="30">
        <v>445</v>
      </c>
      <c r="M29" s="30">
        <v>0</v>
      </c>
      <c r="N29" s="30">
        <v>0</v>
      </c>
      <c r="O29" s="30">
        <v>0</v>
      </c>
      <c r="P29" s="5">
        <v>401768</v>
      </c>
    </row>
    <row r="30" spans="1:16" ht="25.25" hidden="1" customHeight="1" x14ac:dyDescent="0.3">
      <c r="A30" s="67" t="s">
        <v>476</v>
      </c>
      <c r="B30" s="93" t="s">
        <v>487</v>
      </c>
      <c r="C30" s="8" t="s">
        <v>477</v>
      </c>
      <c r="D30" s="8" t="s">
        <v>230</v>
      </c>
      <c r="E30" s="34" t="s">
        <v>501</v>
      </c>
      <c r="F30" s="6" t="s">
        <v>232</v>
      </c>
      <c r="G30" s="21" t="s">
        <v>232</v>
      </c>
      <c r="H30" s="21" t="s">
        <v>506</v>
      </c>
      <c r="I30" s="21" t="s">
        <v>507</v>
      </c>
      <c r="J30" s="35"/>
      <c r="K30" s="35">
        <v>44977</v>
      </c>
      <c r="L30" s="36">
        <v>1.95</v>
      </c>
      <c r="M30" s="36">
        <v>2.7799999999999998E-2</v>
      </c>
      <c r="N30" s="36">
        <v>0</v>
      </c>
      <c r="O30" s="36">
        <v>1.2500000000000001E-2</v>
      </c>
      <c r="P30" s="37"/>
    </row>
    <row r="31" spans="1:16" ht="25.25" hidden="1" customHeight="1" x14ac:dyDescent="0.3">
      <c r="A31" s="124" t="s">
        <v>178</v>
      </c>
      <c r="B31" s="24" t="s">
        <v>618</v>
      </c>
      <c r="C31" s="8" t="s">
        <v>619</v>
      </c>
      <c r="D31" s="8" t="s">
        <v>19</v>
      </c>
      <c r="E31" s="8" t="s">
        <v>20</v>
      </c>
      <c r="F31" s="6" t="s">
        <v>22</v>
      </c>
      <c r="G31" s="8" t="s">
        <v>22</v>
      </c>
      <c r="H31" s="8" t="s">
        <v>620</v>
      </c>
      <c r="I31" s="8" t="s">
        <v>27</v>
      </c>
      <c r="J31" s="9">
        <v>44712</v>
      </c>
      <c r="K31" s="9">
        <v>44719</v>
      </c>
      <c r="L31" s="8">
        <v>174</v>
      </c>
      <c r="M31" s="8">
        <v>0</v>
      </c>
      <c r="N31" s="8">
        <v>0</v>
      </c>
      <c r="O31" s="8">
        <v>0</v>
      </c>
      <c r="P31" s="5">
        <v>401768</v>
      </c>
    </row>
    <row r="32" spans="1:16" ht="25.25" hidden="1" customHeight="1" x14ac:dyDescent="0.3">
      <c r="A32" s="124" t="s">
        <v>179</v>
      </c>
      <c r="B32" s="90" t="s">
        <v>180</v>
      </c>
      <c r="C32" s="8" t="s">
        <v>181</v>
      </c>
      <c r="D32" s="8" t="s">
        <v>109</v>
      </c>
      <c r="E32" s="6" t="s">
        <v>47</v>
      </c>
      <c r="F32" s="6" t="s">
        <v>38</v>
      </c>
      <c r="G32" s="8" t="s">
        <v>38</v>
      </c>
      <c r="H32" s="6" t="s">
        <v>182</v>
      </c>
      <c r="I32" s="6" t="s">
        <v>51</v>
      </c>
      <c r="J32" s="14">
        <v>39561</v>
      </c>
      <c r="K32" s="14">
        <v>36452</v>
      </c>
      <c r="L32" s="6">
        <v>173</v>
      </c>
      <c r="M32" s="6">
        <v>0.57999999999999996</v>
      </c>
      <c r="N32" s="6">
        <v>0</v>
      </c>
      <c r="O32" s="6">
        <v>0</v>
      </c>
      <c r="P32" s="12">
        <v>401768</v>
      </c>
    </row>
    <row r="33" spans="1:16" ht="25.25" hidden="1" customHeight="1" x14ac:dyDescent="0.3">
      <c r="A33" s="67" t="s">
        <v>187</v>
      </c>
      <c r="B33" s="24" t="s">
        <v>188</v>
      </c>
      <c r="C33" s="8" t="s">
        <v>189</v>
      </c>
      <c r="D33" s="8" t="s">
        <v>46</v>
      </c>
      <c r="E33" s="8" t="s">
        <v>47</v>
      </c>
      <c r="F33" s="6" t="s">
        <v>122</v>
      </c>
      <c r="G33" s="8" t="s">
        <v>122</v>
      </c>
      <c r="H33" s="8" t="s">
        <v>123</v>
      </c>
      <c r="I33" s="8" t="s">
        <v>47</v>
      </c>
      <c r="J33" s="9">
        <v>43742</v>
      </c>
      <c r="K33" s="9">
        <v>43797</v>
      </c>
      <c r="L33" s="28">
        <v>0.06</v>
      </c>
      <c r="M33" s="32">
        <v>6.3399999999999998E-2</v>
      </c>
      <c r="N33" s="8">
        <v>0</v>
      </c>
      <c r="O33" s="8">
        <v>0</v>
      </c>
      <c r="P33" s="5">
        <v>401768</v>
      </c>
    </row>
    <row r="34" spans="1:16" ht="25.25" hidden="1" customHeight="1" x14ac:dyDescent="0.3">
      <c r="A34" s="67" t="s">
        <v>190</v>
      </c>
      <c r="B34" s="24" t="s">
        <v>191</v>
      </c>
      <c r="C34" s="8" t="s">
        <v>192</v>
      </c>
      <c r="D34" s="8" t="s">
        <v>26</v>
      </c>
      <c r="E34" s="8" t="s">
        <v>20</v>
      </c>
      <c r="F34" s="6" t="s">
        <v>22</v>
      </c>
      <c r="G34" s="11" t="s">
        <v>22</v>
      </c>
      <c r="H34" s="8" t="s">
        <v>101</v>
      </c>
      <c r="I34" s="8" t="s">
        <v>27</v>
      </c>
      <c r="J34" s="9">
        <v>42702</v>
      </c>
      <c r="K34" s="9">
        <v>42929</v>
      </c>
      <c r="L34" s="8">
        <v>121.83</v>
      </c>
      <c r="M34" s="8">
        <v>0</v>
      </c>
      <c r="N34" s="8">
        <v>0</v>
      </c>
      <c r="O34" s="8">
        <v>0</v>
      </c>
      <c r="P34" s="5">
        <v>401768</v>
      </c>
    </row>
    <row r="35" spans="1:16" ht="25.25" hidden="1" customHeight="1" x14ac:dyDescent="0.3">
      <c r="A35" s="67" t="s">
        <v>196</v>
      </c>
      <c r="B35" s="90" t="s">
        <v>197</v>
      </c>
      <c r="C35" s="8" t="s">
        <v>198</v>
      </c>
      <c r="D35" s="8" t="s">
        <v>19</v>
      </c>
      <c r="E35" s="6" t="s">
        <v>20</v>
      </c>
      <c r="F35" s="6" t="s">
        <v>21</v>
      </c>
      <c r="G35" s="11" t="s">
        <v>22</v>
      </c>
      <c r="H35" s="6" t="s">
        <v>199</v>
      </c>
      <c r="I35" s="6" t="s">
        <v>27</v>
      </c>
      <c r="J35" s="12">
        <v>43882</v>
      </c>
      <c r="K35" s="12">
        <v>43886</v>
      </c>
      <c r="L35" s="6">
        <v>286</v>
      </c>
      <c r="M35" s="6">
        <v>0</v>
      </c>
      <c r="N35" s="6">
        <v>0</v>
      </c>
      <c r="O35" s="6">
        <v>0</v>
      </c>
      <c r="P35" s="5">
        <v>44969</v>
      </c>
    </row>
    <row r="36" spans="1:16" ht="25.25" hidden="1" customHeight="1" x14ac:dyDescent="0.3">
      <c r="A36" s="67" t="s">
        <v>202</v>
      </c>
      <c r="B36" s="90">
        <v>96536</v>
      </c>
      <c r="C36" s="8" t="s">
        <v>203</v>
      </c>
      <c r="D36" s="8" t="s">
        <v>109</v>
      </c>
      <c r="E36" s="6" t="s">
        <v>47</v>
      </c>
      <c r="F36" s="6" t="s">
        <v>204</v>
      </c>
      <c r="G36" s="6" t="s">
        <v>204</v>
      </c>
      <c r="H36" s="6" t="s">
        <v>205</v>
      </c>
      <c r="I36" s="6" t="s">
        <v>206</v>
      </c>
      <c r="J36" s="6"/>
      <c r="K36" s="14">
        <v>35242</v>
      </c>
      <c r="L36" s="6">
        <v>0.45</v>
      </c>
      <c r="M36" s="6">
        <v>0</v>
      </c>
      <c r="N36" s="6">
        <v>0</v>
      </c>
      <c r="O36" s="6">
        <v>0</v>
      </c>
      <c r="P36" s="5">
        <v>401768</v>
      </c>
    </row>
    <row r="37" spans="1:16" ht="25.25" hidden="1" customHeight="1" x14ac:dyDescent="0.3">
      <c r="A37" s="67" t="s">
        <v>202</v>
      </c>
      <c r="B37" s="24">
        <v>7930</v>
      </c>
      <c r="C37" s="8" t="s">
        <v>207</v>
      </c>
      <c r="D37" s="8" t="s">
        <v>109</v>
      </c>
      <c r="E37" s="6" t="s">
        <v>47</v>
      </c>
      <c r="F37" s="6" t="s">
        <v>204</v>
      </c>
      <c r="G37" s="6" t="s">
        <v>204</v>
      </c>
      <c r="H37" s="6" t="s">
        <v>205</v>
      </c>
      <c r="I37" s="6" t="s">
        <v>206</v>
      </c>
      <c r="J37" s="17"/>
      <c r="K37" s="9">
        <v>35296</v>
      </c>
      <c r="L37" s="8">
        <v>1.45</v>
      </c>
      <c r="M37" s="8">
        <v>0.01</v>
      </c>
      <c r="N37" s="8">
        <v>0</v>
      </c>
      <c r="O37" s="8">
        <v>0</v>
      </c>
      <c r="P37" s="5">
        <v>401768</v>
      </c>
    </row>
    <row r="38" spans="1:16" ht="25.25" hidden="1" customHeight="1" x14ac:dyDescent="0.3">
      <c r="A38" s="67" t="s">
        <v>202</v>
      </c>
      <c r="B38" s="24">
        <v>966720</v>
      </c>
      <c r="C38" s="8" t="s">
        <v>104</v>
      </c>
      <c r="D38" s="8" t="s">
        <v>109</v>
      </c>
      <c r="E38" s="6" t="s">
        <v>47</v>
      </c>
      <c r="F38" s="6" t="s">
        <v>204</v>
      </c>
      <c r="G38" s="6" t="s">
        <v>204</v>
      </c>
      <c r="H38" s="8" t="s">
        <v>104</v>
      </c>
      <c r="I38" s="8" t="s">
        <v>47</v>
      </c>
      <c r="J38" s="9"/>
      <c r="K38" s="9">
        <v>35296</v>
      </c>
      <c r="L38" s="8">
        <v>0.36</v>
      </c>
      <c r="M38" s="8">
        <v>0</v>
      </c>
      <c r="N38" s="8">
        <v>0</v>
      </c>
      <c r="O38" s="8">
        <v>0</v>
      </c>
      <c r="P38" s="5">
        <v>401768</v>
      </c>
    </row>
    <row r="39" spans="1:16" ht="25.25" hidden="1" customHeight="1" x14ac:dyDescent="0.3">
      <c r="A39" s="67" t="s">
        <v>208</v>
      </c>
      <c r="B39" s="90">
        <v>15766</v>
      </c>
      <c r="C39" s="8" t="s">
        <v>209</v>
      </c>
      <c r="D39" s="8" t="s">
        <v>19</v>
      </c>
      <c r="E39" s="6" t="s">
        <v>20</v>
      </c>
      <c r="F39" s="6" t="s">
        <v>22</v>
      </c>
      <c r="G39" s="11" t="s">
        <v>22</v>
      </c>
      <c r="H39" s="6" t="s">
        <v>210</v>
      </c>
      <c r="I39" s="6" t="s">
        <v>20</v>
      </c>
      <c r="J39" s="12">
        <v>44143</v>
      </c>
      <c r="K39" s="12">
        <v>44068</v>
      </c>
      <c r="L39" s="6">
        <v>320</v>
      </c>
      <c r="M39" s="6">
        <v>0</v>
      </c>
      <c r="N39" s="6">
        <v>0</v>
      </c>
      <c r="O39" s="6">
        <v>0</v>
      </c>
      <c r="P39" s="5">
        <v>401768</v>
      </c>
    </row>
    <row r="40" spans="1:16" ht="25.25" customHeight="1" x14ac:dyDescent="0.3">
      <c r="A40" s="67" t="s">
        <v>213</v>
      </c>
      <c r="B40" s="90" t="s">
        <v>214</v>
      </c>
      <c r="C40" s="8" t="s">
        <v>215</v>
      </c>
      <c r="D40" s="8" t="s">
        <v>109</v>
      </c>
      <c r="E40" s="6" t="s">
        <v>20</v>
      </c>
      <c r="F40" s="6" t="s">
        <v>21</v>
      </c>
      <c r="G40" s="11" t="s">
        <v>22</v>
      </c>
      <c r="H40" s="6" t="s">
        <v>216</v>
      </c>
      <c r="I40" s="6" t="s">
        <v>27</v>
      </c>
      <c r="J40" s="12">
        <v>42101</v>
      </c>
      <c r="K40" s="12">
        <v>42214</v>
      </c>
      <c r="L40" s="6">
        <v>291.8</v>
      </c>
      <c r="M40" s="6">
        <v>0</v>
      </c>
      <c r="N40" s="6"/>
      <c r="O40" s="6">
        <v>0.24199999999999999</v>
      </c>
      <c r="P40" s="5">
        <v>51345</v>
      </c>
    </row>
    <row r="41" spans="1:16" ht="25.25" hidden="1" customHeight="1" x14ac:dyDescent="0.3">
      <c r="A41" s="67" t="s">
        <v>217</v>
      </c>
      <c r="B41" s="24" t="s">
        <v>218</v>
      </c>
      <c r="C41" s="8" t="s">
        <v>219</v>
      </c>
      <c r="D41" s="8" t="s">
        <v>19</v>
      </c>
      <c r="E41" s="8" t="s">
        <v>20</v>
      </c>
      <c r="F41" s="6" t="s">
        <v>22</v>
      </c>
      <c r="G41" s="11" t="s">
        <v>22</v>
      </c>
      <c r="H41" s="8" t="s">
        <v>215</v>
      </c>
      <c r="I41" s="8" t="s">
        <v>27</v>
      </c>
      <c r="J41" s="9">
        <v>43161</v>
      </c>
      <c r="K41" s="9">
        <v>43210</v>
      </c>
      <c r="L41" s="27">
        <v>337.5</v>
      </c>
      <c r="M41" s="8">
        <v>0</v>
      </c>
      <c r="N41" s="8">
        <v>0</v>
      </c>
      <c r="O41" s="8">
        <v>0</v>
      </c>
      <c r="P41" s="5">
        <v>401768</v>
      </c>
    </row>
    <row r="42" spans="1:16" ht="25.25" hidden="1" customHeight="1" x14ac:dyDescent="0.3">
      <c r="A42" s="67" t="s">
        <v>217</v>
      </c>
      <c r="B42" s="93" t="s">
        <v>488</v>
      </c>
      <c r="C42" s="8" t="s">
        <v>478</v>
      </c>
      <c r="D42" s="8" t="s">
        <v>19</v>
      </c>
      <c r="E42" s="34" t="s">
        <v>20</v>
      </c>
      <c r="F42" s="6" t="s">
        <v>22</v>
      </c>
      <c r="G42" s="21" t="s">
        <v>22</v>
      </c>
      <c r="H42" s="21" t="s">
        <v>186</v>
      </c>
      <c r="I42" s="21" t="s">
        <v>27</v>
      </c>
      <c r="J42" s="35">
        <v>44928</v>
      </c>
      <c r="K42" s="35">
        <v>45260</v>
      </c>
      <c r="L42" s="36">
        <v>75.23</v>
      </c>
      <c r="M42" s="36">
        <v>0</v>
      </c>
      <c r="N42" s="36">
        <v>0</v>
      </c>
      <c r="O42" s="36">
        <v>0</v>
      </c>
      <c r="P42" s="37"/>
    </row>
    <row r="43" spans="1:16" ht="25.25" hidden="1" customHeight="1" x14ac:dyDescent="0.3">
      <c r="A43" s="67" t="s">
        <v>228</v>
      </c>
      <c r="B43" s="90" t="s">
        <v>229</v>
      </c>
      <c r="C43" s="8" t="s">
        <v>511</v>
      </c>
      <c r="D43" s="8" t="s">
        <v>230</v>
      </c>
      <c r="E43" s="6" t="s">
        <v>231</v>
      </c>
      <c r="F43" s="6" t="s">
        <v>232</v>
      </c>
      <c r="G43" s="6" t="s">
        <v>232</v>
      </c>
      <c r="H43" s="6" t="s">
        <v>233</v>
      </c>
      <c r="I43" s="6" t="s">
        <v>231</v>
      </c>
      <c r="J43" s="33"/>
      <c r="K43" s="14">
        <v>44572</v>
      </c>
      <c r="L43" s="6">
        <v>4.5</v>
      </c>
      <c r="M43" s="6">
        <v>0.32</v>
      </c>
      <c r="N43" s="6">
        <v>0</v>
      </c>
      <c r="O43" s="6">
        <v>0.32</v>
      </c>
      <c r="P43" s="5">
        <v>401768</v>
      </c>
    </row>
    <row r="44" spans="1:16" ht="25.25" hidden="1" customHeight="1" x14ac:dyDescent="0.3">
      <c r="A44" s="67" t="s">
        <v>234</v>
      </c>
      <c r="B44" s="90" t="s">
        <v>235</v>
      </c>
      <c r="C44" s="8" t="s">
        <v>512</v>
      </c>
      <c r="D44" s="8" t="s">
        <v>230</v>
      </c>
      <c r="E44" s="6" t="s">
        <v>47</v>
      </c>
      <c r="F44" s="6" t="s">
        <v>38</v>
      </c>
      <c r="G44" s="8" t="s">
        <v>38</v>
      </c>
      <c r="H44" s="6" t="s">
        <v>236</v>
      </c>
      <c r="I44" s="6" t="s">
        <v>51</v>
      </c>
      <c r="J44" s="14">
        <v>40126</v>
      </c>
      <c r="K44" s="14">
        <v>40126</v>
      </c>
      <c r="L44" s="6">
        <v>5</v>
      </c>
      <c r="M44" s="6">
        <v>0</v>
      </c>
      <c r="N44" s="6">
        <v>0</v>
      </c>
      <c r="O44" s="6">
        <v>0</v>
      </c>
      <c r="P44" s="5">
        <v>401768</v>
      </c>
    </row>
    <row r="45" spans="1:16" ht="25.25" hidden="1" customHeight="1" x14ac:dyDescent="0.3">
      <c r="A45" s="67" t="s">
        <v>240</v>
      </c>
      <c r="B45" s="91" t="s">
        <v>241</v>
      </c>
      <c r="C45" s="8" t="s">
        <v>242</v>
      </c>
      <c r="D45" s="8" t="s">
        <v>19</v>
      </c>
      <c r="E45" s="8" t="s">
        <v>63</v>
      </c>
      <c r="F45" s="6" t="s">
        <v>38</v>
      </c>
      <c r="G45" s="8" t="s">
        <v>38</v>
      </c>
      <c r="H45" s="8" t="s">
        <v>243</v>
      </c>
      <c r="I45" s="8" t="s">
        <v>244</v>
      </c>
      <c r="J45" s="9">
        <v>42368</v>
      </c>
      <c r="K45" s="9">
        <v>42429</v>
      </c>
      <c r="L45" s="8">
        <v>870</v>
      </c>
      <c r="M45" s="8">
        <v>0</v>
      </c>
      <c r="N45" s="8">
        <v>614</v>
      </c>
      <c r="O45" s="8">
        <v>256</v>
      </c>
      <c r="P45" s="9">
        <v>401768</v>
      </c>
    </row>
    <row r="46" spans="1:16" ht="25.25" hidden="1" customHeight="1" x14ac:dyDescent="0.3">
      <c r="A46" s="67" t="s">
        <v>267</v>
      </c>
      <c r="B46" s="91">
        <v>10862</v>
      </c>
      <c r="C46" s="8" t="s">
        <v>161</v>
      </c>
      <c r="D46" s="8" t="s">
        <v>46</v>
      </c>
      <c r="E46" s="8" t="s">
        <v>47</v>
      </c>
      <c r="F46" s="6" t="s">
        <v>48</v>
      </c>
      <c r="G46" s="8" t="s">
        <v>49</v>
      </c>
      <c r="H46" s="8" t="s">
        <v>268</v>
      </c>
      <c r="I46" s="8" t="s">
        <v>51</v>
      </c>
      <c r="J46" s="17"/>
      <c r="K46" s="9">
        <v>43196</v>
      </c>
      <c r="L46" s="8"/>
      <c r="M46" s="8"/>
      <c r="N46" s="8"/>
      <c r="O46" s="8"/>
      <c r="P46" s="9">
        <v>401768</v>
      </c>
    </row>
    <row r="47" spans="1:16" ht="25.25" hidden="1" customHeight="1" x14ac:dyDescent="0.3">
      <c r="A47" s="124" t="s">
        <v>272</v>
      </c>
      <c r="B47" s="24" t="s">
        <v>273</v>
      </c>
      <c r="C47" s="8" t="s">
        <v>274</v>
      </c>
      <c r="D47" s="8" t="s">
        <v>109</v>
      </c>
      <c r="E47" s="8" t="s">
        <v>37</v>
      </c>
      <c r="F47" s="6" t="s">
        <v>38</v>
      </c>
      <c r="G47" s="8" t="s">
        <v>38</v>
      </c>
      <c r="H47" s="8" t="s">
        <v>274</v>
      </c>
      <c r="I47" s="8" t="s">
        <v>275</v>
      </c>
      <c r="J47" s="9">
        <v>39727</v>
      </c>
      <c r="K47" s="9">
        <v>40768</v>
      </c>
      <c r="L47" s="8">
        <v>661</v>
      </c>
      <c r="M47" s="8"/>
      <c r="N47" s="8"/>
      <c r="O47" s="8"/>
      <c r="P47" s="9">
        <v>401768</v>
      </c>
    </row>
    <row r="48" spans="1:16" ht="25.25" hidden="1" customHeight="1" x14ac:dyDescent="0.3">
      <c r="A48" s="124" t="s">
        <v>276</v>
      </c>
      <c r="B48" s="90" t="s">
        <v>572</v>
      </c>
      <c r="C48" s="8" t="s">
        <v>277</v>
      </c>
      <c r="D48" s="8" t="s">
        <v>19</v>
      </c>
      <c r="E48" s="6" t="s">
        <v>20</v>
      </c>
      <c r="F48" s="6" t="s">
        <v>22</v>
      </c>
      <c r="G48" s="11" t="s">
        <v>22</v>
      </c>
      <c r="H48" s="6" t="s">
        <v>43</v>
      </c>
      <c r="I48" s="6" t="s">
        <v>20</v>
      </c>
      <c r="J48" s="12">
        <v>42955</v>
      </c>
      <c r="K48" s="12">
        <v>42955</v>
      </c>
      <c r="L48" s="6">
        <v>113.2</v>
      </c>
      <c r="M48" s="6">
        <v>0</v>
      </c>
      <c r="N48" s="6">
        <v>0</v>
      </c>
      <c r="O48" s="6">
        <v>0</v>
      </c>
      <c r="P48" s="5">
        <v>401768</v>
      </c>
    </row>
    <row r="49" spans="1:16" ht="25.25" hidden="1" customHeight="1" x14ac:dyDescent="0.3">
      <c r="A49" s="124" t="s">
        <v>278</v>
      </c>
      <c r="B49" s="91">
        <v>9828</v>
      </c>
      <c r="C49" s="8" t="s">
        <v>279</v>
      </c>
      <c r="D49" s="8" t="s">
        <v>109</v>
      </c>
      <c r="E49" s="8" t="s">
        <v>47</v>
      </c>
      <c r="F49" s="6" t="s">
        <v>204</v>
      </c>
      <c r="G49" s="8" t="s">
        <v>204</v>
      </c>
      <c r="H49" s="8" t="s">
        <v>105</v>
      </c>
      <c r="I49" s="8" t="s">
        <v>47</v>
      </c>
      <c r="J49" s="9">
        <v>35943</v>
      </c>
      <c r="K49" s="9">
        <v>35807</v>
      </c>
      <c r="L49" s="8">
        <v>13.48</v>
      </c>
      <c r="M49" s="26">
        <v>0.63</v>
      </c>
      <c r="N49" s="8"/>
      <c r="O49" s="26">
        <v>0.2</v>
      </c>
      <c r="P49" s="9">
        <v>401768</v>
      </c>
    </row>
    <row r="50" spans="1:16" hidden="1" x14ac:dyDescent="0.3">
      <c r="A50" s="67" t="s">
        <v>245</v>
      </c>
      <c r="B50" s="24" t="s">
        <v>246</v>
      </c>
      <c r="C50" s="8" t="s">
        <v>247</v>
      </c>
      <c r="D50" s="8" t="s">
        <v>109</v>
      </c>
      <c r="E50" s="8" t="s">
        <v>248</v>
      </c>
      <c r="F50" s="6" t="s">
        <v>249</v>
      </c>
      <c r="G50" s="8" t="s">
        <v>249</v>
      </c>
      <c r="H50" s="8" t="s">
        <v>250</v>
      </c>
      <c r="I50" s="8" t="s">
        <v>251</v>
      </c>
      <c r="J50" s="9">
        <v>38826</v>
      </c>
      <c r="K50" s="9">
        <v>38826</v>
      </c>
      <c r="L50" s="28">
        <v>4.6150000000000002</v>
      </c>
      <c r="M50" s="26">
        <v>1.99</v>
      </c>
      <c r="N50" s="8"/>
      <c r="O50" s="8"/>
      <c r="P50" s="9">
        <v>401768</v>
      </c>
    </row>
    <row r="51" spans="1:16" hidden="1" x14ac:dyDescent="0.3">
      <c r="A51" s="67" t="s">
        <v>245</v>
      </c>
      <c r="B51" s="91">
        <v>13309</v>
      </c>
      <c r="C51" s="8" t="s">
        <v>138</v>
      </c>
      <c r="D51" s="8" t="s">
        <v>46</v>
      </c>
      <c r="E51" s="8" t="s">
        <v>70</v>
      </c>
      <c r="F51" s="6" t="s">
        <v>114</v>
      </c>
      <c r="G51" s="8" t="s">
        <v>114</v>
      </c>
      <c r="H51" s="8" t="s">
        <v>138</v>
      </c>
      <c r="I51" s="8" t="s">
        <v>70</v>
      </c>
      <c r="J51" s="9">
        <v>44708</v>
      </c>
      <c r="K51" s="9">
        <v>44708</v>
      </c>
      <c r="L51" s="28">
        <v>1.5</v>
      </c>
      <c r="M51" s="26">
        <v>0</v>
      </c>
      <c r="N51" s="8"/>
      <c r="O51" s="8"/>
      <c r="P51" s="9"/>
    </row>
    <row r="52" spans="1:16" hidden="1" x14ac:dyDescent="0.3">
      <c r="A52" s="67" t="s">
        <v>245</v>
      </c>
      <c r="B52" s="24">
        <v>12204</v>
      </c>
      <c r="C52" s="8" t="s">
        <v>47</v>
      </c>
      <c r="D52" s="8" t="s">
        <v>46</v>
      </c>
      <c r="E52" s="8" t="s">
        <v>47</v>
      </c>
      <c r="F52" s="6" t="s">
        <v>252</v>
      </c>
      <c r="G52" s="8" t="s">
        <v>253</v>
      </c>
      <c r="H52" s="8" t="s">
        <v>47</v>
      </c>
      <c r="I52" s="8" t="s">
        <v>47</v>
      </c>
      <c r="J52" s="9">
        <v>45034</v>
      </c>
      <c r="K52" s="9">
        <v>45034</v>
      </c>
      <c r="L52" s="26">
        <v>0.96</v>
      </c>
      <c r="M52" s="8"/>
      <c r="N52" s="8"/>
      <c r="O52" s="8"/>
      <c r="P52" s="9">
        <v>401768</v>
      </c>
    </row>
    <row r="53" spans="1:16" ht="25.25" hidden="1" customHeight="1" x14ac:dyDescent="0.3">
      <c r="A53" s="67" t="s">
        <v>245</v>
      </c>
      <c r="B53" s="24">
        <v>13541</v>
      </c>
      <c r="C53" s="8" t="s">
        <v>254</v>
      </c>
      <c r="D53" s="8" t="s">
        <v>46</v>
      </c>
      <c r="E53" s="8" t="s">
        <v>47</v>
      </c>
      <c r="F53" s="6" t="s">
        <v>79</v>
      </c>
      <c r="G53" s="8" t="s">
        <v>79</v>
      </c>
      <c r="H53" s="8" t="s">
        <v>254</v>
      </c>
      <c r="I53" s="8" t="s">
        <v>51</v>
      </c>
      <c r="J53" s="9">
        <v>45041</v>
      </c>
      <c r="K53" s="9">
        <v>45041</v>
      </c>
      <c r="L53" s="26">
        <v>1.31</v>
      </c>
      <c r="M53" s="8">
        <v>0</v>
      </c>
      <c r="N53" s="8"/>
      <c r="O53" s="8"/>
      <c r="P53" s="9"/>
    </row>
    <row r="54" spans="1:16" ht="25.25" hidden="1" customHeight="1" x14ac:dyDescent="0.3">
      <c r="A54" s="67" t="s">
        <v>245</v>
      </c>
      <c r="B54" s="24">
        <v>12205</v>
      </c>
      <c r="C54" s="8" t="s">
        <v>255</v>
      </c>
      <c r="D54" s="8" t="s">
        <v>46</v>
      </c>
      <c r="E54" s="8" t="s">
        <v>47</v>
      </c>
      <c r="F54" s="6" t="s">
        <v>79</v>
      </c>
      <c r="G54" s="8" t="s">
        <v>79</v>
      </c>
      <c r="H54" s="8" t="s">
        <v>255</v>
      </c>
      <c r="I54" s="8" t="s">
        <v>111</v>
      </c>
      <c r="J54" s="9">
        <v>45034</v>
      </c>
      <c r="K54" s="9">
        <v>45034</v>
      </c>
      <c r="L54" s="26">
        <v>2</v>
      </c>
      <c r="M54" s="8">
        <v>0</v>
      </c>
      <c r="N54" s="8"/>
      <c r="O54" s="8"/>
      <c r="P54" s="9">
        <v>401768</v>
      </c>
    </row>
    <row r="55" spans="1:16" ht="25.25" hidden="1" customHeight="1" x14ac:dyDescent="0.3">
      <c r="A55" s="67" t="s">
        <v>245</v>
      </c>
      <c r="B55" s="24" t="s">
        <v>256</v>
      </c>
      <c r="C55" s="8" t="s">
        <v>104</v>
      </c>
      <c r="D55" s="8" t="s">
        <v>109</v>
      </c>
      <c r="E55" s="8" t="s">
        <v>47</v>
      </c>
      <c r="F55" s="6" t="s">
        <v>79</v>
      </c>
      <c r="G55" s="8" t="s">
        <v>79</v>
      </c>
      <c r="H55" s="8" t="s">
        <v>105</v>
      </c>
      <c r="I55" s="8" t="s">
        <v>47</v>
      </c>
      <c r="J55" s="9">
        <v>40177</v>
      </c>
      <c r="K55" s="9">
        <v>40177</v>
      </c>
      <c r="L55" s="27">
        <v>4.0999999999999996</v>
      </c>
      <c r="M55" s="26">
        <v>0.32</v>
      </c>
      <c r="N55" s="8"/>
      <c r="O55" s="8"/>
      <c r="P55" s="9">
        <v>401768</v>
      </c>
    </row>
    <row r="56" spans="1:16" ht="25.25" hidden="1" customHeight="1" x14ac:dyDescent="0.3">
      <c r="A56" s="67" t="s">
        <v>245</v>
      </c>
      <c r="B56" s="24" t="s">
        <v>257</v>
      </c>
      <c r="C56" s="8" t="s">
        <v>119</v>
      </c>
      <c r="D56" s="8" t="s">
        <v>109</v>
      </c>
      <c r="E56" s="8" t="s">
        <v>47</v>
      </c>
      <c r="F56" s="6" t="s">
        <v>79</v>
      </c>
      <c r="G56" s="8" t="s">
        <v>79</v>
      </c>
      <c r="H56" s="8" t="s">
        <v>258</v>
      </c>
      <c r="I56" s="8" t="s">
        <v>111</v>
      </c>
      <c r="J56" s="9">
        <v>43677</v>
      </c>
      <c r="K56" s="9">
        <v>43677</v>
      </c>
      <c r="L56" s="28">
        <v>3.7189999999999999</v>
      </c>
      <c r="M56" s="26">
        <v>0.27</v>
      </c>
      <c r="N56" s="8"/>
      <c r="O56" s="8"/>
      <c r="P56" s="9">
        <v>401768</v>
      </c>
    </row>
    <row r="57" spans="1:16" ht="25.25" hidden="1" customHeight="1" x14ac:dyDescent="0.3">
      <c r="A57" s="67" t="s">
        <v>245</v>
      </c>
      <c r="B57" s="24" t="s">
        <v>259</v>
      </c>
      <c r="C57" s="8" t="s">
        <v>135</v>
      </c>
      <c r="D57" s="8" t="s">
        <v>46</v>
      </c>
      <c r="E57" s="8" t="s">
        <v>47</v>
      </c>
      <c r="F57" s="6" t="s">
        <v>253</v>
      </c>
      <c r="G57" s="8" t="s">
        <v>253</v>
      </c>
      <c r="H57" s="8" t="s">
        <v>260</v>
      </c>
      <c r="I57" s="8" t="s">
        <v>47</v>
      </c>
      <c r="J57" s="9">
        <v>43657</v>
      </c>
      <c r="K57" s="9">
        <v>43657</v>
      </c>
      <c r="L57" s="26">
        <v>0.3</v>
      </c>
      <c r="M57" s="26">
        <v>0.08</v>
      </c>
      <c r="N57" s="8"/>
      <c r="O57" s="8"/>
      <c r="P57" s="9">
        <v>401768</v>
      </c>
    </row>
    <row r="58" spans="1:16" ht="25.25" hidden="1" customHeight="1" x14ac:dyDescent="0.3">
      <c r="A58" s="67" t="s">
        <v>245</v>
      </c>
      <c r="B58" s="24" t="s">
        <v>261</v>
      </c>
      <c r="C58" s="8" t="s">
        <v>119</v>
      </c>
      <c r="D58" s="8" t="s">
        <v>46</v>
      </c>
      <c r="E58" s="8" t="s">
        <v>47</v>
      </c>
      <c r="F58" s="6" t="s">
        <v>79</v>
      </c>
      <c r="G58" s="8" t="s">
        <v>79</v>
      </c>
      <c r="H58" s="8" t="s">
        <v>110</v>
      </c>
      <c r="I58" s="8" t="s">
        <v>111</v>
      </c>
      <c r="J58" s="9">
        <v>44452</v>
      </c>
      <c r="K58" s="9">
        <v>44452</v>
      </c>
      <c r="L58" s="26">
        <v>0.156</v>
      </c>
      <c r="M58" s="26">
        <v>0</v>
      </c>
      <c r="N58" s="8"/>
      <c r="O58" s="8"/>
      <c r="P58" s="9">
        <v>401768</v>
      </c>
    </row>
    <row r="59" spans="1:16" ht="25.25" hidden="1" customHeight="1" x14ac:dyDescent="0.3">
      <c r="A59" s="67" t="s">
        <v>245</v>
      </c>
      <c r="B59" s="24" t="s">
        <v>262</v>
      </c>
      <c r="C59" s="8" t="s">
        <v>119</v>
      </c>
      <c r="D59" s="8" t="s">
        <v>46</v>
      </c>
      <c r="E59" s="8" t="s">
        <v>47</v>
      </c>
      <c r="F59" s="6" t="s">
        <v>79</v>
      </c>
      <c r="G59" s="8" t="s">
        <v>79</v>
      </c>
      <c r="H59" s="8" t="s">
        <v>110</v>
      </c>
      <c r="I59" s="8" t="s">
        <v>111</v>
      </c>
      <c r="J59" s="9">
        <v>44452</v>
      </c>
      <c r="K59" s="9">
        <v>44452</v>
      </c>
      <c r="L59" s="28">
        <v>0.14099999999999999</v>
      </c>
      <c r="M59" s="26">
        <v>0</v>
      </c>
      <c r="N59" s="8"/>
      <c r="O59" s="8"/>
      <c r="P59" s="9">
        <v>401768</v>
      </c>
    </row>
    <row r="60" spans="1:16" ht="25.25" hidden="1" customHeight="1" x14ac:dyDescent="0.3">
      <c r="A60" s="67" t="s">
        <v>245</v>
      </c>
      <c r="B60" s="24" t="s">
        <v>263</v>
      </c>
      <c r="C60" s="8" t="s">
        <v>119</v>
      </c>
      <c r="D60" s="8" t="s">
        <v>46</v>
      </c>
      <c r="E60" s="8" t="s">
        <v>47</v>
      </c>
      <c r="F60" s="6" t="s">
        <v>79</v>
      </c>
      <c r="G60" s="8" t="s">
        <v>79</v>
      </c>
      <c r="H60" s="8" t="s">
        <v>110</v>
      </c>
      <c r="I60" s="8" t="s">
        <v>111</v>
      </c>
      <c r="J60" s="9">
        <v>44452</v>
      </c>
      <c r="K60" s="9">
        <v>44452</v>
      </c>
      <c r="L60" s="28">
        <v>0.108</v>
      </c>
      <c r="M60" s="26">
        <v>0</v>
      </c>
      <c r="N60" s="8"/>
      <c r="O60" s="8"/>
      <c r="P60" s="9">
        <v>401768</v>
      </c>
    </row>
    <row r="61" spans="1:16" ht="25.25" hidden="1" customHeight="1" x14ac:dyDescent="0.3">
      <c r="A61" s="67" t="s">
        <v>245</v>
      </c>
      <c r="B61" s="24" t="s">
        <v>264</v>
      </c>
      <c r="C61" s="8" t="s">
        <v>265</v>
      </c>
      <c r="D61" s="8" t="s">
        <v>46</v>
      </c>
      <c r="E61" s="8" t="s">
        <v>47</v>
      </c>
      <c r="F61" s="6" t="s">
        <v>79</v>
      </c>
      <c r="G61" s="8" t="s">
        <v>79</v>
      </c>
      <c r="H61" s="8" t="s">
        <v>104</v>
      </c>
      <c r="I61" s="8" t="s">
        <v>111</v>
      </c>
      <c r="J61" s="9">
        <v>44462</v>
      </c>
      <c r="K61" s="9">
        <v>44462</v>
      </c>
      <c r="L61" s="26">
        <v>0.95</v>
      </c>
      <c r="M61" s="26">
        <v>0</v>
      </c>
      <c r="N61" s="8"/>
      <c r="O61" s="8"/>
      <c r="P61" s="9">
        <v>401768</v>
      </c>
    </row>
    <row r="62" spans="1:16" ht="25.25" hidden="1" customHeight="1" x14ac:dyDescent="0.3">
      <c r="A62" s="67" t="s">
        <v>245</v>
      </c>
      <c r="B62" s="24" t="s">
        <v>266</v>
      </c>
      <c r="C62" s="8" t="s">
        <v>138</v>
      </c>
      <c r="D62" s="8" t="s">
        <v>46</v>
      </c>
      <c r="E62" s="8" t="s">
        <v>70</v>
      </c>
      <c r="F62" s="6" t="s">
        <v>114</v>
      </c>
      <c r="G62" s="8" t="s">
        <v>114</v>
      </c>
      <c r="H62" s="8" t="s">
        <v>138</v>
      </c>
      <c r="I62" s="8" t="s">
        <v>70</v>
      </c>
      <c r="J62" s="9">
        <v>44708</v>
      </c>
      <c r="K62" s="9">
        <v>44708</v>
      </c>
      <c r="L62" s="26">
        <v>0.75</v>
      </c>
      <c r="M62" s="26">
        <v>0</v>
      </c>
      <c r="N62" s="8"/>
      <c r="O62" s="8"/>
      <c r="P62" s="9">
        <v>401768</v>
      </c>
    </row>
    <row r="63" spans="1:16" ht="25.75" hidden="1" customHeight="1" x14ac:dyDescent="0.3">
      <c r="A63" s="67" t="s">
        <v>280</v>
      </c>
      <c r="B63" s="24" t="s">
        <v>281</v>
      </c>
      <c r="C63" s="8" t="s">
        <v>282</v>
      </c>
      <c r="D63" s="8" t="s">
        <v>19</v>
      </c>
      <c r="E63" s="8" t="s">
        <v>20</v>
      </c>
      <c r="F63" s="6" t="s">
        <v>22</v>
      </c>
      <c r="G63" s="11" t="s">
        <v>22</v>
      </c>
      <c r="H63" s="8" t="s">
        <v>102</v>
      </c>
      <c r="I63" s="8" t="s">
        <v>20</v>
      </c>
      <c r="J63" s="9">
        <v>40818</v>
      </c>
      <c r="K63" s="9">
        <v>40940</v>
      </c>
      <c r="L63" s="8">
        <v>40</v>
      </c>
      <c r="M63" s="8">
        <v>0</v>
      </c>
      <c r="N63" s="8">
        <v>30</v>
      </c>
      <c r="O63" s="8">
        <v>0</v>
      </c>
      <c r="P63" s="9">
        <v>401768</v>
      </c>
    </row>
    <row r="64" spans="1:16" ht="25.75" hidden="1" customHeight="1" x14ac:dyDescent="0.3">
      <c r="A64" s="67" t="s">
        <v>280</v>
      </c>
      <c r="B64" s="24" t="s">
        <v>283</v>
      </c>
      <c r="C64" s="8" t="s">
        <v>282</v>
      </c>
      <c r="D64" s="8" t="s">
        <v>19</v>
      </c>
      <c r="E64" s="8" t="s">
        <v>20</v>
      </c>
      <c r="F64" s="6" t="s">
        <v>22</v>
      </c>
      <c r="G64" s="11" t="s">
        <v>22</v>
      </c>
      <c r="H64" s="8" t="s">
        <v>102</v>
      </c>
      <c r="I64" s="8" t="s">
        <v>20</v>
      </c>
      <c r="J64" s="9">
        <v>40568</v>
      </c>
      <c r="K64" s="9">
        <v>40865</v>
      </c>
      <c r="L64" s="8">
        <v>54</v>
      </c>
      <c r="M64" s="8">
        <v>0</v>
      </c>
      <c r="N64" s="27">
        <v>37.5</v>
      </c>
      <c r="O64" s="8">
        <v>0</v>
      </c>
      <c r="P64" s="9">
        <v>401768</v>
      </c>
    </row>
    <row r="65" spans="1:16" ht="25.25" hidden="1" customHeight="1" x14ac:dyDescent="0.3">
      <c r="A65" s="67" t="s">
        <v>479</v>
      </c>
      <c r="B65" s="93" t="s">
        <v>490</v>
      </c>
      <c r="C65" s="8" t="s">
        <v>482</v>
      </c>
      <c r="D65" s="8" t="s">
        <v>230</v>
      </c>
      <c r="E65" s="34" t="s">
        <v>37</v>
      </c>
      <c r="F65" s="6" t="s">
        <v>38</v>
      </c>
      <c r="G65" s="21" t="s">
        <v>38</v>
      </c>
      <c r="H65" s="21" t="s">
        <v>274</v>
      </c>
      <c r="I65" s="21" t="s">
        <v>71</v>
      </c>
      <c r="J65" s="35"/>
      <c r="K65" s="35">
        <v>44594</v>
      </c>
      <c r="L65" s="36">
        <v>0.83</v>
      </c>
      <c r="M65" s="36">
        <v>0.02</v>
      </c>
      <c r="N65" s="36">
        <v>0</v>
      </c>
      <c r="O65" s="36">
        <v>0</v>
      </c>
      <c r="P65" s="37"/>
    </row>
    <row r="66" spans="1:16" ht="25.25" hidden="1" customHeight="1" x14ac:dyDescent="0.3">
      <c r="A66" s="67" t="s">
        <v>290</v>
      </c>
      <c r="B66" s="24" t="s">
        <v>291</v>
      </c>
      <c r="C66" s="8" t="s">
        <v>292</v>
      </c>
      <c r="D66" s="8" t="s">
        <v>46</v>
      </c>
      <c r="E66" s="8" t="s">
        <v>47</v>
      </c>
      <c r="F66" s="6" t="s">
        <v>49</v>
      </c>
      <c r="G66" s="8" t="s">
        <v>49</v>
      </c>
      <c r="H66" s="8" t="s">
        <v>293</v>
      </c>
      <c r="I66" s="8" t="s">
        <v>50</v>
      </c>
      <c r="J66" s="9"/>
      <c r="K66" s="9">
        <v>44460</v>
      </c>
      <c r="L66" s="8"/>
      <c r="M66" s="8"/>
      <c r="N66" s="8"/>
      <c r="O66" s="8"/>
      <c r="P66" s="9">
        <v>401768</v>
      </c>
    </row>
    <row r="67" spans="1:16" ht="25.25" hidden="1" customHeight="1" x14ac:dyDescent="0.3">
      <c r="A67" s="67" t="s">
        <v>294</v>
      </c>
      <c r="B67" s="24" t="s">
        <v>295</v>
      </c>
      <c r="C67" s="8" t="s">
        <v>296</v>
      </c>
      <c r="D67" s="8" t="s">
        <v>46</v>
      </c>
      <c r="E67" s="8" t="s">
        <v>47</v>
      </c>
      <c r="F67" s="6" t="s">
        <v>122</v>
      </c>
      <c r="G67" s="8" t="s">
        <v>122</v>
      </c>
      <c r="H67" s="8" t="s">
        <v>260</v>
      </c>
      <c r="I67" s="8" t="s">
        <v>47</v>
      </c>
      <c r="J67" s="9">
        <v>39709</v>
      </c>
      <c r="K67" s="9">
        <v>40066</v>
      </c>
      <c r="L67" s="26">
        <v>0.21</v>
      </c>
      <c r="M67" s="26">
        <v>0.08</v>
      </c>
      <c r="N67" s="8">
        <v>0</v>
      </c>
      <c r="O67" s="8">
        <v>0</v>
      </c>
      <c r="P67" s="9">
        <v>401768</v>
      </c>
    </row>
    <row r="68" spans="1:16" ht="25.25" hidden="1" customHeight="1" x14ac:dyDescent="0.3">
      <c r="A68" s="124" t="s">
        <v>301</v>
      </c>
      <c r="B68" s="24" t="s">
        <v>302</v>
      </c>
      <c r="C68" s="8" t="s">
        <v>119</v>
      </c>
      <c r="D68" s="8" t="s">
        <v>46</v>
      </c>
      <c r="E68" s="8" t="s">
        <v>47</v>
      </c>
      <c r="F68" s="6" t="s">
        <v>79</v>
      </c>
      <c r="G68" s="8" t="s">
        <v>79</v>
      </c>
      <c r="H68" s="8" t="s">
        <v>119</v>
      </c>
      <c r="I68" s="8" t="s">
        <v>47</v>
      </c>
      <c r="J68" s="9"/>
      <c r="K68" s="9">
        <v>42885</v>
      </c>
      <c r="L68" s="132">
        <v>0.14313899999999999</v>
      </c>
      <c r="M68" s="8">
        <v>0</v>
      </c>
      <c r="N68" s="8">
        <v>0</v>
      </c>
      <c r="O68" s="8">
        <v>0</v>
      </c>
      <c r="P68" s="9">
        <v>401768</v>
      </c>
    </row>
    <row r="69" spans="1:16" ht="25.25" hidden="1" customHeight="1" x14ac:dyDescent="0.3">
      <c r="A69" s="67" t="s">
        <v>480</v>
      </c>
      <c r="B69" s="93" t="s">
        <v>489</v>
      </c>
      <c r="C69" s="8" t="s">
        <v>502</v>
      </c>
      <c r="D69" s="8" t="s">
        <v>503</v>
      </c>
      <c r="E69" s="34" t="s">
        <v>20</v>
      </c>
      <c r="F69" s="6" t="s">
        <v>38</v>
      </c>
      <c r="G69" s="21" t="s">
        <v>38</v>
      </c>
      <c r="H69" s="21" t="s">
        <v>504</v>
      </c>
      <c r="I69" s="21" t="s">
        <v>505</v>
      </c>
      <c r="J69" s="35">
        <v>45316</v>
      </c>
      <c r="K69" s="35">
        <v>45357</v>
      </c>
      <c r="L69" s="36">
        <v>333</v>
      </c>
      <c r="M69" s="36">
        <v>0</v>
      </c>
      <c r="N69" s="36">
        <v>0</v>
      </c>
      <c r="O69" s="36">
        <v>0</v>
      </c>
      <c r="P69" s="37"/>
    </row>
    <row r="70" spans="1:16" ht="25.25" hidden="1" customHeight="1" x14ac:dyDescent="0.3">
      <c r="A70" s="67" t="s">
        <v>480</v>
      </c>
      <c r="B70" s="93" t="s">
        <v>489</v>
      </c>
      <c r="C70" s="8" t="s">
        <v>481</v>
      </c>
      <c r="D70" s="8" t="s">
        <v>26</v>
      </c>
      <c r="E70" s="34" t="s">
        <v>37</v>
      </c>
      <c r="F70" s="6" t="s">
        <v>38</v>
      </c>
      <c r="G70" s="21" t="s">
        <v>38</v>
      </c>
      <c r="H70" s="21" t="s">
        <v>565</v>
      </c>
      <c r="I70" s="21" t="s">
        <v>37</v>
      </c>
      <c r="J70" s="35">
        <v>44946</v>
      </c>
      <c r="K70" s="35">
        <v>45374</v>
      </c>
      <c r="L70" s="36">
        <v>280</v>
      </c>
      <c r="M70" s="36">
        <v>0</v>
      </c>
      <c r="N70" s="36">
        <v>0</v>
      </c>
      <c r="O70" s="36">
        <v>0</v>
      </c>
      <c r="P70" s="37"/>
    </row>
    <row r="71" spans="1:16" ht="25.25" customHeight="1" x14ac:dyDescent="0.3">
      <c r="A71" s="106"/>
      <c r="B71" s="107"/>
      <c r="C71" s="108"/>
      <c r="D71" s="108"/>
      <c r="E71" s="4"/>
      <c r="F71" s="4"/>
      <c r="G71" s="4"/>
      <c r="H71" s="4"/>
      <c r="I71" s="4"/>
      <c r="J71" s="108"/>
      <c r="K71" s="109"/>
      <c r="L71" s="108"/>
      <c r="M71" s="108"/>
      <c r="N71" s="108"/>
      <c r="O71" s="108"/>
      <c r="P71" s="110"/>
    </row>
    <row r="72" spans="1:16" ht="25.25" customHeight="1" x14ac:dyDescent="0.3">
      <c r="A72" s="106"/>
      <c r="B72" s="107"/>
      <c r="C72" s="108"/>
      <c r="D72" s="108"/>
      <c r="E72" s="4"/>
      <c r="F72" s="4"/>
      <c r="G72" s="4"/>
      <c r="H72" s="4"/>
      <c r="I72" s="4"/>
      <c r="J72" s="108"/>
      <c r="K72" s="109"/>
      <c r="L72" s="108"/>
      <c r="M72" s="108"/>
      <c r="N72" s="108"/>
      <c r="O72" s="108"/>
      <c r="P72" s="110"/>
    </row>
    <row r="73" spans="1:16" ht="25.25" customHeight="1" x14ac:dyDescent="0.3">
      <c r="A73" s="74"/>
      <c r="B73" s="94"/>
      <c r="C73" s="75"/>
      <c r="D73" s="75"/>
      <c r="E73" s="75"/>
      <c r="F73" s="76"/>
      <c r="G73" s="76"/>
      <c r="H73" s="76"/>
      <c r="I73" s="76"/>
      <c r="J73" s="77"/>
      <c r="K73" s="77"/>
      <c r="L73" s="78"/>
      <c r="M73" s="78"/>
      <c r="N73" s="78"/>
      <c r="O73" s="78"/>
      <c r="P73" s="79"/>
    </row>
    <row r="74" spans="1:16" s="86" customFormat="1" ht="25.25" customHeight="1" x14ac:dyDescent="0.3">
      <c r="A74" s="80"/>
      <c r="B74" s="95"/>
      <c r="C74" s="81"/>
      <c r="D74" s="81"/>
      <c r="E74" s="81"/>
      <c r="F74" s="82"/>
      <c r="G74" s="82"/>
      <c r="H74" s="82"/>
      <c r="I74" s="82"/>
      <c r="J74" s="83"/>
      <c r="K74" s="83"/>
      <c r="L74" s="84"/>
      <c r="M74" s="84"/>
      <c r="N74" s="84"/>
      <c r="O74" s="84"/>
      <c r="P74" s="85"/>
    </row>
    <row r="75" spans="1:16" ht="25.25" customHeight="1" x14ac:dyDescent="0.3">
      <c r="A75" s="68" t="s">
        <v>44</v>
      </c>
      <c r="B75" s="96">
        <v>13632</v>
      </c>
      <c r="C75" s="69" t="s">
        <v>45</v>
      </c>
      <c r="D75" s="70" t="s">
        <v>46</v>
      </c>
      <c r="E75" s="70" t="s">
        <v>47</v>
      </c>
      <c r="F75" s="70" t="s">
        <v>48</v>
      </c>
      <c r="G75" s="70" t="s">
        <v>49</v>
      </c>
      <c r="H75" s="70" t="s">
        <v>50</v>
      </c>
      <c r="I75" s="70" t="s">
        <v>51</v>
      </c>
      <c r="J75" s="71"/>
      <c r="K75" s="72">
        <v>45041</v>
      </c>
      <c r="L75" s="70"/>
      <c r="M75" s="70"/>
      <c r="N75" s="70"/>
      <c r="O75" s="70"/>
      <c r="P75" s="73">
        <v>401768</v>
      </c>
    </row>
    <row r="76" spans="1:16" ht="25.25" customHeight="1" x14ac:dyDescent="0.3">
      <c r="A76" s="7" t="s">
        <v>72</v>
      </c>
      <c r="B76" s="24" t="s">
        <v>73</v>
      </c>
      <c r="C76" s="8" t="s">
        <v>74</v>
      </c>
      <c r="D76" s="8" t="s">
        <v>19</v>
      </c>
      <c r="E76" s="8" t="s">
        <v>20</v>
      </c>
      <c r="F76" s="8" t="s">
        <v>22</v>
      </c>
      <c r="G76" s="11" t="s">
        <v>22</v>
      </c>
      <c r="H76" s="8" t="s">
        <v>75</v>
      </c>
      <c r="I76" s="8" t="s">
        <v>71</v>
      </c>
      <c r="J76" s="9">
        <v>44271</v>
      </c>
      <c r="K76" s="9">
        <v>44292</v>
      </c>
      <c r="L76" s="8">
        <v>144</v>
      </c>
      <c r="M76" s="8"/>
      <c r="N76" s="8"/>
      <c r="O76" s="8"/>
      <c r="P76" s="5">
        <v>401768</v>
      </c>
    </row>
    <row r="77" spans="1:16" ht="25.25" customHeight="1" x14ac:dyDescent="0.3">
      <c r="A77" s="7" t="s">
        <v>76</v>
      </c>
      <c r="B77" s="24" t="s">
        <v>77</v>
      </c>
      <c r="C77" s="8" t="s">
        <v>78</v>
      </c>
      <c r="D77" s="8" t="s">
        <v>46</v>
      </c>
      <c r="E77" s="8" t="s">
        <v>47</v>
      </c>
      <c r="F77" s="17" t="s">
        <v>79</v>
      </c>
      <c r="G77" s="17" t="s">
        <v>79</v>
      </c>
      <c r="H77" s="17" t="s">
        <v>80</v>
      </c>
      <c r="I77" s="17" t="s">
        <v>47</v>
      </c>
      <c r="J77" s="17"/>
      <c r="K77" s="9">
        <v>41143</v>
      </c>
      <c r="L77" s="17">
        <v>0.2</v>
      </c>
      <c r="M77" s="17">
        <v>0.06</v>
      </c>
      <c r="N77" s="17">
        <v>0</v>
      </c>
      <c r="O77" s="17">
        <v>0</v>
      </c>
      <c r="P77" s="5">
        <v>401768</v>
      </c>
    </row>
    <row r="78" spans="1:16" ht="25.25" customHeight="1" x14ac:dyDescent="0.3">
      <c r="A78" s="7" t="s">
        <v>81</v>
      </c>
      <c r="B78" s="24" t="s">
        <v>82</v>
      </c>
      <c r="C78" s="8" t="s">
        <v>83</v>
      </c>
      <c r="D78" s="8" t="s">
        <v>26</v>
      </c>
      <c r="E78" s="8" t="s">
        <v>20</v>
      </c>
      <c r="F78" s="8" t="s">
        <v>21</v>
      </c>
      <c r="G78" s="11" t="s">
        <v>22</v>
      </c>
      <c r="H78" s="8" t="s">
        <v>33</v>
      </c>
      <c r="I78" s="8" t="s">
        <v>27</v>
      </c>
      <c r="J78" s="9">
        <v>38215</v>
      </c>
      <c r="K78" s="9">
        <v>43944</v>
      </c>
      <c r="L78" s="8">
        <v>148</v>
      </c>
      <c r="M78" s="8"/>
      <c r="N78" s="8"/>
      <c r="O78" s="8"/>
      <c r="P78" s="13">
        <v>51120</v>
      </c>
    </row>
    <row r="79" spans="1:16" ht="25.25" customHeight="1" x14ac:dyDescent="0.3">
      <c r="A79" s="6" t="s">
        <v>84</v>
      </c>
      <c r="B79" s="90" t="s">
        <v>85</v>
      </c>
      <c r="C79" s="6" t="s">
        <v>86</v>
      </c>
      <c r="D79" s="6" t="s">
        <v>19</v>
      </c>
      <c r="E79" s="6" t="s">
        <v>20</v>
      </c>
      <c r="F79" s="6" t="s">
        <v>21</v>
      </c>
      <c r="G79" s="11" t="s">
        <v>22</v>
      </c>
      <c r="H79" s="6" t="s">
        <v>87</v>
      </c>
      <c r="I79" s="6" t="s">
        <v>27</v>
      </c>
      <c r="J79" s="14">
        <v>42102</v>
      </c>
      <c r="K79" s="14">
        <v>42165</v>
      </c>
      <c r="L79" s="6">
        <v>53.3</v>
      </c>
      <c r="M79" s="6">
        <v>0</v>
      </c>
      <c r="N79" s="6">
        <v>18.02</v>
      </c>
      <c r="O79" s="6">
        <v>0</v>
      </c>
      <c r="P79" s="5">
        <v>401768</v>
      </c>
    </row>
    <row r="80" spans="1:16" ht="25.25" customHeight="1" x14ac:dyDescent="0.3">
      <c r="A80" s="6" t="s">
        <v>84</v>
      </c>
      <c r="B80" s="90" t="s">
        <v>88</v>
      </c>
      <c r="C80" s="6" t="s">
        <v>89</v>
      </c>
      <c r="D80" s="6" t="s">
        <v>19</v>
      </c>
      <c r="E80" s="6" t="s">
        <v>20</v>
      </c>
      <c r="F80" s="6" t="s">
        <v>21</v>
      </c>
      <c r="G80" s="11" t="s">
        <v>22</v>
      </c>
      <c r="H80" s="6" t="s">
        <v>87</v>
      </c>
      <c r="I80" s="6" t="s">
        <v>27</v>
      </c>
      <c r="J80" s="14">
        <v>42102</v>
      </c>
      <c r="K80" s="14">
        <v>42165</v>
      </c>
      <c r="L80" s="15">
        <v>321.14999999999998</v>
      </c>
      <c r="M80" s="6">
        <v>0</v>
      </c>
      <c r="N80" s="16">
        <v>140.5</v>
      </c>
      <c r="O80" s="6">
        <v>0</v>
      </c>
      <c r="P80" s="5">
        <v>401768</v>
      </c>
    </row>
    <row r="81" spans="1:16" ht="25.25" customHeight="1" x14ac:dyDescent="0.3">
      <c r="A81" s="7" t="s">
        <v>90</v>
      </c>
      <c r="B81" s="24" t="s">
        <v>91</v>
      </c>
      <c r="C81" s="8" t="s">
        <v>92</v>
      </c>
      <c r="D81" s="8" t="s">
        <v>19</v>
      </c>
      <c r="E81" s="8" t="s">
        <v>20</v>
      </c>
      <c r="F81" s="8" t="s">
        <v>22</v>
      </c>
      <c r="G81" s="11" t="s">
        <v>22</v>
      </c>
      <c r="H81" s="8" t="s">
        <v>93</v>
      </c>
      <c r="I81" s="8" t="s">
        <v>94</v>
      </c>
      <c r="J81" s="9">
        <v>44606</v>
      </c>
      <c r="K81" s="9">
        <v>44623</v>
      </c>
      <c r="L81" s="8">
        <v>207.17</v>
      </c>
      <c r="M81" s="8">
        <v>0</v>
      </c>
      <c r="N81" s="8">
        <v>0</v>
      </c>
      <c r="O81" s="8">
        <v>0</v>
      </c>
      <c r="P81" s="5">
        <v>401768</v>
      </c>
    </row>
    <row r="82" spans="1:16" ht="25.25" customHeight="1" x14ac:dyDescent="0.3">
      <c r="A82" s="7" t="s">
        <v>90</v>
      </c>
      <c r="B82" s="24" t="s">
        <v>91</v>
      </c>
      <c r="C82" s="8" t="s">
        <v>95</v>
      </c>
      <c r="D82" s="8" t="s">
        <v>19</v>
      </c>
      <c r="E82" s="8" t="s">
        <v>20</v>
      </c>
      <c r="F82" s="8" t="s">
        <v>22</v>
      </c>
      <c r="G82" s="11" t="s">
        <v>22</v>
      </c>
      <c r="H82" s="8" t="s">
        <v>96</v>
      </c>
      <c r="I82" s="8" t="s">
        <v>94</v>
      </c>
      <c r="J82" s="9">
        <v>44606</v>
      </c>
      <c r="K82" s="9">
        <v>44623</v>
      </c>
      <c r="L82" s="8">
        <v>207.17</v>
      </c>
      <c r="M82" s="8">
        <v>0</v>
      </c>
      <c r="N82" s="8">
        <v>0</v>
      </c>
      <c r="O82" s="8">
        <v>0</v>
      </c>
      <c r="P82" s="5">
        <v>401768</v>
      </c>
    </row>
    <row r="83" spans="1:16" ht="25.25" customHeight="1" x14ac:dyDescent="0.3">
      <c r="A83" s="7" t="s">
        <v>97</v>
      </c>
      <c r="B83" s="24" t="s">
        <v>98</v>
      </c>
      <c r="C83" s="8" t="s">
        <v>99</v>
      </c>
      <c r="D83" s="6" t="s">
        <v>100</v>
      </c>
      <c r="E83" s="8" t="s">
        <v>20</v>
      </c>
      <c r="F83" s="8" t="s">
        <v>22</v>
      </c>
      <c r="G83" s="11" t="s">
        <v>22</v>
      </c>
      <c r="H83" s="8" t="s">
        <v>101</v>
      </c>
      <c r="I83" s="8" t="s">
        <v>27</v>
      </c>
      <c r="J83" s="17"/>
      <c r="K83" s="9">
        <v>44972</v>
      </c>
      <c r="L83" s="26">
        <v>0.15</v>
      </c>
      <c r="M83" s="8"/>
      <c r="N83" s="8"/>
      <c r="O83" s="8"/>
      <c r="P83" s="9">
        <v>401768</v>
      </c>
    </row>
    <row r="84" spans="1:16" ht="25.25" customHeight="1" x14ac:dyDescent="0.3">
      <c r="A84" s="7" t="s">
        <v>117</v>
      </c>
      <c r="B84" s="24" t="s">
        <v>118</v>
      </c>
      <c r="C84" s="8"/>
      <c r="D84" s="8" t="s">
        <v>46</v>
      </c>
      <c r="E84" s="8" t="s">
        <v>47</v>
      </c>
      <c r="F84" s="8" t="s">
        <v>79</v>
      </c>
      <c r="G84" s="8" t="s">
        <v>79</v>
      </c>
      <c r="H84" s="8" t="s">
        <v>119</v>
      </c>
      <c r="I84" s="8" t="s">
        <v>47</v>
      </c>
      <c r="J84" s="17"/>
      <c r="K84" s="9">
        <v>44606</v>
      </c>
      <c r="L84" s="8"/>
      <c r="M84" s="8"/>
      <c r="N84" s="8"/>
      <c r="O84" s="8"/>
      <c r="P84" s="9">
        <v>401768</v>
      </c>
    </row>
    <row r="85" spans="1:16" ht="25.25" customHeight="1" x14ac:dyDescent="0.3">
      <c r="A85" s="7" t="s">
        <v>117</v>
      </c>
      <c r="B85" s="24" t="s">
        <v>120</v>
      </c>
      <c r="C85" s="8"/>
      <c r="D85" s="8" t="s">
        <v>46</v>
      </c>
      <c r="E85" s="8" t="s">
        <v>47</v>
      </c>
      <c r="F85" s="8" t="s">
        <v>79</v>
      </c>
      <c r="G85" s="8" t="s">
        <v>79</v>
      </c>
      <c r="H85" s="8" t="s">
        <v>119</v>
      </c>
      <c r="I85" s="8" t="s">
        <v>47</v>
      </c>
      <c r="J85" s="9">
        <v>44606</v>
      </c>
      <c r="K85" s="9">
        <v>44606</v>
      </c>
      <c r="L85" s="8">
        <v>50</v>
      </c>
      <c r="M85" s="8">
        <v>50</v>
      </c>
      <c r="N85" s="8"/>
      <c r="O85" s="8"/>
      <c r="P85" s="9">
        <v>401768</v>
      </c>
    </row>
    <row r="86" spans="1:16" ht="25.25" customHeight="1" x14ac:dyDescent="0.3">
      <c r="A86" s="7" t="s">
        <v>117</v>
      </c>
      <c r="B86" s="24" t="s">
        <v>121</v>
      </c>
      <c r="C86" s="8"/>
      <c r="D86" s="8" t="s">
        <v>46</v>
      </c>
      <c r="E86" s="8" t="s">
        <v>47</v>
      </c>
      <c r="F86" s="8" t="s">
        <v>122</v>
      </c>
      <c r="G86" s="8" t="s">
        <v>122</v>
      </c>
      <c r="H86" s="8" t="s">
        <v>123</v>
      </c>
      <c r="I86" s="8" t="s">
        <v>47</v>
      </c>
      <c r="J86" s="17"/>
      <c r="K86" s="9">
        <v>44606</v>
      </c>
      <c r="L86" s="8">
        <v>410</v>
      </c>
      <c r="M86" s="8">
        <v>410</v>
      </c>
      <c r="N86" s="8"/>
      <c r="O86" s="8"/>
      <c r="P86" s="9">
        <v>401768</v>
      </c>
    </row>
    <row r="87" spans="1:16" ht="25.25" customHeight="1" x14ac:dyDescent="0.3">
      <c r="A87" s="7" t="s">
        <v>117</v>
      </c>
      <c r="B87" s="24" t="s">
        <v>124</v>
      </c>
      <c r="C87" s="8"/>
      <c r="D87" s="8" t="s">
        <v>46</v>
      </c>
      <c r="E87" s="8" t="s">
        <v>47</v>
      </c>
      <c r="F87" s="8" t="s">
        <v>122</v>
      </c>
      <c r="G87" s="8" t="s">
        <v>122</v>
      </c>
      <c r="H87" s="8" t="s">
        <v>123</v>
      </c>
      <c r="I87" s="8" t="s">
        <v>47</v>
      </c>
      <c r="J87" s="17"/>
      <c r="K87" s="9">
        <v>44635</v>
      </c>
      <c r="L87" s="8">
        <v>50</v>
      </c>
      <c r="M87" s="8">
        <v>50</v>
      </c>
      <c r="N87" s="8"/>
      <c r="O87" s="8"/>
      <c r="P87" s="9">
        <v>401768</v>
      </c>
    </row>
    <row r="88" spans="1:16" ht="25.25" customHeight="1" x14ac:dyDescent="0.3">
      <c r="A88" s="7" t="s">
        <v>117</v>
      </c>
      <c r="B88" s="24" t="s">
        <v>125</v>
      </c>
      <c r="C88" s="8"/>
      <c r="D88" s="8" t="s">
        <v>46</v>
      </c>
      <c r="E88" s="8" t="s">
        <v>47</v>
      </c>
      <c r="F88" s="8" t="s">
        <v>122</v>
      </c>
      <c r="G88" s="8" t="s">
        <v>122</v>
      </c>
      <c r="H88" s="8" t="s">
        <v>123</v>
      </c>
      <c r="I88" s="8" t="s">
        <v>47</v>
      </c>
      <c r="J88" s="17"/>
      <c r="K88" s="9">
        <v>44635</v>
      </c>
      <c r="L88" s="8">
        <v>150</v>
      </c>
      <c r="M88" s="8">
        <v>150</v>
      </c>
      <c r="N88" s="8"/>
      <c r="O88" s="8"/>
      <c r="P88" s="9">
        <v>401768</v>
      </c>
    </row>
    <row r="89" spans="1:16" ht="25.25" customHeight="1" x14ac:dyDescent="0.3">
      <c r="A89" s="7" t="s">
        <v>117</v>
      </c>
      <c r="B89" s="24" t="s">
        <v>126</v>
      </c>
      <c r="C89" s="8"/>
      <c r="D89" s="8" t="s">
        <v>46</v>
      </c>
      <c r="E89" s="8" t="s">
        <v>47</v>
      </c>
      <c r="F89" s="8" t="s">
        <v>79</v>
      </c>
      <c r="G89" s="8" t="s">
        <v>79</v>
      </c>
      <c r="H89" s="8" t="s">
        <v>119</v>
      </c>
      <c r="I89" s="8" t="s">
        <v>47</v>
      </c>
      <c r="J89" s="17"/>
      <c r="K89" s="9">
        <v>44594</v>
      </c>
      <c r="L89" s="8">
        <v>30</v>
      </c>
      <c r="M89" s="8">
        <v>30</v>
      </c>
      <c r="N89" s="8"/>
      <c r="O89" s="8"/>
      <c r="P89" s="9">
        <v>401768</v>
      </c>
    </row>
    <row r="90" spans="1:16" ht="25.25" customHeight="1" x14ac:dyDescent="0.3">
      <c r="A90" s="7" t="s">
        <v>117</v>
      </c>
      <c r="B90" s="24" t="s">
        <v>127</v>
      </c>
      <c r="C90" s="8"/>
      <c r="D90" s="8" t="s">
        <v>46</v>
      </c>
      <c r="E90" s="8" t="s">
        <v>47</v>
      </c>
      <c r="F90" s="8" t="s">
        <v>79</v>
      </c>
      <c r="G90" s="8" t="s">
        <v>79</v>
      </c>
      <c r="H90" s="8" t="s">
        <v>119</v>
      </c>
      <c r="I90" s="8" t="s">
        <v>47</v>
      </c>
      <c r="J90" s="17"/>
      <c r="K90" s="9">
        <v>43647</v>
      </c>
      <c r="L90" s="8">
        <v>330</v>
      </c>
      <c r="M90" s="8">
        <v>330</v>
      </c>
      <c r="N90" s="8"/>
      <c r="O90" s="8"/>
      <c r="P90" s="9">
        <v>401768</v>
      </c>
    </row>
    <row r="91" spans="1:16" ht="25.25" customHeight="1" x14ac:dyDescent="0.3">
      <c r="A91" s="7" t="s">
        <v>117</v>
      </c>
      <c r="B91" s="24" t="s">
        <v>128</v>
      </c>
      <c r="C91" s="8"/>
      <c r="D91" s="8" t="s">
        <v>46</v>
      </c>
      <c r="E91" s="8" t="s">
        <v>47</v>
      </c>
      <c r="F91" s="8" t="s">
        <v>122</v>
      </c>
      <c r="G91" s="8" t="s">
        <v>122</v>
      </c>
      <c r="H91" s="8" t="s">
        <v>129</v>
      </c>
      <c r="I91" s="8" t="s">
        <v>47</v>
      </c>
      <c r="J91" s="17"/>
      <c r="K91" s="9">
        <v>45299</v>
      </c>
      <c r="L91" s="8">
        <v>140</v>
      </c>
      <c r="M91" s="8">
        <v>0</v>
      </c>
      <c r="N91" s="8"/>
      <c r="O91" s="8"/>
      <c r="P91" s="9">
        <v>401768</v>
      </c>
    </row>
    <row r="92" spans="1:16" ht="25.25" customHeight="1" x14ac:dyDescent="0.3">
      <c r="A92" s="7" t="s">
        <v>117</v>
      </c>
      <c r="B92" s="24" t="s">
        <v>130</v>
      </c>
      <c r="C92" s="8"/>
      <c r="D92" s="8" t="s">
        <v>46</v>
      </c>
      <c r="E92" s="8" t="s">
        <v>47</v>
      </c>
      <c r="F92" s="8" t="s">
        <v>122</v>
      </c>
      <c r="G92" s="8" t="s">
        <v>122</v>
      </c>
      <c r="H92" s="8" t="s">
        <v>123</v>
      </c>
      <c r="I92" s="8" t="s">
        <v>47</v>
      </c>
      <c r="J92" s="17"/>
      <c r="K92" s="9">
        <v>44635</v>
      </c>
      <c r="L92" s="8">
        <v>20</v>
      </c>
      <c r="M92" s="8">
        <v>20</v>
      </c>
      <c r="N92" s="8"/>
      <c r="O92" s="8"/>
      <c r="P92" s="9">
        <v>401768</v>
      </c>
    </row>
    <row r="93" spans="1:16" ht="25.25" customHeight="1" x14ac:dyDescent="0.3">
      <c r="A93" s="7" t="s">
        <v>117</v>
      </c>
      <c r="B93" s="24" t="s">
        <v>131</v>
      </c>
      <c r="C93" s="8"/>
      <c r="D93" s="8" t="s">
        <v>46</v>
      </c>
      <c r="E93" s="8" t="s">
        <v>47</v>
      </c>
      <c r="F93" s="8" t="s">
        <v>122</v>
      </c>
      <c r="G93" s="8" t="s">
        <v>122</v>
      </c>
      <c r="H93" s="8" t="s">
        <v>123</v>
      </c>
      <c r="I93" s="8" t="s">
        <v>47</v>
      </c>
      <c r="J93" s="17"/>
      <c r="K93" s="9">
        <v>43986</v>
      </c>
      <c r="L93" s="8">
        <v>15</v>
      </c>
      <c r="M93" s="8">
        <v>15</v>
      </c>
      <c r="N93" s="8"/>
      <c r="O93" s="8"/>
      <c r="P93" s="9">
        <v>401768</v>
      </c>
    </row>
    <row r="94" spans="1:16" ht="25.25" customHeight="1" x14ac:dyDescent="0.3">
      <c r="A94" s="7" t="s">
        <v>117</v>
      </c>
      <c r="B94" s="24" t="s">
        <v>132</v>
      </c>
      <c r="C94" s="8"/>
      <c r="D94" s="8" t="s">
        <v>46</v>
      </c>
      <c r="E94" s="8" t="s">
        <v>47</v>
      </c>
      <c r="F94" s="8" t="s">
        <v>122</v>
      </c>
      <c r="G94" s="8" t="s">
        <v>122</v>
      </c>
      <c r="H94" s="8" t="s">
        <v>133</v>
      </c>
      <c r="I94" s="8" t="s">
        <v>20</v>
      </c>
      <c r="J94" s="17"/>
      <c r="K94" s="9">
        <v>43520</v>
      </c>
      <c r="L94" s="8">
        <v>1150</v>
      </c>
      <c r="M94" s="8">
        <v>0</v>
      </c>
      <c r="N94" s="8"/>
      <c r="O94" s="8"/>
      <c r="P94" s="9">
        <v>401768</v>
      </c>
    </row>
    <row r="95" spans="1:16" ht="25.25" customHeight="1" x14ac:dyDescent="0.3">
      <c r="A95" s="10" t="s">
        <v>141</v>
      </c>
      <c r="B95" s="90" t="s">
        <v>142</v>
      </c>
      <c r="C95" s="6" t="s">
        <v>143</v>
      </c>
      <c r="D95" s="6" t="s">
        <v>19</v>
      </c>
      <c r="E95" s="6" t="s">
        <v>144</v>
      </c>
      <c r="F95" s="6" t="s">
        <v>38</v>
      </c>
      <c r="G95" s="8" t="s">
        <v>38</v>
      </c>
      <c r="H95" s="6" t="s">
        <v>145</v>
      </c>
      <c r="I95" s="6" t="s">
        <v>144</v>
      </c>
      <c r="J95" s="14">
        <v>40737</v>
      </c>
      <c r="K95" s="14">
        <v>41613</v>
      </c>
      <c r="L95" s="6">
        <v>2645</v>
      </c>
      <c r="M95" s="6">
        <v>0</v>
      </c>
      <c r="N95" s="6">
        <v>0</v>
      </c>
      <c r="O95" s="6">
        <v>125</v>
      </c>
      <c r="P95" s="5">
        <v>401768</v>
      </c>
    </row>
    <row r="96" spans="1:16" ht="25.25" customHeight="1" x14ac:dyDescent="0.3">
      <c r="A96" s="17" t="s">
        <v>146</v>
      </c>
      <c r="B96" s="92" t="s">
        <v>147</v>
      </c>
      <c r="C96" s="17" t="s">
        <v>104</v>
      </c>
      <c r="D96" s="17" t="s">
        <v>109</v>
      </c>
      <c r="E96" s="17" t="s">
        <v>47</v>
      </c>
      <c r="F96" s="17" t="s">
        <v>79</v>
      </c>
      <c r="G96" s="17" t="s">
        <v>79</v>
      </c>
      <c r="H96" s="17" t="s">
        <v>104</v>
      </c>
      <c r="I96" s="17" t="s">
        <v>47</v>
      </c>
      <c r="J96" s="9">
        <v>39794</v>
      </c>
      <c r="K96" s="9">
        <v>39794</v>
      </c>
      <c r="L96" s="17">
        <v>8</v>
      </c>
      <c r="M96" s="17">
        <v>1</v>
      </c>
      <c r="N96" s="17">
        <v>0</v>
      </c>
      <c r="O96" s="17">
        <v>0</v>
      </c>
      <c r="P96" s="5">
        <v>401768</v>
      </c>
    </row>
    <row r="97" spans="1:16" ht="25.25" customHeight="1" x14ac:dyDescent="0.3">
      <c r="A97" s="7" t="s">
        <v>148</v>
      </c>
      <c r="B97" s="24" t="s">
        <v>149</v>
      </c>
      <c r="C97" s="8" t="s">
        <v>150</v>
      </c>
      <c r="D97" s="8" t="s">
        <v>46</v>
      </c>
      <c r="E97" s="8" t="s">
        <v>47</v>
      </c>
      <c r="F97" s="8" t="s">
        <v>151</v>
      </c>
      <c r="G97" s="8" t="s">
        <v>152</v>
      </c>
      <c r="H97" s="8" t="s">
        <v>110</v>
      </c>
      <c r="I97" s="8" t="s">
        <v>111</v>
      </c>
      <c r="J97" s="17"/>
      <c r="K97" s="9">
        <v>44811</v>
      </c>
      <c r="L97" s="8">
        <v>0.111452</v>
      </c>
      <c r="M97" s="8"/>
      <c r="N97" s="8"/>
      <c r="O97" s="8"/>
      <c r="P97" s="5">
        <v>401768</v>
      </c>
    </row>
    <row r="98" spans="1:16" ht="25.25" customHeight="1" x14ac:dyDescent="0.3">
      <c r="A98" s="7" t="s">
        <v>153</v>
      </c>
      <c r="B98" s="24" t="s">
        <v>154</v>
      </c>
      <c r="C98" s="8" t="s">
        <v>119</v>
      </c>
      <c r="D98" s="8" t="s">
        <v>46</v>
      </c>
      <c r="E98" s="8" t="s">
        <v>47</v>
      </c>
      <c r="F98" s="8" t="s">
        <v>79</v>
      </c>
      <c r="G98" s="8" t="s">
        <v>79</v>
      </c>
      <c r="H98" s="8" t="s">
        <v>119</v>
      </c>
      <c r="I98" s="8" t="s">
        <v>47</v>
      </c>
      <c r="J98" s="17"/>
      <c r="K98" s="9">
        <v>44882</v>
      </c>
      <c r="L98" s="8">
        <v>0.51</v>
      </c>
      <c r="M98" s="8">
        <v>0.34</v>
      </c>
      <c r="N98" s="8"/>
      <c r="O98" s="8"/>
      <c r="P98" s="5"/>
    </row>
    <row r="99" spans="1:16" ht="25.25" customHeight="1" x14ac:dyDescent="0.3">
      <c r="A99" s="7" t="s">
        <v>174</v>
      </c>
      <c r="B99" s="24" t="s">
        <v>175</v>
      </c>
      <c r="C99" s="8" t="s">
        <v>176</v>
      </c>
      <c r="D99" s="8" t="s">
        <v>19</v>
      </c>
      <c r="E99" s="8" t="s">
        <v>20</v>
      </c>
      <c r="F99" s="8" t="s">
        <v>22</v>
      </c>
      <c r="G99" s="11" t="s">
        <v>22</v>
      </c>
      <c r="H99" s="8" t="s">
        <v>177</v>
      </c>
      <c r="I99" s="8" t="s">
        <v>20</v>
      </c>
      <c r="J99" s="9">
        <v>44781</v>
      </c>
      <c r="K99" s="9">
        <v>44792</v>
      </c>
      <c r="L99" s="8">
        <v>180</v>
      </c>
      <c r="M99" s="8"/>
      <c r="N99" s="8"/>
      <c r="O99" s="8"/>
      <c r="P99" s="5">
        <v>401768</v>
      </c>
    </row>
    <row r="100" spans="1:16" ht="25.25" customHeight="1" x14ac:dyDescent="0.3">
      <c r="A100" s="7" t="s">
        <v>183</v>
      </c>
      <c r="B100" s="24" t="s">
        <v>184</v>
      </c>
      <c r="C100" s="8" t="s">
        <v>185</v>
      </c>
      <c r="D100" s="8" t="s">
        <v>19</v>
      </c>
      <c r="E100" s="8" t="s">
        <v>20</v>
      </c>
      <c r="F100" s="8" t="s">
        <v>21</v>
      </c>
      <c r="G100" s="11" t="s">
        <v>22</v>
      </c>
      <c r="H100" s="8" t="s">
        <v>186</v>
      </c>
      <c r="I100" s="8" t="s">
        <v>27</v>
      </c>
      <c r="J100" s="9">
        <v>40128</v>
      </c>
      <c r="K100" s="9">
        <v>40128</v>
      </c>
      <c r="L100" s="8">
        <v>103</v>
      </c>
      <c r="M100" s="8">
        <v>0</v>
      </c>
      <c r="N100" s="8">
        <v>45</v>
      </c>
      <c r="O100" s="8">
        <v>0</v>
      </c>
      <c r="P100" s="5">
        <v>401768</v>
      </c>
    </row>
    <row r="101" spans="1:16" ht="25.25" customHeight="1" x14ac:dyDescent="0.3">
      <c r="A101" s="10" t="s">
        <v>193</v>
      </c>
      <c r="B101" s="90">
        <v>2208</v>
      </c>
      <c r="C101" s="6" t="s">
        <v>27</v>
      </c>
      <c r="D101" s="6" t="s">
        <v>19</v>
      </c>
      <c r="E101" s="6" t="s">
        <v>20</v>
      </c>
      <c r="F101" s="6" t="s">
        <v>194</v>
      </c>
      <c r="G101" s="6" t="s">
        <v>194</v>
      </c>
      <c r="H101" s="6" t="s">
        <v>195</v>
      </c>
      <c r="I101" s="6" t="s">
        <v>27</v>
      </c>
      <c r="J101" s="14">
        <v>45416</v>
      </c>
      <c r="K101" s="14">
        <v>43256</v>
      </c>
      <c r="L101" s="6">
        <v>2200</v>
      </c>
      <c r="M101" s="6">
        <v>1650</v>
      </c>
      <c r="N101" s="6">
        <v>550</v>
      </c>
      <c r="O101" s="6">
        <v>0</v>
      </c>
      <c r="P101" s="5">
        <v>401768</v>
      </c>
    </row>
    <row r="102" spans="1:16" ht="25.25" customHeight="1" x14ac:dyDescent="0.3">
      <c r="A102" s="10" t="s">
        <v>193</v>
      </c>
      <c r="B102" s="92"/>
      <c r="C102" s="17"/>
      <c r="D102" s="17" t="s">
        <v>19</v>
      </c>
      <c r="E102" s="17" t="s">
        <v>20</v>
      </c>
      <c r="F102" s="17"/>
      <c r="G102" s="17" t="s">
        <v>194</v>
      </c>
      <c r="H102" s="17"/>
      <c r="I102" s="17"/>
      <c r="J102" s="17"/>
      <c r="K102" s="17"/>
      <c r="L102" s="8">
        <v>286</v>
      </c>
      <c r="M102" s="8">
        <v>0</v>
      </c>
      <c r="N102" s="8">
        <v>0</v>
      </c>
      <c r="O102" s="8">
        <v>0</v>
      </c>
      <c r="P102" s="17">
        <v>401768</v>
      </c>
    </row>
    <row r="103" spans="1:16" ht="25.25" customHeight="1" x14ac:dyDescent="0.3">
      <c r="A103" s="10" t="s">
        <v>200</v>
      </c>
      <c r="B103" s="90" t="s">
        <v>201</v>
      </c>
      <c r="C103" s="6" t="s">
        <v>133</v>
      </c>
      <c r="D103" s="6" t="s">
        <v>109</v>
      </c>
      <c r="E103" s="6" t="s">
        <v>20</v>
      </c>
      <c r="F103" s="6" t="s">
        <v>22</v>
      </c>
      <c r="G103" s="11" t="s">
        <v>22</v>
      </c>
      <c r="H103" s="6" t="s">
        <v>43</v>
      </c>
      <c r="I103" s="6" t="s">
        <v>20</v>
      </c>
      <c r="J103" s="12">
        <v>42565</v>
      </c>
      <c r="K103" s="12">
        <v>42565</v>
      </c>
      <c r="L103" s="6">
        <v>87.5</v>
      </c>
      <c r="M103" s="6">
        <v>0</v>
      </c>
      <c r="N103" s="6">
        <v>0</v>
      </c>
      <c r="O103" s="6">
        <v>0</v>
      </c>
      <c r="P103" s="5">
        <v>401768</v>
      </c>
    </row>
    <row r="104" spans="1:16" ht="25.25" customHeight="1" x14ac:dyDescent="0.3">
      <c r="A104" s="7" t="s">
        <v>211</v>
      </c>
      <c r="B104" s="24" t="s">
        <v>212</v>
      </c>
      <c r="C104" s="8" t="s">
        <v>119</v>
      </c>
      <c r="D104" s="8" t="s">
        <v>46</v>
      </c>
      <c r="E104" s="8" t="s">
        <v>47</v>
      </c>
      <c r="F104" s="8" t="s">
        <v>79</v>
      </c>
      <c r="G104" s="8" t="s">
        <v>79</v>
      </c>
      <c r="H104" s="8" t="s">
        <v>110</v>
      </c>
      <c r="I104" s="8" t="s">
        <v>111</v>
      </c>
      <c r="J104" s="17"/>
      <c r="K104" s="9">
        <v>43470</v>
      </c>
      <c r="L104" s="26">
        <v>0.17</v>
      </c>
      <c r="M104" s="8">
        <v>0.42</v>
      </c>
      <c r="N104" s="8"/>
      <c r="O104" s="8"/>
      <c r="P104" s="5">
        <v>401768</v>
      </c>
    </row>
    <row r="105" spans="1:16" ht="25.25" customHeight="1" x14ac:dyDescent="0.3">
      <c r="A105" s="6" t="s">
        <v>220</v>
      </c>
      <c r="B105" s="90">
        <v>11839</v>
      </c>
      <c r="C105" s="6" t="s">
        <v>221</v>
      </c>
      <c r="D105" s="6" t="s">
        <v>19</v>
      </c>
      <c r="E105" s="6" t="s">
        <v>20</v>
      </c>
      <c r="F105" s="6" t="s">
        <v>22</v>
      </c>
      <c r="G105" s="11" t="s">
        <v>22</v>
      </c>
      <c r="H105" s="6" t="s">
        <v>222</v>
      </c>
      <c r="I105" s="6" t="s">
        <v>27</v>
      </c>
      <c r="J105" s="14">
        <v>43994</v>
      </c>
      <c r="K105" s="14">
        <v>44028</v>
      </c>
      <c r="L105" s="6">
        <v>9.1999999999999993</v>
      </c>
      <c r="M105" s="6">
        <v>0</v>
      </c>
      <c r="N105" s="6">
        <v>0</v>
      </c>
      <c r="O105" s="6">
        <v>0</v>
      </c>
      <c r="P105" s="5">
        <v>401768</v>
      </c>
    </row>
    <row r="106" spans="1:16" ht="25.25" customHeight="1" x14ac:dyDescent="0.3">
      <c r="A106" s="6" t="s">
        <v>220</v>
      </c>
      <c r="B106" s="90">
        <v>5598</v>
      </c>
      <c r="C106" s="6" t="s">
        <v>223</v>
      </c>
      <c r="D106" s="6" t="s">
        <v>100</v>
      </c>
      <c r="E106" s="6" t="s">
        <v>20</v>
      </c>
      <c r="F106" s="6" t="s">
        <v>22</v>
      </c>
      <c r="G106" s="11" t="s">
        <v>22</v>
      </c>
      <c r="H106" s="6" t="s">
        <v>222</v>
      </c>
      <c r="I106" s="6" t="s">
        <v>27</v>
      </c>
      <c r="J106" s="14">
        <v>43994</v>
      </c>
      <c r="K106" s="14">
        <v>45008</v>
      </c>
      <c r="L106" s="6">
        <v>0.39</v>
      </c>
      <c r="M106" s="6">
        <v>0</v>
      </c>
      <c r="N106" s="6">
        <v>2.7E-2</v>
      </c>
      <c r="O106" s="6">
        <v>0</v>
      </c>
      <c r="P106" s="5">
        <v>401768</v>
      </c>
    </row>
    <row r="107" spans="1:16" ht="25.25" customHeight="1" x14ac:dyDescent="0.3">
      <c r="A107" s="6" t="s">
        <v>220</v>
      </c>
      <c r="B107" s="90">
        <v>5596</v>
      </c>
      <c r="C107" s="6" t="s">
        <v>224</v>
      </c>
      <c r="D107" s="6" t="s">
        <v>19</v>
      </c>
      <c r="E107" s="6" t="s">
        <v>20</v>
      </c>
      <c r="F107" s="6" t="s">
        <v>22</v>
      </c>
      <c r="G107" s="11" t="s">
        <v>22</v>
      </c>
      <c r="H107" s="6" t="s">
        <v>222</v>
      </c>
      <c r="I107" s="6" t="s">
        <v>27</v>
      </c>
      <c r="J107" s="14">
        <v>43994</v>
      </c>
      <c r="K107" s="14">
        <v>44991</v>
      </c>
      <c r="L107" s="6">
        <v>0.49</v>
      </c>
      <c r="M107" s="6">
        <v>0.02</v>
      </c>
      <c r="N107" s="6">
        <v>0</v>
      </c>
      <c r="O107" s="6">
        <v>0.01</v>
      </c>
      <c r="P107" s="5">
        <v>401768</v>
      </c>
    </row>
    <row r="108" spans="1:16" ht="25.25" customHeight="1" x14ac:dyDescent="0.3">
      <c r="A108" s="10" t="s">
        <v>225</v>
      </c>
      <c r="B108" s="90" t="s">
        <v>226</v>
      </c>
      <c r="C108" s="6" t="s">
        <v>203</v>
      </c>
      <c r="D108" s="6" t="s">
        <v>109</v>
      </c>
      <c r="E108" s="6" t="s">
        <v>47</v>
      </c>
      <c r="F108" s="6" t="s">
        <v>204</v>
      </c>
      <c r="G108" s="6" t="s">
        <v>204</v>
      </c>
      <c r="H108" s="6" t="s">
        <v>227</v>
      </c>
      <c r="I108" s="6" t="s">
        <v>47</v>
      </c>
      <c r="J108" s="14">
        <v>35941</v>
      </c>
      <c r="K108" s="14">
        <v>36574</v>
      </c>
      <c r="L108" s="18">
        <v>2.1579000000000002</v>
      </c>
      <c r="M108" s="19">
        <v>0.19800000000000001</v>
      </c>
      <c r="N108" s="6">
        <v>0</v>
      </c>
      <c r="O108" s="19">
        <v>0.104</v>
      </c>
      <c r="P108" s="5">
        <v>401768</v>
      </c>
    </row>
    <row r="109" spans="1:16" ht="25.25" customHeight="1" x14ac:dyDescent="0.3">
      <c r="A109" s="7" t="s">
        <v>237</v>
      </c>
      <c r="B109" s="24" t="s">
        <v>238</v>
      </c>
      <c r="C109" s="8" t="s">
        <v>239</v>
      </c>
      <c r="D109" s="8" t="s">
        <v>230</v>
      </c>
      <c r="E109" s="8" t="s">
        <v>20</v>
      </c>
      <c r="F109" s="8" t="s">
        <v>22</v>
      </c>
      <c r="G109" s="11" t="s">
        <v>22</v>
      </c>
      <c r="H109" s="8" t="s">
        <v>27</v>
      </c>
      <c r="I109" s="8" t="s">
        <v>27</v>
      </c>
      <c r="J109" s="17"/>
      <c r="K109" s="9">
        <v>40935</v>
      </c>
      <c r="L109" s="8">
        <v>5</v>
      </c>
      <c r="M109" s="26">
        <v>2.5</v>
      </c>
      <c r="N109" s="8">
        <v>0</v>
      </c>
      <c r="O109" s="26">
        <v>1.5</v>
      </c>
      <c r="P109" s="9">
        <v>401768</v>
      </c>
    </row>
    <row r="111" spans="1:16" ht="25.25" customHeight="1" x14ac:dyDescent="0.3">
      <c r="A111" s="7" t="s">
        <v>269</v>
      </c>
      <c r="B111" s="91" t="s">
        <v>270</v>
      </c>
      <c r="C111" s="8" t="s">
        <v>271</v>
      </c>
      <c r="D111" s="8" t="s">
        <v>46</v>
      </c>
      <c r="E111" s="8" t="s">
        <v>47</v>
      </c>
      <c r="F111" s="8" t="s">
        <v>49</v>
      </c>
      <c r="G111" s="8" t="s">
        <v>49</v>
      </c>
      <c r="H111" s="8" t="s">
        <v>162</v>
      </c>
      <c r="I111" s="8" t="s">
        <v>51</v>
      </c>
      <c r="J111" s="17"/>
      <c r="K111" s="9">
        <v>43195</v>
      </c>
      <c r="L111" s="8">
        <v>0</v>
      </c>
      <c r="M111" s="8">
        <v>0</v>
      </c>
      <c r="N111" s="8">
        <v>0</v>
      </c>
      <c r="O111" s="8">
        <v>0</v>
      </c>
      <c r="P111" s="9">
        <v>401768</v>
      </c>
    </row>
    <row r="112" spans="1:16" ht="25.25" customHeight="1" x14ac:dyDescent="0.3">
      <c r="A112" s="7" t="s">
        <v>284</v>
      </c>
      <c r="B112" s="24" t="s">
        <v>285</v>
      </c>
      <c r="C112" s="8" t="s">
        <v>119</v>
      </c>
      <c r="D112" s="8" t="s">
        <v>46</v>
      </c>
      <c r="E112" s="8" t="s">
        <v>47</v>
      </c>
      <c r="F112" s="8" t="s">
        <v>79</v>
      </c>
      <c r="G112" s="8" t="s">
        <v>79</v>
      </c>
      <c r="H112" s="8" t="s">
        <v>286</v>
      </c>
      <c r="I112" s="8" t="s">
        <v>47</v>
      </c>
      <c r="J112" s="9"/>
      <c r="K112" s="9">
        <v>36582</v>
      </c>
      <c r="L112" s="26">
        <v>0.2</v>
      </c>
      <c r="M112" s="8">
        <v>0.15</v>
      </c>
      <c r="N112" s="8"/>
      <c r="O112" s="8"/>
      <c r="P112" s="9">
        <v>401768</v>
      </c>
    </row>
    <row r="113" spans="1:16" ht="25.25" customHeight="1" x14ac:dyDescent="0.3">
      <c r="A113" s="7" t="s">
        <v>287</v>
      </c>
      <c r="B113" s="91" t="s">
        <v>288</v>
      </c>
      <c r="C113" s="8" t="s">
        <v>289</v>
      </c>
      <c r="D113" s="8" t="s">
        <v>19</v>
      </c>
      <c r="E113" s="8" t="s">
        <v>20</v>
      </c>
      <c r="F113" s="8" t="s">
        <v>21</v>
      </c>
      <c r="G113" s="11" t="s">
        <v>22</v>
      </c>
      <c r="H113" s="8" t="s">
        <v>33</v>
      </c>
      <c r="I113" s="8" t="s">
        <v>27</v>
      </c>
      <c r="J113" s="9">
        <v>43846</v>
      </c>
      <c r="K113" s="9">
        <v>43878</v>
      </c>
      <c r="L113" s="27">
        <v>472.5</v>
      </c>
      <c r="M113" s="8">
        <v>0</v>
      </c>
      <c r="N113" s="8">
        <v>0</v>
      </c>
      <c r="O113" s="8">
        <v>0</v>
      </c>
      <c r="P113" s="9">
        <v>401768</v>
      </c>
    </row>
    <row r="114" spans="1:16" ht="25.25" customHeight="1" x14ac:dyDescent="0.3">
      <c r="A114" s="7" t="s">
        <v>297</v>
      </c>
      <c r="B114" s="24" t="s">
        <v>298</v>
      </c>
      <c r="C114" s="8" t="s">
        <v>299</v>
      </c>
      <c r="D114" s="8" t="s">
        <v>46</v>
      </c>
      <c r="E114" s="8" t="s">
        <v>47</v>
      </c>
      <c r="F114" s="8" t="s">
        <v>49</v>
      </c>
      <c r="G114" s="8" t="s">
        <v>49</v>
      </c>
      <c r="H114" s="8" t="s">
        <v>300</v>
      </c>
      <c r="I114" s="8" t="s">
        <v>51</v>
      </c>
      <c r="J114" s="9">
        <v>43175</v>
      </c>
      <c r="K114" s="9">
        <v>43207</v>
      </c>
      <c r="L114" s="8">
        <v>0</v>
      </c>
      <c r="M114" s="8">
        <v>0</v>
      </c>
      <c r="N114" s="8">
        <v>0</v>
      </c>
      <c r="O114" s="8">
        <v>0</v>
      </c>
      <c r="P114" s="9">
        <v>401768</v>
      </c>
    </row>
    <row r="115" spans="1:16" ht="25.25" customHeight="1" x14ac:dyDescent="0.3">
      <c r="A115" s="34" t="s">
        <v>303</v>
      </c>
      <c r="B115" s="93" t="s">
        <v>304</v>
      </c>
      <c r="C115" s="8" t="s">
        <v>305</v>
      </c>
      <c r="D115" s="34" t="s">
        <v>109</v>
      </c>
      <c r="E115" s="34" t="s">
        <v>20</v>
      </c>
      <c r="F115" s="21" t="s">
        <v>22</v>
      </c>
      <c r="G115" s="21" t="s">
        <v>22</v>
      </c>
      <c r="H115" s="21" t="s">
        <v>186</v>
      </c>
      <c r="I115" s="21" t="s">
        <v>20</v>
      </c>
      <c r="J115" s="35">
        <v>40346</v>
      </c>
      <c r="K115" s="35">
        <v>39388</v>
      </c>
      <c r="L115" s="36">
        <v>120</v>
      </c>
      <c r="M115" s="36">
        <v>0</v>
      </c>
      <c r="N115" s="36">
        <v>0</v>
      </c>
      <c r="O115" s="36">
        <v>0</v>
      </c>
      <c r="P115" s="37">
        <v>46693</v>
      </c>
    </row>
  </sheetData>
  <autoFilter ref="A1:P70" xr:uid="{00000000-0009-0000-0000-000000000000}">
    <filterColumn colId="0">
      <filters>
        <filter val="SABODALA GOLD OPERATIONS"/>
      </filters>
    </filterColumn>
    <sortState xmlns:xlrd2="http://schemas.microsoft.com/office/spreadsheetml/2017/richdata2" ref="A2:P70">
      <sortCondition ref="A1:A70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30" workbookViewId="0">
      <pane ySplit="1" topLeftCell="A2" activePane="bottomLeft" state="frozen"/>
      <selection pane="bottomLeft" activeCell="B15" sqref="B15"/>
    </sheetView>
  </sheetViews>
  <sheetFormatPr baseColWidth="10" defaultColWidth="11.54296875" defaultRowHeight="14.5" x14ac:dyDescent="0.35"/>
  <cols>
    <col min="1" max="1" width="48.453125" style="100" bestFit="1" customWidth="1"/>
    <col min="2" max="2" width="21.54296875" style="100" customWidth="1"/>
    <col min="3" max="3" width="13.453125" style="100" bestFit="1" customWidth="1"/>
    <col min="4" max="4" width="21.81640625" style="100" customWidth="1"/>
    <col min="5" max="5" width="22.453125" style="100" customWidth="1"/>
    <col min="6" max="16384" width="11.54296875" style="100"/>
  </cols>
  <sheetData>
    <row r="1" spans="1:5" ht="28.75" customHeight="1" x14ac:dyDescent="0.35">
      <c r="A1" s="40" t="s">
        <v>0</v>
      </c>
      <c r="B1" s="40" t="s">
        <v>5</v>
      </c>
      <c r="C1" s="40" t="s">
        <v>336</v>
      </c>
      <c r="D1" s="40" t="s">
        <v>337</v>
      </c>
      <c r="E1" s="40" t="s">
        <v>338</v>
      </c>
    </row>
    <row r="2" spans="1:5" x14ac:dyDescent="0.35">
      <c r="A2" s="105" t="s">
        <v>106</v>
      </c>
      <c r="B2" s="105" t="s">
        <v>114</v>
      </c>
      <c r="C2" s="43">
        <v>700909</v>
      </c>
      <c r="D2" s="43">
        <v>2312999.8319999999</v>
      </c>
      <c r="E2" s="43">
        <v>700909</v>
      </c>
    </row>
    <row r="3" spans="1:5" x14ac:dyDescent="0.35">
      <c r="A3" s="105" t="s">
        <v>146</v>
      </c>
      <c r="B3" s="105" t="s">
        <v>114</v>
      </c>
      <c r="C3" s="43"/>
      <c r="D3" s="43"/>
      <c r="E3" s="43"/>
    </row>
    <row r="4" spans="1:5" x14ac:dyDescent="0.35">
      <c r="A4" s="105" t="s">
        <v>106</v>
      </c>
      <c r="B4" s="105" t="s">
        <v>79</v>
      </c>
      <c r="C4" s="43">
        <v>5041384</v>
      </c>
      <c r="D4" s="43">
        <v>10586907.155999999</v>
      </c>
      <c r="E4" s="43">
        <v>5041384</v>
      </c>
    </row>
    <row r="5" spans="1:5" x14ac:dyDescent="0.35">
      <c r="A5" s="105" t="s">
        <v>332</v>
      </c>
      <c r="B5" s="105" t="s">
        <v>79</v>
      </c>
      <c r="C5" s="43"/>
      <c r="D5" s="43"/>
      <c r="E5" s="43"/>
    </row>
    <row r="6" spans="1:5" x14ac:dyDescent="0.35">
      <c r="A6" s="105" t="s">
        <v>332</v>
      </c>
      <c r="B6" s="105" t="s">
        <v>79</v>
      </c>
      <c r="C6" s="43"/>
      <c r="D6" s="43"/>
      <c r="E6" s="43"/>
    </row>
    <row r="7" spans="1:5" x14ac:dyDescent="0.35">
      <c r="A7" s="105" t="s">
        <v>332</v>
      </c>
      <c r="B7" s="105" t="s">
        <v>79</v>
      </c>
      <c r="C7" s="43"/>
      <c r="D7" s="43"/>
      <c r="E7" s="43"/>
    </row>
    <row r="8" spans="1:5" x14ac:dyDescent="0.35">
      <c r="A8" s="105" t="s">
        <v>146</v>
      </c>
      <c r="B8" s="105" t="s">
        <v>79</v>
      </c>
      <c r="C8" s="43"/>
      <c r="D8" s="43"/>
      <c r="E8" s="43"/>
    </row>
    <row r="9" spans="1:5" x14ac:dyDescent="0.35">
      <c r="A9" s="105" t="s">
        <v>106</v>
      </c>
      <c r="B9" s="105" t="s">
        <v>339</v>
      </c>
      <c r="C9" s="43">
        <v>142142</v>
      </c>
      <c r="D9" s="43">
        <v>372426</v>
      </c>
      <c r="E9" s="43">
        <v>142142</v>
      </c>
    </row>
    <row r="10" spans="1:5" x14ac:dyDescent="0.35">
      <c r="A10" s="105" t="s">
        <v>332</v>
      </c>
      <c r="B10" s="105" t="s">
        <v>339</v>
      </c>
      <c r="C10" s="43"/>
      <c r="D10" s="43"/>
      <c r="E10" s="43"/>
    </row>
    <row r="11" spans="1:5" x14ac:dyDescent="0.35">
      <c r="A11" s="105" t="s">
        <v>146</v>
      </c>
      <c r="B11" s="105" t="s">
        <v>339</v>
      </c>
      <c r="C11" s="43"/>
      <c r="D11" s="43"/>
      <c r="E11" s="43"/>
    </row>
    <row r="12" spans="1:5" x14ac:dyDescent="0.35">
      <c r="A12" s="105" t="s">
        <v>498</v>
      </c>
      <c r="B12" s="105" t="s">
        <v>79</v>
      </c>
      <c r="C12" s="43">
        <v>189012</v>
      </c>
      <c r="D12" s="43"/>
      <c r="E12" s="43">
        <v>189012</v>
      </c>
    </row>
    <row r="13" spans="1:5" x14ac:dyDescent="0.35">
      <c r="A13" s="67" t="s">
        <v>134</v>
      </c>
      <c r="B13" s="105" t="s">
        <v>516</v>
      </c>
      <c r="C13" s="43">
        <v>1667492</v>
      </c>
      <c r="D13" s="43">
        <v>1333994</v>
      </c>
      <c r="E13" s="43">
        <v>1625813</v>
      </c>
    </row>
    <row r="14" spans="1:5" x14ac:dyDescent="0.35">
      <c r="A14" s="67" t="s">
        <v>134</v>
      </c>
      <c r="B14" s="105" t="s">
        <v>517</v>
      </c>
      <c r="C14" s="43">
        <v>257763</v>
      </c>
      <c r="D14" s="43">
        <v>231986.53899999999</v>
      </c>
      <c r="E14" s="43">
        <v>259366</v>
      </c>
    </row>
    <row r="15" spans="1:5" x14ac:dyDescent="0.35">
      <c r="A15" s="105" t="s">
        <v>340</v>
      </c>
      <c r="B15" s="105" t="s">
        <v>341</v>
      </c>
      <c r="C15" s="43"/>
      <c r="D15" s="43"/>
      <c r="E15" s="43"/>
    </row>
    <row r="16" spans="1:5" x14ac:dyDescent="0.35">
      <c r="A16" s="67" t="s">
        <v>155</v>
      </c>
      <c r="B16" s="105" t="s">
        <v>520</v>
      </c>
      <c r="C16" s="43">
        <v>2276364</v>
      </c>
      <c r="D16" s="43">
        <v>11877862.014</v>
      </c>
      <c r="E16" s="43">
        <v>2304591</v>
      </c>
    </row>
    <row r="17" spans="1:5" x14ac:dyDescent="0.35">
      <c r="A17" s="67" t="s">
        <v>155</v>
      </c>
      <c r="B17" s="105" t="s">
        <v>521</v>
      </c>
      <c r="C17" s="43">
        <v>701622</v>
      </c>
      <c r="D17" s="43">
        <v>1897581.186</v>
      </c>
      <c r="E17" s="43">
        <v>449877</v>
      </c>
    </row>
    <row r="18" spans="1:5" x14ac:dyDescent="0.35">
      <c r="A18" s="67" t="s">
        <v>328</v>
      </c>
      <c r="B18" s="105" t="s">
        <v>515</v>
      </c>
      <c r="C18" s="43">
        <v>197054</v>
      </c>
      <c r="D18" s="43">
        <v>1911000</v>
      </c>
      <c r="E18" s="43">
        <v>254800</v>
      </c>
    </row>
  </sheetData>
  <autoFilter ref="A1:E1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50"/>
  <sheetViews>
    <sheetView zoomScale="64" zoomScaleNormal="85" workbookViewId="0">
      <pane ySplit="1" topLeftCell="A2" activePane="bottomLeft" state="frozen"/>
      <selection pane="bottomLeft" activeCell="F31" sqref="F31"/>
    </sheetView>
  </sheetViews>
  <sheetFormatPr baseColWidth="10" defaultColWidth="11.54296875" defaultRowHeight="14.5" x14ac:dyDescent="0.35"/>
  <cols>
    <col min="1" max="1" width="42.54296875" style="58" customWidth="1"/>
    <col min="2" max="3" width="23.453125" style="58" customWidth="1"/>
    <col min="4" max="4" width="23.54296875" style="58" customWidth="1"/>
    <col min="5" max="5" width="31.453125" style="58" customWidth="1"/>
    <col min="6" max="9" width="23.36328125" style="58" customWidth="1"/>
    <col min="10" max="10" width="27.453125" style="58" customWidth="1"/>
    <col min="11" max="11" width="23.36328125" style="58" customWidth="1"/>
    <col min="12" max="12" width="28.36328125" style="58" customWidth="1"/>
    <col min="13" max="13" width="26.54296875" style="58" customWidth="1"/>
    <col min="14" max="15" width="23.36328125" style="58" customWidth="1"/>
    <col min="16" max="16384" width="11.54296875" style="58"/>
  </cols>
  <sheetData>
    <row r="1" spans="1:16" ht="67.25" customHeight="1" x14ac:dyDescent="0.35">
      <c r="A1" s="39" t="s">
        <v>0</v>
      </c>
      <c r="B1" s="39" t="s">
        <v>3</v>
      </c>
      <c r="C1" s="39" t="s">
        <v>6</v>
      </c>
      <c r="D1" s="40" t="s">
        <v>306</v>
      </c>
      <c r="E1" s="40" t="s">
        <v>307</v>
      </c>
      <c r="F1" s="40" t="s">
        <v>308</v>
      </c>
      <c r="G1" s="40" t="s">
        <v>309</v>
      </c>
      <c r="H1" s="40" t="s">
        <v>310</v>
      </c>
      <c r="I1" s="40" t="s">
        <v>311</v>
      </c>
      <c r="J1" s="40" t="s">
        <v>312</v>
      </c>
      <c r="K1" s="40" t="s">
        <v>313</v>
      </c>
      <c r="L1" s="40" t="s">
        <v>314</v>
      </c>
      <c r="M1" s="40" t="s">
        <v>315</v>
      </c>
      <c r="N1" s="41" t="s">
        <v>316</v>
      </c>
      <c r="O1" s="41" t="s">
        <v>317</v>
      </c>
      <c r="P1" s="98"/>
    </row>
    <row r="2" spans="1:16" ht="40.25" hidden="1" customHeight="1" x14ac:dyDescent="0.35">
      <c r="A2" s="67" t="s">
        <v>23</v>
      </c>
      <c r="B2" s="8" t="s">
        <v>26</v>
      </c>
      <c r="C2" s="8" t="s">
        <v>22</v>
      </c>
      <c r="D2" s="42">
        <v>4.773471E-2</v>
      </c>
      <c r="E2" s="42">
        <v>0</v>
      </c>
      <c r="F2" s="43">
        <v>0</v>
      </c>
      <c r="G2" s="43">
        <v>0</v>
      </c>
      <c r="H2" s="43">
        <v>0</v>
      </c>
      <c r="I2" s="43">
        <v>2100290.5019999999</v>
      </c>
      <c r="J2" s="43">
        <v>0</v>
      </c>
      <c r="K2" s="43">
        <v>0</v>
      </c>
      <c r="L2" s="43">
        <v>0</v>
      </c>
      <c r="M2" s="43">
        <v>0</v>
      </c>
      <c r="N2" s="42"/>
      <c r="O2" s="42"/>
      <c r="P2" s="99"/>
    </row>
    <row r="3" spans="1:16" ht="40.25" hidden="1" customHeight="1" x14ac:dyDescent="0.35">
      <c r="A3" s="67" t="s">
        <v>542</v>
      </c>
      <c r="B3" s="8" t="s">
        <v>46</v>
      </c>
      <c r="C3" s="8" t="s">
        <v>79</v>
      </c>
      <c r="D3" s="43">
        <v>64827</v>
      </c>
      <c r="E3" s="43">
        <v>0</v>
      </c>
      <c r="F3" s="43">
        <v>0</v>
      </c>
      <c r="G3" s="43">
        <v>0</v>
      </c>
      <c r="H3" s="43">
        <v>0</v>
      </c>
      <c r="I3" s="43">
        <v>227748</v>
      </c>
      <c r="J3" s="43">
        <v>0</v>
      </c>
      <c r="K3" s="43">
        <v>0</v>
      </c>
      <c r="L3" s="43">
        <v>0</v>
      </c>
      <c r="M3" s="43">
        <v>0</v>
      </c>
      <c r="N3" s="42"/>
      <c r="O3" s="42"/>
      <c r="P3" s="99"/>
    </row>
    <row r="4" spans="1:16" ht="40.25" hidden="1" customHeight="1" x14ac:dyDescent="0.35">
      <c r="A4" s="67" t="s">
        <v>60</v>
      </c>
      <c r="B4" s="8" t="s">
        <v>26</v>
      </c>
      <c r="C4" s="8" t="s">
        <v>38</v>
      </c>
      <c r="D4" s="42">
        <v>9898</v>
      </c>
      <c r="E4" s="42">
        <v>147335</v>
      </c>
      <c r="F4" s="43">
        <v>0</v>
      </c>
      <c r="G4" s="43">
        <v>42000</v>
      </c>
      <c r="H4" s="43">
        <v>0</v>
      </c>
      <c r="I4" s="43">
        <v>384694</v>
      </c>
      <c r="J4" s="43">
        <v>10011411</v>
      </c>
      <c r="K4" s="43">
        <v>0</v>
      </c>
      <c r="L4" s="43">
        <v>1671.192</v>
      </c>
      <c r="M4" s="43">
        <v>3097.9949999999999</v>
      </c>
      <c r="N4" s="42"/>
      <c r="O4" s="42"/>
      <c r="P4" s="99"/>
    </row>
    <row r="5" spans="1:16" ht="40.25" hidden="1" customHeight="1" x14ac:dyDescent="0.35">
      <c r="A5" s="67" t="s">
        <v>498</v>
      </c>
      <c r="B5" s="8" t="s">
        <v>26</v>
      </c>
      <c r="C5" s="8" t="s">
        <v>500</v>
      </c>
      <c r="D5" s="43">
        <f>39152.91+3736.08</f>
        <v>42888.990000000005</v>
      </c>
      <c r="E5" s="43">
        <f>905+50</f>
        <v>955</v>
      </c>
      <c r="F5" s="43">
        <v>0</v>
      </c>
      <c r="G5" s="43">
        <v>0</v>
      </c>
      <c r="H5" s="43">
        <f>3020+1638</f>
        <v>4658</v>
      </c>
      <c r="I5" s="43">
        <f>1862460.375+200267.495</f>
        <v>2062727.87</v>
      </c>
      <c r="J5" s="43">
        <f>43057.838+2349.965</f>
        <v>45407.803</v>
      </c>
      <c r="K5" s="43">
        <v>0</v>
      </c>
      <c r="L5" s="43">
        <v>0</v>
      </c>
      <c r="M5" s="43">
        <f>77932.932307+161617.997</f>
        <v>239550.92930700001</v>
      </c>
      <c r="N5" s="42"/>
      <c r="O5" s="42"/>
    </row>
    <row r="6" spans="1:16" ht="40.25" hidden="1" customHeight="1" x14ac:dyDescent="0.35">
      <c r="A6" s="67" t="s">
        <v>497</v>
      </c>
      <c r="B6" s="8" t="s">
        <v>26</v>
      </c>
      <c r="C6" s="8" t="s">
        <v>513</v>
      </c>
      <c r="D6" s="43">
        <v>0</v>
      </c>
      <c r="E6" s="43">
        <v>62456.92</v>
      </c>
      <c r="F6" s="43">
        <v>0</v>
      </c>
      <c r="G6" s="43">
        <v>0</v>
      </c>
      <c r="H6" s="43">
        <v>67951.89</v>
      </c>
      <c r="I6" s="43">
        <v>0</v>
      </c>
      <c r="J6" s="43">
        <v>2214765.6188099999</v>
      </c>
      <c r="K6" s="43">
        <v>0</v>
      </c>
      <c r="L6" s="43">
        <v>0</v>
      </c>
      <c r="M6" s="43">
        <v>2409621.05889</v>
      </c>
      <c r="N6" s="42"/>
      <c r="O6" s="42"/>
    </row>
    <row r="7" spans="1:16" ht="40.25" hidden="1" customHeight="1" x14ac:dyDescent="0.35">
      <c r="A7" s="67" t="s">
        <v>106</v>
      </c>
      <c r="B7" s="8" t="s">
        <v>109</v>
      </c>
      <c r="C7" s="8" t="s">
        <v>331</v>
      </c>
      <c r="D7" s="42">
        <v>2743854</v>
      </c>
      <c r="E7" s="42">
        <v>1517058</v>
      </c>
      <c r="F7" s="43">
        <v>4562</v>
      </c>
      <c r="G7" s="43">
        <v>36547</v>
      </c>
      <c r="H7" s="43">
        <v>74599</v>
      </c>
      <c r="I7" s="43">
        <v>136654746.352</v>
      </c>
      <c r="J7" s="43">
        <v>72229598.784999996</v>
      </c>
      <c r="K7" s="43">
        <v>177305.22</v>
      </c>
      <c r="L7" s="43">
        <v>1217118.7320000001</v>
      </c>
      <c r="M7" s="43">
        <v>2694716.7910000002</v>
      </c>
      <c r="N7" s="42"/>
      <c r="O7" s="42"/>
    </row>
    <row r="8" spans="1:16" ht="40.25" hidden="1" customHeight="1" x14ac:dyDescent="0.35">
      <c r="A8" s="67" t="s">
        <v>134</v>
      </c>
      <c r="B8" s="8" t="s">
        <v>46</v>
      </c>
      <c r="C8" s="8" t="s">
        <v>122</v>
      </c>
      <c r="D8" s="43">
        <f>296684+345950+437254+57630+0+93+111883+39598+1322+98974+4120+818707+730+108</f>
        <v>2213053</v>
      </c>
      <c r="E8" s="43">
        <f>3180+6978+32417+2797+111283+39598</f>
        <v>196253</v>
      </c>
      <c r="F8" s="43">
        <f>294731+353527+469379+60363+101128+39898+1321+98974+4128+818+707+730+108</f>
        <v>1425812</v>
      </c>
      <c r="G8" s="43">
        <f>5133+93+292+64+10514+0</f>
        <v>16096</v>
      </c>
      <c r="H8" s="43">
        <f>0+752+359+300</f>
        <v>1411</v>
      </c>
      <c r="I8" s="43">
        <f>(1183469754+240940764+3435321140+458802480+744800+890263520+316781200+10574800+791793360+34302604+6548000+4949770+6056095+755930)/1000</f>
        <v>7381304.2170000002</v>
      </c>
      <c r="J8" s="43">
        <f>(15986246+60665509+322045980+24613600)/1000</f>
        <v>423311.33500000002</v>
      </c>
      <c r="K8" s="43">
        <f>(1420455513+1886814272+3523043689+72676946+184974843+30389977+10574820+195476877+931474+6548010+4949770+34899+5710)/1000</f>
        <v>7336876.7999999998</v>
      </c>
      <c r="L8" s="43">
        <f>(28777153+734955+3131014+67427+7366286+5198469+43648885)/1000</f>
        <v>88924.188999999998</v>
      </c>
      <c r="M8" s="43">
        <f>(2826476+431802+164229)/1000</f>
        <v>3422.5070000000001</v>
      </c>
      <c r="N8" s="42"/>
      <c r="O8" s="42"/>
      <c r="P8" s="100"/>
    </row>
    <row r="9" spans="1:16" ht="40.25" hidden="1" customHeight="1" x14ac:dyDescent="0.35">
      <c r="A9" s="67" t="s">
        <v>134</v>
      </c>
      <c r="B9" s="8" t="s">
        <v>46</v>
      </c>
      <c r="C9" s="8" t="s">
        <v>122</v>
      </c>
      <c r="D9" s="43">
        <f>29624+42595+123080+11404+120+7785+118+294+65+447+1873+2274</f>
        <v>219679</v>
      </c>
      <c r="E9" s="43">
        <v>0</v>
      </c>
      <c r="F9" s="43">
        <f>75315+61963+119613+8756+2413+1306</f>
        <v>269366</v>
      </c>
      <c r="G9" s="43">
        <f>3936+9103+1867+1293+9508+204+10167+8164+798+275</f>
        <v>45315</v>
      </c>
      <c r="H9" s="43">
        <f>24627+67+8164+798+280</f>
        <v>33936</v>
      </c>
      <c r="I9" s="43">
        <f>(148122000+340758640+1046182550+96935870+1020000+46279600+946000+1020000+322850+2235000+14981200+18874050)/1000</f>
        <v>1717677.76</v>
      </c>
      <c r="J9" s="43">
        <v>0</v>
      </c>
      <c r="K9" s="43">
        <f>(384972430+370934793+1232344435+41840943+5909380+2823583)/1000</f>
        <v>2038825.564</v>
      </c>
      <c r="L9" s="43">
        <f>(33296834+98006735+21271699+9028367+54331727+96562+61744828+3498045+4846641+2253657+1672947+1489279)/1000</f>
        <v>291537.321</v>
      </c>
      <c r="M9" s="43">
        <f>(159580251+60049719+83999887+31467+49580730+4846641+1701290+2476436)/1000</f>
        <v>362266.42099999997</v>
      </c>
      <c r="N9" s="42"/>
      <c r="O9" s="42"/>
      <c r="P9" s="100"/>
    </row>
    <row r="10" spans="1:16" ht="40.25" hidden="1" customHeight="1" x14ac:dyDescent="0.35">
      <c r="A10" s="67" t="s">
        <v>155</v>
      </c>
      <c r="B10" s="8" t="s">
        <v>46</v>
      </c>
      <c r="C10" s="8" t="s">
        <v>122</v>
      </c>
      <c r="D10" s="43">
        <f>366284+224654+443505+333310+759136+18566+29820</f>
        <v>2175275</v>
      </c>
      <c r="E10" s="43">
        <f>3312352+2033426+2069751+2582427+7965404+158929+318947</f>
        <v>18441236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2"/>
      <c r="O10" s="42"/>
      <c r="P10" s="100"/>
    </row>
    <row r="11" spans="1:16" ht="40.25" hidden="1" customHeight="1" x14ac:dyDescent="0.35">
      <c r="A11" s="67" t="s">
        <v>155</v>
      </c>
      <c r="B11" s="8" t="s">
        <v>46</v>
      </c>
      <c r="C11" s="8" t="s">
        <v>79</v>
      </c>
      <c r="D11" s="43">
        <f>94357+1204+121340+133703+129547</f>
        <v>480151</v>
      </c>
      <c r="E11" s="43">
        <f>575289+7538+134970+0+527136+1103140</f>
        <v>2348073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2"/>
      <c r="O11" s="42"/>
      <c r="P11" s="100"/>
    </row>
    <row r="12" spans="1:16" ht="40.25" customHeight="1" x14ac:dyDescent="0.35">
      <c r="A12" s="124" t="s">
        <v>475</v>
      </c>
      <c r="B12" s="8" t="s">
        <v>230</v>
      </c>
      <c r="C12" s="8" t="s">
        <v>320</v>
      </c>
      <c r="D12" s="43">
        <v>0</v>
      </c>
      <c r="E12" s="43">
        <v>14009</v>
      </c>
      <c r="F12" s="43">
        <v>0</v>
      </c>
      <c r="G12" s="43">
        <v>1707.1</v>
      </c>
      <c r="H12" s="43">
        <v>15198.594999999999</v>
      </c>
      <c r="I12" s="43">
        <v>0</v>
      </c>
      <c r="J12" s="43">
        <v>884890.07499999995</v>
      </c>
      <c r="K12" s="43">
        <v>0</v>
      </c>
      <c r="L12" s="43">
        <v>0</v>
      </c>
      <c r="M12" s="43">
        <v>0</v>
      </c>
      <c r="N12" s="42"/>
      <c r="O12" s="42"/>
      <c r="P12" s="100"/>
    </row>
    <row r="13" spans="1:16" ht="40.25" customHeight="1" x14ac:dyDescent="0.35">
      <c r="A13" s="124" t="s">
        <v>159</v>
      </c>
      <c r="B13" s="8" t="s">
        <v>46</v>
      </c>
      <c r="C13" s="8" t="s">
        <v>49</v>
      </c>
      <c r="D13" s="43">
        <v>27106</v>
      </c>
      <c r="E13" s="43">
        <v>0</v>
      </c>
      <c r="F13" s="43">
        <v>0</v>
      </c>
      <c r="G13" s="43">
        <v>0</v>
      </c>
      <c r="H13" s="43">
        <v>0</v>
      </c>
      <c r="I13" s="43">
        <v>1828607.148</v>
      </c>
      <c r="J13" s="43">
        <v>0</v>
      </c>
      <c r="K13" s="43">
        <v>0</v>
      </c>
      <c r="L13" s="43">
        <v>0</v>
      </c>
      <c r="M13" s="43">
        <v>0</v>
      </c>
      <c r="N13" s="42"/>
      <c r="O13" s="42"/>
      <c r="P13" s="100"/>
    </row>
    <row r="14" spans="1:16" ht="40.25" customHeight="1" x14ac:dyDescent="0.35">
      <c r="A14" s="124" t="s">
        <v>168</v>
      </c>
      <c r="B14" s="8" t="s">
        <v>109</v>
      </c>
      <c r="C14" s="8" t="s">
        <v>325</v>
      </c>
      <c r="D14" s="43">
        <f>0+0+0</f>
        <v>0</v>
      </c>
      <c r="E14" s="43">
        <f>387.783+153.286+20001</f>
        <v>20542.069</v>
      </c>
      <c r="F14" s="43">
        <f>0+0+0</f>
        <v>0</v>
      </c>
      <c r="G14" s="43">
        <f>5886+0+443</f>
        <v>6329</v>
      </c>
      <c r="H14" s="43">
        <f>2131+6609+1374</f>
        <v>10114</v>
      </c>
      <c r="I14" s="43">
        <f>0+0+0</f>
        <v>0</v>
      </c>
      <c r="J14" s="43">
        <f>57119016+26445297+2761143</f>
        <v>86325456</v>
      </c>
      <c r="K14" s="43">
        <v>0</v>
      </c>
      <c r="L14" s="43">
        <f>73835+0+48012</f>
        <v>121847</v>
      </c>
      <c r="M14" s="43">
        <f>172254+268586+131016</f>
        <v>571856</v>
      </c>
      <c r="N14" s="42"/>
      <c r="O14" s="42"/>
    </row>
    <row r="15" spans="1:16" ht="40.25" customHeight="1" x14ac:dyDescent="0.35">
      <c r="A15" s="124" t="s">
        <v>168</v>
      </c>
      <c r="B15" s="8" t="s">
        <v>109</v>
      </c>
      <c r="C15" s="8" t="s">
        <v>324</v>
      </c>
      <c r="D15" s="43">
        <f>0+0+0</f>
        <v>0</v>
      </c>
      <c r="E15" s="43">
        <f>39376+27523+31443</f>
        <v>98342</v>
      </c>
      <c r="F15" s="43">
        <v>0</v>
      </c>
      <c r="G15" s="43">
        <f>817+446+1387</f>
        <v>2650</v>
      </c>
      <c r="H15" s="43">
        <f>568+1399+5420</f>
        <v>7387</v>
      </c>
      <c r="I15" s="43">
        <v>0</v>
      </c>
      <c r="J15" s="43">
        <f>43681219+28804345+4311500</f>
        <v>76797064</v>
      </c>
      <c r="K15" s="43">
        <v>0</v>
      </c>
      <c r="L15" s="43">
        <f>564421+289206+94347</f>
        <v>947974</v>
      </c>
      <c r="M15" s="43">
        <f>310405+689516+272642</f>
        <v>1272563</v>
      </c>
      <c r="N15" s="42"/>
      <c r="O15" s="42"/>
    </row>
    <row r="16" spans="1:16" ht="40.25" customHeight="1" x14ac:dyDescent="0.35">
      <c r="A16" s="124" t="s">
        <v>168</v>
      </c>
      <c r="B16" s="8" t="s">
        <v>109</v>
      </c>
      <c r="C16" s="8" t="s">
        <v>491</v>
      </c>
      <c r="D16" s="43">
        <v>0</v>
      </c>
      <c r="E16" s="43">
        <v>2640</v>
      </c>
      <c r="F16" s="43">
        <v>0</v>
      </c>
      <c r="G16" s="43">
        <v>78</v>
      </c>
      <c r="H16" s="43">
        <v>1227</v>
      </c>
      <c r="I16" s="43">
        <v>0</v>
      </c>
      <c r="J16" s="43">
        <v>2861619</v>
      </c>
      <c r="K16" s="43">
        <v>0</v>
      </c>
      <c r="L16" s="43">
        <v>48187</v>
      </c>
      <c r="M16" s="43">
        <v>513262</v>
      </c>
      <c r="N16" s="42"/>
      <c r="O16" s="42"/>
    </row>
    <row r="17" spans="1:16" ht="40.25" customHeight="1" x14ac:dyDescent="0.35">
      <c r="A17" s="124" t="s">
        <v>168</v>
      </c>
      <c r="B17" s="8" t="s">
        <v>109</v>
      </c>
      <c r="C17" s="8" t="s">
        <v>326</v>
      </c>
      <c r="D17" s="43">
        <v>0</v>
      </c>
      <c r="E17" s="43">
        <v>6092</v>
      </c>
      <c r="F17" s="43">
        <v>0</v>
      </c>
      <c r="G17" s="43">
        <v>141</v>
      </c>
      <c r="H17" s="43">
        <v>501</v>
      </c>
      <c r="I17" s="43">
        <v>0</v>
      </c>
      <c r="J17" s="43">
        <v>4539903</v>
      </c>
      <c r="K17" s="43">
        <v>0</v>
      </c>
      <c r="L17" s="43">
        <v>76271</v>
      </c>
      <c r="M17" s="43">
        <v>174005</v>
      </c>
      <c r="N17" s="42"/>
      <c r="O17" s="42"/>
    </row>
    <row r="18" spans="1:16" ht="40.25" hidden="1" customHeight="1" x14ac:dyDescent="0.35">
      <c r="A18" s="116" t="s">
        <v>476</v>
      </c>
      <c r="B18" s="8" t="s">
        <v>230</v>
      </c>
      <c r="C18" s="8" t="s">
        <v>232</v>
      </c>
      <c r="D18" s="43">
        <v>0</v>
      </c>
      <c r="E18" s="43"/>
      <c r="F18" s="43">
        <v>5630</v>
      </c>
      <c r="G18" s="43">
        <v>0</v>
      </c>
      <c r="H18" s="43">
        <v>5630</v>
      </c>
      <c r="I18" s="43"/>
      <c r="J18" s="43"/>
      <c r="K18" s="43"/>
      <c r="L18" s="43"/>
      <c r="M18" s="43"/>
      <c r="N18" s="42"/>
      <c r="O18" s="42"/>
    </row>
    <row r="19" spans="1:16" ht="40.25" customHeight="1" x14ac:dyDescent="0.35">
      <c r="A19" s="124" t="s">
        <v>179</v>
      </c>
      <c r="B19" s="6" t="s">
        <v>109</v>
      </c>
      <c r="C19" s="8" t="s">
        <v>333</v>
      </c>
      <c r="D19" s="43">
        <v>90593</v>
      </c>
      <c r="E19" s="43">
        <v>94344</v>
      </c>
      <c r="F19" s="43">
        <v>0</v>
      </c>
      <c r="G19" s="43">
        <v>20476</v>
      </c>
      <c r="H19" s="43">
        <v>10534</v>
      </c>
      <c r="I19" s="43">
        <v>24895778.23</v>
      </c>
      <c r="J19" s="43">
        <v>35947715.406000003</v>
      </c>
      <c r="K19" s="43">
        <v>0</v>
      </c>
      <c r="L19" s="43">
        <v>7284621</v>
      </c>
      <c r="M19" s="43">
        <v>2722608.9410000001</v>
      </c>
      <c r="N19" s="42"/>
      <c r="O19" s="42"/>
    </row>
    <row r="20" spans="1:16" ht="40.25" customHeight="1" x14ac:dyDescent="0.35">
      <c r="A20" s="124" t="s">
        <v>179</v>
      </c>
      <c r="B20" s="6" t="s">
        <v>109</v>
      </c>
      <c r="C20" s="8" t="s">
        <v>330</v>
      </c>
      <c r="D20" s="43">
        <v>1</v>
      </c>
      <c r="E20" s="43">
        <v>483394</v>
      </c>
      <c r="F20" s="43">
        <v>0</v>
      </c>
      <c r="G20" s="43">
        <v>39137</v>
      </c>
      <c r="H20" s="43">
        <v>27411</v>
      </c>
      <c r="I20" s="43">
        <v>561600</v>
      </c>
      <c r="J20" s="43">
        <v>287519166.92299998</v>
      </c>
      <c r="K20" s="43">
        <v>0</v>
      </c>
      <c r="L20" s="43">
        <v>13908002</v>
      </c>
      <c r="M20" s="43">
        <v>10901188.604</v>
      </c>
      <c r="N20" s="42"/>
      <c r="O20" s="42"/>
    </row>
    <row r="21" spans="1:16" ht="40.25" customHeight="1" x14ac:dyDescent="0.35">
      <c r="A21" s="124" t="s">
        <v>179</v>
      </c>
      <c r="B21" s="6" t="s">
        <v>109</v>
      </c>
      <c r="C21" s="8" t="s">
        <v>38</v>
      </c>
      <c r="D21" s="43">
        <v>0</v>
      </c>
      <c r="E21" s="43">
        <v>0</v>
      </c>
      <c r="F21" s="43">
        <v>0</v>
      </c>
      <c r="G21" s="43">
        <v>60935</v>
      </c>
      <c r="H21" s="43">
        <v>56657</v>
      </c>
      <c r="I21" s="43">
        <v>0</v>
      </c>
      <c r="J21" s="43">
        <v>0</v>
      </c>
      <c r="K21" s="43">
        <v>0</v>
      </c>
      <c r="L21" s="43">
        <v>2120399</v>
      </c>
      <c r="M21" s="43">
        <v>2750715.6949999998</v>
      </c>
      <c r="N21" s="42"/>
      <c r="O21" s="42"/>
    </row>
    <row r="22" spans="1:16" ht="40.25" hidden="1" customHeight="1" x14ac:dyDescent="0.35">
      <c r="A22" s="116" t="s">
        <v>187</v>
      </c>
      <c r="B22" s="8" t="s">
        <v>46</v>
      </c>
      <c r="C22" s="8" t="s">
        <v>122</v>
      </c>
      <c r="D22" s="43">
        <v>46713</v>
      </c>
      <c r="E22" s="43">
        <v>0</v>
      </c>
      <c r="F22" s="43">
        <v>0</v>
      </c>
      <c r="G22" s="43">
        <v>0</v>
      </c>
      <c r="H22" s="43">
        <v>0</v>
      </c>
      <c r="I22" s="43">
        <v>335647</v>
      </c>
      <c r="J22" s="43"/>
      <c r="K22" s="43"/>
      <c r="L22" s="43"/>
      <c r="M22" s="43"/>
      <c r="N22" s="42"/>
      <c r="O22" s="42"/>
    </row>
    <row r="23" spans="1:16" ht="40.25" hidden="1" customHeight="1" x14ac:dyDescent="0.35">
      <c r="A23" s="67" t="s">
        <v>190</v>
      </c>
      <c r="B23" s="8" t="s">
        <v>26</v>
      </c>
      <c r="C23" s="11" t="s">
        <v>22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2"/>
      <c r="O23" s="42"/>
    </row>
    <row r="24" spans="1:16" ht="40.25" hidden="1" customHeight="1" x14ac:dyDescent="0.35">
      <c r="A24" s="116" t="s">
        <v>202</v>
      </c>
      <c r="B24" s="6" t="s">
        <v>109</v>
      </c>
      <c r="C24" s="6" t="s">
        <v>204</v>
      </c>
      <c r="D24" s="43">
        <v>1098</v>
      </c>
      <c r="E24" s="43">
        <v>4213</v>
      </c>
      <c r="F24" s="43"/>
      <c r="G24" s="43"/>
      <c r="H24" s="43"/>
      <c r="I24" s="43">
        <v>134937</v>
      </c>
      <c r="J24" s="43">
        <v>362078</v>
      </c>
      <c r="K24" s="43"/>
      <c r="L24" s="43"/>
      <c r="M24" s="43"/>
      <c r="N24" s="42"/>
      <c r="O24" s="42"/>
    </row>
    <row r="25" spans="1:16" ht="40.25" hidden="1" customHeight="1" x14ac:dyDescent="0.35">
      <c r="A25" s="116" t="s">
        <v>213</v>
      </c>
      <c r="B25" s="6" t="s">
        <v>109</v>
      </c>
      <c r="C25" s="11" t="s">
        <v>22</v>
      </c>
      <c r="D25" s="42">
        <v>0.25</v>
      </c>
      <c r="E25" s="117">
        <v>7</v>
      </c>
      <c r="F25" s="43"/>
      <c r="G25" s="113">
        <v>0.107</v>
      </c>
      <c r="H25" s="113">
        <v>0.104</v>
      </c>
      <c r="I25" s="43">
        <v>11805993</v>
      </c>
      <c r="J25" s="43">
        <v>328880634</v>
      </c>
      <c r="K25" s="43"/>
      <c r="L25" s="43">
        <v>6094208</v>
      </c>
      <c r="M25" s="43">
        <v>5639888</v>
      </c>
      <c r="N25" s="42"/>
      <c r="O25" s="42"/>
    </row>
    <row r="26" spans="1:16" ht="40.25" hidden="1" customHeight="1" x14ac:dyDescent="0.35">
      <c r="A26" s="116" t="s">
        <v>213</v>
      </c>
      <c r="B26" s="6" t="s">
        <v>109</v>
      </c>
      <c r="C26" s="11" t="s">
        <v>318</v>
      </c>
      <c r="D26" s="43">
        <v>0</v>
      </c>
      <c r="E26" s="42">
        <v>0.57999999999999996</v>
      </c>
      <c r="F26" s="43"/>
      <c r="G26" s="43"/>
      <c r="H26" s="43"/>
      <c r="I26" s="43"/>
      <c r="J26" s="43">
        <v>296887</v>
      </c>
      <c r="K26" s="43"/>
      <c r="L26" s="43"/>
      <c r="M26" s="43"/>
      <c r="N26" s="42"/>
      <c r="O26" s="42"/>
    </row>
    <row r="27" spans="1:16" ht="40.25" hidden="1" customHeight="1" x14ac:dyDescent="0.35">
      <c r="A27" s="67" t="s">
        <v>228</v>
      </c>
      <c r="B27" s="6" t="s">
        <v>230</v>
      </c>
      <c r="C27" s="6" t="s">
        <v>232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2"/>
      <c r="O27" s="42"/>
    </row>
    <row r="28" spans="1:16" ht="40.25" hidden="1" customHeight="1" x14ac:dyDescent="0.35">
      <c r="A28" s="67" t="s">
        <v>234</v>
      </c>
      <c r="B28" s="6" t="s">
        <v>230</v>
      </c>
      <c r="C28" s="8" t="s">
        <v>38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2"/>
      <c r="O28" s="42"/>
    </row>
    <row r="29" spans="1:16" ht="40.25" hidden="1" customHeight="1" x14ac:dyDescent="0.35">
      <c r="A29" s="67" t="s">
        <v>267</v>
      </c>
      <c r="B29" s="8" t="s">
        <v>46</v>
      </c>
      <c r="C29" s="8" t="s">
        <v>49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2"/>
      <c r="O29" s="42"/>
    </row>
    <row r="30" spans="1:16" ht="40.25" customHeight="1" x14ac:dyDescent="0.35">
      <c r="A30" s="124" t="s">
        <v>272</v>
      </c>
      <c r="B30" s="8" t="s">
        <v>109</v>
      </c>
      <c r="C30" s="8" t="s">
        <v>38</v>
      </c>
      <c r="D30" s="43">
        <v>95194</v>
      </c>
      <c r="E30" s="43">
        <v>444307</v>
      </c>
      <c r="F30" s="43"/>
      <c r="G30" s="43"/>
      <c r="H30" s="43"/>
      <c r="I30" s="43"/>
      <c r="J30" s="43"/>
      <c r="K30" s="43"/>
      <c r="L30" s="43"/>
      <c r="M30" s="43"/>
      <c r="N30" s="42"/>
      <c r="O30" s="42"/>
      <c r="P30" s="99"/>
    </row>
    <row r="31" spans="1:16" ht="40.25" customHeight="1" x14ac:dyDescent="0.35">
      <c r="A31" s="124" t="s">
        <v>278</v>
      </c>
      <c r="B31" s="8" t="s">
        <v>109</v>
      </c>
      <c r="C31" s="8" t="s">
        <v>204</v>
      </c>
      <c r="D31" s="43">
        <v>3852</v>
      </c>
      <c r="E31" s="43">
        <v>156543</v>
      </c>
      <c r="F31" s="43">
        <v>0</v>
      </c>
      <c r="G31" s="43">
        <v>3508.95</v>
      </c>
      <c r="H31" s="43">
        <v>6999.45</v>
      </c>
      <c r="I31" s="43">
        <v>185571.41399999999</v>
      </c>
      <c r="J31" s="43">
        <v>4198051.0120000001</v>
      </c>
      <c r="K31" s="43">
        <v>0</v>
      </c>
      <c r="L31" s="43">
        <v>117465.545</v>
      </c>
      <c r="M31" s="43">
        <v>201104.98499999999</v>
      </c>
      <c r="N31" s="42"/>
      <c r="O31" s="42"/>
      <c r="P31" s="99"/>
    </row>
    <row r="32" spans="1:16" ht="40.25" customHeight="1" x14ac:dyDescent="0.35">
      <c r="A32" s="124" t="s">
        <v>278</v>
      </c>
      <c r="B32" s="8" t="s">
        <v>109</v>
      </c>
      <c r="C32" s="8" t="s">
        <v>341</v>
      </c>
      <c r="D32" s="43">
        <v>42</v>
      </c>
      <c r="E32" s="43">
        <v>0</v>
      </c>
      <c r="F32" s="43">
        <v>0</v>
      </c>
      <c r="G32" s="43">
        <v>20.7</v>
      </c>
      <c r="H32" s="43">
        <v>13.9</v>
      </c>
      <c r="I32" s="43">
        <v>4872</v>
      </c>
      <c r="J32" s="43">
        <v>0</v>
      </c>
      <c r="K32" s="43">
        <v>0</v>
      </c>
      <c r="L32" s="43">
        <v>2401.1880000000001</v>
      </c>
      <c r="M32" s="43">
        <v>1612.3920000000001</v>
      </c>
      <c r="N32" s="42"/>
      <c r="O32" s="42"/>
      <c r="P32" s="99"/>
    </row>
    <row r="33" spans="1:16" ht="40.25" hidden="1" customHeight="1" x14ac:dyDescent="0.35">
      <c r="A33" s="67" t="s">
        <v>245</v>
      </c>
      <c r="B33" s="8" t="s">
        <v>109</v>
      </c>
      <c r="C33" s="8" t="s">
        <v>249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2"/>
      <c r="O33" s="42"/>
      <c r="P33" s="99"/>
    </row>
    <row r="34" spans="1:16" ht="40.25" hidden="1" customHeight="1" x14ac:dyDescent="0.35">
      <c r="A34" s="67" t="s">
        <v>245</v>
      </c>
      <c r="B34" s="8" t="s">
        <v>46</v>
      </c>
      <c r="C34" s="8" t="s">
        <v>114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2"/>
      <c r="O34" s="42"/>
    </row>
    <row r="35" spans="1:16" ht="40.25" hidden="1" customHeight="1" x14ac:dyDescent="0.35">
      <c r="A35" s="67" t="s">
        <v>245</v>
      </c>
      <c r="B35" s="8" t="s">
        <v>46</v>
      </c>
      <c r="C35" s="8" t="s">
        <v>253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2"/>
      <c r="O35" s="42"/>
    </row>
    <row r="36" spans="1:16" ht="40.25" hidden="1" customHeight="1" x14ac:dyDescent="0.35">
      <c r="A36" s="67" t="s">
        <v>245</v>
      </c>
      <c r="B36" s="8" t="s">
        <v>46</v>
      </c>
      <c r="C36" s="8" t="s">
        <v>79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2"/>
      <c r="O36" s="42"/>
    </row>
    <row r="37" spans="1:16" ht="40.25" hidden="1" customHeight="1" x14ac:dyDescent="0.35">
      <c r="A37" s="67" t="s">
        <v>245</v>
      </c>
      <c r="B37" s="8" t="s">
        <v>46</v>
      </c>
      <c r="C37" s="8" t="s">
        <v>79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2"/>
      <c r="O37" s="42"/>
    </row>
    <row r="38" spans="1:16" ht="40.25" hidden="1" customHeight="1" x14ac:dyDescent="0.35">
      <c r="A38" s="67" t="s">
        <v>245</v>
      </c>
      <c r="B38" s="8" t="s">
        <v>109</v>
      </c>
      <c r="C38" s="8" t="s">
        <v>79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2"/>
      <c r="O38" s="42"/>
    </row>
    <row r="39" spans="1:16" ht="40.25" hidden="1" customHeight="1" x14ac:dyDescent="0.35">
      <c r="A39" s="67" t="s">
        <v>245</v>
      </c>
      <c r="B39" s="8" t="s">
        <v>109</v>
      </c>
      <c r="C39" s="8" t="s">
        <v>79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2"/>
      <c r="O39" s="42"/>
    </row>
    <row r="40" spans="1:16" ht="40.25" hidden="1" customHeight="1" x14ac:dyDescent="0.35">
      <c r="A40" s="67" t="s">
        <v>245</v>
      </c>
      <c r="B40" s="8" t="s">
        <v>46</v>
      </c>
      <c r="C40" s="8" t="s">
        <v>253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2"/>
      <c r="O40" s="42"/>
    </row>
    <row r="41" spans="1:16" ht="40.25" hidden="1" customHeight="1" x14ac:dyDescent="0.35">
      <c r="A41" s="67" t="s">
        <v>245</v>
      </c>
      <c r="B41" s="8" t="s">
        <v>46</v>
      </c>
      <c r="C41" s="8" t="s">
        <v>79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2"/>
      <c r="O41" s="42"/>
    </row>
    <row r="42" spans="1:16" ht="40.25" hidden="1" customHeight="1" x14ac:dyDescent="0.35">
      <c r="A42" s="67" t="s">
        <v>245</v>
      </c>
      <c r="B42" s="8" t="s">
        <v>46</v>
      </c>
      <c r="C42" s="8" t="s">
        <v>79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2"/>
      <c r="O42" s="42"/>
    </row>
    <row r="43" spans="1:16" ht="40.25" hidden="1" customHeight="1" x14ac:dyDescent="0.35">
      <c r="A43" s="67" t="s">
        <v>245</v>
      </c>
      <c r="B43" s="8" t="s">
        <v>46</v>
      </c>
      <c r="C43" s="8" t="s">
        <v>79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2"/>
      <c r="O43" s="42"/>
    </row>
    <row r="44" spans="1:16" ht="40.25" hidden="1" customHeight="1" x14ac:dyDescent="0.35">
      <c r="A44" s="67" t="s">
        <v>245</v>
      </c>
      <c r="B44" s="8" t="s">
        <v>46</v>
      </c>
      <c r="C44" s="8" t="s">
        <v>79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2"/>
      <c r="O44" s="42"/>
    </row>
    <row r="45" spans="1:16" ht="40.25" hidden="1" customHeight="1" x14ac:dyDescent="0.35">
      <c r="A45" s="67" t="s">
        <v>245</v>
      </c>
      <c r="B45" s="8" t="s">
        <v>46</v>
      </c>
      <c r="C45" s="8" t="s">
        <v>114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2"/>
      <c r="O45" s="42"/>
    </row>
    <row r="46" spans="1:16" ht="40.25" hidden="1" customHeight="1" x14ac:dyDescent="0.35">
      <c r="A46" s="67" t="s">
        <v>479</v>
      </c>
      <c r="B46" s="8" t="s">
        <v>230</v>
      </c>
      <c r="C46" s="8" t="s">
        <v>38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2"/>
      <c r="O46" s="42"/>
      <c r="P46" s="100"/>
    </row>
    <row r="47" spans="1:16" ht="40.25" hidden="1" customHeight="1" x14ac:dyDescent="0.35">
      <c r="A47" s="67" t="s">
        <v>290</v>
      </c>
      <c r="B47" s="8" t="s">
        <v>46</v>
      </c>
      <c r="C47" s="8" t="s">
        <v>49</v>
      </c>
      <c r="D47" s="43">
        <v>363606</v>
      </c>
      <c r="E47" s="43">
        <v>0</v>
      </c>
      <c r="F47" s="43">
        <v>0</v>
      </c>
      <c r="G47" s="43">
        <v>0</v>
      </c>
      <c r="H47" s="43">
        <v>0</v>
      </c>
      <c r="I47" s="43">
        <v>2386385.6140000001</v>
      </c>
      <c r="J47" s="43"/>
      <c r="K47" s="43"/>
      <c r="L47" s="43"/>
      <c r="M47" s="43"/>
      <c r="N47" s="42"/>
      <c r="O47" s="42"/>
      <c r="P47" s="100"/>
    </row>
    <row r="48" spans="1:16" ht="40.25" hidden="1" customHeight="1" x14ac:dyDescent="0.35">
      <c r="A48" s="67" t="s">
        <v>294</v>
      </c>
      <c r="B48" s="8" t="s">
        <v>46</v>
      </c>
      <c r="C48" s="8" t="s">
        <v>122</v>
      </c>
      <c r="D48" s="43">
        <f>36933+21242+8587+89146+5939+184+1806+28</f>
        <v>163865</v>
      </c>
      <c r="E48" s="43">
        <f>25015+23936+1873+21701+53</f>
        <v>72578</v>
      </c>
      <c r="F48" s="43">
        <v>0</v>
      </c>
      <c r="G48" s="43">
        <v>0</v>
      </c>
      <c r="H48" s="43">
        <v>0</v>
      </c>
      <c r="I48" s="43">
        <f>240064.5+228351.5+103044+1069752+68298.5+2112.32+15576.994+264.86</f>
        <v>1727464.6740000001</v>
      </c>
      <c r="J48" s="43">
        <f>162597.5+257312+24349+260412+609.5</f>
        <v>705280</v>
      </c>
      <c r="K48" s="43">
        <v>0</v>
      </c>
      <c r="L48" s="43">
        <v>0</v>
      </c>
      <c r="M48" s="43">
        <v>0</v>
      </c>
      <c r="N48" s="42"/>
      <c r="O48" s="42"/>
    </row>
    <row r="49" spans="1:15" ht="40.25" customHeight="1" x14ac:dyDescent="0.35">
      <c r="A49" s="124" t="s">
        <v>301</v>
      </c>
      <c r="B49" s="8" t="s">
        <v>46</v>
      </c>
      <c r="C49" s="8" t="s">
        <v>79</v>
      </c>
      <c r="D49" s="43">
        <v>435664</v>
      </c>
      <c r="E49" s="43"/>
      <c r="F49" s="43"/>
      <c r="G49" s="43"/>
      <c r="H49" s="43"/>
      <c r="I49" s="43">
        <v>435664</v>
      </c>
      <c r="J49" s="43"/>
      <c r="K49" s="43"/>
      <c r="L49" s="43"/>
      <c r="M49" s="43"/>
      <c r="N49" s="42"/>
      <c r="O49" s="42"/>
    </row>
    <row r="50" spans="1:15" ht="40.25" hidden="1" customHeight="1" x14ac:dyDescent="0.35">
      <c r="A50" s="67" t="s">
        <v>480</v>
      </c>
      <c r="B50" s="8" t="s">
        <v>26</v>
      </c>
      <c r="C50" s="8" t="s">
        <v>38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2"/>
      <c r="O50" s="42"/>
    </row>
  </sheetData>
  <autoFilter ref="A1:O50" xr:uid="{00000000-0009-0000-0000-000002000000}">
    <filterColumn colId="0">
      <colorFilter dxfId="4"/>
    </filterColumn>
    <sortState xmlns:xlrd2="http://schemas.microsoft.com/office/spreadsheetml/2017/richdata2" ref="A2:O50">
      <sortCondition ref="A1:A45"/>
    </sortState>
  </autoFilter>
  <pageMargins left="0.7" right="0.7" top="0.75" bottom="0.75" header="0.3" footer="0.3"/>
  <ignoredErrors>
    <ignoredError sqref="E14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45"/>
  <sheetViews>
    <sheetView workbookViewId="0">
      <pane ySplit="1" topLeftCell="A12" activePane="bottomLeft" state="frozen"/>
      <selection pane="bottomLeft" activeCell="C39" sqref="C39"/>
    </sheetView>
  </sheetViews>
  <sheetFormatPr baseColWidth="10" defaultRowHeight="14.5" x14ac:dyDescent="0.35"/>
  <cols>
    <col min="1" max="1" width="78.36328125" customWidth="1"/>
    <col min="2" max="2" width="13.81640625" customWidth="1"/>
    <col min="3" max="3" width="21.81640625" bestFit="1" customWidth="1"/>
    <col min="4" max="4" width="22.81640625" bestFit="1" customWidth="1"/>
    <col min="5" max="5" width="17.81640625" bestFit="1" customWidth="1"/>
  </cols>
  <sheetData>
    <row r="1" spans="1:5" ht="35.4" customHeight="1" x14ac:dyDescent="0.35">
      <c r="A1" s="39" t="s">
        <v>0</v>
      </c>
      <c r="B1" s="39" t="s">
        <v>342</v>
      </c>
      <c r="C1" s="39" t="s">
        <v>343</v>
      </c>
      <c r="D1" s="40" t="s">
        <v>344</v>
      </c>
      <c r="E1" s="40" t="s">
        <v>345</v>
      </c>
    </row>
    <row r="2" spans="1:5" ht="33.65" hidden="1" customHeight="1" x14ac:dyDescent="0.35">
      <c r="A2" s="44" t="s">
        <v>60</v>
      </c>
      <c r="B2" s="44" t="s">
        <v>38</v>
      </c>
      <c r="C2" s="44" t="s">
        <v>544</v>
      </c>
      <c r="D2" s="46">
        <f>28926+25012+28003+21409+43985</f>
        <v>147335</v>
      </c>
      <c r="E2" s="45">
        <f>1914298+1507012+1883505+1410225+3296372</f>
        <v>10011412</v>
      </c>
    </row>
    <row r="3" spans="1:5" ht="33.65" hidden="1" customHeight="1" x14ac:dyDescent="0.35">
      <c r="A3" s="44" t="s">
        <v>106</v>
      </c>
      <c r="B3" s="44" t="s">
        <v>331</v>
      </c>
      <c r="C3" s="44" t="s">
        <v>346</v>
      </c>
      <c r="D3" s="46">
        <v>296267</v>
      </c>
      <c r="E3" s="45">
        <v>14176549.585000001</v>
      </c>
    </row>
    <row r="4" spans="1:5" ht="33.65" hidden="1" customHeight="1" x14ac:dyDescent="0.35">
      <c r="A4" s="44" t="s">
        <v>106</v>
      </c>
      <c r="B4" s="44" t="s">
        <v>331</v>
      </c>
      <c r="C4" s="44" t="s">
        <v>524</v>
      </c>
      <c r="D4" s="46">
        <v>1497</v>
      </c>
      <c r="E4" s="45">
        <v>85180.800000000003</v>
      </c>
    </row>
    <row r="5" spans="1:5" ht="33.65" hidden="1" customHeight="1" x14ac:dyDescent="0.35">
      <c r="A5" s="44" t="s">
        <v>106</v>
      </c>
      <c r="B5" s="44" t="s">
        <v>331</v>
      </c>
      <c r="C5" s="44" t="s">
        <v>347</v>
      </c>
      <c r="D5" s="46">
        <v>1195175</v>
      </c>
      <c r="E5" s="45">
        <v>56829425.399999999</v>
      </c>
    </row>
    <row r="6" spans="1:5" ht="33.65" hidden="1" customHeight="1" x14ac:dyDescent="0.35">
      <c r="A6" s="44" t="s">
        <v>106</v>
      </c>
      <c r="B6" s="44" t="s">
        <v>331</v>
      </c>
      <c r="C6" s="44" t="s">
        <v>348</v>
      </c>
      <c r="D6" s="46">
        <v>24119</v>
      </c>
      <c r="E6" s="45">
        <v>1138443</v>
      </c>
    </row>
    <row r="7" spans="1:5" ht="33.65" hidden="1" customHeight="1" x14ac:dyDescent="0.35">
      <c r="A7" s="44" t="s">
        <v>327</v>
      </c>
      <c r="B7" s="44" t="s">
        <v>122</v>
      </c>
      <c r="C7" s="44"/>
      <c r="D7" s="46"/>
      <c r="E7" s="45"/>
    </row>
    <row r="8" spans="1:5" ht="33.65" hidden="1" customHeight="1" x14ac:dyDescent="0.35">
      <c r="A8" s="44" t="s">
        <v>134</v>
      </c>
      <c r="B8" s="44" t="s">
        <v>122</v>
      </c>
      <c r="C8" s="44" t="s">
        <v>346</v>
      </c>
      <c r="D8" s="46">
        <f>3180+6918+32417+2797</f>
        <v>45312</v>
      </c>
      <c r="E8" s="45">
        <f>15986246+60665509+322045980+24613600</f>
        <v>423311335</v>
      </c>
    </row>
    <row r="9" spans="1:5" ht="33.65" hidden="1" customHeight="1" x14ac:dyDescent="0.35">
      <c r="A9" s="44" t="s">
        <v>146</v>
      </c>
      <c r="B9" s="44" t="s">
        <v>331</v>
      </c>
      <c r="C9" s="44"/>
      <c r="D9" s="46"/>
      <c r="E9" s="45"/>
    </row>
    <row r="10" spans="1:5" ht="33.65" hidden="1" customHeight="1" x14ac:dyDescent="0.35">
      <c r="A10" s="44" t="s">
        <v>155</v>
      </c>
      <c r="B10" s="44" t="s">
        <v>122</v>
      </c>
      <c r="C10" s="44"/>
      <c r="D10" s="46">
        <v>0</v>
      </c>
      <c r="E10" s="45">
        <v>0</v>
      </c>
    </row>
    <row r="11" spans="1:5" ht="33.65" hidden="1" customHeight="1" x14ac:dyDescent="0.35">
      <c r="A11" s="44" t="s">
        <v>155</v>
      </c>
      <c r="B11" s="44" t="s">
        <v>79</v>
      </c>
      <c r="C11" s="44"/>
      <c r="D11" s="46">
        <v>0</v>
      </c>
      <c r="E11" s="45">
        <v>0</v>
      </c>
    </row>
    <row r="12" spans="1:5" ht="33.65" customHeight="1" x14ac:dyDescent="0.35">
      <c r="A12" s="126" t="s">
        <v>319</v>
      </c>
      <c r="B12" s="44" t="s">
        <v>324</v>
      </c>
      <c r="C12" s="44" t="s">
        <v>567</v>
      </c>
      <c r="D12" s="46">
        <f>39376+27523+31443</f>
        <v>98342</v>
      </c>
      <c r="E12" s="45">
        <f>43681219+28804345+4311500</f>
        <v>76797064</v>
      </c>
    </row>
    <row r="13" spans="1:5" ht="33.65" customHeight="1" x14ac:dyDescent="0.35">
      <c r="A13" s="126" t="s">
        <v>319</v>
      </c>
      <c r="B13" s="44" t="s">
        <v>325</v>
      </c>
      <c r="C13" s="44" t="s">
        <v>567</v>
      </c>
      <c r="D13" s="46">
        <f>387783+153286+20001</f>
        <v>561070</v>
      </c>
      <c r="E13" s="45">
        <f>57119016+26445297+2761144</f>
        <v>86325457</v>
      </c>
    </row>
    <row r="14" spans="1:5" ht="33.65" customHeight="1" x14ac:dyDescent="0.35">
      <c r="A14" s="126" t="s">
        <v>319</v>
      </c>
      <c r="B14" s="44" t="s">
        <v>326</v>
      </c>
      <c r="C14" s="44" t="s">
        <v>567</v>
      </c>
      <c r="D14" s="46">
        <v>6092</v>
      </c>
      <c r="E14" s="45">
        <v>4539903</v>
      </c>
    </row>
    <row r="15" spans="1:5" ht="33.65" customHeight="1" x14ac:dyDescent="0.35">
      <c r="A15" s="126" t="s">
        <v>319</v>
      </c>
      <c r="B15" s="44" t="s">
        <v>329</v>
      </c>
      <c r="C15" s="44" t="s">
        <v>567</v>
      </c>
      <c r="D15" s="46">
        <v>2640</v>
      </c>
      <c r="E15" s="45">
        <v>2861619</v>
      </c>
    </row>
    <row r="16" spans="1:5" ht="33.65" customHeight="1" x14ac:dyDescent="0.35">
      <c r="A16" s="126" t="s">
        <v>475</v>
      </c>
      <c r="B16" s="44" t="s">
        <v>320</v>
      </c>
      <c r="C16" s="44" t="s">
        <v>573</v>
      </c>
      <c r="D16" s="46">
        <v>14009</v>
      </c>
      <c r="E16" s="45">
        <v>884890.07499999995</v>
      </c>
    </row>
    <row r="17" spans="1:5" ht="33.65" customHeight="1" x14ac:dyDescent="0.35">
      <c r="A17" s="126" t="s">
        <v>179</v>
      </c>
      <c r="B17" s="44" t="s">
        <v>333</v>
      </c>
      <c r="C17" s="44" t="s">
        <v>621</v>
      </c>
      <c r="D17" s="46">
        <v>5005</v>
      </c>
      <c r="E17" s="45">
        <v>1611501.7779999999</v>
      </c>
    </row>
    <row r="18" spans="1:5" ht="33.65" customHeight="1" x14ac:dyDescent="0.35">
      <c r="A18" s="126" t="s">
        <v>179</v>
      </c>
      <c r="B18" s="44" t="s">
        <v>333</v>
      </c>
      <c r="C18" s="44" t="s">
        <v>622</v>
      </c>
      <c r="D18" s="46">
        <v>15723</v>
      </c>
      <c r="E18" s="45">
        <v>4748915</v>
      </c>
    </row>
    <row r="19" spans="1:5" ht="33.65" customHeight="1" x14ac:dyDescent="0.35">
      <c r="A19" s="126" t="s">
        <v>179</v>
      </c>
      <c r="B19" s="44" t="s">
        <v>333</v>
      </c>
      <c r="C19" s="44" t="s">
        <v>570</v>
      </c>
      <c r="D19" s="46">
        <v>27124</v>
      </c>
      <c r="E19" s="45">
        <v>9936719.9330000002</v>
      </c>
    </row>
    <row r="20" spans="1:5" ht="33.65" customHeight="1" x14ac:dyDescent="0.35">
      <c r="A20" s="126" t="s">
        <v>179</v>
      </c>
      <c r="B20" s="44" t="s">
        <v>333</v>
      </c>
      <c r="C20" s="44" t="s">
        <v>623</v>
      </c>
      <c r="D20" s="46">
        <v>13504</v>
      </c>
      <c r="E20" s="45">
        <v>5078254.6279999996</v>
      </c>
    </row>
    <row r="21" spans="1:5" ht="33.65" customHeight="1" x14ac:dyDescent="0.35">
      <c r="A21" s="126" t="s">
        <v>179</v>
      </c>
      <c r="B21" s="44" t="s">
        <v>333</v>
      </c>
      <c r="C21" s="44" t="s">
        <v>623</v>
      </c>
      <c r="D21" s="46">
        <v>32978</v>
      </c>
      <c r="E21" s="45">
        <v>14570824.067</v>
      </c>
    </row>
    <row r="22" spans="1:5" ht="33.65" customHeight="1" x14ac:dyDescent="0.35">
      <c r="A22" s="126" t="s">
        <v>179</v>
      </c>
      <c r="B22" s="44" t="s">
        <v>330</v>
      </c>
      <c r="C22" s="44" t="s">
        <v>624</v>
      </c>
      <c r="D22" s="46">
        <v>470216</v>
      </c>
      <c r="E22" s="45">
        <v>279802568.29000002</v>
      </c>
    </row>
    <row r="23" spans="1:5" ht="33.65" customHeight="1" x14ac:dyDescent="0.35">
      <c r="A23" s="126" t="s">
        <v>179</v>
      </c>
      <c r="B23" s="44" t="s">
        <v>330</v>
      </c>
      <c r="C23" s="44" t="s">
        <v>623</v>
      </c>
      <c r="D23" s="46">
        <v>13177</v>
      </c>
      <c r="E23" s="45">
        <v>7716589633</v>
      </c>
    </row>
    <row r="24" spans="1:5" ht="33.65" hidden="1" customHeight="1" x14ac:dyDescent="0.35">
      <c r="A24" s="44" t="s">
        <v>200</v>
      </c>
      <c r="B24" s="44" t="s">
        <v>22</v>
      </c>
      <c r="C24" s="44"/>
      <c r="D24" s="46"/>
      <c r="E24" s="45"/>
    </row>
    <row r="25" spans="1:5" ht="33.65" hidden="1" customHeight="1" x14ac:dyDescent="0.35">
      <c r="A25" s="44" t="s">
        <v>200</v>
      </c>
      <c r="B25" s="44" t="s">
        <v>318</v>
      </c>
      <c r="C25" s="44"/>
      <c r="D25" s="46"/>
      <c r="E25" s="45"/>
    </row>
    <row r="26" spans="1:5" ht="33.65" hidden="1" customHeight="1" x14ac:dyDescent="0.35">
      <c r="A26" s="119" t="s">
        <v>323</v>
      </c>
      <c r="B26" s="44" t="s">
        <v>204</v>
      </c>
      <c r="C26" s="44" t="s">
        <v>567</v>
      </c>
      <c r="D26" s="45">
        <v>4181</v>
      </c>
      <c r="E26" s="45">
        <v>356542</v>
      </c>
    </row>
    <row r="27" spans="1:5" ht="33.65" hidden="1" customHeight="1" x14ac:dyDescent="0.35">
      <c r="A27" s="119" t="s">
        <v>323</v>
      </c>
      <c r="B27" s="44" t="s">
        <v>204</v>
      </c>
      <c r="C27" s="44" t="s">
        <v>568</v>
      </c>
      <c r="D27" s="45">
        <v>32</v>
      </c>
      <c r="E27" s="45">
        <v>5536</v>
      </c>
    </row>
    <row r="28" spans="1:5" ht="33.65" hidden="1" customHeight="1" x14ac:dyDescent="0.35">
      <c r="A28" s="119" t="s">
        <v>213</v>
      </c>
      <c r="B28" s="44" t="s">
        <v>22</v>
      </c>
      <c r="C28" s="44" t="s">
        <v>569</v>
      </c>
      <c r="D28" s="46">
        <v>3.72</v>
      </c>
      <c r="E28" s="45">
        <v>175809816</v>
      </c>
    </row>
    <row r="29" spans="1:5" ht="33.65" hidden="1" customHeight="1" x14ac:dyDescent="0.35">
      <c r="A29" s="119" t="s">
        <v>213</v>
      </c>
      <c r="B29" s="44" t="s">
        <v>22</v>
      </c>
      <c r="C29" s="44" t="s">
        <v>570</v>
      </c>
      <c r="D29" s="46">
        <v>3.25</v>
      </c>
      <c r="E29" s="45">
        <v>152305442</v>
      </c>
    </row>
    <row r="30" spans="1:5" ht="33.65" hidden="1" customHeight="1" x14ac:dyDescent="0.35">
      <c r="A30" s="119" t="s">
        <v>213</v>
      </c>
      <c r="B30" s="44" t="s">
        <v>22</v>
      </c>
      <c r="C30" s="44" t="s">
        <v>571</v>
      </c>
      <c r="D30" s="46">
        <v>0.02</v>
      </c>
      <c r="E30" s="45">
        <v>765376</v>
      </c>
    </row>
    <row r="31" spans="1:5" ht="33.65" hidden="1" customHeight="1" x14ac:dyDescent="0.35">
      <c r="A31" s="119" t="s">
        <v>213</v>
      </c>
      <c r="B31" s="44" t="s">
        <v>318</v>
      </c>
      <c r="C31" s="44" t="s">
        <v>569</v>
      </c>
      <c r="D31" s="46">
        <v>0.01</v>
      </c>
      <c r="E31" s="45">
        <v>560145</v>
      </c>
    </row>
    <row r="32" spans="1:5" ht="33.65" hidden="1" customHeight="1" x14ac:dyDescent="0.35">
      <c r="A32" s="119" t="s">
        <v>213</v>
      </c>
      <c r="B32" s="44" t="s">
        <v>318</v>
      </c>
      <c r="C32" s="44" t="s">
        <v>570</v>
      </c>
      <c r="D32" s="46">
        <v>0.01</v>
      </c>
      <c r="E32" s="45">
        <v>214832</v>
      </c>
    </row>
    <row r="33" spans="1:5" ht="33.65" hidden="1" customHeight="1" x14ac:dyDescent="0.35">
      <c r="A33" s="44" t="s">
        <v>322</v>
      </c>
      <c r="B33" s="44" t="s">
        <v>204</v>
      </c>
      <c r="C33" s="44"/>
      <c r="D33" s="46"/>
      <c r="E33" s="45"/>
    </row>
    <row r="34" spans="1:5" ht="27.65" hidden="1" customHeight="1" x14ac:dyDescent="0.35">
      <c r="A34" s="44" t="s">
        <v>322</v>
      </c>
      <c r="B34" s="44" t="s">
        <v>335</v>
      </c>
      <c r="C34" s="44"/>
      <c r="D34" s="46"/>
      <c r="E34" s="120"/>
    </row>
    <row r="35" spans="1:5" ht="27.65" hidden="1" customHeight="1" x14ac:dyDescent="0.35">
      <c r="A35" s="44" t="s">
        <v>234</v>
      </c>
      <c r="B35" s="44" t="s">
        <v>321</v>
      </c>
      <c r="C35" s="44"/>
      <c r="D35" s="46"/>
      <c r="E35" s="45"/>
    </row>
    <row r="36" spans="1:5" ht="27.65" hidden="1" customHeight="1" x14ac:dyDescent="0.35">
      <c r="A36" s="44" t="s">
        <v>332</v>
      </c>
      <c r="B36" s="44" t="s">
        <v>331</v>
      </c>
      <c r="C36" s="44"/>
      <c r="D36" s="46"/>
      <c r="E36" s="45"/>
    </row>
    <row r="37" spans="1:5" ht="27.65" hidden="1" customHeight="1" x14ac:dyDescent="0.35">
      <c r="A37" s="44" t="s">
        <v>332</v>
      </c>
      <c r="B37" s="44" t="s">
        <v>334</v>
      </c>
      <c r="C37" s="44"/>
      <c r="D37" s="121"/>
      <c r="E37" s="120"/>
    </row>
    <row r="38" spans="1:5" ht="27.65" customHeight="1" x14ac:dyDescent="0.35">
      <c r="A38" s="126" t="s">
        <v>272</v>
      </c>
      <c r="B38" s="44" t="s">
        <v>321</v>
      </c>
      <c r="C38" s="44" t="s">
        <v>622</v>
      </c>
      <c r="D38" s="46">
        <v>11183</v>
      </c>
      <c r="E38" s="45">
        <v>577709.6</v>
      </c>
    </row>
    <row r="39" spans="1:5" ht="27.65" customHeight="1" x14ac:dyDescent="0.35">
      <c r="A39" s="126" t="s">
        <v>272</v>
      </c>
      <c r="B39" s="44" t="s">
        <v>321</v>
      </c>
      <c r="C39" s="44" t="s">
        <v>626</v>
      </c>
      <c r="D39" s="46">
        <v>30152</v>
      </c>
      <c r="E39" s="45">
        <v>2643705.8059999999</v>
      </c>
    </row>
    <row r="40" spans="1:5" ht="27.65" customHeight="1" x14ac:dyDescent="0.35">
      <c r="A40" s="126" t="s">
        <v>272</v>
      </c>
      <c r="B40" s="44" t="s">
        <v>321</v>
      </c>
      <c r="C40" s="44" t="s">
        <v>570</v>
      </c>
      <c r="D40" s="46">
        <v>287391</v>
      </c>
      <c r="E40" s="45">
        <v>23997628.309999999</v>
      </c>
    </row>
    <row r="41" spans="1:5" ht="27.65" customHeight="1" x14ac:dyDescent="0.35">
      <c r="A41" s="126" t="s">
        <v>272</v>
      </c>
      <c r="B41" s="44" t="s">
        <v>321</v>
      </c>
      <c r="C41" s="44" t="s">
        <v>627</v>
      </c>
      <c r="D41" s="46">
        <v>111581</v>
      </c>
      <c r="E41" s="45">
        <v>9135993.8739999998</v>
      </c>
    </row>
    <row r="42" spans="1:5" ht="27.65" customHeight="1" x14ac:dyDescent="0.35">
      <c r="A42" s="126" t="s">
        <v>278</v>
      </c>
      <c r="B42" s="44" t="s">
        <v>204</v>
      </c>
      <c r="C42" s="44" t="s">
        <v>567</v>
      </c>
      <c r="D42" s="46">
        <v>59499</v>
      </c>
      <c r="E42" s="45">
        <v>1654519.9939999999</v>
      </c>
    </row>
    <row r="43" spans="1:5" ht="27.65" customHeight="1" x14ac:dyDescent="0.35">
      <c r="A43" s="126" t="s">
        <v>278</v>
      </c>
      <c r="B43" s="44" t="s">
        <v>204</v>
      </c>
      <c r="C43" s="44" t="s">
        <v>588</v>
      </c>
      <c r="D43" s="46">
        <v>30502</v>
      </c>
      <c r="E43" s="45">
        <v>920629.11</v>
      </c>
    </row>
    <row r="44" spans="1:5" ht="27.65" customHeight="1" x14ac:dyDescent="0.35">
      <c r="A44" s="126" t="s">
        <v>278</v>
      </c>
      <c r="B44" s="44" t="s">
        <v>204</v>
      </c>
      <c r="C44" s="44" t="s">
        <v>589</v>
      </c>
      <c r="D44" s="46">
        <v>66541</v>
      </c>
      <c r="E44" s="45">
        <v>1622901.9080000001</v>
      </c>
    </row>
    <row r="45" spans="1:5" ht="27.65" hidden="1" customHeight="1" x14ac:dyDescent="0.35">
      <c r="A45" s="44" t="s">
        <v>294</v>
      </c>
      <c r="B45" s="44" t="s">
        <v>122</v>
      </c>
      <c r="C45" s="44" t="s">
        <v>346</v>
      </c>
      <c r="D45" s="46">
        <f>25015+23936+1873+21701+53</f>
        <v>72578</v>
      </c>
      <c r="E45" s="45">
        <f>25015+162597.5+257312+24349+260412+609.5</f>
        <v>730295</v>
      </c>
    </row>
  </sheetData>
  <autoFilter ref="A1:E45" xr:uid="{00000000-0009-0000-0000-000003000000}">
    <filterColumn colId="0">
      <colorFilter dxfId="3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:XFD11"/>
    </sheetView>
  </sheetViews>
  <sheetFormatPr baseColWidth="10" defaultColWidth="11.54296875" defaultRowHeight="14" x14ac:dyDescent="0.3"/>
  <cols>
    <col min="1" max="1" width="24.90625" style="20" customWidth="1"/>
    <col min="2" max="23" width="23.453125" style="20" customWidth="1"/>
    <col min="24" max="24" width="16.6328125" style="20" customWidth="1"/>
    <col min="25" max="16384" width="11.54296875" style="20"/>
  </cols>
  <sheetData>
    <row r="1" spans="1:24" ht="42" x14ac:dyDescent="0.3">
      <c r="A1" s="62" t="s">
        <v>0</v>
      </c>
      <c r="B1" s="63" t="s">
        <v>450</v>
      </c>
      <c r="C1" s="63" t="s">
        <v>522</v>
      </c>
      <c r="D1" s="62" t="s">
        <v>451</v>
      </c>
      <c r="E1" s="63" t="s">
        <v>452</v>
      </c>
      <c r="F1" s="62" t="s">
        <v>453</v>
      </c>
      <c r="G1" s="62" t="s">
        <v>454</v>
      </c>
      <c r="H1" s="62" t="s">
        <v>455</v>
      </c>
      <c r="I1" s="62" t="s">
        <v>456</v>
      </c>
      <c r="J1" s="62" t="s">
        <v>457</v>
      </c>
      <c r="K1" s="63" t="s">
        <v>458</v>
      </c>
      <c r="L1" s="62" t="s">
        <v>459</v>
      </c>
      <c r="M1" s="62" t="s">
        <v>460</v>
      </c>
      <c r="N1" s="62" t="s">
        <v>461</v>
      </c>
      <c r="O1" s="62" t="s">
        <v>462</v>
      </c>
      <c r="P1" s="62" t="s">
        <v>463</v>
      </c>
      <c r="Q1" s="62" t="s">
        <v>464</v>
      </c>
      <c r="R1" s="62" t="s">
        <v>465</v>
      </c>
      <c r="S1" s="62" t="s">
        <v>466</v>
      </c>
      <c r="T1" s="62" t="s">
        <v>467</v>
      </c>
      <c r="U1" s="62" t="s">
        <v>468</v>
      </c>
      <c r="V1" s="62" t="s">
        <v>469</v>
      </c>
      <c r="W1" s="62" t="s">
        <v>470</v>
      </c>
      <c r="X1" s="64" t="s">
        <v>471</v>
      </c>
    </row>
    <row r="2" spans="1:24" ht="43.75" hidden="1" customHeight="1" x14ac:dyDescent="0.3">
      <c r="A2" s="56" t="s">
        <v>76</v>
      </c>
      <c r="B2" s="57"/>
      <c r="C2" s="57"/>
      <c r="D2" s="56"/>
      <c r="E2" s="57"/>
      <c r="F2" s="56"/>
      <c r="G2" s="56"/>
      <c r="H2" s="65"/>
      <c r="I2" s="65"/>
      <c r="J2" s="56"/>
      <c r="K2" s="57"/>
      <c r="L2" s="65"/>
      <c r="M2" s="56"/>
      <c r="N2" s="65"/>
      <c r="O2" s="65"/>
      <c r="P2" s="56"/>
      <c r="Q2" s="65"/>
      <c r="R2" s="65"/>
      <c r="S2" s="56"/>
      <c r="T2" s="56"/>
      <c r="U2" s="65"/>
      <c r="V2" s="65"/>
      <c r="W2" s="56"/>
      <c r="X2" s="66" t="e">
        <f t="shared" ref="X2:X7" si="0">C2/B2</f>
        <v>#DIV/0!</v>
      </c>
    </row>
    <row r="3" spans="1:24" ht="43.75" hidden="1" customHeight="1" x14ac:dyDescent="0.3">
      <c r="A3" s="56" t="s">
        <v>106</v>
      </c>
      <c r="B3" s="57">
        <v>391980987</v>
      </c>
      <c r="C3" s="57">
        <v>46128424.295999996</v>
      </c>
      <c r="D3" s="56"/>
      <c r="E3" s="57"/>
      <c r="F3" s="56"/>
      <c r="G3" s="56"/>
      <c r="H3" s="65"/>
      <c r="I3" s="65"/>
      <c r="J3" s="56"/>
      <c r="K3" s="57"/>
      <c r="L3" s="65"/>
      <c r="M3" s="56"/>
      <c r="N3" s="65"/>
      <c r="O3" s="65"/>
      <c r="P3" s="56"/>
      <c r="Q3" s="65"/>
      <c r="R3" s="65"/>
      <c r="S3" s="56"/>
      <c r="T3" s="56"/>
      <c r="U3" s="65"/>
      <c r="V3" s="65"/>
      <c r="W3" s="56"/>
      <c r="X3" s="66">
        <f t="shared" si="0"/>
        <v>0.117680259568304</v>
      </c>
    </row>
    <row r="4" spans="1:24" ht="43.75" hidden="1" customHeight="1" x14ac:dyDescent="0.3">
      <c r="A4" s="56" t="s">
        <v>146</v>
      </c>
      <c r="B4" s="57"/>
      <c r="C4" s="57"/>
      <c r="D4" s="56"/>
      <c r="E4" s="57"/>
      <c r="F4" s="56"/>
      <c r="G4" s="56"/>
      <c r="H4" s="65"/>
      <c r="I4" s="65"/>
      <c r="J4" s="56"/>
      <c r="K4" s="57"/>
      <c r="L4" s="65"/>
      <c r="M4" s="56"/>
      <c r="N4" s="65"/>
      <c r="O4" s="65"/>
      <c r="P4" s="56"/>
      <c r="Q4" s="65"/>
      <c r="R4" s="65"/>
      <c r="S4" s="56"/>
      <c r="T4" s="56"/>
      <c r="U4" s="65"/>
      <c r="V4" s="65"/>
      <c r="W4" s="56"/>
      <c r="X4" s="66" t="e">
        <f t="shared" si="0"/>
        <v>#DIV/0!</v>
      </c>
    </row>
    <row r="5" spans="1:24" ht="43.75" hidden="1" customHeight="1" x14ac:dyDescent="0.3">
      <c r="A5" s="56" t="s">
        <v>155</v>
      </c>
      <c r="B5" s="57">
        <v>76226</v>
      </c>
      <c r="C5" s="57">
        <v>10820000</v>
      </c>
      <c r="D5" s="56"/>
      <c r="E5" s="57"/>
      <c r="F5" s="56"/>
      <c r="G5" s="56"/>
      <c r="H5" s="65"/>
      <c r="I5" s="65"/>
      <c r="J5" s="56"/>
      <c r="K5" s="57"/>
      <c r="L5" s="65"/>
      <c r="M5" s="56"/>
      <c r="N5" s="65"/>
      <c r="O5" s="65"/>
      <c r="P5" s="56"/>
      <c r="Q5" s="65"/>
      <c r="R5" s="65"/>
      <c r="S5" s="56"/>
      <c r="T5" s="56"/>
      <c r="U5" s="65"/>
      <c r="V5" s="65"/>
      <c r="W5" s="56"/>
      <c r="X5" s="66">
        <f t="shared" si="0"/>
        <v>141.9463175294519</v>
      </c>
    </row>
    <row r="6" spans="1:24" ht="43.75" customHeight="1" x14ac:dyDescent="0.3">
      <c r="A6" s="131" t="s">
        <v>168</v>
      </c>
      <c r="B6" s="57">
        <v>153010</v>
      </c>
      <c r="C6" s="57"/>
      <c r="D6" s="56"/>
      <c r="E6" s="57"/>
      <c r="F6" s="56"/>
      <c r="G6" s="56">
        <v>1</v>
      </c>
      <c r="H6" s="65">
        <v>33042</v>
      </c>
      <c r="I6" s="65" t="s">
        <v>566</v>
      </c>
      <c r="J6" s="56">
        <v>1</v>
      </c>
      <c r="K6" s="57">
        <v>11978</v>
      </c>
      <c r="L6" s="65" t="s">
        <v>603</v>
      </c>
      <c r="M6" s="56"/>
      <c r="N6" s="65"/>
      <c r="O6" s="65"/>
      <c r="P6" s="56"/>
      <c r="Q6" s="65"/>
      <c r="R6" s="65"/>
      <c r="S6" s="56"/>
      <c r="T6" s="56"/>
      <c r="U6" s="65"/>
      <c r="V6" s="65"/>
      <c r="W6" s="56"/>
      <c r="X6" s="66">
        <f t="shared" si="0"/>
        <v>0</v>
      </c>
    </row>
    <row r="7" spans="1:24" ht="43.75" customHeight="1" x14ac:dyDescent="0.3">
      <c r="A7" s="131" t="s">
        <v>179</v>
      </c>
      <c r="B7" s="57">
        <v>265537.61900000001</v>
      </c>
      <c r="C7" s="57">
        <v>13608601.812000001</v>
      </c>
      <c r="D7" s="56">
        <v>1</v>
      </c>
      <c r="E7" s="57">
        <v>9399100</v>
      </c>
      <c r="F7" s="56">
        <v>404161.3</v>
      </c>
      <c r="G7" s="56"/>
      <c r="H7" s="65"/>
      <c r="I7" s="65"/>
      <c r="J7" s="56"/>
      <c r="K7" s="57"/>
      <c r="L7" s="65"/>
      <c r="M7" s="56">
        <v>1</v>
      </c>
      <c r="N7" s="65">
        <v>168395</v>
      </c>
      <c r="O7" s="65" t="s">
        <v>566</v>
      </c>
      <c r="P7" s="56"/>
      <c r="Q7" s="65"/>
      <c r="R7" s="65"/>
      <c r="S7" s="56"/>
      <c r="T7" s="56"/>
      <c r="U7" s="65"/>
      <c r="V7" s="65"/>
      <c r="W7" s="56"/>
      <c r="X7" s="66">
        <f t="shared" si="0"/>
        <v>51.249242435965357</v>
      </c>
    </row>
    <row r="8" spans="1:24" ht="43.75" hidden="1" customHeight="1" x14ac:dyDescent="0.3">
      <c r="A8" s="130" t="s">
        <v>190</v>
      </c>
      <c r="B8" s="57"/>
      <c r="C8" s="57"/>
      <c r="D8" s="56"/>
      <c r="E8" s="57"/>
      <c r="F8" s="56"/>
      <c r="G8" s="56"/>
      <c r="H8" s="65"/>
      <c r="I8" s="65"/>
      <c r="J8" s="56">
        <v>1</v>
      </c>
      <c r="K8" s="57">
        <v>110609</v>
      </c>
      <c r="L8" s="65" t="s">
        <v>566</v>
      </c>
      <c r="M8" s="56"/>
      <c r="N8" s="65"/>
      <c r="O8" s="65"/>
      <c r="P8" s="56"/>
      <c r="Q8" s="65"/>
      <c r="R8" s="65"/>
      <c r="S8" s="56"/>
      <c r="T8" s="56"/>
      <c r="U8" s="65"/>
      <c r="V8" s="65"/>
      <c r="W8" s="56"/>
      <c r="X8" s="66"/>
    </row>
    <row r="9" spans="1:24" ht="43.75" hidden="1" customHeight="1" x14ac:dyDescent="0.3">
      <c r="A9" s="56" t="s">
        <v>200</v>
      </c>
      <c r="B9" s="57"/>
      <c r="C9" s="57"/>
      <c r="D9" s="56"/>
      <c r="E9" s="57"/>
      <c r="F9" s="56"/>
      <c r="G9" s="56"/>
      <c r="H9" s="65"/>
      <c r="I9" s="65"/>
      <c r="J9" s="56"/>
      <c r="K9" s="57"/>
      <c r="L9" s="65"/>
      <c r="M9" s="56"/>
      <c r="N9" s="65"/>
      <c r="O9" s="65"/>
      <c r="P9" s="56"/>
      <c r="Q9" s="65"/>
      <c r="R9" s="65"/>
      <c r="S9" s="56"/>
      <c r="T9" s="56"/>
      <c r="U9" s="65"/>
      <c r="V9" s="65"/>
      <c r="W9" s="56"/>
      <c r="X9" s="66" t="e">
        <f>C9/B9</f>
        <v>#DIV/0!</v>
      </c>
    </row>
    <row r="10" spans="1:24" ht="43.75" hidden="1" customHeight="1" x14ac:dyDescent="0.3">
      <c r="A10" s="56" t="s">
        <v>213</v>
      </c>
      <c r="B10" s="57"/>
      <c r="C10" s="57"/>
      <c r="D10" s="56"/>
      <c r="E10" s="57"/>
      <c r="F10" s="56"/>
      <c r="G10" s="56"/>
      <c r="H10" s="65"/>
      <c r="I10" s="65"/>
      <c r="J10" s="56"/>
      <c r="K10" s="57"/>
      <c r="L10" s="65"/>
      <c r="M10" s="56"/>
      <c r="N10" s="65"/>
      <c r="O10" s="65"/>
      <c r="P10" s="56"/>
      <c r="Q10" s="65"/>
      <c r="R10" s="65"/>
      <c r="S10" s="56"/>
      <c r="T10" s="56"/>
      <c r="U10" s="65"/>
      <c r="V10" s="65"/>
      <c r="W10" s="56"/>
      <c r="X10" s="66" t="e">
        <f>C10/B10</f>
        <v>#DIV/0!</v>
      </c>
    </row>
    <row r="11" spans="1:24" ht="43.75" customHeight="1" x14ac:dyDescent="0.3">
      <c r="A11" s="126" t="s">
        <v>272</v>
      </c>
      <c r="B11" s="57"/>
      <c r="C11" s="57">
        <v>686187.228</v>
      </c>
      <c r="D11" s="56"/>
      <c r="E11" s="57"/>
      <c r="F11" s="56"/>
      <c r="G11" s="56"/>
      <c r="H11" s="65"/>
      <c r="I11" s="65"/>
      <c r="J11" s="56"/>
      <c r="K11" s="57">
        <v>659380</v>
      </c>
      <c r="L11" s="65" t="s">
        <v>603</v>
      </c>
      <c r="M11" s="56"/>
      <c r="N11" s="65"/>
      <c r="O11" s="65"/>
      <c r="P11" s="56"/>
      <c r="Q11" s="65"/>
      <c r="R11" s="65"/>
      <c r="S11" s="56"/>
      <c r="T11" s="56"/>
      <c r="U11" s="65"/>
      <c r="V11" s="65"/>
      <c r="W11" s="56"/>
      <c r="X11" s="66"/>
    </row>
    <row r="12" spans="1:24" ht="43.75" hidden="1" customHeight="1" x14ac:dyDescent="0.3">
      <c r="A12" s="29" t="s">
        <v>449</v>
      </c>
      <c r="B12" s="102"/>
      <c r="C12" s="102"/>
      <c r="D12" s="29"/>
      <c r="E12" s="102"/>
      <c r="F12" s="29"/>
      <c r="G12" s="29"/>
      <c r="H12" s="118"/>
      <c r="I12" s="118"/>
      <c r="J12" s="29"/>
      <c r="K12" s="102"/>
      <c r="L12" s="118"/>
      <c r="M12" s="29"/>
      <c r="N12" s="118"/>
      <c r="O12" s="118"/>
      <c r="P12" s="29"/>
      <c r="Q12" s="118"/>
      <c r="R12" s="118"/>
      <c r="S12" s="29"/>
      <c r="T12" s="29"/>
      <c r="U12" s="118"/>
      <c r="V12" s="118"/>
      <c r="W12" s="29"/>
      <c r="X12" s="66" t="e">
        <f>C12/B12</f>
        <v>#DIV/0!</v>
      </c>
    </row>
  </sheetData>
  <autoFilter ref="A1:X12" xr:uid="{00000000-0009-0000-0000-000004000000}">
    <filterColumn colId="0">
      <colorFilter dxfId="2"/>
    </filterColumn>
    <sortState xmlns:xlrd2="http://schemas.microsoft.com/office/spreadsheetml/2017/richdata2" ref="A2:X12">
      <sortCondition ref="A1:A1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271"/>
  <sheetViews>
    <sheetView zoomScale="70" zoomScaleNormal="70" workbookViewId="0">
      <pane ySplit="1" topLeftCell="A145" activePane="bottomLeft" state="frozen"/>
      <selection pane="bottomLeft" activeCell="F262" sqref="F262"/>
    </sheetView>
  </sheetViews>
  <sheetFormatPr baseColWidth="10" defaultColWidth="11.54296875" defaultRowHeight="14.5" x14ac:dyDescent="0.35"/>
  <cols>
    <col min="1" max="1" width="72.1796875" style="100" customWidth="1"/>
    <col min="2" max="2" width="24.453125" style="100" customWidth="1"/>
    <col min="3" max="3" width="21.54296875" style="100" customWidth="1"/>
    <col min="4" max="4" width="10.54296875" style="58" bestFit="1" customWidth="1"/>
    <col min="5" max="5" width="27.54296875" style="58" customWidth="1"/>
    <col min="6" max="10" width="22.453125" style="58" customWidth="1"/>
    <col min="11" max="16384" width="11.54296875" style="58"/>
  </cols>
  <sheetData>
    <row r="1" spans="1:10" ht="53.4" customHeight="1" x14ac:dyDescent="0.35">
      <c r="A1" s="1" t="s">
        <v>495</v>
      </c>
      <c r="B1" s="1" t="s">
        <v>3</v>
      </c>
      <c r="C1" s="1" t="s">
        <v>496</v>
      </c>
      <c r="D1" s="54" t="s">
        <v>437</v>
      </c>
      <c r="E1" s="54" t="s">
        <v>438</v>
      </c>
      <c r="F1" s="55" t="s">
        <v>439</v>
      </c>
      <c r="G1" s="55" t="s">
        <v>440</v>
      </c>
      <c r="H1" s="55" t="s">
        <v>441</v>
      </c>
      <c r="I1" s="55" t="s">
        <v>442</v>
      </c>
      <c r="J1" s="55" t="s">
        <v>443</v>
      </c>
    </row>
    <row r="2" spans="1:10" s="61" customFormat="1" ht="43.75" hidden="1" customHeight="1" x14ac:dyDescent="0.35">
      <c r="A2" s="104" t="s">
        <v>16</v>
      </c>
      <c r="B2" s="11" t="s">
        <v>19</v>
      </c>
      <c r="C2" s="11" t="s">
        <v>22</v>
      </c>
      <c r="D2" s="59" t="s">
        <v>444</v>
      </c>
      <c r="E2" s="59" t="s">
        <v>445</v>
      </c>
      <c r="F2" s="57"/>
      <c r="G2" s="57"/>
      <c r="H2" s="57"/>
      <c r="I2" s="57"/>
      <c r="J2" s="60"/>
    </row>
    <row r="3" spans="1:10" s="61" customFormat="1" ht="43.75" hidden="1" customHeight="1" x14ac:dyDescent="0.35">
      <c r="A3" s="104" t="s">
        <v>16</v>
      </c>
      <c r="B3" s="11" t="s">
        <v>19</v>
      </c>
      <c r="C3" s="11" t="s">
        <v>22</v>
      </c>
      <c r="D3" s="59" t="s">
        <v>446</v>
      </c>
      <c r="E3" s="59" t="s">
        <v>445</v>
      </c>
      <c r="F3" s="57"/>
      <c r="G3" s="57"/>
      <c r="H3" s="57"/>
      <c r="I3" s="57"/>
      <c r="J3" s="60"/>
    </row>
    <row r="4" spans="1:10" s="61" customFormat="1" ht="43.75" hidden="1" customHeight="1" x14ac:dyDescent="0.35">
      <c r="A4" s="104" t="s">
        <v>16</v>
      </c>
      <c r="B4" s="11" t="s">
        <v>19</v>
      </c>
      <c r="C4" s="11" t="s">
        <v>22</v>
      </c>
      <c r="D4" s="59" t="s">
        <v>447</v>
      </c>
      <c r="E4" s="59" t="s">
        <v>445</v>
      </c>
      <c r="F4" s="57"/>
      <c r="G4" s="57"/>
      <c r="H4" s="57"/>
      <c r="I4" s="57"/>
      <c r="J4" s="60"/>
    </row>
    <row r="5" spans="1:10" s="61" customFormat="1" ht="43.75" hidden="1" customHeight="1" x14ac:dyDescent="0.35">
      <c r="A5" s="104" t="s">
        <v>16</v>
      </c>
      <c r="B5" s="11" t="s">
        <v>19</v>
      </c>
      <c r="C5" s="11" t="s">
        <v>22</v>
      </c>
      <c r="D5" s="59" t="s">
        <v>444</v>
      </c>
      <c r="E5" s="59" t="s">
        <v>448</v>
      </c>
      <c r="F5" s="57"/>
      <c r="G5" s="57"/>
      <c r="H5" s="57"/>
      <c r="I5" s="57"/>
      <c r="J5" s="60"/>
    </row>
    <row r="6" spans="1:10" s="61" customFormat="1" ht="43.75" hidden="1" customHeight="1" x14ac:dyDescent="0.35">
      <c r="A6" s="104" t="s">
        <v>16</v>
      </c>
      <c r="B6" s="11" t="s">
        <v>19</v>
      </c>
      <c r="C6" s="11" t="s">
        <v>22</v>
      </c>
      <c r="D6" s="59" t="s">
        <v>446</v>
      </c>
      <c r="E6" s="59" t="s">
        <v>448</v>
      </c>
      <c r="F6" s="57"/>
      <c r="G6" s="57"/>
      <c r="H6" s="57"/>
      <c r="I6" s="57"/>
      <c r="J6" s="60"/>
    </row>
    <row r="7" spans="1:10" s="61" customFormat="1" ht="43.75" hidden="1" customHeight="1" x14ac:dyDescent="0.35">
      <c r="A7" s="104" t="s">
        <v>16</v>
      </c>
      <c r="B7" s="11" t="s">
        <v>19</v>
      </c>
      <c r="C7" s="11" t="s">
        <v>22</v>
      </c>
      <c r="D7" s="59" t="s">
        <v>447</v>
      </c>
      <c r="E7" s="59" t="s">
        <v>448</v>
      </c>
      <c r="F7" s="57"/>
      <c r="G7" s="57"/>
      <c r="H7" s="57"/>
      <c r="I7" s="57"/>
      <c r="J7" s="60"/>
    </row>
    <row r="8" spans="1:10" s="61" customFormat="1" ht="43.75" hidden="1" customHeight="1" x14ac:dyDescent="0.35">
      <c r="A8" s="104" t="s">
        <v>23</v>
      </c>
      <c r="B8" s="8" t="s">
        <v>26</v>
      </c>
      <c r="C8" s="11" t="s">
        <v>22</v>
      </c>
      <c r="D8" s="59" t="s">
        <v>444</v>
      </c>
      <c r="E8" s="59" t="s">
        <v>445</v>
      </c>
      <c r="F8" s="57"/>
      <c r="G8" s="57"/>
      <c r="H8" s="57"/>
      <c r="I8" s="57"/>
      <c r="J8" s="60"/>
    </row>
    <row r="9" spans="1:10" s="61" customFormat="1" ht="43.75" hidden="1" customHeight="1" x14ac:dyDescent="0.35">
      <c r="A9" s="104" t="s">
        <v>23</v>
      </c>
      <c r="B9" s="8" t="s">
        <v>26</v>
      </c>
      <c r="C9" s="11" t="s">
        <v>22</v>
      </c>
      <c r="D9" s="59" t="s">
        <v>446</v>
      </c>
      <c r="E9" s="59" t="s">
        <v>445</v>
      </c>
      <c r="F9" s="102"/>
      <c r="G9" s="102"/>
      <c r="H9" s="102"/>
      <c r="I9" s="102"/>
      <c r="J9" s="8"/>
    </row>
    <row r="10" spans="1:10" s="61" customFormat="1" ht="43.75" hidden="1" customHeight="1" x14ac:dyDescent="0.35">
      <c r="A10" s="104" t="s">
        <v>23</v>
      </c>
      <c r="B10" s="8" t="s">
        <v>26</v>
      </c>
      <c r="C10" s="11" t="s">
        <v>22</v>
      </c>
      <c r="D10" s="59" t="s">
        <v>447</v>
      </c>
      <c r="E10" s="59" t="s">
        <v>445</v>
      </c>
      <c r="F10" s="102"/>
      <c r="G10" s="102"/>
      <c r="H10" s="102"/>
      <c r="I10" s="102"/>
      <c r="J10" s="8"/>
    </row>
    <row r="11" spans="1:10" s="61" customFormat="1" ht="43.75" hidden="1" customHeight="1" x14ac:dyDescent="0.35">
      <c r="A11" s="104" t="s">
        <v>23</v>
      </c>
      <c r="B11" s="8" t="s">
        <v>26</v>
      </c>
      <c r="C11" s="11" t="s">
        <v>22</v>
      </c>
      <c r="D11" s="59" t="s">
        <v>444</v>
      </c>
      <c r="E11" s="59" t="s">
        <v>448</v>
      </c>
      <c r="F11" s="102"/>
      <c r="G11" s="102"/>
      <c r="H11" s="102"/>
      <c r="I11" s="102"/>
      <c r="J11" s="8"/>
    </row>
    <row r="12" spans="1:10" s="61" customFormat="1" ht="43.75" hidden="1" customHeight="1" x14ac:dyDescent="0.35">
      <c r="A12" s="104" t="s">
        <v>23</v>
      </c>
      <c r="B12" s="8" t="s">
        <v>26</v>
      </c>
      <c r="C12" s="11" t="s">
        <v>22</v>
      </c>
      <c r="D12" s="59" t="s">
        <v>446</v>
      </c>
      <c r="E12" s="59" t="s">
        <v>448</v>
      </c>
      <c r="F12" s="102"/>
      <c r="G12" s="102"/>
      <c r="H12" s="102"/>
      <c r="I12" s="102"/>
      <c r="J12" s="8"/>
    </row>
    <row r="13" spans="1:10" s="61" customFormat="1" ht="43.75" hidden="1" customHeight="1" x14ac:dyDescent="0.35">
      <c r="A13" s="104" t="s">
        <v>23</v>
      </c>
      <c r="B13" s="8" t="s">
        <v>26</v>
      </c>
      <c r="C13" s="11" t="s">
        <v>22</v>
      </c>
      <c r="D13" s="59" t="s">
        <v>447</v>
      </c>
      <c r="E13" s="59" t="s">
        <v>448</v>
      </c>
      <c r="F13" s="102"/>
      <c r="G13" s="102"/>
      <c r="H13" s="102"/>
      <c r="I13" s="102"/>
      <c r="J13" s="8"/>
    </row>
    <row r="14" spans="1:10" s="61" customFormat="1" ht="43.75" hidden="1" customHeight="1" x14ac:dyDescent="0.35">
      <c r="A14" s="104" t="s">
        <v>28</v>
      </c>
      <c r="B14" s="8" t="s">
        <v>19</v>
      </c>
      <c r="C14" s="11" t="s">
        <v>22</v>
      </c>
      <c r="D14" s="59" t="s">
        <v>444</v>
      </c>
      <c r="E14" s="59" t="s">
        <v>445</v>
      </c>
      <c r="F14" s="102">
        <v>0</v>
      </c>
      <c r="G14" s="102">
        <v>0</v>
      </c>
      <c r="H14" s="102">
        <v>0</v>
      </c>
      <c r="I14" s="102">
        <v>0</v>
      </c>
      <c r="J14" s="8"/>
    </row>
    <row r="15" spans="1:10" s="61" customFormat="1" ht="43.75" hidden="1" customHeight="1" x14ac:dyDescent="0.35">
      <c r="A15" s="104" t="s">
        <v>28</v>
      </c>
      <c r="B15" s="8" t="s">
        <v>19</v>
      </c>
      <c r="C15" s="11" t="s">
        <v>22</v>
      </c>
      <c r="D15" s="59" t="s">
        <v>446</v>
      </c>
      <c r="E15" s="59" t="s">
        <v>445</v>
      </c>
      <c r="F15" s="102">
        <v>0</v>
      </c>
      <c r="G15" s="102">
        <v>3</v>
      </c>
      <c r="H15" s="102">
        <v>0</v>
      </c>
      <c r="I15" s="102">
        <v>0</v>
      </c>
      <c r="J15" s="8"/>
    </row>
    <row r="16" spans="1:10" s="61" customFormat="1" ht="43.75" hidden="1" customHeight="1" x14ac:dyDescent="0.35">
      <c r="A16" s="104" t="s">
        <v>28</v>
      </c>
      <c r="B16" s="8" t="s">
        <v>19</v>
      </c>
      <c r="C16" s="11" t="s">
        <v>22</v>
      </c>
      <c r="D16" s="59" t="s">
        <v>447</v>
      </c>
      <c r="E16" s="59" t="s">
        <v>445</v>
      </c>
      <c r="F16" s="102">
        <v>0</v>
      </c>
      <c r="G16" s="8">
        <v>251882</v>
      </c>
      <c r="H16" s="102">
        <v>0</v>
      </c>
      <c r="I16" s="102">
        <v>0</v>
      </c>
      <c r="J16" s="8"/>
    </row>
    <row r="17" spans="1:10" s="61" customFormat="1" ht="43.75" hidden="1" customHeight="1" x14ac:dyDescent="0.35">
      <c r="A17" s="104" t="s">
        <v>28</v>
      </c>
      <c r="B17" s="8" t="s">
        <v>19</v>
      </c>
      <c r="C17" s="11" t="s">
        <v>22</v>
      </c>
      <c r="D17" s="59" t="s">
        <v>444</v>
      </c>
      <c r="E17" s="59" t="s">
        <v>448</v>
      </c>
      <c r="F17" s="102">
        <v>0</v>
      </c>
      <c r="G17" s="102">
        <v>3</v>
      </c>
      <c r="H17" s="102">
        <v>0</v>
      </c>
      <c r="I17" s="102">
        <v>27</v>
      </c>
      <c r="J17" s="8"/>
    </row>
    <row r="18" spans="1:10" s="61" customFormat="1" ht="43.75" hidden="1" customHeight="1" x14ac:dyDescent="0.35">
      <c r="A18" s="104" t="s">
        <v>28</v>
      </c>
      <c r="B18" s="8" t="s">
        <v>19</v>
      </c>
      <c r="C18" s="11" t="s">
        <v>22</v>
      </c>
      <c r="D18" s="59" t="s">
        <v>446</v>
      </c>
      <c r="E18" s="59" t="s">
        <v>448</v>
      </c>
      <c r="F18" s="102">
        <v>2</v>
      </c>
      <c r="G18" s="102">
        <v>4</v>
      </c>
      <c r="H18" s="102">
        <v>6</v>
      </c>
      <c r="I18" s="102">
        <v>217</v>
      </c>
      <c r="J18" s="8"/>
    </row>
    <row r="19" spans="1:10" s="61" customFormat="1" ht="43.75" hidden="1" customHeight="1" x14ac:dyDescent="0.35">
      <c r="A19" s="104" t="s">
        <v>28</v>
      </c>
      <c r="B19" s="8" t="s">
        <v>19</v>
      </c>
      <c r="C19" s="11" t="s">
        <v>22</v>
      </c>
      <c r="D19" s="59" t="s">
        <v>447</v>
      </c>
      <c r="E19" s="59" t="s">
        <v>448</v>
      </c>
      <c r="F19" s="102">
        <v>192592</v>
      </c>
      <c r="G19" s="102">
        <v>191543</v>
      </c>
      <c r="H19" s="102">
        <v>64153</v>
      </c>
      <c r="I19" s="102">
        <v>194178</v>
      </c>
      <c r="J19" s="8"/>
    </row>
    <row r="20" spans="1:10" s="61" customFormat="1" ht="43.75" hidden="1" customHeight="1" x14ac:dyDescent="0.35">
      <c r="A20" s="104" t="s">
        <v>539</v>
      </c>
      <c r="B20" s="10" t="s">
        <v>19</v>
      </c>
      <c r="C20" s="8" t="s">
        <v>38</v>
      </c>
      <c r="D20" s="59" t="s">
        <v>444</v>
      </c>
      <c r="E20" s="59" t="s">
        <v>445</v>
      </c>
      <c r="F20" s="103">
        <v>0</v>
      </c>
      <c r="G20" s="103">
        <v>0</v>
      </c>
      <c r="H20" s="103">
        <v>0</v>
      </c>
      <c r="I20" s="103">
        <v>0</v>
      </c>
      <c r="J20" s="8"/>
    </row>
    <row r="21" spans="1:10" s="61" customFormat="1" ht="43.75" hidden="1" customHeight="1" x14ac:dyDescent="0.35">
      <c r="A21" s="104" t="s">
        <v>539</v>
      </c>
      <c r="B21" s="10" t="s">
        <v>19</v>
      </c>
      <c r="C21" s="8" t="s">
        <v>38</v>
      </c>
      <c r="D21" s="59" t="s">
        <v>446</v>
      </c>
      <c r="E21" s="59" t="s">
        <v>445</v>
      </c>
      <c r="F21" s="103">
        <v>0</v>
      </c>
      <c r="G21" s="103">
        <v>0</v>
      </c>
      <c r="H21" s="103">
        <v>0</v>
      </c>
      <c r="I21" s="103">
        <v>0</v>
      </c>
      <c r="J21" s="8"/>
    </row>
    <row r="22" spans="1:10" s="61" customFormat="1" ht="43.75" hidden="1" customHeight="1" x14ac:dyDescent="0.35">
      <c r="A22" s="104" t="s">
        <v>539</v>
      </c>
      <c r="B22" s="10" t="s">
        <v>19</v>
      </c>
      <c r="C22" s="8" t="s">
        <v>38</v>
      </c>
      <c r="D22" s="59" t="s">
        <v>447</v>
      </c>
      <c r="E22" s="59" t="s">
        <v>445</v>
      </c>
      <c r="F22" s="103">
        <v>0</v>
      </c>
      <c r="G22" s="103">
        <v>0</v>
      </c>
      <c r="H22" s="103">
        <v>0</v>
      </c>
      <c r="I22" s="103">
        <v>0</v>
      </c>
      <c r="J22" s="8"/>
    </row>
    <row r="23" spans="1:10" s="61" customFormat="1" ht="43.75" hidden="1" customHeight="1" x14ac:dyDescent="0.35">
      <c r="A23" s="104" t="s">
        <v>539</v>
      </c>
      <c r="B23" s="10" t="s">
        <v>19</v>
      </c>
      <c r="C23" s="8" t="s">
        <v>38</v>
      </c>
      <c r="D23" s="59" t="s">
        <v>444</v>
      </c>
      <c r="E23" s="59" t="s">
        <v>448</v>
      </c>
      <c r="F23" s="103">
        <v>0</v>
      </c>
      <c r="G23" s="103">
        <v>0</v>
      </c>
      <c r="H23" s="103">
        <v>0</v>
      </c>
      <c r="I23" s="103">
        <v>0</v>
      </c>
      <c r="J23" s="8"/>
    </row>
    <row r="24" spans="1:10" s="61" customFormat="1" ht="43.75" hidden="1" customHeight="1" x14ac:dyDescent="0.35">
      <c r="A24" s="104" t="s">
        <v>539</v>
      </c>
      <c r="B24" s="10" t="s">
        <v>19</v>
      </c>
      <c r="C24" s="8" t="s">
        <v>38</v>
      </c>
      <c r="D24" s="59" t="s">
        <v>446</v>
      </c>
      <c r="E24" s="59" t="s">
        <v>448</v>
      </c>
      <c r="F24" s="103">
        <v>2</v>
      </c>
      <c r="G24" s="103">
        <v>2</v>
      </c>
      <c r="H24" s="103">
        <v>0</v>
      </c>
      <c r="I24" s="103">
        <v>0</v>
      </c>
      <c r="J24" s="8"/>
    </row>
    <row r="25" spans="1:10" s="61" customFormat="1" ht="43.75" hidden="1" customHeight="1" x14ac:dyDescent="0.35">
      <c r="A25" s="104" t="s">
        <v>539</v>
      </c>
      <c r="B25" s="10" t="s">
        <v>19</v>
      </c>
      <c r="C25" s="8" t="s">
        <v>38</v>
      </c>
      <c r="D25" s="59" t="s">
        <v>447</v>
      </c>
      <c r="E25" s="59" t="s">
        <v>448</v>
      </c>
      <c r="F25" s="103">
        <v>36000</v>
      </c>
      <c r="G25" s="103">
        <v>9000</v>
      </c>
      <c r="H25" s="103">
        <v>0</v>
      </c>
      <c r="I25" s="103">
        <v>0</v>
      </c>
      <c r="J25" s="8"/>
    </row>
    <row r="26" spans="1:10" s="61" customFormat="1" ht="43.75" hidden="1" customHeight="1" x14ac:dyDescent="0.35">
      <c r="A26" s="104" t="s">
        <v>542</v>
      </c>
      <c r="B26" s="10" t="s">
        <v>46</v>
      </c>
      <c r="C26" s="8" t="s">
        <v>79</v>
      </c>
      <c r="D26" s="59" t="s">
        <v>447</v>
      </c>
      <c r="E26" s="59" t="s">
        <v>445</v>
      </c>
      <c r="F26" s="103">
        <v>0</v>
      </c>
      <c r="G26" s="103">
        <v>0</v>
      </c>
      <c r="H26" s="103">
        <v>0</v>
      </c>
      <c r="I26" s="103"/>
      <c r="J26" s="8"/>
    </row>
    <row r="27" spans="1:10" s="61" customFormat="1" ht="43.75" hidden="1" customHeight="1" x14ac:dyDescent="0.35">
      <c r="A27" s="104" t="s">
        <v>542</v>
      </c>
      <c r="B27" s="10" t="s">
        <v>46</v>
      </c>
      <c r="C27" s="8" t="s">
        <v>79</v>
      </c>
      <c r="D27" s="59" t="s">
        <v>446</v>
      </c>
      <c r="E27" s="59" t="s">
        <v>445</v>
      </c>
      <c r="F27" s="103">
        <v>0</v>
      </c>
      <c r="G27" s="103">
        <v>0</v>
      </c>
      <c r="H27" s="103">
        <v>0</v>
      </c>
      <c r="I27" s="103"/>
      <c r="J27" s="8"/>
    </row>
    <row r="28" spans="1:10" s="61" customFormat="1" ht="43.75" hidden="1" customHeight="1" x14ac:dyDescent="0.35">
      <c r="A28" s="104" t="s">
        <v>542</v>
      </c>
      <c r="B28" s="10" t="s">
        <v>46</v>
      </c>
      <c r="C28" s="8" t="s">
        <v>79</v>
      </c>
      <c r="D28" s="59" t="s">
        <v>447</v>
      </c>
      <c r="E28" s="59" t="s">
        <v>445</v>
      </c>
      <c r="F28" s="103">
        <v>0</v>
      </c>
      <c r="G28" s="103">
        <v>0</v>
      </c>
      <c r="H28" s="103">
        <v>0</v>
      </c>
      <c r="I28" s="103"/>
      <c r="J28" s="8"/>
    </row>
    <row r="29" spans="1:10" s="61" customFormat="1" ht="43.75" hidden="1" customHeight="1" x14ac:dyDescent="0.35">
      <c r="A29" s="104" t="s">
        <v>542</v>
      </c>
      <c r="B29" s="10" t="s">
        <v>46</v>
      </c>
      <c r="C29" s="8" t="s">
        <v>79</v>
      </c>
      <c r="D29" s="59" t="s">
        <v>444</v>
      </c>
      <c r="E29" s="59" t="s">
        <v>448</v>
      </c>
      <c r="F29" s="103">
        <v>0</v>
      </c>
      <c r="G29" s="103">
        <v>0</v>
      </c>
      <c r="H29" s="103">
        <v>0</v>
      </c>
      <c r="I29" s="103">
        <v>0</v>
      </c>
      <c r="J29" s="8"/>
    </row>
    <row r="30" spans="1:10" s="61" customFormat="1" ht="43.75" hidden="1" customHeight="1" x14ac:dyDescent="0.35">
      <c r="A30" s="104" t="s">
        <v>542</v>
      </c>
      <c r="B30" s="10" t="s">
        <v>46</v>
      </c>
      <c r="C30" s="8" t="s">
        <v>79</v>
      </c>
      <c r="D30" s="59" t="s">
        <v>446</v>
      </c>
      <c r="E30" s="59" t="s">
        <v>448</v>
      </c>
      <c r="F30" s="103">
        <v>0</v>
      </c>
      <c r="G30" s="103">
        <v>0</v>
      </c>
      <c r="H30" s="103">
        <v>2</v>
      </c>
      <c r="I30" s="103">
        <v>27</v>
      </c>
      <c r="J30" s="8"/>
    </row>
    <row r="31" spans="1:10" s="61" customFormat="1" ht="43.75" hidden="1" customHeight="1" x14ac:dyDescent="0.35">
      <c r="A31" s="104" t="s">
        <v>542</v>
      </c>
      <c r="B31" s="10" t="s">
        <v>46</v>
      </c>
      <c r="C31" s="8" t="s">
        <v>79</v>
      </c>
      <c r="D31" s="59" t="s">
        <v>447</v>
      </c>
      <c r="E31" s="59" t="s">
        <v>448</v>
      </c>
      <c r="F31" s="103">
        <v>0</v>
      </c>
      <c r="G31" s="103">
        <v>0</v>
      </c>
      <c r="H31" s="103">
        <v>4692</v>
      </c>
      <c r="I31" s="103">
        <v>33122.027999999998</v>
      </c>
      <c r="J31" s="8"/>
    </row>
    <row r="32" spans="1:10" s="61" customFormat="1" ht="43.75" hidden="1" customHeight="1" x14ac:dyDescent="0.35">
      <c r="A32" s="104" t="s">
        <v>34</v>
      </c>
      <c r="B32" s="8" t="s">
        <v>19</v>
      </c>
      <c r="C32" s="8" t="s">
        <v>38</v>
      </c>
      <c r="D32" s="59" t="s">
        <v>444</v>
      </c>
      <c r="E32" s="59" t="s">
        <v>445</v>
      </c>
      <c r="F32" s="103"/>
      <c r="G32" s="103"/>
      <c r="H32" s="103"/>
      <c r="I32" s="103"/>
      <c r="J32" s="8"/>
    </row>
    <row r="33" spans="1:10" s="61" customFormat="1" ht="43.75" hidden="1" customHeight="1" x14ac:dyDescent="0.35">
      <c r="A33" s="104" t="s">
        <v>34</v>
      </c>
      <c r="B33" s="8" t="s">
        <v>19</v>
      </c>
      <c r="C33" s="8" t="s">
        <v>38</v>
      </c>
      <c r="D33" s="59" t="s">
        <v>446</v>
      </c>
      <c r="E33" s="59" t="s">
        <v>445</v>
      </c>
      <c r="F33" s="103"/>
      <c r="G33" s="103"/>
      <c r="H33" s="103"/>
      <c r="I33" s="103"/>
      <c r="J33" s="8"/>
    </row>
    <row r="34" spans="1:10" s="61" customFormat="1" ht="43.75" hidden="1" customHeight="1" x14ac:dyDescent="0.35">
      <c r="A34" s="104" t="s">
        <v>34</v>
      </c>
      <c r="B34" s="8" t="s">
        <v>19</v>
      </c>
      <c r="C34" s="8" t="s">
        <v>38</v>
      </c>
      <c r="D34" s="59" t="s">
        <v>447</v>
      </c>
      <c r="E34" s="59" t="s">
        <v>445</v>
      </c>
      <c r="F34" s="103"/>
      <c r="G34" s="103"/>
      <c r="H34" s="103"/>
      <c r="I34" s="103"/>
      <c r="J34" s="8"/>
    </row>
    <row r="35" spans="1:10" s="61" customFormat="1" ht="43.75" hidden="1" customHeight="1" x14ac:dyDescent="0.35">
      <c r="A35" s="104" t="s">
        <v>34</v>
      </c>
      <c r="B35" s="8" t="s">
        <v>19</v>
      </c>
      <c r="C35" s="8" t="s">
        <v>38</v>
      </c>
      <c r="D35" s="59" t="s">
        <v>444</v>
      </c>
      <c r="E35" s="59" t="s">
        <v>448</v>
      </c>
      <c r="F35" s="103">
        <v>1</v>
      </c>
      <c r="G35" s="103">
        <v>0</v>
      </c>
      <c r="H35" s="103">
        <v>0</v>
      </c>
      <c r="I35" s="103">
        <v>0</v>
      </c>
      <c r="J35" s="8"/>
    </row>
    <row r="36" spans="1:10" s="61" customFormat="1" ht="43.75" hidden="1" customHeight="1" x14ac:dyDescent="0.35">
      <c r="A36" s="104" t="s">
        <v>34</v>
      </c>
      <c r="B36" s="8" t="s">
        <v>19</v>
      </c>
      <c r="C36" s="8" t="s">
        <v>38</v>
      </c>
      <c r="D36" s="59" t="s">
        <v>446</v>
      </c>
      <c r="E36" s="59" t="s">
        <v>448</v>
      </c>
      <c r="F36" s="103">
        <v>2</v>
      </c>
      <c r="G36" s="103">
        <v>0</v>
      </c>
      <c r="H36" s="103">
        <v>0</v>
      </c>
      <c r="I36" s="103">
        <v>2</v>
      </c>
      <c r="J36" s="8"/>
    </row>
    <row r="37" spans="1:10" s="61" customFormat="1" ht="43.75" hidden="1" customHeight="1" x14ac:dyDescent="0.35">
      <c r="A37" s="104" t="s">
        <v>34</v>
      </c>
      <c r="B37" s="8" t="s">
        <v>19</v>
      </c>
      <c r="C37" s="8" t="s">
        <v>38</v>
      </c>
      <c r="D37" s="59" t="s">
        <v>447</v>
      </c>
      <c r="E37" s="59" t="s">
        <v>448</v>
      </c>
      <c r="F37" s="111">
        <v>37754.724000000002</v>
      </c>
      <c r="G37" s="103">
        <v>0</v>
      </c>
      <c r="H37" s="103">
        <v>0</v>
      </c>
      <c r="I37" s="111">
        <v>6526.3119999999999</v>
      </c>
      <c r="J37" s="8"/>
    </row>
    <row r="38" spans="1:10" s="61" customFormat="1" ht="43.75" hidden="1" customHeight="1" x14ac:dyDescent="0.35">
      <c r="A38" s="104" t="s">
        <v>40</v>
      </c>
      <c r="B38" s="6" t="s">
        <v>19</v>
      </c>
      <c r="C38" s="11" t="s">
        <v>22</v>
      </c>
      <c r="D38" s="59" t="s">
        <v>444</v>
      </c>
      <c r="E38" s="59" t="s">
        <v>445</v>
      </c>
      <c r="F38" s="103"/>
      <c r="G38" s="103"/>
      <c r="H38" s="103"/>
      <c r="I38" s="103"/>
      <c r="J38" s="8"/>
    </row>
    <row r="39" spans="1:10" s="61" customFormat="1" ht="43.75" hidden="1" customHeight="1" x14ac:dyDescent="0.35">
      <c r="A39" s="104" t="s">
        <v>40</v>
      </c>
      <c r="B39" s="6" t="s">
        <v>19</v>
      </c>
      <c r="C39" s="11" t="s">
        <v>22</v>
      </c>
      <c r="D39" s="59" t="s">
        <v>446</v>
      </c>
      <c r="E39" s="59" t="s">
        <v>445</v>
      </c>
      <c r="F39" s="103"/>
      <c r="G39" s="103"/>
      <c r="H39" s="103"/>
      <c r="I39" s="103"/>
      <c r="J39" s="8"/>
    </row>
    <row r="40" spans="1:10" s="61" customFormat="1" ht="43.75" hidden="1" customHeight="1" x14ac:dyDescent="0.35">
      <c r="A40" s="104" t="s">
        <v>40</v>
      </c>
      <c r="B40" s="6" t="s">
        <v>19</v>
      </c>
      <c r="C40" s="11" t="s">
        <v>22</v>
      </c>
      <c r="D40" s="59" t="s">
        <v>447</v>
      </c>
      <c r="E40" s="59" t="s">
        <v>445</v>
      </c>
      <c r="F40" s="103"/>
      <c r="G40" s="103"/>
      <c r="H40" s="103"/>
      <c r="I40" s="103"/>
      <c r="J40" s="8"/>
    </row>
    <row r="41" spans="1:10" s="61" customFormat="1" ht="43.75" hidden="1" customHeight="1" x14ac:dyDescent="0.35">
      <c r="A41" s="104" t="s">
        <v>40</v>
      </c>
      <c r="B41" s="6" t="s">
        <v>19</v>
      </c>
      <c r="C41" s="11" t="s">
        <v>22</v>
      </c>
      <c r="D41" s="59" t="s">
        <v>444</v>
      </c>
      <c r="E41" s="59" t="s">
        <v>448</v>
      </c>
      <c r="F41" s="103"/>
      <c r="G41" s="103"/>
      <c r="H41" s="103"/>
      <c r="I41" s="103"/>
      <c r="J41" s="8"/>
    </row>
    <row r="42" spans="1:10" s="61" customFormat="1" ht="43.75" hidden="1" customHeight="1" x14ac:dyDescent="0.35">
      <c r="A42" s="104" t="s">
        <v>40</v>
      </c>
      <c r="B42" s="6" t="s">
        <v>19</v>
      </c>
      <c r="C42" s="11" t="s">
        <v>22</v>
      </c>
      <c r="D42" s="59" t="s">
        <v>446</v>
      </c>
      <c r="E42" s="59" t="s">
        <v>448</v>
      </c>
      <c r="F42" s="103"/>
      <c r="G42" s="103"/>
      <c r="H42" s="103"/>
      <c r="I42" s="103"/>
      <c r="J42" s="8"/>
    </row>
    <row r="43" spans="1:10" s="61" customFormat="1" ht="43.75" hidden="1" customHeight="1" x14ac:dyDescent="0.35">
      <c r="A43" s="104" t="s">
        <v>40</v>
      </c>
      <c r="B43" s="6" t="s">
        <v>19</v>
      </c>
      <c r="C43" s="11" t="s">
        <v>22</v>
      </c>
      <c r="D43" s="59" t="s">
        <v>447</v>
      </c>
      <c r="E43" s="59" t="s">
        <v>448</v>
      </c>
      <c r="F43" s="103"/>
      <c r="G43" s="103"/>
      <c r="H43" s="103"/>
      <c r="I43" s="103"/>
      <c r="J43" s="8"/>
    </row>
    <row r="44" spans="1:10" s="61" customFormat="1" ht="43.75" hidden="1" customHeight="1" x14ac:dyDescent="0.35">
      <c r="A44" s="104" t="s">
        <v>52</v>
      </c>
      <c r="B44" s="8" t="s">
        <v>19</v>
      </c>
      <c r="C44" s="11" t="s">
        <v>22</v>
      </c>
      <c r="D44" s="59" t="s">
        <v>444</v>
      </c>
      <c r="E44" s="59" t="s">
        <v>445</v>
      </c>
      <c r="F44" s="103"/>
      <c r="G44" s="103"/>
      <c r="H44" s="103"/>
      <c r="I44" s="103"/>
      <c r="J44" s="8"/>
    </row>
    <row r="45" spans="1:10" s="61" customFormat="1" ht="43.75" hidden="1" customHeight="1" x14ac:dyDescent="0.35">
      <c r="A45" s="104" t="s">
        <v>52</v>
      </c>
      <c r="B45" s="8" t="s">
        <v>19</v>
      </c>
      <c r="C45" s="11" t="s">
        <v>22</v>
      </c>
      <c r="D45" s="59" t="s">
        <v>446</v>
      </c>
      <c r="E45" s="59" t="s">
        <v>445</v>
      </c>
      <c r="F45" s="103"/>
      <c r="G45" s="103"/>
      <c r="H45" s="103"/>
      <c r="I45" s="103"/>
      <c r="J45" s="8"/>
    </row>
    <row r="46" spans="1:10" s="61" customFormat="1" ht="43.75" hidden="1" customHeight="1" x14ac:dyDescent="0.35">
      <c r="A46" s="104" t="s">
        <v>52</v>
      </c>
      <c r="B46" s="8" t="s">
        <v>19</v>
      </c>
      <c r="C46" s="11" t="s">
        <v>22</v>
      </c>
      <c r="D46" s="59" t="s">
        <v>447</v>
      </c>
      <c r="E46" s="59" t="s">
        <v>445</v>
      </c>
      <c r="F46" s="103"/>
      <c r="G46" s="103"/>
      <c r="H46" s="103"/>
      <c r="I46" s="103"/>
      <c r="J46" s="8"/>
    </row>
    <row r="47" spans="1:10" s="61" customFormat="1" ht="43.75" hidden="1" customHeight="1" x14ac:dyDescent="0.35">
      <c r="A47" s="104" t="s">
        <v>52</v>
      </c>
      <c r="B47" s="8" t="s">
        <v>19</v>
      </c>
      <c r="C47" s="11" t="s">
        <v>22</v>
      </c>
      <c r="D47" s="59" t="s">
        <v>444</v>
      </c>
      <c r="E47" s="59" t="s">
        <v>448</v>
      </c>
      <c r="F47" s="103"/>
      <c r="G47" s="103"/>
      <c r="H47" s="103"/>
      <c r="I47" s="103"/>
      <c r="J47" s="8"/>
    </row>
    <row r="48" spans="1:10" s="61" customFormat="1" ht="43.75" hidden="1" customHeight="1" x14ac:dyDescent="0.35">
      <c r="A48" s="104" t="s">
        <v>52</v>
      </c>
      <c r="B48" s="8" t="s">
        <v>19</v>
      </c>
      <c r="C48" s="11" t="s">
        <v>22</v>
      </c>
      <c r="D48" s="59" t="s">
        <v>446</v>
      </c>
      <c r="E48" s="59" t="s">
        <v>448</v>
      </c>
      <c r="F48" s="103"/>
      <c r="G48" s="103"/>
      <c r="H48" s="103"/>
      <c r="I48" s="103"/>
      <c r="J48" s="8"/>
    </row>
    <row r="49" spans="1:10" s="61" customFormat="1" ht="43.75" hidden="1" customHeight="1" x14ac:dyDescent="0.35">
      <c r="A49" s="104" t="s">
        <v>52</v>
      </c>
      <c r="B49" s="8" t="s">
        <v>19</v>
      </c>
      <c r="C49" s="11" t="s">
        <v>22</v>
      </c>
      <c r="D49" s="59" t="s">
        <v>447</v>
      </c>
      <c r="E49" s="59" t="s">
        <v>448</v>
      </c>
      <c r="F49" s="103"/>
      <c r="G49" s="103"/>
      <c r="H49" s="103"/>
      <c r="I49" s="103"/>
      <c r="J49" s="8"/>
    </row>
    <row r="50" spans="1:10" s="61" customFormat="1" ht="43.75" hidden="1" customHeight="1" x14ac:dyDescent="0.35">
      <c r="A50" s="104" t="s">
        <v>472</v>
      </c>
      <c r="B50" s="8" t="s">
        <v>19</v>
      </c>
      <c r="C50" s="8" t="s">
        <v>22</v>
      </c>
      <c r="D50" s="59" t="s">
        <v>444</v>
      </c>
      <c r="E50" s="59" t="s">
        <v>445</v>
      </c>
      <c r="F50" s="103">
        <v>0</v>
      </c>
      <c r="G50" s="103">
        <v>0</v>
      </c>
      <c r="H50" s="103">
        <v>0</v>
      </c>
      <c r="I50" s="103">
        <v>0</v>
      </c>
      <c r="J50" s="8"/>
    </row>
    <row r="51" spans="1:10" s="61" customFormat="1" ht="43.75" hidden="1" customHeight="1" x14ac:dyDescent="0.35">
      <c r="A51" s="104" t="s">
        <v>472</v>
      </c>
      <c r="B51" s="8" t="s">
        <v>19</v>
      </c>
      <c r="C51" s="8" t="s">
        <v>22</v>
      </c>
      <c r="D51" s="59" t="s">
        <v>446</v>
      </c>
      <c r="E51" s="59" t="s">
        <v>445</v>
      </c>
      <c r="F51" s="103">
        <v>0</v>
      </c>
      <c r="G51" s="103">
        <v>0</v>
      </c>
      <c r="H51" s="103">
        <v>0</v>
      </c>
      <c r="I51" s="103">
        <v>0</v>
      </c>
      <c r="J51" s="8"/>
    </row>
    <row r="52" spans="1:10" s="61" customFormat="1" ht="43.75" hidden="1" customHeight="1" x14ac:dyDescent="0.35">
      <c r="A52" s="104" t="s">
        <v>472</v>
      </c>
      <c r="B52" s="8" t="s">
        <v>19</v>
      </c>
      <c r="C52" s="8" t="s">
        <v>22</v>
      </c>
      <c r="D52" s="59" t="s">
        <v>447</v>
      </c>
      <c r="E52" s="59" t="s">
        <v>445</v>
      </c>
      <c r="F52" s="103">
        <v>0</v>
      </c>
      <c r="G52" s="103">
        <v>0</v>
      </c>
      <c r="H52" s="103">
        <v>0</v>
      </c>
      <c r="I52" s="103">
        <v>0</v>
      </c>
      <c r="J52" s="8"/>
    </row>
    <row r="53" spans="1:10" s="61" customFormat="1" ht="43.75" hidden="1" customHeight="1" x14ac:dyDescent="0.35">
      <c r="A53" s="104" t="s">
        <v>472</v>
      </c>
      <c r="B53" s="8" t="s">
        <v>19</v>
      </c>
      <c r="C53" s="8" t="s">
        <v>22</v>
      </c>
      <c r="D53" s="59" t="s">
        <v>444</v>
      </c>
      <c r="E53" s="59" t="s">
        <v>448</v>
      </c>
      <c r="F53" s="103">
        <v>0</v>
      </c>
      <c r="G53" s="103">
        <v>0</v>
      </c>
      <c r="H53" s="103">
        <v>0</v>
      </c>
      <c r="I53" s="103">
        <v>2</v>
      </c>
      <c r="J53" s="8"/>
    </row>
    <row r="54" spans="1:10" s="61" customFormat="1" ht="43.75" hidden="1" customHeight="1" x14ac:dyDescent="0.35">
      <c r="A54" s="104" t="s">
        <v>472</v>
      </c>
      <c r="B54" s="8" t="s">
        <v>19</v>
      </c>
      <c r="C54" s="8" t="s">
        <v>22</v>
      </c>
      <c r="D54" s="59" t="s">
        <v>446</v>
      </c>
      <c r="E54" s="59" t="s">
        <v>448</v>
      </c>
      <c r="F54" s="103">
        <v>3</v>
      </c>
      <c r="G54" s="103">
        <v>1</v>
      </c>
      <c r="H54" s="103">
        <v>3</v>
      </c>
      <c r="I54" s="103">
        <v>11</v>
      </c>
      <c r="J54" s="8"/>
    </row>
    <row r="55" spans="1:10" s="61" customFormat="1" ht="43.75" hidden="1" customHeight="1" x14ac:dyDescent="0.35">
      <c r="A55" s="104" t="s">
        <v>472</v>
      </c>
      <c r="B55" s="8" t="s">
        <v>19</v>
      </c>
      <c r="C55" s="8" t="s">
        <v>22</v>
      </c>
      <c r="D55" s="59" t="s">
        <v>447</v>
      </c>
      <c r="E55" s="59" t="s">
        <v>448</v>
      </c>
      <c r="F55" s="111">
        <v>2716.8420000000001</v>
      </c>
      <c r="G55" s="111">
        <v>600.55999999999995</v>
      </c>
      <c r="H55" s="111">
        <v>4254.058</v>
      </c>
      <c r="I55" s="111">
        <v>5564.116</v>
      </c>
      <c r="J55" s="8"/>
    </row>
    <row r="56" spans="1:10" s="61" customFormat="1" ht="43.75" hidden="1" customHeight="1" x14ac:dyDescent="0.35">
      <c r="A56" s="104" t="s">
        <v>67</v>
      </c>
      <c r="B56" s="8" t="s">
        <v>19</v>
      </c>
      <c r="C56" s="11" t="s">
        <v>22</v>
      </c>
      <c r="D56" s="59" t="s">
        <v>444</v>
      </c>
      <c r="E56" s="59" t="s">
        <v>445</v>
      </c>
      <c r="F56" s="103"/>
      <c r="G56" s="103"/>
      <c r="H56" s="103"/>
      <c r="I56" s="103"/>
      <c r="J56" s="8"/>
    </row>
    <row r="57" spans="1:10" s="61" customFormat="1" ht="43.75" hidden="1" customHeight="1" x14ac:dyDescent="0.35">
      <c r="A57" s="104" t="s">
        <v>67</v>
      </c>
      <c r="B57" s="8" t="s">
        <v>19</v>
      </c>
      <c r="C57" s="11" t="s">
        <v>22</v>
      </c>
      <c r="D57" s="59" t="s">
        <v>446</v>
      </c>
      <c r="E57" s="59" t="s">
        <v>445</v>
      </c>
      <c r="F57" s="103">
        <v>2</v>
      </c>
      <c r="G57" s="103"/>
      <c r="H57" s="103">
        <v>1</v>
      </c>
      <c r="I57" s="103"/>
      <c r="J57" s="8"/>
    </row>
    <row r="58" spans="1:10" s="61" customFormat="1" ht="43.75" hidden="1" customHeight="1" x14ac:dyDescent="0.35">
      <c r="A58" s="104" t="s">
        <v>67</v>
      </c>
      <c r="B58" s="8" t="s">
        <v>19</v>
      </c>
      <c r="C58" s="11" t="s">
        <v>22</v>
      </c>
      <c r="D58" s="59" t="s">
        <v>447</v>
      </c>
      <c r="E58" s="59" t="s">
        <v>445</v>
      </c>
      <c r="F58" s="111">
        <v>9196</v>
      </c>
      <c r="G58" s="103"/>
      <c r="H58" s="111">
        <v>500</v>
      </c>
      <c r="I58" s="103"/>
      <c r="J58" s="8"/>
    </row>
    <row r="59" spans="1:10" s="61" customFormat="1" ht="43.75" hidden="1" customHeight="1" x14ac:dyDescent="0.35">
      <c r="A59" s="104" t="s">
        <v>67</v>
      </c>
      <c r="B59" s="8" t="s">
        <v>19</v>
      </c>
      <c r="C59" s="11" t="s">
        <v>22</v>
      </c>
      <c r="D59" s="59" t="s">
        <v>444</v>
      </c>
      <c r="E59" s="59" t="s">
        <v>448</v>
      </c>
      <c r="F59" s="103"/>
      <c r="G59" s="103"/>
      <c r="H59" s="103"/>
      <c r="I59" s="103">
        <v>5</v>
      </c>
      <c r="J59" s="8"/>
    </row>
    <row r="60" spans="1:10" s="61" customFormat="1" ht="43.75" hidden="1" customHeight="1" x14ac:dyDescent="0.35">
      <c r="A60" s="104" t="s">
        <v>67</v>
      </c>
      <c r="B60" s="8" t="s">
        <v>19</v>
      </c>
      <c r="C60" s="11" t="s">
        <v>22</v>
      </c>
      <c r="D60" s="59" t="s">
        <v>446</v>
      </c>
      <c r="E60" s="59" t="s">
        <v>448</v>
      </c>
      <c r="F60" s="103">
        <v>1</v>
      </c>
      <c r="G60" s="103">
        <v>0</v>
      </c>
      <c r="H60" s="103">
        <v>0</v>
      </c>
      <c r="I60" s="103">
        <v>32</v>
      </c>
      <c r="J60" s="8"/>
    </row>
    <row r="61" spans="1:10" s="61" customFormat="1" ht="43.75" hidden="1" customHeight="1" x14ac:dyDescent="0.35">
      <c r="A61" s="104" t="s">
        <v>67</v>
      </c>
      <c r="B61" s="8" t="s">
        <v>19</v>
      </c>
      <c r="C61" s="11" t="s">
        <v>22</v>
      </c>
      <c r="D61" s="59" t="s">
        <v>447</v>
      </c>
      <c r="E61" s="59" t="s">
        <v>448</v>
      </c>
      <c r="F61" s="111">
        <v>11808</v>
      </c>
      <c r="G61" s="103"/>
      <c r="H61" s="103"/>
      <c r="I61" s="111">
        <v>3378.0010000000002</v>
      </c>
      <c r="J61" s="8"/>
    </row>
    <row r="62" spans="1:10" s="61" customFormat="1" ht="43.75" hidden="1" customHeight="1" x14ac:dyDescent="0.35">
      <c r="A62" s="104" t="s">
        <v>60</v>
      </c>
      <c r="B62" s="8" t="s">
        <v>26</v>
      </c>
      <c r="C62" s="8" t="s">
        <v>38</v>
      </c>
      <c r="D62" s="59" t="s">
        <v>444</v>
      </c>
      <c r="E62" s="59" t="s">
        <v>445</v>
      </c>
      <c r="F62" s="103">
        <v>0</v>
      </c>
      <c r="G62" s="103">
        <v>0</v>
      </c>
      <c r="H62" s="103">
        <v>0</v>
      </c>
      <c r="I62" s="103">
        <v>0</v>
      </c>
      <c r="J62" s="8"/>
    </row>
    <row r="63" spans="1:10" s="61" customFormat="1" ht="43.75" hidden="1" customHeight="1" x14ac:dyDescent="0.35">
      <c r="A63" s="104" t="s">
        <v>60</v>
      </c>
      <c r="B63" s="8" t="s">
        <v>26</v>
      </c>
      <c r="C63" s="8" t="s">
        <v>38</v>
      </c>
      <c r="D63" s="59" t="s">
        <v>446</v>
      </c>
      <c r="E63" s="59" t="s">
        <v>445</v>
      </c>
      <c r="F63" s="103">
        <v>0</v>
      </c>
      <c r="G63" s="103">
        <v>0</v>
      </c>
      <c r="H63" s="103">
        <v>0</v>
      </c>
      <c r="I63" s="103">
        <v>0</v>
      </c>
      <c r="J63" s="8"/>
    </row>
    <row r="64" spans="1:10" s="61" customFormat="1" ht="43.75" hidden="1" customHeight="1" x14ac:dyDescent="0.35">
      <c r="A64" s="104" t="s">
        <v>60</v>
      </c>
      <c r="B64" s="8" t="s">
        <v>26</v>
      </c>
      <c r="C64" s="8" t="s">
        <v>38</v>
      </c>
      <c r="D64" s="59" t="s">
        <v>447</v>
      </c>
      <c r="E64" s="59" t="s">
        <v>445</v>
      </c>
      <c r="F64" s="103">
        <v>0</v>
      </c>
      <c r="G64" s="103">
        <v>0</v>
      </c>
      <c r="H64" s="103">
        <v>0</v>
      </c>
      <c r="I64" s="103">
        <v>0</v>
      </c>
      <c r="J64" s="8"/>
    </row>
    <row r="65" spans="1:10" s="61" customFormat="1" ht="43.75" hidden="1" customHeight="1" x14ac:dyDescent="0.35">
      <c r="A65" s="104" t="s">
        <v>60</v>
      </c>
      <c r="B65" s="8" t="s">
        <v>26</v>
      </c>
      <c r="C65" s="8" t="s">
        <v>38</v>
      </c>
      <c r="D65" s="59" t="s">
        <v>444</v>
      </c>
      <c r="E65" s="59" t="s">
        <v>448</v>
      </c>
      <c r="F65" s="103">
        <v>0</v>
      </c>
      <c r="G65" s="103">
        <v>2</v>
      </c>
      <c r="H65" s="103">
        <v>2</v>
      </c>
      <c r="I65" s="103">
        <v>4</v>
      </c>
      <c r="J65" s="8"/>
    </row>
    <row r="66" spans="1:10" s="61" customFormat="1" ht="43.75" hidden="1" customHeight="1" x14ac:dyDescent="0.35">
      <c r="A66" s="104" t="s">
        <v>60</v>
      </c>
      <c r="B66" s="8" t="s">
        <v>26</v>
      </c>
      <c r="C66" s="8" t="s">
        <v>38</v>
      </c>
      <c r="D66" s="59" t="s">
        <v>446</v>
      </c>
      <c r="E66" s="59" t="s">
        <v>448</v>
      </c>
      <c r="F66" s="103">
        <v>1</v>
      </c>
      <c r="G66" s="103">
        <v>3</v>
      </c>
      <c r="H66" s="103">
        <v>9</v>
      </c>
      <c r="I66" s="103">
        <v>220</v>
      </c>
      <c r="J66" s="8"/>
    </row>
    <row r="67" spans="1:10" s="61" customFormat="1" ht="43.75" hidden="1" customHeight="1" x14ac:dyDescent="0.35">
      <c r="A67" s="104" t="s">
        <v>60</v>
      </c>
      <c r="B67" s="8" t="s">
        <v>26</v>
      </c>
      <c r="C67" s="8" t="s">
        <v>38</v>
      </c>
      <c r="D67" s="59" t="s">
        <v>447</v>
      </c>
      <c r="E67" s="59" t="s">
        <v>448</v>
      </c>
      <c r="F67" s="103"/>
      <c r="G67" s="103"/>
      <c r="H67" s="103"/>
      <c r="I67" s="103">
        <v>1204768</v>
      </c>
      <c r="J67" s="8"/>
    </row>
    <row r="68" spans="1:10" s="61" customFormat="1" ht="43.75" hidden="1" customHeight="1" x14ac:dyDescent="0.35">
      <c r="A68" s="104" t="s">
        <v>497</v>
      </c>
      <c r="B68" s="10" t="s">
        <v>26</v>
      </c>
      <c r="C68" s="8" t="s">
        <v>518</v>
      </c>
      <c r="D68" s="59" t="s">
        <v>444</v>
      </c>
      <c r="E68" s="59" t="s">
        <v>445</v>
      </c>
      <c r="F68" s="103">
        <v>0</v>
      </c>
      <c r="G68" s="103">
        <v>0</v>
      </c>
      <c r="H68" s="103">
        <v>0</v>
      </c>
      <c r="I68" s="103">
        <v>0</v>
      </c>
      <c r="J68" s="8"/>
    </row>
    <row r="69" spans="1:10" s="61" customFormat="1" ht="43.75" hidden="1" customHeight="1" x14ac:dyDescent="0.35">
      <c r="A69" s="104" t="s">
        <v>497</v>
      </c>
      <c r="B69" s="10" t="s">
        <v>26</v>
      </c>
      <c r="C69" s="8" t="s">
        <v>518</v>
      </c>
      <c r="D69" s="59" t="s">
        <v>446</v>
      </c>
      <c r="E69" s="59" t="s">
        <v>445</v>
      </c>
      <c r="F69" s="103">
        <v>15</v>
      </c>
      <c r="G69" s="103">
        <v>0</v>
      </c>
      <c r="H69" s="103">
        <v>0</v>
      </c>
      <c r="I69" s="103">
        <v>0</v>
      </c>
      <c r="J69" s="8"/>
    </row>
    <row r="70" spans="1:10" s="61" customFormat="1" ht="43.75" hidden="1" customHeight="1" x14ac:dyDescent="0.35">
      <c r="A70" s="104" t="s">
        <v>497</v>
      </c>
      <c r="B70" s="10" t="s">
        <v>26</v>
      </c>
      <c r="C70" s="8" t="s">
        <v>518</v>
      </c>
      <c r="D70" s="59" t="s">
        <v>447</v>
      </c>
      <c r="E70" s="59" t="s">
        <v>445</v>
      </c>
      <c r="F70" s="103">
        <v>714159.25</v>
      </c>
      <c r="G70" s="103">
        <v>0</v>
      </c>
      <c r="H70" s="103">
        <v>0</v>
      </c>
      <c r="I70" s="103">
        <v>0</v>
      </c>
      <c r="J70" s="8"/>
    </row>
    <row r="71" spans="1:10" s="61" customFormat="1" ht="43.75" hidden="1" customHeight="1" x14ac:dyDescent="0.35">
      <c r="A71" s="104" t="s">
        <v>497</v>
      </c>
      <c r="B71" s="10" t="s">
        <v>26</v>
      </c>
      <c r="C71" s="8" t="s">
        <v>518</v>
      </c>
      <c r="D71" s="59" t="s">
        <v>444</v>
      </c>
      <c r="E71" s="59" t="s">
        <v>448</v>
      </c>
      <c r="F71" s="103">
        <v>4</v>
      </c>
      <c r="G71" s="103">
        <v>0</v>
      </c>
      <c r="H71" s="103">
        <v>8</v>
      </c>
      <c r="I71" s="103">
        <v>0</v>
      </c>
      <c r="J71" s="8"/>
    </row>
    <row r="72" spans="1:10" s="61" customFormat="1" ht="43.75" hidden="1" customHeight="1" x14ac:dyDescent="0.35">
      <c r="A72" s="104" t="s">
        <v>497</v>
      </c>
      <c r="B72" s="10" t="s">
        <v>26</v>
      </c>
      <c r="C72" s="8" t="s">
        <v>518</v>
      </c>
      <c r="D72" s="59" t="s">
        <v>446</v>
      </c>
      <c r="E72" s="59" t="s">
        <v>448</v>
      </c>
      <c r="F72" s="103">
        <v>8</v>
      </c>
      <c r="G72" s="103">
        <v>11</v>
      </c>
      <c r="H72" s="103">
        <f>56+101</f>
        <v>157</v>
      </c>
      <c r="I72" s="103">
        <v>0</v>
      </c>
      <c r="J72" s="8"/>
    </row>
    <row r="73" spans="1:10" s="61" customFormat="1" ht="43.75" hidden="1" customHeight="1" x14ac:dyDescent="0.35">
      <c r="A73" s="104" t="s">
        <v>497</v>
      </c>
      <c r="B73" s="10" t="s">
        <v>26</v>
      </c>
      <c r="C73" s="8" t="s">
        <v>518</v>
      </c>
      <c r="D73" s="59" t="s">
        <v>447</v>
      </c>
      <c r="E73" s="59" t="s">
        <v>448</v>
      </c>
      <c r="F73" s="103">
        <v>223028.50899999999</v>
      </c>
      <c r="G73" s="103">
        <v>125445.602</v>
      </c>
      <c r="H73" s="103">
        <f>326203.959+1388837.32</f>
        <v>1715041.2790000001</v>
      </c>
      <c r="I73" s="103">
        <v>0</v>
      </c>
      <c r="J73" s="8"/>
    </row>
    <row r="74" spans="1:10" s="61" customFormat="1" ht="43.75" hidden="1" customHeight="1" x14ac:dyDescent="0.35">
      <c r="A74" s="104" t="s">
        <v>106</v>
      </c>
      <c r="B74" s="8" t="s">
        <v>109</v>
      </c>
      <c r="C74" s="8" t="s">
        <v>492</v>
      </c>
      <c r="D74" s="59" t="s">
        <v>444</v>
      </c>
      <c r="E74" s="59" t="s">
        <v>445</v>
      </c>
      <c r="F74" s="103">
        <v>1</v>
      </c>
      <c r="G74" s="103">
        <v>0</v>
      </c>
      <c r="H74" s="103">
        <v>0</v>
      </c>
      <c r="I74" s="103">
        <v>0</v>
      </c>
      <c r="J74" s="8"/>
    </row>
    <row r="75" spans="1:10" s="61" customFormat="1" ht="43.75" hidden="1" customHeight="1" x14ac:dyDescent="0.35">
      <c r="A75" s="104" t="s">
        <v>106</v>
      </c>
      <c r="B75" s="8" t="s">
        <v>109</v>
      </c>
      <c r="C75" s="8" t="s">
        <v>492</v>
      </c>
      <c r="D75" s="59" t="s">
        <v>446</v>
      </c>
      <c r="E75" s="59" t="s">
        <v>445</v>
      </c>
      <c r="F75" s="103">
        <v>17</v>
      </c>
      <c r="G75" s="103">
        <v>0</v>
      </c>
      <c r="H75" s="103">
        <v>0</v>
      </c>
      <c r="I75" s="103">
        <v>0</v>
      </c>
      <c r="J75" s="8"/>
    </row>
    <row r="76" spans="1:10" s="61" customFormat="1" ht="43.75" hidden="1" customHeight="1" x14ac:dyDescent="0.35">
      <c r="A76" s="104" t="s">
        <v>106</v>
      </c>
      <c r="B76" s="8" t="s">
        <v>109</v>
      </c>
      <c r="C76" s="8" t="s">
        <v>492</v>
      </c>
      <c r="D76" s="59" t="s">
        <v>447</v>
      </c>
      <c r="E76" s="59" t="s">
        <v>445</v>
      </c>
      <c r="F76" s="103">
        <v>356759.39899999998</v>
      </c>
      <c r="G76" s="103">
        <v>0</v>
      </c>
      <c r="H76" s="103">
        <v>0</v>
      </c>
      <c r="I76" s="103">
        <v>0</v>
      </c>
      <c r="J76" s="8"/>
    </row>
    <row r="77" spans="1:10" s="61" customFormat="1" ht="43.75" hidden="1" customHeight="1" x14ac:dyDescent="0.35">
      <c r="A77" s="104" t="s">
        <v>106</v>
      </c>
      <c r="B77" s="8" t="s">
        <v>109</v>
      </c>
      <c r="C77" s="8" t="s">
        <v>492</v>
      </c>
      <c r="D77" s="59" t="s">
        <v>444</v>
      </c>
      <c r="E77" s="59" t="s">
        <v>448</v>
      </c>
      <c r="F77" s="103">
        <v>5</v>
      </c>
      <c r="G77" s="103">
        <v>31</v>
      </c>
      <c r="H77" s="103">
        <v>69</v>
      </c>
      <c r="I77" s="103">
        <v>2</v>
      </c>
      <c r="J77" s="8"/>
    </row>
    <row r="78" spans="1:10" s="61" customFormat="1" ht="43.75" hidden="1" customHeight="1" x14ac:dyDescent="0.35">
      <c r="A78" s="104" t="s">
        <v>106</v>
      </c>
      <c r="B78" s="8" t="s">
        <v>109</v>
      </c>
      <c r="C78" s="8" t="s">
        <v>492</v>
      </c>
      <c r="D78" s="59" t="s">
        <v>446</v>
      </c>
      <c r="E78" s="59" t="s">
        <v>448</v>
      </c>
      <c r="F78" s="103">
        <v>145</v>
      </c>
      <c r="G78" s="103">
        <v>378</v>
      </c>
      <c r="H78" s="103">
        <v>644</v>
      </c>
      <c r="I78" s="103">
        <v>20</v>
      </c>
      <c r="J78" s="8"/>
    </row>
    <row r="79" spans="1:10" s="61" customFormat="1" ht="43.75" hidden="1" customHeight="1" x14ac:dyDescent="0.35">
      <c r="A79" s="104" t="s">
        <v>106</v>
      </c>
      <c r="B79" s="8" t="s">
        <v>109</v>
      </c>
      <c r="C79" s="8" t="s">
        <v>492</v>
      </c>
      <c r="D79" s="59" t="s">
        <v>447</v>
      </c>
      <c r="E79" s="59" t="s">
        <v>448</v>
      </c>
      <c r="F79" s="103">
        <v>5323785.7980000004</v>
      </c>
      <c r="G79" s="103">
        <v>2279625.7940000002</v>
      </c>
      <c r="H79" s="103">
        <v>1953069.7479999999</v>
      </c>
      <c r="I79" s="103">
        <v>47773.076999999997</v>
      </c>
      <c r="J79" s="8"/>
    </row>
    <row r="80" spans="1:10" s="61" customFormat="1" ht="43.75" hidden="1" customHeight="1" x14ac:dyDescent="0.35">
      <c r="A80" s="104" t="s">
        <v>134</v>
      </c>
      <c r="B80" s="8" t="s">
        <v>46</v>
      </c>
      <c r="C80" s="8" t="s">
        <v>122</v>
      </c>
      <c r="D80" s="59" t="s">
        <v>444</v>
      </c>
      <c r="E80" s="59" t="s">
        <v>445</v>
      </c>
      <c r="F80" s="103">
        <v>0</v>
      </c>
      <c r="G80" s="103">
        <v>0</v>
      </c>
      <c r="H80" s="103">
        <v>0</v>
      </c>
      <c r="I80" s="103">
        <v>0</v>
      </c>
      <c r="J80" s="8"/>
    </row>
    <row r="81" spans="1:10" s="61" customFormat="1" ht="43.75" hidden="1" customHeight="1" x14ac:dyDescent="0.35">
      <c r="A81" s="104" t="s">
        <v>134</v>
      </c>
      <c r="B81" s="8" t="s">
        <v>46</v>
      </c>
      <c r="C81" s="8" t="s">
        <v>122</v>
      </c>
      <c r="D81" s="59" t="s">
        <v>446</v>
      </c>
      <c r="E81" s="59" t="s">
        <v>445</v>
      </c>
      <c r="F81" s="103">
        <v>0</v>
      </c>
      <c r="G81" s="103">
        <v>0</v>
      </c>
      <c r="H81" s="103">
        <v>0</v>
      </c>
      <c r="I81" s="103">
        <v>0</v>
      </c>
      <c r="J81" s="8"/>
    </row>
    <row r="82" spans="1:10" s="61" customFormat="1" ht="43.75" hidden="1" customHeight="1" x14ac:dyDescent="0.35">
      <c r="A82" s="104" t="s">
        <v>134</v>
      </c>
      <c r="B82" s="8" t="s">
        <v>46</v>
      </c>
      <c r="C82" s="8" t="s">
        <v>122</v>
      </c>
      <c r="D82" s="59" t="s">
        <v>447</v>
      </c>
      <c r="E82" s="59" t="s">
        <v>445</v>
      </c>
      <c r="F82" s="103">
        <v>0</v>
      </c>
      <c r="G82" s="103">
        <v>0</v>
      </c>
      <c r="H82" s="103">
        <v>0</v>
      </c>
      <c r="I82" s="103">
        <v>0</v>
      </c>
      <c r="J82" s="8"/>
    </row>
    <row r="83" spans="1:10" s="61" customFormat="1" ht="43.75" hidden="1" customHeight="1" x14ac:dyDescent="0.35">
      <c r="A83" s="104" t="s">
        <v>134</v>
      </c>
      <c r="B83" s="8" t="s">
        <v>46</v>
      </c>
      <c r="C83" s="8" t="s">
        <v>122</v>
      </c>
      <c r="D83" s="59" t="s">
        <v>444</v>
      </c>
      <c r="E83" s="59" t="s">
        <v>448</v>
      </c>
      <c r="F83" s="103">
        <v>3</v>
      </c>
      <c r="G83" s="103">
        <v>6</v>
      </c>
      <c r="H83" s="103">
        <v>0</v>
      </c>
      <c r="I83" s="103">
        <v>0</v>
      </c>
      <c r="J83" s="8"/>
    </row>
    <row r="84" spans="1:10" s="61" customFormat="1" ht="43.75" hidden="1" customHeight="1" x14ac:dyDescent="0.35">
      <c r="A84" s="104" t="s">
        <v>134</v>
      </c>
      <c r="B84" s="8" t="s">
        <v>46</v>
      </c>
      <c r="C84" s="8" t="s">
        <v>122</v>
      </c>
      <c r="D84" s="59" t="s">
        <v>446</v>
      </c>
      <c r="E84" s="59" t="s">
        <v>448</v>
      </c>
      <c r="F84" s="103">
        <v>15</v>
      </c>
      <c r="G84" s="103">
        <v>397</v>
      </c>
      <c r="H84" s="103">
        <v>0</v>
      </c>
      <c r="I84" s="103">
        <v>0</v>
      </c>
      <c r="J84" s="8"/>
    </row>
    <row r="85" spans="1:10" s="61" customFormat="1" ht="43.75" hidden="1" customHeight="1" x14ac:dyDescent="0.35">
      <c r="A85" s="104" t="s">
        <v>134</v>
      </c>
      <c r="B85" s="8" t="s">
        <v>46</v>
      </c>
      <c r="C85" s="8" t="s">
        <v>122</v>
      </c>
      <c r="D85" s="59" t="s">
        <v>447</v>
      </c>
      <c r="E85" s="59" t="s">
        <v>448</v>
      </c>
      <c r="F85" s="103">
        <v>440468.54100000003</v>
      </c>
      <c r="G85" s="103">
        <v>1913775.02</v>
      </c>
      <c r="H85" s="103">
        <v>0</v>
      </c>
      <c r="I85" s="103">
        <v>0</v>
      </c>
      <c r="J85" s="8"/>
    </row>
    <row r="86" spans="1:10" s="61" customFormat="1" ht="43.75" hidden="1" customHeight="1" x14ac:dyDescent="0.35">
      <c r="A86" s="104" t="s">
        <v>139</v>
      </c>
      <c r="B86" s="8" t="s">
        <v>19</v>
      </c>
      <c r="C86" s="11" t="s">
        <v>22</v>
      </c>
      <c r="D86" s="59" t="s">
        <v>444</v>
      </c>
      <c r="E86" s="59" t="s">
        <v>445</v>
      </c>
      <c r="F86" s="103"/>
      <c r="G86" s="103"/>
      <c r="H86" s="103"/>
      <c r="I86" s="103"/>
      <c r="J86" s="8"/>
    </row>
    <row r="87" spans="1:10" s="61" customFormat="1" ht="43.75" hidden="1" customHeight="1" x14ac:dyDescent="0.35">
      <c r="A87" s="104" t="s">
        <v>139</v>
      </c>
      <c r="B87" s="8" t="s">
        <v>19</v>
      </c>
      <c r="C87" s="11" t="s">
        <v>22</v>
      </c>
      <c r="D87" s="59" t="s">
        <v>446</v>
      </c>
      <c r="E87" s="59" t="s">
        <v>445</v>
      </c>
      <c r="F87" s="103"/>
      <c r="G87" s="103"/>
      <c r="H87" s="103"/>
      <c r="I87" s="103"/>
      <c r="J87" s="8"/>
    </row>
    <row r="88" spans="1:10" s="61" customFormat="1" ht="43.75" hidden="1" customHeight="1" x14ac:dyDescent="0.35">
      <c r="A88" s="104" t="s">
        <v>139</v>
      </c>
      <c r="B88" s="8" t="s">
        <v>19</v>
      </c>
      <c r="C88" s="11" t="s">
        <v>22</v>
      </c>
      <c r="D88" s="59" t="s">
        <v>447</v>
      </c>
      <c r="E88" s="59" t="s">
        <v>445</v>
      </c>
      <c r="F88" s="103"/>
      <c r="G88" s="103"/>
      <c r="H88" s="103"/>
      <c r="I88" s="103"/>
      <c r="J88" s="8"/>
    </row>
    <row r="89" spans="1:10" s="61" customFormat="1" ht="43.75" hidden="1" customHeight="1" x14ac:dyDescent="0.35">
      <c r="A89" s="104" t="s">
        <v>139</v>
      </c>
      <c r="B89" s="8" t="s">
        <v>19</v>
      </c>
      <c r="C89" s="11" t="s">
        <v>22</v>
      </c>
      <c r="D89" s="59" t="s">
        <v>444</v>
      </c>
      <c r="E89" s="59" t="s">
        <v>448</v>
      </c>
      <c r="F89" s="103"/>
      <c r="G89" s="103"/>
      <c r="H89" s="103"/>
      <c r="I89" s="103"/>
      <c r="J89" s="8"/>
    </row>
    <row r="90" spans="1:10" s="61" customFormat="1" ht="43.75" hidden="1" customHeight="1" x14ac:dyDescent="0.35">
      <c r="A90" s="104" t="s">
        <v>139</v>
      </c>
      <c r="B90" s="8" t="s">
        <v>19</v>
      </c>
      <c r="C90" s="11" t="s">
        <v>22</v>
      </c>
      <c r="D90" s="59" t="s">
        <v>446</v>
      </c>
      <c r="E90" s="59" t="s">
        <v>448</v>
      </c>
      <c r="F90" s="103"/>
      <c r="G90" s="103"/>
      <c r="H90" s="103"/>
      <c r="I90" s="103"/>
      <c r="J90" s="8"/>
    </row>
    <row r="91" spans="1:10" s="61" customFormat="1" ht="43.75" hidden="1" customHeight="1" x14ac:dyDescent="0.35">
      <c r="A91" s="104" t="s">
        <v>139</v>
      </c>
      <c r="B91" s="8" t="s">
        <v>19</v>
      </c>
      <c r="C91" s="11" t="s">
        <v>22</v>
      </c>
      <c r="D91" s="59" t="s">
        <v>447</v>
      </c>
      <c r="E91" s="59" t="s">
        <v>448</v>
      </c>
      <c r="F91" s="103"/>
      <c r="G91" s="103"/>
      <c r="H91" s="103"/>
      <c r="I91" s="103"/>
      <c r="J91" s="8"/>
    </row>
    <row r="92" spans="1:10" s="61" customFormat="1" ht="43.75" hidden="1" customHeight="1" x14ac:dyDescent="0.35">
      <c r="A92" s="104" t="s">
        <v>155</v>
      </c>
      <c r="B92" s="10" t="s">
        <v>46</v>
      </c>
      <c r="C92" s="8" t="s">
        <v>523</v>
      </c>
      <c r="D92" s="59" t="s">
        <v>444</v>
      </c>
      <c r="E92" s="59" t="s">
        <v>445</v>
      </c>
      <c r="F92" s="103">
        <v>2</v>
      </c>
      <c r="G92" s="103">
        <v>0</v>
      </c>
      <c r="H92" s="103">
        <v>0</v>
      </c>
      <c r="I92" s="103">
        <v>0</v>
      </c>
      <c r="J92" s="8"/>
    </row>
    <row r="93" spans="1:10" s="61" customFormat="1" ht="43.75" hidden="1" customHeight="1" x14ac:dyDescent="0.35">
      <c r="A93" s="104" t="s">
        <v>155</v>
      </c>
      <c r="B93" s="10" t="s">
        <v>46</v>
      </c>
      <c r="C93" s="8" t="s">
        <v>523</v>
      </c>
      <c r="D93" s="59" t="s">
        <v>446</v>
      </c>
      <c r="E93" s="59" t="s">
        <v>445</v>
      </c>
      <c r="F93" s="103">
        <v>11</v>
      </c>
      <c r="G93" s="103">
        <v>5</v>
      </c>
      <c r="H93" s="103">
        <v>2</v>
      </c>
      <c r="I93" s="103">
        <v>0</v>
      </c>
      <c r="J93" s="8"/>
    </row>
    <row r="94" spans="1:10" s="61" customFormat="1" ht="43.75" hidden="1" customHeight="1" x14ac:dyDescent="0.35">
      <c r="A94" s="104" t="s">
        <v>155</v>
      </c>
      <c r="B94" s="10" t="s">
        <v>46</v>
      </c>
      <c r="C94" s="8" t="s">
        <v>523</v>
      </c>
      <c r="D94" s="59" t="s">
        <v>447</v>
      </c>
      <c r="E94" s="59" t="s">
        <v>445</v>
      </c>
      <c r="F94" s="103">
        <v>289440.75400000002</v>
      </c>
      <c r="G94" s="103">
        <v>54603.180999999997</v>
      </c>
      <c r="H94" s="103">
        <v>18814.603999999999</v>
      </c>
      <c r="I94" s="103">
        <v>0</v>
      </c>
      <c r="J94" s="8"/>
    </row>
    <row r="95" spans="1:10" s="61" customFormat="1" ht="43.75" hidden="1" customHeight="1" x14ac:dyDescent="0.35">
      <c r="A95" s="104" t="s">
        <v>155</v>
      </c>
      <c r="B95" s="10" t="s">
        <v>46</v>
      </c>
      <c r="C95" s="8" t="s">
        <v>523</v>
      </c>
      <c r="D95" s="59" t="s">
        <v>444</v>
      </c>
      <c r="E95" s="59" t="s">
        <v>448</v>
      </c>
      <c r="F95" s="103">
        <v>0</v>
      </c>
      <c r="G95" s="103">
        <v>4</v>
      </c>
      <c r="H95" s="103">
        <v>15</v>
      </c>
      <c r="I95" s="103">
        <v>33</v>
      </c>
      <c r="J95" s="8"/>
    </row>
    <row r="96" spans="1:10" s="61" customFormat="1" ht="43.75" hidden="1" customHeight="1" x14ac:dyDescent="0.35">
      <c r="A96" s="104" t="s">
        <v>155</v>
      </c>
      <c r="B96" s="10" t="s">
        <v>46</v>
      </c>
      <c r="C96" s="8" t="s">
        <v>523</v>
      </c>
      <c r="D96" s="59" t="s">
        <v>446</v>
      </c>
      <c r="E96" s="59" t="s">
        <v>448</v>
      </c>
      <c r="F96" s="103">
        <v>3</v>
      </c>
      <c r="G96" s="103">
        <v>16</v>
      </c>
      <c r="H96" s="103">
        <v>52</v>
      </c>
      <c r="I96" s="103">
        <f>324+21</f>
        <v>345</v>
      </c>
      <c r="J96" s="8"/>
    </row>
    <row r="97" spans="1:10" s="61" customFormat="1" ht="43.75" hidden="1" customHeight="1" x14ac:dyDescent="0.35">
      <c r="A97" s="104" t="s">
        <v>155</v>
      </c>
      <c r="B97" s="10" t="s">
        <v>46</v>
      </c>
      <c r="C97" s="8" t="s">
        <v>523</v>
      </c>
      <c r="D97" s="59" t="s">
        <v>447</v>
      </c>
      <c r="E97" s="59" t="s">
        <v>448</v>
      </c>
      <c r="F97" s="103">
        <v>40604.186000000002</v>
      </c>
      <c r="G97" s="103">
        <v>30340.194</v>
      </c>
      <c r="H97" s="103">
        <v>40067.038</v>
      </c>
      <c r="I97" s="103">
        <f>1131208.968+101619.526</f>
        <v>1232828.4940000002</v>
      </c>
      <c r="J97" s="8"/>
    </row>
    <row r="98" spans="1:10" s="61" customFormat="1" ht="43.75" customHeight="1" x14ac:dyDescent="0.35">
      <c r="A98" s="127" t="s">
        <v>475</v>
      </c>
      <c r="B98" s="10" t="s">
        <v>230</v>
      </c>
      <c r="C98" s="8" t="s">
        <v>320</v>
      </c>
      <c r="D98" s="59" t="s">
        <v>444</v>
      </c>
      <c r="E98" s="59" t="s">
        <v>445</v>
      </c>
      <c r="F98" s="103">
        <v>0</v>
      </c>
      <c r="G98" s="103">
        <v>0</v>
      </c>
      <c r="H98" s="103">
        <v>0</v>
      </c>
      <c r="I98" s="103">
        <v>0</v>
      </c>
      <c r="J98" s="8">
        <v>0</v>
      </c>
    </row>
    <row r="99" spans="1:10" s="61" customFormat="1" ht="43.75" customHeight="1" x14ac:dyDescent="0.35">
      <c r="A99" s="127" t="s">
        <v>475</v>
      </c>
      <c r="B99" s="10" t="s">
        <v>230</v>
      </c>
      <c r="C99" s="8" t="s">
        <v>320</v>
      </c>
      <c r="D99" s="59" t="s">
        <v>446</v>
      </c>
      <c r="E99" s="59" t="s">
        <v>445</v>
      </c>
      <c r="F99" s="103">
        <v>0</v>
      </c>
      <c r="G99" s="103">
        <v>0</v>
      </c>
      <c r="H99" s="103">
        <v>0</v>
      </c>
      <c r="I99" s="103">
        <v>0</v>
      </c>
      <c r="J99" s="8">
        <v>0</v>
      </c>
    </row>
    <row r="100" spans="1:10" s="61" customFormat="1" ht="43.75" customHeight="1" x14ac:dyDescent="0.35">
      <c r="A100" s="127" t="s">
        <v>475</v>
      </c>
      <c r="B100" s="10" t="s">
        <v>230</v>
      </c>
      <c r="C100" s="8" t="s">
        <v>320</v>
      </c>
      <c r="D100" s="59" t="s">
        <v>447</v>
      </c>
      <c r="E100" s="59" t="s">
        <v>445</v>
      </c>
      <c r="F100" s="103">
        <v>0</v>
      </c>
      <c r="G100" s="103">
        <v>0</v>
      </c>
      <c r="H100" s="103">
        <v>0</v>
      </c>
      <c r="I100" s="103">
        <v>0</v>
      </c>
      <c r="J100" s="8">
        <v>0</v>
      </c>
    </row>
    <row r="101" spans="1:10" s="61" customFormat="1" ht="43.75" customHeight="1" x14ac:dyDescent="0.35">
      <c r="A101" s="127" t="s">
        <v>475</v>
      </c>
      <c r="B101" s="10" t="s">
        <v>230</v>
      </c>
      <c r="C101" s="8" t="s">
        <v>320</v>
      </c>
      <c r="D101" s="59" t="s">
        <v>444</v>
      </c>
      <c r="E101" s="59" t="s">
        <v>448</v>
      </c>
      <c r="F101" s="103">
        <v>1</v>
      </c>
      <c r="G101" s="103">
        <v>1</v>
      </c>
      <c r="H101" s="103">
        <v>0</v>
      </c>
      <c r="I101" s="103">
        <v>0</v>
      </c>
      <c r="J101" s="8">
        <v>2</v>
      </c>
    </row>
    <row r="102" spans="1:10" s="61" customFormat="1" ht="43.75" customHeight="1" x14ac:dyDescent="0.35">
      <c r="A102" s="127" t="s">
        <v>475</v>
      </c>
      <c r="B102" s="10" t="s">
        <v>230</v>
      </c>
      <c r="C102" s="8" t="s">
        <v>320</v>
      </c>
      <c r="D102" s="59" t="s">
        <v>446</v>
      </c>
      <c r="E102" s="59" t="s">
        <v>448</v>
      </c>
      <c r="F102" s="103">
        <v>1</v>
      </c>
      <c r="G102" s="103">
        <v>9</v>
      </c>
      <c r="H102" s="103">
        <v>0</v>
      </c>
      <c r="I102" s="103">
        <v>52</v>
      </c>
      <c r="J102" s="8">
        <v>62</v>
      </c>
    </row>
    <row r="103" spans="1:10" s="61" customFormat="1" ht="43.75" customHeight="1" x14ac:dyDescent="0.35">
      <c r="A103" s="127" t="s">
        <v>475</v>
      </c>
      <c r="B103" s="10" t="s">
        <v>230</v>
      </c>
      <c r="C103" s="8" t="s">
        <v>320</v>
      </c>
      <c r="D103" s="59" t="s">
        <v>447</v>
      </c>
      <c r="E103" s="59" t="s">
        <v>448</v>
      </c>
      <c r="F103" s="103">
        <v>10892.843999999999</v>
      </c>
      <c r="G103" s="103">
        <v>16312.331</v>
      </c>
      <c r="H103" s="103">
        <v>0</v>
      </c>
      <c r="I103" s="103">
        <v>33879.082000000002</v>
      </c>
      <c r="J103" s="8">
        <v>61084.256999999998</v>
      </c>
    </row>
    <row r="104" spans="1:10" s="61" customFormat="1" ht="43.75" customHeight="1" x14ac:dyDescent="0.35">
      <c r="A104" s="127" t="s">
        <v>159</v>
      </c>
      <c r="B104" s="8" t="s">
        <v>46</v>
      </c>
      <c r="C104" s="8" t="s">
        <v>49</v>
      </c>
      <c r="D104" s="59" t="s">
        <v>444</v>
      </c>
      <c r="E104" s="59" t="s">
        <v>445</v>
      </c>
      <c r="F104" s="103">
        <v>0</v>
      </c>
      <c r="G104" s="103">
        <v>0</v>
      </c>
      <c r="H104" s="103">
        <v>0</v>
      </c>
      <c r="I104" s="103">
        <v>0</v>
      </c>
      <c r="J104" s="8"/>
    </row>
    <row r="105" spans="1:10" s="61" customFormat="1" ht="43.75" customHeight="1" x14ac:dyDescent="0.35">
      <c r="A105" s="127" t="s">
        <v>159</v>
      </c>
      <c r="B105" s="8" t="s">
        <v>46</v>
      </c>
      <c r="C105" s="8" t="s">
        <v>49</v>
      </c>
      <c r="D105" s="59" t="s">
        <v>446</v>
      </c>
      <c r="E105" s="59" t="s">
        <v>445</v>
      </c>
      <c r="F105" s="103">
        <v>0</v>
      </c>
      <c r="G105" s="103">
        <v>0</v>
      </c>
      <c r="H105" s="103">
        <v>0</v>
      </c>
      <c r="I105" s="103">
        <v>0</v>
      </c>
      <c r="J105" s="8"/>
    </row>
    <row r="106" spans="1:10" s="61" customFormat="1" ht="43.75" customHeight="1" x14ac:dyDescent="0.35">
      <c r="A106" s="127" t="s">
        <v>159</v>
      </c>
      <c r="B106" s="8" t="s">
        <v>46</v>
      </c>
      <c r="C106" s="8" t="s">
        <v>49</v>
      </c>
      <c r="D106" s="59" t="s">
        <v>447</v>
      </c>
      <c r="E106" s="59" t="s">
        <v>445</v>
      </c>
      <c r="F106" s="103">
        <v>0</v>
      </c>
      <c r="G106" s="103">
        <v>0</v>
      </c>
      <c r="H106" s="103">
        <v>0</v>
      </c>
      <c r="I106" s="103">
        <v>0</v>
      </c>
      <c r="J106" s="8"/>
    </row>
    <row r="107" spans="1:10" s="61" customFormat="1" ht="43.75" customHeight="1" x14ac:dyDescent="0.35">
      <c r="A107" s="127" t="s">
        <v>159</v>
      </c>
      <c r="B107" s="8" t="s">
        <v>46</v>
      </c>
      <c r="C107" s="8" t="s">
        <v>49</v>
      </c>
      <c r="D107" s="59" t="s">
        <v>444</v>
      </c>
      <c r="E107" s="59" t="s">
        <v>448</v>
      </c>
      <c r="F107" s="103">
        <v>0</v>
      </c>
      <c r="G107" s="103">
        <v>0</v>
      </c>
      <c r="H107" s="103">
        <v>0</v>
      </c>
      <c r="I107" s="103">
        <v>0</v>
      </c>
      <c r="J107" s="8">
        <v>6</v>
      </c>
    </row>
    <row r="108" spans="1:10" s="61" customFormat="1" ht="43.75" customHeight="1" x14ac:dyDescent="0.35">
      <c r="A108" s="127" t="s">
        <v>159</v>
      </c>
      <c r="B108" s="8" t="s">
        <v>46</v>
      </c>
      <c r="C108" s="8" t="s">
        <v>49</v>
      </c>
      <c r="D108" s="59" t="s">
        <v>446</v>
      </c>
      <c r="E108" s="59" t="s">
        <v>448</v>
      </c>
      <c r="F108" s="103">
        <v>0</v>
      </c>
      <c r="G108" s="103">
        <v>0</v>
      </c>
      <c r="H108" s="103">
        <v>0</v>
      </c>
      <c r="I108" s="103">
        <v>23</v>
      </c>
      <c r="J108" s="8">
        <f>74+23</f>
        <v>97</v>
      </c>
    </row>
    <row r="109" spans="1:10" s="61" customFormat="1" ht="43.75" customHeight="1" x14ac:dyDescent="0.35">
      <c r="A109" s="127" t="s">
        <v>159</v>
      </c>
      <c r="B109" s="8" t="s">
        <v>46</v>
      </c>
      <c r="C109" s="8" t="s">
        <v>49</v>
      </c>
      <c r="D109" s="59" t="s">
        <v>447</v>
      </c>
      <c r="E109" s="59" t="s">
        <v>448</v>
      </c>
      <c r="F109" s="103">
        <v>0</v>
      </c>
      <c r="G109" s="103">
        <v>0</v>
      </c>
      <c r="H109" s="103">
        <v>0</v>
      </c>
      <c r="I109" s="103">
        <v>84341.664999999994</v>
      </c>
      <c r="J109" s="8">
        <f>406327.736+84341.665</f>
        <v>490669.40099999995</v>
      </c>
    </row>
    <row r="110" spans="1:10" s="61" customFormat="1" ht="43.75" customHeight="1" x14ac:dyDescent="0.35">
      <c r="A110" s="127" t="s">
        <v>163</v>
      </c>
      <c r="B110" s="8" t="s">
        <v>19</v>
      </c>
      <c r="C110" s="11" t="s">
        <v>22</v>
      </c>
      <c r="D110" s="59" t="s">
        <v>444</v>
      </c>
      <c r="E110" s="59" t="s">
        <v>445</v>
      </c>
      <c r="F110" s="103">
        <v>0</v>
      </c>
      <c r="G110" s="103">
        <v>0</v>
      </c>
      <c r="H110" s="103">
        <v>0</v>
      </c>
      <c r="I110" s="103">
        <v>0</v>
      </c>
      <c r="J110" s="8">
        <v>0</v>
      </c>
    </row>
    <row r="111" spans="1:10" s="61" customFormat="1" ht="43.75" customHeight="1" x14ac:dyDescent="0.35">
      <c r="A111" s="127" t="s">
        <v>163</v>
      </c>
      <c r="B111" s="8" t="s">
        <v>19</v>
      </c>
      <c r="C111" s="11" t="s">
        <v>22</v>
      </c>
      <c r="D111" s="59" t="s">
        <v>446</v>
      </c>
      <c r="E111" s="59" t="s">
        <v>445</v>
      </c>
      <c r="F111" s="103">
        <v>0</v>
      </c>
      <c r="G111" s="103">
        <v>0</v>
      </c>
      <c r="H111" s="103">
        <v>0</v>
      </c>
      <c r="I111" s="103">
        <v>0</v>
      </c>
      <c r="J111" s="8">
        <v>0</v>
      </c>
    </row>
    <row r="112" spans="1:10" s="61" customFormat="1" ht="43.75" customHeight="1" x14ac:dyDescent="0.35">
      <c r="A112" s="127" t="s">
        <v>163</v>
      </c>
      <c r="B112" s="8" t="s">
        <v>19</v>
      </c>
      <c r="C112" s="11" t="s">
        <v>22</v>
      </c>
      <c r="D112" s="59" t="s">
        <v>447</v>
      </c>
      <c r="E112" s="59" t="s">
        <v>445</v>
      </c>
      <c r="F112" s="103">
        <v>0</v>
      </c>
      <c r="G112" s="103">
        <v>0</v>
      </c>
      <c r="H112" s="103">
        <v>0</v>
      </c>
      <c r="I112" s="103">
        <v>0</v>
      </c>
      <c r="J112" s="8">
        <v>0</v>
      </c>
    </row>
    <row r="113" spans="1:10" s="61" customFormat="1" ht="43.75" customHeight="1" x14ac:dyDescent="0.35">
      <c r="A113" s="127" t="s">
        <v>163</v>
      </c>
      <c r="B113" s="8" t="s">
        <v>19</v>
      </c>
      <c r="C113" s="11" t="s">
        <v>22</v>
      </c>
      <c r="D113" s="59" t="s">
        <v>444</v>
      </c>
      <c r="E113" s="59" t="s">
        <v>448</v>
      </c>
      <c r="F113" s="103">
        <v>0</v>
      </c>
      <c r="G113" s="103">
        <v>0</v>
      </c>
      <c r="H113" s="103">
        <v>0</v>
      </c>
      <c r="I113" s="103">
        <v>0</v>
      </c>
      <c r="J113" s="8">
        <v>0</v>
      </c>
    </row>
    <row r="114" spans="1:10" s="61" customFormat="1" ht="43.75" customHeight="1" x14ac:dyDescent="0.35">
      <c r="A114" s="127" t="s">
        <v>163</v>
      </c>
      <c r="B114" s="8" t="s">
        <v>19</v>
      </c>
      <c r="C114" s="11" t="s">
        <v>22</v>
      </c>
      <c r="D114" s="59" t="s">
        <v>446</v>
      </c>
      <c r="E114" s="59" t="s">
        <v>448</v>
      </c>
      <c r="F114" s="103">
        <v>1</v>
      </c>
      <c r="G114" s="103">
        <v>1</v>
      </c>
      <c r="H114" s="103">
        <v>2</v>
      </c>
      <c r="I114" s="103">
        <v>4</v>
      </c>
      <c r="J114" s="8">
        <v>8</v>
      </c>
    </row>
    <row r="115" spans="1:10" s="61" customFormat="1" ht="43.75" customHeight="1" x14ac:dyDescent="0.35">
      <c r="A115" s="127" t="s">
        <v>163</v>
      </c>
      <c r="B115" s="8" t="s">
        <v>19</v>
      </c>
      <c r="C115" s="11" t="s">
        <v>22</v>
      </c>
      <c r="D115" s="59" t="s">
        <v>447</v>
      </c>
      <c r="E115" s="59" t="s">
        <v>448</v>
      </c>
      <c r="F115" s="103">
        <v>18000</v>
      </c>
      <c r="G115" s="103">
        <v>12000</v>
      </c>
      <c r="H115" s="103">
        <v>14400</v>
      </c>
      <c r="I115" s="103">
        <v>9000</v>
      </c>
      <c r="J115" s="8">
        <v>53400</v>
      </c>
    </row>
    <row r="116" spans="1:10" s="61" customFormat="1" ht="43.75" hidden="1" customHeight="1" x14ac:dyDescent="0.35">
      <c r="A116" s="104" t="s">
        <v>165</v>
      </c>
      <c r="B116" s="8" t="s">
        <v>19</v>
      </c>
      <c r="C116" s="8" t="s">
        <v>38</v>
      </c>
      <c r="D116" s="59" t="s">
        <v>444</v>
      </c>
      <c r="E116" s="59" t="s">
        <v>445</v>
      </c>
      <c r="F116" s="103"/>
      <c r="G116" s="103"/>
      <c r="H116" s="103"/>
      <c r="I116" s="103"/>
      <c r="J116" s="8"/>
    </row>
    <row r="117" spans="1:10" s="61" customFormat="1" ht="43.75" hidden="1" customHeight="1" x14ac:dyDescent="0.35">
      <c r="A117" s="104" t="s">
        <v>165</v>
      </c>
      <c r="B117" s="8" t="s">
        <v>19</v>
      </c>
      <c r="C117" s="8" t="s">
        <v>38</v>
      </c>
      <c r="D117" s="59" t="s">
        <v>446</v>
      </c>
      <c r="E117" s="59" t="s">
        <v>445</v>
      </c>
      <c r="F117" s="103"/>
      <c r="G117" s="103"/>
      <c r="H117" s="103"/>
      <c r="I117" s="103"/>
      <c r="J117" s="8"/>
    </row>
    <row r="118" spans="1:10" s="61" customFormat="1" ht="43.75" hidden="1" customHeight="1" x14ac:dyDescent="0.35">
      <c r="A118" s="104" t="s">
        <v>165</v>
      </c>
      <c r="B118" s="8" t="s">
        <v>19</v>
      </c>
      <c r="C118" s="8" t="s">
        <v>38</v>
      </c>
      <c r="D118" s="59" t="s">
        <v>447</v>
      </c>
      <c r="E118" s="59" t="s">
        <v>445</v>
      </c>
      <c r="F118" s="103"/>
      <c r="G118" s="103"/>
      <c r="H118" s="103"/>
      <c r="I118" s="103"/>
      <c r="J118" s="8"/>
    </row>
    <row r="119" spans="1:10" s="61" customFormat="1" ht="43.75" hidden="1" customHeight="1" x14ac:dyDescent="0.35">
      <c r="A119" s="104" t="s">
        <v>165</v>
      </c>
      <c r="B119" s="8" t="s">
        <v>19</v>
      </c>
      <c r="C119" s="8" t="s">
        <v>38</v>
      </c>
      <c r="D119" s="59" t="s">
        <v>444</v>
      </c>
      <c r="E119" s="59" t="s">
        <v>448</v>
      </c>
      <c r="F119" s="103"/>
      <c r="G119" s="103"/>
      <c r="H119" s="103"/>
      <c r="I119" s="103"/>
      <c r="J119" s="8"/>
    </row>
    <row r="120" spans="1:10" s="61" customFormat="1" ht="43.75" hidden="1" customHeight="1" x14ac:dyDescent="0.35">
      <c r="A120" s="104" t="s">
        <v>165</v>
      </c>
      <c r="B120" s="8" t="s">
        <v>19</v>
      </c>
      <c r="C120" s="8" t="s">
        <v>38</v>
      </c>
      <c r="D120" s="59" t="s">
        <v>446</v>
      </c>
      <c r="E120" s="59" t="s">
        <v>448</v>
      </c>
      <c r="F120" s="103"/>
      <c r="G120" s="103"/>
      <c r="H120" s="103"/>
      <c r="I120" s="103"/>
      <c r="J120" s="8"/>
    </row>
    <row r="121" spans="1:10" s="61" customFormat="1" ht="43.75" hidden="1" customHeight="1" x14ac:dyDescent="0.35">
      <c r="A121" s="104" t="s">
        <v>165</v>
      </c>
      <c r="B121" s="8" t="s">
        <v>19</v>
      </c>
      <c r="C121" s="8" t="s">
        <v>38</v>
      </c>
      <c r="D121" s="59" t="s">
        <v>447</v>
      </c>
      <c r="E121" s="59" t="s">
        <v>448</v>
      </c>
      <c r="F121" s="103"/>
      <c r="G121" s="103"/>
      <c r="H121" s="103"/>
      <c r="I121" s="103"/>
      <c r="J121" s="8"/>
    </row>
    <row r="122" spans="1:10" s="61" customFormat="1" ht="43.75" customHeight="1" x14ac:dyDescent="0.3">
      <c r="A122" s="127" t="s">
        <v>168</v>
      </c>
      <c r="B122" s="30" t="s">
        <v>109</v>
      </c>
      <c r="C122" s="30" t="s">
        <v>171</v>
      </c>
      <c r="D122" s="59" t="s">
        <v>444</v>
      </c>
      <c r="E122" s="59" t="s">
        <v>445</v>
      </c>
      <c r="F122" s="103">
        <v>3</v>
      </c>
      <c r="G122" s="103">
        <v>0</v>
      </c>
      <c r="H122" s="103">
        <v>0</v>
      </c>
      <c r="I122" s="103">
        <v>0</v>
      </c>
      <c r="J122" s="8">
        <v>3</v>
      </c>
    </row>
    <row r="123" spans="1:10" s="61" customFormat="1" ht="43.75" customHeight="1" x14ac:dyDescent="0.3">
      <c r="A123" s="127" t="s">
        <v>168</v>
      </c>
      <c r="B123" s="30" t="s">
        <v>109</v>
      </c>
      <c r="C123" s="30" t="s">
        <v>171</v>
      </c>
      <c r="D123" s="59" t="s">
        <v>446</v>
      </c>
      <c r="E123" s="59" t="s">
        <v>445</v>
      </c>
      <c r="F123" s="103">
        <v>58</v>
      </c>
      <c r="G123" s="103">
        <v>0</v>
      </c>
      <c r="H123" s="103">
        <v>0</v>
      </c>
      <c r="I123" s="103">
        <v>0</v>
      </c>
      <c r="J123" s="8">
        <v>58</v>
      </c>
    </row>
    <row r="124" spans="1:10" s="61" customFormat="1" ht="43.75" customHeight="1" x14ac:dyDescent="0.3">
      <c r="A124" s="127" t="s">
        <v>168</v>
      </c>
      <c r="B124" s="30" t="s">
        <v>109</v>
      </c>
      <c r="C124" s="30" t="s">
        <v>171</v>
      </c>
      <c r="D124" s="59" t="s">
        <v>447</v>
      </c>
      <c r="E124" s="59" t="s">
        <v>445</v>
      </c>
      <c r="F124" s="103">
        <v>1033257248</v>
      </c>
      <c r="G124" s="103">
        <v>0</v>
      </c>
      <c r="H124" s="103">
        <v>0</v>
      </c>
      <c r="I124" s="103">
        <v>0</v>
      </c>
      <c r="J124" s="8">
        <v>1033257248</v>
      </c>
    </row>
    <row r="125" spans="1:10" s="61" customFormat="1" ht="43.75" customHeight="1" x14ac:dyDescent="0.3">
      <c r="A125" s="127" t="s">
        <v>168</v>
      </c>
      <c r="B125" s="30" t="s">
        <v>109</v>
      </c>
      <c r="C125" s="30" t="s">
        <v>171</v>
      </c>
      <c r="D125" s="59" t="s">
        <v>444</v>
      </c>
      <c r="E125" s="59" t="s">
        <v>448</v>
      </c>
      <c r="F125" s="103">
        <v>7</v>
      </c>
      <c r="G125" s="103">
        <v>39</v>
      </c>
      <c r="H125" s="103">
        <v>39</v>
      </c>
      <c r="I125" s="103">
        <v>25</v>
      </c>
      <c r="J125" s="8">
        <v>110</v>
      </c>
    </row>
    <row r="126" spans="1:10" s="61" customFormat="1" ht="43.75" customHeight="1" x14ac:dyDescent="0.3">
      <c r="A126" s="127" t="s">
        <v>168</v>
      </c>
      <c r="B126" s="30" t="s">
        <v>109</v>
      </c>
      <c r="C126" s="30" t="s">
        <v>171</v>
      </c>
      <c r="D126" s="59" t="s">
        <v>446</v>
      </c>
      <c r="E126" s="59" t="s">
        <v>448</v>
      </c>
      <c r="F126" s="103">
        <v>35</v>
      </c>
      <c r="G126" s="103">
        <v>124</v>
      </c>
      <c r="H126" s="103">
        <v>318</v>
      </c>
      <c r="I126" s="103">
        <f>239+171</f>
        <v>410</v>
      </c>
      <c r="J126" s="8">
        <v>716</v>
      </c>
    </row>
    <row r="127" spans="1:10" s="61" customFormat="1" ht="43.75" customHeight="1" x14ac:dyDescent="0.3">
      <c r="A127" s="127" t="s">
        <v>168</v>
      </c>
      <c r="B127" s="30" t="s">
        <v>109</v>
      </c>
      <c r="C127" s="30" t="s">
        <v>171</v>
      </c>
      <c r="D127" s="59" t="s">
        <v>447</v>
      </c>
      <c r="E127" s="59" t="s">
        <v>448</v>
      </c>
      <c r="F127" s="103">
        <v>2217631825</v>
      </c>
      <c r="G127" s="103">
        <v>3865018115</v>
      </c>
      <c r="H127" s="103">
        <v>5479001422</v>
      </c>
      <c r="I127" s="103">
        <f>2883474694+1157094128</f>
        <v>4040568822</v>
      </c>
      <c r="J127" s="8">
        <f>14445126056+1157094128</f>
        <v>15602220184</v>
      </c>
    </row>
    <row r="128" spans="1:10" s="61" customFormat="1" ht="43.75" hidden="1" customHeight="1" x14ac:dyDescent="0.35">
      <c r="A128" s="122" t="s">
        <v>476</v>
      </c>
      <c r="B128" s="10" t="s">
        <v>230</v>
      </c>
      <c r="C128" s="8" t="s">
        <v>232</v>
      </c>
      <c r="D128" s="59" t="s">
        <v>444</v>
      </c>
      <c r="E128" s="59" t="s">
        <v>445</v>
      </c>
      <c r="F128" s="103">
        <v>0</v>
      </c>
      <c r="G128" s="103">
        <v>0</v>
      </c>
      <c r="H128" s="103">
        <v>0</v>
      </c>
      <c r="I128" s="103">
        <v>0</v>
      </c>
      <c r="J128" s="8"/>
    </row>
    <row r="129" spans="1:10" s="61" customFormat="1" ht="43.75" hidden="1" customHeight="1" x14ac:dyDescent="0.35">
      <c r="A129" s="122" t="s">
        <v>476</v>
      </c>
      <c r="B129" s="10" t="s">
        <v>230</v>
      </c>
      <c r="C129" s="8" t="s">
        <v>232</v>
      </c>
      <c r="D129" s="59" t="s">
        <v>446</v>
      </c>
      <c r="E129" s="59" t="s">
        <v>445</v>
      </c>
      <c r="F129" s="103">
        <v>2</v>
      </c>
      <c r="G129" s="103">
        <v>0</v>
      </c>
      <c r="H129" s="103">
        <v>12</v>
      </c>
      <c r="I129" s="103">
        <v>0</v>
      </c>
      <c r="J129" s="8"/>
    </row>
    <row r="130" spans="1:10" s="61" customFormat="1" ht="43.75" hidden="1" customHeight="1" x14ac:dyDescent="0.35">
      <c r="A130" s="122" t="s">
        <v>476</v>
      </c>
      <c r="B130" s="10" t="s">
        <v>230</v>
      </c>
      <c r="C130" s="8" t="s">
        <v>232</v>
      </c>
      <c r="D130" s="59" t="s">
        <v>447</v>
      </c>
      <c r="E130" s="59" t="s">
        <v>445</v>
      </c>
      <c r="F130" s="103">
        <v>6310.1419999999998</v>
      </c>
      <c r="G130" s="103">
        <v>0</v>
      </c>
      <c r="H130" s="103">
        <v>32947.49</v>
      </c>
      <c r="I130" s="103">
        <v>0</v>
      </c>
      <c r="J130" s="8"/>
    </row>
    <row r="131" spans="1:10" s="61" customFormat="1" ht="43.75" hidden="1" customHeight="1" x14ac:dyDescent="0.35">
      <c r="A131" s="122" t="s">
        <v>476</v>
      </c>
      <c r="B131" s="10" t="s">
        <v>230</v>
      </c>
      <c r="C131" s="8" t="s">
        <v>232</v>
      </c>
      <c r="D131" s="59" t="s">
        <v>444</v>
      </c>
      <c r="E131" s="59" t="s">
        <v>448</v>
      </c>
      <c r="F131" s="103">
        <v>0</v>
      </c>
      <c r="G131" s="103">
        <v>0</v>
      </c>
      <c r="H131" s="103">
        <v>0</v>
      </c>
      <c r="I131" s="103">
        <v>0</v>
      </c>
      <c r="J131" s="8"/>
    </row>
    <row r="132" spans="1:10" s="61" customFormat="1" ht="43.75" hidden="1" customHeight="1" x14ac:dyDescent="0.35">
      <c r="A132" s="122" t="s">
        <v>476</v>
      </c>
      <c r="B132" s="10" t="s">
        <v>230</v>
      </c>
      <c r="C132" s="8" t="s">
        <v>232</v>
      </c>
      <c r="D132" s="59" t="s">
        <v>446</v>
      </c>
      <c r="E132" s="59" t="s">
        <v>448</v>
      </c>
      <c r="F132" s="103">
        <v>1</v>
      </c>
      <c r="G132" s="103">
        <v>0</v>
      </c>
      <c r="H132" s="103">
        <v>1</v>
      </c>
      <c r="I132" s="103">
        <v>0</v>
      </c>
      <c r="J132" s="8"/>
    </row>
    <row r="133" spans="1:10" s="61" customFormat="1" ht="43.75" hidden="1" customHeight="1" x14ac:dyDescent="0.35">
      <c r="A133" s="122" t="s">
        <v>476</v>
      </c>
      <c r="B133" s="10" t="s">
        <v>230</v>
      </c>
      <c r="C133" s="8" t="s">
        <v>232</v>
      </c>
      <c r="D133" s="59" t="s">
        <v>447</v>
      </c>
      <c r="E133" s="59" t="s">
        <v>448</v>
      </c>
      <c r="F133" s="103">
        <v>6491.7550000000001</v>
      </c>
      <c r="G133" s="103">
        <v>0</v>
      </c>
      <c r="H133" s="103">
        <v>2457.48</v>
      </c>
      <c r="I133" s="103">
        <v>0</v>
      </c>
      <c r="J133" s="8"/>
    </row>
    <row r="134" spans="1:10" s="61" customFormat="1" ht="43.75" customHeight="1" x14ac:dyDescent="0.35">
      <c r="A134" s="127" t="s">
        <v>178</v>
      </c>
      <c r="B134" s="8" t="s">
        <v>19</v>
      </c>
      <c r="C134" s="8" t="s">
        <v>38</v>
      </c>
      <c r="D134" s="59" t="s">
        <v>444</v>
      </c>
      <c r="E134" s="59" t="s">
        <v>445</v>
      </c>
      <c r="F134" s="103">
        <v>0</v>
      </c>
      <c r="G134" s="103">
        <v>0</v>
      </c>
      <c r="H134" s="103">
        <v>0</v>
      </c>
      <c r="I134" s="103">
        <v>0</v>
      </c>
      <c r="J134" s="8">
        <v>0</v>
      </c>
    </row>
    <row r="135" spans="1:10" s="61" customFormat="1" ht="43.75" customHeight="1" x14ac:dyDescent="0.35">
      <c r="A135" s="127" t="s">
        <v>178</v>
      </c>
      <c r="B135" s="8" t="s">
        <v>19</v>
      </c>
      <c r="C135" s="8" t="s">
        <v>38</v>
      </c>
      <c r="D135" s="59" t="s">
        <v>446</v>
      </c>
      <c r="E135" s="59" t="s">
        <v>445</v>
      </c>
      <c r="F135" s="103">
        <v>0</v>
      </c>
      <c r="G135" s="103">
        <v>0</v>
      </c>
      <c r="H135" s="103">
        <v>0</v>
      </c>
      <c r="I135" s="103">
        <v>0</v>
      </c>
      <c r="J135" s="8">
        <v>0</v>
      </c>
    </row>
    <row r="136" spans="1:10" s="61" customFormat="1" ht="43.75" customHeight="1" x14ac:dyDescent="0.35">
      <c r="A136" s="127" t="s">
        <v>178</v>
      </c>
      <c r="B136" s="8" t="s">
        <v>19</v>
      </c>
      <c r="C136" s="8" t="s">
        <v>38</v>
      </c>
      <c r="D136" s="59" t="s">
        <v>447</v>
      </c>
      <c r="E136" s="59" t="s">
        <v>445</v>
      </c>
      <c r="F136" s="103">
        <v>0</v>
      </c>
      <c r="G136" s="103">
        <v>0</v>
      </c>
      <c r="H136" s="103">
        <v>0</v>
      </c>
      <c r="I136" s="103">
        <v>0</v>
      </c>
      <c r="J136" s="8">
        <v>0</v>
      </c>
    </row>
    <row r="137" spans="1:10" s="61" customFormat="1" ht="43.75" customHeight="1" x14ac:dyDescent="0.35">
      <c r="A137" s="127" t="s">
        <v>178</v>
      </c>
      <c r="B137" s="8" t="s">
        <v>19</v>
      </c>
      <c r="C137" s="8" t="s">
        <v>38</v>
      </c>
      <c r="D137" s="59" t="s">
        <v>444</v>
      </c>
      <c r="E137" s="59" t="s">
        <v>448</v>
      </c>
      <c r="F137" s="103">
        <v>0</v>
      </c>
      <c r="G137" s="103">
        <v>3</v>
      </c>
      <c r="H137" s="103">
        <v>0</v>
      </c>
      <c r="I137" s="103">
        <v>0</v>
      </c>
      <c r="J137" s="8">
        <v>3</v>
      </c>
    </row>
    <row r="138" spans="1:10" s="61" customFormat="1" ht="43.75" customHeight="1" x14ac:dyDescent="0.35">
      <c r="A138" s="127" t="s">
        <v>178</v>
      </c>
      <c r="B138" s="8" t="s">
        <v>19</v>
      </c>
      <c r="C138" s="8" t="s">
        <v>38</v>
      </c>
      <c r="D138" s="59" t="s">
        <v>446</v>
      </c>
      <c r="E138" s="59" t="s">
        <v>448</v>
      </c>
      <c r="F138" s="103">
        <v>5</v>
      </c>
      <c r="G138" s="103">
        <v>4</v>
      </c>
      <c r="H138" s="103">
        <v>17</v>
      </c>
      <c r="I138" s="103">
        <v>0</v>
      </c>
      <c r="J138" s="8">
        <v>26</v>
      </c>
    </row>
    <row r="139" spans="1:10" s="61" customFormat="1" ht="43.75" customHeight="1" x14ac:dyDescent="0.35">
      <c r="A139" s="127" t="s">
        <v>178</v>
      </c>
      <c r="B139" s="8" t="s">
        <v>19</v>
      </c>
      <c r="C139" s="8" t="s">
        <v>38</v>
      </c>
      <c r="D139" s="59" t="s">
        <v>447</v>
      </c>
      <c r="E139" s="59" t="s">
        <v>448</v>
      </c>
      <c r="F139" s="103">
        <v>38400</v>
      </c>
      <c r="G139" s="103">
        <v>35400</v>
      </c>
      <c r="H139" s="103">
        <v>21870</v>
      </c>
      <c r="I139" s="103">
        <v>0</v>
      </c>
      <c r="J139" s="8">
        <v>95670</v>
      </c>
    </row>
    <row r="140" spans="1:10" s="61" customFormat="1" ht="43.75" customHeight="1" x14ac:dyDescent="0.35">
      <c r="A140" s="127" t="s">
        <v>179</v>
      </c>
      <c r="B140" s="6" t="s">
        <v>109</v>
      </c>
      <c r="C140" s="8" t="s">
        <v>38</v>
      </c>
      <c r="D140" s="59" t="s">
        <v>444</v>
      </c>
      <c r="E140" s="59" t="s">
        <v>445</v>
      </c>
      <c r="F140" s="103">
        <v>0</v>
      </c>
      <c r="G140" s="103">
        <v>0</v>
      </c>
      <c r="H140" s="103">
        <v>0</v>
      </c>
      <c r="I140" s="103">
        <v>0</v>
      </c>
      <c r="J140" s="8">
        <v>0</v>
      </c>
    </row>
    <row r="141" spans="1:10" s="61" customFormat="1" ht="43.75" customHeight="1" x14ac:dyDescent="0.35">
      <c r="A141" s="127" t="s">
        <v>179</v>
      </c>
      <c r="B141" s="6" t="s">
        <v>109</v>
      </c>
      <c r="C141" s="8" t="s">
        <v>38</v>
      </c>
      <c r="D141" s="59" t="s">
        <v>446</v>
      </c>
      <c r="E141" s="59" t="s">
        <v>445</v>
      </c>
      <c r="F141" s="103">
        <v>12</v>
      </c>
      <c r="G141" s="103">
        <v>56</v>
      </c>
      <c r="H141" s="103">
        <v>3</v>
      </c>
      <c r="I141" s="103">
        <v>0</v>
      </c>
      <c r="J141" s="8">
        <v>71</v>
      </c>
    </row>
    <row r="142" spans="1:10" s="61" customFormat="1" ht="43.75" customHeight="1" x14ac:dyDescent="0.35">
      <c r="A142" s="127" t="s">
        <v>179</v>
      </c>
      <c r="B142" s="6" t="s">
        <v>109</v>
      </c>
      <c r="C142" s="8" t="s">
        <v>38</v>
      </c>
      <c r="D142" s="59" t="s">
        <v>447</v>
      </c>
      <c r="E142" s="59" t="s">
        <v>445</v>
      </c>
      <c r="F142" s="103">
        <v>976274.18599999999</v>
      </c>
      <c r="G142" s="103">
        <v>1920344.2520000001</v>
      </c>
      <c r="H142" s="103">
        <v>30451.345000000001</v>
      </c>
      <c r="I142" s="103">
        <v>0</v>
      </c>
      <c r="J142" s="8">
        <v>2927069.7829999998</v>
      </c>
    </row>
    <row r="143" spans="1:10" s="61" customFormat="1" ht="43.75" customHeight="1" x14ac:dyDescent="0.35">
      <c r="A143" s="127" t="s">
        <v>179</v>
      </c>
      <c r="B143" s="6" t="s">
        <v>109</v>
      </c>
      <c r="C143" s="8" t="s">
        <v>38</v>
      </c>
      <c r="D143" s="59" t="s">
        <v>444</v>
      </c>
      <c r="E143" s="59" t="s">
        <v>448</v>
      </c>
      <c r="F143" s="103">
        <v>0</v>
      </c>
      <c r="G143" s="103">
        <v>23</v>
      </c>
      <c r="H143" s="103">
        <v>34</v>
      </c>
      <c r="I143" s="103">
        <v>11</v>
      </c>
      <c r="J143" s="8">
        <v>68</v>
      </c>
    </row>
    <row r="144" spans="1:10" s="61" customFormat="1" ht="43.75" customHeight="1" x14ac:dyDescent="0.35">
      <c r="A144" s="127" t="s">
        <v>179</v>
      </c>
      <c r="B144" s="6" t="s">
        <v>109</v>
      </c>
      <c r="C144" s="8" t="s">
        <v>38</v>
      </c>
      <c r="D144" s="59" t="s">
        <v>446</v>
      </c>
      <c r="E144" s="59" t="s">
        <v>448</v>
      </c>
      <c r="F144" s="103">
        <v>8</v>
      </c>
      <c r="G144" s="103">
        <v>182</v>
      </c>
      <c r="H144" s="103">
        <v>464</v>
      </c>
      <c r="I144" s="103">
        <v>740</v>
      </c>
      <c r="J144" s="8">
        <v>1394</v>
      </c>
    </row>
    <row r="145" spans="1:10" s="61" customFormat="1" ht="43.75" customHeight="1" x14ac:dyDescent="0.35">
      <c r="A145" s="127" t="s">
        <v>179</v>
      </c>
      <c r="B145" s="6" t="s">
        <v>109</v>
      </c>
      <c r="C145" s="8" t="s">
        <v>38</v>
      </c>
      <c r="D145" s="59" t="s">
        <v>447</v>
      </c>
      <c r="E145" s="59" t="s">
        <v>448</v>
      </c>
      <c r="F145" s="103">
        <v>1148907.3670000001</v>
      </c>
      <c r="G145" s="103">
        <v>3622249.912</v>
      </c>
      <c r="H145" s="103">
        <v>6643507.9179999996</v>
      </c>
      <c r="I145" s="103">
        <v>7389729.2690000003</v>
      </c>
      <c r="J145" s="8">
        <v>18804394.467</v>
      </c>
    </row>
    <row r="146" spans="1:10" s="61" customFormat="1" ht="43.75" hidden="1" customHeight="1" x14ac:dyDescent="0.35">
      <c r="A146" s="122" t="s">
        <v>187</v>
      </c>
      <c r="B146" s="8" t="s">
        <v>46</v>
      </c>
      <c r="C146" s="8" t="s">
        <v>122</v>
      </c>
      <c r="D146" s="59" t="s">
        <v>444</v>
      </c>
      <c r="E146" s="59" t="s">
        <v>445</v>
      </c>
      <c r="F146" s="103">
        <v>0</v>
      </c>
      <c r="G146" s="103">
        <v>0</v>
      </c>
      <c r="H146" s="103">
        <v>0</v>
      </c>
      <c r="I146" s="103">
        <v>0</v>
      </c>
      <c r="J146" s="8"/>
    </row>
    <row r="147" spans="1:10" s="61" customFormat="1" ht="43.75" hidden="1" customHeight="1" x14ac:dyDescent="0.35">
      <c r="A147" s="122" t="s">
        <v>187</v>
      </c>
      <c r="B147" s="8" t="s">
        <v>46</v>
      </c>
      <c r="C147" s="8" t="s">
        <v>122</v>
      </c>
      <c r="D147" s="59" t="s">
        <v>446</v>
      </c>
      <c r="E147" s="59" t="s">
        <v>445</v>
      </c>
      <c r="F147" s="103">
        <v>0</v>
      </c>
      <c r="G147" s="103">
        <v>0</v>
      </c>
      <c r="H147" s="103">
        <v>0</v>
      </c>
      <c r="I147" s="103">
        <v>0</v>
      </c>
      <c r="J147" s="8"/>
    </row>
    <row r="148" spans="1:10" s="61" customFormat="1" ht="43.75" hidden="1" customHeight="1" x14ac:dyDescent="0.35">
      <c r="A148" s="122" t="s">
        <v>187</v>
      </c>
      <c r="B148" s="8" t="s">
        <v>46</v>
      </c>
      <c r="C148" s="8" t="s">
        <v>122</v>
      </c>
      <c r="D148" s="59" t="s">
        <v>447</v>
      </c>
      <c r="E148" s="59" t="s">
        <v>445</v>
      </c>
      <c r="F148" s="103">
        <v>0</v>
      </c>
      <c r="G148" s="103">
        <v>0</v>
      </c>
      <c r="H148" s="103">
        <v>0</v>
      </c>
      <c r="I148" s="103">
        <v>0</v>
      </c>
      <c r="J148" s="8"/>
    </row>
    <row r="149" spans="1:10" s="61" customFormat="1" ht="43.75" hidden="1" customHeight="1" x14ac:dyDescent="0.35">
      <c r="A149" s="122" t="s">
        <v>187</v>
      </c>
      <c r="B149" s="8" t="s">
        <v>46</v>
      </c>
      <c r="C149" s="8" t="s">
        <v>122</v>
      </c>
      <c r="D149" s="59" t="s">
        <v>444</v>
      </c>
      <c r="E149" s="59" t="s">
        <v>448</v>
      </c>
      <c r="F149" s="103">
        <v>1</v>
      </c>
      <c r="G149" s="103">
        <v>1</v>
      </c>
      <c r="H149" s="103">
        <v>0</v>
      </c>
      <c r="I149" s="103">
        <v>1</v>
      </c>
      <c r="J149" s="8"/>
    </row>
    <row r="150" spans="1:10" s="61" customFormat="1" ht="43.75" hidden="1" customHeight="1" x14ac:dyDescent="0.35">
      <c r="A150" s="122" t="s">
        <v>187</v>
      </c>
      <c r="B150" s="8" t="s">
        <v>46</v>
      </c>
      <c r="C150" s="8" t="s">
        <v>122</v>
      </c>
      <c r="D150" s="59" t="s">
        <v>446</v>
      </c>
      <c r="E150" s="59" t="s">
        <v>448</v>
      </c>
      <c r="F150" s="103">
        <v>0</v>
      </c>
      <c r="G150" s="103">
        <v>0</v>
      </c>
      <c r="H150" s="103">
        <v>0</v>
      </c>
      <c r="I150" s="103">
        <v>51</v>
      </c>
      <c r="J150" s="8"/>
    </row>
    <row r="151" spans="1:10" s="61" customFormat="1" ht="43.75" hidden="1" customHeight="1" x14ac:dyDescent="0.35">
      <c r="A151" s="122" t="s">
        <v>187</v>
      </c>
      <c r="B151" s="8" t="s">
        <v>46</v>
      </c>
      <c r="C151" s="8" t="s">
        <v>122</v>
      </c>
      <c r="D151" s="59" t="s">
        <v>447</v>
      </c>
      <c r="E151" s="59" t="s">
        <v>448</v>
      </c>
      <c r="F151" s="103">
        <v>4466.049</v>
      </c>
      <c r="G151" s="103">
        <v>1400.4269999999999</v>
      </c>
      <c r="H151" s="103">
        <v>0</v>
      </c>
      <c r="I151" s="103">
        <v>96133.104999999996</v>
      </c>
      <c r="J151" s="8"/>
    </row>
    <row r="152" spans="1:10" s="61" customFormat="1" ht="43.75" hidden="1" customHeight="1" x14ac:dyDescent="0.35">
      <c r="A152" s="122" t="s">
        <v>190</v>
      </c>
      <c r="B152" s="8" t="s">
        <v>26</v>
      </c>
      <c r="C152" s="11" t="s">
        <v>22</v>
      </c>
      <c r="D152" s="59" t="s">
        <v>444</v>
      </c>
      <c r="E152" s="59" t="s">
        <v>445</v>
      </c>
      <c r="F152" s="103">
        <v>0</v>
      </c>
      <c r="G152" s="103">
        <v>0</v>
      </c>
      <c r="H152" s="103">
        <v>0</v>
      </c>
      <c r="I152" s="103">
        <v>0</v>
      </c>
      <c r="J152" s="8"/>
    </row>
    <row r="153" spans="1:10" s="61" customFormat="1" ht="43.75" hidden="1" customHeight="1" x14ac:dyDescent="0.35">
      <c r="A153" s="122" t="s">
        <v>190</v>
      </c>
      <c r="B153" s="8" t="s">
        <v>26</v>
      </c>
      <c r="C153" s="11" t="s">
        <v>22</v>
      </c>
      <c r="D153" s="59" t="s">
        <v>446</v>
      </c>
      <c r="E153" s="59" t="s">
        <v>445</v>
      </c>
      <c r="F153" s="103">
        <v>0</v>
      </c>
      <c r="G153" s="103">
        <v>0</v>
      </c>
      <c r="H153" s="103">
        <v>0</v>
      </c>
      <c r="I153" s="103">
        <v>0</v>
      </c>
      <c r="J153" s="8"/>
    </row>
    <row r="154" spans="1:10" s="61" customFormat="1" ht="43.75" hidden="1" customHeight="1" x14ac:dyDescent="0.35">
      <c r="A154" s="122" t="s">
        <v>190</v>
      </c>
      <c r="B154" s="8" t="s">
        <v>26</v>
      </c>
      <c r="C154" s="11" t="s">
        <v>22</v>
      </c>
      <c r="D154" s="59" t="s">
        <v>447</v>
      </c>
      <c r="E154" s="59" t="s">
        <v>445</v>
      </c>
      <c r="F154" s="103">
        <v>0</v>
      </c>
      <c r="G154" s="103">
        <v>0</v>
      </c>
      <c r="H154" s="103">
        <v>0</v>
      </c>
      <c r="I154" s="103">
        <v>0</v>
      </c>
      <c r="J154" s="8"/>
    </row>
    <row r="155" spans="1:10" s="61" customFormat="1" ht="43.75" hidden="1" customHeight="1" x14ac:dyDescent="0.35">
      <c r="A155" s="122" t="s">
        <v>190</v>
      </c>
      <c r="B155" s="8" t="s">
        <v>26</v>
      </c>
      <c r="C155" s="11" t="s">
        <v>22</v>
      </c>
      <c r="D155" s="59" t="s">
        <v>444</v>
      </c>
      <c r="E155" s="59" t="s">
        <v>448</v>
      </c>
      <c r="F155" s="103">
        <v>0</v>
      </c>
      <c r="G155" s="103">
        <v>1</v>
      </c>
      <c r="H155" s="103">
        <v>0</v>
      </c>
      <c r="I155" s="103">
        <v>0</v>
      </c>
      <c r="J155" s="8"/>
    </row>
    <row r="156" spans="1:10" s="61" customFormat="1" ht="43.75" hidden="1" customHeight="1" x14ac:dyDescent="0.35">
      <c r="A156" s="122" t="s">
        <v>190</v>
      </c>
      <c r="B156" s="8" t="s">
        <v>26</v>
      </c>
      <c r="C156" s="11" t="s">
        <v>22</v>
      </c>
      <c r="D156" s="59" t="s">
        <v>446</v>
      </c>
      <c r="E156" s="59" t="s">
        <v>448</v>
      </c>
      <c r="F156" s="103">
        <v>3</v>
      </c>
      <c r="G156" s="103">
        <v>11</v>
      </c>
      <c r="H156" s="103">
        <v>8</v>
      </c>
      <c r="I156" s="103">
        <v>49</v>
      </c>
      <c r="J156" s="8"/>
    </row>
    <row r="157" spans="1:10" s="61" customFormat="1" ht="43.75" hidden="1" customHeight="1" x14ac:dyDescent="0.35">
      <c r="A157" s="122" t="s">
        <v>190</v>
      </c>
      <c r="B157" s="8" t="s">
        <v>26</v>
      </c>
      <c r="C157" s="11" t="s">
        <v>22</v>
      </c>
      <c r="D157" s="59" t="s">
        <v>447</v>
      </c>
      <c r="E157" s="59" t="s">
        <v>448</v>
      </c>
      <c r="F157" s="103">
        <v>83604.967999999993</v>
      </c>
      <c r="G157" s="103">
        <v>214779.66800000001</v>
      </c>
      <c r="H157" s="103">
        <v>58539.148999999998</v>
      </c>
      <c r="I157" s="103">
        <v>213134.31200000001</v>
      </c>
      <c r="J157" s="8"/>
    </row>
    <row r="158" spans="1:10" s="61" customFormat="1" ht="43.75" hidden="1" customHeight="1" x14ac:dyDescent="0.35">
      <c r="A158" s="104" t="s">
        <v>196</v>
      </c>
      <c r="B158" s="6" t="s">
        <v>19</v>
      </c>
      <c r="C158" s="11" t="s">
        <v>22</v>
      </c>
      <c r="D158" s="59" t="s">
        <v>444</v>
      </c>
      <c r="E158" s="59" t="s">
        <v>445</v>
      </c>
      <c r="F158" s="103">
        <v>0</v>
      </c>
      <c r="G158" s="103"/>
      <c r="H158" s="103">
        <v>0</v>
      </c>
      <c r="I158" s="103">
        <v>0</v>
      </c>
      <c r="J158" s="8"/>
    </row>
    <row r="159" spans="1:10" s="61" customFormat="1" ht="43.75" hidden="1" customHeight="1" x14ac:dyDescent="0.35">
      <c r="A159" s="104" t="s">
        <v>196</v>
      </c>
      <c r="B159" s="6" t="s">
        <v>19</v>
      </c>
      <c r="C159" s="11" t="s">
        <v>22</v>
      </c>
      <c r="D159" s="59" t="s">
        <v>446</v>
      </c>
      <c r="E159" s="59" t="s">
        <v>445</v>
      </c>
      <c r="F159" s="103">
        <v>0</v>
      </c>
      <c r="G159" s="103">
        <v>0</v>
      </c>
      <c r="H159" s="103">
        <v>0</v>
      </c>
      <c r="I159" s="103">
        <v>0</v>
      </c>
      <c r="J159" s="8"/>
    </row>
    <row r="160" spans="1:10" s="61" customFormat="1" ht="43.75" hidden="1" customHeight="1" x14ac:dyDescent="0.35">
      <c r="A160" s="104" t="s">
        <v>196</v>
      </c>
      <c r="B160" s="6" t="s">
        <v>19</v>
      </c>
      <c r="C160" s="11" t="s">
        <v>22</v>
      </c>
      <c r="D160" s="59" t="s">
        <v>447</v>
      </c>
      <c r="E160" s="59" t="s">
        <v>445</v>
      </c>
      <c r="F160" s="103">
        <v>0</v>
      </c>
      <c r="G160" s="103">
        <v>0</v>
      </c>
      <c r="H160" s="103">
        <v>0</v>
      </c>
      <c r="I160" s="103">
        <v>0</v>
      </c>
      <c r="J160" s="8"/>
    </row>
    <row r="161" spans="1:10" s="61" customFormat="1" ht="43.75" hidden="1" customHeight="1" x14ac:dyDescent="0.35">
      <c r="A161" s="104" t="s">
        <v>196</v>
      </c>
      <c r="B161" s="6" t="s">
        <v>19</v>
      </c>
      <c r="C161" s="11" t="s">
        <v>22</v>
      </c>
      <c r="D161" s="59" t="s">
        <v>444</v>
      </c>
      <c r="E161" s="59" t="s">
        <v>448</v>
      </c>
      <c r="F161" s="103">
        <v>0</v>
      </c>
      <c r="G161" s="103">
        <v>0</v>
      </c>
      <c r="H161" s="103">
        <v>0</v>
      </c>
      <c r="I161" s="103">
        <v>0</v>
      </c>
      <c r="J161" s="8"/>
    </row>
    <row r="162" spans="1:10" s="61" customFormat="1" ht="43.75" hidden="1" customHeight="1" x14ac:dyDescent="0.35">
      <c r="A162" s="104" t="s">
        <v>196</v>
      </c>
      <c r="B162" s="6" t="s">
        <v>19</v>
      </c>
      <c r="C162" s="11" t="s">
        <v>22</v>
      </c>
      <c r="D162" s="59" t="s">
        <v>446</v>
      </c>
      <c r="E162" s="59" t="s">
        <v>448</v>
      </c>
      <c r="F162" s="103">
        <v>0</v>
      </c>
      <c r="G162" s="103">
        <v>0</v>
      </c>
      <c r="H162" s="103">
        <v>0</v>
      </c>
      <c r="I162" s="103">
        <v>0</v>
      </c>
      <c r="J162" s="8"/>
    </row>
    <row r="163" spans="1:10" s="61" customFormat="1" ht="43.75" hidden="1" customHeight="1" x14ac:dyDescent="0.35">
      <c r="A163" s="104" t="s">
        <v>196</v>
      </c>
      <c r="B163" s="6" t="s">
        <v>19</v>
      </c>
      <c r="C163" s="11" t="s">
        <v>22</v>
      </c>
      <c r="D163" s="59" t="s">
        <v>447</v>
      </c>
      <c r="E163" s="59" t="s">
        <v>448</v>
      </c>
      <c r="F163" s="103">
        <v>0</v>
      </c>
      <c r="G163" s="103">
        <v>0</v>
      </c>
      <c r="H163" s="103">
        <v>0</v>
      </c>
      <c r="I163" s="103">
        <v>0</v>
      </c>
      <c r="J163" s="8"/>
    </row>
    <row r="164" spans="1:10" s="61" customFormat="1" ht="43.75" hidden="1" customHeight="1" x14ac:dyDescent="0.35">
      <c r="A164" s="122" t="s">
        <v>202</v>
      </c>
      <c r="B164" s="6" t="s">
        <v>109</v>
      </c>
      <c r="C164" s="6" t="s">
        <v>204</v>
      </c>
      <c r="D164" s="59" t="s">
        <v>444</v>
      </c>
      <c r="E164" s="59" t="s">
        <v>445</v>
      </c>
      <c r="F164" s="103"/>
      <c r="G164" s="103"/>
      <c r="H164" s="103"/>
      <c r="I164" s="103"/>
      <c r="J164" s="8"/>
    </row>
    <row r="165" spans="1:10" s="61" customFormat="1" ht="43.75" hidden="1" customHeight="1" x14ac:dyDescent="0.35">
      <c r="A165" s="122" t="s">
        <v>202</v>
      </c>
      <c r="B165" s="6" t="s">
        <v>109</v>
      </c>
      <c r="C165" s="6" t="s">
        <v>204</v>
      </c>
      <c r="D165" s="59" t="s">
        <v>446</v>
      </c>
      <c r="E165" s="59" t="s">
        <v>445</v>
      </c>
      <c r="F165" s="103"/>
      <c r="G165" s="103"/>
      <c r="H165" s="103"/>
      <c r="I165" s="103"/>
      <c r="J165" s="8"/>
    </row>
    <row r="166" spans="1:10" s="61" customFormat="1" ht="43.75" hidden="1" customHeight="1" x14ac:dyDescent="0.35">
      <c r="A166" s="122" t="s">
        <v>202</v>
      </c>
      <c r="B166" s="6" t="s">
        <v>109</v>
      </c>
      <c r="C166" s="6" t="s">
        <v>204</v>
      </c>
      <c r="D166" s="59" t="s">
        <v>447</v>
      </c>
      <c r="E166" s="59" t="s">
        <v>445</v>
      </c>
      <c r="F166" s="103"/>
      <c r="G166" s="103"/>
      <c r="H166" s="103"/>
      <c r="I166" s="103"/>
      <c r="J166" s="8"/>
    </row>
    <row r="167" spans="1:10" s="61" customFormat="1" ht="43.75" hidden="1" customHeight="1" x14ac:dyDescent="0.35">
      <c r="A167" s="122" t="s">
        <v>202</v>
      </c>
      <c r="B167" s="6" t="s">
        <v>109</v>
      </c>
      <c r="C167" s="6" t="s">
        <v>204</v>
      </c>
      <c r="D167" s="59" t="s">
        <v>444</v>
      </c>
      <c r="E167" s="59" t="s">
        <v>448</v>
      </c>
      <c r="F167" s="103">
        <v>1</v>
      </c>
      <c r="G167" s="103">
        <v>0</v>
      </c>
      <c r="H167" s="103">
        <v>1</v>
      </c>
      <c r="I167" s="103">
        <v>2</v>
      </c>
      <c r="J167" s="8"/>
    </row>
    <row r="168" spans="1:10" s="61" customFormat="1" ht="43.75" hidden="1" customHeight="1" x14ac:dyDescent="0.35">
      <c r="A168" s="122" t="s">
        <v>202</v>
      </c>
      <c r="B168" s="6" t="s">
        <v>109</v>
      </c>
      <c r="C168" s="6" t="s">
        <v>204</v>
      </c>
      <c r="D168" s="59" t="s">
        <v>446</v>
      </c>
      <c r="E168" s="59" t="s">
        <v>448</v>
      </c>
      <c r="F168" s="103">
        <v>2</v>
      </c>
      <c r="G168" s="103">
        <v>0</v>
      </c>
      <c r="H168" s="103">
        <v>9</v>
      </c>
      <c r="I168" s="103">
        <v>118</v>
      </c>
      <c r="J168" s="8"/>
    </row>
    <row r="169" spans="1:10" s="61" customFormat="1" ht="43.75" hidden="1" customHeight="1" x14ac:dyDescent="0.35">
      <c r="A169" s="122" t="s">
        <v>202</v>
      </c>
      <c r="B169" s="6" t="s">
        <v>109</v>
      </c>
      <c r="C169" s="6" t="s">
        <v>204</v>
      </c>
      <c r="D169" s="59" t="s">
        <v>447</v>
      </c>
      <c r="E169" s="59" t="s">
        <v>448</v>
      </c>
      <c r="F169" s="103">
        <v>245897</v>
      </c>
      <c r="G169" s="103">
        <v>0</v>
      </c>
      <c r="H169" s="103">
        <v>39279</v>
      </c>
      <c r="I169" s="103">
        <v>24869</v>
      </c>
      <c r="J169" s="8"/>
    </row>
    <row r="170" spans="1:10" s="61" customFormat="1" ht="43.75" hidden="1" customHeight="1" x14ac:dyDescent="0.35">
      <c r="A170" s="104" t="s">
        <v>208</v>
      </c>
      <c r="B170" s="6" t="s">
        <v>19</v>
      </c>
      <c r="C170" s="11" t="s">
        <v>22</v>
      </c>
      <c r="D170" s="59" t="s">
        <v>444</v>
      </c>
      <c r="E170" s="59" t="s">
        <v>445</v>
      </c>
      <c r="F170" s="103">
        <v>0</v>
      </c>
      <c r="G170" s="103">
        <v>0</v>
      </c>
      <c r="H170" s="103">
        <v>0</v>
      </c>
      <c r="I170" s="103">
        <v>0</v>
      </c>
      <c r="J170" s="8"/>
    </row>
    <row r="171" spans="1:10" s="61" customFormat="1" ht="43.75" hidden="1" customHeight="1" x14ac:dyDescent="0.35">
      <c r="A171" s="104" t="s">
        <v>208</v>
      </c>
      <c r="B171" s="6" t="s">
        <v>19</v>
      </c>
      <c r="C171" s="11" t="s">
        <v>22</v>
      </c>
      <c r="D171" s="59" t="s">
        <v>446</v>
      </c>
      <c r="E171" s="59" t="s">
        <v>445</v>
      </c>
      <c r="F171" s="103">
        <v>0</v>
      </c>
      <c r="G171" s="103">
        <v>0</v>
      </c>
      <c r="H171" s="103">
        <v>0</v>
      </c>
      <c r="I171" s="103">
        <v>0</v>
      </c>
      <c r="J171" s="8"/>
    </row>
    <row r="172" spans="1:10" s="61" customFormat="1" ht="43.75" hidden="1" customHeight="1" x14ac:dyDescent="0.35">
      <c r="A172" s="104" t="s">
        <v>208</v>
      </c>
      <c r="B172" s="6" t="s">
        <v>19</v>
      </c>
      <c r="C172" s="11" t="s">
        <v>22</v>
      </c>
      <c r="D172" s="59" t="s">
        <v>447</v>
      </c>
      <c r="E172" s="59" t="s">
        <v>445</v>
      </c>
      <c r="F172" s="103">
        <v>0</v>
      </c>
      <c r="G172" s="103">
        <v>0</v>
      </c>
      <c r="H172" s="103">
        <v>0</v>
      </c>
      <c r="I172" s="103">
        <v>0</v>
      </c>
      <c r="J172" s="8"/>
    </row>
    <row r="173" spans="1:10" s="61" customFormat="1" ht="43.75" hidden="1" customHeight="1" x14ac:dyDescent="0.35">
      <c r="A173" s="104" t="s">
        <v>208</v>
      </c>
      <c r="B173" s="6" t="s">
        <v>19</v>
      </c>
      <c r="C173" s="11" t="s">
        <v>22</v>
      </c>
      <c r="D173" s="59" t="s">
        <v>444</v>
      </c>
      <c r="E173" s="59" t="s">
        <v>448</v>
      </c>
      <c r="F173" s="103">
        <v>1</v>
      </c>
      <c r="G173" s="103">
        <v>0</v>
      </c>
      <c r="H173" s="103">
        <v>0</v>
      </c>
      <c r="I173" s="103">
        <v>1</v>
      </c>
      <c r="J173" s="8"/>
    </row>
    <row r="174" spans="1:10" s="61" customFormat="1" ht="43.75" hidden="1" customHeight="1" x14ac:dyDescent="0.35">
      <c r="A174" s="104" t="s">
        <v>208</v>
      </c>
      <c r="B174" s="6" t="s">
        <v>19</v>
      </c>
      <c r="C174" s="11" t="s">
        <v>22</v>
      </c>
      <c r="D174" s="59" t="s">
        <v>446</v>
      </c>
      <c r="E174" s="59" t="s">
        <v>448</v>
      </c>
      <c r="F174" s="103">
        <v>3</v>
      </c>
      <c r="G174" s="103">
        <v>2</v>
      </c>
      <c r="H174" s="103">
        <v>6</v>
      </c>
      <c r="I174" s="103">
        <v>24</v>
      </c>
      <c r="J174" s="8"/>
    </row>
    <row r="175" spans="1:10" s="61" customFormat="1" ht="43.75" hidden="1" customHeight="1" x14ac:dyDescent="0.35">
      <c r="A175" s="104" t="s">
        <v>208</v>
      </c>
      <c r="B175" s="6" t="s">
        <v>19</v>
      </c>
      <c r="C175" s="11" t="s">
        <v>22</v>
      </c>
      <c r="D175" s="59" t="s">
        <v>447</v>
      </c>
      <c r="E175" s="59" t="s">
        <v>448</v>
      </c>
      <c r="F175" s="111">
        <v>51113.894999999997</v>
      </c>
      <c r="G175" s="111">
        <v>11469.053</v>
      </c>
      <c r="H175" s="111">
        <v>7997.6279999999997</v>
      </c>
      <c r="I175" s="111">
        <v>10460.540999999999</v>
      </c>
      <c r="J175" s="8"/>
    </row>
    <row r="176" spans="1:10" s="61" customFormat="1" ht="43.75" hidden="1" customHeight="1" x14ac:dyDescent="0.35">
      <c r="A176" s="123" t="s">
        <v>213</v>
      </c>
      <c r="B176" s="6" t="s">
        <v>109</v>
      </c>
      <c r="C176" s="11" t="s">
        <v>22</v>
      </c>
      <c r="D176" s="59" t="s">
        <v>444</v>
      </c>
      <c r="E176" s="59" t="s">
        <v>445</v>
      </c>
      <c r="F176" s="103"/>
      <c r="G176" s="103"/>
      <c r="H176" s="103"/>
      <c r="I176" s="103"/>
      <c r="J176" s="8"/>
    </row>
    <row r="177" spans="1:10" s="61" customFormat="1" ht="43.75" hidden="1" customHeight="1" x14ac:dyDescent="0.35">
      <c r="A177" s="122" t="s">
        <v>213</v>
      </c>
      <c r="B177" s="6" t="s">
        <v>109</v>
      </c>
      <c r="C177" s="11" t="s">
        <v>22</v>
      </c>
      <c r="D177" s="59" t="s">
        <v>446</v>
      </c>
      <c r="E177" s="59" t="s">
        <v>445</v>
      </c>
      <c r="F177" s="103">
        <v>13</v>
      </c>
      <c r="G177" s="103">
        <v>54</v>
      </c>
      <c r="H177" s="103"/>
      <c r="I177" s="103"/>
      <c r="J177" s="8"/>
    </row>
    <row r="178" spans="1:10" s="61" customFormat="1" ht="43.75" hidden="1" customHeight="1" x14ac:dyDescent="0.35">
      <c r="A178" s="122" t="s">
        <v>213</v>
      </c>
      <c r="B178" s="6" t="s">
        <v>109</v>
      </c>
      <c r="C178" s="11" t="s">
        <v>22</v>
      </c>
      <c r="D178" s="59" t="s">
        <v>447</v>
      </c>
      <c r="E178" s="59" t="s">
        <v>445</v>
      </c>
      <c r="F178" s="103">
        <v>3049218.3859999999</v>
      </c>
      <c r="G178" s="103">
        <v>6171297.3660000004</v>
      </c>
      <c r="H178" s="103"/>
      <c r="I178" s="103"/>
      <c r="J178" s="8"/>
    </row>
    <row r="179" spans="1:10" s="61" customFormat="1" ht="43.75" hidden="1" customHeight="1" x14ac:dyDescent="0.35">
      <c r="A179" s="122" t="s">
        <v>213</v>
      </c>
      <c r="B179" s="6" t="s">
        <v>109</v>
      </c>
      <c r="C179" s="11" t="s">
        <v>22</v>
      </c>
      <c r="D179" s="59" t="s">
        <v>444</v>
      </c>
      <c r="E179" s="59" t="s">
        <v>448</v>
      </c>
      <c r="F179" s="103">
        <v>10</v>
      </c>
      <c r="G179" s="103">
        <v>22</v>
      </c>
      <c r="H179" s="103">
        <v>34</v>
      </c>
      <c r="I179" s="103">
        <v>48</v>
      </c>
      <c r="J179" s="8"/>
    </row>
    <row r="180" spans="1:10" s="61" customFormat="1" ht="43.75" hidden="1" customHeight="1" x14ac:dyDescent="0.35">
      <c r="A180" s="122" t="s">
        <v>213</v>
      </c>
      <c r="B180" s="6" t="s">
        <v>109</v>
      </c>
      <c r="C180" s="11" t="s">
        <v>22</v>
      </c>
      <c r="D180" s="59" t="s">
        <v>446</v>
      </c>
      <c r="E180" s="59" t="s">
        <v>448</v>
      </c>
      <c r="F180" s="103">
        <v>81</v>
      </c>
      <c r="G180" s="103">
        <v>133</v>
      </c>
      <c r="H180" s="103">
        <v>482</v>
      </c>
      <c r="I180" s="103">
        <f>425+586</f>
        <v>1011</v>
      </c>
      <c r="J180" s="8"/>
    </row>
    <row r="181" spans="1:10" s="61" customFormat="1" ht="43.75" hidden="1" customHeight="1" x14ac:dyDescent="0.35">
      <c r="A181" s="122" t="s">
        <v>213</v>
      </c>
      <c r="B181" s="6" t="s">
        <v>109</v>
      </c>
      <c r="C181" s="11" t="s">
        <v>22</v>
      </c>
      <c r="D181" s="59" t="s">
        <v>447</v>
      </c>
      <c r="E181" s="59" t="s">
        <v>448</v>
      </c>
      <c r="F181" s="103">
        <v>4323409.1639999999</v>
      </c>
      <c r="G181" s="103">
        <v>4172283.2749999999</v>
      </c>
      <c r="H181" s="103">
        <v>11584405.072000001</v>
      </c>
      <c r="I181" s="103">
        <f>6742857.629+6416812.21</f>
        <v>13159669.839</v>
      </c>
      <c r="J181" s="8"/>
    </row>
    <row r="182" spans="1:10" s="61" customFormat="1" ht="43.75" hidden="1" customHeight="1" x14ac:dyDescent="0.35">
      <c r="A182" s="104" t="s">
        <v>217</v>
      </c>
      <c r="B182" s="10" t="s">
        <v>19</v>
      </c>
      <c r="C182" s="8" t="s">
        <v>22</v>
      </c>
      <c r="D182" s="59" t="s">
        <v>444</v>
      </c>
      <c r="E182" s="59" t="s">
        <v>445</v>
      </c>
      <c r="F182" s="103">
        <v>0</v>
      </c>
      <c r="G182" s="103">
        <v>0</v>
      </c>
      <c r="H182" s="103">
        <v>0</v>
      </c>
      <c r="I182" s="103">
        <v>0</v>
      </c>
      <c r="J182" s="8"/>
    </row>
    <row r="183" spans="1:10" s="61" customFormat="1" ht="43.75" hidden="1" customHeight="1" x14ac:dyDescent="0.35">
      <c r="A183" s="104" t="s">
        <v>217</v>
      </c>
      <c r="B183" s="10" t="s">
        <v>19</v>
      </c>
      <c r="C183" s="8" t="s">
        <v>22</v>
      </c>
      <c r="D183" s="59" t="s">
        <v>446</v>
      </c>
      <c r="E183" s="59" t="s">
        <v>445</v>
      </c>
      <c r="F183" s="103">
        <v>0</v>
      </c>
      <c r="G183" s="103">
        <v>0</v>
      </c>
      <c r="H183" s="103">
        <v>0</v>
      </c>
      <c r="I183" s="103">
        <v>0</v>
      </c>
      <c r="J183" s="8"/>
    </row>
    <row r="184" spans="1:10" s="61" customFormat="1" ht="43.75" hidden="1" customHeight="1" x14ac:dyDescent="0.35">
      <c r="A184" s="104" t="s">
        <v>217</v>
      </c>
      <c r="B184" s="10" t="s">
        <v>19</v>
      </c>
      <c r="C184" s="8" t="s">
        <v>22</v>
      </c>
      <c r="D184" s="59" t="s">
        <v>447</v>
      </c>
      <c r="E184" s="59" t="s">
        <v>445</v>
      </c>
      <c r="F184" s="103">
        <v>0</v>
      </c>
      <c r="G184" s="103">
        <v>0</v>
      </c>
      <c r="H184" s="103">
        <v>0</v>
      </c>
      <c r="I184" s="103">
        <v>0</v>
      </c>
      <c r="J184" s="8"/>
    </row>
    <row r="185" spans="1:10" s="61" customFormat="1" ht="43.75" hidden="1" customHeight="1" x14ac:dyDescent="0.35">
      <c r="A185" s="104" t="s">
        <v>217</v>
      </c>
      <c r="B185" s="10" t="s">
        <v>19</v>
      </c>
      <c r="C185" s="8" t="s">
        <v>22</v>
      </c>
      <c r="D185" s="59" t="s">
        <v>444</v>
      </c>
      <c r="E185" s="59" t="s">
        <v>448</v>
      </c>
      <c r="F185" s="103">
        <v>0</v>
      </c>
      <c r="G185" s="103">
        <v>1</v>
      </c>
      <c r="H185" s="103">
        <v>1</v>
      </c>
      <c r="I185" s="103">
        <v>0</v>
      </c>
      <c r="J185" s="8"/>
    </row>
    <row r="186" spans="1:10" s="61" customFormat="1" ht="43.75" hidden="1" customHeight="1" x14ac:dyDescent="0.35">
      <c r="A186" s="104" t="s">
        <v>217</v>
      </c>
      <c r="B186" s="10" t="s">
        <v>19</v>
      </c>
      <c r="C186" s="8" t="s">
        <v>22</v>
      </c>
      <c r="D186" s="59" t="s">
        <v>446</v>
      </c>
      <c r="E186" s="59" t="s">
        <v>448</v>
      </c>
      <c r="F186" s="103">
        <v>11</v>
      </c>
      <c r="G186" s="103">
        <v>4</v>
      </c>
      <c r="H186" s="103">
        <v>8</v>
      </c>
      <c r="I186" s="103">
        <v>14</v>
      </c>
      <c r="J186" s="8"/>
    </row>
    <row r="187" spans="1:10" s="61" customFormat="1" ht="43.75" hidden="1" customHeight="1" x14ac:dyDescent="0.35">
      <c r="A187" s="104" t="s">
        <v>217</v>
      </c>
      <c r="B187" s="10" t="s">
        <v>19</v>
      </c>
      <c r="C187" s="8" t="s">
        <v>22</v>
      </c>
      <c r="D187" s="59" t="s">
        <v>447</v>
      </c>
      <c r="E187" s="59" t="s">
        <v>448</v>
      </c>
      <c r="F187" s="103">
        <v>423673.07500000001</v>
      </c>
      <c r="G187" s="103">
        <v>106744.333</v>
      </c>
      <c r="H187" s="103">
        <v>210039.951</v>
      </c>
      <c r="I187" s="103">
        <v>195936.11</v>
      </c>
      <c r="J187" s="8"/>
    </row>
    <row r="188" spans="1:10" s="61" customFormat="1" ht="43.75" hidden="1" customHeight="1" x14ac:dyDescent="0.35">
      <c r="A188" s="104" t="s">
        <v>228</v>
      </c>
      <c r="B188" s="6" t="s">
        <v>230</v>
      </c>
      <c r="C188" s="6" t="s">
        <v>232</v>
      </c>
      <c r="D188" s="59" t="s">
        <v>444</v>
      </c>
      <c r="E188" s="59" t="s">
        <v>445</v>
      </c>
      <c r="F188" s="103"/>
      <c r="G188" s="103"/>
      <c r="H188" s="103"/>
      <c r="I188" s="103"/>
      <c r="J188" s="8"/>
    </row>
    <row r="189" spans="1:10" s="61" customFormat="1" ht="43.75" hidden="1" customHeight="1" x14ac:dyDescent="0.35">
      <c r="A189" s="104" t="s">
        <v>228</v>
      </c>
      <c r="B189" s="6" t="s">
        <v>230</v>
      </c>
      <c r="C189" s="6" t="s">
        <v>232</v>
      </c>
      <c r="D189" s="59" t="s">
        <v>446</v>
      </c>
      <c r="E189" s="59" t="s">
        <v>445</v>
      </c>
      <c r="F189" s="103"/>
      <c r="G189" s="103"/>
      <c r="H189" s="103"/>
      <c r="I189" s="103"/>
      <c r="J189" s="8"/>
    </row>
    <row r="190" spans="1:10" s="61" customFormat="1" ht="43.75" hidden="1" customHeight="1" x14ac:dyDescent="0.35">
      <c r="A190" s="104" t="s">
        <v>228</v>
      </c>
      <c r="B190" s="6" t="s">
        <v>230</v>
      </c>
      <c r="C190" s="6" t="s">
        <v>232</v>
      </c>
      <c r="D190" s="59" t="s">
        <v>447</v>
      </c>
      <c r="E190" s="59" t="s">
        <v>445</v>
      </c>
      <c r="F190" s="103"/>
      <c r="G190" s="103"/>
      <c r="H190" s="103"/>
      <c r="I190" s="103"/>
      <c r="J190" s="8"/>
    </row>
    <row r="191" spans="1:10" s="61" customFormat="1" ht="43.75" hidden="1" customHeight="1" x14ac:dyDescent="0.35">
      <c r="A191" s="104" t="s">
        <v>228</v>
      </c>
      <c r="B191" s="6" t="s">
        <v>230</v>
      </c>
      <c r="C191" s="6" t="s">
        <v>232</v>
      </c>
      <c r="D191" s="59" t="s">
        <v>444</v>
      </c>
      <c r="E191" s="59" t="s">
        <v>448</v>
      </c>
      <c r="F191" s="103"/>
      <c r="G191" s="103"/>
      <c r="H191" s="103"/>
      <c r="I191" s="103"/>
      <c r="J191" s="8"/>
    </row>
    <row r="192" spans="1:10" s="61" customFormat="1" ht="43.75" hidden="1" customHeight="1" x14ac:dyDescent="0.35">
      <c r="A192" s="104" t="s">
        <v>228</v>
      </c>
      <c r="B192" s="6" t="s">
        <v>230</v>
      </c>
      <c r="C192" s="6" t="s">
        <v>232</v>
      </c>
      <c r="D192" s="59" t="s">
        <v>446</v>
      </c>
      <c r="E192" s="59" t="s">
        <v>448</v>
      </c>
      <c r="F192" s="103"/>
      <c r="G192" s="103"/>
      <c r="H192" s="103"/>
      <c r="I192" s="103"/>
      <c r="J192" s="8"/>
    </row>
    <row r="193" spans="1:10" s="61" customFormat="1" ht="43.75" hidden="1" customHeight="1" x14ac:dyDescent="0.35">
      <c r="A193" s="104" t="s">
        <v>228</v>
      </c>
      <c r="B193" s="6" t="s">
        <v>230</v>
      </c>
      <c r="C193" s="6" t="s">
        <v>232</v>
      </c>
      <c r="D193" s="59" t="s">
        <v>447</v>
      </c>
      <c r="E193" s="59" t="s">
        <v>448</v>
      </c>
      <c r="F193" s="103"/>
      <c r="G193" s="103"/>
      <c r="H193" s="103"/>
      <c r="I193" s="103"/>
      <c r="J193" s="8"/>
    </row>
    <row r="194" spans="1:10" ht="24" hidden="1" customHeight="1" x14ac:dyDescent="0.35">
      <c r="A194" s="104" t="s">
        <v>234</v>
      </c>
      <c r="B194" s="6" t="s">
        <v>230</v>
      </c>
      <c r="C194" s="8" t="s">
        <v>38</v>
      </c>
      <c r="D194" s="101" t="s">
        <v>444</v>
      </c>
      <c r="E194" s="101" t="s">
        <v>445</v>
      </c>
      <c r="F194" s="103"/>
      <c r="G194" s="103"/>
      <c r="H194" s="103"/>
      <c r="I194" s="103"/>
      <c r="J194" s="8"/>
    </row>
    <row r="195" spans="1:10" ht="24" hidden="1" customHeight="1" x14ac:dyDescent="0.35">
      <c r="A195" s="104" t="s">
        <v>234</v>
      </c>
      <c r="B195" s="6" t="s">
        <v>230</v>
      </c>
      <c r="C195" s="8" t="s">
        <v>38</v>
      </c>
      <c r="D195" s="101" t="s">
        <v>446</v>
      </c>
      <c r="E195" s="101" t="s">
        <v>445</v>
      </c>
      <c r="F195" s="103"/>
      <c r="G195" s="103"/>
      <c r="H195" s="103"/>
      <c r="I195" s="103"/>
      <c r="J195" s="8"/>
    </row>
    <row r="196" spans="1:10" ht="24" hidden="1" customHeight="1" x14ac:dyDescent="0.35">
      <c r="A196" s="104" t="s">
        <v>234</v>
      </c>
      <c r="B196" s="6" t="s">
        <v>230</v>
      </c>
      <c r="C196" s="8" t="s">
        <v>38</v>
      </c>
      <c r="D196" s="101" t="s">
        <v>447</v>
      </c>
      <c r="E196" s="101" t="s">
        <v>445</v>
      </c>
      <c r="F196" s="103"/>
      <c r="G196" s="103"/>
      <c r="H196" s="103"/>
      <c r="I196" s="103"/>
      <c r="J196" s="8"/>
    </row>
    <row r="197" spans="1:10" ht="24" hidden="1" customHeight="1" x14ac:dyDescent="0.35">
      <c r="A197" s="104" t="s">
        <v>234</v>
      </c>
      <c r="B197" s="6" t="s">
        <v>230</v>
      </c>
      <c r="C197" s="8" t="s">
        <v>38</v>
      </c>
      <c r="D197" s="101" t="s">
        <v>444</v>
      </c>
      <c r="E197" s="101" t="s">
        <v>448</v>
      </c>
      <c r="F197" s="103"/>
      <c r="G197" s="103"/>
      <c r="H197" s="103"/>
      <c r="I197" s="103"/>
      <c r="J197" s="8"/>
    </row>
    <row r="198" spans="1:10" ht="24" hidden="1" customHeight="1" x14ac:dyDescent="0.35">
      <c r="A198" s="104" t="s">
        <v>234</v>
      </c>
      <c r="B198" s="6" t="s">
        <v>230</v>
      </c>
      <c r="C198" s="8" t="s">
        <v>38</v>
      </c>
      <c r="D198" s="101" t="s">
        <v>446</v>
      </c>
      <c r="E198" s="101" t="s">
        <v>448</v>
      </c>
      <c r="F198" s="103"/>
      <c r="G198" s="103"/>
      <c r="H198" s="103"/>
      <c r="I198" s="103"/>
      <c r="J198" s="8"/>
    </row>
    <row r="199" spans="1:10" ht="24" hidden="1" customHeight="1" x14ac:dyDescent="0.35">
      <c r="A199" s="104" t="s">
        <v>234</v>
      </c>
      <c r="B199" s="6" t="s">
        <v>230</v>
      </c>
      <c r="C199" s="8" t="s">
        <v>38</v>
      </c>
      <c r="D199" s="101" t="s">
        <v>447</v>
      </c>
      <c r="E199" s="101" t="s">
        <v>448</v>
      </c>
      <c r="F199" s="103"/>
      <c r="G199" s="103"/>
      <c r="H199" s="103"/>
      <c r="I199" s="103"/>
      <c r="J199" s="8"/>
    </row>
    <row r="200" spans="1:10" ht="24" hidden="1" customHeight="1" x14ac:dyDescent="0.35">
      <c r="A200" s="104" t="s">
        <v>240</v>
      </c>
      <c r="B200" s="10" t="s">
        <v>19</v>
      </c>
      <c r="C200" s="8" t="s">
        <v>38</v>
      </c>
      <c r="D200" s="101" t="s">
        <v>444</v>
      </c>
      <c r="E200" s="101" t="s">
        <v>445</v>
      </c>
      <c r="F200" s="103">
        <v>0</v>
      </c>
      <c r="G200" s="103">
        <v>0</v>
      </c>
      <c r="H200" s="103">
        <v>0</v>
      </c>
      <c r="I200" s="103"/>
      <c r="J200" s="8"/>
    </row>
    <row r="201" spans="1:10" ht="24" hidden="1" customHeight="1" x14ac:dyDescent="0.35">
      <c r="A201" s="104" t="s">
        <v>240</v>
      </c>
      <c r="B201" s="10" t="s">
        <v>19</v>
      </c>
      <c r="C201" s="8" t="s">
        <v>38</v>
      </c>
      <c r="D201" s="101" t="s">
        <v>446</v>
      </c>
      <c r="E201" s="101" t="s">
        <v>445</v>
      </c>
      <c r="F201" s="103">
        <v>0</v>
      </c>
      <c r="G201" s="103">
        <v>0</v>
      </c>
      <c r="H201" s="103">
        <v>0</v>
      </c>
      <c r="I201" s="103"/>
      <c r="J201" s="8"/>
    </row>
    <row r="202" spans="1:10" ht="24" hidden="1" customHeight="1" x14ac:dyDescent="0.35">
      <c r="A202" s="104" t="s">
        <v>240</v>
      </c>
      <c r="B202" s="10" t="s">
        <v>19</v>
      </c>
      <c r="C202" s="8" t="s">
        <v>38</v>
      </c>
      <c r="D202" s="101" t="s">
        <v>447</v>
      </c>
      <c r="E202" s="101" t="s">
        <v>445</v>
      </c>
      <c r="F202" s="103">
        <v>0</v>
      </c>
      <c r="G202" s="103">
        <v>0</v>
      </c>
      <c r="H202" s="103">
        <v>0</v>
      </c>
      <c r="I202" s="103"/>
      <c r="J202" s="8"/>
    </row>
    <row r="203" spans="1:10" ht="24" hidden="1" customHeight="1" x14ac:dyDescent="0.35">
      <c r="A203" s="104" t="s">
        <v>240</v>
      </c>
      <c r="B203" s="10" t="s">
        <v>19</v>
      </c>
      <c r="C203" s="8" t="s">
        <v>38</v>
      </c>
      <c r="D203" s="101" t="s">
        <v>444</v>
      </c>
      <c r="E203" s="101" t="s">
        <v>448</v>
      </c>
      <c r="F203" s="103">
        <v>0</v>
      </c>
      <c r="G203" s="103">
        <v>0</v>
      </c>
      <c r="H203" s="103">
        <v>0</v>
      </c>
      <c r="I203" s="103">
        <v>0</v>
      </c>
      <c r="J203" s="8"/>
    </row>
    <row r="204" spans="1:10" ht="24" hidden="1" customHeight="1" x14ac:dyDescent="0.35">
      <c r="A204" s="104" t="s">
        <v>240</v>
      </c>
      <c r="B204" s="10" t="s">
        <v>19</v>
      </c>
      <c r="C204" s="8" t="s">
        <v>38</v>
      </c>
      <c r="D204" s="101" t="s">
        <v>446</v>
      </c>
      <c r="E204" s="101" t="s">
        <v>448</v>
      </c>
      <c r="F204" s="103">
        <v>3</v>
      </c>
      <c r="G204" s="103">
        <v>0</v>
      </c>
      <c r="H204" s="103">
        <v>0</v>
      </c>
      <c r="I204" s="103">
        <v>7</v>
      </c>
      <c r="J204" s="8"/>
    </row>
    <row r="205" spans="1:10" ht="24" hidden="1" customHeight="1" x14ac:dyDescent="0.35">
      <c r="A205" s="104" t="s">
        <v>240</v>
      </c>
      <c r="B205" s="10" t="s">
        <v>19</v>
      </c>
      <c r="C205" s="8" t="s">
        <v>38</v>
      </c>
      <c r="D205" s="101" t="s">
        <v>447</v>
      </c>
      <c r="E205" s="101" t="s">
        <v>448</v>
      </c>
      <c r="F205" s="103">
        <v>113683.272</v>
      </c>
      <c r="G205" s="103">
        <v>0</v>
      </c>
      <c r="H205" s="103">
        <v>0</v>
      </c>
      <c r="I205" s="103">
        <v>4380</v>
      </c>
      <c r="J205" s="8"/>
    </row>
    <row r="206" spans="1:10" ht="24" hidden="1" customHeight="1" x14ac:dyDescent="0.35">
      <c r="A206" s="104" t="s">
        <v>267</v>
      </c>
      <c r="B206" s="8" t="s">
        <v>46</v>
      </c>
      <c r="C206" s="8" t="s">
        <v>49</v>
      </c>
      <c r="D206" s="101" t="s">
        <v>444</v>
      </c>
      <c r="E206" s="101" t="s">
        <v>445</v>
      </c>
      <c r="F206" s="103"/>
      <c r="G206" s="103"/>
      <c r="H206" s="103"/>
      <c r="I206" s="103"/>
      <c r="J206" s="8"/>
    </row>
    <row r="207" spans="1:10" ht="24" hidden="1" customHeight="1" x14ac:dyDescent="0.35">
      <c r="A207" s="104" t="s">
        <v>267</v>
      </c>
      <c r="B207" s="8" t="s">
        <v>46</v>
      </c>
      <c r="C207" s="8" t="s">
        <v>49</v>
      </c>
      <c r="D207" s="101" t="s">
        <v>446</v>
      </c>
      <c r="E207" s="101" t="s">
        <v>445</v>
      </c>
      <c r="F207" s="103"/>
      <c r="G207" s="103"/>
      <c r="H207" s="103"/>
      <c r="I207" s="103"/>
      <c r="J207" s="8"/>
    </row>
    <row r="208" spans="1:10" ht="24" hidden="1" customHeight="1" x14ac:dyDescent="0.35">
      <c r="A208" s="104" t="s">
        <v>267</v>
      </c>
      <c r="B208" s="8" t="s">
        <v>46</v>
      </c>
      <c r="C208" s="8" t="s">
        <v>49</v>
      </c>
      <c r="D208" s="101" t="s">
        <v>447</v>
      </c>
      <c r="E208" s="101" t="s">
        <v>445</v>
      </c>
      <c r="F208" s="103"/>
      <c r="G208" s="103"/>
      <c r="H208" s="103"/>
      <c r="I208" s="103"/>
      <c r="J208" s="8"/>
    </row>
    <row r="209" spans="1:10" ht="24" hidden="1" customHeight="1" x14ac:dyDescent="0.35">
      <c r="A209" s="104" t="s">
        <v>267</v>
      </c>
      <c r="B209" s="8" t="s">
        <v>46</v>
      </c>
      <c r="C209" s="8" t="s">
        <v>49</v>
      </c>
      <c r="D209" s="101" t="s">
        <v>444</v>
      </c>
      <c r="E209" s="101" t="s">
        <v>448</v>
      </c>
      <c r="F209" s="103"/>
      <c r="G209" s="103"/>
      <c r="H209" s="103"/>
      <c r="I209" s="103"/>
      <c r="J209" s="8"/>
    </row>
    <row r="210" spans="1:10" ht="24" hidden="1" customHeight="1" x14ac:dyDescent="0.35">
      <c r="A210" s="104" t="s">
        <v>267</v>
      </c>
      <c r="B210" s="8" t="s">
        <v>46</v>
      </c>
      <c r="C210" s="8" t="s">
        <v>49</v>
      </c>
      <c r="D210" s="101" t="s">
        <v>446</v>
      </c>
      <c r="E210" s="101" t="s">
        <v>448</v>
      </c>
      <c r="F210" s="103"/>
      <c r="G210" s="103"/>
      <c r="H210" s="103"/>
      <c r="I210" s="103"/>
      <c r="J210" s="8"/>
    </row>
    <row r="211" spans="1:10" ht="24" hidden="1" customHeight="1" x14ac:dyDescent="0.35">
      <c r="A211" s="104" t="s">
        <v>267</v>
      </c>
      <c r="B211" s="8" t="s">
        <v>46</v>
      </c>
      <c r="C211" s="8" t="s">
        <v>49</v>
      </c>
      <c r="D211" s="101" t="s">
        <v>447</v>
      </c>
      <c r="E211" s="101" t="s">
        <v>448</v>
      </c>
      <c r="F211" s="103"/>
      <c r="G211" s="103"/>
      <c r="H211" s="103"/>
      <c r="I211" s="103"/>
      <c r="J211" s="8"/>
    </row>
    <row r="212" spans="1:10" ht="24" customHeight="1" x14ac:dyDescent="0.35">
      <c r="A212" s="127" t="s">
        <v>272</v>
      </c>
      <c r="B212" s="8" t="s">
        <v>109</v>
      </c>
      <c r="C212" s="8" t="s">
        <v>38</v>
      </c>
      <c r="D212" s="101" t="s">
        <v>444</v>
      </c>
      <c r="E212" s="101" t="s">
        <v>445</v>
      </c>
      <c r="F212" s="103">
        <v>1</v>
      </c>
      <c r="G212" s="103">
        <v>0</v>
      </c>
      <c r="H212" s="103">
        <v>0</v>
      </c>
      <c r="I212" s="103">
        <v>0</v>
      </c>
      <c r="J212" s="8">
        <v>1</v>
      </c>
    </row>
    <row r="213" spans="1:10" ht="24" customHeight="1" x14ac:dyDescent="0.35">
      <c r="A213" s="127" t="s">
        <v>272</v>
      </c>
      <c r="B213" s="8" t="s">
        <v>109</v>
      </c>
      <c r="C213" s="8" t="s">
        <v>38</v>
      </c>
      <c r="D213" s="101" t="s">
        <v>446</v>
      </c>
      <c r="E213" s="101" t="s">
        <v>445</v>
      </c>
      <c r="F213" s="103">
        <v>5</v>
      </c>
      <c r="G213" s="103">
        <v>0</v>
      </c>
      <c r="H213" s="103">
        <v>0</v>
      </c>
      <c r="I213" s="103">
        <v>0</v>
      </c>
      <c r="J213" s="8">
        <v>5</v>
      </c>
    </row>
    <row r="214" spans="1:10" ht="24" customHeight="1" x14ac:dyDescent="0.35">
      <c r="A214" s="127" t="s">
        <v>272</v>
      </c>
      <c r="B214" s="8" t="s">
        <v>109</v>
      </c>
      <c r="C214" s="8" t="s">
        <v>38</v>
      </c>
      <c r="D214" s="101" t="s">
        <v>447</v>
      </c>
      <c r="E214" s="101" t="s">
        <v>445</v>
      </c>
      <c r="F214" s="103">
        <v>484771.80800000002</v>
      </c>
      <c r="G214" s="103">
        <v>0</v>
      </c>
      <c r="H214" s="103">
        <v>0</v>
      </c>
      <c r="I214" s="103">
        <v>0</v>
      </c>
      <c r="J214" s="8">
        <v>484771.80800000002</v>
      </c>
    </row>
    <row r="215" spans="1:10" ht="24" customHeight="1" x14ac:dyDescent="0.35">
      <c r="A215" s="127" t="s">
        <v>272</v>
      </c>
      <c r="B215" s="8" t="s">
        <v>109</v>
      </c>
      <c r="C215" s="8" t="s">
        <v>38</v>
      </c>
      <c r="D215" s="101" t="s">
        <v>444</v>
      </c>
      <c r="E215" s="101" t="s">
        <v>448</v>
      </c>
      <c r="F215" s="103">
        <v>0</v>
      </c>
      <c r="G215" s="103">
        <v>3</v>
      </c>
      <c r="H215" s="103">
        <v>2</v>
      </c>
      <c r="I215" s="103">
        <v>30</v>
      </c>
      <c r="J215" s="8">
        <v>35</v>
      </c>
    </row>
    <row r="216" spans="1:10" ht="24" customHeight="1" x14ac:dyDescent="0.35">
      <c r="A216" s="127" t="s">
        <v>272</v>
      </c>
      <c r="B216" s="8" t="s">
        <v>109</v>
      </c>
      <c r="C216" s="8" t="s">
        <v>38</v>
      </c>
      <c r="D216" s="101" t="s">
        <v>446</v>
      </c>
      <c r="E216" s="101" t="s">
        <v>448</v>
      </c>
      <c r="F216" s="103">
        <v>2</v>
      </c>
      <c r="G216" s="103">
        <v>7</v>
      </c>
      <c r="H216" s="103">
        <v>11</v>
      </c>
      <c r="I216" s="103">
        <f>156+27</f>
        <v>183</v>
      </c>
      <c r="J216" s="8">
        <v>161</v>
      </c>
    </row>
    <row r="217" spans="1:10" ht="24" customHeight="1" x14ac:dyDescent="0.35">
      <c r="A217" s="127" t="s">
        <v>272</v>
      </c>
      <c r="B217" s="8" t="s">
        <v>109</v>
      </c>
      <c r="C217" s="8" t="s">
        <v>38</v>
      </c>
      <c r="D217" s="101" t="s">
        <v>447</v>
      </c>
      <c r="E217" s="101" t="s">
        <v>448</v>
      </c>
      <c r="F217" s="103">
        <v>402199.64</v>
      </c>
      <c r="G217" s="103">
        <v>207357.538</v>
      </c>
      <c r="H217" s="103">
        <v>155793.61900000001</v>
      </c>
      <c r="I217" s="103">
        <f>993775.979+227137.325</f>
        <v>1220913.304</v>
      </c>
      <c r="J217" s="8">
        <f>1759126.776+227137.325</f>
        <v>1986264.101</v>
      </c>
    </row>
    <row r="218" spans="1:10" ht="24" customHeight="1" x14ac:dyDescent="0.35">
      <c r="A218" s="125" t="s">
        <v>276</v>
      </c>
      <c r="B218" s="6" t="s">
        <v>19</v>
      </c>
      <c r="C218" s="11" t="s">
        <v>22</v>
      </c>
      <c r="D218" s="101" t="s">
        <v>444</v>
      </c>
      <c r="E218" s="101" t="s">
        <v>445</v>
      </c>
      <c r="F218" s="103">
        <v>0</v>
      </c>
      <c r="G218" s="103">
        <v>0</v>
      </c>
      <c r="H218" s="103">
        <v>0</v>
      </c>
      <c r="I218" s="103">
        <v>0</v>
      </c>
      <c r="J218" s="8">
        <v>0</v>
      </c>
    </row>
    <row r="219" spans="1:10" ht="24" customHeight="1" x14ac:dyDescent="0.35">
      <c r="A219" s="125" t="s">
        <v>276</v>
      </c>
      <c r="B219" s="6" t="s">
        <v>19</v>
      </c>
      <c r="C219" s="11" t="s">
        <v>22</v>
      </c>
      <c r="D219" s="101" t="s">
        <v>446</v>
      </c>
      <c r="E219" s="101" t="s">
        <v>445</v>
      </c>
      <c r="F219" s="103">
        <v>0</v>
      </c>
      <c r="G219" s="103">
        <v>0</v>
      </c>
      <c r="H219" s="103">
        <v>0</v>
      </c>
      <c r="I219" s="103">
        <v>0</v>
      </c>
      <c r="J219" s="8">
        <v>0</v>
      </c>
    </row>
    <row r="220" spans="1:10" ht="24" customHeight="1" x14ac:dyDescent="0.35">
      <c r="A220" s="125" t="s">
        <v>276</v>
      </c>
      <c r="B220" s="6" t="s">
        <v>19</v>
      </c>
      <c r="C220" s="11" t="s">
        <v>22</v>
      </c>
      <c r="D220" s="101" t="s">
        <v>447</v>
      </c>
      <c r="E220" s="101" t="s">
        <v>445</v>
      </c>
      <c r="F220" s="103">
        <v>0</v>
      </c>
      <c r="G220" s="103">
        <v>0</v>
      </c>
      <c r="H220" s="103">
        <v>0</v>
      </c>
      <c r="I220" s="103">
        <v>0</v>
      </c>
      <c r="J220" s="8">
        <v>0</v>
      </c>
    </row>
    <row r="221" spans="1:10" ht="24" customHeight="1" x14ac:dyDescent="0.35">
      <c r="A221" s="125" t="s">
        <v>276</v>
      </c>
      <c r="B221" s="6" t="s">
        <v>19</v>
      </c>
      <c r="C221" s="11" t="s">
        <v>22</v>
      </c>
      <c r="D221" s="101" t="s">
        <v>444</v>
      </c>
      <c r="E221" s="101" t="s">
        <v>448</v>
      </c>
      <c r="F221" s="103">
        <v>1</v>
      </c>
      <c r="G221" s="103">
        <v>1</v>
      </c>
      <c r="H221" s="103">
        <v>0</v>
      </c>
      <c r="I221" s="103">
        <v>3</v>
      </c>
      <c r="J221" s="8">
        <v>5</v>
      </c>
    </row>
    <row r="222" spans="1:10" ht="24" customHeight="1" x14ac:dyDescent="0.35">
      <c r="A222" s="125" t="s">
        <v>276</v>
      </c>
      <c r="B222" s="6" t="s">
        <v>19</v>
      </c>
      <c r="C222" s="11" t="s">
        <v>22</v>
      </c>
      <c r="D222" s="101" t="s">
        <v>446</v>
      </c>
      <c r="E222" s="101" t="s">
        <v>448</v>
      </c>
      <c r="F222" s="103">
        <v>3</v>
      </c>
      <c r="G222" s="103">
        <v>2</v>
      </c>
      <c r="H222" s="103">
        <v>10</v>
      </c>
      <c r="I222" s="103">
        <v>33</v>
      </c>
      <c r="J222" s="8">
        <v>48</v>
      </c>
    </row>
    <row r="223" spans="1:10" ht="24" customHeight="1" x14ac:dyDescent="0.35">
      <c r="A223" s="125" t="s">
        <v>276</v>
      </c>
      <c r="B223" s="6" t="s">
        <v>19</v>
      </c>
      <c r="C223" s="11" t="s">
        <v>22</v>
      </c>
      <c r="D223" s="101" t="s">
        <v>447</v>
      </c>
      <c r="E223" s="101" t="s">
        <v>448</v>
      </c>
      <c r="F223" s="103">
        <v>61989.192000000003</v>
      </c>
      <c r="G223" s="103">
        <v>32132.621999999999</v>
      </c>
      <c r="H223" s="103">
        <v>16325.964</v>
      </c>
      <c r="I223" s="103">
        <v>18469.884999999998</v>
      </c>
      <c r="J223" s="8">
        <v>128917.663</v>
      </c>
    </row>
    <row r="224" spans="1:10" ht="24" customHeight="1" x14ac:dyDescent="0.35">
      <c r="A224" s="125" t="s">
        <v>278</v>
      </c>
      <c r="B224" s="8" t="s">
        <v>109</v>
      </c>
      <c r="C224" s="8" t="s">
        <v>204</v>
      </c>
      <c r="D224" s="101" t="s">
        <v>444</v>
      </c>
      <c r="E224" s="101" t="s">
        <v>445</v>
      </c>
      <c r="F224" s="103">
        <v>0</v>
      </c>
      <c r="G224" s="103">
        <v>0</v>
      </c>
      <c r="H224" s="103">
        <v>0</v>
      </c>
      <c r="I224" s="103">
        <v>0</v>
      </c>
      <c r="J224" s="8">
        <v>0</v>
      </c>
    </row>
    <row r="225" spans="1:10" ht="24" customHeight="1" x14ac:dyDescent="0.35">
      <c r="A225" s="125" t="s">
        <v>278</v>
      </c>
      <c r="B225" s="8" t="s">
        <v>109</v>
      </c>
      <c r="C225" s="8" t="s">
        <v>204</v>
      </c>
      <c r="D225" s="101" t="s">
        <v>446</v>
      </c>
      <c r="E225" s="101" t="s">
        <v>445</v>
      </c>
      <c r="F225" s="103">
        <v>2</v>
      </c>
      <c r="G225" s="103">
        <v>0</v>
      </c>
      <c r="H225" s="103">
        <v>0</v>
      </c>
      <c r="I225" s="103">
        <v>0</v>
      </c>
      <c r="J225" s="8">
        <v>2</v>
      </c>
    </row>
    <row r="226" spans="1:10" ht="24" customHeight="1" x14ac:dyDescent="0.35">
      <c r="A226" s="125" t="s">
        <v>278</v>
      </c>
      <c r="B226" s="8" t="s">
        <v>109</v>
      </c>
      <c r="C226" s="8" t="s">
        <v>204</v>
      </c>
      <c r="D226" s="101" t="s">
        <v>447</v>
      </c>
      <c r="E226" s="101" t="s">
        <v>445</v>
      </c>
      <c r="F226" s="103">
        <v>167042.58100000001</v>
      </c>
      <c r="G226" s="103">
        <v>0</v>
      </c>
      <c r="H226" s="103">
        <v>0</v>
      </c>
      <c r="I226" s="103">
        <v>167042.58100000001</v>
      </c>
      <c r="J226" s="8"/>
    </row>
    <row r="227" spans="1:10" ht="24" customHeight="1" x14ac:dyDescent="0.35">
      <c r="A227" s="125" t="s">
        <v>278</v>
      </c>
      <c r="B227" s="8" t="s">
        <v>109</v>
      </c>
      <c r="C227" s="8" t="s">
        <v>204</v>
      </c>
      <c r="D227" s="101" t="s">
        <v>444</v>
      </c>
      <c r="E227" s="101" t="s">
        <v>448</v>
      </c>
      <c r="F227" s="103">
        <v>1</v>
      </c>
      <c r="G227" s="103">
        <v>2</v>
      </c>
      <c r="H227" s="103">
        <v>4</v>
      </c>
      <c r="I227" s="103">
        <v>1</v>
      </c>
      <c r="J227" s="8">
        <v>8</v>
      </c>
    </row>
    <row r="228" spans="1:10" ht="24" customHeight="1" x14ac:dyDescent="0.35">
      <c r="A228" s="125" t="s">
        <v>278</v>
      </c>
      <c r="B228" s="8" t="s">
        <v>109</v>
      </c>
      <c r="C228" s="8" t="s">
        <v>204</v>
      </c>
      <c r="D228" s="101" t="s">
        <v>446</v>
      </c>
      <c r="E228" s="101" t="s">
        <v>448</v>
      </c>
      <c r="F228" s="103">
        <v>3</v>
      </c>
      <c r="G228" s="103">
        <v>5</v>
      </c>
      <c r="H228" s="103">
        <v>11</v>
      </c>
      <c r="I228" s="103">
        <f>45+66</f>
        <v>111</v>
      </c>
      <c r="J228" s="8">
        <v>64</v>
      </c>
    </row>
    <row r="229" spans="1:10" ht="24" customHeight="1" x14ac:dyDescent="0.35">
      <c r="A229" s="125" t="s">
        <v>278</v>
      </c>
      <c r="B229" s="8" t="s">
        <v>109</v>
      </c>
      <c r="C229" s="8" t="s">
        <v>204</v>
      </c>
      <c r="D229" s="101" t="s">
        <v>447</v>
      </c>
      <c r="E229" s="101" t="s">
        <v>448</v>
      </c>
      <c r="F229" s="103">
        <v>115081.17600000001</v>
      </c>
      <c r="G229" s="103">
        <v>104171.026</v>
      </c>
      <c r="H229" s="103">
        <v>96005.725999999995</v>
      </c>
      <c r="I229" s="103">
        <f>197177.779+222679.911</f>
        <v>419857.69</v>
      </c>
      <c r="J229" s="8">
        <f>512435.707+222679.911</f>
        <v>735115.61800000002</v>
      </c>
    </row>
    <row r="230" spans="1:10" ht="33" hidden="1" customHeight="1" x14ac:dyDescent="0.35">
      <c r="A230" s="104" t="s">
        <v>245</v>
      </c>
      <c r="B230" s="8" t="s">
        <v>109</v>
      </c>
      <c r="C230" s="8" t="s">
        <v>493</v>
      </c>
      <c r="D230" s="101" t="s">
        <v>444</v>
      </c>
      <c r="E230" s="101" t="s">
        <v>445</v>
      </c>
      <c r="F230" s="103"/>
      <c r="G230" s="103"/>
      <c r="H230" s="103"/>
      <c r="I230" s="103"/>
      <c r="J230" s="8"/>
    </row>
    <row r="231" spans="1:10" ht="33" hidden="1" customHeight="1" x14ac:dyDescent="0.35">
      <c r="A231" s="104" t="s">
        <v>245</v>
      </c>
      <c r="B231" s="8" t="s">
        <v>109</v>
      </c>
      <c r="C231" s="8" t="s">
        <v>494</v>
      </c>
      <c r="D231" s="101" t="s">
        <v>446</v>
      </c>
      <c r="E231" s="101" t="s">
        <v>445</v>
      </c>
      <c r="F231" s="103"/>
      <c r="G231" s="103"/>
      <c r="H231" s="103"/>
      <c r="I231" s="103"/>
      <c r="J231" s="8"/>
    </row>
    <row r="232" spans="1:10" ht="33" hidden="1" customHeight="1" x14ac:dyDescent="0.35">
      <c r="A232" s="104" t="s">
        <v>245</v>
      </c>
      <c r="B232" s="8" t="s">
        <v>109</v>
      </c>
      <c r="C232" s="8" t="s">
        <v>494</v>
      </c>
      <c r="D232" s="101" t="s">
        <v>447</v>
      </c>
      <c r="E232" s="101" t="s">
        <v>445</v>
      </c>
      <c r="F232" s="103"/>
      <c r="G232" s="103"/>
      <c r="H232" s="103"/>
      <c r="I232" s="103"/>
      <c r="J232" s="8"/>
    </row>
    <row r="233" spans="1:10" ht="33" hidden="1" customHeight="1" x14ac:dyDescent="0.35">
      <c r="A233" s="104" t="s">
        <v>245</v>
      </c>
      <c r="B233" s="8" t="s">
        <v>109</v>
      </c>
      <c r="C233" s="8" t="s">
        <v>494</v>
      </c>
      <c r="D233" s="101" t="s">
        <v>444</v>
      </c>
      <c r="E233" s="101" t="s">
        <v>448</v>
      </c>
      <c r="F233" s="103"/>
      <c r="G233" s="103"/>
      <c r="H233" s="103"/>
      <c r="I233" s="103"/>
      <c r="J233" s="8"/>
    </row>
    <row r="234" spans="1:10" ht="33" hidden="1" customHeight="1" x14ac:dyDescent="0.35">
      <c r="A234" s="104" t="s">
        <v>245</v>
      </c>
      <c r="B234" s="8" t="s">
        <v>109</v>
      </c>
      <c r="C234" s="8" t="s">
        <v>494</v>
      </c>
      <c r="D234" s="101" t="s">
        <v>446</v>
      </c>
      <c r="E234" s="101" t="s">
        <v>448</v>
      </c>
      <c r="F234" s="103"/>
      <c r="G234" s="103"/>
      <c r="H234" s="103"/>
      <c r="I234" s="103"/>
      <c r="J234" s="8"/>
    </row>
    <row r="235" spans="1:10" ht="33" hidden="1" customHeight="1" x14ac:dyDescent="0.35">
      <c r="A235" s="104" t="s">
        <v>245</v>
      </c>
      <c r="B235" s="8" t="s">
        <v>109</v>
      </c>
      <c r="C235" s="8" t="s">
        <v>494</v>
      </c>
      <c r="D235" s="101" t="s">
        <v>447</v>
      </c>
      <c r="E235" s="101" t="s">
        <v>448</v>
      </c>
      <c r="F235" s="103"/>
      <c r="G235" s="103"/>
      <c r="H235" s="103"/>
      <c r="I235" s="103"/>
      <c r="J235" s="8"/>
    </row>
    <row r="236" spans="1:10" s="61" customFormat="1" ht="43.75" hidden="1" customHeight="1" x14ac:dyDescent="0.35">
      <c r="A236" s="104" t="s">
        <v>280</v>
      </c>
      <c r="B236" s="8" t="s">
        <v>19</v>
      </c>
      <c r="C236" s="11" t="s">
        <v>22</v>
      </c>
      <c r="D236" s="101" t="s">
        <v>444</v>
      </c>
      <c r="E236" s="101" t="s">
        <v>445</v>
      </c>
      <c r="F236" s="103"/>
      <c r="G236" s="103"/>
      <c r="H236" s="103"/>
      <c r="I236" s="103"/>
      <c r="J236" s="8"/>
    </row>
    <row r="237" spans="1:10" s="61" customFormat="1" ht="43.75" hidden="1" customHeight="1" x14ac:dyDescent="0.35">
      <c r="A237" s="104" t="s">
        <v>280</v>
      </c>
      <c r="B237" s="8" t="s">
        <v>19</v>
      </c>
      <c r="C237" s="11" t="s">
        <v>22</v>
      </c>
      <c r="D237" s="101" t="s">
        <v>446</v>
      </c>
      <c r="E237" s="101" t="s">
        <v>445</v>
      </c>
      <c r="F237" s="103"/>
      <c r="G237" s="103"/>
      <c r="H237" s="103"/>
      <c r="I237" s="103"/>
      <c r="J237" s="8"/>
    </row>
    <row r="238" spans="1:10" s="61" customFormat="1" ht="43.75" hidden="1" customHeight="1" x14ac:dyDescent="0.35">
      <c r="A238" s="104" t="s">
        <v>280</v>
      </c>
      <c r="B238" s="8" t="s">
        <v>19</v>
      </c>
      <c r="C238" s="11" t="s">
        <v>22</v>
      </c>
      <c r="D238" s="101" t="s">
        <v>447</v>
      </c>
      <c r="E238" s="101" t="s">
        <v>445</v>
      </c>
      <c r="F238" s="103"/>
      <c r="G238" s="103"/>
      <c r="H238" s="103"/>
      <c r="I238" s="103"/>
      <c r="J238" s="8"/>
    </row>
    <row r="239" spans="1:10" s="61" customFormat="1" ht="43.75" hidden="1" customHeight="1" x14ac:dyDescent="0.35">
      <c r="A239" s="104" t="s">
        <v>280</v>
      </c>
      <c r="B239" s="8" t="s">
        <v>19</v>
      </c>
      <c r="C239" s="11" t="s">
        <v>22</v>
      </c>
      <c r="D239" s="101" t="s">
        <v>444</v>
      </c>
      <c r="E239" s="101" t="s">
        <v>448</v>
      </c>
      <c r="F239" s="103"/>
      <c r="G239" s="103"/>
      <c r="H239" s="103"/>
      <c r="I239" s="103"/>
      <c r="J239" s="8"/>
    </row>
    <row r="240" spans="1:10" s="61" customFormat="1" ht="43.75" hidden="1" customHeight="1" x14ac:dyDescent="0.35">
      <c r="A240" s="104" t="s">
        <v>280</v>
      </c>
      <c r="B240" s="8" t="s">
        <v>19</v>
      </c>
      <c r="C240" s="11" t="s">
        <v>22</v>
      </c>
      <c r="D240" s="101" t="s">
        <v>446</v>
      </c>
      <c r="E240" s="101" t="s">
        <v>448</v>
      </c>
      <c r="F240" s="103"/>
      <c r="G240" s="103"/>
      <c r="H240" s="103"/>
      <c r="I240" s="103"/>
      <c r="J240" s="8"/>
    </row>
    <row r="241" spans="1:10" s="61" customFormat="1" ht="43.75" hidden="1" customHeight="1" x14ac:dyDescent="0.35">
      <c r="A241" s="104" t="s">
        <v>280</v>
      </c>
      <c r="B241" s="8" t="s">
        <v>19</v>
      </c>
      <c r="C241" s="11" t="s">
        <v>22</v>
      </c>
      <c r="D241" s="101" t="s">
        <v>447</v>
      </c>
      <c r="E241" s="101" t="s">
        <v>448</v>
      </c>
      <c r="F241" s="103"/>
      <c r="G241" s="103"/>
      <c r="H241" s="103"/>
      <c r="I241" s="103"/>
      <c r="J241" s="8"/>
    </row>
    <row r="242" spans="1:10" s="61" customFormat="1" ht="43.75" hidden="1" customHeight="1" x14ac:dyDescent="0.35">
      <c r="A242" s="104" t="s">
        <v>479</v>
      </c>
      <c r="B242" s="10" t="s">
        <v>230</v>
      </c>
      <c r="C242" s="8" t="s">
        <v>38</v>
      </c>
      <c r="D242" s="101" t="s">
        <v>444</v>
      </c>
      <c r="E242" s="101" t="s">
        <v>445</v>
      </c>
      <c r="F242" s="103">
        <v>0</v>
      </c>
      <c r="G242" s="103">
        <v>0</v>
      </c>
      <c r="H242" s="103">
        <v>0</v>
      </c>
      <c r="I242" s="103">
        <v>0</v>
      </c>
      <c r="J242" s="8"/>
    </row>
    <row r="243" spans="1:10" s="61" customFormat="1" ht="43.75" hidden="1" customHeight="1" x14ac:dyDescent="0.35">
      <c r="A243" s="104" t="s">
        <v>479</v>
      </c>
      <c r="B243" s="10" t="s">
        <v>230</v>
      </c>
      <c r="C243" s="8" t="s">
        <v>38</v>
      </c>
      <c r="D243" s="101" t="s">
        <v>446</v>
      </c>
      <c r="E243" s="101" t="s">
        <v>445</v>
      </c>
      <c r="F243" s="103">
        <v>0</v>
      </c>
      <c r="G243" s="103">
        <v>0</v>
      </c>
      <c r="H243" s="103">
        <v>0</v>
      </c>
      <c r="I243" s="103">
        <v>0</v>
      </c>
      <c r="J243" s="8"/>
    </row>
    <row r="244" spans="1:10" s="61" customFormat="1" ht="43.75" hidden="1" customHeight="1" x14ac:dyDescent="0.35">
      <c r="A244" s="104" t="s">
        <v>479</v>
      </c>
      <c r="B244" s="10" t="s">
        <v>230</v>
      </c>
      <c r="C244" s="8" t="s">
        <v>38</v>
      </c>
      <c r="D244" s="101" t="s">
        <v>447</v>
      </c>
      <c r="E244" s="101" t="s">
        <v>445</v>
      </c>
      <c r="F244" s="103">
        <v>0</v>
      </c>
      <c r="G244" s="103">
        <v>0</v>
      </c>
      <c r="H244" s="103">
        <v>0</v>
      </c>
      <c r="I244" s="103">
        <v>0</v>
      </c>
      <c r="J244" s="8"/>
    </row>
    <row r="245" spans="1:10" s="61" customFormat="1" ht="43.75" hidden="1" customHeight="1" x14ac:dyDescent="0.35">
      <c r="A245" s="104" t="s">
        <v>479</v>
      </c>
      <c r="B245" s="10" t="s">
        <v>230</v>
      </c>
      <c r="C245" s="8" t="s">
        <v>38</v>
      </c>
      <c r="D245" s="101" t="s">
        <v>444</v>
      </c>
      <c r="E245" s="101" t="s">
        <v>448</v>
      </c>
      <c r="F245" s="103">
        <v>0</v>
      </c>
      <c r="G245" s="103">
        <v>0</v>
      </c>
      <c r="H245" s="103">
        <v>0</v>
      </c>
      <c r="I245" s="103">
        <v>0</v>
      </c>
      <c r="J245" s="8"/>
    </row>
    <row r="246" spans="1:10" s="61" customFormat="1" ht="43.75" hidden="1" customHeight="1" x14ac:dyDescent="0.35">
      <c r="A246" s="104" t="s">
        <v>479</v>
      </c>
      <c r="B246" s="10" t="s">
        <v>230</v>
      </c>
      <c r="C246" s="8" t="s">
        <v>38</v>
      </c>
      <c r="D246" s="101" t="s">
        <v>446</v>
      </c>
      <c r="E246" s="101" t="s">
        <v>448</v>
      </c>
      <c r="F246" s="103">
        <v>0</v>
      </c>
      <c r="G246" s="103">
        <v>0</v>
      </c>
      <c r="H246" s="103">
        <v>2</v>
      </c>
      <c r="I246" s="103">
        <f>21+10</f>
        <v>31</v>
      </c>
      <c r="J246" s="8"/>
    </row>
    <row r="247" spans="1:10" s="61" customFormat="1" ht="43.75" hidden="1" customHeight="1" x14ac:dyDescent="0.35">
      <c r="A247" s="104" t="s">
        <v>479</v>
      </c>
      <c r="B247" s="10" t="s">
        <v>230</v>
      </c>
      <c r="C247" s="8" t="s">
        <v>38</v>
      </c>
      <c r="D247" s="101" t="s">
        <v>447</v>
      </c>
      <c r="E247" s="101" t="s">
        <v>448</v>
      </c>
      <c r="F247" s="103">
        <v>0</v>
      </c>
      <c r="G247" s="103">
        <v>0</v>
      </c>
      <c r="H247" s="103">
        <v>4800</v>
      </c>
      <c r="I247" s="103">
        <f>19800+9000</f>
        <v>28800</v>
      </c>
      <c r="J247" s="8"/>
    </row>
    <row r="248" spans="1:10" s="61" customFormat="1" ht="43.75" hidden="1" customHeight="1" x14ac:dyDescent="0.35">
      <c r="A248" s="104" t="s">
        <v>290</v>
      </c>
      <c r="B248" s="8" t="s">
        <v>46</v>
      </c>
      <c r="C248" s="8" t="s">
        <v>49</v>
      </c>
      <c r="D248" s="101" t="s">
        <v>444</v>
      </c>
      <c r="E248" s="101" t="s">
        <v>445</v>
      </c>
      <c r="F248" s="103">
        <v>0</v>
      </c>
      <c r="G248" s="103">
        <v>0</v>
      </c>
      <c r="H248" s="103">
        <v>0</v>
      </c>
      <c r="I248" s="103">
        <v>0</v>
      </c>
      <c r="J248" s="8"/>
    </row>
    <row r="249" spans="1:10" s="61" customFormat="1" ht="43.75" hidden="1" customHeight="1" x14ac:dyDescent="0.35">
      <c r="A249" s="104" t="s">
        <v>290</v>
      </c>
      <c r="B249" s="8" t="s">
        <v>46</v>
      </c>
      <c r="C249" s="8" t="s">
        <v>49</v>
      </c>
      <c r="D249" s="101" t="s">
        <v>446</v>
      </c>
      <c r="E249" s="101" t="s">
        <v>445</v>
      </c>
      <c r="F249" s="103">
        <v>1</v>
      </c>
      <c r="G249" s="103">
        <v>0</v>
      </c>
      <c r="H249" s="103">
        <v>18</v>
      </c>
      <c r="I249" s="103">
        <v>0</v>
      </c>
      <c r="J249" s="8"/>
    </row>
    <row r="250" spans="1:10" s="61" customFormat="1" ht="43.75" hidden="1" customHeight="1" x14ac:dyDescent="0.35">
      <c r="A250" s="104" t="s">
        <v>290</v>
      </c>
      <c r="B250" s="8" t="s">
        <v>46</v>
      </c>
      <c r="C250" s="8" t="s">
        <v>49</v>
      </c>
      <c r="D250" s="101" t="s">
        <v>447</v>
      </c>
      <c r="E250" s="101" t="s">
        <v>445</v>
      </c>
      <c r="F250" s="103">
        <v>35789.474000000002</v>
      </c>
      <c r="G250" s="103">
        <v>0</v>
      </c>
      <c r="H250" s="103">
        <v>79818.073999999993</v>
      </c>
      <c r="I250" s="103">
        <v>0</v>
      </c>
      <c r="J250" s="8"/>
    </row>
    <row r="251" spans="1:10" s="61" customFormat="1" ht="43.75" hidden="1" customHeight="1" x14ac:dyDescent="0.35">
      <c r="A251" s="104" t="s">
        <v>290</v>
      </c>
      <c r="B251" s="8" t="s">
        <v>46</v>
      </c>
      <c r="C251" s="8" t="s">
        <v>49</v>
      </c>
      <c r="D251" s="101" t="s">
        <v>444</v>
      </c>
      <c r="E251" s="101" t="s">
        <v>448</v>
      </c>
      <c r="F251" s="103">
        <v>0</v>
      </c>
      <c r="G251" s="103">
        <v>0</v>
      </c>
      <c r="H251" s="103">
        <v>1</v>
      </c>
      <c r="I251" s="103">
        <v>0</v>
      </c>
      <c r="J251" s="8"/>
    </row>
    <row r="252" spans="1:10" s="61" customFormat="1" ht="43.75" hidden="1" customHeight="1" x14ac:dyDescent="0.35">
      <c r="A252" s="104" t="s">
        <v>290</v>
      </c>
      <c r="B252" s="8" t="s">
        <v>46</v>
      </c>
      <c r="C252" s="8" t="s">
        <v>49</v>
      </c>
      <c r="D252" s="101" t="s">
        <v>446</v>
      </c>
      <c r="E252" s="101" t="s">
        <v>448</v>
      </c>
      <c r="F252" s="103">
        <v>1</v>
      </c>
      <c r="G252" s="103">
        <v>0</v>
      </c>
      <c r="H252" s="103">
        <v>6</v>
      </c>
      <c r="I252" s="103">
        <v>180</v>
      </c>
      <c r="J252" s="8"/>
    </row>
    <row r="253" spans="1:10" s="61" customFormat="1" ht="43.75" hidden="1" customHeight="1" x14ac:dyDescent="0.35">
      <c r="A253" s="104" t="s">
        <v>290</v>
      </c>
      <c r="B253" s="8" t="s">
        <v>46</v>
      </c>
      <c r="C253" s="8" t="s">
        <v>49</v>
      </c>
      <c r="D253" s="101" t="s">
        <v>447</v>
      </c>
      <c r="E253" s="101" t="s">
        <v>448</v>
      </c>
      <c r="F253" s="103">
        <v>3789.4769999999999</v>
      </c>
      <c r="G253" s="103">
        <v>0</v>
      </c>
      <c r="H253" s="103">
        <v>19225.044000000002</v>
      </c>
      <c r="I253" s="103">
        <v>252063.83</v>
      </c>
      <c r="J253" s="8"/>
    </row>
    <row r="254" spans="1:10" s="61" customFormat="1" ht="43.75" hidden="1" customHeight="1" x14ac:dyDescent="0.35">
      <c r="A254" s="104" t="s">
        <v>294</v>
      </c>
      <c r="B254" s="8" t="s">
        <v>46</v>
      </c>
      <c r="C254" s="8" t="s">
        <v>122</v>
      </c>
      <c r="D254" s="101" t="s">
        <v>444</v>
      </c>
      <c r="E254" s="101" t="s">
        <v>445</v>
      </c>
      <c r="F254" s="103"/>
      <c r="G254" s="103"/>
      <c r="H254" s="103"/>
      <c r="I254" s="103"/>
      <c r="J254" s="8"/>
    </row>
    <row r="255" spans="1:10" s="61" customFormat="1" ht="43.75" hidden="1" customHeight="1" x14ac:dyDescent="0.35">
      <c r="A255" s="104" t="s">
        <v>294</v>
      </c>
      <c r="B255" s="8" t="s">
        <v>46</v>
      </c>
      <c r="C255" s="8" t="s">
        <v>122</v>
      </c>
      <c r="D255" s="101" t="s">
        <v>446</v>
      </c>
      <c r="E255" s="101" t="s">
        <v>445</v>
      </c>
      <c r="F255" s="103"/>
      <c r="G255" s="103"/>
      <c r="H255" s="103"/>
      <c r="I255" s="103"/>
      <c r="J255" s="8"/>
    </row>
    <row r="256" spans="1:10" s="61" customFormat="1" ht="43.75" hidden="1" customHeight="1" x14ac:dyDescent="0.35">
      <c r="A256" s="104" t="s">
        <v>294</v>
      </c>
      <c r="B256" s="8" t="s">
        <v>46</v>
      </c>
      <c r="C256" s="8" t="s">
        <v>122</v>
      </c>
      <c r="D256" s="101" t="s">
        <v>447</v>
      </c>
      <c r="E256" s="101" t="s">
        <v>445</v>
      </c>
      <c r="F256" s="103"/>
      <c r="G256" s="103"/>
      <c r="H256" s="103"/>
      <c r="I256" s="103"/>
      <c r="J256" s="8"/>
    </row>
    <row r="257" spans="1:10" s="61" customFormat="1" ht="43.75" hidden="1" customHeight="1" x14ac:dyDescent="0.35">
      <c r="A257" s="104" t="s">
        <v>294</v>
      </c>
      <c r="B257" s="8" t="s">
        <v>46</v>
      </c>
      <c r="C257" s="8" t="s">
        <v>122</v>
      </c>
      <c r="D257" s="101" t="s">
        <v>444</v>
      </c>
      <c r="E257" s="101" t="s">
        <v>448</v>
      </c>
      <c r="F257" s="103">
        <v>0</v>
      </c>
      <c r="G257" s="103">
        <v>0</v>
      </c>
      <c r="H257" s="103">
        <v>0</v>
      </c>
      <c r="I257" s="103">
        <v>2</v>
      </c>
      <c r="J257" s="8"/>
    </row>
    <row r="258" spans="1:10" s="61" customFormat="1" ht="43.75" hidden="1" customHeight="1" x14ac:dyDescent="0.35">
      <c r="A258" s="104" t="s">
        <v>294</v>
      </c>
      <c r="B258" s="8" t="s">
        <v>46</v>
      </c>
      <c r="C258" s="8" t="s">
        <v>122</v>
      </c>
      <c r="D258" s="101" t="s">
        <v>446</v>
      </c>
      <c r="E258" s="101" t="s">
        <v>448</v>
      </c>
      <c r="F258" s="103">
        <v>4</v>
      </c>
      <c r="G258" s="103">
        <v>8</v>
      </c>
      <c r="H258" s="103">
        <v>0</v>
      </c>
      <c r="I258" s="103">
        <f>8+2</f>
        <v>10</v>
      </c>
      <c r="J258" s="8"/>
    </row>
    <row r="259" spans="1:10" s="61" customFormat="1" ht="43.75" hidden="1" customHeight="1" x14ac:dyDescent="0.35">
      <c r="A259" s="104" t="s">
        <v>294</v>
      </c>
      <c r="B259" s="8" t="s">
        <v>46</v>
      </c>
      <c r="C259" s="8" t="s">
        <v>122</v>
      </c>
      <c r="D259" s="101" t="s">
        <v>447</v>
      </c>
      <c r="E259" s="101" t="s">
        <v>448</v>
      </c>
      <c r="F259" s="103">
        <v>50191</v>
      </c>
      <c r="G259" s="103">
        <v>46803</v>
      </c>
      <c r="H259" s="103">
        <v>0</v>
      </c>
      <c r="I259" s="103">
        <f>161940+15471.327</f>
        <v>177411.32699999999</v>
      </c>
      <c r="J259" s="8"/>
    </row>
    <row r="260" spans="1:10" s="61" customFormat="1" ht="43.75" customHeight="1" x14ac:dyDescent="0.35">
      <c r="A260" s="127" t="s">
        <v>301</v>
      </c>
      <c r="B260" s="8" t="s">
        <v>46</v>
      </c>
      <c r="C260" s="8" t="s">
        <v>79</v>
      </c>
      <c r="D260" s="101" t="s">
        <v>444</v>
      </c>
      <c r="E260" s="101" t="s">
        <v>445</v>
      </c>
      <c r="F260" s="103">
        <v>0</v>
      </c>
      <c r="G260" s="103">
        <v>0</v>
      </c>
      <c r="H260" s="103">
        <v>0</v>
      </c>
      <c r="I260" s="103">
        <v>0</v>
      </c>
      <c r="J260" s="8">
        <v>0</v>
      </c>
    </row>
    <row r="261" spans="1:10" s="61" customFormat="1" ht="43.75" customHeight="1" x14ac:dyDescent="0.35">
      <c r="A261" s="127" t="s">
        <v>301</v>
      </c>
      <c r="B261" s="8" t="s">
        <v>46</v>
      </c>
      <c r="C261" s="8" t="s">
        <v>79</v>
      </c>
      <c r="D261" s="101" t="s">
        <v>446</v>
      </c>
      <c r="E261" s="101" t="s">
        <v>445</v>
      </c>
      <c r="F261" s="103">
        <v>0</v>
      </c>
      <c r="G261" s="103">
        <v>0</v>
      </c>
      <c r="H261" s="103">
        <v>0</v>
      </c>
      <c r="I261" s="103">
        <v>0</v>
      </c>
      <c r="J261" s="8">
        <v>0</v>
      </c>
    </row>
    <row r="262" spans="1:10" s="61" customFormat="1" ht="43.75" customHeight="1" x14ac:dyDescent="0.35">
      <c r="A262" s="127" t="s">
        <v>301</v>
      </c>
      <c r="B262" s="8" t="s">
        <v>46</v>
      </c>
      <c r="C262" s="8" t="s">
        <v>79</v>
      </c>
      <c r="D262" s="101" t="s">
        <v>447</v>
      </c>
      <c r="E262" s="101" t="s">
        <v>445</v>
      </c>
      <c r="F262" s="103">
        <v>0</v>
      </c>
      <c r="G262" s="103">
        <v>0</v>
      </c>
      <c r="H262" s="103">
        <v>0</v>
      </c>
      <c r="I262" s="103">
        <v>0</v>
      </c>
      <c r="J262" s="8">
        <v>0</v>
      </c>
    </row>
    <row r="263" spans="1:10" s="61" customFormat="1" ht="43.75" customHeight="1" x14ac:dyDescent="0.35">
      <c r="A263" s="127" t="s">
        <v>301</v>
      </c>
      <c r="B263" s="8" t="s">
        <v>46</v>
      </c>
      <c r="C263" s="8" t="s">
        <v>79</v>
      </c>
      <c r="D263" s="101" t="s">
        <v>444</v>
      </c>
      <c r="E263" s="101" t="s">
        <v>448</v>
      </c>
      <c r="F263" s="103">
        <v>2</v>
      </c>
      <c r="G263" s="103">
        <v>0</v>
      </c>
      <c r="H263" s="103">
        <v>0</v>
      </c>
      <c r="I263" s="103">
        <v>0</v>
      </c>
      <c r="J263" s="8">
        <v>2</v>
      </c>
    </row>
    <row r="264" spans="1:10" s="61" customFormat="1" ht="43.75" customHeight="1" x14ac:dyDescent="0.35">
      <c r="A264" s="127" t="s">
        <v>301</v>
      </c>
      <c r="B264" s="8" t="s">
        <v>46</v>
      </c>
      <c r="C264" s="8" t="s">
        <v>79</v>
      </c>
      <c r="D264" s="101" t="s">
        <v>446</v>
      </c>
      <c r="E264" s="101" t="s">
        <v>448</v>
      </c>
      <c r="F264" s="103">
        <v>3</v>
      </c>
      <c r="G264" s="103">
        <v>0</v>
      </c>
      <c r="H264" s="103">
        <v>0</v>
      </c>
      <c r="I264" s="103">
        <v>5</v>
      </c>
      <c r="J264" s="8">
        <v>8</v>
      </c>
    </row>
    <row r="265" spans="1:10" s="61" customFormat="1" ht="43.75" customHeight="1" x14ac:dyDescent="0.35">
      <c r="A265" s="127" t="s">
        <v>301</v>
      </c>
      <c r="B265" s="8" t="s">
        <v>46</v>
      </c>
      <c r="C265" s="8" t="s">
        <v>79</v>
      </c>
      <c r="D265" s="101" t="s">
        <v>447</v>
      </c>
      <c r="E265" s="101" t="s">
        <v>448</v>
      </c>
      <c r="F265" s="103">
        <v>87274.17</v>
      </c>
      <c r="G265" s="103">
        <v>0</v>
      </c>
      <c r="H265" s="103">
        <v>0</v>
      </c>
      <c r="I265" s="103">
        <v>11201.941999999999</v>
      </c>
      <c r="J265" s="8">
        <v>98476.111999999994</v>
      </c>
    </row>
    <row r="266" spans="1:10" ht="33" hidden="1" customHeight="1" x14ac:dyDescent="0.35">
      <c r="A266" s="104" t="s">
        <v>480</v>
      </c>
      <c r="B266" s="10" t="s">
        <v>26</v>
      </c>
      <c r="C266" s="8" t="s">
        <v>38</v>
      </c>
      <c r="D266" s="101" t="s">
        <v>444</v>
      </c>
      <c r="E266" s="101" t="s">
        <v>445</v>
      </c>
      <c r="F266" s="103">
        <v>0</v>
      </c>
      <c r="G266" s="103">
        <v>0</v>
      </c>
      <c r="H266" s="103">
        <v>0</v>
      </c>
      <c r="I266" s="103">
        <v>0</v>
      </c>
      <c r="J266" s="8"/>
    </row>
    <row r="267" spans="1:10" ht="33" hidden="1" customHeight="1" x14ac:dyDescent="0.35">
      <c r="A267" s="104" t="s">
        <v>480</v>
      </c>
      <c r="B267" s="10" t="s">
        <v>26</v>
      </c>
      <c r="C267" s="8" t="s">
        <v>38</v>
      </c>
      <c r="D267" s="101" t="s">
        <v>446</v>
      </c>
      <c r="E267" s="101" t="s">
        <v>445</v>
      </c>
      <c r="F267" s="103">
        <v>0</v>
      </c>
      <c r="G267" s="103">
        <v>0</v>
      </c>
      <c r="H267" s="103">
        <v>0</v>
      </c>
      <c r="I267" s="103">
        <v>0</v>
      </c>
      <c r="J267" s="8"/>
    </row>
    <row r="268" spans="1:10" ht="33" hidden="1" customHeight="1" x14ac:dyDescent="0.35">
      <c r="A268" s="104" t="s">
        <v>480</v>
      </c>
      <c r="B268" s="10" t="s">
        <v>26</v>
      </c>
      <c r="C268" s="8" t="s">
        <v>38</v>
      </c>
      <c r="D268" s="101" t="s">
        <v>447</v>
      </c>
      <c r="E268" s="101" t="s">
        <v>445</v>
      </c>
      <c r="F268" s="103">
        <v>0</v>
      </c>
      <c r="G268" s="103">
        <v>0</v>
      </c>
      <c r="H268" s="103">
        <v>0</v>
      </c>
      <c r="I268" s="103">
        <v>0</v>
      </c>
      <c r="J268" s="8"/>
    </row>
    <row r="269" spans="1:10" ht="33" hidden="1" customHeight="1" x14ac:dyDescent="0.35">
      <c r="A269" s="104" t="s">
        <v>480</v>
      </c>
      <c r="B269" s="10" t="s">
        <v>26</v>
      </c>
      <c r="C269" s="8" t="s">
        <v>38</v>
      </c>
      <c r="D269" s="101" t="s">
        <v>444</v>
      </c>
      <c r="E269" s="101" t="s">
        <v>448</v>
      </c>
      <c r="F269" s="103">
        <v>0</v>
      </c>
      <c r="G269" s="103">
        <v>0</v>
      </c>
      <c r="H269" s="103">
        <v>2</v>
      </c>
      <c r="I269" s="103">
        <v>3</v>
      </c>
      <c r="J269" s="8"/>
    </row>
    <row r="270" spans="1:10" ht="33" hidden="1" customHeight="1" x14ac:dyDescent="0.35">
      <c r="A270" s="104" t="s">
        <v>480</v>
      </c>
      <c r="B270" s="10" t="s">
        <v>26</v>
      </c>
      <c r="C270" s="8" t="s">
        <v>38</v>
      </c>
      <c r="D270" s="101" t="s">
        <v>446</v>
      </c>
      <c r="E270" s="101" t="s">
        <v>448</v>
      </c>
      <c r="F270" s="103">
        <v>4</v>
      </c>
      <c r="G270" s="103">
        <v>2</v>
      </c>
      <c r="H270" s="103">
        <v>2</v>
      </c>
      <c r="I270" s="103">
        <v>7</v>
      </c>
      <c r="J270" s="8"/>
    </row>
    <row r="271" spans="1:10" ht="33" hidden="1" customHeight="1" x14ac:dyDescent="0.35">
      <c r="A271" s="104" t="s">
        <v>480</v>
      </c>
      <c r="B271" s="10" t="s">
        <v>26</v>
      </c>
      <c r="C271" s="8" t="s">
        <v>38</v>
      </c>
      <c r="D271" s="101" t="s">
        <v>447</v>
      </c>
      <c r="E271" s="101" t="s">
        <v>448</v>
      </c>
      <c r="F271" s="103">
        <v>20400</v>
      </c>
      <c r="G271" s="103">
        <v>12960</v>
      </c>
      <c r="H271" s="103">
        <v>9272</v>
      </c>
      <c r="I271" s="103">
        <v>3258</v>
      </c>
      <c r="J271" s="8"/>
    </row>
  </sheetData>
  <autoFilter ref="A1:J271" xr:uid="{00000000-0009-0000-0000-000005000000}">
    <filterColumn colId="0">
      <colorFilter dxfId="1"/>
    </filterColumn>
    <sortState xmlns:xlrd2="http://schemas.microsoft.com/office/spreadsheetml/2017/richdata2" ref="A2:J271">
      <sortCondition ref="A1:A26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BP63"/>
  <sheetViews>
    <sheetView workbookViewId="0">
      <pane xSplit="3" ySplit="1" topLeftCell="D20" activePane="bottomRight" state="frozen"/>
      <selection pane="topRight" activeCell="B1" sqref="B1"/>
      <selection pane="bottomLeft" activeCell="A2" sqref="A2"/>
      <selection pane="bottomRight" activeCell="A20" sqref="A20:XFD61"/>
    </sheetView>
  </sheetViews>
  <sheetFormatPr baseColWidth="10" defaultRowHeight="14.5" x14ac:dyDescent="0.35"/>
  <cols>
    <col min="1" max="1" width="33.1796875" bestFit="1" customWidth="1"/>
    <col min="2" max="2" width="12.54296875" bestFit="1" customWidth="1"/>
    <col min="3" max="3" width="16.6328125" bestFit="1" customWidth="1"/>
    <col min="4" max="4" width="20.6328125" bestFit="1" customWidth="1"/>
    <col min="5" max="5" width="25.54296875" bestFit="1" customWidth="1"/>
    <col min="6" max="6" width="26" bestFit="1" customWidth="1"/>
    <col min="7" max="7" width="21.81640625" bestFit="1" customWidth="1"/>
    <col min="8" max="8" width="25.54296875" bestFit="1" customWidth="1"/>
    <col min="9" max="9" width="26" bestFit="1" customWidth="1"/>
    <col min="10" max="10" width="15.81640625" bestFit="1" customWidth="1"/>
    <col min="11" max="11" width="22.54296875" bestFit="1" customWidth="1"/>
    <col min="12" max="12" width="24.6328125" bestFit="1" customWidth="1"/>
    <col min="13" max="13" width="20.6328125" bestFit="1" customWidth="1"/>
    <col min="14" max="14" width="18.1796875" bestFit="1" customWidth="1"/>
    <col min="15" max="15" width="14" bestFit="1" customWidth="1"/>
    <col min="16" max="17" width="14.6328125" bestFit="1" customWidth="1"/>
    <col min="18" max="18" width="17.81640625" bestFit="1" customWidth="1"/>
    <col min="19" max="19" width="17.54296875" bestFit="1" customWidth="1"/>
    <col min="20" max="20" width="23.36328125" bestFit="1" customWidth="1"/>
    <col min="21" max="21" width="25.1796875" bestFit="1" customWidth="1"/>
    <col min="22" max="22" width="11.81640625" bestFit="1" customWidth="1"/>
    <col min="23" max="23" width="16.1796875" bestFit="1" customWidth="1"/>
    <col min="24" max="24" width="18.54296875" bestFit="1" customWidth="1"/>
    <col min="25" max="25" width="25.54296875" bestFit="1" customWidth="1"/>
    <col min="26" max="26" width="25" bestFit="1" customWidth="1"/>
    <col min="27" max="27" width="24.1796875" bestFit="1" customWidth="1"/>
    <col min="28" max="28" width="24.81640625" bestFit="1" customWidth="1"/>
    <col min="29" max="29" width="18.1796875" bestFit="1" customWidth="1"/>
    <col min="30" max="30" width="25.08984375" bestFit="1" customWidth="1"/>
    <col min="31" max="31" width="25.54296875" bestFit="1" customWidth="1"/>
    <col min="32" max="32" width="21.1796875" bestFit="1" customWidth="1"/>
    <col min="33" max="33" width="22.08984375" bestFit="1" customWidth="1"/>
    <col min="34" max="34" width="23.90625" bestFit="1" customWidth="1"/>
    <col min="35" max="35" width="23.1796875" bestFit="1" customWidth="1"/>
    <col min="36" max="36" width="25.1796875" bestFit="1" customWidth="1"/>
    <col min="37" max="37" width="24.81640625" bestFit="1" customWidth="1"/>
    <col min="38" max="38" width="18.6328125" bestFit="1" customWidth="1"/>
    <col min="39" max="39" width="21.36328125" bestFit="1" customWidth="1"/>
    <col min="40" max="40" width="19.453125" bestFit="1" customWidth="1"/>
    <col min="41" max="41" width="19.90625" bestFit="1" customWidth="1"/>
    <col min="42" max="42" width="20.6328125" bestFit="1" customWidth="1"/>
    <col min="43" max="43" width="19.90625" bestFit="1" customWidth="1"/>
    <col min="44" max="44" width="26" bestFit="1" customWidth="1"/>
    <col min="45" max="46" width="25.90625" bestFit="1" customWidth="1"/>
    <col min="47" max="47" width="25.81640625" bestFit="1" customWidth="1"/>
    <col min="48" max="48" width="23" bestFit="1" customWidth="1"/>
    <col min="49" max="49" width="24.81640625" bestFit="1" customWidth="1"/>
    <col min="50" max="50" width="25.90625" bestFit="1" customWidth="1"/>
    <col min="51" max="51" width="25.81640625" bestFit="1" customWidth="1"/>
    <col min="52" max="52" width="17.6328125" bestFit="1" customWidth="1"/>
    <col min="53" max="54" width="23.1796875" bestFit="1" customWidth="1"/>
    <col min="55" max="55" width="24.1796875" bestFit="1" customWidth="1"/>
    <col min="56" max="56" width="25.453125" bestFit="1" customWidth="1"/>
    <col min="57" max="57" width="22.81640625" bestFit="1" customWidth="1"/>
    <col min="58" max="58" width="24.36328125" bestFit="1" customWidth="1"/>
    <col min="59" max="59" width="23.453125" bestFit="1" customWidth="1"/>
    <col min="60" max="60" width="26" bestFit="1" customWidth="1"/>
    <col min="61" max="61" width="25.81640625" bestFit="1" customWidth="1"/>
    <col min="62" max="62" width="23.36328125" bestFit="1" customWidth="1"/>
    <col min="63" max="63" width="18.90625" bestFit="1" customWidth="1"/>
    <col min="64" max="64" width="25.81640625" bestFit="1" customWidth="1"/>
    <col min="65" max="65" width="20.81640625" bestFit="1" customWidth="1"/>
    <col min="66" max="66" width="19.6328125" bestFit="1" customWidth="1"/>
    <col min="67" max="67" width="21.1796875" bestFit="1" customWidth="1"/>
    <col min="68" max="68" width="23.1796875" bestFit="1" customWidth="1"/>
  </cols>
  <sheetData>
    <row r="1" spans="1:68" ht="42" x14ac:dyDescent="0.35">
      <c r="A1" s="49" t="s">
        <v>0</v>
      </c>
      <c r="B1" s="49" t="s">
        <v>3</v>
      </c>
      <c r="C1" s="49" t="s">
        <v>5</v>
      </c>
      <c r="D1" s="49" t="s">
        <v>349</v>
      </c>
      <c r="E1" s="49" t="s">
        <v>350</v>
      </c>
      <c r="F1" s="49" t="s">
        <v>351</v>
      </c>
      <c r="G1" s="49" t="s">
        <v>352</v>
      </c>
      <c r="H1" s="49" t="s">
        <v>353</v>
      </c>
      <c r="I1" s="49" t="s">
        <v>354</v>
      </c>
      <c r="J1" s="49" t="s">
        <v>355</v>
      </c>
      <c r="K1" s="49" t="s">
        <v>356</v>
      </c>
      <c r="L1" s="49" t="s">
        <v>357</v>
      </c>
      <c r="M1" s="49" t="s">
        <v>358</v>
      </c>
      <c r="N1" s="49" t="s">
        <v>359</v>
      </c>
      <c r="O1" s="49" t="s">
        <v>360</v>
      </c>
      <c r="P1" s="49" t="s">
        <v>361</v>
      </c>
      <c r="Q1" s="49" t="s">
        <v>362</v>
      </c>
      <c r="R1" s="49" t="s">
        <v>363</v>
      </c>
      <c r="S1" s="49" t="s">
        <v>364</v>
      </c>
      <c r="T1" s="49" t="s">
        <v>365</v>
      </c>
      <c r="U1" s="49" t="s">
        <v>366</v>
      </c>
      <c r="V1" s="49" t="s">
        <v>367</v>
      </c>
      <c r="W1" s="49" t="s">
        <v>368</v>
      </c>
      <c r="X1" s="49" t="s">
        <v>369</v>
      </c>
      <c r="Y1" s="49" t="s">
        <v>370</v>
      </c>
      <c r="Z1" s="49" t="s">
        <v>371</v>
      </c>
      <c r="AA1" s="49" t="s">
        <v>372</v>
      </c>
      <c r="AB1" s="49" t="s">
        <v>373</v>
      </c>
      <c r="AC1" s="49" t="s">
        <v>374</v>
      </c>
      <c r="AD1" s="49" t="s">
        <v>375</v>
      </c>
      <c r="AE1" s="49" t="s">
        <v>376</v>
      </c>
      <c r="AF1" s="49" t="s">
        <v>377</v>
      </c>
      <c r="AG1" s="49" t="s">
        <v>378</v>
      </c>
      <c r="AH1" s="49" t="s">
        <v>379</v>
      </c>
      <c r="AI1" s="49" t="s">
        <v>380</v>
      </c>
      <c r="AJ1" s="49" t="s">
        <v>381</v>
      </c>
      <c r="AK1" s="49" t="s">
        <v>382</v>
      </c>
      <c r="AL1" s="49" t="s">
        <v>383</v>
      </c>
      <c r="AM1" s="49" t="s">
        <v>384</v>
      </c>
      <c r="AN1" s="49" t="s">
        <v>385</v>
      </c>
      <c r="AO1" s="49" t="s">
        <v>386</v>
      </c>
      <c r="AP1" s="49" t="s">
        <v>387</v>
      </c>
      <c r="AQ1" s="49" t="s">
        <v>388</v>
      </c>
      <c r="AR1" s="49" t="s">
        <v>389</v>
      </c>
      <c r="AS1" s="49" t="s">
        <v>390</v>
      </c>
      <c r="AT1" s="49" t="s">
        <v>391</v>
      </c>
      <c r="AU1" s="49" t="s">
        <v>392</v>
      </c>
      <c r="AV1" s="49" t="s">
        <v>393</v>
      </c>
      <c r="AW1" s="49" t="s">
        <v>394</v>
      </c>
      <c r="AX1" s="49" t="s">
        <v>395</v>
      </c>
      <c r="AY1" s="49" t="s">
        <v>396</v>
      </c>
      <c r="AZ1" s="49" t="s">
        <v>397</v>
      </c>
      <c r="BA1" s="49" t="s">
        <v>398</v>
      </c>
      <c r="BB1" s="49" t="s">
        <v>399</v>
      </c>
      <c r="BC1" s="49" t="s">
        <v>400</v>
      </c>
      <c r="BD1" s="49" t="s">
        <v>401</v>
      </c>
      <c r="BE1" s="49" t="s">
        <v>402</v>
      </c>
      <c r="BF1" s="49" t="s">
        <v>403</v>
      </c>
      <c r="BG1" s="49" t="s">
        <v>404</v>
      </c>
      <c r="BH1" s="49" t="s">
        <v>405</v>
      </c>
      <c r="BI1" s="49" t="s">
        <v>406</v>
      </c>
      <c r="BJ1" s="49" t="s">
        <v>407</v>
      </c>
      <c r="BK1" s="49" t="s">
        <v>408</v>
      </c>
      <c r="BL1" s="49" t="s">
        <v>409</v>
      </c>
      <c r="BM1" s="40" t="s">
        <v>410</v>
      </c>
      <c r="BN1" s="40" t="s">
        <v>411</v>
      </c>
      <c r="BO1" s="40" t="s">
        <v>412</v>
      </c>
      <c r="BP1" s="40" t="s">
        <v>413</v>
      </c>
    </row>
    <row r="2" spans="1:68" ht="30.65" hidden="1" customHeight="1" x14ac:dyDescent="0.35">
      <c r="A2" s="67" t="s">
        <v>16</v>
      </c>
      <c r="B2" s="8" t="s">
        <v>19</v>
      </c>
      <c r="C2" s="6" t="s">
        <v>21</v>
      </c>
      <c r="D2" s="43"/>
      <c r="E2" s="43"/>
      <c r="F2" s="42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</row>
    <row r="3" spans="1:68" ht="30.65" hidden="1" customHeight="1" x14ac:dyDescent="0.35">
      <c r="A3" s="67" t="s">
        <v>23</v>
      </c>
      <c r="B3" s="8" t="s">
        <v>26</v>
      </c>
      <c r="C3" s="6" t="s">
        <v>21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7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</row>
    <row r="4" spans="1:68" ht="30.65" hidden="1" customHeight="1" x14ac:dyDescent="0.35">
      <c r="A4" s="67" t="s">
        <v>28</v>
      </c>
      <c r="B4" s="8" t="s">
        <v>19</v>
      </c>
      <c r="C4" s="6" t="s">
        <v>22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8"/>
      <c r="AR4" s="43"/>
      <c r="AS4" s="43"/>
      <c r="AT4" s="43"/>
      <c r="AU4" s="43"/>
      <c r="AV4" s="43"/>
      <c r="AW4" s="43"/>
      <c r="AX4" s="43"/>
      <c r="AY4" s="43"/>
      <c r="AZ4" s="43"/>
      <c r="BA4" s="43">
        <v>415</v>
      </c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>
        <v>28</v>
      </c>
      <c r="BM4" s="43"/>
      <c r="BN4" s="43">
        <v>34328</v>
      </c>
      <c r="BO4" s="43"/>
      <c r="BP4" s="43"/>
    </row>
    <row r="5" spans="1:68" ht="30.65" hidden="1" customHeight="1" x14ac:dyDescent="0.35">
      <c r="A5" s="67" t="s">
        <v>28</v>
      </c>
      <c r="B5" s="8" t="s">
        <v>19</v>
      </c>
      <c r="C5" s="6" t="s">
        <v>22</v>
      </c>
      <c r="D5" s="43">
        <v>89</v>
      </c>
      <c r="E5" s="43">
        <v>674094</v>
      </c>
      <c r="F5" s="112">
        <v>0.9</v>
      </c>
      <c r="G5" s="43">
        <v>7</v>
      </c>
      <c r="H5" s="43">
        <v>72383</v>
      </c>
      <c r="I5" s="112">
        <v>0.1</v>
      </c>
      <c r="J5" s="43">
        <v>268301</v>
      </c>
      <c r="K5" s="43">
        <v>58308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-195</v>
      </c>
      <c r="W5" s="43">
        <v>5643</v>
      </c>
      <c r="X5" s="43">
        <v>121235</v>
      </c>
      <c r="Y5" s="43">
        <v>8979</v>
      </c>
      <c r="Z5" s="43">
        <v>41286</v>
      </c>
      <c r="AA5" s="43">
        <v>0</v>
      </c>
      <c r="AB5" s="43">
        <v>0</v>
      </c>
      <c r="AC5" s="43">
        <v>33045</v>
      </c>
      <c r="AD5" s="43">
        <v>22525</v>
      </c>
      <c r="AE5" s="43">
        <v>527</v>
      </c>
      <c r="AF5" s="43">
        <v>21999</v>
      </c>
      <c r="AG5" s="43">
        <v>361109</v>
      </c>
      <c r="AH5" s="43">
        <v>150152</v>
      </c>
      <c r="AI5" s="43">
        <v>22802</v>
      </c>
      <c r="AJ5" s="43">
        <v>12229</v>
      </c>
      <c r="AK5" s="43">
        <v>9618</v>
      </c>
      <c r="AL5" s="43">
        <v>26190</v>
      </c>
      <c r="AM5" s="43">
        <v>0</v>
      </c>
      <c r="AN5" s="43">
        <v>0</v>
      </c>
      <c r="AO5" s="43">
        <v>49048</v>
      </c>
      <c r="AP5" s="43">
        <v>5440</v>
      </c>
      <c r="AQ5" s="43">
        <v>59453</v>
      </c>
      <c r="AR5" s="43">
        <v>-13516</v>
      </c>
      <c r="AS5" s="43">
        <v>6435</v>
      </c>
      <c r="AT5" s="43">
        <v>11839</v>
      </c>
      <c r="AU5" s="43">
        <v>3837</v>
      </c>
      <c r="AV5" s="43">
        <v>29423</v>
      </c>
      <c r="AW5" s="43">
        <v>3992</v>
      </c>
      <c r="AX5" s="43">
        <v>3602</v>
      </c>
      <c r="AY5" s="43">
        <v>0</v>
      </c>
      <c r="AZ5" s="43">
        <v>0</v>
      </c>
      <c r="BA5" s="43">
        <v>390</v>
      </c>
      <c r="BB5" s="43">
        <v>0</v>
      </c>
      <c r="BC5" s="43">
        <v>0</v>
      </c>
      <c r="BD5" s="43">
        <v>0</v>
      </c>
      <c r="BE5" s="43">
        <v>0</v>
      </c>
      <c r="BF5" s="43">
        <v>962452</v>
      </c>
      <c r="BG5" s="43">
        <v>558003</v>
      </c>
      <c r="BH5" s="43">
        <v>272795</v>
      </c>
      <c r="BI5" s="43">
        <v>19763</v>
      </c>
      <c r="BJ5" s="43">
        <v>0</v>
      </c>
      <c r="BK5" s="43">
        <v>28987</v>
      </c>
      <c r="BL5" s="43">
        <v>82904</v>
      </c>
      <c r="BM5" s="43">
        <v>8</v>
      </c>
      <c r="BN5" s="43">
        <v>186198</v>
      </c>
      <c r="BO5" s="43">
        <v>0</v>
      </c>
      <c r="BP5" s="43"/>
    </row>
    <row r="6" spans="1:68" ht="30.65" hidden="1" customHeight="1" x14ac:dyDescent="0.35">
      <c r="A6" s="67" t="s">
        <v>539</v>
      </c>
      <c r="B6" s="8" t="s">
        <v>19</v>
      </c>
      <c r="C6" s="6" t="s">
        <v>38</v>
      </c>
      <c r="D6" s="43">
        <v>6</v>
      </c>
      <c r="E6" s="43">
        <v>27900</v>
      </c>
      <c r="F6" s="43"/>
      <c r="G6" s="43">
        <v>0</v>
      </c>
      <c r="H6" s="43">
        <v>0</v>
      </c>
      <c r="I6" s="43"/>
      <c r="J6" s="43">
        <v>8650</v>
      </c>
      <c r="K6" s="43"/>
      <c r="L6" s="43"/>
      <c r="M6" s="43"/>
      <c r="N6" s="43"/>
      <c r="O6" s="43">
        <v>1100</v>
      </c>
      <c r="P6" s="43">
        <v>3000</v>
      </c>
      <c r="Q6" s="43"/>
      <c r="R6" s="43"/>
      <c r="S6" s="43"/>
      <c r="T6" s="43"/>
      <c r="U6" s="43">
        <v>630</v>
      </c>
      <c r="V6" s="43">
        <v>160</v>
      </c>
      <c r="W6" s="43">
        <v>1300</v>
      </c>
      <c r="X6" s="43"/>
      <c r="Y6" s="43"/>
      <c r="Z6" s="43"/>
      <c r="AA6" s="43"/>
      <c r="AB6" s="43"/>
      <c r="AC6" s="43">
        <v>2460</v>
      </c>
      <c r="AD6" s="43">
        <v>6700</v>
      </c>
      <c r="AE6" s="43">
        <v>2200</v>
      </c>
      <c r="AF6" s="43">
        <v>4500</v>
      </c>
      <c r="AG6" s="43">
        <v>37000</v>
      </c>
      <c r="AH6" s="43">
        <v>21000</v>
      </c>
      <c r="AI6" s="43">
        <v>7250</v>
      </c>
      <c r="AJ6" s="43"/>
      <c r="AK6" s="43">
        <v>380</v>
      </c>
      <c r="AL6" s="43">
        <v>320</v>
      </c>
      <c r="AM6" s="43">
        <v>3600</v>
      </c>
      <c r="AN6" s="43"/>
      <c r="AO6" s="43">
        <v>350</v>
      </c>
      <c r="AP6" s="43"/>
      <c r="AQ6" s="43">
        <v>4000</v>
      </c>
      <c r="AR6" s="43"/>
      <c r="AS6" s="43"/>
      <c r="AT6" s="43"/>
      <c r="AU6" s="43"/>
      <c r="AV6" s="43">
        <v>3100</v>
      </c>
      <c r="AW6" s="43">
        <v>2835</v>
      </c>
      <c r="AX6" s="43"/>
      <c r="AY6" s="43"/>
      <c r="AZ6" s="43"/>
      <c r="BA6" s="43">
        <v>2835</v>
      </c>
      <c r="BB6" s="43"/>
      <c r="BC6" s="43"/>
      <c r="BD6" s="43"/>
      <c r="BE6" s="43"/>
      <c r="BF6" s="43">
        <v>57800</v>
      </c>
      <c r="BG6" s="43">
        <v>45000</v>
      </c>
      <c r="BH6" s="43"/>
      <c r="BI6" s="43"/>
      <c r="BJ6" s="43"/>
      <c r="BK6" s="43"/>
      <c r="BL6" s="43">
        <v>3525</v>
      </c>
      <c r="BM6" s="43"/>
      <c r="BN6" s="43"/>
      <c r="BO6" s="43"/>
      <c r="BP6" s="43">
        <v>110410</v>
      </c>
    </row>
    <row r="7" spans="1:68" ht="30.65" hidden="1" customHeight="1" x14ac:dyDescent="0.35">
      <c r="A7" s="67" t="s">
        <v>542</v>
      </c>
      <c r="B7" s="8" t="s">
        <v>46</v>
      </c>
      <c r="C7" s="6" t="s">
        <v>79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>
        <v>132370</v>
      </c>
      <c r="U7" s="43"/>
      <c r="V7" s="43"/>
      <c r="W7" s="43"/>
      <c r="X7" s="43"/>
      <c r="Y7" s="43"/>
      <c r="Z7" s="43"/>
      <c r="AA7" s="43"/>
      <c r="AB7" s="43">
        <v>51319</v>
      </c>
      <c r="AC7" s="43"/>
      <c r="AD7" s="43"/>
      <c r="AE7" s="43"/>
      <c r="AF7" s="43"/>
      <c r="AG7" s="43"/>
      <c r="AH7" s="43"/>
      <c r="AI7" s="43">
        <v>1800</v>
      </c>
      <c r="AJ7" s="43"/>
      <c r="AK7" s="43">
        <v>1020</v>
      </c>
      <c r="AL7" s="43">
        <v>589</v>
      </c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>
        <v>715</v>
      </c>
      <c r="AX7" s="43"/>
      <c r="AY7" s="43"/>
      <c r="AZ7" s="43"/>
      <c r="BA7" s="43"/>
      <c r="BB7" s="43"/>
      <c r="BC7" s="43"/>
      <c r="BD7" s="43">
        <v>74</v>
      </c>
      <c r="BE7" s="43"/>
      <c r="BF7" s="43"/>
      <c r="BG7" s="43"/>
      <c r="BH7" s="43">
        <v>33122028</v>
      </c>
      <c r="BI7" s="43"/>
      <c r="BJ7" s="43">
        <v>1660</v>
      </c>
      <c r="BK7" s="43"/>
      <c r="BL7" s="43">
        <v>4633</v>
      </c>
      <c r="BM7" s="43"/>
      <c r="BN7" s="43"/>
      <c r="BO7" s="43">
        <v>2976</v>
      </c>
      <c r="BP7" s="43"/>
    </row>
    <row r="8" spans="1:68" ht="30.65" hidden="1" customHeight="1" x14ac:dyDescent="0.35">
      <c r="A8" s="67" t="s">
        <v>34</v>
      </c>
      <c r="B8" s="8" t="s">
        <v>19</v>
      </c>
      <c r="C8" s="6" t="s">
        <v>38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1680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113">
        <v>6526.3119999999999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113">
        <v>7751.25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113">
        <v>37754.724000000002</v>
      </c>
      <c r="BH8" s="43">
        <v>0</v>
      </c>
      <c r="BI8" s="43">
        <v>0</v>
      </c>
      <c r="BJ8" s="43">
        <v>0</v>
      </c>
      <c r="BK8" s="113">
        <v>1555.2</v>
      </c>
      <c r="BL8" s="43">
        <v>0</v>
      </c>
      <c r="BM8" s="43">
        <v>0</v>
      </c>
      <c r="BN8" s="43">
        <v>0</v>
      </c>
      <c r="BO8" s="43">
        <v>0</v>
      </c>
      <c r="BP8" s="113">
        <v>47061.173999999999</v>
      </c>
    </row>
    <row r="9" spans="1:68" ht="30.65" hidden="1" customHeight="1" x14ac:dyDescent="0.35">
      <c r="A9" s="67" t="s">
        <v>40</v>
      </c>
      <c r="B9" s="8" t="s">
        <v>19</v>
      </c>
      <c r="C9" s="6" t="s">
        <v>22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</row>
    <row r="10" spans="1:68" ht="30.65" hidden="1" customHeight="1" x14ac:dyDescent="0.35">
      <c r="A10" s="67" t="s">
        <v>52</v>
      </c>
      <c r="B10" s="8" t="s">
        <v>19</v>
      </c>
      <c r="C10" s="6" t="s">
        <v>22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</row>
    <row r="11" spans="1:68" ht="30.65" hidden="1" customHeight="1" x14ac:dyDescent="0.35">
      <c r="A11" s="67" t="s">
        <v>472</v>
      </c>
      <c r="B11" s="8" t="s">
        <v>19</v>
      </c>
      <c r="C11" s="6" t="s">
        <v>22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113">
        <v>168.4</v>
      </c>
      <c r="AA11" s="43">
        <v>0</v>
      </c>
      <c r="AB11" s="43">
        <v>0</v>
      </c>
      <c r="AC11" s="113">
        <v>39.700000000000003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113">
        <v>169</v>
      </c>
      <c r="BB11" s="43">
        <v>0</v>
      </c>
      <c r="BC11" s="43">
        <v>0</v>
      </c>
      <c r="BD11" s="43">
        <v>0</v>
      </c>
      <c r="BE11" s="43"/>
      <c r="BF11" s="43">
        <v>0</v>
      </c>
      <c r="BG11" s="113">
        <v>39159.896000000001</v>
      </c>
      <c r="BH11" s="43">
        <v>0</v>
      </c>
      <c r="BI11" s="43">
        <v>0</v>
      </c>
      <c r="BJ11" s="43">
        <v>0</v>
      </c>
      <c r="BK11" s="43">
        <v>1904.6179999999999</v>
      </c>
      <c r="BL11" s="43">
        <v>0</v>
      </c>
      <c r="BM11" s="43">
        <v>0</v>
      </c>
      <c r="BN11" s="43">
        <v>0</v>
      </c>
      <c r="BO11" s="43">
        <v>0</v>
      </c>
      <c r="BP11" s="113">
        <v>66302.921000000002</v>
      </c>
    </row>
    <row r="12" spans="1:68" ht="30.65" hidden="1" customHeight="1" x14ac:dyDescent="0.35">
      <c r="A12" s="67" t="s">
        <v>56</v>
      </c>
      <c r="B12" s="8" t="s">
        <v>19</v>
      </c>
      <c r="C12" s="6" t="s">
        <v>22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</row>
    <row r="13" spans="1:68" ht="30.65" hidden="1" customHeight="1" x14ac:dyDescent="0.35">
      <c r="A13" s="67" t="s">
        <v>67</v>
      </c>
      <c r="B13" s="8" t="s">
        <v>19</v>
      </c>
      <c r="C13" s="6" t="s">
        <v>22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114">
        <v>6362.0709999999999</v>
      </c>
      <c r="L13" s="43">
        <v>0</v>
      </c>
      <c r="M13" s="43">
        <v>0</v>
      </c>
      <c r="N13" s="43">
        <v>0</v>
      </c>
      <c r="O13" s="43">
        <v>0</v>
      </c>
      <c r="P13" s="115">
        <v>4105.6369999999997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113">
        <v>648.5</v>
      </c>
      <c r="Z13" s="113">
        <v>0</v>
      </c>
      <c r="AA13" s="113">
        <v>150</v>
      </c>
      <c r="AB13" s="113">
        <v>3437.5</v>
      </c>
      <c r="AC13" s="43">
        <v>0</v>
      </c>
      <c r="AD13" s="113">
        <v>3263.0439999999999</v>
      </c>
      <c r="AE13" s="43">
        <v>0</v>
      </c>
      <c r="AF13" s="43">
        <v>0</v>
      </c>
      <c r="AG13" s="43">
        <v>0</v>
      </c>
      <c r="AH13" s="113">
        <v>145751.147</v>
      </c>
      <c r="AI13" s="113">
        <v>15682</v>
      </c>
      <c r="AJ13" s="43">
        <v>0</v>
      </c>
      <c r="AK13" s="113">
        <v>147</v>
      </c>
      <c r="AL13" s="113">
        <v>196.078</v>
      </c>
      <c r="AM13" s="113">
        <v>3700</v>
      </c>
      <c r="AN13" s="43">
        <v>0</v>
      </c>
      <c r="AO13" s="113">
        <v>217.5</v>
      </c>
      <c r="AP13" s="113">
        <v>445.79199999999997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113">
        <v>2520</v>
      </c>
      <c r="AY13" s="43">
        <v>0</v>
      </c>
      <c r="AZ13" s="43">
        <v>0</v>
      </c>
      <c r="BA13" s="43">
        <v>0</v>
      </c>
      <c r="BB13" s="113">
        <v>6960</v>
      </c>
      <c r="BC13" s="43">
        <v>0</v>
      </c>
      <c r="BD13" s="43">
        <v>0</v>
      </c>
      <c r="BE13" s="43">
        <v>0</v>
      </c>
      <c r="BF13" s="43">
        <v>0</v>
      </c>
      <c r="BG13" s="113">
        <v>15186.001</v>
      </c>
      <c r="BH13" s="113">
        <v>9690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113">
        <v>110</v>
      </c>
      <c r="BO13" s="43">
        <v>0</v>
      </c>
      <c r="BP13" s="113">
        <v>206770.80900000001</v>
      </c>
    </row>
    <row r="14" spans="1:68" ht="30.65" hidden="1" customHeight="1" x14ac:dyDescent="0.35">
      <c r="A14" s="67" t="s">
        <v>60</v>
      </c>
      <c r="B14" s="8" t="s">
        <v>26</v>
      </c>
      <c r="C14" s="6" t="s">
        <v>64</v>
      </c>
      <c r="D14" s="43">
        <v>131</v>
      </c>
      <c r="E14" s="43">
        <v>10927129.642000001</v>
      </c>
      <c r="F14" s="43"/>
      <c r="G14" s="43">
        <v>20</v>
      </c>
      <c r="H14" s="43">
        <v>5262594.8099999996</v>
      </c>
      <c r="I14" s="43"/>
      <c r="J14" s="43"/>
      <c r="K14" s="43">
        <v>350995</v>
      </c>
      <c r="L14" s="43"/>
      <c r="M14" s="43"/>
      <c r="N14" s="43"/>
      <c r="O14" s="43"/>
      <c r="P14" s="43">
        <v>2778514</v>
      </c>
      <c r="Q14" s="43"/>
      <c r="R14" s="43">
        <v>209</v>
      </c>
      <c r="S14" s="43"/>
      <c r="T14" s="43"/>
      <c r="U14" s="43">
        <v>656</v>
      </c>
      <c r="V14" s="43">
        <v>395</v>
      </c>
      <c r="W14" s="43">
        <v>44926</v>
      </c>
      <c r="X14" s="43">
        <v>1524</v>
      </c>
      <c r="Y14" s="43">
        <v>94031</v>
      </c>
      <c r="Z14" s="43">
        <v>22574</v>
      </c>
      <c r="AA14" s="43">
        <v>361455</v>
      </c>
      <c r="AB14" s="43">
        <v>4700</v>
      </c>
      <c r="AC14" s="43">
        <v>2188</v>
      </c>
      <c r="AD14" s="43"/>
      <c r="AE14" s="43">
        <v>1736048</v>
      </c>
      <c r="AF14" s="43">
        <v>18346</v>
      </c>
      <c r="AG14" s="43"/>
      <c r="AH14" s="43">
        <v>1369280</v>
      </c>
      <c r="AI14" s="43">
        <v>865800</v>
      </c>
      <c r="AJ14" s="43"/>
      <c r="AK14" s="43">
        <v>71865</v>
      </c>
      <c r="AL14" s="43">
        <v>83784</v>
      </c>
      <c r="AM14" s="43">
        <v>30048</v>
      </c>
      <c r="AN14" s="43"/>
      <c r="AO14" s="43">
        <v>42369</v>
      </c>
      <c r="AP14" s="43">
        <v>142263</v>
      </c>
      <c r="AQ14" s="43"/>
      <c r="AR14" s="43">
        <v>9842435</v>
      </c>
      <c r="AS14" s="43">
        <v>1000</v>
      </c>
      <c r="AT14" s="43">
        <v>590768</v>
      </c>
      <c r="AU14" s="43">
        <v>128811996</v>
      </c>
      <c r="AV14" s="43">
        <v>300986</v>
      </c>
      <c r="AW14" s="43"/>
      <c r="AX14" s="43">
        <v>572200</v>
      </c>
      <c r="AY14" s="43">
        <v>22038</v>
      </c>
      <c r="AZ14" s="43"/>
      <c r="BA14" s="43">
        <v>33645</v>
      </c>
      <c r="BB14" s="43"/>
      <c r="BC14" s="43"/>
      <c r="BD14" s="43">
        <v>300000</v>
      </c>
      <c r="BE14" s="43"/>
      <c r="BF14" s="43"/>
      <c r="BG14" s="43">
        <v>525955</v>
      </c>
      <c r="BH14" s="43"/>
      <c r="BI14" s="43"/>
      <c r="BJ14" s="43"/>
      <c r="BK14" s="43">
        <v>12466</v>
      </c>
      <c r="BL14" s="43">
        <v>4506</v>
      </c>
      <c r="BM14" s="43">
        <v>1839397</v>
      </c>
      <c r="BN14" s="43"/>
      <c r="BO14" s="43"/>
      <c r="BP14" s="43"/>
    </row>
    <row r="15" spans="1:68" ht="30.65" hidden="1" customHeight="1" x14ac:dyDescent="0.35">
      <c r="A15" s="67" t="s">
        <v>497</v>
      </c>
      <c r="B15" s="8" t="s">
        <v>26</v>
      </c>
      <c r="C15" s="6" t="s">
        <v>79</v>
      </c>
      <c r="D15" s="43"/>
      <c r="E15" s="43"/>
      <c r="F15" s="43"/>
      <c r="G15" s="43"/>
      <c r="H15" s="43"/>
      <c r="I15" s="43"/>
      <c r="J15" s="43"/>
      <c r="K15" s="43">
        <v>912987.96699999995</v>
      </c>
      <c r="L15" s="43">
        <v>1280658.818</v>
      </c>
      <c r="M15" s="43"/>
      <c r="N15" s="43"/>
      <c r="O15" s="43"/>
      <c r="P15" s="43"/>
      <c r="Q15" s="43"/>
      <c r="R15" s="43"/>
      <c r="S15" s="43"/>
      <c r="T15" s="43"/>
      <c r="U15" s="43"/>
      <c r="V15" s="43">
        <v>1530.924</v>
      </c>
      <c r="W15" s="43">
        <v>1527971.9469999999</v>
      </c>
      <c r="X15" s="43"/>
      <c r="Y15" s="43"/>
      <c r="Z15" s="43"/>
      <c r="AA15" s="43"/>
      <c r="AB15" s="43"/>
      <c r="AC15" s="43">
        <v>175846.07399999999</v>
      </c>
      <c r="AD15" s="43"/>
      <c r="AE15" s="43">
        <v>83738.929999999993</v>
      </c>
      <c r="AF15" s="43">
        <v>12700</v>
      </c>
      <c r="AG15" s="43"/>
      <c r="AH15" s="43">
        <v>535760.02</v>
      </c>
      <c r="AI15" s="43">
        <v>12368.175999999999</v>
      </c>
      <c r="AJ15" s="43"/>
      <c r="AK15" s="43">
        <v>20890.028999999999</v>
      </c>
      <c r="AL15" s="43"/>
      <c r="AM15" s="43"/>
      <c r="AN15" s="43">
        <v>25614.15</v>
      </c>
      <c r="AO15" s="43"/>
      <c r="AP15" s="43"/>
      <c r="AQ15" s="43"/>
      <c r="AR15" s="43"/>
      <c r="AS15" s="43">
        <v>16319.14</v>
      </c>
      <c r="AT15" s="43"/>
      <c r="AU15" s="43"/>
      <c r="AV15" s="43">
        <v>271898.63500000001</v>
      </c>
      <c r="AW15" s="43"/>
      <c r="AX15" s="43">
        <v>21857.004000000001</v>
      </c>
      <c r="AY15" s="43"/>
      <c r="AZ15" s="43"/>
      <c r="BA15" s="43"/>
      <c r="BB15" s="43"/>
      <c r="BC15" s="43"/>
      <c r="BD15" s="43"/>
      <c r="BE15" s="43"/>
      <c r="BF15" s="43"/>
      <c r="BG15" s="43">
        <v>602720.96799999999</v>
      </c>
      <c r="BH15" s="43"/>
      <c r="BI15" s="43">
        <v>5568.6</v>
      </c>
      <c r="BJ15" s="43">
        <v>12882.6</v>
      </c>
      <c r="BK15" s="43">
        <v>10858.221</v>
      </c>
      <c r="BL15" s="43">
        <v>103269.07799999999</v>
      </c>
      <c r="BM15" s="43">
        <v>860263.63300000003</v>
      </c>
      <c r="BN15" s="43">
        <v>81126.254000000001</v>
      </c>
      <c r="BO15" s="43">
        <v>0</v>
      </c>
      <c r="BP15" s="43">
        <v>6576831.2690000003</v>
      </c>
    </row>
    <row r="16" spans="1:68" ht="30.65" hidden="1" customHeight="1" x14ac:dyDescent="0.35">
      <c r="A16" s="67" t="s">
        <v>106</v>
      </c>
      <c r="B16" s="8" t="s">
        <v>109</v>
      </c>
      <c r="C16" s="6" t="s">
        <v>331</v>
      </c>
      <c r="D16" s="43">
        <v>266</v>
      </c>
      <c r="E16" s="43">
        <v>71401166.680999994</v>
      </c>
      <c r="F16" s="43"/>
      <c r="G16" s="43">
        <v>127</v>
      </c>
      <c r="H16" s="43">
        <v>53495716.111000001</v>
      </c>
      <c r="I16" s="43"/>
      <c r="J16" s="43">
        <v>51342740.395000003</v>
      </c>
      <c r="K16" s="43">
        <v>4372430.6220000004</v>
      </c>
      <c r="L16" s="43">
        <v>45857552.089000002</v>
      </c>
      <c r="M16" s="43"/>
      <c r="N16" s="43"/>
      <c r="O16" s="43"/>
      <c r="P16" s="43">
        <v>27507261.284000002</v>
      </c>
      <c r="Q16" s="43">
        <v>14018473.385</v>
      </c>
      <c r="R16" s="43">
        <v>505359.386</v>
      </c>
      <c r="S16" s="43">
        <v>3547447.0920000002</v>
      </c>
      <c r="T16" s="43">
        <v>279010.94199999998</v>
      </c>
      <c r="U16" s="43">
        <v>162206.06400000001</v>
      </c>
      <c r="V16" s="43">
        <v>2218.5709999999999</v>
      </c>
      <c r="W16" s="43">
        <v>16143.29</v>
      </c>
      <c r="X16" s="43">
        <v>254115.48</v>
      </c>
      <c r="Y16" s="43">
        <v>25233.87</v>
      </c>
      <c r="Z16" s="43">
        <v>285334.85600000003</v>
      </c>
      <c r="AA16" s="43">
        <v>360430.625</v>
      </c>
      <c r="AB16" s="43">
        <v>7074.9279999999999</v>
      </c>
      <c r="AC16" s="43"/>
      <c r="AD16" s="43">
        <v>32729.5</v>
      </c>
      <c r="AE16" s="43">
        <v>0</v>
      </c>
      <c r="AF16" s="43">
        <v>32729.5</v>
      </c>
      <c r="AG16" s="43">
        <v>11950788.184</v>
      </c>
      <c r="AH16" s="43">
        <v>0</v>
      </c>
      <c r="AI16" s="43">
        <v>4474574.1809999999</v>
      </c>
      <c r="AJ16" s="43">
        <v>0</v>
      </c>
      <c r="AK16" s="43">
        <v>4695821.5269999998</v>
      </c>
      <c r="AL16" s="43">
        <v>1452028.03</v>
      </c>
      <c r="AM16" s="43">
        <v>3171552</v>
      </c>
      <c r="AN16" s="43">
        <v>29943.599999999999</v>
      </c>
      <c r="AO16" s="43">
        <v>57757650</v>
      </c>
      <c r="AP16" s="43">
        <v>140324.147</v>
      </c>
      <c r="AQ16" s="43">
        <v>0</v>
      </c>
      <c r="AR16" s="43">
        <v>626807.03599999996</v>
      </c>
      <c r="AS16" s="43">
        <v>4176.5</v>
      </c>
      <c r="AT16" s="43">
        <v>11440.984</v>
      </c>
      <c r="AU16" s="43">
        <v>0</v>
      </c>
      <c r="AV16" s="43">
        <v>454742.97700000001</v>
      </c>
      <c r="AW16" s="43">
        <v>556452.05700000003</v>
      </c>
      <c r="AX16" s="43"/>
      <c r="AY16" s="43"/>
      <c r="AZ16" s="43"/>
      <c r="BA16" s="43"/>
      <c r="BB16" s="43">
        <v>519600.56599999999</v>
      </c>
      <c r="BC16" s="43">
        <v>36470.866000000002</v>
      </c>
      <c r="BD16" s="43">
        <v>380.625</v>
      </c>
      <c r="BE16" s="43"/>
      <c r="BF16" s="43">
        <v>11881745.987</v>
      </c>
      <c r="BG16" s="43">
        <v>10562711.079</v>
      </c>
      <c r="BH16" s="43"/>
      <c r="BI16" s="43">
        <v>372392.00400000002</v>
      </c>
      <c r="BJ16" s="43">
        <v>33542.699999999997</v>
      </c>
      <c r="BK16" s="43">
        <v>649574.06099999999</v>
      </c>
      <c r="BL16" s="43">
        <v>263526.14299999998</v>
      </c>
      <c r="BM16" s="43">
        <v>19791441.524</v>
      </c>
      <c r="BN16" s="43">
        <v>716998.73100000003</v>
      </c>
      <c r="BO16" s="43"/>
      <c r="BP16" s="43">
        <v>96272896.378000006</v>
      </c>
    </row>
    <row r="17" spans="1:68" ht="30.65" hidden="1" customHeight="1" x14ac:dyDescent="0.35">
      <c r="A17" s="67" t="s">
        <v>134</v>
      </c>
      <c r="B17" s="8" t="s">
        <v>46</v>
      </c>
      <c r="C17" s="6" t="s">
        <v>122</v>
      </c>
      <c r="D17" s="43"/>
      <c r="E17" s="43"/>
      <c r="F17" s="43"/>
      <c r="G17" s="43"/>
      <c r="H17" s="43"/>
      <c r="I17" s="43"/>
      <c r="J17" s="43">
        <v>9627924.5480000004</v>
      </c>
      <c r="K17" s="43">
        <v>265768.02399999998</v>
      </c>
      <c r="L17" s="43">
        <v>2988656.9240000001</v>
      </c>
      <c r="M17" s="43"/>
      <c r="N17" s="43"/>
      <c r="O17" s="43">
        <v>588.70000000000005</v>
      </c>
      <c r="P17" s="43">
        <v>2758217.0449999999</v>
      </c>
      <c r="Q17" s="43">
        <v>0</v>
      </c>
      <c r="R17" s="43">
        <v>229831.179</v>
      </c>
      <c r="S17" s="43">
        <v>0</v>
      </c>
      <c r="T17" s="43">
        <v>20</v>
      </c>
      <c r="U17" s="43">
        <v>19116.064999999999</v>
      </c>
      <c r="V17" s="43">
        <v>413.048</v>
      </c>
      <c r="W17" s="43">
        <v>211317.81099999999</v>
      </c>
      <c r="X17" s="43">
        <v>0</v>
      </c>
      <c r="Y17" s="43">
        <v>0</v>
      </c>
      <c r="Z17" s="43">
        <v>31823.839</v>
      </c>
      <c r="AA17" s="43">
        <v>2767721.8020000001</v>
      </c>
      <c r="AB17" s="43">
        <v>530365.10400000005</v>
      </c>
      <c r="AC17" s="43">
        <v>2812741.9309999999</v>
      </c>
      <c r="AD17" s="43">
        <v>219451.804</v>
      </c>
      <c r="AE17" s="43">
        <v>26472.526000000002</v>
      </c>
      <c r="AF17" s="43">
        <v>192979.27799999999</v>
      </c>
      <c r="AG17" s="43">
        <v>1971774.216</v>
      </c>
      <c r="AH17" s="43">
        <v>929387.76100000006</v>
      </c>
      <c r="AI17" s="43">
        <v>26578.962</v>
      </c>
      <c r="AJ17" s="43">
        <v>174143.576</v>
      </c>
      <c r="AK17" s="43">
        <v>301604.08600000001</v>
      </c>
      <c r="AL17" s="43">
        <v>58039.701000000001</v>
      </c>
      <c r="AM17" s="43">
        <v>5000</v>
      </c>
      <c r="AN17" s="43">
        <v>450</v>
      </c>
      <c r="AO17" s="43">
        <v>53509.974000000002</v>
      </c>
      <c r="AP17" s="43">
        <v>170816.34400000001</v>
      </c>
      <c r="AQ17" s="43">
        <v>0</v>
      </c>
      <c r="AR17" s="43">
        <v>29088.376</v>
      </c>
      <c r="AS17" s="43">
        <v>17756.537</v>
      </c>
      <c r="AT17" s="43">
        <v>3354.0880000000002</v>
      </c>
      <c r="AU17" s="43">
        <v>93753.53</v>
      </c>
      <c r="AV17" s="43">
        <v>108291.281</v>
      </c>
      <c r="AW17" s="43">
        <v>754930.44799999997</v>
      </c>
      <c r="AX17" s="43">
        <v>110358.149</v>
      </c>
      <c r="AY17" s="43">
        <v>65660.909</v>
      </c>
      <c r="AZ17" s="43">
        <v>0</v>
      </c>
      <c r="BA17" s="43">
        <v>3379.5450000000001</v>
      </c>
      <c r="BB17" s="43">
        <v>482300.40700000001</v>
      </c>
      <c r="BC17" s="43">
        <v>147645.51800000001</v>
      </c>
      <c r="BD17" s="43">
        <v>70742.3</v>
      </c>
      <c r="BE17" s="43">
        <v>7644.62</v>
      </c>
      <c r="BF17" s="43">
        <v>2316964.1850000001</v>
      </c>
      <c r="BG17" s="43">
        <v>1887948.31</v>
      </c>
      <c r="BH17" s="43">
        <v>0</v>
      </c>
      <c r="BI17" s="43">
        <v>237614.87899999999</v>
      </c>
      <c r="BJ17" s="43">
        <v>0</v>
      </c>
      <c r="BK17" s="43">
        <v>158388.946</v>
      </c>
      <c r="BL17" s="43">
        <v>3301.05</v>
      </c>
      <c r="BM17" s="43">
        <v>87243.747000000003</v>
      </c>
      <c r="BN17" s="43">
        <v>1510213.3770000001</v>
      </c>
      <c r="BO17" s="43">
        <v>347501.16600000003</v>
      </c>
      <c r="BP17" s="43">
        <v>15129310.324999999</v>
      </c>
    </row>
    <row r="18" spans="1:68" ht="30.65" hidden="1" customHeight="1" x14ac:dyDescent="0.35">
      <c r="A18" s="67" t="s">
        <v>139</v>
      </c>
      <c r="B18" s="8" t="s">
        <v>19</v>
      </c>
      <c r="C18" s="6" t="s">
        <v>22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</row>
    <row r="19" spans="1:68" ht="30.65" hidden="1" customHeight="1" x14ac:dyDescent="0.35">
      <c r="A19" s="67" t="s">
        <v>155</v>
      </c>
      <c r="B19" s="8" t="s">
        <v>46</v>
      </c>
      <c r="C19" s="6" t="s">
        <v>519</v>
      </c>
      <c r="D19" s="43">
        <v>409</v>
      </c>
      <c r="E19" s="43"/>
      <c r="F19" s="43"/>
      <c r="G19" s="43">
        <v>40</v>
      </c>
      <c r="H19" s="43"/>
      <c r="I19" s="43"/>
      <c r="J19" s="43">
        <v>5039847.4639999997</v>
      </c>
      <c r="K19" s="43">
        <v>4042258.8360000001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30601.635999999999</v>
      </c>
      <c r="V19" s="43">
        <v>4727.0219999999999</v>
      </c>
      <c r="W19" s="43">
        <v>172655.71900000001</v>
      </c>
      <c r="X19" s="43">
        <v>41784.292999999998</v>
      </c>
      <c r="Y19" s="43">
        <v>51189.701000000001</v>
      </c>
      <c r="Z19" s="43">
        <v>354862.96</v>
      </c>
      <c r="AA19" s="43">
        <v>7518.6679999999997</v>
      </c>
      <c r="AB19" s="43">
        <v>364850.26500000001</v>
      </c>
      <c r="AC19" s="43">
        <v>0</v>
      </c>
      <c r="AD19" s="43">
        <v>7948566.6610000003</v>
      </c>
      <c r="AE19" s="43">
        <v>7857551.0269999998</v>
      </c>
      <c r="AF19" s="43">
        <v>91015.634000000005</v>
      </c>
      <c r="AG19" s="43">
        <v>3914866.0079999999</v>
      </c>
      <c r="AH19" s="43">
        <v>0</v>
      </c>
      <c r="AI19" s="43">
        <v>1681520.0049999999</v>
      </c>
      <c r="AJ19" s="43">
        <v>0</v>
      </c>
      <c r="AK19" s="43">
        <v>150769.73699999999</v>
      </c>
      <c r="AL19" s="43">
        <v>36169.267</v>
      </c>
      <c r="AM19" s="43">
        <v>13943.806</v>
      </c>
      <c r="AN19" s="43">
        <v>15913.75</v>
      </c>
      <c r="AO19" s="43">
        <v>116247.171</v>
      </c>
      <c r="AP19" s="43">
        <v>99811.77</v>
      </c>
      <c r="AQ19" s="43">
        <v>51620.218999999997</v>
      </c>
      <c r="AR19" s="43">
        <v>1238784.18</v>
      </c>
      <c r="AS19" s="43">
        <v>49893.404999999999</v>
      </c>
      <c r="AT19" s="43">
        <v>54410.398999999998</v>
      </c>
      <c r="AU19" s="43">
        <v>80776.073000000004</v>
      </c>
      <c r="AV19" s="43">
        <v>320772.46299999999</v>
      </c>
      <c r="AW19" s="43">
        <v>1658436.3729999999</v>
      </c>
      <c r="AX19" s="43">
        <v>1298313.007</v>
      </c>
      <c r="AY19" s="43">
        <v>289786.72700000001</v>
      </c>
      <c r="AZ19" s="43">
        <v>0</v>
      </c>
      <c r="BA19" s="43">
        <v>21406.1</v>
      </c>
      <c r="BB19" s="43">
        <v>837908.74800000002</v>
      </c>
      <c r="BC19" s="43">
        <v>9540.9650000000001</v>
      </c>
      <c r="BD19" s="43">
        <v>1.5269999999999999</v>
      </c>
      <c r="BE19" s="43">
        <v>39388.046999999999</v>
      </c>
      <c r="BF19" s="43">
        <v>2533318.4440000001</v>
      </c>
      <c r="BG19" s="43">
        <v>1699363.6329999999</v>
      </c>
      <c r="BH19" s="43">
        <v>31430.088</v>
      </c>
      <c r="BI19" s="43">
        <v>275838.07199999999</v>
      </c>
      <c r="BJ19" s="43">
        <v>0</v>
      </c>
      <c r="BK19" s="43">
        <v>226774.617</v>
      </c>
      <c r="BL19" s="43">
        <v>17067.034</v>
      </c>
      <c r="BM19" s="43">
        <v>777809.47900000005</v>
      </c>
      <c r="BN19" s="43">
        <v>658092.96100000001</v>
      </c>
      <c r="BO19" s="43">
        <v>1053245.358</v>
      </c>
      <c r="BP19" s="43">
        <v>23584212.748</v>
      </c>
    </row>
    <row r="20" spans="1:68" ht="30.65" customHeight="1" x14ac:dyDescent="0.35">
      <c r="A20" s="124" t="s">
        <v>475</v>
      </c>
      <c r="B20" s="8" t="s">
        <v>230</v>
      </c>
      <c r="C20" s="6" t="s">
        <v>320</v>
      </c>
      <c r="D20" s="43">
        <v>77</v>
      </c>
      <c r="E20" s="43"/>
      <c r="F20" s="43">
        <v>100</v>
      </c>
      <c r="G20" s="43"/>
      <c r="H20" s="43"/>
      <c r="I20" s="43"/>
      <c r="J20" s="43">
        <v>354825.462</v>
      </c>
      <c r="K20" s="43"/>
      <c r="L20" s="43">
        <v>6290.4</v>
      </c>
      <c r="M20" s="43"/>
      <c r="N20" s="43"/>
      <c r="O20" s="43"/>
      <c r="P20" s="43">
        <v>6290.4</v>
      </c>
      <c r="Q20" s="43"/>
      <c r="R20" s="43"/>
      <c r="S20" s="43"/>
      <c r="T20" s="43"/>
      <c r="U20" s="43"/>
      <c r="V20" s="43"/>
      <c r="W20" s="43">
        <v>29.5</v>
      </c>
      <c r="X20" s="43"/>
      <c r="Y20" s="43">
        <v>27.8</v>
      </c>
      <c r="Z20" s="43">
        <v>11724.8</v>
      </c>
      <c r="AA20" s="43">
        <v>336752.962</v>
      </c>
      <c r="AB20" s="43"/>
      <c r="AC20" s="43"/>
      <c r="AD20" s="43">
        <v>260631.37400000001</v>
      </c>
      <c r="AE20" s="43">
        <v>260563.87400000001</v>
      </c>
      <c r="AF20" s="43">
        <v>67.5</v>
      </c>
      <c r="AG20" s="43">
        <v>143463.06099999999</v>
      </c>
      <c r="AH20" s="43"/>
      <c r="AI20" s="43">
        <v>20365.598000000002</v>
      </c>
      <c r="AJ20" s="43"/>
      <c r="AK20" s="43"/>
      <c r="AL20" s="43">
        <v>72.006</v>
      </c>
      <c r="AM20" s="43"/>
      <c r="AN20" s="43"/>
      <c r="AO20" s="43"/>
      <c r="AP20" s="43">
        <v>78</v>
      </c>
      <c r="AQ20" s="43">
        <v>890.81899999999996</v>
      </c>
      <c r="AR20" s="43"/>
      <c r="AS20" s="43">
        <v>78020.77</v>
      </c>
      <c r="AT20" s="43"/>
      <c r="AU20" s="43"/>
      <c r="AV20" s="43">
        <v>44035.868000000002</v>
      </c>
      <c r="AW20" s="43">
        <v>223219.837</v>
      </c>
      <c r="AX20" s="43">
        <v>496.27699999999999</v>
      </c>
      <c r="AY20" s="43">
        <v>603.9</v>
      </c>
      <c r="AZ20" s="43"/>
      <c r="BA20" s="43"/>
      <c r="BB20" s="43">
        <v>120380.72</v>
      </c>
      <c r="BC20" s="43">
        <v>1.4</v>
      </c>
      <c r="BD20" s="43">
        <v>101132.74</v>
      </c>
      <c r="BE20" s="43">
        <v>604.79999999999995</v>
      </c>
      <c r="BF20" s="43">
        <v>19532.079000000002</v>
      </c>
      <c r="BG20" s="43">
        <v>15286.451999999999</v>
      </c>
      <c r="BH20" s="43">
        <v>510</v>
      </c>
      <c r="BI20" s="43">
        <v>936</v>
      </c>
      <c r="BJ20" s="43"/>
      <c r="BK20" s="43">
        <v>1223.08</v>
      </c>
      <c r="BL20" s="43">
        <v>1576.547</v>
      </c>
      <c r="BM20" s="43">
        <v>2.198</v>
      </c>
      <c r="BN20" s="43">
        <v>16936.741000000002</v>
      </c>
      <c r="BO20" s="43">
        <v>4424.45</v>
      </c>
      <c r="BP20" s="47">
        <v>1023035.202</v>
      </c>
    </row>
    <row r="21" spans="1:68" ht="30.65" customHeight="1" x14ac:dyDescent="0.35">
      <c r="A21" s="124" t="s">
        <v>159</v>
      </c>
      <c r="B21" s="8" t="s">
        <v>46</v>
      </c>
      <c r="C21" s="6" t="s">
        <v>49</v>
      </c>
      <c r="D21" s="43">
        <v>71</v>
      </c>
      <c r="E21" s="43">
        <v>1301939.9709999999</v>
      </c>
      <c r="F21" s="43">
        <v>84.5</v>
      </c>
      <c r="G21" s="43">
        <v>5</v>
      </c>
      <c r="H21" s="43">
        <v>239315.22200000001</v>
      </c>
      <c r="I21" s="43">
        <v>15.5</v>
      </c>
      <c r="J21" s="43">
        <v>579471.11899999995</v>
      </c>
      <c r="K21" s="43">
        <v>96070.013999999996</v>
      </c>
      <c r="L21" s="43">
        <v>345355.92800000001</v>
      </c>
      <c r="M21" s="43"/>
      <c r="N21" s="43">
        <v>4439.8720000000003</v>
      </c>
      <c r="O21" s="43"/>
      <c r="P21" s="43">
        <v>2258</v>
      </c>
      <c r="Q21" s="43"/>
      <c r="R21" s="43"/>
      <c r="S21" s="43"/>
      <c r="T21" s="43"/>
      <c r="U21" s="43">
        <v>3445.616</v>
      </c>
      <c r="V21" s="43">
        <v>1168.258</v>
      </c>
      <c r="W21" s="43">
        <v>116606.43700000001</v>
      </c>
      <c r="X21" s="43"/>
      <c r="Y21" s="43"/>
      <c r="Z21" s="43"/>
      <c r="AA21" s="43">
        <v>4884.7759999999998</v>
      </c>
      <c r="AB21" s="43">
        <v>5242.2179999999998</v>
      </c>
      <c r="AC21" s="43"/>
      <c r="AD21" s="43">
        <v>17360.542000000001</v>
      </c>
      <c r="AE21" s="43"/>
      <c r="AF21" s="43"/>
      <c r="AG21" s="43">
        <v>633718.40500000003</v>
      </c>
      <c r="AH21" s="43"/>
      <c r="AI21" s="43"/>
      <c r="AJ21" s="43"/>
      <c r="AK21" s="43">
        <v>560965.03700000001</v>
      </c>
      <c r="AL21" s="43">
        <v>851.02599999999995</v>
      </c>
      <c r="AM21" s="43"/>
      <c r="AN21" s="43"/>
      <c r="AO21" s="43">
        <v>674.7</v>
      </c>
      <c r="AP21" s="43">
        <v>10567.004999999999</v>
      </c>
      <c r="AQ21" s="43"/>
      <c r="AR21" s="43">
        <v>5786.2380000000003</v>
      </c>
      <c r="AS21" s="43"/>
      <c r="AT21" s="43"/>
      <c r="AU21" s="43">
        <v>54874.398999999998</v>
      </c>
      <c r="AV21" s="43"/>
      <c r="AW21" s="43">
        <v>66542.614000000001</v>
      </c>
      <c r="AX21" s="43">
        <v>8119.17</v>
      </c>
      <c r="AY21" s="43">
        <v>7756.259</v>
      </c>
      <c r="AZ21" s="43"/>
      <c r="BA21" s="43"/>
      <c r="BB21" s="43">
        <v>50177.81</v>
      </c>
      <c r="BC21" s="43">
        <v>442.375</v>
      </c>
      <c r="BD21" s="43"/>
      <c r="BE21" s="43">
        <v>47</v>
      </c>
      <c r="BF21" s="43">
        <v>406327.73599999998</v>
      </c>
      <c r="BG21" s="43">
        <v>295060.967</v>
      </c>
      <c r="BH21" s="43"/>
      <c r="BI21" s="43">
        <v>26487.952000000001</v>
      </c>
      <c r="BJ21" s="43">
        <v>44804.932000000001</v>
      </c>
      <c r="BK21" s="43">
        <v>29467.266</v>
      </c>
      <c r="BL21" s="43">
        <v>10000</v>
      </c>
      <c r="BM21" s="43">
        <v>29.919</v>
      </c>
      <c r="BN21" s="43">
        <v>476.7</v>
      </c>
      <c r="BO21" s="43"/>
      <c r="BP21" s="43">
        <v>1703927.0349999999</v>
      </c>
    </row>
    <row r="22" spans="1:68" ht="30.65" customHeight="1" x14ac:dyDescent="0.35">
      <c r="A22" s="124" t="s">
        <v>163</v>
      </c>
      <c r="B22" s="8" t="s">
        <v>19</v>
      </c>
      <c r="C22" s="6" t="s">
        <v>21</v>
      </c>
      <c r="D22" s="43">
        <v>8</v>
      </c>
      <c r="E22" s="43">
        <v>572510</v>
      </c>
      <c r="F22" s="43"/>
      <c r="G22" s="43">
        <v>100</v>
      </c>
      <c r="H22" s="43"/>
      <c r="I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>
        <v>65</v>
      </c>
      <c r="V22" s="43">
        <v>196</v>
      </c>
      <c r="W22" s="43">
        <v>2750</v>
      </c>
      <c r="X22" s="43"/>
      <c r="Y22" s="43">
        <v>98</v>
      </c>
      <c r="Z22" s="43"/>
      <c r="AA22" s="43">
        <v>28643</v>
      </c>
      <c r="AB22" s="43"/>
      <c r="AC22" s="43"/>
      <c r="AD22" s="43"/>
      <c r="AE22" s="43"/>
      <c r="AF22" s="43">
        <v>230.4</v>
      </c>
      <c r="AG22" s="43"/>
      <c r="AH22" s="43"/>
      <c r="AI22" s="43">
        <v>4650</v>
      </c>
      <c r="AJ22" s="43"/>
      <c r="AK22" s="43">
        <v>11853.1</v>
      </c>
      <c r="AL22" s="43"/>
      <c r="AM22" s="43"/>
      <c r="AN22" s="43"/>
      <c r="AO22" s="43">
        <v>385</v>
      </c>
      <c r="AP22" s="43">
        <v>285.10000000000002</v>
      </c>
      <c r="AQ22" s="43"/>
      <c r="AR22" s="43"/>
      <c r="AS22" s="43"/>
      <c r="AT22" s="43"/>
      <c r="AU22" s="43"/>
      <c r="AV22" s="43">
        <v>2541</v>
      </c>
      <c r="AW22" s="43"/>
      <c r="AX22" s="43">
        <v>15874</v>
      </c>
      <c r="AY22" s="43"/>
      <c r="AZ22" s="43"/>
      <c r="BA22" s="43"/>
      <c r="BB22" s="43"/>
      <c r="BC22" s="43"/>
      <c r="BD22" s="43"/>
      <c r="BE22" s="43"/>
      <c r="BF22" s="43"/>
      <c r="BG22" s="43">
        <v>54735</v>
      </c>
      <c r="BH22" s="43"/>
      <c r="BI22" s="43">
        <v>1996.8</v>
      </c>
      <c r="BJ22" s="43"/>
      <c r="BK22" s="43">
        <v>1985</v>
      </c>
      <c r="BL22" s="43">
        <v>812</v>
      </c>
      <c r="BM22" s="43">
        <v>1653</v>
      </c>
      <c r="BN22" s="43">
        <v>509</v>
      </c>
      <c r="BO22" s="43"/>
      <c r="BP22" s="43">
        <v>131035</v>
      </c>
    </row>
    <row r="23" spans="1:68" ht="30.65" hidden="1" customHeight="1" x14ac:dyDescent="0.35">
      <c r="A23" s="67" t="s">
        <v>165</v>
      </c>
      <c r="B23" s="8" t="s">
        <v>19</v>
      </c>
      <c r="C23" s="6" t="s">
        <v>38</v>
      </c>
      <c r="D23" s="43"/>
      <c r="E23" s="43"/>
      <c r="F23" s="43"/>
      <c r="G23" s="43"/>
      <c r="H23" s="43"/>
      <c r="I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</row>
    <row r="24" spans="1:68" ht="30.65" customHeight="1" x14ac:dyDescent="0.35">
      <c r="A24" s="124" t="s">
        <v>168</v>
      </c>
      <c r="B24" s="8" t="s">
        <v>109</v>
      </c>
      <c r="C24" s="6" t="s">
        <v>171</v>
      </c>
      <c r="D24" s="43"/>
      <c r="E24" s="43"/>
      <c r="F24" s="43"/>
      <c r="G24" s="43"/>
      <c r="H24" s="43"/>
      <c r="I24" s="43"/>
      <c r="J24" s="43"/>
      <c r="K24" s="43">
        <v>7715950.2230000002</v>
      </c>
      <c r="L24" s="43"/>
      <c r="M24" s="43">
        <v>21016.435000000001</v>
      </c>
      <c r="N24" s="43"/>
      <c r="O24" s="43">
        <v>3298.1260000000002</v>
      </c>
      <c r="P24" s="43">
        <v>11131068.846000001</v>
      </c>
      <c r="Q24" s="43">
        <v>6194454.0710000005</v>
      </c>
      <c r="R24" s="43">
        <v>728743.49800000002</v>
      </c>
      <c r="S24" s="43"/>
      <c r="T24" s="43"/>
      <c r="U24" s="43">
        <v>53717.631999999998</v>
      </c>
      <c r="V24" s="43">
        <v>198876.99100000001</v>
      </c>
      <c r="W24" s="43">
        <v>139423.30100000001</v>
      </c>
      <c r="X24" s="43"/>
      <c r="Y24" s="43">
        <v>1731.645</v>
      </c>
      <c r="Z24" s="43">
        <v>2340046.017</v>
      </c>
      <c r="AA24" s="43">
        <v>4521662.8509999998</v>
      </c>
      <c r="AB24" s="43"/>
      <c r="AC24" s="43">
        <v>506239.516</v>
      </c>
      <c r="AD24" s="43"/>
      <c r="AE24" s="43">
        <v>3052903.7859999998</v>
      </c>
      <c r="AF24" s="43">
        <v>948814.78200000001</v>
      </c>
      <c r="AG24" s="43"/>
      <c r="AH24" s="43">
        <v>1084942.923</v>
      </c>
      <c r="AI24" s="43">
        <v>5939289.4050000003</v>
      </c>
      <c r="AJ24" s="43"/>
      <c r="AK24" s="43">
        <v>187418.15400000001</v>
      </c>
      <c r="AL24" s="43">
        <v>2816015.0649999999</v>
      </c>
      <c r="AM24" s="43">
        <v>156</v>
      </c>
      <c r="AN24" s="43">
        <v>59455.156999999999</v>
      </c>
      <c r="AO24" s="43">
        <v>674667.05500000005</v>
      </c>
      <c r="AP24" s="43">
        <v>165894.451</v>
      </c>
      <c r="AQ24" s="43"/>
      <c r="AR24" s="43">
        <v>11400914.528000001</v>
      </c>
      <c r="AS24" s="43">
        <v>177974.37400000001</v>
      </c>
      <c r="AT24" s="43">
        <v>1194836.196</v>
      </c>
      <c r="AU24" s="43">
        <v>2487078.6869999999</v>
      </c>
      <c r="AV24" s="43">
        <v>687722.86600000004</v>
      </c>
      <c r="AW24" s="43"/>
      <c r="AX24" s="43">
        <v>128429.65</v>
      </c>
      <c r="AY24" s="43"/>
      <c r="AZ24" s="43"/>
      <c r="BA24" s="43"/>
      <c r="BB24" s="43">
        <v>12588019.721000001</v>
      </c>
      <c r="BC24" s="43"/>
      <c r="BD24" s="43">
        <v>63894.232000000004</v>
      </c>
      <c r="BE24" s="43"/>
      <c r="BF24" s="43"/>
      <c r="BG24" s="43">
        <v>13919875.885</v>
      </c>
      <c r="BH24" s="43">
        <v>9458302.8969999999</v>
      </c>
      <c r="BI24" s="43">
        <v>6801.0079999999998</v>
      </c>
      <c r="BJ24" s="43">
        <v>1234376.5630000001</v>
      </c>
      <c r="BK24" s="43">
        <v>614450.36600000004</v>
      </c>
      <c r="BL24" s="43">
        <v>1234237.5379999999</v>
      </c>
      <c r="BM24" s="43">
        <v>11968609.049000001</v>
      </c>
      <c r="BN24" s="43">
        <v>3930887.2570000002</v>
      </c>
      <c r="BO24" s="43">
        <v>10609795.322000001</v>
      </c>
      <c r="BP24" s="43">
        <v>129212082.07099999</v>
      </c>
    </row>
    <row r="25" spans="1:68" ht="30.65" hidden="1" customHeight="1" x14ac:dyDescent="0.35">
      <c r="A25" s="116" t="s">
        <v>476</v>
      </c>
      <c r="B25" s="8" t="s">
        <v>230</v>
      </c>
      <c r="C25" s="6" t="s">
        <v>232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/>
      <c r="K25" s="43">
        <v>53995.925999999999</v>
      </c>
      <c r="L25" s="43"/>
      <c r="M25" s="43"/>
      <c r="N25" s="43"/>
      <c r="O25" s="43"/>
      <c r="P25" s="43"/>
      <c r="Q25" s="43">
        <v>142207.878</v>
      </c>
      <c r="R25" s="43"/>
      <c r="S25" s="43"/>
      <c r="T25" s="43"/>
      <c r="U25" s="43"/>
      <c r="V25" s="43">
        <v>92.977999999999994</v>
      </c>
      <c r="W25" s="43">
        <v>5290.3289999999997</v>
      </c>
      <c r="X25" s="43"/>
      <c r="Y25" s="43">
        <v>1699.7049999999999</v>
      </c>
      <c r="Z25" s="43"/>
      <c r="AA25" s="43">
        <v>91536.660999999993</v>
      </c>
      <c r="AB25" s="43">
        <v>206083.36600000001</v>
      </c>
      <c r="AC25" s="43"/>
      <c r="AD25" s="43"/>
      <c r="AE25" s="43">
        <v>7355.37</v>
      </c>
      <c r="AF25" s="43">
        <v>13863.028</v>
      </c>
      <c r="AG25" s="43"/>
      <c r="AH25" s="43"/>
      <c r="AI25" s="43">
        <v>144721.63099999999</v>
      </c>
      <c r="AJ25" s="43"/>
      <c r="AK25" s="43">
        <v>1724.37</v>
      </c>
      <c r="AL25" s="43"/>
      <c r="AM25" s="43"/>
      <c r="AN25" s="43">
        <v>5482.22</v>
      </c>
      <c r="AO25" s="43">
        <v>706.77</v>
      </c>
      <c r="AP25" s="43">
        <v>601.33100000000002</v>
      </c>
      <c r="AQ25" s="43">
        <v>44599.038999999997</v>
      </c>
      <c r="AR25" s="43">
        <v>49501.769</v>
      </c>
      <c r="AS25" s="43"/>
      <c r="AT25" s="43"/>
      <c r="AU25" s="43"/>
      <c r="AV25" s="43">
        <v>8253.7999999999993</v>
      </c>
      <c r="AW25" s="43"/>
      <c r="AX25" s="43">
        <v>11048.684999999999</v>
      </c>
      <c r="AY25" s="43"/>
      <c r="AZ25" s="43"/>
      <c r="BA25" s="43">
        <v>10702.86</v>
      </c>
      <c r="BB25" s="43"/>
      <c r="BC25" s="43">
        <v>119.5</v>
      </c>
      <c r="BD25" s="43">
        <v>10097</v>
      </c>
      <c r="BE25" s="43"/>
      <c r="BF25" s="43"/>
      <c r="BG25" s="43">
        <v>83993.269</v>
      </c>
      <c r="BH25" s="43">
        <v>252185.52499999999</v>
      </c>
      <c r="BI25" s="43"/>
      <c r="BJ25" s="43">
        <v>20560</v>
      </c>
      <c r="BK25" s="43">
        <v>3609.752</v>
      </c>
      <c r="BL25" s="43">
        <v>4470.9970000000003</v>
      </c>
      <c r="BM25" s="43"/>
      <c r="BN25" s="43">
        <v>191191.43700000001</v>
      </c>
      <c r="BO25" s="43">
        <v>0</v>
      </c>
      <c r="BP25" s="43">
        <v>1115745.997</v>
      </c>
    </row>
    <row r="26" spans="1:68" ht="30.65" customHeight="1" x14ac:dyDescent="0.35">
      <c r="A26" s="124" t="s">
        <v>178</v>
      </c>
      <c r="B26" s="8" t="s">
        <v>19</v>
      </c>
      <c r="C26" s="6" t="s">
        <v>38</v>
      </c>
      <c r="D26" s="43"/>
      <c r="E26" s="43"/>
      <c r="F26" s="43"/>
      <c r="G26" s="43"/>
      <c r="H26" s="43"/>
      <c r="I26" s="43"/>
      <c r="J26" s="43">
        <v>16612.8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>
        <v>18578.009999999998</v>
      </c>
      <c r="AE26" s="43"/>
      <c r="AF26" s="43"/>
      <c r="AG26" s="43">
        <v>57583.262000000002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>
        <v>62375</v>
      </c>
      <c r="AV26" s="43"/>
      <c r="AW26" s="43">
        <v>4433.25</v>
      </c>
      <c r="AX26" s="43"/>
      <c r="AY26" s="43"/>
      <c r="AZ26" s="43"/>
      <c r="BA26" s="43"/>
      <c r="BB26" s="43"/>
      <c r="BC26" s="43"/>
      <c r="BD26" s="43"/>
      <c r="BE26" s="43"/>
      <c r="BF26" s="43">
        <v>95670</v>
      </c>
      <c r="BG26" s="43"/>
      <c r="BH26" s="43"/>
      <c r="BI26" s="43"/>
      <c r="BJ26" s="43"/>
      <c r="BK26" s="43"/>
      <c r="BL26" s="43"/>
      <c r="BM26" s="43"/>
      <c r="BN26" s="43"/>
      <c r="BO26" s="43"/>
      <c r="BP26" s="43">
        <v>255249.32199999999</v>
      </c>
    </row>
    <row r="27" spans="1:68" ht="30.65" customHeight="1" x14ac:dyDescent="0.35">
      <c r="A27" s="124" t="s">
        <v>179</v>
      </c>
      <c r="B27" s="8" t="s">
        <v>109</v>
      </c>
      <c r="C27" s="6" t="s">
        <v>38</v>
      </c>
      <c r="D27" s="43">
        <v>775</v>
      </c>
      <c r="E27" s="43"/>
      <c r="F27" s="43">
        <v>63</v>
      </c>
      <c r="G27" s="43">
        <v>460</v>
      </c>
      <c r="H27" s="43"/>
      <c r="I27" s="43">
        <v>37</v>
      </c>
      <c r="J27" s="43">
        <v>128250738.413</v>
      </c>
      <c r="K27" s="43">
        <v>56490480.788999997</v>
      </c>
      <c r="L27" s="43">
        <v>56164560.678000003</v>
      </c>
      <c r="M27" s="43">
        <v>0</v>
      </c>
      <c r="N27" s="43">
        <v>0</v>
      </c>
      <c r="O27" s="43">
        <v>0</v>
      </c>
      <c r="P27" s="43">
        <v>14683851.332</v>
      </c>
      <c r="Q27" s="43">
        <v>0</v>
      </c>
      <c r="R27" s="43">
        <v>0</v>
      </c>
      <c r="S27" s="43">
        <v>7911937120</v>
      </c>
      <c r="T27" s="43">
        <v>33568772.226000004</v>
      </c>
      <c r="U27" s="43">
        <v>0</v>
      </c>
      <c r="V27" s="43">
        <v>666930.91799999995</v>
      </c>
      <c r="W27" s="43">
        <v>5858124.3640000001</v>
      </c>
      <c r="X27" s="43">
        <v>1662.47</v>
      </c>
      <c r="Y27" s="43">
        <v>114006.213</v>
      </c>
      <c r="Z27" s="43">
        <v>0</v>
      </c>
      <c r="AA27" s="43">
        <v>8954972981</v>
      </c>
      <c r="AB27" s="43">
        <v>0</v>
      </c>
      <c r="AC27" s="43">
        <v>0</v>
      </c>
      <c r="AD27" s="43">
        <v>36183643.296999998</v>
      </c>
      <c r="AE27" s="43">
        <v>34538943.651000001</v>
      </c>
      <c r="AF27" s="43">
        <v>1644699.6459999999</v>
      </c>
      <c r="AG27" s="43">
        <v>31387167.034000002</v>
      </c>
      <c r="AH27" s="43">
        <v>0</v>
      </c>
      <c r="AI27" s="43">
        <v>5644620.7199999997</v>
      </c>
      <c r="AJ27" s="43">
        <v>0</v>
      </c>
      <c r="AK27" s="43">
        <v>14671772.139</v>
      </c>
      <c r="AL27" s="43">
        <v>2900221.3679999998</v>
      </c>
      <c r="AM27" s="43">
        <v>0</v>
      </c>
      <c r="AN27" s="43">
        <v>18273.580000000002</v>
      </c>
      <c r="AO27" s="43">
        <v>361702.72399999999</v>
      </c>
      <c r="AP27" s="43">
        <v>327280.49400000001</v>
      </c>
      <c r="AQ27" s="43">
        <v>0</v>
      </c>
      <c r="AR27" s="43">
        <v>5643073.5070000002</v>
      </c>
      <c r="AS27" s="43">
        <v>10469.530000000001</v>
      </c>
      <c r="AT27" s="43">
        <v>0</v>
      </c>
      <c r="AU27" s="43">
        <v>233157.68599999999</v>
      </c>
      <c r="AV27" s="43">
        <v>1576595.2860000001</v>
      </c>
      <c r="AW27" s="43">
        <v>2305.3000000000002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2186.3000000000002</v>
      </c>
      <c r="BD27" s="43">
        <v>119</v>
      </c>
      <c r="BE27" s="43">
        <v>0</v>
      </c>
      <c r="BF27" s="43">
        <v>27300703.013</v>
      </c>
      <c r="BG27" s="43">
        <v>16796967.102000002</v>
      </c>
      <c r="BH27" s="43">
        <v>2928348.6549999998</v>
      </c>
      <c r="BI27" s="43">
        <v>3624475.9789999998</v>
      </c>
      <c r="BJ27" s="43">
        <v>0</v>
      </c>
      <c r="BK27" s="43">
        <v>1241290.4650000001</v>
      </c>
      <c r="BL27" s="43">
        <v>2709621.8119999999</v>
      </c>
      <c r="BM27" s="43">
        <v>343288.97499999998</v>
      </c>
      <c r="BN27" s="43">
        <v>25339955.697000001</v>
      </c>
      <c r="BO27" s="43">
        <v>0</v>
      </c>
      <c r="BP27" s="43">
        <v>248807801.729</v>
      </c>
    </row>
    <row r="28" spans="1:68" ht="30.65" hidden="1" customHeight="1" x14ac:dyDescent="0.35">
      <c r="A28" s="116" t="s">
        <v>187</v>
      </c>
      <c r="B28" s="8" t="s">
        <v>46</v>
      </c>
      <c r="C28" s="6" t="s">
        <v>122</v>
      </c>
      <c r="D28" s="43">
        <v>419</v>
      </c>
      <c r="E28" s="43">
        <v>590534.06200000003</v>
      </c>
      <c r="F28" s="43"/>
      <c r="G28" s="43"/>
      <c r="H28" s="43"/>
      <c r="I28" s="43"/>
      <c r="J28" s="43">
        <v>407638.24900000001</v>
      </c>
      <c r="K28" s="43">
        <v>2898.31</v>
      </c>
      <c r="L28" s="43">
        <v>132833.45300000001</v>
      </c>
      <c r="M28" s="43"/>
      <c r="N28" s="43">
        <v>250.95</v>
      </c>
      <c r="O28" s="43"/>
      <c r="P28" s="43">
        <v>127777.219</v>
      </c>
      <c r="Q28" s="43"/>
      <c r="R28" s="43">
        <v>4803.7839999999997</v>
      </c>
      <c r="S28" s="43">
        <v>1.5</v>
      </c>
      <c r="T28" s="43"/>
      <c r="U28" s="43">
        <v>845.98199999999997</v>
      </c>
      <c r="V28" s="43">
        <v>117.45</v>
      </c>
      <c r="W28" s="43">
        <v>449.75</v>
      </c>
      <c r="X28" s="43"/>
      <c r="Y28" s="43">
        <v>170.2</v>
      </c>
      <c r="Z28" s="43">
        <v>19757.343000000001</v>
      </c>
      <c r="AA28" s="43">
        <v>50327.506999999998</v>
      </c>
      <c r="AB28" s="43">
        <v>48166.175999999999</v>
      </c>
      <c r="AC28" s="43">
        <v>19238.625</v>
      </c>
      <c r="AD28" s="43">
        <v>6279.3</v>
      </c>
      <c r="AE28" s="43">
        <v>1857.6</v>
      </c>
      <c r="AF28" s="43">
        <v>4421.7</v>
      </c>
      <c r="AG28" s="43">
        <v>31996.839</v>
      </c>
      <c r="AH28" s="43"/>
      <c r="AI28" s="43">
        <v>19288.05</v>
      </c>
      <c r="AJ28" s="43"/>
      <c r="AK28" s="43"/>
      <c r="AL28" s="43">
        <v>93.358999999999995</v>
      </c>
      <c r="AM28" s="43"/>
      <c r="AN28" s="43"/>
      <c r="AO28" s="43">
        <v>883.16399999999999</v>
      </c>
      <c r="AP28" s="43"/>
      <c r="AQ28" s="43">
        <v>1808.2660000000001</v>
      </c>
      <c r="AR28" s="43">
        <v>9488</v>
      </c>
      <c r="AS28" s="43"/>
      <c r="AT28" s="43"/>
      <c r="AU28" s="43"/>
      <c r="AV28" s="43">
        <v>436</v>
      </c>
      <c r="AW28" s="43">
        <v>86851.38</v>
      </c>
      <c r="AX28" s="43">
        <v>399808.86</v>
      </c>
      <c r="AY28" s="43">
        <v>19357.056</v>
      </c>
      <c r="AZ28" s="43"/>
      <c r="BA28" s="43">
        <v>317</v>
      </c>
      <c r="BB28" s="43">
        <v>27102.92</v>
      </c>
      <c r="BC28" s="43">
        <v>2500</v>
      </c>
      <c r="BD28" s="43">
        <v>4207</v>
      </c>
      <c r="BE28" s="43"/>
      <c r="BF28" s="43">
        <v>177342.897</v>
      </c>
      <c r="BG28" s="43">
        <v>156938.96799999999</v>
      </c>
      <c r="BH28" s="43"/>
      <c r="BI28" s="43"/>
      <c r="BJ28" s="43">
        <v>1017.3630000000001</v>
      </c>
      <c r="BK28" s="43">
        <v>17276.216</v>
      </c>
      <c r="BL28" s="43">
        <v>2110.35</v>
      </c>
      <c r="BM28" s="43">
        <v>27.15</v>
      </c>
      <c r="BN28" s="43">
        <v>13231.7</v>
      </c>
      <c r="BO28" s="43"/>
      <c r="BP28" s="43">
        <v>590534.06200000003</v>
      </c>
    </row>
    <row r="29" spans="1:68" ht="30.65" hidden="1" customHeight="1" x14ac:dyDescent="0.35">
      <c r="A29" s="116" t="s">
        <v>190</v>
      </c>
      <c r="B29" s="8" t="s">
        <v>26</v>
      </c>
      <c r="C29" s="6" t="s">
        <v>22</v>
      </c>
      <c r="D29" s="43">
        <v>52</v>
      </c>
      <c r="E29" s="43">
        <v>1100394.067</v>
      </c>
      <c r="F29" s="43"/>
      <c r="G29" s="43">
        <v>1</v>
      </c>
      <c r="H29" s="43">
        <v>4815</v>
      </c>
      <c r="I29" s="43"/>
      <c r="J29" s="43">
        <v>185281.39799999999</v>
      </c>
      <c r="K29" s="43"/>
      <c r="L29" s="43">
        <v>83509.631999999998</v>
      </c>
      <c r="M29" s="43"/>
      <c r="N29" s="43"/>
      <c r="O29" s="43"/>
      <c r="P29" s="43">
        <v>83509.631999999998</v>
      </c>
      <c r="Q29" s="43"/>
      <c r="R29" s="43"/>
      <c r="S29" s="43"/>
      <c r="T29" s="43"/>
      <c r="U29" s="43">
        <v>2875</v>
      </c>
      <c r="V29" s="43"/>
      <c r="W29" s="43">
        <v>575.1</v>
      </c>
      <c r="X29" s="43"/>
      <c r="Y29" s="43">
        <v>13432.4</v>
      </c>
      <c r="Z29" s="43">
        <v>34786.428999999996</v>
      </c>
      <c r="AA29" s="43">
        <v>11670.656999999999</v>
      </c>
      <c r="AB29" s="43">
        <v>33428.18</v>
      </c>
      <c r="AC29" s="43">
        <v>50040</v>
      </c>
      <c r="AD29" s="43">
        <v>9908.4390000000003</v>
      </c>
      <c r="AE29" s="43"/>
      <c r="AF29" s="43">
        <v>9908.4390000000003</v>
      </c>
      <c r="AG29" s="43">
        <v>905204.23</v>
      </c>
      <c r="AH29" s="43"/>
      <c r="AI29" s="43">
        <v>33882.387999999999</v>
      </c>
      <c r="AJ29" s="43"/>
      <c r="AK29" s="43">
        <v>96159.305999999997</v>
      </c>
      <c r="AL29" s="43">
        <v>1343.9839999999999</v>
      </c>
      <c r="AM29" s="43"/>
      <c r="AN29" s="43"/>
      <c r="AO29" s="43">
        <v>1335.1</v>
      </c>
      <c r="AP29" s="43">
        <v>5163.7979999999998</v>
      </c>
      <c r="AQ29" s="43">
        <v>1716</v>
      </c>
      <c r="AR29" s="43">
        <v>251802.277</v>
      </c>
      <c r="AS29" s="43"/>
      <c r="AT29" s="43">
        <v>1680.145</v>
      </c>
      <c r="AU29" s="43">
        <v>154189.304</v>
      </c>
      <c r="AV29" s="43">
        <v>358231.92800000001</v>
      </c>
      <c r="AW29" s="43">
        <v>455259.71500000003</v>
      </c>
      <c r="AX29" s="43">
        <v>208438.84899999999</v>
      </c>
      <c r="AY29" s="43">
        <v>107019.75</v>
      </c>
      <c r="AZ29" s="43"/>
      <c r="BA29" s="43"/>
      <c r="BB29" s="43"/>
      <c r="BC29" s="43"/>
      <c r="BD29" s="43">
        <v>139801.11600000001</v>
      </c>
      <c r="BE29" s="43"/>
      <c r="BF29" s="43">
        <v>1035872.632</v>
      </c>
      <c r="BG29" s="43">
        <v>760658.38399999996</v>
      </c>
      <c r="BH29" s="43"/>
      <c r="BI29" s="43"/>
      <c r="BJ29" s="43">
        <v>82686.722999999998</v>
      </c>
      <c r="BK29" s="43">
        <v>70723.45</v>
      </c>
      <c r="BL29" s="43">
        <v>121804.075</v>
      </c>
      <c r="BM29" s="43"/>
      <c r="BN29" s="43">
        <v>8000</v>
      </c>
      <c r="BO29" s="43"/>
      <c r="BP29" s="43">
        <v>2599526.4139999999</v>
      </c>
    </row>
    <row r="30" spans="1:68" ht="30.65" hidden="1" customHeight="1" x14ac:dyDescent="0.35">
      <c r="A30" s="67" t="s">
        <v>196</v>
      </c>
      <c r="B30" s="8" t="s">
        <v>19</v>
      </c>
      <c r="C30" s="6" t="s">
        <v>21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3367236</v>
      </c>
      <c r="K30" s="43">
        <v>0</v>
      </c>
      <c r="L30" s="43">
        <v>0</v>
      </c>
      <c r="M30" s="43">
        <v>0</v>
      </c>
      <c r="N30" s="43">
        <v>0</v>
      </c>
      <c r="O30" s="43">
        <v>24265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30104</v>
      </c>
      <c r="Z30" s="43">
        <v>0</v>
      </c>
      <c r="AA30" s="43">
        <v>60524</v>
      </c>
      <c r="AB30" s="43">
        <v>48517</v>
      </c>
      <c r="AC30" s="43">
        <v>3203826</v>
      </c>
      <c r="AD30" s="43">
        <v>8292</v>
      </c>
      <c r="AE30" s="43">
        <v>0</v>
      </c>
      <c r="AF30" s="43">
        <v>8292</v>
      </c>
      <c r="AG30" s="43">
        <v>558311</v>
      </c>
      <c r="AH30" s="43">
        <v>0</v>
      </c>
      <c r="AI30" s="43">
        <v>0</v>
      </c>
      <c r="AJ30" s="43">
        <v>0</v>
      </c>
      <c r="AK30" s="43">
        <v>0</v>
      </c>
      <c r="AL30" s="43">
        <v>5632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225678</v>
      </c>
      <c r="AS30" s="43">
        <v>1834</v>
      </c>
      <c r="AT30" s="43">
        <v>0</v>
      </c>
      <c r="AU30" s="43">
        <v>93658</v>
      </c>
      <c r="AV30" s="43">
        <v>231509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3933839</v>
      </c>
    </row>
    <row r="31" spans="1:68" ht="30.65" hidden="1" customHeight="1" x14ac:dyDescent="0.35">
      <c r="A31" s="116" t="s">
        <v>202</v>
      </c>
      <c r="B31" s="8" t="s">
        <v>109</v>
      </c>
      <c r="C31" s="6" t="s">
        <v>204</v>
      </c>
      <c r="D31" s="43"/>
      <c r="E31" s="43"/>
      <c r="F31" s="43"/>
      <c r="G31" s="43"/>
      <c r="H31" s="43"/>
      <c r="I31" s="43"/>
      <c r="J31" s="43">
        <v>114216</v>
      </c>
      <c r="K31" s="43">
        <v>48118</v>
      </c>
      <c r="L31" s="43">
        <v>40440</v>
      </c>
      <c r="M31" s="43"/>
      <c r="N31" s="43"/>
      <c r="O31" s="43"/>
      <c r="P31" s="43">
        <v>32636</v>
      </c>
      <c r="Q31" s="43">
        <v>2264</v>
      </c>
      <c r="R31" s="43">
        <v>5540</v>
      </c>
      <c r="S31" s="43"/>
      <c r="T31" s="43"/>
      <c r="U31" s="43">
        <v>1413</v>
      </c>
      <c r="V31" s="43">
        <v>297</v>
      </c>
      <c r="W31" s="43">
        <v>16570</v>
      </c>
      <c r="X31" s="43"/>
      <c r="Y31" s="43"/>
      <c r="Z31" s="43"/>
      <c r="AA31" s="43"/>
      <c r="AB31" s="43"/>
      <c r="AC31" s="43">
        <v>7378</v>
      </c>
      <c r="AD31" s="43">
        <v>1488</v>
      </c>
      <c r="AE31" s="43"/>
      <c r="AF31" s="43"/>
      <c r="AG31" s="43">
        <v>106673</v>
      </c>
      <c r="AH31" s="43"/>
      <c r="AI31" s="43"/>
      <c r="AJ31" s="43"/>
      <c r="AK31" s="43">
        <v>26076</v>
      </c>
      <c r="AL31" s="43">
        <v>2818</v>
      </c>
      <c r="AM31" s="43"/>
      <c r="AN31" s="43">
        <v>196</v>
      </c>
      <c r="AO31" s="43">
        <v>2365</v>
      </c>
      <c r="AP31" s="43">
        <v>740</v>
      </c>
      <c r="AQ31" s="43"/>
      <c r="AR31" s="43">
        <v>39165</v>
      </c>
      <c r="AS31" s="43">
        <v>60</v>
      </c>
      <c r="AT31" s="43"/>
      <c r="AU31" s="43">
        <v>17631</v>
      </c>
      <c r="AV31" s="43">
        <v>17622</v>
      </c>
      <c r="AW31" s="43">
        <v>440</v>
      </c>
      <c r="AX31" s="43">
        <v>164</v>
      </c>
      <c r="AY31" s="43"/>
      <c r="AZ31" s="43"/>
      <c r="BA31" s="43"/>
      <c r="BB31" s="43"/>
      <c r="BC31" s="43">
        <v>162</v>
      </c>
      <c r="BD31" s="43">
        <v>114</v>
      </c>
      <c r="BE31" s="43"/>
      <c r="BF31" s="43">
        <v>127806</v>
      </c>
      <c r="BG31" s="43">
        <v>102803</v>
      </c>
      <c r="BH31" s="43"/>
      <c r="BI31" s="43">
        <v>13110</v>
      </c>
      <c r="BJ31" s="43"/>
      <c r="BK31" s="43">
        <v>11408</v>
      </c>
      <c r="BL31" s="43">
        <v>485</v>
      </c>
      <c r="BM31" s="43">
        <v>1041</v>
      </c>
      <c r="BN31" s="43">
        <v>96</v>
      </c>
      <c r="BO31" s="43">
        <v>1666</v>
      </c>
      <c r="BP31" s="43">
        <v>353399</v>
      </c>
    </row>
    <row r="32" spans="1:68" ht="30.65" hidden="1" customHeight="1" x14ac:dyDescent="0.35">
      <c r="A32" s="67" t="s">
        <v>208</v>
      </c>
      <c r="B32" s="8" t="s">
        <v>19</v>
      </c>
      <c r="C32" s="6" t="s">
        <v>22</v>
      </c>
      <c r="D32" s="43">
        <v>9</v>
      </c>
      <c r="E32" s="113">
        <v>107845.75199999999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113">
        <v>0</v>
      </c>
      <c r="N32" s="113">
        <v>0</v>
      </c>
      <c r="O32" s="113">
        <v>0</v>
      </c>
      <c r="P32" s="113">
        <v>10300</v>
      </c>
      <c r="Q32" s="113">
        <v>0</v>
      </c>
      <c r="R32" s="113">
        <v>0</v>
      </c>
      <c r="S32" s="113">
        <v>0</v>
      </c>
      <c r="T32" s="113">
        <v>0</v>
      </c>
      <c r="U32" s="113">
        <v>1875</v>
      </c>
      <c r="V32" s="43">
        <v>0</v>
      </c>
      <c r="W32" s="43">
        <v>0</v>
      </c>
      <c r="X32" s="43">
        <v>0</v>
      </c>
      <c r="Y32" s="43">
        <v>0</v>
      </c>
      <c r="Z32" s="113">
        <v>6494.0290000000005</v>
      </c>
      <c r="AA32" s="113">
        <v>1615.4</v>
      </c>
      <c r="AB32" s="43">
        <v>0</v>
      </c>
      <c r="AC32" s="43">
        <v>0</v>
      </c>
      <c r="AD32" s="43">
        <v>0</v>
      </c>
      <c r="AE32" s="43">
        <v>0</v>
      </c>
      <c r="AF32" s="113">
        <v>2685.6</v>
      </c>
      <c r="AG32" s="43">
        <v>0</v>
      </c>
      <c r="AH32" s="43">
        <v>0</v>
      </c>
      <c r="AI32" s="43">
        <v>0</v>
      </c>
      <c r="AJ32" s="43">
        <v>0</v>
      </c>
      <c r="AK32" s="113">
        <v>209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113">
        <v>4000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113">
        <v>1600</v>
      </c>
      <c r="BB32" s="43">
        <v>0</v>
      </c>
      <c r="BC32" s="43">
        <v>0</v>
      </c>
      <c r="BD32" s="43">
        <v>0</v>
      </c>
      <c r="BE32" s="113">
        <v>6932.5</v>
      </c>
      <c r="BF32" s="43">
        <v>0</v>
      </c>
      <c r="BG32" s="113">
        <v>74405.02</v>
      </c>
      <c r="BH32" s="43">
        <v>0</v>
      </c>
      <c r="BI32" s="43">
        <v>0</v>
      </c>
      <c r="BJ32" s="43">
        <v>0</v>
      </c>
      <c r="BK32" s="113">
        <v>3388.0720000000001</v>
      </c>
      <c r="BL32" s="43">
        <v>0</v>
      </c>
      <c r="BM32" s="43">
        <v>0</v>
      </c>
      <c r="BN32" s="43">
        <v>0</v>
      </c>
      <c r="BO32" s="43">
        <v>0</v>
      </c>
      <c r="BP32" s="113">
        <v>227431.91800000001</v>
      </c>
    </row>
    <row r="33" spans="1:68" ht="30.65" hidden="1" customHeight="1" x14ac:dyDescent="0.35">
      <c r="A33" s="116" t="s">
        <v>213</v>
      </c>
      <c r="B33" s="8" t="s">
        <v>109</v>
      </c>
      <c r="C33" s="6" t="s">
        <v>21</v>
      </c>
      <c r="D33" s="43">
        <v>240</v>
      </c>
      <c r="E33" s="43">
        <v>318694.74900000001</v>
      </c>
      <c r="F33" s="43">
        <v>79</v>
      </c>
      <c r="G33" s="43">
        <v>261</v>
      </c>
      <c r="H33" s="43">
        <v>85486.167000000001</v>
      </c>
      <c r="I33" s="43">
        <v>21</v>
      </c>
      <c r="J33" s="43">
        <v>86577958</v>
      </c>
      <c r="K33" s="43">
        <v>9521491</v>
      </c>
      <c r="L33" s="43">
        <v>20678348</v>
      </c>
      <c r="M33" s="43"/>
      <c r="N33" s="43"/>
      <c r="O33" s="43">
        <v>128</v>
      </c>
      <c r="P33" s="43">
        <v>26789</v>
      </c>
      <c r="Q33" s="43">
        <v>17487926</v>
      </c>
      <c r="R33" s="43">
        <v>3163505</v>
      </c>
      <c r="S33" s="43"/>
      <c r="T33" s="43"/>
      <c r="U33" s="43"/>
      <c r="V33" s="43"/>
      <c r="W33" s="43">
        <v>18345</v>
      </c>
      <c r="X33" s="43">
        <v>20046471</v>
      </c>
      <c r="Y33" s="43">
        <v>2536471</v>
      </c>
      <c r="Z33" s="43">
        <v>865685</v>
      </c>
      <c r="AA33" s="43"/>
      <c r="AB33" s="43">
        <v>26556016</v>
      </c>
      <c r="AC33" s="43">
        <v>6354888</v>
      </c>
      <c r="AD33" s="43">
        <v>2516375</v>
      </c>
      <c r="AE33" s="43">
        <v>877082</v>
      </c>
      <c r="AF33" s="43">
        <v>1639293</v>
      </c>
      <c r="AG33" s="43">
        <v>44842435</v>
      </c>
      <c r="AH33" s="43">
        <v>18972656</v>
      </c>
      <c r="AI33" s="43">
        <v>1249773</v>
      </c>
      <c r="AJ33" s="43"/>
      <c r="AK33" s="43">
        <v>1551392</v>
      </c>
      <c r="AL33" s="43">
        <v>1670635</v>
      </c>
      <c r="AM33" s="43">
        <v>438</v>
      </c>
      <c r="AN33" s="43">
        <v>71515</v>
      </c>
      <c r="AO33" s="43">
        <v>27192</v>
      </c>
      <c r="AP33" s="43">
        <v>949014</v>
      </c>
      <c r="AQ33" s="43"/>
      <c r="AR33" s="43">
        <v>2799066</v>
      </c>
      <c r="AS33" s="43">
        <v>344038</v>
      </c>
      <c r="AT33" s="43">
        <v>42185</v>
      </c>
      <c r="AU33" s="43">
        <v>16540137</v>
      </c>
      <c r="AV33" s="43"/>
      <c r="AW33" s="43">
        <v>2315184</v>
      </c>
      <c r="AX33" s="43">
        <v>223954</v>
      </c>
      <c r="AY33" s="43">
        <v>41367</v>
      </c>
      <c r="AZ33" s="43"/>
      <c r="BA33" s="43"/>
      <c r="BB33" s="43"/>
      <c r="BC33" s="43"/>
      <c r="BD33" s="43">
        <v>250596</v>
      </c>
      <c r="BE33" s="43">
        <v>464477</v>
      </c>
      <c r="BF33" s="43">
        <v>34634579</v>
      </c>
      <c r="BG33" s="43">
        <v>30611362</v>
      </c>
      <c r="BH33" s="43"/>
      <c r="BI33" s="43"/>
      <c r="BJ33" s="43">
        <v>2769187</v>
      </c>
      <c r="BK33" s="43">
        <v>1168758</v>
      </c>
      <c r="BL33" s="43">
        <v>85272</v>
      </c>
      <c r="BM33" s="43">
        <v>3426536</v>
      </c>
      <c r="BN33" s="43">
        <v>11879175</v>
      </c>
      <c r="BO33" s="43">
        <v>20798922</v>
      </c>
      <c r="BP33" s="43">
        <v>227827819</v>
      </c>
    </row>
    <row r="34" spans="1:68" ht="30.65" hidden="1" customHeight="1" x14ac:dyDescent="0.35">
      <c r="A34" s="67" t="s">
        <v>217</v>
      </c>
      <c r="B34" s="8" t="s">
        <v>19</v>
      </c>
      <c r="C34" s="6" t="s">
        <v>22</v>
      </c>
      <c r="D34" s="43"/>
      <c r="E34" s="43"/>
      <c r="F34" s="43"/>
      <c r="G34" s="43"/>
      <c r="H34" s="43"/>
      <c r="I34" s="43"/>
      <c r="J34" s="43">
        <v>57368</v>
      </c>
      <c r="K34" s="43">
        <v>0</v>
      </c>
      <c r="L34" s="43">
        <v>0</v>
      </c>
      <c r="M34" s="43">
        <v>0</v>
      </c>
      <c r="N34" s="43">
        <v>0</v>
      </c>
      <c r="O34" s="43">
        <v>791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50752</v>
      </c>
      <c r="Z34" s="43">
        <v>5818</v>
      </c>
      <c r="AA34" s="43">
        <v>0</v>
      </c>
      <c r="AB34" s="43">
        <v>7</v>
      </c>
      <c r="AC34" s="43">
        <v>0</v>
      </c>
      <c r="AD34" s="43">
        <v>3890</v>
      </c>
      <c r="AE34" s="43">
        <v>0</v>
      </c>
      <c r="AF34" s="43">
        <v>3890</v>
      </c>
      <c r="AG34" s="43">
        <v>922847</v>
      </c>
      <c r="AH34" s="43">
        <v>0</v>
      </c>
      <c r="AI34" s="43">
        <v>0</v>
      </c>
      <c r="AJ34" s="43">
        <v>0</v>
      </c>
      <c r="AK34" s="43">
        <v>377</v>
      </c>
      <c r="AL34" s="43">
        <v>47476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2000</v>
      </c>
      <c r="AS34" s="43">
        <v>4543</v>
      </c>
      <c r="AT34" s="43">
        <v>4515</v>
      </c>
      <c r="AU34" s="43">
        <v>859703</v>
      </c>
      <c r="AV34" s="43">
        <v>4233</v>
      </c>
      <c r="AW34" s="43">
        <v>5098</v>
      </c>
      <c r="AX34" s="43">
        <v>1346</v>
      </c>
      <c r="AY34" s="43">
        <v>0</v>
      </c>
      <c r="AZ34" s="43">
        <v>0</v>
      </c>
      <c r="BA34" s="43">
        <v>0</v>
      </c>
      <c r="BB34" s="43">
        <v>0</v>
      </c>
      <c r="BC34" s="43">
        <v>3752</v>
      </c>
      <c r="BD34" s="43">
        <v>0</v>
      </c>
      <c r="BE34" s="43">
        <v>0</v>
      </c>
      <c r="BF34" s="43">
        <v>1318227</v>
      </c>
      <c r="BG34" s="43">
        <v>1226070</v>
      </c>
      <c r="BH34" s="43">
        <v>0</v>
      </c>
      <c r="BI34" s="43">
        <v>0</v>
      </c>
      <c r="BJ34" s="43">
        <v>92158</v>
      </c>
      <c r="BK34" s="43">
        <v>0</v>
      </c>
      <c r="BL34" s="43">
        <v>0</v>
      </c>
      <c r="BM34" s="43">
        <v>0</v>
      </c>
      <c r="BN34" s="43">
        <v>1052241</v>
      </c>
      <c r="BO34" s="43">
        <v>0</v>
      </c>
      <c r="BP34" s="43">
        <v>3359672</v>
      </c>
    </row>
    <row r="35" spans="1:68" ht="30.65" hidden="1" customHeight="1" x14ac:dyDescent="0.35">
      <c r="A35" s="67" t="s">
        <v>217</v>
      </c>
      <c r="B35" s="8" t="s">
        <v>19</v>
      </c>
      <c r="C35" s="6" t="s">
        <v>22</v>
      </c>
      <c r="D35" s="43"/>
      <c r="E35" s="43"/>
      <c r="F35" s="43"/>
      <c r="G35" s="43"/>
      <c r="H35" s="43"/>
      <c r="I35" s="43"/>
      <c r="J35" s="43">
        <v>894001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894001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42003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42003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936004</v>
      </c>
    </row>
    <row r="36" spans="1:68" ht="30.65" hidden="1" customHeight="1" x14ac:dyDescent="0.35">
      <c r="A36" s="67" t="s">
        <v>228</v>
      </c>
      <c r="B36" s="8" t="s">
        <v>230</v>
      </c>
      <c r="C36" s="6" t="s">
        <v>232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</row>
    <row r="37" spans="1:68" ht="30.65" hidden="1" customHeight="1" x14ac:dyDescent="0.35">
      <c r="A37" s="67" t="s">
        <v>234</v>
      </c>
      <c r="B37" s="8" t="s">
        <v>230</v>
      </c>
      <c r="C37" s="6" t="s">
        <v>38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</row>
    <row r="38" spans="1:68" ht="30.65" hidden="1" customHeight="1" x14ac:dyDescent="0.35">
      <c r="A38" s="67" t="s">
        <v>240</v>
      </c>
      <c r="B38" s="8" t="s">
        <v>19</v>
      </c>
      <c r="C38" s="6" t="s">
        <v>38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>
        <v>34885.837</v>
      </c>
      <c r="AB38" s="43">
        <v>500</v>
      </c>
      <c r="AC38" s="43"/>
      <c r="AD38" s="43"/>
      <c r="AE38" s="43"/>
      <c r="AF38" s="43">
        <v>1122</v>
      </c>
      <c r="AG38" s="43"/>
      <c r="AH38" s="43"/>
      <c r="AI38" s="43">
        <v>1200</v>
      </c>
      <c r="AJ38" s="43"/>
      <c r="AK38" s="43"/>
      <c r="AL38" s="43">
        <v>177.636</v>
      </c>
      <c r="AM38" s="43"/>
      <c r="AN38" s="43"/>
      <c r="AO38" s="43"/>
      <c r="AP38" s="43">
        <v>380.02499999999998</v>
      </c>
      <c r="AQ38" s="43"/>
      <c r="AR38" s="43">
        <v>1500</v>
      </c>
      <c r="AS38" s="43"/>
      <c r="AT38" s="43"/>
      <c r="AU38" s="43">
        <v>20838.276000000002</v>
      </c>
      <c r="AV38" s="43">
        <v>860</v>
      </c>
      <c r="AW38" s="43"/>
      <c r="AX38" s="43"/>
      <c r="AY38" s="43"/>
      <c r="AZ38" s="43"/>
      <c r="BA38" s="43">
        <v>27450</v>
      </c>
      <c r="BB38" s="43"/>
      <c r="BC38" s="43"/>
      <c r="BD38" s="43"/>
      <c r="BE38" s="43">
        <v>180.2</v>
      </c>
      <c r="BF38" s="43"/>
      <c r="BG38" s="43">
        <v>97224.995999999999</v>
      </c>
      <c r="BH38" s="43"/>
      <c r="BI38" s="43"/>
      <c r="BJ38" s="43"/>
      <c r="BK38" s="43"/>
      <c r="BL38" s="43"/>
      <c r="BM38" s="43">
        <v>350.20800000000003</v>
      </c>
      <c r="BN38" s="43"/>
      <c r="BO38" s="43"/>
      <c r="BP38" s="43">
        <v>186169.17800000001</v>
      </c>
    </row>
    <row r="39" spans="1:68" ht="30.65" hidden="1" customHeight="1" x14ac:dyDescent="0.35">
      <c r="A39" s="67" t="s">
        <v>267</v>
      </c>
      <c r="B39" s="8" t="s">
        <v>46</v>
      </c>
      <c r="C39" s="6" t="s">
        <v>48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7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</row>
    <row r="40" spans="1:68" ht="30.65" customHeight="1" x14ac:dyDescent="0.35">
      <c r="A40" s="124" t="s">
        <v>272</v>
      </c>
      <c r="B40" s="8" t="s">
        <v>109</v>
      </c>
      <c r="C40" s="6" t="s">
        <v>38</v>
      </c>
      <c r="D40" s="43">
        <v>120</v>
      </c>
      <c r="E40" s="43">
        <v>34097361.691</v>
      </c>
      <c r="F40" s="43"/>
      <c r="G40" s="43">
        <v>22</v>
      </c>
      <c r="H40" s="43">
        <v>1340014.2039999999</v>
      </c>
      <c r="I40" s="43"/>
      <c r="J40" s="43">
        <v>9488530.7780000009</v>
      </c>
      <c r="K40" s="43">
        <v>1378426.507</v>
      </c>
      <c r="L40" s="43">
        <v>0</v>
      </c>
      <c r="M40" s="43">
        <v>0</v>
      </c>
      <c r="N40" s="43">
        <v>8634.3619999999992</v>
      </c>
      <c r="O40" s="43">
        <v>0</v>
      </c>
      <c r="P40" s="43">
        <v>6599590.0010000002</v>
      </c>
      <c r="Q40" s="43">
        <v>0</v>
      </c>
      <c r="R40" s="43">
        <v>87618.380999999994</v>
      </c>
      <c r="S40" s="43"/>
      <c r="T40" s="43"/>
      <c r="U40" s="43"/>
      <c r="V40" s="43">
        <v>2085.6019999999999</v>
      </c>
      <c r="W40" s="43">
        <v>683067.58600000001</v>
      </c>
      <c r="X40" s="43"/>
      <c r="Y40" s="43">
        <v>58258.633999999998</v>
      </c>
      <c r="Z40" s="43"/>
      <c r="AA40" s="43">
        <v>254963.853</v>
      </c>
      <c r="AB40" s="43">
        <v>388885.85200000001</v>
      </c>
      <c r="AC40" s="43"/>
      <c r="AD40" s="43">
        <v>11610068.503</v>
      </c>
      <c r="AE40" s="43">
        <v>11534650.624</v>
      </c>
      <c r="AF40" s="43">
        <v>75417.879000000001</v>
      </c>
      <c r="AG40" s="43">
        <v>5192811.3159999996</v>
      </c>
      <c r="AH40" s="43">
        <v>1329427.58</v>
      </c>
      <c r="AI40" s="43">
        <v>821833.19700000004</v>
      </c>
      <c r="AJ40" s="43"/>
      <c r="AK40" s="43">
        <v>1245980.115</v>
      </c>
      <c r="AL40" s="43">
        <v>227373.497</v>
      </c>
      <c r="AM40" s="43">
        <v>89071.581000000006</v>
      </c>
      <c r="AN40" s="43">
        <v>70508.298999999999</v>
      </c>
      <c r="AO40" s="43">
        <v>22928.736000000001</v>
      </c>
      <c r="AP40" s="43">
        <v>208726.891</v>
      </c>
      <c r="AQ40" s="43">
        <v>284602.74099999998</v>
      </c>
      <c r="AR40" s="43">
        <v>446520.69900000002</v>
      </c>
      <c r="AS40" s="43">
        <v>1839</v>
      </c>
      <c r="AT40" s="43">
        <v>0</v>
      </c>
      <c r="AU40" s="43">
        <v>187779.905</v>
      </c>
      <c r="AV40" s="43">
        <v>256219.07500000001</v>
      </c>
      <c r="AW40" s="43">
        <v>1664007.0989999999</v>
      </c>
      <c r="AX40" s="43">
        <v>315734.36</v>
      </c>
      <c r="AY40" s="43"/>
      <c r="AZ40" s="43"/>
      <c r="BA40" s="43"/>
      <c r="BB40" s="43">
        <v>126995.01</v>
      </c>
      <c r="BC40" s="43">
        <v>2722.6039999999998</v>
      </c>
      <c r="BD40" s="43">
        <v>127</v>
      </c>
      <c r="BE40" s="43"/>
      <c r="BF40" s="43">
        <v>2623266.4419999998</v>
      </c>
      <c r="BG40" s="43">
        <v>1529266.091</v>
      </c>
      <c r="BH40" s="43">
        <v>631970.022</v>
      </c>
      <c r="BI40" s="43">
        <v>66061.838000000003</v>
      </c>
      <c r="BJ40" s="43">
        <v>227654</v>
      </c>
      <c r="BK40" s="43">
        <v>138900.016</v>
      </c>
      <c r="BL40" s="43">
        <v>29414.474999999999</v>
      </c>
      <c r="BM40" s="43">
        <v>822795.00699999998</v>
      </c>
      <c r="BN40" s="43">
        <v>578779.35400000005</v>
      </c>
      <c r="BO40" s="43">
        <v>973897.75</v>
      </c>
      <c r="BP40" s="43">
        <v>32954156.249000002</v>
      </c>
    </row>
    <row r="41" spans="1:68" ht="30.65" customHeight="1" x14ac:dyDescent="0.35">
      <c r="A41" s="124" t="s">
        <v>276</v>
      </c>
      <c r="B41" s="8" t="s">
        <v>19</v>
      </c>
      <c r="C41" s="6" t="s">
        <v>22</v>
      </c>
      <c r="D41" s="43">
        <v>8</v>
      </c>
      <c r="E41" s="43">
        <v>842358.15</v>
      </c>
      <c r="F41" s="43"/>
      <c r="G41" s="43">
        <v>1</v>
      </c>
      <c r="H41" s="43">
        <v>43515.5</v>
      </c>
      <c r="I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>
        <v>230.9</v>
      </c>
      <c r="Z41" s="43">
        <v>59301.722000000002</v>
      </c>
      <c r="AA41" s="43"/>
      <c r="AB41" s="43"/>
      <c r="AC41" s="43"/>
      <c r="AD41" s="43"/>
      <c r="AE41" s="43"/>
      <c r="AF41" s="43">
        <v>7470.2</v>
      </c>
      <c r="AG41" s="43"/>
      <c r="AH41" s="43"/>
      <c r="AI41" s="43"/>
      <c r="AJ41" s="43"/>
      <c r="AK41" s="43">
        <v>78</v>
      </c>
      <c r="AL41" s="43"/>
      <c r="AM41" s="43">
        <v>11547.615</v>
      </c>
      <c r="AN41" s="43"/>
      <c r="AO41" s="43">
        <v>55.9</v>
      </c>
      <c r="AP41" s="43"/>
      <c r="AQ41" s="43"/>
      <c r="AR41" s="43"/>
      <c r="AS41" s="43">
        <v>150</v>
      </c>
      <c r="AT41" s="43"/>
      <c r="AU41" s="43"/>
      <c r="AV41" s="43">
        <v>1310.5</v>
      </c>
      <c r="AW41" s="43"/>
      <c r="AX41" s="43"/>
      <c r="AY41" s="43"/>
      <c r="AZ41" s="43"/>
      <c r="BA41" s="43">
        <v>553.60500000000002</v>
      </c>
      <c r="BB41" s="43"/>
      <c r="BC41" s="43"/>
      <c r="BD41" s="43">
        <v>200</v>
      </c>
      <c r="BE41" s="43"/>
      <c r="BF41" s="43"/>
      <c r="BG41" s="43">
        <v>101543.58100000001</v>
      </c>
      <c r="BH41" s="43"/>
      <c r="BI41" s="43"/>
      <c r="BJ41" s="43"/>
      <c r="BK41" s="43">
        <v>4358.8469999999998</v>
      </c>
      <c r="BL41" s="43"/>
      <c r="BM41" s="43"/>
      <c r="BN41" s="43"/>
      <c r="BO41" s="43"/>
      <c r="BP41" s="43">
        <v>1069741.1680000001</v>
      </c>
    </row>
    <row r="42" spans="1:68" ht="30.65" customHeight="1" x14ac:dyDescent="0.35">
      <c r="A42" s="124" t="s">
        <v>278</v>
      </c>
      <c r="B42" s="8" t="s">
        <v>109</v>
      </c>
      <c r="C42" s="6" t="s">
        <v>204</v>
      </c>
      <c r="D42" s="43">
        <v>189</v>
      </c>
      <c r="E42" s="43">
        <v>3923459.2910000002</v>
      </c>
      <c r="F42" s="43">
        <v>92</v>
      </c>
      <c r="G42" s="43">
        <v>18</v>
      </c>
      <c r="H42" s="43">
        <v>343890.16499999998</v>
      </c>
      <c r="I42" s="43">
        <v>8</v>
      </c>
      <c r="J42" s="43">
        <v>803996.68099999998</v>
      </c>
      <c r="K42" s="43">
        <v>65160.406999999999</v>
      </c>
      <c r="L42" s="43">
        <v>224029.11499999999</v>
      </c>
      <c r="M42" s="43">
        <v>0</v>
      </c>
      <c r="N42" s="43">
        <v>0</v>
      </c>
      <c r="O42" s="43">
        <v>0</v>
      </c>
      <c r="P42" s="43">
        <v>86872.05</v>
      </c>
      <c r="Q42" s="43">
        <v>137157.065</v>
      </c>
      <c r="R42" s="43">
        <v>0</v>
      </c>
      <c r="S42" s="43">
        <v>0</v>
      </c>
      <c r="T42" s="43">
        <v>0</v>
      </c>
      <c r="U42" s="43">
        <v>8.9</v>
      </c>
      <c r="V42" s="43">
        <v>7097.68</v>
      </c>
      <c r="W42" s="43">
        <v>294363.45400000003</v>
      </c>
      <c r="X42" s="43">
        <v>0</v>
      </c>
      <c r="Y42" s="43">
        <v>42579.945</v>
      </c>
      <c r="Z42" s="43">
        <v>28760.109</v>
      </c>
      <c r="AA42" s="43">
        <v>226.363</v>
      </c>
      <c r="AB42" s="43">
        <v>141770.70800000001</v>
      </c>
      <c r="AC42" s="43">
        <v>0</v>
      </c>
      <c r="AD42" s="43">
        <v>406810.83299999998</v>
      </c>
      <c r="AE42" s="43">
        <v>339645.57</v>
      </c>
      <c r="AF42" s="43">
        <v>66865.263000000006</v>
      </c>
      <c r="AG42" s="43">
        <v>2747772.7790000001</v>
      </c>
      <c r="AH42" s="43">
        <v>942690.68</v>
      </c>
      <c r="AI42" s="43">
        <v>303349.88</v>
      </c>
      <c r="AJ42" s="43">
        <v>0</v>
      </c>
      <c r="AK42" s="43">
        <v>25649.57</v>
      </c>
      <c r="AL42" s="43">
        <v>3755.261</v>
      </c>
      <c r="AM42" s="43">
        <v>0</v>
      </c>
      <c r="AN42" s="43">
        <v>476</v>
      </c>
      <c r="AO42" s="43">
        <v>39048.54</v>
      </c>
      <c r="AP42" s="43">
        <v>14235.337</v>
      </c>
      <c r="AQ42" s="43">
        <v>0</v>
      </c>
      <c r="AR42" s="43">
        <v>1178564.9879999999</v>
      </c>
      <c r="AS42" s="43">
        <v>0</v>
      </c>
      <c r="AT42" s="43">
        <v>52313.411</v>
      </c>
      <c r="AU42" s="43">
        <v>222679.91099999999</v>
      </c>
      <c r="AV42" s="43">
        <v>32214.201000000001</v>
      </c>
      <c r="AW42" s="43">
        <v>158771.05300000001</v>
      </c>
      <c r="AX42" s="43">
        <v>0</v>
      </c>
      <c r="AY42" s="43">
        <v>0</v>
      </c>
      <c r="AZ42" s="43">
        <v>0</v>
      </c>
      <c r="BA42" s="129">
        <v>0</v>
      </c>
      <c r="BB42" s="43">
        <v>150096.03400000001</v>
      </c>
      <c r="BC42" s="43">
        <v>0</v>
      </c>
      <c r="BD42" s="129">
        <v>0</v>
      </c>
      <c r="BE42" s="43">
        <v>8675.0190000000002</v>
      </c>
      <c r="BF42" s="43">
        <v>818928.61600000004</v>
      </c>
      <c r="BG42" s="43">
        <v>453675.935</v>
      </c>
      <c r="BH42" s="43">
        <v>220045.95300000001</v>
      </c>
      <c r="BI42" s="43">
        <v>6754.433</v>
      </c>
      <c r="BJ42" s="129">
        <v>0</v>
      </c>
      <c r="BK42" s="43">
        <v>48198.279000000002</v>
      </c>
      <c r="BL42" s="43">
        <v>90254.016000000003</v>
      </c>
      <c r="BM42" s="129">
        <v>41799.017</v>
      </c>
      <c r="BN42" s="43">
        <v>31353.273000000001</v>
      </c>
      <c r="BO42" s="43">
        <v>5000</v>
      </c>
      <c r="BP42" s="43">
        <v>5014432.2520000003</v>
      </c>
    </row>
    <row r="43" spans="1:68" ht="30.65" hidden="1" customHeight="1" x14ac:dyDescent="0.35">
      <c r="A43" s="67" t="s">
        <v>245</v>
      </c>
      <c r="B43" s="8" t="s">
        <v>109</v>
      </c>
      <c r="C43" s="6" t="s">
        <v>249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</row>
    <row r="44" spans="1:68" ht="30.65" hidden="1" customHeight="1" x14ac:dyDescent="0.35">
      <c r="A44" s="67" t="s">
        <v>245</v>
      </c>
      <c r="B44" s="8" t="s">
        <v>46</v>
      </c>
      <c r="C44" s="6" t="s">
        <v>114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7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7"/>
      <c r="AK44" s="43"/>
      <c r="AL44" s="43"/>
      <c r="AM44" s="47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</row>
    <row r="45" spans="1:68" ht="30.65" hidden="1" customHeight="1" x14ac:dyDescent="0.35">
      <c r="A45" s="67" t="s">
        <v>245</v>
      </c>
      <c r="B45" s="8" t="s">
        <v>46</v>
      </c>
      <c r="C45" s="6" t="s">
        <v>252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</row>
    <row r="46" spans="1:68" ht="30.65" hidden="1" customHeight="1" x14ac:dyDescent="0.35">
      <c r="A46" s="67" t="s">
        <v>245</v>
      </c>
      <c r="B46" s="8" t="s">
        <v>46</v>
      </c>
      <c r="C46" s="6" t="s">
        <v>79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</row>
    <row r="47" spans="1:68" ht="30.65" hidden="1" customHeight="1" x14ac:dyDescent="0.35">
      <c r="A47" s="67" t="s">
        <v>245</v>
      </c>
      <c r="B47" s="8" t="s">
        <v>46</v>
      </c>
      <c r="C47" s="6" t="s">
        <v>79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</row>
    <row r="48" spans="1:68" ht="30.65" hidden="1" customHeight="1" x14ac:dyDescent="0.35">
      <c r="A48" s="67" t="s">
        <v>245</v>
      </c>
      <c r="B48" s="8" t="s">
        <v>109</v>
      </c>
      <c r="C48" s="6" t="s">
        <v>79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</row>
    <row r="49" spans="1:68" ht="29.4" hidden="1" customHeight="1" x14ac:dyDescent="0.35">
      <c r="A49" s="67" t="s">
        <v>245</v>
      </c>
      <c r="B49" s="8" t="s">
        <v>109</v>
      </c>
      <c r="C49" s="6" t="s">
        <v>79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</row>
    <row r="50" spans="1:68" ht="29.4" hidden="1" customHeight="1" x14ac:dyDescent="0.35">
      <c r="A50" s="67" t="s">
        <v>245</v>
      </c>
      <c r="B50" s="8" t="s">
        <v>46</v>
      </c>
      <c r="C50" s="6" t="s">
        <v>253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</row>
    <row r="51" spans="1:68" ht="29.4" hidden="1" customHeight="1" x14ac:dyDescent="0.35">
      <c r="A51" s="67" t="s">
        <v>245</v>
      </c>
      <c r="B51" s="8" t="s">
        <v>46</v>
      </c>
      <c r="C51" s="6" t="s">
        <v>79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</row>
    <row r="52" spans="1:68" ht="29.4" hidden="1" customHeight="1" x14ac:dyDescent="0.35">
      <c r="A52" s="67" t="s">
        <v>245</v>
      </c>
      <c r="B52" s="8" t="s">
        <v>46</v>
      </c>
      <c r="C52" s="6" t="s">
        <v>79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</row>
    <row r="53" spans="1:68" ht="29.4" hidden="1" customHeight="1" x14ac:dyDescent="0.35">
      <c r="A53" s="67" t="s">
        <v>245</v>
      </c>
      <c r="B53" s="8" t="s">
        <v>46</v>
      </c>
      <c r="C53" s="6" t="s">
        <v>79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</row>
    <row r="54" spans="1:68" ht="29.4" hidden="1" customHeight="1" x14ac:dyDescent="0.35">
      <c r="A54" s="67" t="s">
        <v>245</v>
      </c>
      <c r="B54" s="8" t="s">
        <v>46</v>
      </c>
      <c r="C54" s="6" t="s">
        <v>79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</row>
    <row r="55" spans="1:68" ht="29.4" hidden="1" customHeight="1" x14ac:dyDescent="0.35">
      <c r="A55" s="67" t="s">
        <v>245</v>
      </c>
      <c r="B55" s="8" t="s">
        <v>46</v>
      </c>
      <c r="C55" s="6" t="s">
        <v>114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</row>
    <row r="56" spans="1:68" ht="29.4" hidden="1" customHeight="1" x14ac:dyDescent="0.35">
      <c r="A56" s="67" t="s">
        <v>280</v>
      </c>
      <c r="B56" s="8" t="s">
        <v>19</v>
      </c>
      <c r="C56" s="6" t="s">
        <v>22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</row>
    <row r="57" spans="1:68" ht="29.4" hidden="1" customHeight="1" x14ac:dyDescent="0.35">
      <c r="A57" s="67" t="s">
        <v>280</v>
      </c>
      <c r="B57" s="8" t="s">
        <v>19</v>
      </c>
      <c r="C57" s="6" t="s">
        <v>22</v>
      </c>
      <c r="D57" s="43"/>
      <c r="E57" s="43"/>
      <c r="F57" s="47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</row>
    <row r="58" spans="1:68" ht="30.65" hidden="1" customHeight="1" x14ac:dyDescent="0.35">
      <c r="A58" s="67" t="s">
        <v>479</v>
      </c>
      <c r="B58" s="8" t="s">
        <v>230</v>
      </c>
      <c r="C58" s="6" t="s">
        <v>38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>
        <v>15505.75</v>
      </c>
      <c r="Q58" s="43">
        <v>0</v>
      </c>
      <c r="R58" s="43">
        <v>3847.54</v>
      </c>
      <c r="S58" s="43"/>
      <c r="T58" s="43"/>
      <c r="U58" s="43">
        <v>2087.5</v>
      </c>
      <c r="V58" s="43">
        <v>180.548</v>
      </c>
      <c r="W58" s="43"/>
      <c r="X58" s="43"/>
      <c r="Y58" s="43">
        <v>2258</v>
      </c>
      <c r="Z58" s="43">
        <v>1580.885</v>
      </c>
      <c r="AA58" s="43">
        <v>1780.25</v>
      </c>
      <c r="AB58" s="43">
        <v>16873.099999999999</v>
      </c>
      <c r="AC58" s="43"/>
      <c r="AD58" s="43"/>
      <c r="AE58" s="43">
        <v>8745.5750000000007</v>
      </c>
      <c r="AF58" s="43">
        <v>2456.5</v>
      </c>
      <c r="AG58" s="43">
        <v>0</v>
      </c>
      <c r="AH58" s="43">
        <v>4500</v>
      </c>
      <c r="AI58" s="43">
        <v>54000</v>
      </c>
      <c r="AJ58" s="43"/>
      <c r="AK58" s="43">
        <v>8982.7800000000007</v>
      </c>
      <c r="AL58" s="43">
        <v>1389.2</v>
      </c>
      <c r="AM58" s="43">
        <v>2258.92</v>
      </c>
      <c r="AN58" s="43"/>
      <c r="AO58" s="43">
        <v>627.04999999999995</v>
      </c>
      <c r="AP58" s="43"/>
      <c r="AQ58" s="43"/>
      <c r="AR58" s="43">
        <v>2500.5450000000001</v>
      </c>
      <c r="AS58" s="43"/>
      <c r="AT58" s="43"/>
      <c r="AU58" s="43"/>
      <c r="AV58" s="43"/>
      <c r="AW58" s="43"/>
      <c r="AX58" s="43"/>
      <c r="AY58" s="43"/>
      <c r="AZ58" s="43">
        <v>2500</v>
      </c>
      <c r="BA58" s="43">
        <v>4150</v>
      </c>
      <c r="BB58" s="43"/>
      <c r="BC58" s="43"/>
      <c r="BD58" s="43"/>
      <c r="BE58" s="43"/>
      <c r="BF58" s="43"/>
      <c r="BG58" s="43">
        <v>24600</v>
      </c>
      <c r="BH58" s="43"/>
      <c r="BI58" s="43"/>
      <c r="BJ58" s="43">
        <v>720</v>
      </c>
      <c r="BK58" s="43">
        <v>1564</v>
      </c>
      <c r="BL58" s="43">
        <v>206.27699999999999</v>
      </c>
      <c r="BM58" s="43"/>
      <c r="BN58" s="43"/>
      <c r="BO58" s="43"/>
      <c r="BP58" s="43">
        <v>114714.42</v>
      </c>
    </row>
    <row r="59" spans="1:68" ht="30.65" hidden="1" customHeight="1" x14ac:dyDescent="0.35">
      <c r="A59" s="67" t="s">
        <v>290</v>
      </c>
      <c r="B59" s="8" t="s">
        <v>46</v>
      </c>
      <c r="C59" s="6" t="s">
        <v>49</v>
      </c>
      <c r="D59" s="43"/>
      <c r="E59" s="43"/>
      <c r="F59" s="43"/>
      <c r="G59" s="43"/>
      <c r="H59" s="43"/>
      <c r="I59" s="43"/>
      <c r="J59" s="43">
        <v>1278877.0249999999</v>
      </c>
      <c r="K59" s="43">
        <v>308974.67099999997</v>
      </c>
      <c r="L59" s="43">
        <v>572380.64300000004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>
        <v>254501.23199999999</v>
      </c>
      <c r="X59" s="43">
        <v>2320.9</v>
      </c>
      <c r="Y59" s="43"/>
      <c r="Z59" s="43">
        <v>85653.599000000002</v>
      </c>
      <c r="AA59" s="43">
        <v>31758.143</v>
      </c>
      <c r="AB59" s="43"/>
      <c r="AC59" s="43">
        <v>23287.837</v>
      </c>
      <c r="AD59" s="43">
        <v>4352469</v>
      </c>
      <c r="AE59" s="43"/>
      <c r="AF59" s="43">
        <v>43524669</v>
      </c>
      <c r="AG59" s="43">
        <v>290671.59299999999</v>
      </c>
      <c r="AH59" s="43">
        <v>224498.27600000001</v>
      </c>
      <c r="AI59" s="43">
        <v>20189.477999999999</v>
      </c>
      <c r="AJ59" s="43">
        <v>0</v>
      </c>
      <c r="AK59" s="43">
        <v>9390.9390000000003</v>
      </c>
      <c r="AL59" s="43">
        <v>9682.0210000000006</v>
      </c>
      <c r="AM59" s="43"/>
      <c r="AN59" s="43"/>
      <c r="AO59" s="43">
        <v>35</v>
      </c>
      <c r="AP59" s="43">
        <v>8829.6059999999998</v>
      </c>
      <c r="AQ59" s="43"/>
      <c r="AR59" s="43">
        <v>14688.973</v>
      </c>
      <c r="AS59" s="43"/>
      <c r="AT59" s="43"/>
      <c r="AU59" s="43"/>
      <c r="AV59" s="43">
        <v>3357.3</v>
      </c>
      <c r="AW59" s="43">
        <v>110743.639</v>
      </c>
      <c r="AX59" s="43">
        <v>7885.1419999999998</v>
      </c>
      <c r="AY59" s="43"/>
      <c r="AZ59" s="43"/>
      <c r="BA59" s="43"/>
      <c r="BB59" s="43">
        <v>100455.425</v>
      </c>
      <c r="BC59" s="43">
        <v>2403.0720000000001</v>
      </c>
      <c r="BD59" s="43"/>
      <c r="BE59" s="43"/>
      <c r="BF59" s="43">
        <v>144557.91500000001</v>
      </c>
      <c r="BG59" s="43">
        <v>23014.521000000001</v>
      </c>
      <c r="BH59" s="43">
        <v>115607.548</v>
      </c>
      <c r="BI59" s="43">
        <v>131.5</v>
      </c>
      <c r="BJ59" s="43"/>
      <c r="BK59" s="43">
        <v>4236.21</v>
      </c>
      <c r="BL59" s="43">
        <v>1588.136</v>
      </c>
      <c r="BM59" s="43">
        <v>0</v>
      </c>
      <c r="BN59" s="43">
        <v>23752.166000000001</v>
      </c>
      <c r="BO59" s="43">
        <v>10669.594999999999</v>
      </c>
      <c r="BP59" s="43">
        <v>1863644.402</v>
      </c>
    </row>
    <row r="60" spans="1:68" ht="30.65" hidden="1" customHeight="1" x14ac:dyDescent="0.35">
      <c r="A60" s="67" t="s">
        <v>294</v>
      </c>
      <c r="B60" s="8" t="s">
        <v>46</v>
      </c>
      <c r="C60" s="6" t="s">
        <v>122</v>
      </c>
      <c r="D60" s="43">
        <v>54</v>
      </c>
      <c r="E60" s="43">
        <v>1324545.9939999999</v>
      </c>
      <c r="F60" s="43"/>
      <c r="G60" s="43">
        <v>1</v>
      </c>
      <c r="H60" s="43">
        <v>29032.722000000002</v>
      </c>
      <c r="I60" s="43"/>
      <c r="J60" s="43"/>
      <c r="K60" s="43">
        <v>15105.368</v>
      </c>
      <c r="L60" s="43">
        <v>577144.46</v>
      </c>
      <c r="M60" s="43"/>
      <c r="N60" s="43"/>
      <c r="O60" s="43"/>
      <c r="P60" s="43"/>
      <c r="Q60" s="43"/>
      <c r="R60" s="43"/>
      <c r="S60" s="43"/>
      <c r="T60" s="43"/>
      <c r="U60" s="43">
        <v>4317.8959999999997</v>
      </c>
      <c r="V60" s="43">
        <v>534.01499999999999</v>
      </c>
      <c r="W60" s="43">
        <v>994.8</v>
      </c>
      <c r="X60" s="43">
        <v>143365.37899999999</v>
      </c>
      <c r="Y60" s="43">
        <v>128461.61500000001</v>
      </c>
      <c r="Z60" s="43">
        <v>19790.23</v>
      </c>
      <c r="AA60" s="43">
        <v>12303</v>
      </c>
      <c r="AB60" s="43"/>
      <c r="AC60" s="43"/>
      <c r="AD60" s="43"/>
      <c r="AE60" s="43">
        <v>5218.8789999999999</v>
      </c>
      <c r="AF60" s="43">
        <v>373.3</v>
      </c>
      <c r="AG60" s="43"/>
      <c r="AH60" s="43">
        <v>2668.08</v>
      </c>
      <c r="AI60" s="43">
        <v>48454.826999999997</v>
      </c>
      <c r="AJ60" s="43"/>
      <c r="AK60" s="43">
        <v>24226.776999999998</v>
      </c>
      <c r="AL60" s="43">
        <v>22840.588</v>
      </c>
      <c r="AM60" s="43">
        <v>207</v>
      </c>
      <c r="AN60" s="43"/>
      <c r="AO60" s="43">
        <v>215</v>
      </c>
      <c r="AP60" s="43">
        <v>13241.592000000001</v>
      </c>
      <c r="AQ60" s="43"/>
      <c r="AR60" s="43">
        <v>81440.145999999993</v>
      </c>
      <c r="AS60" s="43">
        <v>0</v>
      </c>
      <c r="AT60" s="43">
        <v>5355</v>
      </c>
      <c r="AU60" s="43"/>
      <c r="AV60" s="43">
        <v>14199.772000000001</v>
      </c>
      <c r="AW60" s="43"/>
      <c r="AX60" s="43">
        <v>35549.544000000002</v>
      </c>
      <c r="AY60" s="43">
        <v>76385.668000000005</v>
      </c>
      <c r="AZ60" s="43">
        <v>2500</v>
      </c>
      <c r="BA60" s="43">
        <v>1000</v>
      </c>
      <c r="BB60" s="43">
        <v>101847.558</v>
      </c>
      <c r="BC60" s="43">
        <v>115733.95600000001</v>
      </c>
      <c r="BD60" s="43">
        <v>138</v>
      </c>
      <c r="BE60" s="43">
        <v>9141.9789999999994</v>
      </c>
      <c r="BF60" s="43">
        <v>555791.821</v>
      </c>
      <c r="BG60" s="43"/>
      <c r="BH60" s="43"/>
      <c r="BI60" s="43"/>
      <c r="BJ60" s="43"/>
      <c r="BK60" s="43">
        <v>40494.017</v>
      </c>
      <c r="BL60" s="43">
        <v>75536.89</v>
      </c>
      <c r="BM60" s="43">
        <v>233840.89499999999</v>
      </c>
      <c r="BN60" s="43">
        <v>21532.737000000001</v>
      </c>
      <c r="BO60" s="43">
        <v>5000</v>
      </c>
      <c r="BP60" s="43"/>
    </row>
    <row r="61" spans="1:68" ht="30.65" customHeight="1" x14ac:dyDescent="0.35">
      <c r="A61" s="124" t="s">
        <v>301</v>
      </c>
      <c r="B61" s="8" t="s">
        <v>46</v>
      </c>
      <c r="C61" s="6" t="s">
        <v>79</v>
      </c>
      <c r="D61" s="43"/>
      <c r="E61" s="43"/>
      <c r="F61" s="43"/>
      <c r="G61" s="43"/>
      <c r="H61" s="43"/>
      <c r="I61" s="43"/>
      <c r="J61" s="43">
        <v>108896.7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>
        <v>108262.97199999999</v>
      </c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>
        <v>7162.1189999999997</v>
      </c>
      <c r="AX61" s="43"/>
      <c r="AY61" s="43"/>
      <c r="AZ61" s="43"/>
      <c r="BA61" s="43"/>
      <c r="BB61" s="43"/>
      <c r="BC61" s="43"/>
      <c r="BD61" s="43"/>
      <c r="BE61" s="43"/>
      <c r="BF61" s="43">
        <v>116497.935</v>
      </c>
      <c r="BG61" s="43"/>
      <c r="BH61" s="43"/>
      <c r="BI61" s="43"/>
      <c r="BJ61" s="43"/>
      <c r="BK61" s="43"/>
      <c r="BL61" s="43"/>
      <c r="BM61" s="43">
        <v>2222.4580000000001</v>
      </c>
      <c r="BN61" s="43"/>
      <c r="BO61" s="43">
        <v>8662.5669999999991</v>
      </c>
      <c r="BP61" s="43"/>
    </row>
    <row r="62" spans="1:68" ht="30.65" hidden="1" customHeight="1" x14ac:dyDescent="0.35">
      <c r="A62" s="67" t="s">
        <v>480</v>
      </c>
      <c r="B62" s="8" t="s">
        <v>503</v>
      </c>
      <c r="C62" s="6" t="s">
        <v>38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>
        <v>846</v>
      </c>
      <c r="AE62" s="43"/>
      <c r="AF62" s="43"/>
      <c r="AG62" s="43">
        <v>1539.2</v>
      </c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>
        <v>3666.1170000000002</v>
      </c>
      <c r="AX62" s="43"/>
      <c r="AY62" s="43"/>
      <c r="AZ62" s="43">
        <v>2500</v>
      </c>
      <c r="BA62" s="43">
        <v>1166.117</v>
      </c>
      <c r="BB62" s="43"/>
      <c r="BC62" s="43"/>
      <c r="BD62" s="43"/>
      <c r="BE62" s="43"/>
      <c r="BF62" s="43"/>
      <c r="BG62" s="43">
        <v>1425</v>
      </c>
      <c r="BH62" s="43"/>
      <c r="BI62" s="43"/>
      <c r="BJ62" s="43"/>
      <c r="BK62" s="43"/>
      <c r="BL62" s="43"/>
      <c r="BM62" s="43"/>
      <c r="BN62" s="43">
        <v>126</v>
      </c>
      <c r="BO62" s="43"/>
      <c r="BP62" s="43">
        <v>7602.317</v>
      </c>
    </row>
    <row r="63" spans="1:68" ht="29.4" hidden="1" customHeight="1" x14ac:dyDescent="0.35">
      <c r="A63" s="67" t="s">
        <v>480</v>
      </c>
      <c r="B63" s="8" t="s">
        <v>26</v>
      </c>
      <c r="C63" s="6" t="s">
        <v>38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>
        <v>11435.2</v>
      </c>
      <c r="AE63" s="43"/>
      <c r="AF63" s="43"/>
      <c r="AG63" s="43">
        <v>93732.1</v>
      </c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>
        <v>15337.5</v>
      </c>
      <c r="AX63" s="43"/>
      <c r="AY63" s="43"/>
      <c r="AZ63" s="43">
        <v>25000</v>
      </c>
      <c r="BA63" s="43">
        <v>12837.5</v>
      </c>
      <c r="BB63" s="43"/>
      <c r="BC63" s="43"/>
      <c r="BD63" s="43"/>
      <c r="BE63" s="43"/>
      <c r="BF63" s="43">
        <v>45890</v>
      </c>
      <c r="BG63" s="43"/>
      <c r="BH63" s="43"/>
      <c r="BI63" s="43"/>
      <c r="BJ63" s="43"/>
      <c r="BK63" s="43"/>
      <c r="BL63" s="43"/>
      <c r="BM63" s="43"/>
      <c r="BN63" s="43">
        <v>5977.5</v>
      </c>
      <c r="BO63" s="43"/>
      <c r="BP63" s="43">
        <v>172372.3</v>
      </c>
    </row>
  </sheetData>
  <autoFilter ref="A1:BP63" xr:uid="{00000000-0009-0000-0000-000006000000}">
    <filterColumn colId="0">
      <colorFilter dxfId="0"/>
    </filterColumn>
    <sortState xmlns:xlrd2="http://schemas.microsoft.com/office/spreadsheetml/2017/richdata2" ref="A2:BP63">
      <sortCondition ref="A1:A5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7"/>
  <sheetViews>
    <sheetView zoomScale="55" zoomScaleNormal="55" workbookViewId="0">
      <pane ySplit="1" topLeftCell="A108" activePane="bottomLeft" state="frozen"/>
      <selection pane="bottomLeft"/>
    </sheetView>
  </sheetViews>
  <sheetFormatPr baseColWidth="10" defaultRowHeight="14.5" x14ac:dyDescent="0.35"/>
  <cols>
    <col min="1" max="1" width="98.90625" style="38" customWidth="1"/>
    <col min="2" max="2" width="28.81640625" customWidth="1"/>
    <col min="3" max="3" width="17.54296875" bestFit="1" customWidth="1"/>
    <col min="4" max="4" width="28.81640625" customWidth="1"/>
    <col min="5" max="5" width="25.08984375" customWidth="1"/>
    <col min="6" max="6" width="29.90625" customWidth="1"/>
    <col min="7" max="8" width="25.08984375" customWidth="1"/>
    <col min="9" max="12" width="25.08984375" style="38" customWidth="1"/>
  </cols>
  <sheetData>
    <row r="1" spans="1:12" ht="35.4" customHeight="1" x14ac:dyDescent="0.35">
      <c r="A1" s="51" t="s">
        <v>0</v>
      </c>
      <c r="B1" s="50" t="s">
        <v>3</v>
      </c>
      <c r="C1" s="50" t="s">
        <v>4</v>
      </c>
      <c r="D1" s="50" t="s">
        <v>6</v>
      </c>
      <c r="E1" s="50" t="s">
        <v>414</v>
      </c>
      <c r="F1" s="50" t="s">
        <v>415</v>
      </c>
      <c r="G1" s="50" t="s">
        <v>416</v>
      </c>
      <c r="H1" s="50" t="s">
        <v>417</v>
      </c>
      <c r="I1" s="51" t="s">
        <v>418</v>
      </c>
      <c r="J1" s="51" t="s">
        <v>419</v>
      </c>
      <c r="K1" s="51" t="s">
        <v>7</v>
      </c>
      <c r="L1" s="51" t="s">
        <v>8</v>
      </c>
    </row>
    <row r="2" spans="1:12" ht="43.75" customHeight="1" x14ac:dyDescent="0.35">
      <c r="A2" s="104" t="s">
        <v>16</v>
      </c>
      <c r="B2" s="21" t="s">
        <v>19</v>
      </c>
      <c r="C2" s="21" t="s">
        <v>20</v>
      </c>
      <c r="D2" s="21" t="s">
        <v>22</v>
      </c>
      <c r="E2" s="52"/>
      <c r="F2" s="52"/>
      <c r="G2" s="52"/>
      <c r="H2" s="52"/>
      <c r="I2" s="52"/>
      <c r="J2" s="53"/>
      <c r="K2" s="52"/>
      <c r="L2" s="52"/>
    </row>
    <row r="3" spans="1:12" ht="43.75" customHeight="1" x14ac:dyDescent="0.35">
      <c r="A3" s="104" t="s">
        <v>23</v>
      </c>
      <c r="B3" s="8" t="s">
        <v>26</v>
      </c>
      <c r="C3" s="8" t="s">
        <v>20</v>
      </c>
      <c r="D3" s="21" t="s">
        <v>22</v>
      </c>
      <c r="E3" s="52"/>
      <c r="F3" s="52"/>
      <c r="G3" s="52"/>
      <c r="H3" s="52"/>
      <c r="I3" s="52"/>
      <c r="J3" s="53"/>
      <c r="K3" s="52"/>
      <c r="L3" s="52"/>
    </row>
    <row r="4" spans="1:12" ht="43.75" customHeight="1" x14ac:dyDescent="0.35">
      <c r="A4" s="104" t="s">
        <v>28</v>
      </c>
      <c r="B4" s="8" t="s">
        <v>19</v>
      </c>
      <c r="C4" s="8" t="s">
        <v>20</v>
      </c>
      <c r="D4" s="11" t="s">
        <v>22</v>
      </c>
      <c r="E4" s="52" t="s">
        <v>430</v>
      </c>
      <c r="F4" s="52"/>
      <c r="G4" s="52"/>
      <c r="H4" s="52" t="s">
        <v>420</v>
      </c>
      <c r="I4" s="52"/>
      <c r="J4" s="53">
        <v>12805</v>
      </c>
      <c r="K4" s="52" t="s">
        <v>423</v>
      </c>
      <c r="L4" s="52" t="s">
        <v>27</v>
      </c>
    </row>
    <row r="5" spans="1:12" ht="43.75" customHeight="1" x14ac:dyDescent="0.35">
      <c r="A5" s="104" t="s">
        <v>28</v>
      </c>
      <c r="B5" s="8" t="s">
        <v>19</v>
      </c>
      <c r="C5" s="8" t="s">
        <v>20</v>
      </c>
      <c r="D5" s="11" t="s">
        <v>22</v>
      </c>
      <c r="E5" s="52" t="s">
        <v>421</v>
      </c>
      <c r="F5" s="52"/>
      <c r="G5" s="52"/>
      <c r="H5" s="52" t="s">
        <v>427</v>
      </c>
      <c r="I5" s="52"/>
      <c r="J5" s="53">
        <v>3002</v>
      </c>
      <c r="K5" s="52" t="s">
        <v>559</v>
      </c>
      <c r="L5" s="52" t="s">
        <v>27</v>
      </c>
    </row>
    <row r="6" spans="1:12" ht="43.75" customHeight="1" x14ac:dyDescent="0.35">
      <c r="A6" s="104" t="s">
        <v>28</v>
      </c>
      <c r="B6" s="8" t="s">
        <v>19</v>
      </c>
      <c r="C6" s="8" t="s">
        <v>20</v>
      </c>
      <c r="D6" s="11" t="s">
        <v>22</v>
      </c>
      <c r="E6" s="52" t="s">
        <v>560</v>
      </c>
      <c r="F6" s="52"/>
      <c r="G6" s="52"/>
      <c r="H6" s="52" t="s">
        <v>424</v>
      </c>
      <c r="I6" s="52"/>
      <c r="J6" s="53">
        <v>1510</v>
      </c>
      <c r="K6" s="52" t="s">
        <v>561</v>
      </c>
      <c r="L6" s="52" t="s">
        <v>27</v>
      </c>
    </row>
    <row r="7" spans="1:12" ht="43.75" customHeight="1" x14ac:dyDescent="0.35">
      <c r="A7" s="104" t="s">
        <v>28</v>
      </c>
      <c r="B7" s="8" t="s">
        <v>19</v>
      </c>
      <c r="C7" s="8" t="s">
        <v>20</v>
      </c>
      <c r="D7" s="11" t="s">
        <v>22</v>
      </c>
      <c r="E7" s="52" t="s">
        <v>425</v>
      </c>
      <c r="F7" s="52"/>
      <c r="G7" s="52"/>
      <c r="H7" s="52" t="s">
        <v>426</v>
      </c>
      <c r="I7" s="52"/>
      <c r="J7" s="53">
        <v>13436</v>
      </c>
      <c r="K7" s="52" t="s">
        <v>561</v>
      </c>
      <c r="L7" s="52" t="s">
        <v>27</v>
      </c>
    </row>
    <row r="8" spans="1:12" ht="43.75" customHeight="1" x14ac:dyDescent="0.35">
      <c r="A8" s="104" t="s">
        <v>28</v>
      </c>
      <c r="B8" s="8" t="s">
        <v>19</v>
      </c>
      <c r="C8" s="8" t="s">
        <v>20</v>
      </c>
      <c r="D8" s="11" t="s">
        <v>22</v>
      </c>
      <c r="E8" s="52" t="s">
        <v>430</v>
      </c>
      <c r="F8" s="52"/>
      <c r="G8" s="52"/>
      <c r="H8" s="52" t="s">
        <v>536</v>
      </c>
      <c r="I8" s="52"/>
      <c r="J8" s="53">
        <v>3160</v>
      </c>
      <c r="K8" s="52" t="s">
        <v>561</v>
      </c>
      <c r="L8" s="52" t="s">
        <v>27</v>
      </c>
    </row>
    <row r="9" spans="1:12" ht="43.75" customHeight="1" x14ac:dyDescent="0.35">
      <c r="A9" s="104" t="s">
        <v>28</v>
      </c>
      <c r="B9" s="8" t="s">
        <v>19</v>
      </c>
      <c r="C9" s="8" t="s">
        <v>20</v>
      </c>
      <c r="D9" s="11" t="s">
        <v>22</v>
      </c>
      <c r="E9" s="52" t="s">
        <v>422</v>
      </c>
      <c r="F9" s="52"/>
      <c r="G9" s="52"/>
      <c r="H9" s="52" t="s">
        <v>536</v>
      </c>
      <c r="I9" s="52"/>
      <c r="J9" s="53">
        <v>3040</v>
      </c>
      <c r="K9" s="52" t="s">
        <v>561</v>
      </c>
      <c r="L9" s="52" t="s">
        <v>27</v>
      </c>
    </row>
    <row r="10" spans="1:12" ht="43.75" customHeight="1" x14ac:dyDescent="0.35">
      <c r="A10" s="104" t="s">
        <v>28</v>
      </c>
      <c r="B10" s="8" t="s">
        <v>19</v>
      </c>
      <c r="C10" s="8" t="s">
        <v>20</v>
      </c>
      <c r="D10" s="11" t="s">
        <v>22</v>
      </c>
      <c r="E10" s="52" t="s">
        <v>422</v>
      </c>
      <c r="F10" s="52"/>
      <c r="G10" s="52"/>
      <c r="H10" s="52" t="s">
        <v>562</v>
      </c>
      <c r="I10" s="52"/>
      <c r="J10" s="53">
        <v>6800</v>
      </c>
      <c r="K10" s="52" t="s">
        <v>561</v>
      </c>
      <c r="L10" s="52" t="s">
        <v>27</v>
      </c>
    </row>
    <row r="11" spans="1:12" ht="43.75" customHeight="1" x14ac:dyDescent="0.35">
      <c r="A11" s="104" t="s">
        <v>28</v>
      </c>
      <c r="B11" s="8" t="s">
        <v>19</v>
      </c>
      <c r="C11" s="8" t="s">
        <v>20</v>
      </c>
      <c r="D11" s="11" t="s">
        <v>22</v>
      </c>
      <c r="E11" s="52" t="s">
        <v>428</v>
      </c>
      <c r="F11" s="52"/>
      <c r="G11" s="52"/>
      <c r="H11" s="52" t="s">
        <v>536</v>
      </c>
      <c r="I11" s="52"/>
      <c r="J11" s="53">
        <v>5412</v>
      </c>
      <c r="K11" s="52" t="s">
        <v>561</v>
      </c>
      <c r="L11" s="52" t="s">
        <v>27</v>
      </c>
    </row>
    <row r="12" spans="1:12" ht="43.75" customHeight="1" x14ac:dyDescent="0.35">
      <c r="A12" s="104" t="s">
        <v>28</v>
      </c>
      <c r="B12" s="8" t="s">
        <v>19</v>
      </c>
      <c r="C12" s="8" t="s">
        <v>20</v>
      </c>
      <c r="D12" s="11" t="s">
        <v>22</v>
      </c>
      <c r="E12" s="52" t="s">
        <v>421</v>
      </c>
      <c r="F12" s="52"/>
      <c r="G12" s="52"/>
      <c r="H12" s="52" t="s">
        <v>427</v>
      </c>
      <c r="I12" s="52"/>
      <c r="J12" s="53">
        <v>2500</v>
      </c>
      <c r="K12" s="52" t="s">
        <v>561</v>
      </c>
      <c r="L12" s="52" t="s">
        <v>27</v>
      </c>
    </row>
    <row r="13" spans="1:12" ht="43.75" customHeight="1" x14ac:dyDescent="0.35">
      <c r="A13" s="104" t="s">
        <v>28</v>
      </c>
      <c r="B13" s="8" t="s">
        <v>19</v>
      </c>
      <c r="C13" s="8" t="s">
        <v>20</v>
      </c>
      <c r="D13" s="11" t="s">
        <v>22</v>
      </c>
      <c r="E13" s="52" t="s">
        <v>421</v>
      </c>
      <c r="F13" s="52"/>
      <c r="G13" s="52"/>
      <c r="H13" s="52" t="s">
        <v>536</v>
      </c>
      <c r="I13" s="52"/>
      <c r="J13" s="53">
        <v>14059</v>
      </c>
      <c r="K13" s="52" t="s">
        <v>561</v>
      </c>
      <c r="L13" s="52" t="s">
        <v>27</v>
      </c>
    </row>
    <row r="14" spans="1:12" ht="43.75" customHeight="1" x14ac:dyDescent="0.35">
      <c r="A14" s="104" t="s">
        <v>34</v>
      </c>
      <c r="B14" s="8" t="s">
        <v>19</v>
      </c>
      <c r="C14" s="8" t="s">
        <v>37</v>
      </c>
      <c r="D14" s="8" t="s">
        <v>38</v>
      </c>
      <c r="E14" s="52"/>
      <c r="F14" s="52"/>
      <c r="G14" s="52"/>
      <c r="H14" s="52"/>
      <c r="I14" s="52"/>
      <c r="J14" s="53"/>
      <c r="K14" s="52"/>
      <c r="L14" s="52"/>
    </row>
    <row r="15" spans="1:12" ht="43.75" customHeight="1" x14ac:dyDescent="0.35">
      <c r="A15" s="104" t="s">
        <v>40</v>
      </c>
      <c r="B15" s="6" t="s">
        <v>19</v>
      </c>
      <c r="C15" s="6" t="s">
        <v>20</v>
      </c>
      <c r="D15" s="11" t="s">
        <v>22</v>
      </c>
      <c r="E15" s="52"/>
      <c r="F15" s="52"/>
      <c r="G15" s="52"/>
      <c r="H15" s="52"/>
      <c r="I15" s="52"/>
      <c r="J15" s="53"/>
      <c r="K15" s="52"/>
      <c r="L15" s="52"/>
    </row>
    <row r="16" spans="1:12" ht="43.75" customHeight="1" x14ac:dyDescent="0.35">
      <c r="A16" s="104" t="s">
        <v>52</v>
      </c>
      <c r="B16" s="17" t="s">
        <v>19</v>
      </c>
      <c r="C16" s="8" t="s">
        <v>20</v>
      </c>
      <c r="D16" s="11" t="s">
        <v>22</v>
      </c>
      <c r="E16" s="52"/>
      <c r="F16" s="52"/>
      <c r="G16" s="52"/>
      <c r="H16" s="52"/>
      <c r="I16" s="52"/>
      <c r="J16" s="53"/>
      <c r="K16" s="52"/>
      <c r="L16" s="52"/>
    </row>
    <row r="17" spans="1:12" ht="43.75" customHeight="1" x14ac:dyDescent="0.35">
      <c r="A17" s="104" t="s">
        <v>472</v>
      </c>
      <c r="B17" s="8" t="s">
        <v>19</v>
      </c>
      <c r="C17" s="34" t="s">
        <v>20</v>
      </c>
      <c r="D17" s="11" t="s">
        <v>22</v>
      </c>
      <c r="E17" s="52"/>
      <c r="F17" s="52"/>
      <c r="G17" s="52"/>
      <c r="H17" s="52"/>
      <c r="I17" s="52"/>
      <c r="J17" s="53"/>
      <c r="K17" s="52"/>
      <c r="L17" s="52"/>
    </row>
    <row r="18" spans="1:12" ht="43.75" customHeight="1" x14ac:dyDescent="0.35">
      <c r="A18" s="104" t="s">
        <v>56</v>
      </c>
      <c r="B18" s="17" t="s">
        <v>19</v>
      </c>
      <c r="C18" s="8" t="s">
        <v>20</v>
      </c>
      <c r="D18" s="11" t="s">
        <v>22</v>
      </c>
      <c r="E18" s="52"/>
      <c r="F18" s="52"/>
      <c r="G18" s="52"/>
      <c r="H18" s="52"/>
      <c r="I18" s="52"/>
      <c r="J18" s="53"/>
      <c r="K18" s="52"/>
      <c r="L18" s="52"/>
    </row>
    <row r="19" spans="1:12" ht="43.75" customHeight="1" x14ac:dyDescent="0.35">
      <c r="A19" s="104" t="s">
        <v>67</v>
      </c>
      <c r="B19" s="8" t="s">
        <v>19</v>
      </c>
      <c r="C19" s="8" t="s">
        <v>70</v>
      </c>
      <c r="D19" s="11" t="s">
        <v>22</v>
      </c>
      <c r="E19" s="52"/>
      <c r="F19" s="52"/>
      <c r="G19" s="52"/>
      <c r="H19" s="52"/>
      <c r="I19" s="52"/>
      <c r="J19" s="53"/>
      <c r="K19" s="52"/>
      <c r="L19" s="52"/>
    </row>
    <row r="20" spans="1:12" ht="43.75" customHeight="1" x14ac:dyDescent="0.35">
      <c r="A20" s="104" t="s">
        <v>60</v>
      </c>
      <c r="B20" s="8" t="s">
        <v>26</v>
      </c>
      <c r="C20" s="6" t="s">
        <v>63</v>
      </c>
      <c r="D20" s="8" t="s">
        <v>38</v>
      </c>
      <c r="E20" s="52" t="s">
        <v>431</v>
      </c>
      <c r="F20" s="52"/>
      <c r="G20" s="52" t="s">
        <v>545</v>
      </c>
      <c r="H20" s="52" t="s">
        <v>420</v>
      </c>
      <c r="I20" s="52"/>
      <c r="J20" s="52">
        <v>15000</v>
      </c>
      <c r="K20" s="52" t="s">
        <v>555</v>
      </c>
      <c r="L20" s="52"/>
    </row>
    <row r="21" spans="1:12" ht="43.75" customHeight="1" x14ac:dyDescent="0.35">
      <c r="A21" s="104" t="s">
        <v>60</v>
      </c>
      <c r="B21" s="8" t="s">
        <v>26</v>
      </c>
      <c r="C21" s="6" t="s">
        <v>63</v>
      </c>
      <c r="D21" s="8" t="s">
        <v>38</v>
      </c>
      <c r="E21" s="52" t="s">
        <v>431</v>
      </c>
      <c r="F21" s="52"/>
      <c r="G21" s="52"/>
      <c r="H21" s="52" t="s">
        <v>420</v>
      </c>
      <c r="I21" s="52"/>
      <c r="J21" s="53">
        <v>15000</v>
      </c>
      <c r="K21" s="52" t="s">
        <v>556</v>
      </c>
      <c r="L21" s="52"/>
    </row>
    <row r="22" spans="1:12" ht="43.75" customHeight="1" x14ac:dyDescent="0.35">
      <c r="A22" s="104" t="s">
        <v>60</v>
      </c>
      <c r="B22" s="8" t="s">
        <v>26</v>
      </c>
      <c r="C22" s="6" t="s">
        <v>63</v>
      </c>
      <c r="D22" s="8" t="s">
        <v>38</v>
      </c>
      <c r="E22" s="52" t="s">
        <v>431</v>
      </c>
      <c r="F22" s="52"/>
      <c r="G22" s="52"/>
      <c r="H22" s="52" t="s">
        <v>420</v>
      </c>
      <c r="I22" s="52"/>
      <c r="J22" s="53">
        <v>15000</v>
      </c>
      <c r="K22" s="52" t="s">
        <v>557</v>
      </c>
      <c r="L22" s="52"/>
    </row>
    <row r="23" spans="1:12" ht="43.75" customHeight="1" x14ac:dyDescent="0.35">
      <c r="A23" s="104" t="s">
        <v>60</v>
      </c>
      <c r="B23" s="8" t="s">
        <v>26</v>
      </c>
      <c r="C23" s="6" t="s">
        <v>63</v>
      </c>
      <c r="D23" s="8" t="s">
        <v>38</v>
      </c>
      <c r="E23" s="52" t="s">
        <v>430</v>
      </c>
      <c r="F23" s="52"/>
      <c r="G23" s="52" t="s">
        <v>546</v>
      </c>
      <c r="H23" s="52" t="s">
        <v>420</v>
      </c>
      <c r="I23" s="52"/>
      <c r="J23" s="53">
        <v>22100</v>
      </c>
      <c r="K23" s="52" t="s">
        <v>558</v>
      </c>
      <c r="L23" s="52"/>
    </row>
    <row r="24" spans="1:12" ht="43.75" customHeight="1" x14ac:dyDescent="0.35">
      <c r="A24" s="104" t="s">
        <v>60</v>
      </c>
      <c r="B24" s="8" t="s">
        <v>26</v>
      </c>
      <c r="C24" s="6" t="s">
        <v>63</v>
      </c>
      <c r="D24" s="8" t="s">
        <v>38</v>
      </c>
      <c r="E24" s="52" t="s">
        <v>432</v>
      </c>
      <c r="F24" s="52"/>
      <c r="G24" s="52" t="s">
        <v>547</v>
      </c>
      <c r="H24" s="52" t="s">
        <v>420</v>
      </c>
      <c r="I24" s="52"/>
      <c r="J24" s="53">
        <v>8000</v>
      </c>
      <c r="K24" s="52" t="s">
        <v>555</v>
      </c>
      <c r="L24" s="52"/>
    </row>
    <row r="25" spans="1:12" ht="43.75" customHeight="1" x14ac:dyDescent="0.35">
      <c r="A25" s="104" t="s">
        <v>60</v>
      </c>
      <c r="B25" s="8" t="s">
        <v>26</v>
      </c>
      <c r="C25" s="6" t="s">
        <v>63</v>
      </c>
      <c r="D25" s="8" t="s">
        <v>38</v>
      </c>
      <c r="E25" s="52" t="s">
        <v>432</v>
      </c>
      <c r="F25" s="52"/>
      <c r="G25" s="52" t="s">
        <v>548</v>
      </c>
      <c r="H25" s="52" t="s">
        <v>420</v>
      </c>
      <c r="I25" s="52"/>
      <c r="J25" s="53">
        <v>10000</v>
      </c>
      <c r="K25" s="52" t="s">
        <v>555</v>
      </c>
      <c r="L25" s="52"/>
    </row>
    <row r="26" spans="1:12" ht="43.75" customHeight="1" x14ac:dyDescent="0.35">
      <c r="A26" s="104" t="s">
        <v>60</v>
      </c>
      <c r="B26" s="8" t="s">
        <v>26</v>
      </c>
      <c r="C26" s="6" t="s">
        <v>63</v>
      </c>
      <c r="D26" s="8" t="s">
        <v>38</v>
      </c>
      <c r="E26" s="52" t="s">
        <v>426</v>
      </c>
      <c r="F26" s="52"/>
      <c r="G26" s="52" t="s">
        <v>549</v>
      </c>
      <c r="H26" s="52" t="s">
        <v>426</v>
      </c>
      <c r="I26" s="52"/>
      <c r="J26" s="53">
        <v>8500</v>
      </c>
      <c r="K26" s="52" t="s">
        <v>555</v>
      </c>
      <c r="L26" s="52"/>
    </row>
    <row r="27" spans="1:12" ht="43.75" customHeight="1" x14ac:dyDescent="0.35">
      <c r="A27" s="104" t="s">
        <v>60</v>
      </c>
      <c r="B27" s="8" t="s">
        <v>26</v>
      </c>
      <c r="C27" s="6" t="s">
        <v>63</v>
      </c>
      <c r="D27" s="8" t="s">
        <v>38</v>
      </c>
      <c r="E27" s="52" t="s">
        <v>428</v>
      </c>
      <c r="F27" s="52"/>
      <c r="G27" s="52" t="s">
        <v>550</v>
      </c>
      <c r="H27" s="52" t="s">
        <v>536</v>
      </c>
      <c r="I27" s="52"/>
      <c r="J27" s="53">
        <v>15000</v>
      </c>
      <c r="K27" s="52" t="s">
        <v>556</v>
      </c>
      <c r="L27" s="52"/>
    </row>
    <row r="28" spans="1:12" ht="43.75" customHeight="1" x14ac:dyDescent="0.35">
      <c r="A28" s="104" t="s">
        <v>60</v>
      </c>
      <c r="B28" s="8" t="s">
        <v>26</v>
      </c>
      <c r="C28" s="6" t="s">
        <v>63</v>
      </c>
      <c r="D28" s="8" t="s">
        <v>38</v>
      </c>
      <c r="E28" s="52" t="s">
        <v>425</v>
      </c>
      <c r="F28" s="52"/>
      <c r="G28" s="52" t="s">
        <v>551</v>
      </c>
      <c r="H28" s="52" t="s">
        <v>420</v>
      </c>
      <c r="I28" s="52"/>
      <c r="J28" s="53">
        <v>4000</v>
      </c>
      <c r="K28" s="52" t="s">
        <v>556</v>
      </c>
      <c r="L28" s="52"/>
    </row>
    <row r="29" spans="1:12" ht="43.75" customHeight="1" x14ac:dyDescent="0.35">
      <c r="A29" s="104" t="s">
        <v>60</v>
      </c>
      <c r="B29" s="8" t="s">
        <v>26</v>
      </c>
      <c r="C29" s="6" t="s">
        <v>63</v>
      </c>
      <c r="D29" s="8" t="s">
        <v>38</v>
      </c>
      <c r="E29" s="52" t="s">
        <v>426</v>
      </c>
      <c r="F29" s="52"/>
      <c r="G29" s="52" t="s">
        <v>552</v>
      </c>
      <c r="H29" s="52" t="s">
        <v>426</v>
      </c>
      <c r="I29" s="52"/>
      <c r="J29" s="53">
        <v>8500</v>
      </c>
      <c r="K29" s="52" t="s">
        <v>556</v>
      </c>
      <c r="L29" s="52"/>
    </row>
    <row r="30" spans="1:12" ht="43.75" customHeight="1" x14ac:dyDescent="0.35">
      <c r="A30" s="104" t="s">
        <v>60</v>
      </c>
      <c r="B30" s="8" t="s">
        <v>26</v>
      </c>
      <c r="C30" s="6" t="s">
        <v>63</v>
      </c>
      <c r="D30" s="8" t="s">
        <v>38</v>
      </c>
      <c r="E30" s="52" t="s">
        <v>421</v>
      </c>
      <c r="F30" s="52"/>
      <c r="G30" s="52" t="s">
        <v>553</v>
      </c>
      <c r="H30" s="52" t="s">
        <v>420</v>
      </c>
      <c r="I30" s="52"/>
      <c r="J30" s="53">
        <v>6000</v>
      </c>
      <c r="K30" s="52" t="s">
        <v>556</v>
      </c>
      <c r="L30" s="52"/>
    </row>
    <row r="31" spans="1:12" ht="43.75" customHeight="1" x14ac:dyDescent="0.35">
      <c r="A31" s="104" t="s">
        <v>60</v>
      </c>
      <c r="B31" s="8" t="s">
        <v>26</v>
      </c>
      <c r="C31" s="6" t="s">
        <v>63</v>
      </c>
      <c r="D31" s="8" t="s">
        <v>38</v>
      </c>
      <c r="E31" s="52" t="s">
        <v>426</v>
      </c>
      <c r="F31" s="52"/>
      <c r="G31" s="52" t="s">
        <v>554</v>
      </c>
      <c r="H31" s="52" t="s">
        <v>426</v>
      </c>
      <c r="I31" s="52"/>
      <c r="J31" s="53">
        <v>12500</v>
      </c>
      <c r="K31" s="52" t="s">
        <v>557</v>
      </c>
      <c r="L31" s="52"/>
    </row>
    <row r="32" spans="1:12" ht="43.75" customHeight="1" x14ac:dyDescent="0.35">
      <c r="A32" s="104" t="s">
        <v>60</v>
      </c>
      <c r="B32" s="8" t="s">
        <v>26</v>
      </c>
      <c r="C32" s="6" t="s">
        <v>63</v>
      </c>
      <c r="D32" s="8" t="s">
        <v>38</v>
      </c>
      <c r="E32" s="52"/>
      <c r="F32" s="52"/>
      <c r="G32" s="52"/>
      <c r="H32" s="52"/>
      <c r="I32" s="52"/>
      <c r="J32" s="53"/>
      <c r="K32" s="52"/>
      <c r="L32" s="52"/>
    </row>
    <row r="33" spans="1:12" ht="43.75" customHeight="1" x14ac:dyDescent="0.35">
      <c r="A33" s="104" t="s">
        <v>60</v>
      </c>
      <c r="B33" s="8" t="s">
        <v>26</v>
      </c>
      <c r="C33" s="6" t="s">
        <v>63</v>
      </c>
      <c r="D33" s="8" t="s">
        <v>38</v>
      </c>
      <c r="E33" s="52"/>
      <c r="F33" s="52"/>
      <c r="G33" s="52"/>
      <c r="H33" s="52"/>
      <c r="I33" s="52"/>
      <c r="J33" s="53"/>
      <c r="K33" s="52"/>
      <c r="L33" s="52"/>
    </row>
    <row r="34" spans="1:12" ht="43.75" customHeight="1" x14ac:dyDescent="0.35">
      <c r="A34" s="104" t="s">
        <v>497</v>
      </c>
      <c r="B34" s="8" t="s">
        <v>26</v>
      </c>
      <c r="C34" s="34" t="s">
        <v>47</v>
      </c>
      <c r="D34" s="21" t="s">
        <v>499</v>
      </c>
      <c r="E34" s="52"/>
      <c r="F34" s="52"/>
      <c r="G34" s="52"/>
      <c r="H34" s="52"/>
      <c r="I34" s="52"/>
      <c r="J34" s="53"/>
      <c r="K34" s="52"/>
      <c r="L34" s="52"/>
    </row>
    <row r="35" spans="1:12" ht="43.75" customHeight="1" x14ac:dyDescent="0.35">
      <c r="A35" s="104" t="s">
        <v>106</v>
      </c>
      <c r="B35" s="8" t="s">
        <v>109</v>
      </c>
      <c r="C35" s="8" t="s">
        <v>47</v>
      </c>
      <c r="D35" s="8" t="s">
        <v>331</v>
      </c>
      <c r="E35" s="52" t="s">
        <v>421</v>
      </c>
      <c r="F35" s="52"/>
      <c r="G35" s="52" t="s">
        <v>526</v>
      </c>
      <c r="H35" s="52" t="s">
        <v>427</v>
      </c>
      <c r="I35" s="53"/>
      <c r="J35" s="53">
        <v>6150</v>
      </c>
      <c r="K35" s="53" t="s">
        <v>537</v>
      </c>
      <c r="L35" s="53" t="s">
        <v>111</v>
      </c>
    </row>
    <row r="36" spans="1:12" ht="43.75" customHeight="1" x14ac:dyDescent="0.35">
      <c r="A36" s="104" t="s">
        <v>106</v>
      </c>
      <c r="B36" s="8" t="s">
        <v>109</v>
      </c>
      <c r="C36" s="8" t="s">
        <v>47</v>
      </c>
      <c r="D36" s="8" t="s">
        <v>331</v>
      </c>
      <c r="E36" s="52" t="s">
        <v>421</v>
      </c>
      <c r="F36" s="52"/>
      <c r="G36" s="52" t="s">
        <v>527</v>
      </c>
      <c r="H36" s="52" t="s">
        <v>535</v>
      </c>
      <c r="I36" s="53"/>
      <c r="J36" s="53">
        <v>5300</v>
      </c>
      <c r="K36" s="53" t="s">
        <v>110</v>
      </c>
      <c r="L36" s="53" t="s">
        <v>111</v>
      </c>
    </row>
    <row r="37" spans="1:12" ht="43.75" customHeight="1" x14ac:dyDescent="0.35">
      <c r="A37" s="104" t="s">
        <v>106</v>
      </c>
      <c r="B37" s="8" t="s">
        <v>109</v>
      </c>
      <c r="C37" s="8" t="s">
        <v>47</v>
      </c>
      <c r="D37" s="8" t="s">
        <v>331</v>
      </c>
      <c r="E37" s="52" t="s">
        <v>428</v>
      </c>
      <c r="F37" s="52"/>
      <c r="G37" s="52" t="s">
        <v>528</v>
      </c>
      <c r="H37" s="52" t="s">
        <v>536</v>
      </c>
      <c r="I37" s="53"/>
      <c r="J37" s="53">
        <v>78331.043000000005</v>
      </c>
      <c r="K37" s="53" t="s">
        <v>110</v>
      </c>
      <c r="L37" s="53" t="s">
        <v>111</v>
      </c>
    </row>
    <row r="38" spans="1:12" ht="43.75" customHeight="1" x14ac:dyDescent="0.35">
      <c r="A38" s="104" t="s">
        <v>106</v>
      </c>
      <c r="B38" s="8" t="s">
        <v>109</v>
      </c>
      <c r="C38" s="8" t="s">
        <v>47</v>
      </c>
      <c r="D38" s="8" t="s">
        <v>331</v>
      </c>
      <c r="E38" s="52" t="s">
        <v>428</v>
      </c>
      <c r="F38" s="52"/>
      <c r="G38" s="52" t="s">
        <v>529</v>
      </c>
      <c r="H38" s="52" t="s">
        <v>536</v>
      </c>
      <c r="I38" s="53"/>
      <c r="J38" s="53">
        <v>23967.510999999999</v>
      </c>
      <c r="K38" s="53" t="s">
        <v>110</v>
      </c>
      <c r="L38" s="53" t="s">
        <v>111</v>
      </c>
    </row>
    <row r="39" spans="1:12" ht="43.75" customHeight="1" x14ac:dyDescent="0.35">
      <c r="A39" s="104" t="s">
        <v>106</v>
      </c>
      <c r="B39" s="8" t="s">
        <v>109</v>
      </c>
      <c r="C39" s="8" t="s">
        <v>47</v>
      </c>
      <c r="D39" s="8" t="s">
        <v>331</v>
      </c>
      <c r="E39" s="52" t="s">
        <v>428</v>
      </c>
      <c r="F39" s="52"/>
      <c r="G39" s="52" t="s">
        <v>429</v>
      </c>
      <c r="H39" s="52" t="s">
        <v>536</v>
      </c>
      <c r="I39" s="53"/>
      <c r="J39" s="53">
        <v>96153.107999999993</v>
      </c>
      <c r="K39" s="53" t="s">
        <v>110</v>
      </c>
      <c r="L39" s="53" t="s">
        <v>111</v>
      </c>
    </row>
    <row r="40" spans="1:12" ht="43.75" customHeight="1" x14ac:dyDescent="0.35">
      <c r="A40" s="104" t="s">
        <v>106</v>
      </c>
      <c r="B40" s="8" t="s">
        <v>109</v>
      </c>
      <c r="C40" s="8" t="s">
        <v>47</v>
      </c>
      <c r="D40" s="8" t="s">
        <v>331</v>
      </c>
      <c r="E40" s="52" t="s">
        <v>428</v>
      </c>
      <c r="F40" s="52"/>
      <c r="G40" s="52" t="s">
        <v>530</v>
      </c>
      <c r="H40" s="52" t="s">
        <v>536</v>
      </c>
      <c r="I40" s="53"/>
      <c r="J40" s="53">
        <v>17461.207999999999</v>
      </c>
      <c r="K40" s="53" t="s">
        <v>110</v>
      </c>
      <c r="L40" s="53" t="s">
        <v>111</v>
      </c>
    </row>
    <row r="41" spans="1:12" ht="43.75" customHeight="1" x14ac:dyDescent="0.35">
      <c r="A41" s="104" t="s">
        <v>106</v>
      </c>
      <c r="B41" s="8" t="s">
        <v>109</v>
      </c>
      <c r="C41" s="8" t="s">
        <v>47</v>
      </c>
      <c r="D41" s="8" t="s">
        <v>331</v>
      </c>
      <c r="E41" s="52" t="s">
        <v>428</v>
      </c>
      <c r="F41" s="52"/>
      <c r="G41" s="52" t="s">
        <v>435</v>
      </c>
      <c r="H41" s="52" t="s">
        <v>536</v>
      </c>
      <c r="I41" s="53"/>
      <c r="J41" s="53">
        <v>35193.5</v>
      </c>
      <c r="K41" s="53" t="s">
        <v>110</v>
      </c>
      <c r="L41" s="53" t="s">
        <v>111</v>
      </c>
    </row>
    <row r="42" spans="1:12" ht="43.75" customHeight="1" x14ac:dyDescent="0.35">
      <c r="A42" s="104" t="s">
        <v>106</v>
      </c>
      <c r="B42" s="8" t="s">
        <v>109</v>
      </c>
      <c r="C42" s="8" t="s">
        <v>47</v>
      </c>
      <c r="D42" s="8" t="s">
        <v>331</v>
      </c>
      <c r="E42" s="52" t="s">
        <v>428</v>
      </c>
      <c r="F42" s="52"/>
      <c r="G42" s="52" t="s">
        <v>531</v>
      </c>
      <c r="H42" s="52" t="s">
        <v>424</v>
      </c>
      <c r="I42" s="53"/>
      <c r="J42" s="53">
        <v>258</v>
      </c>
      <c r="K42" s="53" t="s">
        <v>110</v>
      </c>
      <c r="L42" s="53" t="s">
        <v>111</v>
      </c>
    </row>
    <row r="43" spans="1:12" ht="43.75" customHeight="1" x14ac:dyDescent="0.35">
      <c r="A43" s="104" t="s">
        <v>106</v>
      </c>
      <c r="B43" s="8" t="s">
        <v>109</v>
      </c>
      <c r="C43" s="8" t="s">
        <v>47</v>
      </c>
      <c r="D43" s="8" t="s">
        <v>331</v>
      </c>
      <c r="E43" s="52" t="s">
        <v>428</v>
      </c>
      <c r="F43" s="52"/>
      <c r="G43" s="52" t="s">
        <v>532</v>
      </c>
      <c r="H43" s="52" t="s">
        <v>536</v>
      </c>
      <c r="I43" s="53"/>
      <c r="J43" s="53">
        <v>54268.762999999999</v>
      </c>
      <c r="K43" s="53" t="s">
        <v>110</v>
      </c>
      <c r="L43" s="53" t="s">
        <v>111</v>
      </c>
    </row>
    <row r="44" spans="1:12" ht="43.75" customHeight="1" x14ac:dyDescent="0.35">
      <c r="A44" s="104" t="s">
        <v>106</v>
      </c>
      <c r="B44" s="8" t="s">
        <v>109</v>
      </c>
      <c r="C44" s="8" t="s">
        <v>47</v>
      </c>
      <c r="D44" s="8" t="s">
        <v>331</v>
      </c>
      <c r="E44" s="52" t="s">
        <v>428</v>
      </c>
      <c r="F44" s="52"/>
      <c r="G44" s="52" t="s">
        <v>434</v>
      </c>
      <c r="H44" s="52" t="s">
        <v>535</v>
      </c>
      <c r="I44" s="53"/>
      <c r="J44" s="53">
        <v>4550</v>
      </c>
      <c r="K44" s="53" t="s">
        <v>110</v>
      </c>
      <c r="L44" s="53" t="s">
        <v>111</v>
      </c>
    </row>
    <row r="45" spans="1:12" ht="43.75" customHeight="1" x14ac:dyDescent="0.35">
      <c r="A45" s="104" t="s">
        <v>106</v>
      </c>
      <c r="B45" s="8" t="s">
        <v>109</v>
      </c>
      <c r="C45" s="8" t="s">
        <v>47</v>
      </c>
      <c r="D45" s="8" t="s">
        <v>331</v>
      </c>
      <c r="E45" s="52" t="s">
        <v>430</v>
      </c>
      <c r="F45" s="52"/>
      <c r="G45" s="52" t="s">
        <v>433</v>
      </c>
      <c r="H45" s="52" t="s">
        <v>535</v>
      </c>
      <c r="I45" s="53"/>
      <c r="J45" s="53">
        <v>4438</v>
      </c>
      <c r="K45" s="53" t="s">
        <v>110</v>
      </c>
      <c r="L45" s="53" t="s">
        <v>111</v>
      </c>
    </row>
    <row r="46" spans="1:12" ht="43.75" customHeight="1" x14ac:dyDescent="0.35">
      <c r="A46" s="104" t="s">
        <v>106</v>
      </c>
      <c r="B46" s="8" t="s">
        <v>109</v>
      </c>
      <c r="C46" s="8" t="s">
        <v>47</v>
      </c>
      <c r="D46" s="8" t="s">
        <v>331</v>
      </c>
      <c r="E46" s="52" t="s">
        <v>430</v>
      </c>
      <c r="F46" s="52"/>
      <c r="G46" s="52" t="s">
        <v>433</v>
      </c>
      <c r="H46" s="52" t="s">
        <v>420</v>
      </c>
      <c r="I46" s="53"/>
      <c r="J46" s="53">
        <v>5005</v>
      </c>
      <c r="K46" s="53" t="s">
        <v>110</v>
      </c>
      <c r="L46" s="53" t="s">
        <v>111</v>
      </c>
    </row>
    <row r="47" spans="1:12" ht="43.75" customHeight="1" x14ac:dyDescent="0.35">
      <c r="A47" s="104" t="s">
        <v>106</v>
      </c>
      <c r="B47" s="8" t="s">
        <v>109</v>
      </c>
      <c r="C47" s="8" t="s">
        <v>47</v>
      </c>
      <c r="D47" s="8" t="s">
        <v>331</v>
      </c>
      <c r="E47" s="52" t="s">
        <v>430</v>
      </c>
      <c r="F47" s="52"/>
      <c r="G47" s="52" t="s">
        <v>436</v>
      </c>
      <c r="H47" s="52" t="s">
        <v>535</v>
      </c>
      <c r="I47" s="53"/>
      <c r="J47" s="53">
        <v>116881.393</v>
      </c>
      <c r="K47" s="53" t="s">
        <v>110</v>
      </c>
      <c r="L47" s="53" t="s">
        <v>111</v>
      </c>
    </row>
    <row r="48" spans="1:12" ht="43.75" customHeight="1" x14ac:dyDescent="0.35">
      <c r="A48" s="104" t="s">
        <v>106</v>
      </c>
      <c r="B48" s="8" t="s">
        <v>109</v>
      </c>
      <c r="C48" s="8" t="s">
        <v>47</v>
      </c>
      <c r="D48" s="8" t="s">
        <v>331</v>
      </c>
      <c r="E48" s="52" t="s">
        <v>430</v>
      </c>
      <c r="F48" s="52"/>
      <c r="G48" s="52" t="s">
        <v>533</v>
      </c>
      <c r="H48" s="52" t="s">
        <v>535</v>
      </c>
      <c r="I48" s="53"/>
      <c r="J48" s="53">
        <v>33038</v>
      </c>
      <c r="K48" s="53" t="s">
        <v>110</v>
      </c>
      <c r="L48" s="53" t="s">
        <v>111</v>
      </c>
    </row>
    <row r="49" spans="1:12" ht="43.75" customHeight="1" x14ac:dyDescent="0.35">
      <c r="A49" s="104" t="s">
        <v>106</v>
      </c>
      <c r="B49" s="8" t="s">
        <v>109</v>
      </c>
      <c r="C49" s="8" t="s">
        <v>47</v>
      </c>
      <c r="D49" s="8" t="s">
        <v>331</v>
      </c>
      <c r="E49" s="52" t="s">
        <v>430</v>
      </c>
      <c r="F49" s="52"/>
      <c r="G49" s="52" t="s">
        <v>434</v>
      </c>
      <c r="H49" s="52" t="s">
        <v>535</v>
      </c>
      <c r="I49" s="53"/>
      <c r="J49" s="53">
        <v>9680</v>
      </c>
      <c r="K49" s="53" t="s">
        <v>110</v>
      </c>
      <c r="L49" s="53" t="s">
        <v>111</v>
      </c>
    </row>
    <row r="50" spans="1:12" ht="43.75" customHeight="1" x14ac:dyDescent="0.35">
      <c r="A50" s="104" t="s">
        <v>106</v>
      </c>
      <c r="B50" s="8" t="s">
        <v>109</v>
      </c>
      <c r="C50" s="8" t="s">
        <v>47</v>
      </c>
      <c r="D50" s="8" t="s">
        <v>331</v>
      </c>
      <c r="E50" s="52" t="s">
        <v>430</v>
      </c>
      <c r="F50" s="52"/>
      <c r="G50" s="52" t="s">
        <v>434</v>
      </c>
      <c r="H50" s="52" t="s">
        <v>420</v>
      </c>
      <c r="I50" s="53"/>
      <c r="J50" s="53">
        <v>3000</v>
      </c>
      <c r="K50" s="53" t="s">
        <v>110</v>
      </c>
      <c r="L50" s="53" t="s">
        <v>111</v>
      </c>
    </row>
    <row r="51" spans="1:12" ht="43.75" customHeight="1" x14ac:dyDescent="0.35">
      <c r="A51" s="104" t="s">
        <v>106</v>
      </c>
      <c r="B51" s="8" t="s">
        <v>109</v>
      </c>
      <c r="C51" s="8" t="s">
        <v>47</v>
      </c>
      <c r="D51" s="8" t="s">
        <v>331</v>
      </c>
      <c r="E51" s="52" t="s">
        <v>430</v>
      </c>
      <c r="F51" s="52"/>
      <c r="G51" s="52" t="s">
        <v>434</v>
      </c>
      <c r="H51" s="52" t="s">
        <v>420</v>
      </c>
      <c r="I51" s="53"/>
      <c r="J51" s="53">
        <v>6400</v>
      </c>
      <c r="K51" s="53" t="s">
        <v>248</v>
      </c>
      <c r="L51" s="53" t="s">
        <v>248</v>
      </c>
    </row>
    <row r="52" spans="1:12" ht="43.75" customHeight="1" x14ac:dyDescent="0.35">
      <c r="A52" s="104" t="s">
        <v>106</v>
      </c>
      <c r="B52" s="8" t="s">
        <v>109</v>
      </c>
      <c r="C52" s="8" t="s">
        <v>47</v>
      </c>
      <c r="D52" s="8" t="s">
        <v>331</v>
      </c>
      <c r="E52" s="52" t="s">
        <v>525</v>
      </c>
      <c r="F52" s="52"/>
      <c r="G52" s="52" t="s">
        <v>534</v>
      </c>
      <c r="H52" s="52" t="s">
        <v>420</v>
      </c>
      <c r="I52" s="53"/>
      <c r="J52" s="53">
        <v>5643691</v>
      </c>
      <c r="K52" s="53" t="s">
        <v>538</v>
      </c>
      <c r="L52" s="53" t="s">
        <v>538</v>
      </c>
    </row>
    <row r="53" spans="1:12" ht="43.75" customHeight="1" x14ac:dyDescent="0.35">
      <c r="A53" s="104" t="s">
        <v>134</v>
      </c>
      <c r="B53" s="8" t="s">
        <v>46</v>
      </c>
      <c r="C53" s="8" t="s">
        <v>47</v>
      </c>
      <c r="D53" s="8" t="s">
        <v>122</v>
      </c>
      <c r="E53" s="52"/>
      <c r="F53" s="52"/>
      <c r="G53" s="52"/>
      <c r="H53" s="52"/>
      <c r="I53" s="52"/>
      <c r="J53" s="53">
        <v>5300</v>
      </c>
      <c r="K53" s="52"/>
      <c r="L53" s="52"/>
    </row>
    <row r="54" spans="1:12" ht="43.75" customHeight="1" x14ac:dyDescent="0.35">
      <c r="A54" s="104" t="s">
        <v>139</v>
      </c>
      <c r="B54" s="8" t="s">
        <v>19</v>
      </c>
      <c r="C54" s="8" t="s">
        <v>20</v>
      </c>
      <c r="D54" s="29" t="s">
        <v>22</v>
      </c>
      <c r="E54" s="52"/>
      <c r="F54" s="52"/>
      <c r="G54" s="52"/>
      <c r="H54" s="52"/>
      <c r="I54" s="52"/>
      <c r="J54" s="53"/>
      <c r="K54" s="52"/>
      <c r="L54" s="52"/>
    </row>
    <row r="55" spans="1:12" ht="43.75" customHeight="1" x14ac:dyDescent="0.35">
      <c r="A55" s="104" t="s">
        <v>155</v>
      </c>
      <c r="B55" s="8" t="s">
        <v>46</v>
      </c>
      <c r="C55" s="34" t="s">
        <v>47</v>
      </c>
      <c r="D55" s="21" t="s">
        <v>519</v>
      </c>
      <c r="E55" s="52"/>
      <c r="F55" s="52"/>
      <c r="G55" s="52"/>
      <c r="H55" s="52"/>
      <c r="I55" s="52"/>
      <c r="J55" s="53"/>
      <c r="K55" s="52"/>
      <c r="L55" s="52"/>
    </row>
    <row r="56" spans="1:12" ht="43.75" customHeight="1" x14ac:dyDescent="0.35">
      <c r="A56" s="127" t="s">
        <v>475</v>
      </c>
      <c r="B56" s="34" t="s">
        <v>230</v>
      </c>
      <c r="C56" s="34" t="s">
        <v>70</v>
      </c>
      <c r="D56" s="21" t="s">
        <v>320</v>
      </c>
      <c r="E56" s="52" t="s">
        <v>425</v>
      </c>
      <c r="F56" s="52"/>
      <c r="G56" s="52" t="s">
        <v>577</v>
      </c>
      <c r="H56" s="128" t="s">
        <v>426</v>
      </c>
      <c r="I56" s="52"/>
      <c r="J56" s="53">
        <v>750</v>
      </c>
      <c r="K56" s="52"/>
      <c r="L56" s="52"/>
    </row>
    <row r="57" spans="1:12" ht="43.75" customHeight="1" x14ac:dyDescent="0.35">
      <c r="A57" s="127" t="s">
        <v>475</v>
      </c>
      <c r="B57" s="34" t="s">
        <v>230</v>
      </c>
      <c r="C57" s="34" t="s">
        <v>70</v>
      </c>
      <c r="D57" s="21" t="s">
        <v>320</v>
      </c>
      <c r="E57" s="128" t="s">
        <v>525</v>
      </c>
      <c r="F57" s="128"/>
      <c r="G57" s="128" t="s">
        <v>578</v>
      </c>
      <c r="H57" s="128" t="s">
        <v>587</v>
      </c>
      <c r="I57" s="128"/>
      <c r="J57" s="43">
        <v>750</v>
      </c>
      <c r="K57" s="128"/>
      <c r="L57" s="128"/>
    </row>
    <row r="58" spans="1:12" ht="43.75" customHeight="1" x14ac:dyDescent="0.35">
      <c r="A58" s="127" t="s">
        <v>475</v>
      </c>
      <c r="B58" s="34" t="s">
        <v>230</v>
      </c>
      <c r="C58" s="34" t="s">
        <v>70</v>
      </c>
      <c r="D58" s="21" t="s">
        <v>320</v>
      </c>
      <c r="E58" s="128" t="s">
        <v>428</v>
      </c>
      <c r="F58" s="128"/>
      <c r="G58" s="128" t="s">
        <v>579</v>
      </c>
      <c r="H58" s="128" t="s">
        <v>587</v>
      </c>
      <c r="I58" s="128"/>
      <c r="J58" s="43">
        <v>6000</v>
      </c>
      <c r="K58" s="128"/>
      <c r="L58" s="128"/>
    </row>
    <row r="59" spans="1:12" ht="43.75" customHeight="1" x14ac:dyDescent="0.35">
      <c r="A59" s="127" t="s">
        <v>475</v>
      </c>
      <c r="B59" s="34" t="s">
        <v>230</v>
      </c>
      <c r="C59" s="34" t="s">
        <v>70</v>
      </c>
      <c r="D59" s="21" t="s">
        <v>320</v>
      </c>
      <c r="E59" s="128" t="s">
        <v>421</v>
      </c>
      <c r="F59" s="128"/>
      <c r="G59" s="128" t="s">
        <v>580</v>
      </c>
      <c r="H59" s="128" t="s">
        <v>420</v>
      </c>
      <c r="I59" s="128"/>
      <c r="J59" s="43">
        <v>250</v>
      </c>
      <c r="K59" s="128"/>
      <c r="L59" s="128"/>
    </row>
    <row r="60" spans="1:12" ht="43.75" customHeight="1" x14ac:dyDescent="0.35">
      <c r="A60" s="127" t="s">
        <v>475</v>
      </c>
      <c r="B60" s="34" t="s">
        <v>230</v>
      </c>
      <c r="C60" s="34" t="s">
        <v>70</v>
      </c>
      <c r="D60" s="21" t="s">
        <v>320</v>
      </c>
      <c r="E60" s="128" t="s">
        <v>421</v>
      </c>
      <c r="F60" s="128"/>
      <c r="G60" s="128" t="s">
        <v>581</v>
      </c>
      <c r="H60" s="128" t="s">
        <v>420</v>
      </c>
      <c r="I60" s="128"/>
      <c r="J60" s="43">
        <v>365</v>
      </c>
      <c r="K60" s="128"/>
      <c r="L60" s="128"/>
    </row>
    <row r="61" spans="1:12" ht="43.75" customHeight="1" x14ac:dyDescent="0.35">
      <c r="A61" s="127" t="s">
        <v>475</v>
      </c>
      <c r="B61" s="34" t="s">
        <v>230</v>
      </c>
      <c r="C61" s="34" t="s">
        <v>70</v>
      </c>
      <c r="D61" s="21" t="s">
        <v>320</v>
      </c>
      <c r="E61" s="128" t="s">
        <v>574</v>
      </c>
      <c r="F61" s="128"/>
      <c r="G61" s="128" t="s">
        <v>582</v>
      </c>
      <c r="H61" s="128" t="s">
        <v>420</v>
      </c>
      <c r="I61" s="128"/>
      <c r="J61" s="43">
        <v>12600</v>
      </c>
      <c r="K61" s="128"/>
      <c r="L61" s="128"/>
    </row>
    <row r="62" spans="1:12" ht="43.75" customHeight="1" x14ac:dyDescent="0.35">
      <c r="A62" s="127" t="s">
        <v>475</v>
      </c>
      <c r="B62" s="34" t="s">
        <v>230</v>
      </c>
      <c r="C62" s="34" t="s">
        <v>70</v>
      </c>
      <c r="D62" s="21" t="s">
        <v>320</v>
      </c>
      <c r="E62" s="128" t="s">
        <v>422</v>
      </c>
      <c r="F62" s="128"/>
      <c r="G62" s="128" t="s">
        <v>583</v>
      </c>
      <c r="H62" s="128" t="s">
        <v>420</v>
      </c>
      <c r="I62" s="128"/>
      <c r="J62" s="43">
        <v>2500</v>
      </c>
      <c r="K62" s="128"/>
      <c r="L62" s="128"/>
    </row>
    <row r="63" spans="1:12" ht="43.75" customHeight="1" x14ac:dyDescent="0.35">
      <c r="A63" s="127" t="s">
        <v>475</v>
      </c>
      <c r="B63" s="34" t="s">
        <v>230</v>
      </c>
      <c r="C63" s="34" t="s">
        <v>70</v>
      </c>
      <c r="D63" s="21" t="s">
        <v>320</v>
      </c>
      <c r="E63" s="128"/>
      <c r="F63" s="128" t="s">
        <v>575</v>
      </c>
      <c r="G63" s="128" t="s">
        <v>584</v>
      </c>
      <c r="H63" s="128" t="s">
        <v>426</v>
      </c>
      <c r="I63" s="128"/>
      <c r="J63" s="43"/>
      <c r="K63" s="128"/>
      <c r="L63" s="128"/>
    </row>
    <row r="64" spans="1:12" ht="43.75" customHeight="1" x14ac:dyDescent="0.35">
      <c r="A64" s="127" t="s">
        <v>475</v>
      </c>
      <c r="B64" s="34" t="s">
        <v>230</v>
      </c>
      <c r="C64" s="34" t="s">
        <v>70</v>
      </c>
      <c r="D64" s="21" t="s">
        <v>320</v>
      </c>
      <c r="E64" s="128"/>
      <c r="F64" s="128" t="s">
        <v>576</v>
      </c>
      <c r="G64" s="128" t="s">
        <v>585</v>
      </c>
      <c r="H64" s="128" t="s">
        <v>426</v>
      </c>
      <c r="I64" s="128"/>
      <c r="J64" s="43">
        <v>3144</v>
      </c>
      <c r="K64" s="128"/>
      <c r="L64" s="128"/>
    </row>
    <row r="65" spans="1:12" ht="43.75" customHeight="1" x14ac:dyDescent="0.35">
      <c r="A65" s="127" t="s">
        <v>159</v>
      </c>
      <c r="B65" s="8" t="s">
        <v>46</v>
      </c>
      <c r="C65" s="8" t="s">
        <v>47</v>
      </c>
      <c r="D65" s="8" t="s">
        <v>49</v>
      </c>
      <c r="E65" s="52"/>
      <c r="F65" s="52"/>
      <c r="G65" s="52"/>
      <c r="H65" s="52"/>
      <c r="I65" s="52"/>
      <c r="J65" s="53"/>
      <c r="K65" s="52"/>
      <c r="L65" s="52"/>
    </row>
    <row r="66" spans="1:12" ht="43.75" customHeight="1" x14ac:dyDescent="0.35">
      <c r="A66" s="127" t="s">
        <v>163</v>
      </c>
      <c r="B66" s="17" t="s">
        <v>19</v>
      </c>
      <c r="C66" s="17" t="s">
        <v>20</v>
      </c>
      <c r="D66" s="29" t="s">
        <v>22</v>
      </c>
      <c r="E66" s="52"/>
      <c r="F66" s="52"/>
      <c r="G66" s="52"/>
      <c r="H66" s="52"/>
      <c r="I66" s="52"/>
      <c r="J66" s="53"/>
      <c r="K66" s="52"/>
      <c r="L66" s="52"/>
    </row>
    <row r="67" spans="1:12" ht="43.75" customHeight="1" x14ac:dyDescent="0.35">
      <c r="A67" s="104" t="s">
        <v>165</v>
      </c>
      <c r="B67" s="8" t="s">
        <v>19</v>
      </c>
      <c r="C67" s="8" t="s">
        <v>47</v>
      </c>
      <c r="D67" s="8" t="s">
        <v>38</v>
      </c>
      <c r="E67" s="52"/>
      <c r="F67" s="52"/>
      <c r="G67" s="52"/>
      <c r="H67" s="52"/>
      <c r="I67" s="52"/>
      <c r="J67" s="53"/>
      <c r="K67" s="52"/>
      <c r="L67" s="52"/>
    </row>
    <row r="68" spans="1:12" ht="43.75" customHeight="1" x14ac:dyDescent="0.35">
      <c r="A68" s="127" t="s">
        <v>168</v>
      </c>
      <c r="B68" s="8" t="s">
        <v>109</v>
      </c>
      <c r="C68" s="30" t="s">
        <v>47</v>
      </c>
      <c r="D68" s="30" t="s">
        <v>171</v>
      </c>
      <c r="E68" s="52" t="s">
        <v>425</v>
      </c>
      <c r="F68" s="52"/>
      <c r="G68" s="52" t="s">
        <v>604</v>
      </c>
      <c r="H68" s="52" t="s">
        <v>424</v>
      </c>
      <c r="I68" s="52"/>
      <c r="J68" s="53">
        <v>32060</v>
      </c>
      <c r="K68" s="52" t="s">
        <v>612</v>
      </c>
      <c r="L68" s="52" t="s">
        <v>615</v>
      </c>
    </row>
    <row r="69" spans="1:12" ht="43.75" customHeight="1" x14ac:dyDescent="0.35">
      <c r="A69" s="127" t="s">
        <v>168</v>
      </c>
      <c r="B69" s="8" t="s">
        <v>109</v>
      </c>
      <c r="C69" s="30" t="s">
        <v>47</v>
      </c>
      <c r="D69" s="30" t="s">
        <v>171</v>
      </c>
      <c r="E69" s="128" t="s">
        <v>428</v>
      </c>
      <c r="F69" s="128"/>
      <c r="G69" s="128" t="s">
        <v>605</v>
      </c>
      <c r="H69" s="128" t="s">
        <v>420</v>
      </c>
      <c r="I69" s="128"/>
      <c r="J69" s="43">
        <v>57943</v>
      </c>
      <c r="K69" s="128" t="s">
        <v>613</v>
      </c>
      <c r="L69" s="128" t="s">
        <v>616</v>
      </c>
    </row>
    <row r="70" spans="1:12" ht="43.75" customHeight="1" x14ac:dyDescent="0.35">
      <c r="A70" s="127" t="s">
        <v>168</v>
      </c>
      <c r="B70" s="8" t="s">
        <v>109</v>
      </c>
      <c r="C70" s="30" t="s">
        <v>47</v>
      </c>
      <c r="D70" s="30" t="s">
        <v>171</v>
      </c>
      <c r="E70" s="128" t="s">
        <v>421</v>
      </c>
      <c r="F70" s="128"/>
      <c r="G70" s="128" t="s">
        <v>606</v>
      </c>
      <c r="H70" s="128" t="s">
        <v>427</v>
      </c>
      <c r="I70" s="128"/>
      <c r="J70" s="43">
        <v>10926.8</v>
      </c>
      <c r="K70" s="128" t="s">
        <v>162</v>
      </c>
      <c r="L70" s="128" t="s">
        <v>51</v>
      </c>
    </row>
    <row r="71" spans="1:12" ht="43.75" customHeight="1" x14ac:dyDescent="0.35">
      <c r="A71" s="127" t="s">
        <v>168</v>
      </c>
      <c r="B71" s="8" t="s">
        <v>109</v>
      </c>
      <c r="C71" s="30" t="s">
        <v>47</v>
      </c>
      <c r="D71" s="30" t="s">
        <v>171</v>
      </c>
      <c r="E71" s="128" t="s">
        <v>422</v>
      </c>
      <c r="F71" s="128"/>
      <c r="G71" s="128" t="s">
        <v>607</v>
      </c>
      <c r="H71" s="128" t="s">
        <v>420</v>
      </c>
      <c r="I71" s="128"/>
      <c r="J71" s="43">
        <v>600</v>
      </c>
      <c r="K71" s="128" t="s">
        <v>162</v>
      </c>
      <c r="L71" s="128" t="s">
        <v>51</v>
      </c>
    </row>
    <row r="72" spans="1:12" ht="43.75" customHeight="1" x14ac:dyDescent="0.35">
      <c r="A72" s="127" t="s">
        <v>168</v>
      </c>
      <c r="B72" s="8" t="s">
        <v>109</v>
      </c>
      <c r="C72" s="30" t="s">
        <v>47</v>
      </c>
      <c r="D72" s="30" t="s">
        <v>171</v>
      </c>
      <c r="E72" s="128" t="s">
        <v>525</v>
      </c>
      <c r="F72" s="128"/>
      <c r="G72" s="128" t="s">
        <v>608</v>
      </c>
      <c r="H72" s="128" t="s">
        <v>420</v>
      </c>
      <c r="I72" s="128"/>
      <c r="J72" s="43">
        <v>15300</v>
      </c>
      <c r="K72" s="128" t="s">
        <v>614</v>
      </c>
      <c r="L72" s="128" t="s">
        <v>51</v>
      </c>
    </row>
    <row r="73" spans="1:12" ht="43.75" customHeight="1" x14ac:dyDescent="0.35">
      <c r="A73" s="127" t="s">
        <v>168</v>
      </c>
      <c r="B73" s="8" t="s">
        <v>109</v>
      </c>
      <c r="C73" s="30" t="s">
        <v>47</v>
      </c>
      <c r="D73" s="30" t="s">
        <v>171</v>
      </c>
      <c r="E73" s="128" t="s">
        <v>430</v>
      </c>
      <c r="F73" s="128"/>
      <c r="G73" s="128" t="s">
        <v>609</v>
      </c>
      <c r="H73" s="128" t="s">
        <v>420</v>
      </c>
      <c r="I73" s="128"/>
      <c r="J73" s="43">
        <v>44838.205999999998</v>
      </c>
      <c r="K73" s="128" t="s">
        <v>616</v>
      </c>
      <c r="L73" s="128" t="s">
        <v>616</v>
      </c>
    </row>
    <row r="74" spans="1:12" ht="43.75" customHeight="1" x14ac:dyDescent="0.35">
      <c r="A74" s="127" t="s">
        <v>168</v>
      </c>
      <c r="B74" s="8" t="s">
        <v>109</v>
      </c>
      <c r="C74" s="30" t="s">
        <v>47</v>
      </c>
      <c r="D74" s="30" t="s">
        <v>171</v>
      </c>
      <c r="E74" s="128" t="s">
        <v>590</v>
      </c>
      <c r="F74" s="128"/>
      <c r="G74" s="128" t="s">
        <v>610</v>
      </c>
      <c r="H74" s="128" t="s">
        <v>590</v>
      </c>
      <c r="I74" s="128"/>
      <c r="J74" s="43">
        <v>22783</v>
      </c>
      <c r="K74" s="128" t="s">
        <v>617</v>
      </c>
      <c r="L74" s="128" t="s">
        <v>616</v>
      </c>
    </row>
    <row r="75" spans="1:12" ht="43.75" customHeight="1" x14ac:dyDescent="0.35">
      <c r="A75" s="127" t="s">
        <v>168</v>
      </c>
      <c r="B75" s="8" t="s">
        <v>109</v>
      </c>
      <c r="C75" s="30" t="s">
        <v>47</v>
      </c>
      <c r="D75" s="30" t="s">
        <v>171</v>
      </c>
      <c r="E75" s="128" t="s">
        <v>590</v>
      </c>
      <c r="F75" s="128"/>
      <c r="G75" s="128" t="s">
        <v>611</v>
      </c>
      <c r="H75" s="128" t="s">
        <v>426</v>
      </c>
      <c r="I75" s="128"/>
      <c r="J75" s="43">
        <v>22000</v>
      </c>
      <c r="K75" s="52"/>
      <c r="L75" s="52"/>
    </row>
    <row r="76" spans="1:12" ht="43.75" customHeight="1" x14ac:dyDescent="0.35">
      <c r="A76" s="104" t="s">
        <v>476</v>
      </c>
      <c r="B76" s="34" t="s">
        <v>230</v>
      </c>
      <c r="C76" s="34" t="s">
        <v>501</v>
      </c>
      <c r="D76" s="21" t="s">
        <v>232</v>
      </c>
      <c r="E76" s="52"/>
      <c r="F76" s="52"/>
      <c r="G76" s="52"/>
      <c r="H76" s="52"/>
      <c r="I76" s="52"/>
      <c r="J76" s="53"/>
      <c r="K76" s="52"/>
      <c r="L76" s="52"/>
    </row>
    <row r="77" spans="1:12" ht="43.75" customHeight="1" x14ac:dyDescent="0.35">
      <c r="A77" s="104" t="s">
        <v>178</v>
      </c>
      <c r="B77" s="8" t="s">
        <v>19</v>
      </c>
      <c r="C77" s="8" t="s">
        <v>63</v>
      </c>
      <c r="D77" s="8" t="s">
        <v>38</v>
      </c>
      <c r="E77" s="52"/>
      <c r="F77" s="52"/>
      <c r="G77" s="52"/>
      <c r="H77" s="52"/>
      <c r="I77" s="52"/>
      <c r="J77" s="53"/>
      <c r="K77" s="52"/>
      <c r="L77" s="52"/>
    </row>
    <row r="78" spans="1:12" ht="43.75" customHeight="1" x14ac:dyDescent="0.35">
      <c r="A78" s="127" t="s">
        <v>179</v>
      </c>
      <c r="B78" s="6" t="s">
        <v>109</v>
      </c>
      <c r="C78" s="6" t="s">
        <v>47</v>
      </c>
      <c r="D78" s="8" t="s">
        <v>38</v>
      </c>
      <c r="E78" s="52" t="s">
        <v>421</v>
      </c>
      <c r="F78" s="52"/>
      <c r="G78" s="52" t="s">
        <v>421</v>
      </c>
      <c r="H78" s="52" t="s">
        <v>420</v>
      </c>
      <c r="I78" s="52"/>
      <c r="J78" s="53">
        <v>37564.980000000003</v>
      </c>
      <c r="K78" s="52" t="s">
        <v>50</v>
      </c>
      <c r="L78" s="52" t="s">
        <v>51</v>
      </c>
    </row>
    <row r="79" spans="1:12" ht="43.75" customHeight="1" x14ac:dyDescent="0.35">
      <c r="A79" s="127" t="s">
        <v>179</v>
      </c>
      <c r="B79" s="6" t="s">
        <v>109</v>
      </c>
      <c r="C79" s="6" t="s">
        <v>47</v>
      </c>
      <c r="D79" s="8" t="s">
        <v>38</v>
      </c>
      <c r="E79" s="128" t="s">
        <v>428</v>
      </c>
      <c r="F79" s="128"/>
      <c r="G79" s="128" t="s">
        <v>428</v>
      </c>
      <c r="H79" s="128" t="s">
        <v>420</v>
      </c>
      <c r="I79" s="128"/>
      <c r="J79" s="43">
        <v>170863.242</v>
      </c>
      <c r="K79" s="52" t="s">
        <v>50</v>
      </c>
      <c r="L79" s="52" t="s">
        <v>51</v>
      </c>
    </row>
    <row r="80" spans="1:12" ht="43.75" customHeight="1" x14ac:dyDescent="0.35">
      <c r="A80" s="127" t="s">
        <v>179</v>
      </c>
      <c r="B80" s="6" t="s">
        <v>109</v>
      </c>
      <c r="C80" s="6" t="s">
        <v>47</v>
      </c>
      <c r="D80" s="8" t="s">
        <v>38</v>
      </c>
      <c r="E80" s="128" t="s">
        <v>425</v>
      </c>
      <c r="F80" s="128"/>
      <c r="G80" s="128" t="s">
        <v>425</v>
      </c>
      <c r="H80" s="128" t="s">
        <v>420</v>
      </c>
      <c r="I80" s="128"/>
      <c r="J80" s="43">
        <v>26788.974999999999</v>
      </c>
      <c r="K80" s="52" t="s">
        <v>50</v>
      </c>
      <c r="L80" s="52" t="s">
        <v>51</v>
      </c>
    </row>
    <row r="81" spans="1:12" ht="43.75" customHeight="1" x14ac:dyDescent="0.35">
      <c r="A81" s="127" t="s">
        <v>179</v>
      </c>
      <c r="B81" s="6" t="s">
        <v>109</v>
      </c>
      <c r="C81" s="6" t="s">
        <v>47</v>
      </c>
      <c r="D81" s="8" t="s">
        <v>38</v>
      </c>
      <c r="E81" s="128" t="s">
        <v>422</v>
      </c>
      <c r="F81" s="128"/>
      <c r="G81" s="128" t="s">
        <v>422</v>
      </c>
      <c r="H81" s="128" t="s">
        <v>420</v>
      </c>
      <c r="I81" s="128"/>
      <c r="J81" s="43">
        <v>56930.553</v>
      </c>
      <c r="K81" s="52" t="s">
        <v>50</v>
      </c>
      <c r="L81" s="52" t="s">
        <v>51</v>
      </c>
    </row>
    <row r="82" spans="1:12" ht="43.75" customHeight="1" x14ac:dyDescent="0.35">
      <c r="A82" s="127" t="s">
        <v>179</v>
      </c>
      <c r="B82" s="6" t="s">
        <v>109</v>
      </c>
      <c r="C82" s="6" t="s">
        <v>47</v>
      </c>
      <c r="D82" s="8" t="s">
        <v>38</v>
      </c>
      <c r="E82" s="128" t="s">
        <v>625</v>
      </c>
      <c r="F82" s="128"/>
      <c r="G82" s="128" t="s">
        <v>625</v>
      </c>
      <c r="H82" s="128" t="s">
        <v>420</v>
      </c>
      <c r="I82" s="128"/>
      <c r="J82" s="43">
        <v>276662.12699999998</v>
      </c>
      <c r="K82" s="52" t="s">
        <v>50</v>
      </c>
      <c r="L82" s="52" t="s">
        <v>51</v>
      </c>
    </row>
    <row r="83" spans="1:12" ht="43.75" customHeight="1" x14ac:dyDescent="0.35">
      <c r="A83" s="127" t="s">
        <v>179</v>
      </c>
      <c r="B83" s="6" t="s">
        <v>109</v>
      </c>
      <c r="C83" s="6" t="s">
        <v>47</v>
      </c>
      <c r="D83" s="8" t="s">
        <v>38</v>
      </c>
      <c r="E83" s="128" t="s">
        <v>525</v>
      </c>
      <c r="F83" s="128"/>
      <c r="G83" s="128" t="s">
        <v>525</v>
      </c>
      <c r="H83" s="128" t="s">
        <v>586</v>
      </c>
      <c r="I83" s="128"/>
      <c r="J83" s="43">
        <v>13036</v>
      </c>
      <c r="K83" s="52" t="s">
        <v>50</v>
      </c>
      <c r="L83" s="52" t="s">
        <v>51</v>
      </c>
    </row>
    <row r="84" spans="1:12" ht="43.75" customHeight="1" x14ac:dyDescent="0.35">
      <c r="A84" s="127" t="s">
        <v>179</v>
      </c>
      <c r="B84" s="6" t="s">
        <v>109</v>
      </c>
      <c r="C84" s="6" t="s">
        <v>47</v>
      </c>
      <c r="D84" s="8" t="s">
        <v>38</v>
      </c>
      <c r="E84" s="128" t="s">
        <v>525</v>
      </c>
      <c r="F84" s="128"/>
      <c r="G84" s="128" t="s">
        <v>525</v>
      </c>
      <c r="H84" s="128" t="s">
        <v>420</v>
      </c>
      <c r="I84" s="128"/>
      <c r="J84" s="43">
        <v>245784.08300000001</v>
      </c>
      <c r="K84" s="52" t="s">
        <v>50</v>
      </c>
      <c r="L84" s="52" t="s">
        <v>51</v>
      </c>
    </row>
    <row r="85" spans="1:12" ht="43.75" customHeight="1" x14ac:dyDescent="0.35">
      <c r="A85" s="104" t="s">
        <v>187</v>
      </c>
      <c r="B85" s="8" t="s">
        <v>46</v>
      </c>
      <c r="C85" s="8" t="s">
        <v>47</v>
      </c>
      <c r="D85" s="8" t="s">
        <v>122</v>
      </c>
      <c r="E85" s="52"/>
      <c r="F85" s="52"/>
      <c r="G85" s="52"/>
      <c r="H85" s="52"/>
      <c r="I85" s="52"/>
      <c r="J85" s="53"/>
      <c r="K85" s="52"/>
      <c r="L85" s="52"/>
    </row>
    <row r="86" spans="1:12" ht="43.75" customHeight="1" x14ac:dyDescent="0.35">
      <c r="A86" s="104" t="s">
        <v>190</v>
      </c>
      <c r="B86" s="8" t="s">
        <v>26</v>
      </c>
      <c r="C86" s="8" t="s">
        <v>20</v>
      </c>
      <c r="D86" s="11" t="s">
        <v>22</v>
      </c>
      <c r="E86" s="52"/>
      <c r="F86" s="52"/>
      <c r="G86" s="52"/>
      <c r="H86" s="52"/>
      <c r="I86" s="52"/>
      <c r="J86" s="53"/>
      <c r="K86" s="52"/>
      <c r="L86" s="52"/>
    </row>
    <row r="87" spans="1:12" ht="43.75" customHeight="1" x14ac:dyDescent="0.35">
      <c r="A87" s="104" t="s">
        <v>196</v>
      </c>
      <c r="B87" s="6" t="s">
        <v>19</v>
      </c>
      <c r="C87" s="6" t="s">
        <v>20</v>
      </c>
      <c r="D87" s="11" t="s">
        <v>22</v>
      </c>
      <c r="E87" s="52"/>
      <c r="F87" s="52"/>
      <c r="G87" s="52"/>
      <c r="H87" s="52"/>
      <c r="I87" s="52"/>
      <c r="J87" s="53"/>
      <c r="K87" s="52"/>
      <c r="L87" s="52"/>
    </row>
    <row r="88" spans="1:12" ht="43.75" customHeight="1" x14ac:dyDescent="0.35">
      <c r="A88" s="104" t="s">
        <v>202</v>
      </c>
      <c r="B88" s="6" t="s">
        <v>109</v>
      </c>
      <c r="C88" s="6" t="s">
        <v>47</v>
      </c>
      <c r="D88" s="6" t="s">
        <v>204</v>
      </c>
      <c r="E88" s="52"/>
      <c r="F88" s="52"/>
      <c r="G88" s="52"/>
      <c r="H88" s="52"/>
      <c r="I88" s="52"/>
      <c r="J88" s="53"/>
      <c r="K88" s="52"/>
      <c r="L88" s="52"/>
    </row>
    <row r="89" spans="1:12" ht="43.75" customHeight="1" x14ac:dyDescent="0.35">
      <c r="A89" s="104" t="s">
        <v>202</v>
      </c>
      <c r="B89" s="6" t="s">
        <v>109</v>
      </c>
      <c r="C89" s="6" t="s">
        <v>47</v>
      </c>
      <c r="D89" s="6" t="s">
        <v>204</v>
      </c>
      <c r="E89" s="52"/>
      <c r="F89" s="52"/>
      <c r="G89" s="52"/>
      <c r="H89" s="52"/>
      <c r="I89" s="52"/>
      <c r="J89" s="53"/>
      <c r="K89" s="52"/>
      <c r="L89" s="52"/>
    </row>
    <row r="90" spans="1:12" ht="43.75" customHeight="1" x14ac:dyDescent="0.35">
      <c r="A90" s="104" t="s">
        <v>208</v>
      </c>
      <c r="B90" s="6" t="s">
        <v>19</v>
      </c>
      <c r="C90" s="6" t="s">
        <v>20</v>
      </c>
      <c r="D90" s="11" t="s">
        <v>22</v>
      </c>
      <c r="E90" s="52"/>
      <c r="F90" s="52"/>
      <c r="G90" s="52"/>
      <c r="H90" s="52"/>
      <c r="I90" s="52"/>
      <c r="J90" s="53"/>
      <c r="K90" s="52"/>
      <c r="L90" s="52"/>
    </row>
    <row r="91" spans="1:12" ht="43.75" customHeight="1" x14ac:dyDescent="0.35">
      <c r="A91" s="104" t="s">
        <v>213</v>
      </c>
      <c r="B91" s="6" t="s">
        <v>109</v>
      </c>
      <c r="C91" s="6" t="s">
        <v>20</v>
      </c>
      <c r="D91" s="11" t="s">
        <v>22</v>
      </c>
      <c r="E91" s="52"/>
      <c r="F91" s="52"/>
      <c r="G91" s="52"/>
      <c r="H91" s="52"/>
      <c r="I91" s="52"/>
      <c r="J91" s="53"/>
      <c r="K91" s="52"/>
      <c r="L91" s="52"/>
    </row>
    <row r="92" spans="1:12" ht="43.75" customHeight="1" x14ac:dyDescent="0.35">
      <c r="A92" s="104" t="s">
        <v>217</v>
      </c>
      <c r="B92" s="8" t="s">
        <v>19</v>
      </c>
      <c r="C92" s="8" t="s">
        <v>20</v>
      </c>
      <c r="D92" s="11" t="s">
        <v>22</v>
      </c>
      <c r="E92" s="52"/>
      <c r="F92" s="52"/>
      <c r="G92" s="52"/>
      <c r="H92" s="52"/>
      <c r="I92" s="52"/>
      <c r="J92" s="53"/>
      <c r="K92" s="52"/>
      <c r="L92" s="52"/>
    </row>
    <row r="93" spans="1:12" ht="43.75" customHeight="1" x14ac:dyDescent="0.35">
      <c r="A93" s="104" t="s">
        <v>217</v>
      </c>
      <c r="B93" s="34" t="s">
        <v>19</v>
      </c>
      <c r="C93" s="34" t="s">
        <v>20</v>
      </c>
      <c r="D93" s="21" t="s">
        <v>22</v>
      </c>
      <c r="E93" s="52"/>
      <c r="F93" s="52"/>
      <c r="G93" s="52"/>
      <c r="H93" s="52"/>
      <c r="I93" s="52"/>
      <c r="J93" s="53"/>
      <c r="K93" s="52"/>
      <c r="L93" s="52"/>
    </row>
    <row r="94" spans="1:12" ht="43.75" customHeight="1" x14ac:dyDescent="0.35">
      <c r="A94" s="104" t="s">
        <v>228</v>
      </c>
      <c r="B94" s="6" t="s">
        <v>230</v>
      </c>
      <c r="C94" s="6" t="s">
        <v>231</v>
      </c>
      <c r="D94" s="6" t="s">
        <v>232</v>
      </c>
      <c r="E94" s="52"/>
      <c r="F94" s="52"/>
      <c r="G94" s="52"/>
      <c r="H94" s="52"/>
      <c r="I94" s="52"/>
      <c r="J94" s="53"/>
      <c r="K94" s="52"/>
      <c r="L94" s="52"/>
    </row>
    <row r="95" spans="1:12" ht="43.75" customHeight="1" x14ac:dyDescent="0.35">
      <c r="A95" s="104" t="s">
        <v>234</v>
      </c>
      <c r="B95" s="6" t="s">
        <v>230</v>
      </c>
      <c r="C95" s="6" t="s">
        <v>47</v>
      </c>
      <c r="D95" s="8" t="s">
        <v>38</v>
      </c>
      <c r="E95" s="52"/>
      <c r="F95" s="52"/>
      <c r="G95" s="52"/>
      <c r="H95" s="52"/>
      <c r="I95" s="52"/>
      <c r="J95" s="53"/>
      <c r="K95" s="52"/>
      <c r="L95" s="52"/>
    </row>
    <row r="96" spans="1:12" ht="43.75" customHeight="1" x14ac:dyDescent="0.35">
      <c r="A96" s="104" t="s">
        <v>267</v>
      </c>
      <c r="B96" s="8" t="s">
        <v>46</v>
      </c>
      <c r="C96" s="8" t="s">
        <v>47</v>
      </c>
      <c r="D96" s="8" t="s">
        <v>49</v>
      </c>
      <c r="E96" s="52"/>
      <c r="F96" s="52"/>
      <c r="G96" s="52"/>
      <c r="H96" s="52"/>
      <c r="I96" s="52"/>
      <c r="J96" s="53"/>
      <c r="K96" s="52"/>
      <c r="L96" s="52"/>
    </row>
    <row r="97" spans="1:12" ht="43.75" customHeight="1" x14ac:dyDescent="0.35">
      <c r="A97" s="127" t="s">
        <v>272</v>
      </c>
      <c r="B97" s="8" t="s">
        <v>109</v>
      </c>
      <c r="C97" s="8" t="s">
        <v>37</v>
      </c>
      <c r="D97" s="8" t="s">
        <v>38</v>
      </c>
      <c r="E97" s="52" t="s">
        <v>421</v>
      </c>
      <c r="F97" s="52"/>
      <c r="G97" s="52"/>
      <c r="H97" s="52" t="s">
        <v>420</v>
      </c>
      <c r="I97" s="52"/>
      <c r="J97" s="53">
        <v>21021.95</v>
      </c>
      <c r="K97" s="52"/>
      <c r="L97" s="52" t="s">
        <v>37</v>
      </c>
    </row>
    <row r="98" spans="1:12" ht="43.75" customHeight="1" x14ac:dyDescent="0.35">
      <c r="A98" s="127" t="s">
        <v>272</v>
      </c>
      <c r="B98" s="8" t="s">
        <v>109</v>
      </c>
      <c r="C98" s="8" t="s">
        <v>37</v>
      </c>
      <c r="D98" s="8" t="s">
        <v>38</v>
      </c>
      <c r="E98" s="128" t="s">
        <v>525</v>
      </c>
      <c r="F98" s="128"/>
      <c r="G98" s="128"/>
      <c r="H98" s="128" t="s">
        <v>420</v>
      </c>
      <c r="I98" s="128"/>
      <c r="J98" s="43">
        <v>28424.7</v>
      </c>
      <c r="K98" s="128"/>
      <c r="L98" s="128" t="s">
        <v>37</v>
      </c>
    </row>
    <row r="99" spans="1:12" ht="43.75" customHeight="1" x14ac:dyDescent="0.35">
      <c r="A99" s="127" t="s">
        <v>272</v>
      </c>
      <c r="B99" s="8" t="s">
        <v>109</v>
      </c>
      <c r="C99" s="8" t="s">
        <v>37</v>
      </c>
      <c r="D99" s="8" t="s">
        <v>38</v>
      </c>
      <c r="E99" s="128" t="s">
        <v>525</v>
      </c>
      <c r="F99" s="128"/>
      <c r="G99" s="128"/>
      <c r="H99" s="128" t="s">
        <v>586</v>
      </c>
      <c r="I99" s="128"/>
      <c r="J99" s="43">
        <v>17098.2</v>
      </c>
      <c r="K99" s="128"/>
      <c r="L99" s="128" t="s">
        <v>37</v>
      </c>
    </row>
    <row r="100" spans="1:12" ht="43.75" customHeight="1" x14ac:dyDescent="0.35">
      <c r="A100" s="127" t="s">
        <v>272</v>
      </c>
      <c r="B100" s="8" t="s">
        <v>109</v>
      </c>
      <c r="C100" s="8" t="s">
        <v>37</v>
      </c>
      <c r="D100" s="8" t="s">
        <v>38</v>
      </c>
      <c r="E100" s="128" t="s">
        <v>590</v>
      </c>
      <c r="F100" s="128"/>
      <c r="G100" s="128" t="s">
        <v>628</v>
      </c>
      <c r="H100" s="128" t="s">
        <v>420</v>
      </c>
      <c r="I100" s="128"/>
      <c r="J100" s="43">
        <v>5845</v>
      </c>
      <c r="K100" s="128"/>
      <c r="L100" s="128" t="s">
        <v>37</v>
      </c>
    </row>
    <row r="101" spans="1:12" ht="43.75" customHeight="1" x14ac:dyDescent="0.35">
      <c r="A101" s="127" t="s">
        <v>272</v>
      </c>
      <c r="B101" s="8" t="s">
        <v>109</v>
      </c>
      <c r="C101" s="8" t="s">
        <v>37</v>
      </c>
      <c r="D101" s="8" t="s">
        <v>38</v>
      </c>
      <c r="E101" s="128" t="s">
        <v>422</v>
      </c>
      <c r="F101" s="128"/>
      <c r="G101" s="128"/>
      <c r="H101" s="128" t="s">
        <v>420</v>
      </c>
      <c r="I101" s="128"/>
      <c r="J101" s="43">
        <v>5000</v>
      </c>
      <c r="K101" s="128"/>
      <c r="L101" s="128" t="s">
        <v>37</v>
      </c>
    </row>
    <row r="102" spans="1:12" ht="43.75" customHeight="1" x14ac:dyDescent="0.35">
      <c r="A102" s="104" t="s">
        <v>276</v>
      </c>
      <c r="B102" s="6" t="s">
        <v>19</v>
      </c>
      <c r="C102" s="6" t="s">
        <v>20</v>
      </c>
      <c r="D102" s="11" t="s">
        <v>22</v>
      </c>
      <c r="E102" s="52"/>
      <c r="F102" s="52"/>
      <c r="G102" s="52"/>
      <c r="H102" s="52"/>
      <c r="I102" s="52"/>
      <c r="J102" s="53"/>
      <c r="K102" s="52"/>
      <c r="L102" s="52"/>
    </row>
    <row r="103" spans="1:12" ht="43.75" customHeight="1" x14ac:dyDescent="0.35">
      <c r="A103" s="127" t="s">
        <v>278</v>
      </c>
      <c r="B103" s="8" t="s">
        <v>109</v>
      </c>
      <c r="C103" s="8" t="s">
        <v>47</v>
      </c>
      <c r="D103" s="8" t="s">
        <v>204</v>
      </c>
      <c r="E103" s="52" t="s">
        <v>428</v>
      </c>
      <c r="F103" s="52"/>
      <c r="G103" s="52" t="s">
        <v>591</v>
      </c>
      <c r="H103" s="52" t="s">
        <v>536</v>
      </c>
      <c r="I103" s="52"/>
      <c r="J103" s="53">
        <v>300000</v>
      </c>
      <c r="K103" s="52" t="s">
        <v>512</v>
      </c>
      <c r="L103" s="52" t="s">
        <v>47</v>
      </c>
    </row>
    <row r="104" spans="1:12" ht="43.75" customHeight="1" x14ac:dyDescent="0.35">
      <c r="A104" s="127" t="s">
        <v>278</v>
      </c>
      <c r="B104" s="8" t="s">
        <v>109</v>
      </c>
      <c r="C104" s="8" t="s">
        <v>47</v>
      </c>
      <c r="D104" s="8" t="s">
        <v>204</v>
      </c>
      <c r="E104" s="128" t="s">
        <v>525</v>
      </c>
      <c r="F104" s="128"/>
      <c r="G104" s="128" t="s">
        <v>592</v>
      </c>
      <c r="H104" s="128" t="s">
        <v>424</v>
      </c>
      <c r="I104" s="128"/>
      <c r="J104" s="43">
        <v>1000</v>
      </c>
      <c r="K104" s="128" t="s">
        <v>248</v>
      </c>
      <c r="L104" s="128" t="s">
        <v>248</v>
      </c>
    </row>
    <row r="105" spans="1:12" ht="43.75" customHeight="1" x14ac:dyDescent="0.35">
      <c r="A105" s="127" t="s">
        <v>278</v>
      </c>
      <c r="B105" s="8" t="s">
        <v>109</v>
      </c>
      <c r="C105" s="8" t="s">
        <v>47</v>
      </c>
      <c r="D105" s="8" t="s">
        <v>204</v>
      </c>
      <c r="E105" s="128" t="s">
        <v>590</v>
      </c>
      <c r="F105" s="128"/>
      <c r="G105" s="128" t="s">
        <v>593</v>
      </c>
      <c r="H105" s="128" t="s">
        <v>590</v>
      </c>
      <c r="I105" s="128" t="s">
        <v>599</v>
      </c>
      <c r="J105" s="43">
        <v>500</v>
      </c>
      <c r="K105" s="128" t="s">
        <v>47</v>
      </c>
      <c r="L105" s="128" t="s">
        <v>47</v>
      </c>
    </row>
    <row r="106" spans="1:12" ht="43.75" customHeight="1" x14ac:dyDescent="0.35">
      <c r="A106" s="127" t="s">
        <v>278</v>
      </c>
      <c r="B106" s="8" t="s">
        <v>109</v>
      </c>
      <c r="C106" s="8" t="s">
        <v>47</v>
      </c>
      <c r="D106" s="8" t="s">
        <v>204</v>
      </c>
      <c r="E106" s="128" t="s">
        <v>525</v>
      </c>
      <c r="F106" s="128"/>
      <c r="G106" s="128" t="s">
        <v>594</v>
      </c>
      <c r="H106" s="128" t="s">
        <v>424</v>
      </c>
      <c r="I106" s="128"/>
      <c r="J106" s="43">
        <v>250</v>
      </c>
      <c r="K106" s="128" t="s">
        <v>248</v>
      </c>
      <c r="L106" s="128" t="s">
        <v>248</v>
      </c>
    </row>
    <row r="107" spans="1:12" ht="43.75" customHeight="1" x14ac:dyDescent="0.35">
      <c r="A107" s="127" t="s">
        <v>278</v>
      </c>
      <c r="B107" s="8" t="s">
        <v>109</v>
      </c>
      <c r="C107" s="8" t="s">
        <v>47</v>
      </c>
      <c r="D107" s="8" t="s">
        <v>204</v>
      </c>
      <c r="E107" s="128" t="s">
        <v>590</v>
      </c>
      <c r="F107" s="128"/>
      <c r="G107" s="128" t="s">
        <v>595</v>
      </c>
      <c r="H107" s="128" t="s">
        <v>590</v>
      </c>
      <c r="I107" s="128" t="s">
        <v>600</v>
      </c>
      <c r="J107" s="43">
        <v>585</v>
      </c>
      <c r="K107" s="128" t="s">
        <v>602</v>
      </c>
      <c r="L107" s="128" t="s">
        <v>602</v>
      </c>
    </row>
    <row r="108" spans="1:12" ht="43.75" customHeight="1" x14ac:dyDescent="0.35">
      <c r="A108" s="127" t="s">
        <v>278</v>
      </c>
      <c r="B108" s="8" t="s">
        <v>109</v>
      </c>
      <c r="C108" s="8" t="s">
        <v>47</v>
      </c>
      <c r="D108" s="8" t="s">
        <v>204</v>
      </c>
      <c r="E108" s="128" t="s">
        <v>525</v>
      </c>
      <c r="F108" s="128"/>
      <c r="G108" s="128" t="s">
        <v>596</v>
      </c>
      <c r="H108" s="128" t="s">
        <v>590</v>
      </c>
      <c r="I108" s="128" t="s">
        <v>601</v>
      </c>
      <c r="J108" s="43">
        <v>11760</v>
      </c>
      <c r="K108" s="128" t="s">
        <v>602</v>
      </c>
      <c r="L108" s="128" t="s">
        <v>602</v>
      </c>
    </row>
    <row r="109" spans="1:12" ht="43.75" customHeight="1" x14ac:dyDescent="0.35">
      <c r="A109" s="127" t="s">
        <v>278</v>
      </c>
      <c r="B109" s="8" t="s">
        <v>109</v>
      </c>
      <c r="C109" s="8" t="s">
        <v>47</v>
      </c>
      <c r="D109" s="8" t="s">
        <v>204</v>
      </c>
      <c r="E109" s="128" t="s">
        <v>428</v>
      </c>
      <c r="F109" s="128"/>
      <c r="G109" s="128" t="s">
        <v>597</v>
      </c>
      <c r="H109" s="128" t="s">
        <v>536</v>
      </c>
      <c r="I109" s="128"/>
      <c r="J109" s="43">
        <v>543</v>
      </c>
      <c r="K109" s="128" t="s">
        <v>512</v>
      </c>
      <c r="L109" s="128" t="s">
        <v>47</v>
      </c>
    </row>
    <row r="110" spans="1:12" ht="43.75" customHeight="1" x14ac:dyDescent="0.35">
      <c r="A110" s="127" t="s">
        <v>278</v>
      </c>
      <c r="B110" s="8" t="s">
        <v>109</v>
      </c>
      <c r="C110" s="8" t="s">
        <v>47</v>
      </c>
      <c r="D110" s="8" t="s">
        <v>204</v>
      </c>
      <c r="E110" s="128" t="s">
        <v>421</v>
      </c>
      <c r="F110" s="128"/>
      <c r="G110" s="128" t="s">
        <v>598</v>
      </c>
      <c r="H110" s="128" t="s">
        <v>590</v>
      </c>
      <c r="I110" s="128" t="s">
        <v>600</v>
      </c>
      <c r="J110" s="43">
        <v>12977.281999999999</v>
      </c>
      <c r="K110" s="128" t="s">
        <v>602</v>
      </c>
      <c r="L110" s="128" t="s">
        <v>602</v>
      </c>
    </row>
    <row r="111" spans="1:12" ht="43.75" customHeight="1" x14ac:dyDescent="0.35">
      <c r="A111" s="104" t="s">
        <v>245</v>
      </c>
      <c r="B111" s="8" t="s">
        <v>109</v>
      </c>
      <c r="C111" s="8" t="s">
        <v>248</v>
      </c>
      <c r="D111" s="8" t="s">
        <v>249</v>
      </c>
      <c r="E111" s="52"/>
      <c r="F111" s="52"/>
      <c r="G111" s="52"/>
      <c r="H111" s="52"/>
      <c r="I111" s="52"/>
      <c r="J111" s="53"/>
      <c r="K111" s="52"/>
      <c r="L111" s="52"/>
    </row>
    <row r="112" spans="1:12" ht="43.75" customHeight="1" x14ac:dyDescent="0.35">
      <c r="A112" s="104" t="s">
        <v>280</v>
      </c>
      <c r="B112" s="8" t="s">
        <v>19</v>
      </c>
      <c r="C112" s="8" t="s">
        <v>20</v>
      </c>
      <c r="D112" s="11" t="s">
        <v>22</v>
      </c>
      <c r="E112" s="52"/>
      <c r="F112" s="52"/>
      <c r="G112" s="52"/>
      <c r="H112" s="52"/>
      <c r="I112" s="52"/>
      <c r="J112" s="53"/>
      <c r="K112" s="52"/>
      <c r="L112" s="52"/>
    </row>
    <row r="113" spans="1:12" ht="43.75" customHeight="1" x14ac:dyDescent="0.35">
      <c r="A113" s="104" t="s">
        <v>479</v>
      </c>
      <c r="B113" s="34" t="s">
        <v>230</v>
      </c>
      <c r="C113" s="34" t="s">
        <v>37</v>
      </c>
      <c r="D113" s="21" t="s">
        <v>38</v>
      </c>
      <c r="E113" s="52" t="s">
        <v>563</v>
      </c>
      <c r="F113" s="52"/>
      <c r="G113" s="52"/>
      <c r="H113" s="52" t="s">
        <v>420</v>
      </c>
      <c r="I113" s="52"/>
      <c r="J113" s="53">
        <v>4500</v>
      </c>
      <c r="K113" s="52" t="s">
        <v>482</v>
      </c>
      <c r="L113" s="52" t="s">
        <v>564</v>
      </c>
    </row>
    <row r="114" spans="1:12" ht="43.75" customHeight="1" x14ac:dyDescent="0.35">
      <c r="A114" s="104" t="s">
        <v>290</v>
      </c>
      <c r="B114" s="8" t="s">
        <v>46</v>
      </c>
      <c r="C114" s="8" t="s">
        <v>47</v>
      </c>
      <c r="D114" s="8" t="s">
        <v>49</v>
      </c>
      <c r="E114" s="52"/>
      <c r="F114" s="52"/>
      <c r="G114" s="52"/>
      <c r="H114" s="52"/>
      <c r="I114" s="52"/>
      <c r="J114" s="53"/>
      <c r="K114" s="52"/>
      <c r="L114" s="52"/>
    </row>
    <row r="115" spans="1:12" ht="43.75" customHeight="1" x14ac:dyDescent="0.35">
      <c r="A115" s="104" t="s">
        <v>294</v>
      </c>
      <c r="B115" s="8" t="s">
        <v>46</v>
      </c>
      <c r="C115" s="8" t="s">
        <v>47</v>
      </c>
      <c r="D115" s="8" t="s">
        <v>122</v>
      </c>
      <c r="E115" s="52"/>
      <c r="F115" s="52"/>
      <c r="G115" s="52"/>
      <c r="H115" s="52"/>
      <c r="I115" s="52"/>
      <c r="J115" s="53"/>
      <c r="K115" s="52"/>
      <c r="L115" s="52"/>
    </row>
    <row r="116" spans="1:12" ht="43.75" customHeight="1" x14ac:dyDescent="0.35">
      <c r="A116" s="104" t="s">
        <v>301</v>
      </c>
      <c r="B116" s="8" t="s">
        <v>46</v>
      </c>
      <c r="C116" s="8" t="s">
        <v>47</v>
      </c>
      <c r="D116" s="8" t="s">
        <v>79</v>
      </c>
      <c r="E116" s="52"/>
      <c r="F116" s="52"/>
      <c r="G116" s="52"/>
      <c r="H116" s="52"/>
      <c r="I116" s="52"/>
      <c r="J116" s="53"/>
      <c r="K116" s="52"/>
      <c r="L116" s="52"/>
    </row>
    <row r="117" spans="1:12" ht="43.75" customHeight="1" x14ac:dyDescent="0.35">
      <c r="A117" s="104" t="s">
        <v>480</v>
      </c>
      <c r="B117" s="8" t="s">
        <v>26</v>
      </c>
      <c r="C117" s="34" t="s">
        <v>37</v>
      </c>
      <c r="D117" s="21" t="s">
        <v>38</v>
      </c>
      <c r="E117" s="52"/>
      <c r="F117" s="52"/>
      <c r="G117" s="52"/>
      <c r="H117" s="52"/>
      <c r="I117" s="52"/>
      <c r="J117" s="53"/>
      <c r="K117" s="52"/>
      <c r="L117" s="52"/>
    </row>
  </sheetData>
  <autoFilter ref="A1:L117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Info titre</vt:lpstr>
      <vt:lpstr>PRODUCTION CIMICS</vt:lpstr>
      <vt:lpstr>PRODUCTION TRANSFORME</vt:lpstr>
      <vt:lpstr>EXPORTATION</vt:lpstr>
      <vt:lpstr>AutoProdELECTRICITE</vt:lpstr>
      <vt:lpstr>MAIN D'OEUVRE</vt:lpstr>
      <vt:lpstr>CHARGES</vt:lpstr>
      <vt:lpstr>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sie rachid traore</cp:lastModifiedBy>
  <dcterms:created xsi:type="dcterms:W3CDTF">2025-08-18T09:48:21Z</dcterms:created>
  <dcterms:modified xsi:type="dcterms:W3CDTF">2026-06-05T04:34:47Z</dcterms:modified>
</cp:coreProperties>
</file>