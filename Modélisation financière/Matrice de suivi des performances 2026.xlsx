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D:\PTT\"/>
    </mc:Choice>
  </mc:AlternateContent>
  <xr:revisionPtr revIDLastSave="0" documentId="13_ncr:1_{E93B3FCD-593A-42DF-9E91-FF5C4E31C698}" xr6:coauthVersionLast="47" xr6:coauthVersionMax="47" xr10:uidLastSave="{00000000-0000-0000-0000-000000000000}"/>
  <bookViews>
    <workbookView xWindow="28680" yWindow="-120" windowWidth="29040" windowHeight="15720" xr2:uid="{CC9FD89C-F68D-431B-A705-1BE8BB07742F}"/>
  </bookViews>
  <sheets>
    <sheet name="Feuil1" sheetId="1" r:id="rId1"/>
  </sheets>
  <externalReferences>
    <externalReference r:id="rId2"/>
  </externalReferences>
  <definedNames>
    <definedName name="_xlnm._FilterDatabase" localSheetId="0" hidden="1">Feuil1!$A$3:$K$38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9" i="1" l="1"/>
  <c r="A30" i="1" s="1"/>
  <c r="A31" i="1" s="1"/>
  <c r="A32" i="1" s="1"/>
  <c r="A33" i="1" s="1"/>
  <c r="A34" i="1" s="1"/>
  <c r="A35" i="1" s="1"/>
  <c r="A36" i="1" s="1"/>
  <c r="A37" i="1" s="1"/>
  <c r="A38" i="1" s="1"/>
  <c r="A21" i="1"/>
  <c r="A22" i="1" s="1"/>
</calcChain>
</file>

<file path=xl/sharedStrings.xml><?xml version="1.0" encoding="utf-8"?>
<sst xmlns="http://schemas.openxmlformats.org/spreadsheetml/2006/main" count="298" uniqueCount="190">
  <si>
    <t>Planification/ Mise en œuvre</t>
  </si>
  <si>
    <t>Reporting</t>
  </si>
  <si>
    <t>N°</t>
  </si>
  <si>
    <t>Activités Prévues</t>
  </si>
  <si>
    <t>Période d'exécution début</t>
  </si>
  <si>
    <t>Fin d'exécution</t>
  </si>
  <si>
    <t xml:space="preserve">Justifications/ Commentaires </t>
  </si>
  <si>
    <t xml:space="preserve">Taux d’exécution (%) </t>
  </si>
  <si>
    <t>Extrants disponibles</t>
  </si>
  <si>
    <t>Tâches 1er trimestre</t>
  </si>
  <si>
    <t>Responsable (s)</t>
  </si>
  <si>
    <t>Extrants</t>
  </si>
  <si>
    <t>Contribution du CN-ITIE dans la réforme des codes sectoriels prise en compte</t>
  </si>
  <si>
    <t xml:space="preserve">La réflexion est amorcée à travers un document de réforme </t>
  </si>
  <si>
    <t>Une proposition de réforme est formulée à travers un atelier au moins</t>
  </si>
  <si>
    <t>Le suivi de l'effectivité est assuré</t>
  </si>
  <si>
    <t xml:space="preserve">Meilleure connaissance du secteur par les parties prenantes et cadre de gouvernance renforcé </t>
  </si>
  <si>
    <t>Les documents de travail du CN-ITIE ainsi que le rapport de l'année N-1 sont disponibles et validés par le GMP</t>
  </si>
  <si>
    <t>Des réunions sont tenues pour améliorer la gouvernance, le suivi la coordination et la concertation au sein du GMP</t>
  </si>
  <si>
    <t>Le suivi la coordination et la concertation au sein du GMP renforcés</t>
  </si>
  <si>
    <t>Groupes thématiques crées</t>
  </si>
  <si>
    <t>Une optimisation des conditions de mise en œuvre de la Norme est assurée </t>
  </si>
  <si>
    <t>1.1. Promouvoir le dialogue et la concertation autour des réformes des codes sectoriels</t>
  </si>
  <si>
    <t>1.2. Proposer une initiative de réforme institutionnelle du CN ITIE (réflexions) </t>
  </si>
  <si>
    <t>1.4. Assurer le suivi de l’effectivité du FADL et de la mise en place du FPACT à travers la rédaction périodique de notes de suivi adressées au MFB/MEPM  </t>
  </si>
  <si>
    <r>
      <t>1.6 Organiser la réunion annuelle de planification stratégique du CN ITIE et du ST ITIE (</t>
    </r>
    <r>
      <rPr>
        <b/>
        <sz val="12"/>
        <color rgb="FFC00000"/>
        <rFont val="Bookman Old Style"/>
        <family val="1"/>
      </rPr>
      <t>Prioritaire</t>
    </r>
    <r>
      <rPr>
        <sz val="12"/>
        <rFont val="Bookman Old Style"/>
        <family val="1"/>
      </rPr>
      <t>)</t>
    </r>
  </si>
  <si>
    <r>
      <t>1.7 Organiser des réunions statutaires du GMP (</t>
    </r>
    <r>
      <rPr>
        <b/>
        <sz val="12"/>
        <color rgb="FFC00000"/>
        <rFont val="Bookman Old Style"/>
        <family val="1"/>
      </rPr>
      <t>Prioritaire</t>
    </r>
    <r>
      <rPr>
        <sz val="12"/>
        <rFont val="Bookman Old Style"/>
        <family val="1"/>
      </rPr>
      <t>)</t>
    </r>
  </si>
  <si>
    <t>1.8 Renforcer le dynamisme des commissions à travers l’adoption et la mise en œuvre de plans de travail des commissions</t>
  </si>
  <si>
    <r>
      <t>1.10. Effectuer des visites de courtoisie auprès de toutes les régies financières/ organismes collecteurs et entités déclarantes (</t>
    </r>
    <r>
      <rPr>
        <b/>
        <sz val="12"/>
        <color rgb="FFC00000"/>
        <rFont val="Bookman Old Style"/>
        <family val="1"/>
      </rPr>
      <t>Prioritaire</t>
    </r>
    <r>
      <rPr>
        <sz val="12"/>
        <color rgb="FF000000"/>
        <rFont val="Bookman Old Style"/>
        <family val="1"/>
      </rPr>
      <t>)</t>
    </r>
  </si>
  <si>
    <t xml:space="preserve">Une compréhension commune est assurée et Les recommandations de la Cour des comptes sont prises en compte par les régies financières </t>
  </si>
  <si>
    <r>
      <t>2.1.	Tenir la rentrée solennelle de l’ITIE : concertation entre la Cour des comptes avec les entités déclarantes et les acteurs de l’écosystème numérique (</t>
    </r>
    <r>
      <rPr>
        <b/>
        <sz val="12"/>
        <color rgb="FFC00000"/>
        <rFont val="Bookman Old Style"/>
        <family val="1"/>
      </rPr>
      <t>Prioritaire</t>
    </r>
    <r>
      <rPr>
        <sz val="12"/>
        <rFont val="Bookman Old Style"/>
        <family val="1"/>
      </rPr>
      <t>)</t>
    </r>
  </si>
  <si>
    <t>Rapport ITIE 2025 élaboré et publié</t>
  </si>
  <si>
    <r>
      <t>2.2.	Poursuivre la divulgation des données à travers la publication des rapports ITIE 2025 (Intégrer l’analyse de conformité des conditions d’octroi de titres dans le cycle annuel de reporting) (</t>
    </r>
    <r>
      <rPr>
        <b/>
        <sz val="12"/>
        <color rgb="FFC00000"/>
        <rFont val="Bookman Old Style"/>
        <family val="1"/>
      </rPr>
      <t>Prioritaire</t>
    </r>
    <r>
      <rPr>
        <sz val="12"/>
        <rFont val="Bookman Old Style"/>
        <family val="1"/>
      </rPr>
      <t>)</t>
    </r>
  </si>
  <si>
    <t>Stratégie sur les minerais définie adoptée</t>
  </si>
  <si>
    <r>
      <t>2.3.Tenir un atelier de réflexion autour de l’adoption d’une stratégie sur les minerais de transition (</t>
    </r>
    <r>
      <rPr>
        <b/>
        <sz val="12"/>
        <color rgb="FFC00000"/>
        <rFont val="Bookman Old Style"/>
        <family val="1"/>
      </rPr>
      <t>Prioritaire</t>
    </r>
    <r>
      <rPr>
        <sz val="12"/>
        <rFont val="Bookman Old Style"/>
        <family val="1"/>
      </rPr>
      <t>)</t>
    </r>
  </si>
  <si>
    <t>Les impacts de la transition énergétique sur les revenus issus des hydrocarbures sont documentés</t>
  </si>
  <si>
    <t xml:space="preserve"> 2.4.	Analyser l’impact de la transition énergétique sur les revenus des hydrocarbures : Rapport thématique : (étude consultant) </t>
  </si>
  <si>
    <t>Les estimations des exportations résultants des activités artisanales et à petite échelle sont divulguées</t>
  </si>
  <si>
    <r>
      <t>2.5. Renforcer la publication des données EMAPE (données d’exportation/ pays de destination) (</t>
    </r>
    <r>
      <rPr>
        <b/>
        <sz val="12"/>
        <color rgb="FFC00000"/>
        <rFont val="Bookman Old Style"/>
        <family val="1"/>
      </rPr>
      <t>Prioritaire</t>
    </r>
    <r>
      <rPr>
        <sz val="12"/>
        <color rgb="FF000000"/>
        <rFont val="Bookman Old Style"/>
        <family val="1"/>
      </rPr>
      <t>)</t>
    </r>
  </si>
  <si>
    <t>Meilleure compréhension des niveaux d'exportation des matières premières et une nette évaluation des recettes publiques attendues des industries extractives</t>
  </si>
  <si>
    <r>
      <t>2.6. Faire l'analyse des prix de vente des matières premières pratiquées par les entreprises (</t>
    </r>
    <r>
      <rPr>
        <b/>
        <sz val="12"/>
        <rFont val="Bookman Old Style"/>
        <family val="1"/>
      </rPr>
      <t>Prioritaire</t>
    </r>
    <r>
      <rPr>
        <sz val="12"/>
        <rFont val="Bookman Old Style"/>
        <family val="1"/>
      </rPr>
      <t>)</t>
    </r>
  </si>
  <si>
    <t>Mise en œuvre effective de l'exigence 2.5 de la Norme ITIE</t>
  </si>
  <si>
    <r>
      <t>2.7. Faire une analyse des données RBE : rapport thématique (</t>
    </r>
    <r>
      <rPr>
        <b/>
        <sz val="12"/>
        <color rgb="FFC00000"/>
        <rFont val="Bookman Old Style"/>
        <family val="1"/>
      </rPr>
      <t>Prioritaire</t>
    </r>
    <r>
      <rPr>
        <sz val="12"/>
        <color rgb="FF000000"/>
        <rFont val="Bookman Old Style"/>
        <family val="1"/>
      </rPr>
      <t xml:space="preserve">) </t>
    </r>
  </si>
  <si>
    <t xml:space="preserve">2.8 Créer un portail numérique pour l'accès du public au RBE </t>
  </si>
  <si>
    <t>Transparence environnementale renforcée</t>
  </si>
  <si>
    <r>
      <t>2.9.  Améliorer le cadre de divulgation des émissions de GES dans le secteur extractif (</t>
    </r>
    <r>
      <rPr>
        <b/>
        <sz val="12"/>
        <color rgb="FFC00000"/>
        <rFont val="Bookman Old Style"/>
        <family val="1"/>
      </rPr>
      <t>Prioritaire</t>
    </r>
    <r>
      <rPr>
        <sz val="12"/>
        <color rgb="FF000000"/>
        <rFont val="Bookman Old Style"/>
        <family val="1"/>
      </rPr>
      <t>)</t>
    </r>
  </si>
  <si>
    <t>Gouvernance des entreprises d’État renforcée</t>
  </si>
  <si>
    <r>
      <t>2.10  Analyser les défis de la gouvernance des entreprises d’Etat en collaboration avec la PCQVP (</t>
    </r>
    <r>
      <rPr>
        <b/>
        <sz val="12"/>
        <color rgb="FFC00000"/>
        <rFont val="Bookman Old Style"/>
        <family val="1"/>
      </rPr>
      <t>Prioritaire</t>
    </r>
    <r>
      <rPr>
        <sz val="12"/>
        <color rgb="FF000000"/>
        <rFont val="Bookman Old Style"/>
        <family val="1"/>
      </rPr>
      <t>)</t>
    </r>
  </si>
  <si>
    <t>Transparence et connaissance des coûts de projets renforcées</t>
  </si>
  <si>
    <r>
      <t>2.11. Faire une analyse comparative des coûts de projets pétroliers : rapport thématique (</t>
    </r>
    <r>
      <rPr>
        <b/>
        <sz val="12"/>
        <color rgb="FFC00000"/>
        <rFont val="Bookman Old Style"/>
        <family val="1"/>
      </rPr>
      <t>Prioritaire</t>
    </r>
    <r>
      <rPr>
        <sz val="12"/>
        <color rgb="FF000000"/>
        <rFont val="Bookman Old Style"/>
        <family val="1"/>
      </rPr>
      <t>)</t>
    </r>
  </si>
  <si>
    <t>Transparence renforcée dans la gouvernance du secteur extractif</t>
  </si>
  <si>
    <t>2.12 Produire un rapport sur la micro-transparence en collaboration avec Enda lead</t>
  </si>
  <si>
    <t>Meilleure optimisation  des revenus du secteur extractif permettant de lutter contre la corruption</t>
  </si>
  <si>
    <r>
      <t>2.13. Faire une étude ou une analyse sur la modélisation financière et économique des projets extractifs au Sénégal (</t>
    </r>
    <r>
      <rPr>
        <b/>
        <sz val="12"/>
        <color rgb="FFC00000"/>
        <rFont val="Bookman Old Style"/>
        <family val="1"/>
      </rPr>
      <t>Prioritaire</t>
    </r>
    <r>
      <rPr>
        <sz val="12"/>
        <color theme="1"/>
        <rFont val="Bookman Old Style"/>
        <family val="1"/>
      </rPr>
      <t>)</t>
    </r>
  </si>
  <si>
    <t>Un inventaire exhaustif des contrats à publier et préciser les obstacles juridiques ou pratiques de la non-publication de certains contrats est effectué</t>
  </si>
  <si>
    <r>
      <t>2.14 Elaborer et divulguer sur le site de l'ITIE le plan de publication des contrats (</t>
    </r>
    <r>
      <rPr>
        <b/>
        <sz val="12"/>
        <color rgb="FFC00000"/>
        <rFont val="Bookman Old Style"/>
        <family val="1"/>
      </rPr>
      <t>Prioritaire</t>
    </r>
    <r>
      <rPr>
        <sz val="12"/>
        <color theme="1"/>
        <rFont val="Bookman Old Style"/>
        <family val="1"/>
      </rPr>
      <t>)</t>
    </r>
  </si>
  <si>
    <t>Les membres du GMP sont mieux outillés sur le genre dans le secteur extratif et surtout sur la collecte, le traitement l'analyse des données genre</t>
  </si>
  <si>
    <t xml:space="preserve">Système d'information du CN-ITIE amélioré et sa  performance renforcée </t>
  </si>
  <si>
    <r>
      <t>3.1. Doter le secrétariat technique d’outils numériques permettant de renforcer sa productivitié (</t>
    </r>
    <r>
      <rPr>
        <b/>
        <sz val="12"/>
        <color rgb="FFC00000"/>
        <rFont val="Bookman Old Style"/>
        <family val="1"/>
      </rPr>
      <t>Prioritaire</t>
    </r>
    <r>
      <rPr>
        <sz val="12"/>
        <rFont val="Bookman Old Style"/>
        <family val="1"/>
      </rPr>
      <t>)</t>
    </r>
  </si>
  <si>
    <r>
      <t>3.2. Réformer les plateformes numériques en vue d’améliorer le processus de collecte de données et les divulgations systématiques (</t>
    </r>
    <r>
      <rPr>
        <b/>
        <sz val="12"/>
        <color rgb="FFC00000"/>
        <rFont val="Bookman Old Style"/>
        <family val="1"/>
      </rPr>
      <t>Prioritaire</t>
    </r>
    <r>
      <rPr>
        <sz val="12"/>
        <rFont val="Bookman Old Style"/>
        <family val="1"/>
      </rPr>
      <t>)</t>
    </r>
  </si>
  <si>
    <t>Meilleures connaissances des enjeux du secteur en vue de contribuer au débat public</t>
  </si>
  <si>
    <t xml:space="preserve">3.3. Mettre en œuvre et exécuter le plan de renforcement des capacités du CN ITIE </t>
  </si>
  <si>
    <t xml:space="preserve">Dialogue et sensibilisation renforcés avec les PP et les communautées impactées </t>
  </si>
  <si>
    <t>3.4. Renforcer la sensibilisation et le dialogue avec les PP et les communautés impactées sur la gouvernance du secteur</t>
  </si>
  <si>
    <t>Plan stratégique 2022-2026 évalué, les orientations communes pour les années à venir dégagées</t>
  </si>
  <si>
    <t>3.5 : Elaborer un nouveau plan stratégique couvrant les années 2027 à 2030</t>
  </si>
  <si>
    <t>EAA 2026 disponible et partagé avec le SI et publié sur le site de l'ITIE ; PTAB en cours évalué et nouveau PTAB élaboré</t>
  </si>
  <si>
    <r>
      <t>3.6. Procéder à l'évaluation le plan de travail annuel 2026 suivie de mises à jour pour l'élaboration du plan de travail subséquent (</t>
    </r>
    <r>
      <rPr>
        <b/>
        <sz val="12"/>
        <color rgb="FFC00000"/>
        <rFont val="Bookman Old Style"/>
        <family val="1"/>
      </rPr>
      <t>Prioritaire</t>
    </r>
    <r>
      <rPr>
        <sz val="12"/>
        <color theme="1"/>
        <rFont val="Bookman Old Style"/>
        <family val="1"/>
      </rPr>
      <t>)</t>
    </r>
  </si>
  <si>
    <t>Toutes les recommandations sont mises en œuvre, les performances sont améliorées et la gouvernance du secteur extractif renforcée</t>
  </si>
  <si>
    <r>
      <t>3.7 : Faire le suivi de la matrice des directives présentielles et des recommandations issues du rapportage, de la validation, des études et de la dissémination (</t>
    </r>
    <r>
      <rPr>
        <b/>
        <sz val="12"/>
        <color rgb="FFC00000"/>
        <rFont val="Bookman Old Style"/>
        <family val="1"/>
      </rPr>
      <t>Prioritaire</t>
    </r>
    <r>
      <rPr>
        <sz val="12"/>
        <color theme="1"/>
        <rFont val="Bookman Old Style"/>
        <family val="1"/>
      </rPr>
      <t>)</t>
    </r>
  </si>
  <si>
    <t>Plan de com élaboré et exécuté permettant un débat public sur la gouvernance des IE à travers une communication active des données pertinentes accessible et reflétant les besoins des PP</t>
  </si>
  <si>
    <r>
      <t>3.8. Elaborer et exécuter un plan de communication (</t>
    </r>
    <r>
      <rPr>
        <b/>
        <sz val="12"/>
        <color rgb="FFC00000"/>
        <rFont val="Bookman Old Style"/>
        <family val="1"/>
      </rPr>
      <t>Prioritaire</t>
    </r>
    <r>
      <rPr>
        <sz val="12"/>
        <rFont val="Bookman Old Style"/>
        <family val="1"/>
      </rPr>
      <t>)</t>
    </r>
  </si>
  <si>
    <t>Les résultats du Rapport ITIE 2022 partagés avec les communautés impactées</t>
  </si>
  <si>
    <r>
      <t>3.9. Disséminer les résultats du Rapport ITIE 2025, dans les régions du Sénégal (Matam - Thiès - St-Louis - Fatick - Kédougou) (</t>
    </r>
    <r>
      <rPr>
        <b/>
        <sz val="12"/>
        <color rgb="FFC00000"/>
        <rFont val="Bookman Old Style"/>
        <family val="1"/>
      </rPr>
      <t>Prioritaire</t>
    </r>
    <r>
      <rPr>
        <sz val="12"/>
        <rFont val="Bookman Old Style"/>
        <family val="1"/>
      </rPr>
      <t>)</t>
    </r>
  </si>
  <si>
    <t>un débat public sur la gouvernance des IE à travers une communication active des données pertinentes accessible et reflétant les besoins des PP est renforcée. 
Les capacités nationales sont renforcées sur le secteur extractif et la gouvernance des IE</t>
  </si>
  <si>
    <t>3.10. Organiser des conférences annuelles de l’ITIE sur des thématiques clés de la Norme et de la gouvernance des IE</t>
  </si>
  <si>
    <r>
      <t>1.3. Proposer une initiative de réforme du fonds de réhabilitation minière</t>
    </r>
    <r>
      <rPr>
        <b/>
        <sz val="12"/>
        <rFont val="Bookman Old Style"/>
        <family val="1"/>
      </rPr>
      <t xml:space="preserve"> (</t>
    </r>
    <r>
      <rPr>
        <b/>
        <sz val="12"/>
        <color rgb="FFC00000"/>
        <rFont val="Bookman Old Style"/>
        <family val="1"/>
      </rPr>
      <t>Prioritaire</t>
    </r>
    <r>
      <rPr>
        <b/>
        <sz val="12"/>
        <rFont val="Bookman Old Style"/>
        <family val="1"/>
      </rPr>
      <t>)</t>
    </r>
  </si>
  <si>
    <t xml:space="preserve">Situation de l'Activités </t>
  </si>
  <si>
    <t>Projet de Décret</t>
  </si>
  <si>
    <t xml:space="preserve">Amorcer la discussion et élaborer un document </t>
  </si>
  <si>
    <t xml:space="preserve">Amorcer la discussion lors de la réunion du GMP </t>
  </si>
  <si>
    <t>Effectuer une série de concertation avec les parties prenantes concernées</t>
  </si>
  <si>
    <t>Envoyer une note technique aux autorités</t>
  </si>
  <si>
    <t>Note conceptuelle / Elaborer la première note juridique</t>
  </si>
  <si>
    <t>EAA validé
Rapport de cadrage validés
Plan de com validé 
Plan de renforcement de capacités validé
Plan de publication des contrats validé
Matrice de suivi des recommandations (rapports, validation, études et dissémination)</t>
  </si>
  <si>
    <t>Organiser la réunion du GMP</t>
  </si>
  <si>
    <t>Faire le suivi des plans de travail des commissiions
Tenir les réunions de commissions</t>
  </si>
  <si>
    <t xml:space="preserve">Elaborer et valider les TDRs et créer les groupes thématiques de travail et faire le point à la réunion du GMP
</t>
  </si>
  <si>
    <t>Faire le suivi avec certaines régies</t>
  </si>
  <si>
    <t xml:space="preserve">Elaborer les TDRs de l'atelier </t>
  </si>
  <si>
    <t>Lancer le recrutement de l'AI /rapport de cadrage à valider à la reunion du GMP</t>
  </si>
  <si>
    <t>Faire des visites de courtoisie auprès des parties prenantes concernées et note d'orientation</t>
  </si>
  <si>
    <t xml:space="preserve">Elaborer et valider les TDRs faire une note suivi d'une discussion au GMP  
(Recruter le consultant)
</t>
  </si>
  <si>
    <t xml:space="preserve">Documenter la problématique et identifier les obstacles liés à la publication exhaustives des données EMAPE </t>
  </si>
  <si>
    <t>Elaborer des TDRs</t>
  </si>
  <si>
    <t xml:space="preserve">Elaborer et valider les TDRs 
</t>
  </si>
  <si>
    <t xml:space="preserve">CR concertation et TDR </t>
  </si>
  <si>
    <t>Elaborer et valider les Tdrs 
Cadre de divulgation des émissions de GES  défini</t>
  </si>
  <si>
    <t>Elaborer les TDRs</t>
  </si>
  <si>
    <t xml:space="preserve">Elaborer les TDRs  </t>
  </si>
  <si>
    <t>Cadre mis en place</t>
  </si>
  <si>
    <t xml:space="preserve">Elaborer les TDRs </t>
  </si>
  <si>
    <t>Inventaire de tous les contrats avec les obstacles juridiques identifiés</t>
  </si>
  <si>
    <t>Elaborer les TDR 
recruter un prestataire</t>
  </si>
  <si>
    <t>Elaborer et valider le plan de renforcement</t>
  </si>
  <si>
    <t>Faire une note d'orientation</t>
  </si>
  <si>
    <t xml:space="preserve">TDR  nouveau plan élaborés, </t>
  </si>
  <si>
    <t>Matrice de suivi trimestriel</t>
  </si>
  <si>
    <t>Elaborer et valider le plan de com</t>
  </si>
  <si>
    <t>SP</t>
  </si>
  <si>
    <t>PR-SP-SPA</t>
  </si>
  <si>
    <t>RSE</t>
  </si>
  <si>
    <t>RAJ/SP</t>
  </si>
  <si>
    <t>Team ITIE</t>
  </si>
  <si>
    <t>SP - Team ITIE</t>
  </si>
  <si>
    <t>RSE
Points focaux</t>
  </si>
  <si>
    <t>SP-SPA-GD- RSE-CI-</t>
  </si>
  <si>
    <t>PR SP SPA-GD</t>
  </si>
  <si>
    <t>SPA-CI-GD</t>
  </si>
  <si>
    <t>GD</t>
  </si>
  <si>
    <t>SP-GD</t>
  </si>
  <si>
    <t>GD/ SP</t>
  </si>
  <si>
    <t>SP/GD</t>
  </si>
  <si>
    <t xml:space="preserve">GD </t>
  </si>
  <si>
    <t>SP-SPA-RSE</t>
  </si>
  <si>
    <t>RAJ/SP/GD</t>
  </si>
  <si>
    <t>SPA</t>
  </si>
  <si>
    <t>SPA-CI</t>
  </si>
  <si>
    <t xml:space="preserve">SPA </t>
  </si>
  <si>
    <t>SPA-SP</t>
  </si>
  <si>
    <t>Fév</t>
  </si>
  <si>
    <t xml:space="preserve">Mars </t>
  </si>
  <si>
    <t>janvier</t>
  </si>
  <si>
    <t>mars</t>
  </si>
  <si>
    <t xml:space="preserve">Dévrier </t>
  </si>
  <si>
    <t>Mars</t>
  </si>
  <si>
    <t xml:space="preserve">févier </t>
  </si>
  <si>
    <t xml:space="preserve">février </t>
  </si>
  <si>
    <t xml:space="preserve">Janvier </t>
  </si>
  <si>
    <t xml:space="preserve">Février </t>
  </si>
  <si>
    <t>Janvier</t>
  </si>
  <si>
    <t>Février</t>
  </si>
  <si>
    <t>En cours</t>
  </si>
  <si>
    <t>Suivi CN-ITIE</t>
  </si>
  <si>
    <t>Ce point est traité lors de la réunion du GMP</t>
  </si>
  <si>
    <t>Inscrit dans l'agenda du Pr du Comité</t>
  </si>
  <si>
    <t>TDR en cours d'élaboration</t>
  </si>
  <si>
    <t xml:space="preserve">Finaliser certains documents </t>
  </si>
  <si>
    <t>1ere réunion tenue</t>
  </si>
  <si>
    <t xml:space="preserve">Président et SP travailleront sur cette question </t>
  </si>
  <si>
    <t>Travailler avec le Ministère sur cette question</t>
  </si>
  <si>
    <t>Collaboration MJ CREDIJ NRGI</t>
  </si>
  <si>
    <t>Discuter avec Gaindé 2000 ou ANSD</t>
  </si>
  <si>
    <t>collaboration avec CSE</t>
  </si>
  <si>
    <t>Collaborer avec le LAREM</t>
  </si>
  <si>
    <t xml:space="preserve">Recrutement du prestataire en cours </t>
  </si>
  <si>
    <r>
      <t xml:space="preserve">1.5 Produire périodiquement des </t>
    </r>
    <r>
      <rPr>
        <i/>
        <sz val="12"/>
        <color rgb="FFFF0000"/>
        <rFont val="Bookman Old Style"/>
        <family val="1"/>
      </rPr>
      <t>legal and policy</t>
    </r>
    <r>
      <rPr>
        <sz val="12"/>
        <color rgb="FFFF0000"/>
        <rFont val="Bookman Old Style"/>
        <family val="1"/>
      </rPr>
      <t xml:space="preserve"> brief (note juridique et politique) sur des thématiques clés (</t>
    </r>
    <r>
      <rPr>
        <i/>
        <sz val="12"/>
        <color rgb="FFFF0000"/>
        <rFont val="Bookman Old Style"/>
        <family val="1"/>
      </rPr>
      <t>2 X par année</t>
    </r>
    <r>
      <rPr>
        <sz val="12"/>
        <color rgb="FFFF0000"/>
        <rFont val="Bookman Old Style"/>
        <family val="1"/>
      </rPr>
      <t xml:space="preserve">) </t>
    </r>
  </si>
  <si>
    <r>
      <t xml:space="preserve">1.9. Créer et animer des groupes de travail autour de quelques thématiques clés : </t>
    </r>
    <r>
      <rPr>
        <b/>
        <sz val="12"/>
        <color rgb="FFFF0000"/>
        <rFont val="Bookman Old Style"/>
        <family val="1"/>
      </rPr>
      <t>lutte contre la corruption</t>
    </r>
    <r>
      <rPr>
        <sz val="12"/>
        <color rgb="FFFF0000"/>
        <rFont val="Bookman Old Style"/>
        <family val="1"/>
      </rPr>
      <t xml:space="preserve"> et </t>
    </r>
    <r>
      <rPr>
        <b/>
        <sz val="12"/>
        <color rgb="FFFF0000"/>
        <rFont val="Bookman Old Style"/>
        <family val="1"/>
      </rPr>
      <t>FFI</t>
    </r>
    <r>
      <rPr>
        <sz val="12"/>
        <color rgb="FFFF0000"/>
        <rFont val="Bookman Old Style"/>
        <family val="1"/>
      </rPr>
      <t xml:space="preserve">, la </t>
    </r>
    <r>
      <rPr>
        <b/>
        <sz val="12"/>
        <color rgb="FFFF0000"/>
        <rFont val="Bookman Old Style"/>
        <family val="1"/>
      </rPr>
      <t>gouvernance des entreprises d’Etat</t>
    </r>
    <r>
      <rPr>
        <sz val="12"/>
        <color rgb="FFFF0000"/>
        <rFont val="Bookman Old Style"/>
        <family val="1"/>
      </rPr>
      <t xml:space="preserve">, la </t>
    </r>
    <r>
      <rPr>
        <b/>
        <sz val="12"/>
        <color rgb="FFFF0000"/>
        <rFont val="Bookman Old Style"/>
        <family val="1"/>
      </rPr>
      <t>mobilisation des ressources</t>
    </r>
    <r>
      <rPr>
        <sz val="12"/>
        <color rgb="FFFF0000"/>
        <rFont val="Bookman Old Style"/>
        <family val="1"/>
      </rPr>
      <t xml:space="preserve">, le </t>
    </r>
    <r>
      <rPr>
        <b/>
        <sz val="12"/>
        <color rgb="FFFF0000"/>
        <rFont val="Bookman Old Style"/>
        <family val="1"/>
      </rPr>
      <t>genre</t>
    </r>
    <r>
      <rPr>
        <sz val="12"/>
        <color rgb="FFFF0000"/>
        <rFont val="Bookman Old Style"/>
        <family val="1"/>
      </rPr>
      <t xml:space="preserve">, la </t>
    </r>
    <r>
      <rPr>
        <b/>
        <sz val="12"/>
        <color rgb="FFFF0000"/>
        <rFont val="Bookman Old Style"/>
        <family val="1"/>
      </rPr>
      <t>surveillance des impacts environnementaux</t>
    </r>
    <r>
      <rPr>
        <sz val="12"/>
        <color rgb="FFFF0000"/>
        <rFont val="Bookman Old Style"/>
        <family val="1"/>
      </rPr>
      <t xml:space="preserve"> (</t>
    </r>
    <r>
      <rPr>
        <b/>
        <sz val="12"/>
        <color rgb="FFFF0000"/>
        <rFont val="Bookman Old Style"/>
        <family val="1"/>
      </rPr>
      <t>Prioritaire</t>
    </r>
    <r>
      <rPr>
        <sz val="12"/>
        <color rgb="FFFF0000"/>
        <rFont val="Bookman Old Style"/>
        <family val="1"/>
      </rPr>
      <t>)</t>
    </r>
  </si>
  <si>
    <t xml:space="preserve">Activité prise en compte par le MEPM qui a déjà partagé un projet de Décret </t>
  </si>
  <si>
    <t>PV rencontres TDr partagés</t>
  </si>
  <si>
    <t>TDR  disponibles</t>
  </si>
  <si>
    <t>Voir avec Fallou demain</t>
  </si>
  <si>
    <t xml:space="preserve">Cadre mis en place </t>
  </si>
  <si>
    <t>TDRs disponible</t>
  </si>
  <si>
    <t>Plan de publication des contrats disponible</t>
  </si>
  <si>
    <t>TDRs disponibles</t>
  </si>
  <si>
    <t>Plan de renforcement validé</t>
  </si>
  <si>
    <t xml:space="preserve">Matrice de suivi des performances disponible </t>
  </si>
  <si>
    <t>Matrice de suivi des recommandations disponible</t>
  </si>
  <si>
    <t>`TDRs conférence disponible</t>
  </si>
  <si>
    <t>Plan de travail Commissions AJ et RCSE</t>
  </si>
  <si>
    <t xml:space="preserve">Discussion amorcée à la reunion du GMP du 10 mars </t>
  </si>
  <si>
    <t>Compte rendu disponible</t>
  </si>
  <si>
    <t>Retirée du Plan de travail</t>
  </si>
  <si>
    <t>RAS</t>
  </si>
  <si>
    <t xml:space="preserve">TDRs dissémination disponible 
Rapport dissémination Bargny disponible 
</t>
  </si>
  <si>
    <t xml:space="preserve">En cours
</t>
  </si>
  <si>
    <t>Collaborer avec l'IDEP</t>
  </si>
  <si>
    <t xml:space="preserve">  Matrice de suivi des performances premier trimestre 2026</t>
  </si>
  <si>
    <t>Examen annuel d'avancement</t>
  </si>
  <si>
    <t xml:space="preserve"> en attente de la note de Thaddée</t>
  </si>
  <si>
    <t xml:space="preserve">Rapport de </t>
  </si>
  <si>
    <t xml:space="preserve">TDRs disponibles / Rapport d'activités disponible </t>
  </si>
  <si>
    <t xml:space="preserve">Travaux de recrutement de l'AI en cours </t>
  </si>
  <si>
    <t>TDR AI disponibles
Le rapport de cadrage  validé à la reunion du GMP</t>
  </si>
  <si>
    <t xml:space="preserve">En attente des travaux de Cospetrogaz sur la question 
</t>
  </si>
  <si>
    <t>Elaborer les TDR</t>
  </si>
  <si>
    <r>
      <t>2.15 Tenir un atelier de formation des membre du GMP sur le genre et le secteur extratif au Sénégal ( collecte, traitement, analyse  et interpretation des données genres) (</t>
    </r>
    <r>
      <rPr>
        <b/>
        <sz val="12"/>
        <color rgb="FFFF0000"/>
        <rFont val="Bookman Old Style"/>
        <family val="1"/>
      </rPr>
      <t>Prioritaire</t>
    </r>
    <r>
      <rPr>
        <sz val="12"/>
        <color rgb="FFFF0000"/>
        <rFont val="Bookman Old Style"/>
        <family val="1"/>
      </rPr>
      <t>)</t>
    </r>
  </si>
  <si>
    <t>Compte rendu rencontre avec les communautés de Bargny</t>
  </si>
  <si>
    <t xml:space="preserve">En attente du plan de 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</si>
</sst>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b/>
      <sz val="12"/>
      <color rgb="FFFFFFFF"/>
      <name val="Bookman Old Style"/>
      <family val="1"/>
    </font>
    <font>
      <sz val="12"/>
      <color rgb="FF000000"/>
      <name val="Bookman Old Style"/>
      <family val="1"/>
    </font>
    <font>
      <sz val="12"/>
      <color rgb="FFFF0000"/>
      <name val="Bookman Old Style"/>
      <family val="1"/>
    </font>
    <font>
      <sz val="12"/>
      <color theme="1"/>
      <name val="Bookman Old Style"/>
      <family val="1"/>
    </font>
    <font>
      <sz val="12"/>
      <color rgb="FFFFFFFF"/>
      <name val="Bookman Old Style"/>
      <family val="1"/>
    </font>
    <font>
      <sz val="12"/>
      <color theme="1"/>
      <name val="Calibri"/>
      <family val="2"/>
      <scheme val="minor"/>
    </font>
    <font>
      <sz val="11"/>
      <color rgb="FF000000"/>
      <name val="Calibri"/>
      <family val="2"/>
      <charset val="1"/>
    </font>
    <font>
      <sz val="12"/>
      <color rgb="FF006100"/>
      <name val="Calibri"/>
      <family val="2"/>
      <scheme val="minor"/>
    </font>
    <font>
      <sz val="12"/>
      <color rgb="FF9C0006"/>
      <name val="Calibri"/>
      <family val="2"/>
      <scheme val="minor"/>
    </font>
    <font>
      <sz val="12"/>
      <color rgb="FF9C5700"/>
      <name val="Calibri"/>
      <family val="2"/>
      <scheme val="minor"/>
    </font>
    <font>
      <sz val="12"/>
      <name val="Bookman Old Style"/>
      <family val="1"/>
    </font>
    <font>
      <b/>
      <sz val="12"/>
      <name val="Bookman Old Style"/>
      <family val="1"/>
    </font>
    <font>
      <b/>
      <sz val="12"/>
      <color rgb="FFC00000"/>
      <name val="Bookman Old Style"/>
      <family val="1"/>
    </font>
    <font>
      <b/>
      <sz val="24"/>
      <color theme="1"/>
      <name val="Bookman Old Style"/>
      <family val="1"/>
    </font>
    <font>
      <sz val="24"/>
      <color theme="1"/>
      <name val="Bookman Old Style"/>
      <family val="1"/>
    </font>
    <font>
      <i/>
      <sz val="12"/>
      <color rgb="FFFF0000"/>
      <name val="Bookman Old Style"/>
      <family val="1"/>
    </font>
    <font>
      <b/>
      <sz val="12"/>
      <color rgb="FFFF0000"/>
      <name val="Bookman Old Style"/>
      <family val="1"/>
    </font>
    <font>
      <sz val="11"/>
      <color rgb="FFFF0000"/>
      <name val="Calibri"/>
      <family val="2"/>
      <scheme val="minor"/>
    </font>
  </fonts>
  <fills count="17">
    <fill>
      <patternFill patternType="none"/>
    </fill>
    <fill>
      <patternFill patternType="gray125"/>
    </fill>
    <fill>
      <patternFill patternType="solid">
        <fgColor rgb="FF203764"/>
        <bgColor indexed="64"/>
      </patternFill>
    </fill>
    <fill>
      <patternFill patternType="solid">
        <fgColor rgb="FF548235"/>
        <bgColor indexed="64"/>
      </patternFill>
    </fill>
    <fill>
      <patternFill patternType="solid">
        <fgColor rgb="FF305496"/>
        <bgColor indexed="64"/>
      </patternFill>
    </fill>
    <fill>
      <patternFill patternType="solid">
        <fgColor rgb="FFE2EFDA"/>
        <bgColor indexed="64"/>
      </patternFill>
    </fill>
    <fill>
      <patternFill patternType="solid">
        <fgColor rgb="FFD9E1F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rgb="FF00B05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s>
  <cellStyleXfs count="7">
    <xf numFmtId="0" fontId="0" fillId="0" borderId="0"/>
    <xf numFmtId="0" fontId="6" fillId="0" borderId="0"/>
    <xf numFmtId="0" fontId="7" fillId="0" borderId="0"/>
    <xf numFmtId="43" fontId="7" fillId="0" borderId="0" applyFont="0" applyFill="0" applyBorder="0" applyAlignment="0" applyProtection="0"/>
    <xf numFmtId="0" fontId="8" fillId="9" borderId="0" applyNumberFormat="0" applyBorder="0" applyAlignment="0" applyProtection="0"/>
    <xf numFmtId="0" fontId="9" fillId="10" borderId="0" applyNumberFormat="0" applyBorder="0" applyAlignment="0" applyProtection="0"/>
    <xf numFmtId="0" fontId="10" fillId="11" borderId="0" applyNumberFormat="0" applyBorder="0" applyAlignment="0" applyProtection="0"/>
  </cellStyleXfs>
  <cellXfs count="59">
    <xf numFmtId="0" fontId="0" fillId="0" borderId="0" xfId="0"/>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6" borderId="1" xfId="0" applyFont="1" applyFill="1" applyBorder="1" applyAlignment="1">
      <alignment vertical="center" wrapText="1"/>
    </xf>
    <xf numFmtId="0" fontId="2" fillId="6"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5" fillId="3"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2" fillId="8" borderId="1" xfId="1" applyFont="1" applyFill="1" applyBorder="1" applyAlignment="1">
      <alignment horizontal="justify" vertical="center" wrapText="1"/>
    </xf>
    <xf numFmtId="0" fontId="2" fillId="8" borderId="1" xfId="1" applyFont="1" applyFill="1" applyBorder="1" applyAlignment="1">
      <alignment vertical="center" wrapText="1"/>
    </xf>
    <xf numFmtId="0" fontId="4" fillId="8" borderId="1" xfId="1" applyFont="1" applyFill="1" applyBorder="1" applyAlignment="1">
      <alignment horizontal="left" vertical="center" wrapText="1"/>
    </xf>
    <xf numFmtId="0" fontId="11" fillId="8" borderId="1" xfId="1" applyFont="1" applyFill="1" applyBorder="1" applyAlignment="1">
      <alignment horizontal="justify" vertical="center" wrapText="1"/>
    </xf>
    <xf numFmtId="0" fontId="4" fillId="8" borderId="1" xfId="1" applyFont="1" applyFill="1" applyBorder="1" applyAlignment="1">
      <alignment horizontal="justify" vertical="center" wrapText="1"/>
    </xf>
    <xf numFmtId="0" fontId="11" fillId="8" borderId="1" xfId="1" applyFont="1" applyFill="1" applyBorder="1" applyAlignment="1">
      <alignment vertical="center" wrapText="1"/>
    </xf>
    <xf numFmtId="0" fontId="4" fillId="8" borderId="1" xfId="1" applyFont="1" applyFill="1" applyBorder="1" applyAlignment="1">
      <alignment horizontal="left" vertical="center"/>
    </xf>
    <xf numFmtId="0" fontId="4" fillId="8" borderId="1" xfId="1" applyFont="1" applyFill="1" applyBorder="1" applyAlignment="1">
      <alignment vertical="center" wrapText="1"/>
    </xf>
    <xf numFmtId="0" fontId="4" fillId="8" borderId="1" xfId="0" applyFont="1" applyFill="1" applyBorder="1" applyAlignment="1">
      <alignment vertical="center" wrapText="1"/>
    </xf>
    <xf numFmtId="0" fontId="3" fillId="8" borderId="1" xfId="0" applyFont="1" applyFill="1" applyBorder="1" applyAlignment="1">
      <alignment vertical="center" wrapText="1"/>
    </xf>
    <xf numFmtId="0" fontId="4" fillId="8" borderId="3" xfId="0" applyFont="1" applyFill="1" applyBorder="1" applyAlignment="1">
      <alignment vertical="center" wrapText="1"/>
    </xf>
    <xf numFmtId="0" fontId="4" fillId="8" borderId="3" xfId="0" applyFont="1" applyFill="1" applyBorder="1" applyAlignment="1">
      <alignment vertical="center"/>
    </xf>
    <xf numFmtId="0" fontId="4" fillId="8" borderId="4" xfId="0" applyFont="1" applyFill="1" applyBorder="1" applyAlignment="1">
      <alignment vertical="center" wrapText="1"/>
    </xf>
    <xf numFmtId="0" fontId="4" fillId="8" borderId="5" xfId="0" applyFont="1" applyFill="1" applyBorder="1" applyAlignment="1">
      <alignment vertical="center" wrapText="1"/>
    </xf>
    <xf numFmtId="14" fontId="4" fillId="8" borderId="1" xfId="0" applyNumberFormat="1" applyFont="1" applyFill="1" applyBorder="1" applyAlignment="1">
      <alignment vertical="center" wrapText="1"/>
    </xf>
    <xf numFmtId="14" fontId="3" fillId="8" borderId="1" xfId="0" applyNumberFormat="1" applyFont="1" applyFill="1" applyBorder="1" applyAlignment="1">
      <alignment vertical="center" wrapText="1"/>
    </xf>
    <xf numFmtId="0" fontId="4" fillId="8" borderId="4" xfId="0" applyFont="1" applyFill="1" applyBorder="1" applyAlignment="1">
      <alignment vertical="center"/>
    </xf>
    <xf numFmtId="0" fontId="4" fillId="8" borderId="6" xfId="0" applyFont="1" applyFill="1" applyBorder="1" applyAlignment="1">
      <alignment vertical="center"/>
    </xf>
    <xf numFmtId="0" fontId="4" fillId="8" borderId="2" xfId="0" applyFont="1" applyFill="1" applyBorder="1" applyAlignment="1">
      <alignment vertical="center" wrapText="1"/>
    </xf>
    <xf numFmtId="0" fontId="4" fillId="8" borderId="1" xfId="0" applyFont="1" applyFill="1" applyBorder="1" applyAlignment="1">
      <alignment vertical="center"/>
    </xf>
    <xf numFmtId="9" fontId="4" fillId="12" borderId="1" xfId="0" applyNumberFormat="1" applyFont="1" applyFill="1" applyBorder="1" applyAlignment="1">
      <alignment vertical="center" wrapText="1"/>
    </xf>
    <xf numFmtId="0" fontId="4" fillId="12" borderId="1" xfId="0" applyFont="1" applyFill="1" applyBorder="1" applyAlignment="1">
      <alignment vertical="center" wrapText="1"/>
    </xf>
    <xf numFmtId="0" fontId="2" fillId="12" borderId="1" xfId="0" applyFont="1" applyFill="1" applyBorder="1" applyAlignment="1">
      <alignment vertical="center" wrapText="1"/>
    </xf>
    <xf numFmtId="0" fontId="4" fillId="12" borderId="2" xfId="0" applyFont="1" applyFill="1" applyBorder="1" applyAlignment="1">
      <alignment horizontal="left" vertical="center" wrapText="1"/>
    </xf>
    <xf numFmtId="9" fontId="3" fillId="12" borderId="1" xfId="0" applyNumberFormat="1" applyFont="1" applyFill="1" applyBorder="1" applyAlignment="1">
      <alignment vertical="center" wrapText="1"/>
    </xf>
    <xf numFmtId="0" fontId="3" fillId="12" borderId="1" xfId="0" applyFont="1" applyFill="1" applyBorder="1" applyAlignment="1">
      <alignment vertical="center" wrapText="1"/>
    </xf>
    <xf numFmtId="9" fontId="4" fillId="12" borderId="2" xfId="0" applyNumberFormat="1" applyFont="1" applyFill="1" applyBorder="1" applyAlignment="1">
      <alignment vertical="center" wrapText="1"/>
    </xf>
    <xf numFmtId="0" fontId="3" fillId="8" borderId="1" xfId="1" applyFont="1" applyFill="1" applyBorder="1" applyAlignment="1">
      <alignment horizontal="justify" vertical="center" wrapText="1"/>
    </xf>
    <xf numFmtId="0" fontId="3" fillId="8" borderId="1" xfId="1" applyFont="1" applyFill="1" applyBorder="1" applyAlignment="1">
      <alignment vertical="center" wrapText="1"/>
    </xf>
    <xf numFmtId="9" fontId="4" fillId="12" borderId="2" xfId="0" applyNumberFormat="1" applyFont="1" applyFill="1" applyBorder="1" applyAlignment="1">
      <alignment horizontal="right" vertical="center" wrapText="1"/>
    </xf>
    <xf numFmtId="0" fontId="18" fillId="8" borderId="0" xfId="0" applyFont="1" applyFill="1" applyAlignment="1">
      <alignment vertical="center"/>
    </xf>
    <xf numFmtId="9" fontId="4" fillId="12" borderId="1" xfId="0" applyNumberFormat="1" applyFont="1" applyFill="1" applyBorder="1" applyAlignment="1">
      <alignment vertical="center"/>
    </xf>
    <xf numFmtId="0" fontId="4" fillId="12" borderId="1" xfId="0" applyFont="1" applyFill="1" applyBorder="1" applyAlignment="1">
      <alignment wrapText="1"/>
    </xf>
    <xf numFmtId="0" fontId="4" fillId="12" borderId="1" xfId="0" applyFont="1" applyFill="1" applyBorder="1" applyAlignment="1">
      <alignment vertical="center"/>
    </xf>
    <xf numFmtId="0" fontId="4" fillId="8" borderId="1" xfId="1" applyFont="1" applyFill="1" applyBorder="1" applyAlignment="1">
      <alignment horizontal="left" vertical="center" wrapText="1"/>
    </xf>
    <xf numFmtId="0" fontId="14" fillId="7" borderId="1" xfId="0" applyFont="1" applyFill="1" applyBorder="1" applyAlignment="1">
      <alignment horizontal="center" vertical="center"/>
    </xf>
    <xf numFmtId="0" fontId="15" fillId="7" borderId="1" xfId="0" applyFont="1" applyFill="1" applyBorder="1" applyAlignment="1">
      <alignment horizontal="center" vertical="center"/>
    </xf>
    <xf numFmtId="0" fontId="1" fillId="2" borderId="1" xfId="0" applyFont="1" applyFill="1" applyBorder="1" applyAlignment="1">
      <alignment horizontal="center" vertical="center"/>
    </xf>
    <xf numFmtId="0" fontId="11" fillId="13" borderId="1" xfId="1" applyFont="1" applyFill="1" applyBorder="1" applyAlignment="1">
      <alignment horizontal="justify" vertical="center" wrapText="1"/>
    </xf>
    <xf numFmtId="0" fontId="2" fillId="14" borderId="1" xfId="1" applyFont="1" applyFill="1" applyBorder="1" applyAlignment="1">
      <alignment vertical="center" wrapText="1"/>
    </xf>
    <xf numFmtId="0" fontId="2" fillId="15" borderId="1" xfId="1" applyFont="1" applyFill="1" applyBorder="1" applyAlignment="1">
      <alignment horizontal="justify" vertical="center" wrapText="1"/>
    </xf>
    <xf numFmtId="0" fontId="2" fillId="16" borderId="1" xfId="0" applyFont="1" applyFill="1" applyBorder="1" applyAlignment="1">
      <alignment horizontal="center" vertical="center"/>
    </xf>
    <xf numFmtId="0" fontId="4" fillId="16" borderId="1" xfId="1" applyFont="1" applyFill="1" applyBorder="1" applyAlignment="1">
      <alignment vertical="center" wrapText="1"/>
    </xf>
    <xf numFmtId="0" fontId="2" fillId="16" borderId="1" xfId="1" applyFont="1" applyFill="1" applyBorder="1" applyAlignment="1">
      <alignment horizontal="justify" vertical="center" wrapText="1"/>
    </xf>
    <xf numFmtId="0" fontId="3" fillId="16" borderId="1" xfId="0" applyFont="1" applyFill="1" applyBorder="1" applyAlignment="1">
      <alignment vertical="center" wrapText="1"/>
    </xf>
    <xf numFmtId="0" fontId="2" fillId="16" borderId="1" xfId="0" applyFont="1" applyFill="1" applyBorder="1" applyAlignment="1">
      <alignment horizontal="center" vertical="center" wrapText="1"/>
    </xf>
    <xf numFmtId="9" fontId="3" fillId="16" borderId="1" xfId="0" applyNumberFormat="1" applyFont="1" applyFill="1" applyBorder="1" applyAlignment="1">
      <alignment vertical="center" wrapText="1"/>
    </xf>
    <xf numFmtId="0" fontId="4" fillId="16" borderId="1" xfId="0" applyFont="1" applyFill="1" applyBorder="1" applyAlignment="1">
      <alignment vertical="center" wrapText="1"/>
    </xf>
    <xf numFmtId="0" fontId="0" fillId="16" borderId="0" xfId="0" applyFill="1"/>
  </cellXfs>
  <cellStyles count="7">
    <cellStyle name="Comma 2" xfId="3" xr:uid="{4D321732-86A8-460B-88C2-82AE7FDA8CA0}"/>
    <cellStyle name="Insatisfaisant 2" xfId="5" xr:uid="{AFAA9ADD-9686-4F03-9325-CD01C46B7BA5}"/>
    <cellStyle name="Neutre 2" xfId="6" xr:uid="{1BAA5279-9D8A-492B-9C8E-53AC53045FE7}"/>
    <cellStyle name="Normal" xfId="0" builtinId="0"/>
    <cellStyle name="Normal 2" xfId="2" xr:uid="{1D52E80F-DEAE-4D7B-824C-36803610C932}"/>
    <cellStyle name="Normal 3" xfId="1" xr:uid="{6EB04BD4-31DD-46DE-8001-7844B93C3916}"/>
    <cellStyle name="Satisfaisant 2" xfId="4" xr:uid="{79DB315F-9195-4009-A180-3341E431C8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1800" b="1" i="0" baseline="0">
                <a:effectLst/>
              </a:rPr>
              <a:t>Etat d'exécution des activités du PTA 2025 semestre 1</a:t>
            </a:r>
            <a:endParaRPr lang="fr-FR">
              <a:effectLst/>
            </a:endParaRPr>
          </a:p>
        </c:rich>
      </c:tx>
      <c:layout>
        <c:manualLayout>
          <c:xMode val="edge"/>
          <c:yMode val="edge"/>
          <c:x val="0.27904929577464799"/>
          <c:y val="5.0793650793650801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8.9402563468804083E-2"/>
          <c:y val="0.23386825151640733"/>
          <c:w val="0.91055569387818602"/>
          <c:h val="0.73983727034120705"/>
        </c:manualLayout>
      </c:layout>
      <c:pie3DChart>
        <c:varyColors val="1"/>
        <c:ser>
          <c:idx val="0"/>
          <c:order val="0"/>
          <c:explosion val="25"/>
          <c:dPt>
            <c:idx val="0"/>
            <c:bubble3D val="0"/>
            <c:spPr>
              <a:solidFill>
                <a:schemeClr val="accent1"/>
              </a:solidFill>
            </c:spPr>
            <c:extLst>
              <c:ext xmlns:c16="http://schemas.microsoft.com/office/drawing/2014/chart" uri="{C3380CC4-5D6E-409C-BE32-E72D297353CC}">
                <c16:uniqueId val="{00000001-2B47-43DA-886D-629A1DB43A78}"/>
              </c:ext>
            </c:extLst>
          </c:dPt>
          <c:dPt>
            <c:idx val="1"/>
            <c:bubble3D val="0"/>
            <c:spPr>
              <a:solidFill>
                <a:schemeClr val="accent6"/>
              </a:solidFill>
            </c:spPr>
            <c:extLst>
              <c:ext xmlns:c16="http://schemas.microsoft.com/office/drawing/2014/chart" uri="{C3380CC4-5D6E-409C-BE32-E72D297353CC}">
                <c16:uniqueId val="{00000003-2B47-43DA-886D-629A1DB43A78}"/>
              </c:ext>
            </c:extLst>
          </c:dPt>
          <c:dPt>
            <c:idx val="2"/>
            <c:bubble3D val="0"/>
            <c:spPr>
              <a:solidFill>
                <a:srgbClr val="FFC000"/>
              </a:solidFill>
            </c:spPr>
            <c:extLst>
              <c:ext xmlns:c16="http://schemas.microsoft.com/office/drawing/2014/chart" uri="{C3380CC4-5D6E-409C-BE32-E72D297353CC}">
                <c16:uniqueId val="{00000005-2B47-43DA-886D-629A1DB43A78}"/>
              </c:ext>
            </c:extLst>
          </c:dPt>
          <c:dPt>
            <c:idx val="3"/>
            <c:bubble3D val="0"/>
            <c:spPr>
              <a:solidFill>
                <a:schemeClr val="accent2"/>
              </a:solidFill>
            </c:spPr>
            <c:extLst>
              <c:ext xmlns:c16="http://schemas.microsoft.com/office/drawing/2014/chart" uri="{C3380CC4-5D6E-409C-BE32-E72D297353CC}">
                <c16:uniqueId val="{00000007-2B47-43DA-886D-629A1DB43A78}"/>
              </c:ext>
            </c:extLst>
          </c:dPt>
          <c:dLbls>
            <c:spPr>
              <a:noFill/>
              <a:ln>
                <a:noFill/>
              </a:ln>
              <a:effectLst/>
            </c:spPr>
            <c:txPr>
              <a:bodyPr/>
              <a:lstStyle/>
              <a:p>
                <a:pPr>
                  <a:defRPr sz="1800" b="1"/>
                </a:pPr>
                <a:endParaRPr lang="fr-FR"/>
              </a:p>
            </c:txPr>
            <c:showLegendKey val="0"/>
            <c:showVal val="0"/>
            <c:showCatName val="1"/>
            <c:showSerName val="0"/>
            <c:showPercent val="1"/>
            <c:showBubbleSize val="0"/>
            <c:showLeaderLines val="1"/>
            <c:extLst>
              <c:ext xmlns:c15="http://schemas.microsoft.com/office/drawing/2012/chart" uri="{CE6537A1-D6FC-4f65-9D91-7224C49458BB}"/>
            </c:extLst>
          </c:dLbls>
          <c:cat>
            <c:strRef>
              <c:f>'[1]Matrice d''exécution PTAB 2024'!$C$40:$C$44</c:f>
              <c:strCache>
                <c:ptCount val="5"/>
                <c:pt idx="0">
                  <c:v>Activités réalisées </c:v>
                </c:pt>
                <c:pt idx="1">
                  <c:v>Activités avec un taux élevé d'exécution</c:v>
                </c:pt>
                <c:pt idx="2">
                  <c:v>Activités avec un taux faible</c:v>
                </c:pt>
                <c:pt idx="3">
                  <c:v>Activités non réalisées</c:v>
                </c:pt>
              </c:strCache>
            </c:strRef>
          </c:cat>
          <c:val>
            <c:numRef>
              <c:f>'[1]Matrice d''exécution PTAB 2024'!$D$40:$D$44</c:f>
              <c:numCache>
                <c:formatCode>General</c:formatCode>
                <c:ptCount val="5"/>
                <c:pt idx="0">
                  <c:v>5</c:v>
                </c:pt>
                <c:pt idx="1">
                  <c:v>7</c:v>
                </c:pt>
                <c:pt idx="2">
                  <c:v>5</c:v>
                </c:pt>
                <c:pt idx="3">
                  <c:v>2</c:v>
                </c:pt>
              </c:numCache>
            </c:numRef>
          </c:val>
          <c:extLst>
            <c:ext xmlns:c16="http://schemas.microsoft.com/office/drawing/2014/chart" uri="{C3380CC4-5D6E-409C-BE32-E72D297353CC}">
              <c16:uniqueId val="{00000008-2B47-43DA-886D-629A1DB43A78}"/>
            </c:ext>
          </c:extLst>
        </c:ser>
        <c:dLbls>
          <c:showLegendKey val="0"/>
          <c:showVal val="0"/>
          <c:showCatName val="1"/>
          <c:showSerName val="0"/>
          <c:showPercent val="1"/>
          <c:showBubbleSize val="0"/>
          <c:showLeaderLines val="1"/>
        </c:dLbls>
      </c:pie3DChart>
    </c:plotArea>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19051</xdr:rowOff>
    </xdr:from>
    <xdr:to>
      <xdr:col>1</xdr:col>
      <xdr:colOff>1897531</xdr:colOff>
      <xdr:row>0</xdr:row>
      <xdr:rowOff>1077074</xdr:rowOff>
    </xdr:to>
    <xdr:pic>
      <xdr:nvPicPr>
        <xdr:cNvPr id="2" name="Image 2" descr="logo ITIE Officiel">
          <a:extLst>
            <a:ext uri="{FF2B5EF4-FFF2-40B4-BE49-F238E27FC236}">
              <a16:creationId xmlns:a16="http://schemas.microsoft.com/office/drawing/2014/main" id="{108DB529-250B-480D-96D5-E2AB81823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6" y="19051"/>
          <a:ext cx="2391896" cy="1058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2700">
              <a:solidFill>
                <a:srgbClr val="000000"/>
              </a:solidFill>
              <a:miter lim="400000"/>
              <a:headEnd/>
              <a:tailEnd/>
            </a14:hiddenLine>
          </a:ext>
        </a:extLst>
      </xdr:spPr>
    </xdr:pic>
    <xdr:clientData/>
  </xdr:twoCellAnchor>
  <xdr:twoCellAnchor>
    <xdr:from>
      <xdr:col>12</xdr:col>
      <xdr:colOff>647700</xdr:colOff>
      <xdr:row>14</xdr:row>
      <xdr:rowOff>1219200</xdr:rowOff>
    </xdr:from>
    <xdr:to>
      <xdr:col>29</xdr:col>
      <xdr:colOff>647700</xdr:colOff>
      <xdr:row>27</xdr:row>
      <xdr:rowOff>190500</xdr:rowOff>
    </xdr:to>
    <xdr:graphicFrame macro="">
      <xdr:nvGraphicFramePr>
        <xdr:cNvPr id="5" name="Graphique 4">
          <a:extLst>
            <a:ext uri="{FF2B5EF4-FFF2-40B4-BE49-F238E27FC236}">
              <a16:creationId xmlns:a16="http://schemas.microsoft.com/office/drawing/2014/main" id="{60AB858B-C1B2-4A3B-95E9-C37E4ED03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riane\Desktop\Suivi%202025\PTAB%202025\Matrice%20d'ex&#233;cution%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ce d'exécution PTAB 2024"/>
      <sheetName val="Feuil1"/>
      <sheetName val="Feuil2"/>
      <sheetName val="Feuil3"/>
      <sheetName val="Réalisées"/>
    </sheetNames>
    <sheetDataSet>
      <sheetData sheetId="0">
        <row r="40">
          <cell r="C40" t="str">
            <v xml:space="preserve">Activités réalisées </v>
          </cell>
          <cell r="D40">
            <v>5</v>
          </cell>
        </row>
        <row r="41">
          <cell r="C41" t="str">
            <v>Activités avec un taux élevé d'exécution</v>
          </cell>
          <cell r="D41">
            <v>7</v>
          </cell>
        </row>
        <row r="42">
          <cell r="C42" t="str">
            <v>Activités avec un taux faible</v>
          </cell>
          <cell r="D42">
            <v>5</v>
          </cell>
        </row>
        <row r="43">
          <cell r="C43" t="str">
            <v>Activités non réalisées</v>
          </cell>
          <cell r="D43">
            <v>2</v>
          </cell>
        </row>
        <row r="44">
          <cell r="C44"/>
          <cell r="D44"/>
        </row>
      </sheetData>
      <sheetData sheetId="1"/>
      <sheetData sheetId="2"/>
      <sheetData sheetId="3"/>
      <sheetData sheetId="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D676-D295-493E-925E-8FFDC7B54467}">
  <dimension ref="A1:K38"/>
  <sheetViews>
    <sheetView tabSelected="1" topLeftCell="A2" zoomScale="108" zoomScaleNormal="91" workbookViewId="0">
      <pane ySplit="2" topLeftCell="A22" activePane="bottomLeft" state="frozen"/>
      <selection activeCell="A2" sqref="A2"/>
      <selection pane="bottomLeft" activeCell="C23" sqref="C23"/>
    </sheetView>
  </sheetViews>
  <sheetFormatPr baseColWidth="10" defaultRowHeight="14.5" x14ac:dyDescent="0.35"/>
  <cols>
    <col min="1" max="1" width="6.81640625" customWidth="1"/>
    <col min="2" max="2" width="39.26953125" customWidth="1"/>
    <col min="3" max="3" width="52.26953125" customWidth="1"/>
    <col min="4" max="4" width="37.7265625" customWidth="1"/>
    <col min="5" max="5" width="29.81640625" customWidth="1"/>
    <col min="6" max="6" width="17.26953125" customWidth="1"/>
    <col min="7" max="7" width="15" customWidth="1"/>
    <col min="8" max="9" width="18.1796875" customWidth="1"/>
    <col min="10" max="10" width="27.7265625" customWidth="1"/>
    <col min="11" max="11" width="31.7265625" customWidth="1"/>
  </cols>
  <sheetData>
    <row r="1" spans="1:11" ht="89.25" customHeight="1" x14ac:dyDescent="0.35">
      <c r="A1" s="45" t="s">
        <v>178</v>
      </c>
      <c r="B1" s="45"/>
      <c r="C1" s="45"/>
      <c r="D1" s="45"/>
      <c r="E1" s="45"/>
      <c r="F1" s="46"/>
      <c r="G1" s="46"/>
      <c r="H1" s="46"/>
      <c r="I1" s="46"/>
      <c r="J1" s="46"/>
      <c r="K1" s="46"/>
    </row>
    <row r="2" spans="1:11" ht="15.5" x14ac:dyDescent="0.35">
      <c r="A2" s="47" t="s">
        <v>0</v>
      </c>
      <c r="B2" s="47"/>
      <c r="C2" s="47"/>
      <c r="D2" s="47"/>
      <c r="E2" s="47"/>
      <c r="F2" s="47"/>
      <c r="G2" s="47"/>
      <c r="H2" s="47" t="s">
        <v>1</v>
      </c>
      <c r="I2" s="47"/>
      <c r="J2" s="47"/>
      <c r="K2" s="47"/>
    </row>
    <row r="3" spans="1:11" ht="46.5" x14ac:dyDescent="0.35">
      <c r="A3" s="8" t="s">
        <v>2</v>
      </c>
      <c r="B3" s="1" t="s">
        <v>11</v>
      </c>
      <c r="C3" s="1" t="s">
        <v>3</v>
      </c>
      <c r="D3" s="1" t="s">
        <v>9</v>
      </c>
      <c r="E3" s="1" t="s">
        <v>10</v>
      </c>
      <c r="F3" s="2" t="s">
        <v>4</v>
      </c>
      <c r="G3" s="2" t="s">
        <v>5</v>
      </c>
      <c r="H3" s="3" t="s">
        <v>77</v>
      </c>
      <c r="I3" s="3" t="s">
        <v>7</v>
      </c>
      <c r="J3" s="3" t="s">
        <v>6</v>
      </c>
      <c r="K3" s="3" t="s">
        <v>8</v>
      </c>
    </row>
    <row r="4" spans="1:11" ht="46.5" x14ac:dyDescent="0.35">
      <c r="A4" s="7">
        <v>1</v>
      </c>
      <c r="B4" s="12" t="s">
        <v>12</v>
      </c>
      <c r="C4" s="11" t="s">
        <v>22</v>
      </c>
      <c r="D4" s="18" t="s">
        <v>79</v>
      </c>
      <c r="E4" s="18" t="s">
        <v>109</v>
      </c>
      <c r="F4" s="24" t="s">
        <v>130</v>
      </c>
      <c r="G4" s="18" t="s">
        <v>131</v>
      </c>
      <c r="H4" s="4" t="s">
        <v>142</v>
      </c>
      <c r="I4" s="30">
        <v>0.25</v>
      </c>
      <c r="J4" s="31" t="s">
        <v>144</v>
      </c>
      <c r="K4" s="32"/>
    </row>
    <row r="5" spans="1:11" ht="46.5" x14ac:dyDescent="0.35">
      <c r="A5" s="7">
        <v>2</v>
      </c>
      <c r="B5" s="12" t="s">
        <v>13</v>
      </c>
      <c r="C5" s="11" t="s">
        <v>23</v>
      </c>
      <c r="D5" s="18" t="s">
        <v>80</v>
      </c>
      <c r="E5" s="18" t="s">
        <v>109</v>
      </c>
      <c r="F5" s="24" t="s">
        <v>130</v>
      </c>
      <c r="G5" s="18" t="s">
        <v>131</v>
      </c>
      <c r="H5" s="6" t="s">
        <v>173</v>
      </c>
      <c r="I5" s="30"/>
      <c r="J5" s="31" t="s">
        <v>145</v>
      </c>
      <c r="K5" s="32"/>
    </row>
    <row r="6" spans="1:11" ht="78.75" customHeight="1" x14ac:dyDescent="0.35">
      <c r="A6" s="7">
        <v>3</v>
      </c>
      <c r="B6" s="12" t="s">
        <v>14</v>
      </c>
      <c r="C6" s="13" t="s">
        <v>76</v>
      </c>
      <c r="D6" s="18" t="s">
        <v>81</v>
      </c>
      <c r="E6" s="18" t="s">
        <v>110</v>
      </c>
      <c r="F6" s="24" t="s">
        <v>130</v>
      </c>
      <c r="G6" s="18" t="s">
        <v>131</v>
      </c>
      <c r="H6" s="6" t="s">
        <v>143</v>
      </c>
      <c r="I6" s="39">
        <v>0.25</v>
      </c>
      <c r="J6" s="33" t="s">
        <v>158</v>
      </c>
      <c r="K6" s="32" t="s">
        <v>78</v>
      </c>
    </row>
    <row r="7" spans="1:11" ht="93" x14ac:dyDescent="0.35">
      <c r="A7" s="7">
        <v>4</v>
      </c>
      <c r="B7" s="12" t="s">
        <v>15</v>
      </c>
      <c r="C7" s="11" t="s">
        <v>24</v>
      </c>
      <c r="D7" s="18" t="s">
        <v>82</v>
      </c>
      <c r="E7" s="18" t="s">
        <v>109</v>
      </c>
      <c r="F7" s="24" t="s">
        <v>130</v>
      </c>
      <c r="G7" s="18" t="s">
        <v>131</v>
      </c>
      <c r="H7" s="6" t="s">
        <v>142</v>
      </c>
      <c r="I7" s="30">
        <v>0.1</v>
      </c>
      <c r="J7" s="31" t="s">
        <v>180</v>
      </c>
      <c r="K7" s="32"/>
    </row>
    <row r="8" spans="1:11" ht="77.5" x14ac:dyDescent="0.35">
      <c r="A8" s="7">
        <v>5</v>
      </c>
      <c r="B8" s="12" t="s">
        <v>16</v>
      </c>
      <c r="C8" s="37" t="s">
        <v>156</v>
      </c>
      <c r="D8" s="19" t="s">
        <v>83</v>
      </c>
      <c r="E8" s="19" t="s">
        <v>112</v>
      </c>
      <c r="F8" s="25" t="s">
        <v>130</v>
      </c>
      <c r="G8" s="19" t="s">
        <v>131</v>
      </c>
      <c r="H8" s="9" t="s">
        <v>142</v>
      </c>
      <c r="I8" s="34">
        <v>0</v>
      </c>
      <c r="J8" s="35" t="s">
        <v>146</v>
      </c>
      <c r="K8" s="32"/>
    </row>
    <row r="9" spans="1:11" ht="170.5" x14ac:dyDescent="0.35">
      <c r="A9" s="7">
        <v>6</v>
      </c>
      <c r="B9" s="12" t="s">
        <v>17</v>
      </c>
      <c r="C9" s="13" t="s">
        <v>25</v>
      </c>
      <c r="D9" s="18" t="s">
        <v>84</v>
      </c>
      <c r="E9" s="18" t="s">
        <v>113</v>
      </c>
      <c r="F9" s="18" t="s">
        <v>132</v>
      </c>
      <c r="G9" s="18" t="s">
        <v>133</v>
      </c>
      <c r="H9" s="4" t="s">
        <v>174</v>
      </c>
      <c r="I9" s="30">
        <v>0.2</v>
      </c>
      <c r="J9" s="31" t="s">
        <v>147</v>
      </c>
      <c r="K9" s="31" t="s">
        <v>179</v>
      </c>
    </row>
    <row r="10" spans="1:11" ht="62" x14ac:dyDescent="0.35">
      <c r="A10" s="7">
        <v>7</v>
      </c>
      <c r="B10" s="12" t="s">
        <v>18</v>
      </c>
      <c r="C10" s="15" t="s">
        <v>26</v>
      </c>
      <c r="D10" s="18" t="s">
        <v>85</v>
      </c>
      <c r="E10" s="18" t="s">
        <v>114</v>
      </c>
      <c r="F10" s="18" t="s">
        <v>134</v>
      </c>
      <c r="G10" s="18" t="s">
        <v>135</v>
      </c>
      <c r="H10" s="6" t="s">
        <v>174</v>
      </c>
      <c r="I10" s="30">
        <v>0.25</v>
      </c>
      <c r="J10" s="31" t="s">
        <v>148</v>
      </c>
      <c r="K10" s="31" t="s">
        <v>172</v>
      </c>
    </row>
    <row r="11" spans="1:11" ht="77.5" x14ac:dyDescent="0.35">
      <c r="A11" s="7">
        <v>8</v>
      </c>
      <c r="B11" s="11" t="s">
        <v>19</v>
      </c>
      <c r="C11" s="38" t="s">
        <v>27</v>
      </c>
      <c r="D11" s="19" t="s">
        <v>86</v>
      </c>
      <c r="E11" s="19" t="s">
        <v>115</v>
      </c>
      <c r="F11" s="19" t="s">
        <v>136</v>
      </c>
      <c r="G11" s="19" t="s">
        <v>135</v>
      </c>
      <c r="H11" s="6" t="s">
        <v>142</v>
      </c>
      <c r="I11" s="34">
        <v>0.1</v>
      </c>
      <c r="J11" s="31"/>
      <c r="K11" s="31" t="s">
        <v>170</v>
      </c>
    </row>
    <row r="12" spans="1:11" ht="155" x14ac:dyDescent="0.35">
      <c r="A12" s="7">
        <v>9</v>
      </c>
      <c r="B12" s="16" t="s">
        <v>20</v>
      </c>
      <c r="C12" s="37" t="s">
        <v>157</v>
      </c>
      <c r="D12" s="19" t="s">
        <v>87</v>
      </c>
      <c r="E12" s="19" t="s">
        <v>116</v>
      </c>
      <c r="F12" s="19" t="s">
        <v>137</v>
      </c>
      <c r="G12" s="19" t="s">
        <v>135</v>
      </c>
      <c r="H12" s="6" t="s">
        <v>142</v>
      </c>
      <c r="I12" s="34">
        <v>0</v>
      </c>
      <c r="J12" s="31" t="s">
        <v>171</v>
      </c>
      <c r="K12" s="31"/>
    </row>
    <row r="13" spans="1:11" ht="77.5" x14ac:dyDescent="0.35">
      <c r="A13" s="7">
        <v>10</v>
      </c>
      <c r="B13" s="11" t="s">
        <v>21</v>
      </c>
      <c r="C13" s="11" t="s">
        <v>28</v>
      </c>
      <c r="D13" s="18" t="s">
        <v>88</v>
      </c>
      <c r="E13" s="18" t="s">
        <v>117</v>
      </c>
      <c r="F13" s="18" t="s">
        <v>138</v>
      </c>
      <c r="G13" s="18" t="s">
        <v>135</v>
      </c>
      <c r="H13" s="4" t="s">
        <v>174</v>
      </c>
      <c r="I13" s="30">
        <v>0.25</v>
      </c>
      <c r="J13" s="31" t="s">
        <v>149</v>
      </c>
      <c r="K13" s="31" t="s">
        <v>181</v>
      </c>
    </row>
    <row r="14" spans="1:11" ht="93" x14ac:dyDescent="0.35">
      <c r="A14" s="7">
        <v>11</v>
      </c>
      <c r="B14" s="17" t="s">
        <v>29</v>
      </c>
      <c r="C14" s="15" t="s">
        <v>30</v>
      </c>
      <c r="D14" s="18" t="s">
        <v>89</v>
      </c>
      <c r="E14" s="18" t="s">
        <v>118</v>
      </c>
      <c r="F14" s="18" t="s">
        <v>139</v>
      </c>
      <c r="G14" s="18" t="s">
        <v>135</v>
      </c>
      <c r="H14" s="6" t="s">
        <v>174</v>
      </c>
      <c r="I14" s="30">
        <v>1</v>
      </c>
      <c r="J14" s="31"/>
      <c r="K14" s="31" t="s">
        <v>182</v>
      </c>
    </row>
    <row r="15" spans="1:11" ht="124" x14ac:dyDescent="0.35">
      <c r="A15" s="7">
        <v>12</v>
      </c>
      <c r="B15" s="17" t="s">
        <v>31</v>
      </c>
      <c r="C15" s="15" t="s">
        <v>32</v>
      </c>
      <c r="D15" s="18" t="s">
        <v>90</v>
      </c>
      <c r="E15" s="18" t="s">
        <v>119</v>
      </c>
      <c r="F15" s="18" t="s">
        <v>139</v>
      </c>
      <c r="G15" s="18" t="s">
        <v>135</v>
      </c>
      <c r="H15" s="6" t="s">
        <v>174</v>
      </c>
      <c r="I15" s="30">
        <v>0.25</v>
      </c>
      <c r="J15" s="31" t="s">
        <v>183</v>
      </c>
      <c r="K15" s="31" t="s">
        <v>184</v>
      </c>
    </row>
    <row r="16" spans="1:11" ht="77.5" x14ac:dyDescent="0.35">
      <c r="A16" s="7">
        <v>13</v>
      </c>
      <c r="B16" s="17" t="s">
        <v>33</v>
      </c>
      <c r="C16" s="13" t="s">
        <v>34</v>
      </c>
      <c r="D16" s="18" t="s">
        <v>91</v>
      </c>
      <c r="E16" s="18" t="s">
        <v>123</v>
      </c>
      <c r="F16" s="24" t="s">
        <v>130</v>
      </c>
      <c r="G16" s="18" t="s">
        <v>131</v>
      </c>
      <c r="H16" s="5" t="s">
        <v>142</v>
      </c>
      <c r="I16" s="30">
        <v>0.1</v>
      </c>
      <c r="J16" s="31" t="s">
        <v>185</v>
      </c>
      <c r="K16" s="31" t="s">
        <v>159</v>
      </c>
    </row>
    <row r="17" spans="1:11" ht="93" x14ac:dyDescent="0.35">
      <c r="A17" s="7">
        <v>14</v>
      </c>
      <c r="B17" s="17" t="s">
        <v>35</v>
      </c>
      <c r="C17" s="50" t="s">
        <v>36</v>
      </c>
      <c r="D17" s="18" t="s">
        <v>92</v>
      </c>
      <c r="E17" s="18" t="s">
        <v>120</v>
      </c>
      <c r="F17" s="18" t="s">
        <v>140</v>
      </c>
      <c r="G17" s="18" t="s">
        <v>135</v>
      </c>
      <c r="H17" s="6" t="s">
        <v>142</v>
      </c>
      <c r="I17" s="30">
        <v>0.25</v>
      </c>
      <c r="J17" s="31"/>
      <c r="K17" s="31" t="s">
        <v>160</v>
      </c>
    </row>
    <row r="18" spans="1:11" ht="77.5" x14ac:dyDescent="0.35">
      <c r="A18" s="7">
        <v>15</v>
      </c>
      <c r="B18" s="17" t="s">
        <v>37</v>
      </c>
      <c r="C18" s="49" t="s">
        <v>38</v>
      </c>
      <c r="D18" s="18" t="s">
        <v>93</v>
      </c>
      <c r="E18" s="18" t="s">
        <v>119</v>
      </c>
      <c r="F18" s="18" t="s">
        <v>141</v>
      </c>
      <c r="G18" s="18" t="s">
        <v>141</v>
      </c>
      <c r="H18" s="6" t="s">
        <v>142</v>
      </c>
      <c r="I18" s="30"/>
      <c r="J18" s="31" t="s">
        <v>150</v>
      </c>
      <c r="K18" s="31" t="s">
        <v>161</v>
      </c>
    </row>
    <row r="19" spans="1:11" ht="77.5" x14ac:dyDescent="0.35">
      <c r="A19" s="7">
        <v>16</v>
      </c>
      <c r="B19" s="17" t="s">
        <v>39</v>
      </c>
      <c r="C19" s="48" t="s">
        <v>40</v>
      </c>
      <c r="D19" s="19" t="s">
        <v>94</v>
      </c>
      <c r="E19" s="19" t="s">
        <v>119</v>
      </c>
      <c r="F19" s="19" t="s">
        <v>139</v>
      </c>
      <c r="G19" s="19" t="s">
        <v>135</v>
      </c>
      <c r="H19" s="6" t="s">
        <v>142</v>
      </c>
      <c r="I19" s="34">
        <v>0.1</v>
      </c>
      <c r="J19" s="31"/>
      <c r="K19" s="31"/>
    </row>
    <row r="20" spans="1:11" ht="63.75" customHeight="1" x14ac:dyDescent="0.35">
      <c r="A20" s="7">
        <v>17</v>
      </c>
      <c r="B20" s="44" t="s">
        <v>41</v>
      </c>
      <c r="C20" s="10" t="s">
        <v>42</v>
      </c>
      <c r="D20" s="19" t="s">
        <v>95</v>
      </c>
      <c r="E20" s="19" t="s">
        <v>109</v>
      </c>
      <c r="F20" s="19" t="s">
        <v>139</v>
      </c>
      <c r="G20" s="19" t="s">
        <v>135</v>
      </c>
      <c r="H20" s="6" t="s">
        <v>142</v>
      </c>
      <c r="I20" s="34">
        <v>0</v>
      </c>
      <c r="J20" s="35" t="s">
        <v>151</v>
      </c>
      <c r="K20" s="31"/>
    </row>
    <row r="21" spans="1:11" ht="46.5" x14ac:dyDescent="0.35">
      <c r="A21" s="7">
        <f>+A20+1</f>
        <v>18</v>
      </c>
      <c r="B21" s="44"/>
      <c r="C21" s="17" t="s">
        <v>43</v>
      </c>
      <c r="D21" s="20" t="s">
        <v>96</v>
      </c>
      <c r="E21" s="18" t="s">
        <v>121</v>
      </c>
      <c r="F21" s="18" t="s">
        <v>139</v>
      </c>
      <c r="G21" s="18" t="s">
        <v>135</v>
      </c>
      <c r="H21" s="6" t="s">
        <v>142</v>
      </c>
      <c r="I21" s="30">
        <v>0.1</v>
      </c>
      <c r="J21" s="31" t="s">
        <v>152</v>
      </c>
      <c r="K21" s="31"/>
    </row>
    <row r="22" spans="1:11" ht="62" x14ac:dyDescent="0.35">
      <c r="A22" s="7">
        <f>+A21+1</f>
        <v>19</v>
      </c>
      <c r="B22" s="11" t="s">
        <v>44</v>
      </c>
      <c r="C22" s="11" t="s">
        <v>45</v>
      </c>
      <c r="D22" s="19" t="s">
        <v>97</v>
      </c>
      <c r="E22" s="19" t="s">
        <v>122</v>
      </c>
      <c r="F22" s="19" t="s">
        <v>139</v>
      </c>
      <c r="G22" s="19" t="s">
        <v>135</v>
      </c>
      <c r="H22" s="6" t="s">
        <v>142</v>
      </c>
      <c r="I22" s="34">
        <v>0</v>
      </c>
      <c r="J22" s="35" t="s">
        <v>153</v>
      </c>
      <c r="K22" s="31"/>
    </row>
    <row r="23" spans="1:11" ht="62" x14ac:dyDescent="0.35">
      <c r="A23" s="7">
        <v>20</v>
      </c>
      <c r="B23" s="11" t="s">
        <v>46</v>
      </c>
      <c r="C23" s="11" t="s">
        <v>47</v>
      </c>
      <c r="D23" s="19" t="s">
        <v>98</v>
      </c>
      <c r="E23" s="19" t="s">
        <v>109</v>
      </c>
      <c r="F23" s="19" t="s">
        <v>139</v>
      </c>
      <c r="G23" s="19" t="s">
        <v>135</v>
      </c>
      <c r="H23" s="6" t="s">
        <v>142</v>
      </c>
      <c r="I23" s="34">
        <v>0</v>
      </c>
      <c r="J23" s="31"/>
      <c r="K23" s="31"/>
    </row>
    <row r="24" spans="1:11" s="58" customFormat="1" ht="62" x14ac:dyDescent="0.35">
      <c r="A24" s="51">
        <v>21</v>
      </c>
      <c r="B24" s="52" t="s">
        <v>48</v>
      </c>
      <c r="C24" s="53" t="s">
        <v>49</v>
      </c>
      <c r="D24" s="54" t="s">
        <v>99</v>
      </c>
      <c r="E24" s="54" t="s">
        <v>123</v>
      </c>
      <c r="F24" s="54" t="s">
        <v>139</v>
      </c>
      <c r="G24" s="54" t="s">
        <v>135</v>
      </c>
      <c r="H24" s="55" t="s">
        <v>142</v>
      </c>
      <c r="I24" s="56">
        <v>0</v>
      </c>
      <c r="J24" s="57" t="s">
        <v>154</v>
      </c>
      <c r="K24" s="57"/>
    </row>
    <row r="25" spans="1:11" ht="46.5" x14ac:dyDescent="0.35">
      <c r="A25" s="7">
        <v>22</v>
      </c>
      <c r="B25" s="11" t="s">
        <v>50</v>
      </c>
      <c r="C25" s="10" t="s">
        <v>51</v>
      </c>
      <c r="D25" s="18" t="s">
        <v>100</v>
      </c>
      <c r="E25" s="18" t="s">
        <v>124</v>
      </c>
      <c r="F25" s="18" t="s">
        <v>139</v>
      </c>
      <c r="G25" s="18" t="s">
        <v>141</v>
      </c>
      <c r="H25" s="6" t="s">
        <v>142</v>
      </c>
      <c r="I25" s="30">
        <v>0.25</v>
      </c>
      <c r="J25" s="31"/>
      <c r="K25" s="31" t="s">
        <v>162</v>
      </c>
    </row>
    <row r="26" spans="1:11" ht="62" x14ac:dyDescent="0.35">
      <c r="A26" s="7">
        <v>23</v>
      </c>
      <c r="B26" s="11" t="s">
        <v>52</v>
      </c>
      <c r="C26" s="48" t="s">
        <v>53</v>
      </c>
      <c r="D26" s="21" t="s">
        <v>101</v>
      </c>
      <c r="E26" s="18" t="s">
        <v>119</v>
      </c>
      <c r="F26" s="18" t="s">
        <v>139</v>
      </c>
      <c r="G26" s="18" t="s">
        <v>141</v>
      </c>
      <c r="H26" s="6" t="s">
        <v>142</v>
      </c>
      <c r="I26" s="30">
        <v>0.25</v>
      </c>
      <c r="J26" s="31"/>
      <c r="K26" s="31" t="s">
        <v>163</v>
      </c>
    </row>
    <row r="27" spans="1:11" ht="77.5" x14ac:dyDescent="0.35">
      <c r="A27" s="7">
        <v>24</v>
      </c>
      <c r="B27" s="12" t="s">
        <v>54</v>
      </c>
      <c r="C27" s="14" t="s">
        <v>55</v>
      </c>
      <c r="D27" s="20" t="s">
        <v>102</v>
      </c>
      <c r="E27" s="18" t="s">
        <v>125</v>
      </c>
      <c r="F27" s="18" t="s">
        <v>139</v>
      </c>
      <c r="G27" s="18" t="s">
        <v>135</v>
      </c>
      <c r="H27" s="6" t="s">
        <v>142</v>
      </c>
      <c r="I27" s="30">
        <v>0.25</v>
      </c>
      <c r="J27" s="31"/>
      <c r="K27" s="31" t="s">
        <v>164</v>
      </c>
    </row>
    <row r="28" spans="1:11" ht="108.5" x14ac:dyDescent="0.35">
      <c r="A28" s="7">
        <v>25</v>
      </c>
      <c r="B28" s="38" t="s">
        <v>56</v>
      </c>
      <c r="C28" s="38" t="s">
        <v>187</v>
      </c>
      <c r="D28" s="40" t="s">
        <v>186</v>
      </c>
      <c r="E28" s="19" t="s">
        <v>111</v>
      </c>
      <c r="F28" s="19" t="s">
        <v>139</v>
      </c>
      <c r="G28" s="19" t="s">
        <v>135</v>
      </c>
      <c r="H28" s="9" t="s">
        <v>142</v>
      </c>
      <c r="I28" s="34">
        <v>0</v>
      </c>
      <c r="J28" s="31"/>
      <c r="K28" s="31"/>
    </row>
    <row r="29" spans="1:11" ht="62" x14ac:dyDescent="0.35">
      <c r="A29" s="7">
        <f>+A28+1</f>
        <v>26</v>
      </c>
      <c r="B29" s="44" t="s">
        <v>57</v>
      </c>
      <c r="C29" s="13" t="s">
        <v>58</v>
      </c>
      <c r="D29" s="18" t="s">
        <v>98</v>
      </c>
      <c r="E29" s="18" t="s">
        <v>126</v>
      </c>
      <c r="F29" s="18" t="s">
        <v>139</v>
      </c>
      <c r="G29" s="18" t="s">
        <v>139</v>
      </c>
      <c r="H29" s="6" t="s">
        <v>142</v>
      </c>
      <c r="I29" s="30">
        <v>0.25</v>
      </c>
      <c r="J29" s="31"/>
      <c r="K29" s="31" t="s">
        <v>165</v>
      </c>
    </row>
    <row r="30" spans="1:11" ht="93" x14ac:dyDescent="0.35">
      <c r="A30" s="7">
        <f t="shared" ref="A30:A38" si="0">+A29+1</f>
        <v>27</v>
      </c>
      <c r="B30" s="44"/>
      <c r="C30" s="13" t="s">
        <v>59</v>
      </c>
      <c r="D30" s="18" t="s">
        <v>103</v>
      </c>
      <c r="E30" s="18" t="s">
        <v>127</v>
      </c>
      <c r="F30" s="18" t="s">
        <v>139</v>
      </c>
      <c r="G30" s="18" t="s">
        <v>135</v>
      </c>
      <c r="H30" s="6" t="s">
        <v>142</v>
      </c>
      <c r="I30" s="30">
        <v>0.2</v>
      </c>
      <c r="J30" s="31" t="s">
        <v>155</v>
      </c>
      <c r="K30" s="31" t="s">
        <v>165</v>
      </c>
    </row>
    <row r="31" spans="1:11" ht="62" x14ac:dyDescent="0.35">
      <c r="A31" s="7">
        <f t="shared" si="0"/>
        <v>28</v>
      </c>
      <c r="B31" s="17" t="s">
        <v>60</v>
      </c>
      <c r="C31" s="13" t="s">
        <v>61</v>
      </c>
      <c r="D31" s="18" t="s">
        <v>104</v>
      </c>
      <c r="E31" s="18" t="s">
        <v>111</v>
      </c>
      <c r="F31" s="18" t="s">
        <v>139</v>
      </c>
      <c r="G31" s="18" t="s">
        <v>139</v>
      </c>
      <c r="H31" s="6" t="s">
        <v>142</v>
      </c>
      <c r="I31" s="30">
        <v>0.25</v>
      </c>
      <c r="J31" s="31"/>
      <c r="K31" s="31" t="s">
        <v>166</v>
      </c>
    </row>
    <row r="32" spans="1:11" ht="77.5" x14ac:dyDescent="0.35">
      <c r="A32" s="7">
        <f t="shared" si="0"/>
        <v>29</v>
      </c>
      <c r="B32" s="17" t="s">
        <v>62</v>
      </c>
      <c r="C32" s="13" t="s">
        <v>63</v>
      </c>
      <c r="D32" s="18" t="s">
        <v>105</v>
      </c>
      <c r="E32" s="18" t="s">
        <v>109</v>
      </c>
      <c r="F32" s="18" t="s">
        <v>139</v>
      </c>
      <c r="G32" s="18" t="s">
        <v>139</v>
      </c>
      <c r="H32" s="6" t="s">
        <v>142</v>
      </c>
      <c r="I32" s="30">
        <v>0.25</v>
      </c>
      <c r="J32" s="31"/>
      <c r="K32" s="31" t="s">
        <v>188</v>
      </c>
    </row>
    <row r="33" spans="1:11" ht="46.5" x14ac:dyDescent="0.35">
      <c r="A33" s="7">
        <f t="shared" si="0"/>
        <v>30</v>
      </c>
      <c r="B33" s="17" t="s">
        <v>64</v>
      </c>
      <c r="C33" s="37" t="s">
        <v>65</v>
      </c>
      <c r="D33" s="19" t="s">
        <v>106</v>
      </c>
      <c r="E33" s="19" t="s">
        <v>111</v>
      </c>
      <c r="F33" s="19" t="s">
        <v>139</v>
      </c>
      <c r="G33" s="19" t="s">
        <v>139</v>
      </c>
      <c r="H33" s="6" t="s">
        <v>142</v>
      </c>
      <c r="I33" s="34">
        <v>0</v>
      </c>
      <c r="J33" s="35"/>
      <c r="K33" s="35"/>
    </row>
    <row r="34" spans="1:11" ht="77.5" x14ac:dyDescent="0.35">
      <c r="A34" s="7">
        <f t="shared" si="0"/>
        <v>31</v>
      </c>
      <c r="B34" s="17" t="s">
        <v>66</v>
      </c>
      <c r="C34" s="17" t="s">
        <v>67</v>
      </c>
      <c r="D34" s="22" t="s">
        <v>107</v>
      </c>
      <c r="E34" s="26" t="s">
        <v>111</v>
      </c>
      <c r="F34" s="27" t="s">
        <v>138</v>
      </c>
      <c r="G34" s="28" t="s">
        <v>135</v>
      </c>
      <c r="H34" s="6" t="s">
        <v>142</v>
      </c>
      <c r="I34" s="36">
        <v>0.25</v>
      </c>
      <c r="J34" s="31"/>
      <c r="K34" s="31" t="s">
        <v>167</v>
      </c>
    </row>
    <row r="35" spans="1:11" ht="108.5" x14ac:dyDescent="0.35">
      <c r="A35" s="7">
        <f t="shared" si="0"/>
        <v>32</v>
      </c>
      <c r="B35" s="17" t="s">
        <v>68</v>
      </c>
      <c r="C35" s="17" t="s">
        <v>69</v>
      </c>
      <c r="D35" s="23" t="s">
        <v>107</v>
      </c>
      <c r="E35" s="29" t="s">
        <v>111</v>
      </c>
      <c r="F35" s="29" t="s">
        <v>138</v>
      </c>
      <c r="G35" s="28" t="s">
        <v>135</v>
      </c>
      <c r="H35" s="6" t="s">
        <v>142</v>
      </c>
      <c r="I35" s="36">
        <v>0.25</v>
      </c>
      <c r="J35" s="31"/>
      <c r="K35" s="31" t="s">
        <v>168</v>
      </c>
    </row>
    <row r="36" spans="1:11" ht="93" x14ac:dyDescent="0.35">
      <c r="A36" s="7">
        <f t="shared" si="0"/>
        <v>33</v>
      </c>
      <c r="B36" s="17" t="s">
        <v>70</v>
      </c>
      <c r="C36" s="13" t="s">
        <v>71</v>
      </c>
      <c r="D36" s="18" t="s">
        <v>108</v>
      </c>
      <c r="E36" s="18" t="s">
        <v>128</v>
      </c>
      <c r="F36" s="18" t="s">
        <v>139</v>
      </c>
      <c r="G36" s="18" t="s">
        <v>139</v>
      </c>
      <c r="H36" s="6" t="s">
        <v>142</v>
      </c>
      <c r="I36" s="34"/>
      <c r="J36" s="31" t="s">
        <v>189</v>
      </c>
      <c r="K36" s="31"/>
    </row>
    <row r="37" spans="1:11" ht="77.5" x14ac:dyDescent="0.35">
      <c r="A37" s="7">
        <f t="shared" si="0"/>
        <v>34</v>
      </c>
      <c r="B37" s="17" t="s">
        <v>72</v>
      </c>
      <c r="C37" s="13" t="s">
        <v>73</v>
      </c>
      <c r="D37" s="18" t="s">
        <v>98</v>
      </c>
      <c r="E37" s="18" t="s">
        <v>126</v>
      </c>
      <c r="F37" s="29" t="s">
        <v>135</v>
      </c>
      <c r="G37" s="29" t="s">
        <v>135</v>
      </c>
      <c r="H37" s="6" t="s">
        <v>142</v>
      </c>
      <c r="I37" s="41">
        <v>0.25</v>
      </c>
      <c r="J37" s="42" t="s">
        <v>176</v>
      </c>
      <c r="K37" s="31" t="s">
        <v>175</v>
      </c>
    </row>
    <row r="38" spans="1:11" ht="124" x14ac:dyDescent="0.35">
      <c r="A38" s="7">
        <f t="shared" si="0"/>
        <v>35</v>
      </c>
      <c r="B38" s="17" t="s">
        <v>74</v>
      </c>
      <c r="C38" s="11" t="s">
        <v>75</v>
      </c>
      <c r="D38" s="18" t="s">
        <v>101</v>
      </c>
      <c r="E38" s="18" t="s">
        <v>129</v>
      </c>
      <c r="F38" s="29" t="s">
        <v>139</v>
      </c>
      <c r="G38" s="29" t="s">
        <v>139</v>
      </c>
      <c r="H38" s="6" t="s">
        <v>142</v>
      </c>
      <c r="I38" s="41">
        <v>0.25</v>
      </c>
      <c r="J38" s="43" t="s">
        <v>177</v>
      </c>
      <c r="K38" s="43" t="s">
        <v>169</v>
      </c>
    </row>
  </sheetData>
  <autoFilter ref="A3:K38" xr:uid="{AF2CD676-D295-493E-925E-8FFDC7B54467}"/>
  <mergeCells count="5">
    <mergeCell ref="B29:B30"/>
    <mergeCell ref="A1:K1"/>
    <mergeCell ref="A2:G2"/>
    <mergeCell ref="H2:K2"/>
    <mergeCell ref="B20:B2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Mariane</dc:creator>
  <cp:lastModifiedBy>LENOVO</cp:lastModifiedBy>
  <dcterms:created xsi:type="dcterms:W3CDTF">2025-08-26T15:51:16Z</dcterms:created>
  <dcterms:modified xsi:type="dcterms:W3CDTF">2026-03-25T12:59:35Z</dcterms:modified>
</cp:coreProperties>
</file>