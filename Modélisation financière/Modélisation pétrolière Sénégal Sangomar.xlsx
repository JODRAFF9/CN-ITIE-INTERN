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codeName="ThisWorkbook" defaultThemeVersion="124226"/>
  <xr:revisionPtr revIDLastSave="0" documentId="13_ncr:1_{2A710185-088D-4CAB-B91C-4FCDE968069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énégal Sangom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3" i="1" l="1"/>
  <c r="W92" i="1"/>
  <c r="V92" i="1"/>
  <c r="V91" i="1"/>
  <c r="W91" i="1"/>
  <c r="U91" i="1"/>
  <c r="U90" i="1"/>
  <c r="V90" i="1"/>
  <c r="W90" i="1"/>
  <c r="T90" i="1"/>
  <c r="T89" i="1"/>
  <c r="U89" i="1"/>
  <c r="V89" i="1"/>
  <c r="W89" i="1"/>
  <c r="S89" i="1"/>
  <c r="S88" i="1"/>
  <c r="T88" i="1"/>
  <c r="U88" i="1"/>
  <c r="V88" i="1"/>
  <c r="W88" i="1"/>
  <c r="R88" i="1"/>
  <c r="R87" i="1"/>
  <c r="S87" i="1"/>
  <c r="T87" i="1"/>
  <c r="U87" i="1"/>
  <c r="V87" i="1"/>
  <c r="W87" i="1"/>
  <c r="Q87" i="1"/>
  <c r="Q86" i="1"/>
  <c r="R86" i="1"/>
  <c r="S86" i="1"/>
  <c r="T86" i="1"/>
  <c r="U86" i="1"/>
  <c r="V86" i="1"/>
  <c r="W86" i="1"/>
  <c r="P86" i="1"/>
  <c r="P85" i="1"/>
  <c r="Q85" i="1"/>
  <c r="R85" i="1"/>
  <c r="S85" i="1"/>
  <c r="T85" i="1"/>
  <c r="U85" i="1"/>
  <c r="V85" i="1"/>
  <c r="W85" i="1"/>
  <c r="O85" i="1"/>
  <c r="O84" i="1"/>
  <c r="P84" i="1"/>
  <c r="Q84" i="1"/>
  <c r="R84" i="1"/>
  <c r="S84" i="1"/>
  <c r="T84" i="1"/>
  <c r="U84" i="1"/>
  <c r="V84" i="1"/>
  <c r="W84" i="1"/>
  <c r="N84" i="1"/>
  <c r="N83" i="1"/>
  <c r="O83" i="1"/>
  <c r="P83" i="1"/>
  <c r="Q83" i="1"/>
  <c r="R83" i="1"/>
  <c r="S83" i="1"/>
  <c r="T83" i="1"/>
  <c r="U83" i="1"/>
  <c r="V83" i="1"/>
  <c r="M83" i="1"/>
  <c r="M82" i="1"/>
  <c r="N82" i="1"/>
  <c r="O82" i="1"/>
  <c r="P82" i="1"/>
  <c r="Q82" i="1"/>
  <c r="R82" i="1"/>
  <c r="S82" i="1"/>
  <c r="T82" i="1"/>
  <c r="U82" i="1"/>
  <c r="L82" i="1"/>
  <c r="L81" i="1"/>
  <c r="M81" i="1"/>
  <c r="N81" i="1"/>
  <c r="O81" i="1"/>
  <c r="P81" i="1"/>
  <c r="Q81" i="1"/>
  <c r="R81" i="1"/>
  <c r="S81" i="1"/>
  <c r="T81" i="1"/>
  <c r="K81" i="1"/>
  <c r="K80" i="1"/>
  <c r="L80" i="1"/>
  <c r="M80" i="1"/>
  <c r="N80" i="1"/>
  <c r="O80" i="1"/>
  <c r="P80" i="1"/>
  <c r="Q80" i="1"/>
  <c r="R80" i="1"/>
  <c r="S80" i="1"/>
  <c r="J80" i="1"/>
  <c r="J79" i="1"/>
  <c r="K79" i="1"/>
  <c r="L79" i="1"/>
  <c r="M79" i="1"/>
  <c r="N79" i="1"/>
  <c r="O79" i="1"/>
  <c r="P79" i="1"/>
  <c r="Q79" i="1"/>
  <c r="R79" i="1"/>
  <c r="I79" i="1"/>
  <c r="I78" i="1"/>
  <c r="J78" i="1"/>
  <c r="K78" i="1"/>
  <c r="L78" i="1"/>
  <c r="M78" i="1"/>
  <c r="N78" i="1"/>
  <c r="O78" i="1"/>
  <c r="P78" i="1"/>
  <c r="Q78" i="1"/>
  <c r="H78" i="1"/>
  <c r="H77" i="1"/>
  <c r="I77" i="1"/>
  <c r="J77" i="1"/>
  <c r="K77" i="1"/>
  <c r="L77" i="1"/>
  <c r="M77" i="1"/>
  <c r="N77" i="1"/>
  <c r="O77" i="1"/>
  <c r="P77" i="1"/>
  <c r="G77" i="1"/>
  <c r="G76" i="1"/>
  <c r="H76" i="1"/>
  <c r="I76" i="1"/>
  <c r="J76" i="1"/>
  <c r="K76" i="1"/>
  <c r="L76" i="1"/>
  <c r="M76" i="1"/>
  <c r="N76" i="1"/>
  <c r="O76" i="1"/>
  <c r="F76" i="1"/>
  <c r="F75" i="1"/>
  <c r="G75" i="1"/>
  <c r="H75" i="1"/>
  <c r="I75" i="1"/>
  <c r="J75" i="1"/>
  <c r="K75" i="1"/>
  <c r="L75" i="1"/>
  <c r="M75" i="1"/>
  <c r="N75" i="1"/>
  <c r="E75" i="1"/>
  <c r="E74" i="1"/>
  <c r="F74" i="1"/>
  <c r="G74" i="1"/>
  <c r="H74" i="1"/>
  <c r="I74" i="1"/>
  <c r="J74" i="1"/>
  <c r="K74" i="1"/>
  <c r="L74" i="1"/>
  <c r="M74" i="1"/>
  <c r="D74" i="1"/>
  <c r="D73" i="1"/>
  <c r="E73" i="1"/>
  <c r="F73" i="1"/>
  <c r="G73" i="1"/>
  <c r="H73" i="1"/>
  <c r="I73" i="1"/>
  <c r="J73" i="1"/>
  <c r="K73" i="1"/>
  <c r="L73" i="1"/>
  <c r="C73" i="1"/>
  <c r="C31" i="1" l="1"/>
  <c r="C29" i="1"/>
  <c r="D6" i="1"/>
  <c r="D8" i="1" s="1"/>
  <c r="D36" i="1" l="1"/>
  <c r="D66" i="1"/>
  <c r="D68" i="1" s="1"/>
  <c r="D49" i="1"/>
  <c r="D46" i="1"/>
  <c r="Y38" i="1"/>
  <c r="Y24" i="1"/>
  <c r="Y22" i="1"/>
  <c r="Y11" i="1"/>
  <c r="Y70" i="1" l="1"/>
  <c r="X7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C61" i="1"/>
  <c r="C57" i="1"/>
  <c r="X38" i="1"/>
  <c r="X24" i="1"/>
  <c r="X22" i="1"/>
  <c r="X11" i="1"/>
  <c r="W6" i="1"/>
  <c r="W8" i="1" s="1"/>
  <c r="V6" i="1"/>
  <c r="P6" i="1"/>
  <c r="P13" i="1" s="1"/>
  <c r="P14" i="1" s="1"/>
  <c r="P41" i="1" s="1"/>
  <c r="Q6" i="1"/>
  <c r="Q8" i="1" s="1"/>
  <c r="R6" i="1"/>
  <c r="R13" i="1" s="1"/>
  <c r="R14" i="1" s="1"/>
  <c r="R41" i="1" s="1"/>
  <c r="S6" i="1"/>
  <c r="S8" i="1" s="1"/>
  <c r="T6" i="1"/>
  <c r="T8" i="1" s="1"/>
  <c r="U6" i="1"/>
  <c r="U8" i="1" s="1"/>
  <c r="E6" i="1"/>
  <c r="E8" i="1" s="1"/>
  <c r="F6" i="1"/>
  <c r="F8" i="1" s="1"/>
  <c r="G6" i="1"/>
  <c r="G8" i="1" s="1"/>
  <c r="H6" i="1"/>
  <c r="H8" i="1" s="1"/>
  <c r="I6" i="1"/>
  <c r="J6" i="1"/>
  <c r="K6" i="1"/>
  <c r="K8" i="1" s="1"/>
  <c r="L6" i="1"/>
  <c r="L8" i="1" s="1"/>
  <c r="M6" i="1"/>
  <c r="M8" i="1" s="1"/>
  <c r="N6" i="1"/>
  <c r="N8" i="1" s="1"/>
  <c r="O6" i="1"/>
  <c r="O8" i="1" s="1"/>
  <c r="C6" i="1"/>
  <c r="C8" i="1" l="1"/>
  <c r="C13" i="1"/>
  <c r="C14" i="1" s="1"/>
  <c r="C41" i="1" s="1"/>
  <c r="Q36" i="1"/>
  <c r="W66" i="1"/>
  <c r="W68" i="1" s="1"/>
  <c r="E66" i="1"/>
  <c r="E68" i="1" s="1"/>
  <c r="F49" i="1"/>
  <c r="H36" i="1"/>
  <c r="N36" i="1"/>
  <c r="T49" i="1"/>
  <c r="K66" i="1"/>
  <c r="K68" i="1" s="1"/>
  <c r="S36" i="1"/>
  <c r="G49" i="1"/>
  <c r="L46" i="1"/>
  <c r="X29" i="1"/>
  <c r="Y29" i="1"/>
  <c r="W13" i="1"/>
  <c r="W14" i="1" s="1"/>
  <c r="W17" i="1" s="1"/>
  <c r="X31" i="1"/>
  <c r="Y31" i="1"/>
  <c r="H66" i="1"/>
  <c r="H68" i="1" s="1"/>
  <c r="W49" i="1"/>
  <c r="E36" i="1"/>
  <c r="Q49" i="1"/>
  <c r="E49" i="1"/>
  <c r="G66" i="1"/>
  <c r="G68" i="1" s="1"/>
  <c r="F66" i="1"/>
  <c r="F68" i="1" s="1"/>
  <c r="C94" i="1"/>
  <c r="W94" i="1"/>
  <c r="V94" i="1"/>
  <c r="U94" i="1"/>
  <c r="T94" i="1"/>
  <c r="S94" i="1"/>
  <c r="R94" i="1"/>
  <c r="F94" i="1"/>
  <c r="Q94" i="1"/>
  <c r="P94" i="1"/>
  <c r="C46" i="1"/>
  <c r="T36" i="1"/>
  <c r="Q46" i="1"/>
  <c r="L36" i="1"/>
  <c r="H46" i="1"/>
  <c r="N49" i="1"/>
  <c r="C66" i="1"/>
  <c r="C68" i="1" s="1"/>
  <c r="F46" i="1"/>
  <c r="T66" i="1"/>
  <c r="T68" i="1" s="1"/>
  <c r="G36" i="1"/>
  <c r="E46" i="1"/>
  <c r="N66" i="1"/>
  <c r="N68" i="1" s="1"/>
  <c r="T46" i="1"/>
  <c r="F36" i="1"/>
  <c r="L66" i="1"/>
  <c r="L68" i="1" s="1"/>
  <c r="N46" i="1"/>
  <c r="C49" i="1"/>
  <c r="O66" i="1"/>
  <c r="O68" i="1" s="1"/>
  <c r="O36" i="1"/>
  <c r="U46" i="1"/>
  <c r="U49" i="1"/>
  <c r="S49" i="1"/>
  <c r="S66" i="1"/>
  <c r="S68" i="1" s="1"/>
  <c r="S46" i="1"/>
  <c r="K46" i="1"/>
  <c r="K36" i="1"/>
  <c r="U36" i="1"/>
  <c r="K49" i="1"/>
  <c r="M36" i="1"/>
  <c r="M66" i="1"/>
  <c r="M68" i="1" s="1"/>
  <c r="Q66" i="1"/>
  <c r="Q68" i="1" s="1"/>
  <c r="O49" i="1"/>
  <c r="J13" i="1"/>
  <c r="J14" i="1" s="1"/>
  <c r="J8" i="1"/>
  <c r="O46" i="1"/>
  <c r="I13" i="1"/>
  <c r="I14" i="1" s="1"/>
  <c r="I41" i="1" s="1"/>
  <c r="I8" i="1"/>
  <c r="V8" i="1"/>
  <c r="V13" i="1"/>
  <c r="V14" i="1" s="1"/>
  <c r="V41" i="1" s="1"/>
  <c r="M49" i="1"/>
  <c r="H49" i="1"/>
  <c r="W46" i="1"/>
  <c r="W36" i="1"/>
  <c r="M46" i="1"/>
  <c r="L49" i="1"/>
  <c r="U66" i="1"/>
  <c r="U68" i="1" s="1"/>
  <c r="G46" i="1"/>
  <c r="M13" i="1"/>
  <c r="M14" i="1" s="1"/>
  <c r="M41" i="1" s="1"/>
  <c r="L13" i="1"/>
  <c r="L14" i="1" s="1"/>
  <c r="L41" i="1" s="1"/>
  <c r="K13" i="1"/>
  <c r="K14" i="1" s="1"/>
  <c r="U13" i="1"/>
  <c r="U14" i="1" s="1"/>
  <c r="T13" i="1"/>
  <c r="T14" i="1" s="1"/>
  <c r="T41" i="1" s="1"/>
  <c r="H13" i="1"/>
  <c r="H14" i="1" s="1"/>
  <c r="R8" i="1"/>
  <c r="S13" i="1"/>
  <c r="S14" i="1" s="1"/>
  <c r="G13" i="1"/>
  <c r="G14" i="1" s="1"/>
  <c r="P8" i="1"/>
  <c r="F13" i="1"/>
  <c r="F14" i="1" s="1"/>
  <c r="Q13" i="1"/>
  <c r="Q14" i="1" s="1"/>
  <c r="E13" i="1"/>
  <c r="E14" i="1" s="1"/>
  <c r="E41" i="1" s="1"/>
  <c r="E60" i="1" s="1"/>
  <c r="D13" i="1"/>
  <c r="D14" i="1" s="1"/>
  <c r="D17" i="1" s="1"/>
  <c r="N13" i="1"/>
  <c r="N14" i="1" s="1"/>
  <c r="N41" i="1" s="1"/>
  <c r="O13" i="1"/>
  <c r="O14" i="1" s="1"/>
  <c r="X6" i="1"/>
  <c r="C36" i="1" l="1"/>
  <c r="D54" i="1"/>
  <c r="H94" i="1"/>
  <c r="D94" i="1"/>
  <c r="P60" i="1"/>
  <c r="R60" i="1"/>
  <c r="W41" i="1"/>
  <c r="W60" i="1" s="1"/>
  <c r="W62" i="1" s="1"/>
  <c r="W109" i="1" s="1"/>
  <c r="E53" i="1"/>
  <c r="C17" i="1"/>
  <c r="Y13" i="1"/>
  <c r="Y8" i="1"/>
  <c r="E54" i="1"/>
  <c r="E57" i="1" s="1"/>
  <c r="F54" i="1"/>
  <c r="F57" i="1" s="1"/>
  <c r="T60" i="1"/>
  <c r="T62" i="1" s="1"/>
  <c r="T109" i="1" s="1"/>
  <c r="T53" i="1"/>
  <c r="N60" i="1"/>
  <c r="N62" i="1" s="1"/>
  <c r="N53" i="1"/>
  <c r="V60" i="1"/>
  <c r="L60" i="1"/>
  <c r="L62" i="1" s="1"/>
  <c r="L53" i="1"/>
  <c r="M53" i="1"/>
  <c r="M60" i="1"/>
  <c r="M62" i="1" s="1"/>
  <c r="I60" i="1"/>
  <c r="H54" i="1"/>
  <c r="H57" i="1" s="1"/>
  <c r="G54" i="1"/>
  <c r="G57" i="1" s="1"/>
  <c r="D57" i="1"/>
  <c r="O94" i="1"/>
  <c r="K94" i="1"/>
  <c r="J94" i="1"/>
  <c r="L94" i="1"/>
  <c r="M94" i="1"/>
  <c r="M109" i="1" s="1"/>
  <c r="E94" i="1"/>
  <c r="G94" i="1"/>
  <c r="N94" i="1"/>
  <c r="I94" i="1"/>
  <c r="D97" i="1"/>
  <c r="O17" i="1"/>
  <c r="O41" i="1"/>
  <c r="D41" i="1"/>
  <c r="F17" i="1"/>
  <c r="F41" i="1"/>
  <c r="T17" i="1"/>
  <c r="J46" i="1"/>
  <c r="J49" i="1"/>
  <c r="J36" i="1"/>
  <c r="J66" i="1"/>
  <c r="J68" i="1" s="1"/>
  <c r="H17" i="1"/>
  <c r="H41" i="1"/>
  <c r="I17" i="1"/>
  <c r="I46" i="1"/>
  <c r="I49" i="1"/>
  <c r="I36" i="1"/>
  <c r="I54" i="1" s="1"/>
  <c r="I57" i="1" s="1"/>
  <c r="I66" i="1"/>
  <c r="I68" i="1" s="1"/>
  <c r="E17" i="1"/>
  <c r="X14" i="1"/>
  <c r="L17" i="1"/>
  <c r="J17" i="1"/>
  <c r="J41" i="1"/>
  <c r="G17" i="1"/>
  <c r="G41" i="1"/>
  <c r="M17" i="1"/>
  <c r="U17" i="1"/>
  <c r="U41" i="1"/>
  <c r="K17" i="1"/>
  <c r="K41" i="1"/>
  <c r="V46" i="1"/>
  <c r="V36" i="1"/>
  <c r="V53" i="1" s="1"/>
  <c r="V66" i="1"/>
  <c r="V68" i="1" s="1"/>
  <c r="V49" i="1"/>
  <c r="V17" i="1"/>
  <c r="Q17" i="1"/>
  <c r="Q41" i="1"/>
  <c r="P17" i="1"/>
  <c r="P66" i="1"/>
  <c r="P68" i="1" s="1"/>
  <c r="P36" i="1"/>
  <c r="P53" i="1" s="1"/>
  <c r="P49" i="1"/>
  <c r="P46" i="1"/>
  <c r="S17" i="1"/>
  <c r="S41" i="1"/>
  <c r="N17" i="1"/>
  <c r="R17" i="1"/>
  <c r="R49" i="1"/>
  <c r="R66" i="1"/>
  <c r="R68" i="1" s="1"/>
  <c r="R46" i="1"/>
  <c r="R36" i="1"/>
  <c r="R53" i="1" s="1"/>
  <c r="X13" i="1"/>
  <c r="X8" i="1"/>
  <c r="Y17" i="1" l="1"/>
  <c r="X17" i="1"/>
  <c r="W53" i="1"/>
  <c r="L109" i="1"/>
  <c r="D53" i="1"/>
  <c r="D58" i="1" s="1"/>
  <c r="D60" i="1"/>
  <c r="D62" i="1" s="1"/>
  <c r="E58" i="1"/>
  <c r="D109" i="1"/>
  <c r="D104" i="1"/>
  <c r="N109" i="1"/>
  <c r="X94" i="1"/>
  <c r="Y94" i="1"/>
  <c r="Y14" i="1"/>
  <c r="Y41" i="1"/>
  <c r="Y49" i="1"/>
  <c r="X46" i="1"/>
  <c r="Y46" i="1"/>
  <c r="I53" i="1"/>
  <c r="I58" i="1" s="1"/>
  <c r="I104" i="1" s="1"/>
  <c r="G60" i="1"/>
  <c r="G62" i="1" s="1"/>
  <c r="G53" i="1"/>
  <c r="G58" i="1" s="1"/>
  <c r="K60" i="1"/>
  <c r="K62" i="1" s="1"/>
  <c r="K109" i="1" s="1"/>
  <c r="K53" i="1"/>
  <c r="Q53" i="1"/>
  <c r="Q60" i="1"/>
  <c r="Q62" i="1" s="1"/>
  <c r="Q109" i="1" s="1"/>
  <c r="O60" i="1"/>
  <c r="O62" i="1" s="1"/>
  <c r="O109" i="1" s="1"/>
  <c r="O53" i="1"/>
  <c r="F53" i="1"/>
  <c r="F58" i="1" s="1"/>
  <c r="F60" i="1"/>
  <c r="F62" i="1" s="1"/>
  <c r="J60" i="1"/>
  <c r="J62" i="1" s="1"/>
  <c r="J109" i="1" s="1"/>
  <c r="J53" i="1"/>
  <c r="S60" i="1"/>
  <c r="S62" i="1" s="1"/>
  <c r="S109" i="1" s="1"/>
  <c r="S53" i="1"/>
  <c r="H60" i="1"/>
  <c r="H62" i="1" s="1"/>
  <c r="H53" i="1"/>
  <c r="H58" i="1" s="1"/>
  <c r="U60" i="1"/>
  <c r="U62" i="1" s="1"/>
  <c r="U109" i="1" s="1"/>
  <c r="U53" i="1"/>
  <c r="V54" i="1"/>
  <c r="V57" i="1" s="1"/>
  <c r="V58" i="1" s="1"/>
  <c r="V104" i="1" s="1"/>
  <c r="W54" i="1"/>
  <c r="W57" i="1" s="1"/>
  <c r="W58" i="1" s="1"/>
  <c r="W104" i="1" s="1"/>
  <c r="F98" i="1"/>
  <c r="H98" i="1"/>
  <c r="G98" i="1"/>
  <c r="E98" i="1"/>
  <c r="D100" i="1"/>
  <c r="D98" i="1"/>
  <c r="E97" i="1" s="1"/>
  <c r="E100" i="1" s="1"/>
  <c r="T54" i="1"/>
  <c r="T57" i="1" s="1"/>
  <c r="T58" i="1" s="1"/>
  <c r="T104" i="1" s="1"/>
  <c r="X49" i="1"/>
  <c r="V62" i="1"/>
  <c r="V109" i="1" s="1"/>
  <c r="X41" i="1"/>
  <c r="O54" i="1"/>
  <c r="O57" i="1" s="1"/>
  <c r="Y68" i="1"/>
  <c r="X68" i="1"/>
  <c r="K54" i="1"/>
  <c r="K57" i="1" s="1"/>
  <c r="J54" i="1"/>
  <c r="J57" i="1" s="1"/>
  <c r="I62" i="1"/>
  <c r="I109" i="1" s="1"/>
  <c r="X18" i="1"/>
  <c r="R62" i="1"/>
  <c r="R109" i="1" s="1"/>
  <c r="P62" i="1"/>
  <c r="P109" i="1" s="1"/>
  <c r="P54" i="1"/>
  <c r="P57" i="1" s="1"/>
  <c r="P58" i="1" s="1"/>
  <c r="P104" i="1" s="1"/>
  <c r="S54" i="1"/>
  <c r="S57" i="1" s="1"/>
  <c r="Y36" i="1"/>
  <c r="X36" i="1"/>
  <c r="Q54" i="1"/>
  <c r="Q57" i="1" s="1"/>
  <c r="U54" i="1"/>
  <c r="U57" i="1" s="1"/>
  <c r="E62" i="1"/>
  <c r="M54" i="1"/>
  <c r="M57" i="1" s="1"/>
  <c r="M58" i="1" s="1"/>
  <c r="M104" i="1" s="1"/>
  <c r="L54" i="1"/>
  <c r="L57" i="1" s="1"/>
  <c r="L58" i="1" s="1"/>
  <c r="L104" i="1" s="1"/>
  <c r="R54" i="1"/>
  <c r="R57" i="1" s="1"/>
  <c r="R58" i="1" s="1"/>
  <c r="R104" i="1" s="1"/>
  <c r="N54" i="1"/>
  <c r="N57" i="1" s="1"/>
  <c r="N58" i="1" s="1"/>
  <c r="N104" i="1" s="1"/>
  <c r="C60" i="1" l="1"/>
  <c r="C62" i="1" s="1"/>
  <c r="C53" i="1"/>
  <c r="C58" i="1" s="1"/>
  <c r="C104" i="1" s="1"/>
  <c r="Q58" i="1"/>
  <c r="Q104" i="1" s="1"/>
  <c r="U58" i="1"/>
  <c r="U104" i="1" s="1"/>
  <c r="O58" i="1"/>
  <c r="O104" i="1" s="1"/>
  <c r="S58" i="1"/>
  <c r="S104" i="1" s="1"/>
  <c r="J58" i="1"/>
  <c r="J104" i="1" s="1"/>
  <c r="K58" i="1"/>
  <c r="K104" i="1" s="1"/>
  <c r="X53" i="1"/>
  <c r="Y60" i="1"/>
  <c r="F97" i="1"/>
  <c r="E104" i="1" l="1"/>
  <c r="E109" i="1"/>
  <c r="C105" i="1"/>
  <c r="D105" i="1" s="1"/>
  <c r="D107" i="1" s="1"/>
  <c r="C109" i="1"/>
  <c r="C110" i="1" s="1"/>
  <c r="Y53" i="1"/>
  <c r="X60" i="1"/>
  <c r="Y62" i="1"/>
  <c r="X58" i="1"/>
  <c r="X62" i="1"/>
  <c r="Y58" i="1"/>
  <c r="G97" i="1"/>
  <c r="F100" i="1"/>
  <c r="D121" i="1" l="1"/>
  <c r="D126" i="1" s="1"/>
  <c r="C107" i="1"/>
  <c r="C121" i="1" s="1"/>
  <c r="D110" i="1"/>
  <c r="C112" i="1"/>
  <c r="F109" i="1"/>
  <c r="F104" i="1"/>
  <c r="E105" i="1"/>
  <c r="E107" i="1" s="1"/>
  <c r="C126" i="1"/>
  <c r="G100" i="1"/>
  <c r="H97" i="1"/>
  <c r="H100" i="1" s="1"/>
  <c r="E121" i="1" l="1"/>
  <c r="E126" i="1" s="1"/>
  <c r="C122" i="1"/>
  <c r="C129" i="1" s="1"/>
  <c r="G104" i="1"/>
  <c r="G109" i="1"/>
  <c r="H104" i="1"/>
  <c r="H109" i="1"/>
  <c r="D112" i="1"/>
  <c r="E110" i="1"/>
  <c r="F105" i="1"/>
  <c r="G105" i="1" s="1"/>
  <c r="H105" i="1" s="1"/>
  <c r="D122" i="1" l="1"/>
  <c r="D129" i="1" s="1"/>
  <c r="F110" i="1"/>
  <c r="E112" i="1"/>
  <c r="G107" i="1"/>
  <c r="F107" i="1"/>
  <c r="F121" i="1" s="1"/>
  <c r="I105" i="1"/>
  <c r="H107" i="1"/>
  <c r="G121" i="1" l="1"/>
  <c r="G126" i="1" s="1"/>
  <c r="H121" i="1"/>
  <c r="H126" i="1" s="1"/>
  <c r="E122" i="1"/>
  <c r="E129" i="1" s="1"/>
  <c r="F126" i="1"/>
  <c r="G110" i="1"/>
  <c r="F112" i="1"/>
  <c r="J105" i="1"/>
  <c r="I107" i="1"/>
  <c r="I121" i="1" l="1"/>
  <c r="I126" i="1" s="1"/>
  <c r="F122" i="1"/>
  <c r="F129" i="1" s="1"/>
  <c r="H110" i="1"/>
  <c r="G112" i="1"/>
  <c r="K105" i="1"/>
  <c r="J107" i="1"/>
  <c r="J121" i="1" l="1"/>
  <c r="J126" i="1" s="1"/>
  <c r="G122" i="1"/>
  <c r="G129" i="1" s="1"/>
  <c r="I110" i="1"/>
  <c r="H112" i="1"/>
  <c r="L105" i="1"/>
  <c r="K107" i="1"/>
  <c r="K121" i="1" l="1"/>
  <c r="K126" i="1" s="1"/>
  <c r="H122" i="1"/>
  <c r="H129" i="1" s="1"/>
  <c r="J110" i="1"/>
  <c r="I112" i="1"/>
  <c r="M105" i="1"/>
  <c r="L107" i="1"/>
  <c r="I122" i="1" l="1"/>
  <c r="I129" i="1" s="1"/>
  <c r="L121" i="1"/>
  <c r="L126" i="1" s="1"/>
  <c r="K110" i="1"/>
  <c r="J112" i="1"/>
  <c r="N105" i="1"/>
  <c r="M107" i="1"/>
  <c r="J122" i="1" l="1"/>
  <c r="J129" i="1" s="1"/>
  <c r="M121" i="1"/>
  <c r="M126" i="1" s="1"/>
  <c r="L110" i="1"/>
  <c r="K112" i="1"/>
  <c r="O105" i="1"/>
  <c r="N107" i="1"/>
  <c r="K122" i="1" l="1"/>
  <c r="K129" i="1" s="1"/>
  <c r="N121" i="1"/>
  <c r="N126" i="1" s="1"/>
  <c r="M110" i="1"/>
  <c r="L112" i="1"/>
  <c r="P105" i="1"/>
  <c r="O107" i="1"/>
  <c r="L122" i="1" l="1"/>
  <c r="L129" i="1" s="1"/>
  <c r="O121" i="1"/>
  <c r="O126" i="1" s="1"/>
  <c r="N110" i="1"/>
  <c r="M112" i="1"/>
  <c r="Q105" i="1"/>
  <c r="P107" i="1"/>
  <c r="M122" i="1" l="1"/>
  <c r="M129" i="1" s="1"/>
  <c r="P121" i="1"/>
  <c r="P126" i="1" s="1"/>
  <c r="O110" i="1"/>
  <c r="N112" i="1"/>
  <c r="R105" i="1"/>
  <c r="Q107" i="1"/>
  <c r="N122" i="1" l="1"/>
  <c r="N129" i="1" s="1"/>
  <c r="Q121" i="1"/>
  <c r="Q126" i="1" s="1"/>
  <c r="P110" i="1"/>
  <c r="O112" i="1"/>
  <c r="S105" i="1"/>
  <c r="R107" i="1"/>
  <c r="R121" i="1" l="1"/>
  <c r="R126" i="1" s="1"/>
  <c r="O122" i="1"/>
  <c r="O129" i="1" s="1"/>
  <c r="Q110" i="1"/>
  <c r="P112" i="1"/>
  <c r="T105" i="1"/>
  <c r="S107" i="1"/>
  <c r="S121" i="1" l="1"/>
  <c r="S126" i="1" s="1"/>
  <c r="P122" i="1"/>
  <c r="P129" i="1" s="1"/>
  <c r="R110" i="1"/>
  <c r="Q112" i="1"/>
  <c r="U105" i="1"/>
  <c r="T107" i="1"/>
  <c r="T121" i="1" l="1"/>
  <c r="T126" i="1" s="1"/>
  <c r="Q122" i="1"/>
  <c r="Q129" i="1" s="1"/>
  <c r="S110" i="1"/>
  <c r="R112" i="1"/>
  <c r="V105" i="1"/>
  <c r="U107" i="1"/>
  <c r="R122" i="1" l="1"/>
  <c r="R129" i="1" s="1"/>
  <c r="U121" i="1"/>
  <c r="U126" i="1" s="1"/>
  <c r="T110" i="1"/>
  <c r="S112" i="1"/>
  <c r="W105" i="1"/>
  <c r="V107" i="1"/>
  <c r="V121" i="1" s="1"/>
  <c r="S122" i="1" l="1"/>
  <c r="S129" i="1" s="1"/>
  <c r="V126" i="1"/>
  <c r="U110" i="1"/>
  <c r="T112" i="1"/>
  <c r="W107" i="1"/>
  <c r="W121" i="1" l="1"/>
  <c r="Y121" i="1" s="1"/>
  <c r="Z36" i="1" s="1"/>
  <c r="T122" i="1"/>
  <c r="T129" i="1" s="1"/>
  <c r="V110" i="1"/>
  <c r="U112" i="1"/>
  <c r="X107" i="1"/>
  <c r="Y107" i="1"/>
  <c r="W126" i="1" l="1"/>
  <c r="Y126" i="1" s="1"/>
  <c r="Z126" i="1" s="1"/>
  <c r="X121" i="1"/>
  <c r="Z107" i="1"/>
  <c r="Z29" i="1"/>
  <c r="U122" i="1"/>
  <c r="U129" i="1" s="1"/>
  <c r="Z58" i="1"/>
  <c r="Z22" i="1"/>
  <c r="Z68" i="1"/>
  <c r="Z121" i="1"/>
  <c r="W110" i="1"/>
  <c r="W112" i="1" s="1"/>
  <c r="V112" i="1"/>
  <c r="V122" i="1" s="1"/>
  <c r="X126" i="1"/>
  <c r="X127" i="1"/>
  <c r="W122" i="1" l="1"/>
  <c r="W129" i="1" s="1"/>
  <c r="Y112" i="1"/>
  <c r="X112" i="1"/>
  <c r="X122" i="1" s="1"/>
  <c r="Y122" i="1" l="1"/>
  <c r="Z122" i="1" s="1"/>
  <c r="V129" i="1"/>
  <c r="Z24" i="1" l="1"/>
  <c r="Z31" i="1"/>
  <c r="Z38" i="1"/>
  <c r="Z62" i="1"/>
  <c r="Z70" i="1"/>
  <c r="Z112" i="1"/>
  <c r="X130" i="1"/>
  <c r="Y129" i="1"/>
  <c r="Z129" i="1" s="1"/>
  <c r="X129" i="1"/>
</calcChain>
</file>

<file path=xl/sharedStrings.xml><?xml version="1.0" encoding="utf-8"?>
<sst xmlns="http://schemas.openxmlformats.org/spreadsheetml/2006/main" count="211" uniqueCount="94">
  <si>
    <t>Variable</t>
  </si>
  <si>
    <t>Unité</t>
  </si>
  <si>
    <t>SOMME</t>
  </si>
  <si>
    <t>VAN</t>
  </si>
  <si>
    <t>Production annuelle</t>
  </si>
  <si>
    <t>bbl/j</t>
  </si>
  <si>
    <t>USD/bbl</t>
  </si>
  <si>
    <t>USD</t>
  </si>
  <si>
    <t>Flux nets de trésorerie avant impôts</t>
  </si>
  <si>
    <t>%</t>
  </si>
  <si>
    <t>DROITS FIXES</t>
  </si>
  <si>
    <t>Droits fixes</t>
  </si>
  <si>
    <t>REDEVANCE SUPERFICIAIRE</t>
  </si>
  <si>
    <t>Superficie</t>
  </si>
  <si>
    <t>km²</t>
  </si>
  <si>
    <t>REDEVANCE PETROLIERE</t>
  </si>
  <si>
    <t>Taux</t>
  </si>
  <si>
    <t>Redevance pétrolière</t>
  </si>
  <si>
    <t>Cost stop</t>
  </si>
  <si>
    <t>Remboursement du principal</t>
  </si>
  <si>
    <t>Part de l'Etat</t>
  </si>
  <si>
    <t>Charges d'amortissement</t>
  </si>
  <si>
    <t>Bénéfice comptable</t>
  </si>
  <si>
    <t>Charges d'intérêt</t>
  </si>
  <si>
    <t>Impôt sur les sociétés</t>
  </si>
  <si>
    <t>IMPÔT SUR LES SOCIETES</t>
  </si>
  <si>
    <t>PARTICIPATION DE L'ETAT</t>
  </si>
  <si>
    <t>Flux nets de trésorerie après impôts</t>
  </si>
  <si>
    <t>Profit pétrolier</t>
  </si>
  <si>
    <t>Amortissement 1</t>
  </si>
  <si>
    <t>Amortissement 2</t>
  </si>
  <si>
    <t>Amortissement 3</t>
  </si>
  <si>
    <t>Amortissement 4</t>
  </si>
  <si>
    <t>Amortissement 5</t>
  </si>
  <si>
    <t>Amortissement 6</t>
  </si>
  <si>
    <t>Amortissement 7</t>
  </si>
  <si>
    <t>Amortissement 8</t>
  </si>
  <si>
    <t>Amortissement 9</t>
  </si>
  <si>
    <t>Amortissement 10</t>
  </si>
  <si>
    <t>Amortissement 11</t>
  </si>
  <si>
    <t>Amortissement 12</t>
  </si>
  <si>
    <t>Amortissement 13</t>
  </si>
  <si>
    <t>Amortissement 14</t>
  </si>
  <si>
    <t>Amortissement 15</t>
  </si>
  <si>
    <t>Amortissement 16</t>
  </si>
  <si>
    <t>Amortissement 17</t>
  </si>
  <si>
    <t>Amortissement 18</t>
  </si>
  <si>
    <t>Amortissement 19</t>
  </si>
  <si>
    <t>Amortissement 20</t>
  </si>
  <si>
    <t>CAPEX total</t>
  </si>
  <si>
    <t>REVENUS</t>
  </si>
  <si>
    <t>Production journalière</t>
  </si>
  <si>
    <t>Cours</t>
  </si>
  <si>
    <t>bbl</t>
  </si>
  <si>
    <t>Chiffres d'affaires</t>
  </si>
  <si>
    <t>COÛTS</t>
  </si>
  <si>
    <t>OPEX unitaire</t>
  </si>
  <si>
    <t>OPEX total</t>
  </si>
  <si>
    <t>Coûts totaux</t>
  </si>
  <si>
    <t>FLUX NETS DE TRESORERIE avant impôts</t>
  </si>
  <si>
    <t>Rente économique</t>
  </si>
  <si>
    <t>Taux de rendement interne (TRI avant impôts</t>
  </si>
  <si>
    <t>TRI avant impôts</t>
  </si>
  <si>
    <t>Code pétrolier 2019</t>
  </si>
  <si>
    <t>Convention Sangomar</t>
  </si>
  <si>
    <t>Redevance superfiaire</t>
  </si>
  <si>
    <t>Coûts récupérables</t>
  </si>
  <si>
    <t>COÛTS A RECUPERER</t>
  </si>
  <si>
    <t>COST STOP</t>
  </si>
  <si>
    <t>PROFIT PETROLIER</t>
  </si>
  <si>
    <t>Facteur R</t>
  </si>
  <si>
    <t>Facteur = (Chiffre d'affaires passés - Redevance pétrolière passée) / CAPEX passé</t>
  </si>
  <si>
    <t>Facteur = Revenus cumulés [hors redevance pétrolière] / Investissements cumulés</t>
  </si>
  <si>
    <t>TAXE A L'EXPORTATION</t>
  </si>
  <si>
    <t>Production exportée</t>
  </si>
  <si>
    <t>Taxe à l'exportation</t>
  </si>
  <si>
    <t>AMORTISSEMENTS</t>
  </si>
  <si>
    <t>Amortissement 21</t>
  </si>
  <si>
    <t>EMPRUNT</t>
  </si>
  <si>
    <t>Capital restant dû</t>
  </si>
  <si>
    <t>Taux d'intérêt</t>
  </si>
  <si>
    <t>Bénéfice fiscal</t>
  </si>
  <si>
    <t>FLUX NETS DE TRESORERIE après impôts</t>
  </si>
  <si>
    <t>TOTAL DES PRELEMENTS PUBLICS</t>
  </si>
  <si>
    <t>Part de l'Etat / TEMI</t>
  </si>
  <si>
    <t>Part des contracteurs</t>
  </si>
  <si>
    <t>Taux de rendement interne (TRI) après impôts</t>
  </si>
  <si>
    <t>TRI après impôts</t>
  </si>
  <si>
    <t>Part des droits fixes dans les recettes</t>
  </si>
  <si>
    <t>Part de la redevance superficiaire dans les recettes</t>
  </si>
  <si>
    <t>Part de la redevance pétrolière dans les recettes</t>
  </si>
  <si>
    <t>Part du partage de production dans les recettes</t>
  </si>
  <si>
    <t>Part de la taxe à l'exportation dans les recettes</t>
  </si>
  <si>
    <t>Part de l'impôt sur les sociétés dans les recettes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</si>
</sst>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-* #,##0\ _€_-;\-* #,##0\ _€_-;_-* &quot;-&quot;\ _€_-;_-@_-"/>
    <numFmt numFmtId="165" formatCode="_-* #,##0.00\ _€_-;\-* #,##0.00\ _€_-;_-* &quot;-&quot;??\ _€_-;_-@_-"/>
    <numFmt numFmtId="166" formatCode="0.0%"/>
  </numFmts>
  <fonts count="19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FFC000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>
      <alignment horizontal="left" vertical="top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20">
    <xf numFmtId="0" fontId="0" fillId="0" borderId="0" xfId="0">
      <alignment horizontal="left" vertical="top"/>
    </xf>
    <xf numFmtId="0" fontId="0" fillId="0" borderId="0" xfId="0">
      <alignment horizontal="left" vertical="top"/>
    </xf>
    <xf numFmtId="0" fontId="14" fillId="33" borderId="0" xfId="0" applyFont="1" applyFill="1">
      <alignment horizontal="left" vertical="top"/>
    </xf>
    <xf numFmtId="3" fontId="0" fillId="34" borderId="0" xfId="0" applyNumberFormat="1" applyFill="1" applyAlignment="1">
      <alignment horizontal="right" vertical="top"/>
    </xf>
    <xf numFmtId="3" fontId="0" fillId="35" borderId="0" xfId="0" applyNumberFormat="1" applyFill="1" applyAlignment="1">
      <alignment horizontal="right" vertical="top"/>
    </xf>
    <xf numFmtId="3" fontId="0" fillId="36" borderId="0" xfId="0" applyNumberFormat="1" applyFill="1" applyAlignment="1">
      <alignment horizontal="right" vertical="top"/>
    </xf>
    <xf numFmtId="0" fontId="15" fillId="0" borderId="0" xfId="0" applyFont="1">
      <alignment horizontal="left" vertical="top"/>
    </xf>
    <xf numFmtId="3" fontId="0" fillId="37" borderId="0" xfId="0" applyNumberFormat="1" applyFill="1" applyAlignment="1">
      <alignment horizontal="right" vertical="top"/>
    </xf>
    <xf numFmtId="0" fontId="0" fillId="0" borderId="0" xfId="0" applyFont="1">
      <alignment horizontal="left" vertical="top"/>
    </xf>
    <xf numFmtId="9" fontId="0" fillId="34" borderId="0" xfId="0" applyNumberFormat="1" applyFill="1" applyAlignment="1">
      <alignment horizontal="right" vertical="top"/>
    </xf>
    <xf numFmtId="9" fontId="0" fillId="37" borderId="0" xfId="0" applyNumberFormat="1" applyFill="1" applyAlignment="1">
      <alignment horizontal="right" vertical="top"/>
    </xf>
    <xf numFmtId="0" fontId="13" fillId="0" borderId="0" xfId="0" applyFont="1" applyFill="1">
      <alignment horizontal="left" vertical="top"/>
    </xf>
    <xf numFmtId="0" fontId="16" fillId="0" borderId="0" xfId="0" applyFont="1">
      <alignment horizontal="left" vertical="top"/>
    </xf>
    <xf numFmtId="9" fontId="0" fillId="34" borderId="0" xfId="0" applyNumberFormat="1" applyFill="1">
      <alignment horizontal="left" vertical="top"/>
    </xf>
    <xf numFmtId="0" fontId="17" fillId="0" borderId="0" xfId="0" applyFont="1">
      <alignment horizontal="left" vertical="top"/>
    </xf>
    <xf numFmtId="9" fontId="0" fillId="37" borderId="0" xfId="0" applyNumberFormat="1" applyFill="1">
      <alignment horizontal="left" vertical="top"/>
    </xf>
    <xf numFmtId="4" fontId="0" fillId="34" borderId="0" xfId="0" applyNumberFormat="1" applyFill="1" applyAlignment="1">
      <alignment horizontal="right" vertical="top"/>
    </xf>
    <xf numFmtId="3" fontId="0" fillId="39" borderId="0" xfId="0" applyNumberFormat="1" applyFill="1" applyAlignment="1">
      <alignment horizontal="right" vertical="top"/>
    </xf>
    <xf numFmtId="0" fontId="18" fillId="0" borderId="0" xfId="0" applyFont="1">
      <alignment horizontal="left" vertical="top"/>
    </xf>
    <xf numFmtId="166" fontId="0" fillId="38" borderId="0" xfId="0" applyNumberFormat="1" applyFill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A130"/>
  <sheetViews>
    <sheetView tabSelected="1" zoomScaleNormal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D26" sqref="D26"/>
    </sheetView>
  </sheetViews>
  <sheetFormatPr baseColWidth="10" defaultColWidth="10.796875" defaultRowHeight="13" x14ac:dyDescent="0.3"/>
  <cols>
    <col min="1" max="1" width="55.19921875" style="1" customWidth="1"/>
    <col min="2" max="2" width="8.796875" style="1" customWidth="1"/>
    <col min="3" max="25" width="15.796875" style="1" customWidth="1"/>
    <col min="26" max="16384" width="10.796875" style="1"/>
  </cols>
  <sheetData>
    <row r="1" spans="1:25" x14ac:dyDescent="0.3">
      <c r="A1" s="2" t="s">
        <v>0</v>
      </c>
      <c r="B1" s="2" t="s">
        <v>1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  <c r="N1" s="2">
        <v>2034</v>
      </c>
      <c r="O1" s="2">
        <v>2035</v>
      </c>
      <c r="P1" s="2">
        <v>2036</v>
      </c>
      <c r="Q1" s="2">
        <v>2037</v>
      </c>
      <c r="R1" s="2">
        <v>2038</v>
      </c>
      <c r="S1" s="2">
        <v>2039</v>
      </c>
      <c r="T1" s="2">
        <v>2040</v>
      </c>
      <c r="U1" s="2">
        <v>2041</v>
      </c>
      <c r="V1" s="2">
        <v>2042</v>
      </c>
      <c r="W1" s="2">
        <v>2043</v>
      </c>
      <c r="X1" s="2" t="s">
        <v>2</v>
      </c>
      <c r="Y1" s="2" t="s">
        <v>3</v>
      </c>
    </row>
    <row r="2" spans="1:25" x14ac:dyDescent="0.3">
      <c r="A2" s="11"/>
      <c r="B2" s="11"/>
      <c r="C2" s="11">
        <v>1</v>
      </c>
      <c r="D2" s="11">
        <v>2</v>
      </c>
      <c r="E2" s="11">
        <v>3</v>
      </c>
      <c r="F2" s="11">
        <v>4</v>
      </c>
      <c r="G2" s="11">
        <v>5</v>
      </c>
      <c r="H2" s="11">
        <v>6</v>
      </c>
      <c r="I2" s="11">
        <v>7</v>
      </c>
      <c r="J2" s="11">
        <v>8</v>
      </c>
      <c r="K2" s="11">
        <v>9</v>
      </c>
      <c r="L2" s="11">
        <v>10</v>
      </c>
      <c r="M2" s="11">
        <v>11</v>
      </c>
      <c r="N2" s="11">
        <v>12</v>
      </c>
      <c r="O2" s="11">
        <v>13</v>
      </c>
      <c r="P2" s="11">
        <v>14</v>
      </c>
      <c r="Q2" s="11">
        <v>15</v>
      </c>
      <c r="R2" s="11">
        <v>16</v>
      </c>
      <c r="S2" s="11">
        <v>17</v>
      </c>
      <c r="T2" s="11">
        <v>18</v>
      </c>
      <c r="U2" s="11">
        <v>19</v>
      </c>
      <c r="V2" s="11">
        <v>20</v>
      </c>
      <c r="W2" s="11">
        <v>21</v>
      </c>
      <c r="Y2" s="13">
        <v>0.1</v>
      </c>
    </row>
    <row r="4" spans="1:25" x14ac:dyDescent="0.3">
      <c r="A4" s="12" t="s">
        <v>50</v>
      </c>
    </row>
    <row r="5" spans="1:25" x14ac:dyDescent="0.3">
      <c r="A5" s="1" t="s">
        <v>51</v>
      </c>
      <c r="B5" s="1" t="s">
        <v>5</v>
      </c>
      <c r="C5" s="3"/>
      <c r="D5" s="3">
        <v>65000</v>
      </c>
      <c r="E5" s="3">
        <v>100000</v>
      </c>
      <c r="F5" s="3">
        <v>100000</v>
      </c>
      <c r="G5" s="3">
        <v>100000</v>
      </c>
      <c r="H5" s="3">
        <v>100000</v>
      </c>
      <c r="I5" s="3">
        <v>100000</v>
      </c>
      <c r="J5" s="3">
        <v>100000</v>
      </c>
      <c r="K5" s="3">
        <v>100000</v>
      </c>
      <c r="L5" s="3">
        <v>100000</v>
      </c>
      <c r="M5" s="3">
        <v>80000</v>
      </c>
      <c r="N5" s="3">
        <v>80000</v>
      </c>
      <c r="O5" s="3">
        <v>80000</v>
      </c>
      <c r="P5" s="3">
        <v>80000</v>
      </c>
      <c r="Q5" s="3">
        <v>80000</v>
      </c>
      <c r="R5" s="3">
        <v>80000</v>
      </c>
      <c r="S5" s="3">
        <v>80000</v>
      </c>
      <c r="T5" s="3">
        <v>80000</v>
      </c>
      <c r="U5" s="3">
        <v>80000</v>
      </c>
      <c r="V5" s="3">
        <v>80000</v>
      </c>
      <c r="W5" s="3">
        <v>80000</v>
      </c>
    </row>
    <row r="6" spans="1:25" x14ac:dyDescent="0.3">
      <c r="A6" s="1" t="s">
        <v>4</v>
      </c>
      <c r="B6" s="1" t="s">
        <v>53</v>
      </c>
      <c r="C6" s="3">
        <f>C5*365</f>
        <v>0</v>
      </c>
      <c r="D6" s="3">
        <f>D5*365</f>
        <v>23725000</v>
      </c>
      <c r="E6" s="3">
        <f t="shared" ref="E6:O6" si="0">E5*365</f>
        <v>36500000</v>
      </c>
      <c r="F6" s="3">
        <f t="shared" si="0"/>
        <v>36500000</v>
      </c>
      <c r="G6" s="3">
        <f t="shared" si="0"/>
        <v>36500000</v>
      </c>
      <c r="H6" s="3">
        <f t="shared" si="0"/>
        <v>36500000</v>
      </c>
      <c r="I6" s="3">
        <f t="shared" si="0"/>
        <v>36500000</v>
      </c>
      <c r="J6" s="3">
        <f t="shared" si="0"/>
        <v>36500000</v>
      </c>
      <c r="K6" s="3">
        <f t="shared" si="0"/>
        <v>36500000</v>
      </c>
      <c r="L6" s="3">
        <f t="shared" si="0"/>
        <v>36500000</v>
      </c>
      <c r="M6" s="3">
        <f t="shared" si="0"/>
        <v>29200000</v>
      </c>
      <c r="N6" s="3">
        <f t="shared" si="0"/>
        <v>29200000</v>
      </c>
      <c r="O6" s="3">
        <f t="shared" si="0"/>
        <v>29200000</v>
      </c>
      <c r="P6" s="3">
        <f t="shared" ref="P6" si="1">P5*365</f>
        <v>29200000</v>
      </c>
      <c r="Q6" s="3">
        <f t="shared" ref="Q6" si="2">Q5*365</f>
        <v>29200000</v>
      </c>
      <c r="R6" s="3">
        <f t="shared" ref="R6" si="3">R5*365</f>
        <v>29200000</v>
      </c>
      <c r="S6" s="3">
        <f t="shared" ref="S6" si="4">S5*365</f>
        <v>29200000</v>
      </c>
      <c r="T6" s="3">
        <f t="shared" ref="T6" si="5">T5*365</f>
        <v>29200000</v>
      </c>
      <c r="U6" s="3">
        <f t="shared" ref="U6" si="6">U5*365</f>
        <v>29200000</v>
      </c>
      <c r="V6" s="3">
        <f t="shared" ref="V6" si="7">V5*365</f>
        <v>29200000</v>
      </c>
      <c r="W6" s="3">
        <f>W5*365</f>
        <v>29200000</v>
      </c>
      <c r="X6" s="4">
        <f>SUM(C6:W6)</f>
        <v>636925000</v>
      </c>
    </row>
    <row r="7" spans="1:25" x14ac:dyDescent="0.3">
      <c r="A7" s="1" t="s">
        <v>52</v>
      </c>
      <c r="B7" s="1" t="s">
        <v>6</v>
      </c>
      <c r="C7" s="3">
        <v>120</v>
      </c>
      <c r="D7" s="3">
        <v>120</v>
      </c>
      <c r="E7" s="3">
        <v>120</v>
      </c>
      <c r="F7" s="3">
        <v>120</v>
      </c>
      <c r="G7" s="3">
        <v>120</v>
      </c>
      <c r="H7" s="3">
        <v>120</v>
      </c>
      <c r="I7" s="3">
        <v>120</v>
      </c>
      <c r="J7" s="3">
        <v>120</v>
      </c>
      <c r="K7" s="3">
        <v>120</v>
      </c>
      <c r="L7" s="3">
        <v>120</v>
      </c>
      <c r="M7" s="3">
        <v>120</v>
      </c>
      <c r="N7" s="3">
        <v>120</v>
      </c>
      <c r="O7" s="3">
        <v>120</v>
      </c>
      <c r="P7" s="3">
        <v>120</v>
      </c>
      <c r="Q7" s="3">
        <v>120</v>
      </c>
      <c r="R7" s="3">
        <v>120</v>
      </c>
      <c r="S7" s="3">
        <v>120</v>
      </c>
      <c r="T7" s="3">
        <v>120</v>
      </c>
      <c r="U7" s="3">
        <v>120</v>
      </c>
      <c r="V7" s="3">
        <v>120</v>
      </c>
      <c r="W7" s="3">
        <v>120</v>
      </c>
    </row>
    <row r="8" spans="1:25" x14ac:dyDescent="0.3">
      <c r="A8" s="1" t="s">
        <v>54</v>
      </c>
      <c r="B8" s="1" t="s">
        <v>7</v>
      </c>
      <c r="C8" s="5">
        <f>C6*C7</f>
        <v>0</v>
      </c>
      <c r="D8" s="5">
        <f>D6*D7</f>
        <v>2847000000</v>
      </c>
      <c r="E8" s="5">
        <f t="shared" ref="E8:W8" si="8">E6*E7</f>
        <v>4380000000</v>
      </c>
      <c r="F8" s="5">
        <f t="shared" si="8"/>
        <v>4380000000</v>
      </c>
      <c r="G8" s="5">
        <f t="shared" si="8"/>
        <v>4380000000</v>
      </c>
      <c r="H8" s="5">
        <f t="shared" si="8"/>
        <v>4380000000</v>
      </c>
      <c r="I8" s="5">
        <f t="shared" si="8"/>
        <v>4380000000</v>
      </c>
      <c r="J8" s="5">
        <f t="shared" si="8"/>
        <v>4380000000</v>
      </c>
      <c r="K8" s="5">
        <f t="shared" si="8"/>
        <v>4380000000</v>
      </c>
      <c r="L8" s="5">
        <f t="shared" si="8"/>
        <v>4380000000</v>
      </c>
      <c r="M8" s="5">
        <f t="shared" si="8"/>
        <v>3504000000</v>
      </c>
      <c r="N8" s="5">
        <f t="shared" si="8"/>
        <v>3504000000</v>
      </c>
      <c r="O8" s="5">
        <f t="shared" si="8"/>
        <v>3504000000</v>
      </c>
      <c r="P8" s="5">
        <f t="shared" si="8"/>
        <v>3504000000</v>
      </c>
      <c r="Q8" s="5">
        <f t="shared" si="8"/>
        <v>3504000000</v>
      </c>
      <c r="R8" s="5">
        <f t="shared" si="8"/>
        <v>3504000000</v>
      </c>
      <c r="S8" s="5">
        <f t="shared" si="8"/>
        <v>3504000000</v>
      </c>
      <c r="T8" s="5">
        <f t="shared" si="8"/>
        <v>3504000000</v>
      </c>
      <c r="U8" s="5">
        <f t="shared" si="8"/>
        <v>3504000000</v>
      </c>
      <c r="V8" s="5">
        <f t="shared" si="8"/>
        <v>3504000000</v>
      </c>
      <c r="W8" s="5">
        <f t="shared" si="8"/>
        <v>3504000000</v>
      </c>
      <c r="X8" s="4">
        <f>SUM(C8:W8)</f>
        <v>76431000000</v>
      </c>
      <c r="Y8" s="4">
        <f>C8+NPV($Y$2,D8:W8)</f>
        <v>33482795773.454655</v>
      </c>
    </row>
    <row r="10" spans="1:25" x14ac:dyDescent="0.3">
      <c r="A10" s="12" t="s">
        <v>55</v>
      </c>
    </row>
    <row r="11" spans="1:25" x14ac:dyDescent="0.3">
      <c r="A11" s="1" t="s">
        <v>49</v>
      </c>
      <c r="B11" s="1" t="s">
        <v>7</v>
      </c>
      <c r="C11" s="3">
        <v>4200000000</v>
      </c>
      <c r="D11" s="3">
        <v>50000000</v>
      </c>
      <c r="E11" s="3">
        <v>50000000</v>
      </c>
      <c r="F11" s="3">
        <v>50000000</v>
      </c>
      <c r="G11" s="3">
        <v>50000000</v>
      </c>
      <c r="H11" s="3">
        <v>50000000</v>
      </c>
      <c r="I11" s="3">
        <v>50000000</v>
      </c>
      <c r="J11" s="3">
        <v>50000000</v>
      </c>
      <c r="K11" s="3">
        <v>50000000</v>
      </c>
      <c r="L11" s="3">
        <v>50000000</v>
      </c>
      <c r="M11" s="3">
        <v>50000000</v>
      </c>
      <c r="N11" s="3">
        <v>50000000</v>
      </c>
      <c r="O11" s="3">
        <v>50000000</v>
      </c>
      <c r="P11" s="3">
        <v>50000000</v>
      </c>
      <c r="Q11" s="3">
        <v>50000000</v>
      </c>
      <c r="R11" s="3">
        <v>50000000</v>
      </c>
      <c r="S11" s="3">
        <v>50000000</v>
      </c>
      <c r="T11" s="3">
        <v>50000000</v>
      </c>
      <c r="U11" s="3">
        <v>50000000</v>
      </c>
      <c r="V11" s="3">
        <v>50000000</v>
      </c>
      <c r="W11" s="3">
        <v>50000000</v>
      </c>
      <c r="X11" s="4">
        <f>SUM(C11:W11)</f>
        <v>5200000000</v>
      </c>
      <c r="Y11" s="4">
        <f>C11+NPV($Y$2,D11:W11)</f>
        <v>4625678185.9879274</v>
      </c>
    </row>
    <row r="12" spans="1:25" x14ac:dyDescent="0.3">
      <c r="A12" s="1" t="s">
        <v>56</v>
      </c>
      <c r="B12" s="1" t="s">
        <v>6</v>
      </c>
      <c r="C12" s="3">
        <v>15</v>
      </c>
      <c r="D12" s="3">
        <v>15</v>
      </c>
      <c r="E12" s="3">
        <v>15</v>
      </c>
      <c r="F12" s="3">
        <v>15</v>
      </c>
      <c r="G12" s="3">
        <v>15</v>
      </c>
      <c r="H12" s="3">
        <v>15</v>
      </c>
      <c r="I12" s="3">
        <v>15</v>
      </c>
      <c r="J12" s="3">
        <v>15</v>
      </c>
      <c r="K12" s="3">
        <v>15</v>
      </c>
      <c r="L12" s="3">
        <v>15</v>
      </c>
      <c r="M12" s="3">
        <v>15</v>
      </c>
      <c r="N12" s="3">
        <v>15</v>
      </c>
      <c r="O12" s="3">
        <v>15</v>
      </c>
      <c r="P12" s="3">
        <v>15</v>
      </c>
      <c r="Q12" s="3">
        <v>15</v>
      </c>
      <c r="R12" s="3">
        <v>15</v>
      </c>
      <c r="S12" s="3">
        <v>15</v>
      </c>
      <c r="T12" s="3">
        <v>15</v>
      </c>
      <c r="U12" s="3">
        <v>15</v>
      </c>
      <c r="V12" s="3">
        <v>15</v>
      </c>
      <c r="W12" s="3">
        <v>15</v>
      </c>
    </row>
    <row r="13" spans="1:25" x14ac:dyDescent="0.3">
      <c r="A13" s="1" t="s">
        <v>57</v>
      </c>
      <c r="B13" s="1" t="s">
        <v>7</v>
      </c>
      <c r="C13" s="3">
        <f>C6*C12</f>
        <v>0</v>
      </c>
      <c r="D13" s="3">
        <f t="shared" ref="D13:W13" si="9">D6*D12</f>
        <v>355875000</v>
      </c>
      <c r="E13" s="3">
        <f t="shared" si="9"/>
        <v>547500000</v>
      </c>
      <c r="F13" s="3">
        <f t="shared" si="9"/>
        <v>547500000</v>
      </c>
      <c r="G13" s="3">
        <f t="shared" si="9"/>
        <v>547500000</v>
      </c>
      <c r="H13" s="3">
        <f t="shared" si="9"/>
        <v>547500000</v>
      </c>
      <c r="I13" s="3">
        <f t="shared" si="9"/>
        <v>547500000</v>
      </c>
      <c r="J13" s="3">
        <f t="shared" si="9"/>
        <v>547500000</v>
      </c>
      <c r="K13" s="3">
        <f t="shared" si="9"/>
        <v>547500000</v>
      </c>
      <c r="L13" s="3">
        <f t="shared" si="9"/>
        <v>547500000</v>
      </c>
      <c r="M13" s="3">
        <f t="shared" si="9"/>
        <v>438000000</v>
      </c>
      <c r="N13" s="3">
        <f t="shared" si="9"/>
        <v>438000000</v>
      </c>
      <c r="O13" s="3">
        <f t="shared" si="9"/>
        <v>438000000</v>
      </c>
      <c r="P13" s="3">
        <f t="shared" si="9"/>
        <v>438000000</v>
      </c>
      <c r="Q13" s="3">
        <f t="shared" si="9"/>
        <v>438000000</v>
      </c>
      <c r="R13" s="3">
        <f t="shared" si="9"/>
        <v>438000000</v>
      </c>
      <c r="S13" s="3">
        <f t="shared" si="9"/>
        <v>438000000</v>
      </c>
      <c r="T13" s="3">
        <f t="shared" si="9"/>
        <v>438000000</v>
      </c>
      <c r="U13" s="3">
        <f t="shared" si="9"/>
        <v>438000000</v>
      </c>
      <c r="V13" s="3">
        <f t="shared" si="9"/>
        <v>438000000</v>
      </c>
      <c r="W13" s="3">
        <f t="shared" si="9"/>
        <v>438000000</v>
      </c>
      <c r="X13" s="4">
        <f>SUM(C13:W13)</f>
        <v>9553875000</v>
      </c>
      <c r="Y13" s="4">
        <f t="shared" ref="Y13:Y14" si="10">C13+NPV($Y$2,D13:W13)</f>
        <v>4185349471.6818318</v>
      </c>
    </row>
    <row r="14" spans="1:25" x14ac:dyDescent="0.3">
      <c r="A14" s="1" t="s">
        <v>58</v>
      </c>
      <c r="B14" s="1" t="s">
        <v>7</v>
      </c>
      <c r="C14" s="5">
        <f>C11+C13</f>
        <v>4200000000</v>
      </c>
      <c r="D14" s="5">
        <f>D11+D13</f>
        <v>405875000</v>
      </c>
      <c r="E14" s="5">
        <f t="shared" ref="E14:W14" si="11">E11+E13</f>
        <v>597500000</v>
      </c>
      <c r="F14" s="5">
        <f t="shared" si="11"/>
        <v>597500000</v>
      </c>
      <c r="G14" s="5">
        <f t="shared" si="11"/>
        <v>597500000</v>
      </c>
      <c r="H14" s="5">
        <f t="shared" si="11"/>
        <v>597500000</v>
      </c>
      <c r="I14" s="5">
        <f t="shared" si="11"/>
        <v>597500000</v>
      </c>
      <c r="J14" s="5">
        <f t="shared" si="11"/>
        <v>597500000</v>
      </c>
      <c r="K14" s="5">
        <f t="shared" si="11"/>
        <v>597500000</v>
      </c>
      <c r="L14" s="5">
        <f t="shared" si="11"/>
        <v>597500000</v>
      </c>
      <c r="M14" s="5">
        <f t="shared" si="11"/>
        <v>488000000</v>
      </c>
      <c r="N14" s="5">
        <f t="shared" si="11"/>
        <v>488000000</v>
      </c>
      <c r="O14" s="5">
        <f t="shared" si="11"/>
        <v>488000000</v>
      </c>
      <c r="P14" s="5">
        <f t="shared" si="11"/>
        <v>488000000</v>
      </c>
      <c r="Q14" s="5">
        <f t="shared" si="11"/>
        <v>488000000</v>
      </c>
      <c r="R14" s="5">
        <f t="shared" si="11"/>
        <v>488000000</v>
      </c>
      <c r="S14" s="5">
        <f t="shared" si="11"/>
        <v>488000000</v>
      </c>
      <c r="T14" s="5">
        <f t="shared" si="11"/>
        <v>488000000</v>
      </c>
      <c r="U14" s="5">
        <f t="shared" si="11"/>
        <v>488000000</v>
      </c>
      <c r="V14" s="5">
        <f t="shared" si="11"/>
        <v>488000000</v>
      </c>
      <c r="W14" s="5">
        <f t="shared" si="11"/>
        <v>488000000</v>
      </c>
      <c r="X14" s="4">
        <f>SUM(C14:W14)</f>
        <v>14753875000</v>
      </c>
      <c r="Y14" s="4">
        <f t="shared" si="10"/>
        <v>8811027657.6697578</v>
      </c>
    </row>
    <row r="16" spans="1:25" x14ac:dyDescent="0.3">
      <c r="A16" s="12" t="s">
        <v>59</v>
      </c>
    </row>
    <row r="17" spans="1:27" x14ac:dyDescent="0.3">
      <c r="A17" s="1" t="s">
        <v>8</v>
      </c>
      <c r="B17" s="1" t="s">
        <v>7</v>
      </c>
      <c r="C17" s="5">
        <f>C8-C14</f>
        <v>-4200000000</v>
      </c>
      <c r="D17" s="5">
        <f>D8-D14</f>
        <v>2441125000</v>
      </c>
      <c r="E17" s="5">
        <f t="shared" ref="E17:W17" si="12">E8-E14</f>
        <v>3782500000</v>
      </c>
      <c r="F17" s="5">
        <f t="shared" si="12"/>
        <v>3782500000</v>
      </c>
      <c r="G17" s="5">
        <f t="shared" si="12"/>
        <v>3782500000</v>
      </c>
      <c r="H17" s="5">
        <f t="shared" si="12"/>
        <v>3782500000</v>
      </c>
      <c r="I17" s="5">
        <f t="shared" si="12"/>
        <v>3782500000</v>
      </c>
      <c r="J17" s="5">
        <f t="shared" si="12"/>
        <v>3782500000</v>
      </c>
      <c r="K17" s="5">
        <f t="shared" si="12"/>
        <v>3782500000</v>
      </c>
      <c r="L17" s="5">
        <f t="shared" si="12"/>
        <v>3782500000</v>
      </c>
      <c r="M17" s="5">
        <f t="shared" si="12"/>
        <v>3016000000</v>
      </c>
      <c r="N17" s="5">
        <f t="shared" si="12"/>
        <v>3016000000</v>
      </c>
      <c r="O17" s="5">
        <f t="shared" si="12"/>
        <v>3016000000</v>
      </c>
      <c r="P17" s="5">
        <f t="shared" si="12"/>
        <v>3016000000</v>
      </c>
      <c r="Q17" s="5">
        <f t="shared" si="12"/>
        <v>3016000000</v>
      </c>
      <c r="R17" s="5">
        <f t="shared" si="12"/>
        <v>3016000000</v>
      </c>
      <c r="S17" s="5">
        <f t="shared" si="12"/>
        <v>3016000000</v>
      </c>
      <c r="T17" s="5">
        <f t="shared" si="12"/>
        <v>3016000000</v>
      </c>
      <c r="U17" s="5">
        <f t="shared" si="12"/>
        <v>3016000000</v>
      </c>
      <c r="V17" s="5">
        <f t="shared" si="12"/>
        <v>3016000000</v>
      </c>
      <c r="W17" s="5">
        <f t="shared" si="12"/>
        <v>3016000000</v>
      </c>
      <c r="X17" s="4">
        <f>SUM(C17:W17)</f>
        <v>61677125000</v>
      </c>
      <c r="Y17" s="7">
        <f>C17+NPV($Y$2,D17:W17)</f>
        <v>24671768115.784893</v>
      </c>
      <c r="Z17" s="14" t="s">
        <v>60</v>
      </c>
    </row>
    <row r="18" spans="1:27" x14ac:dyDescent="0.3">
      <c r="A18" s="1" t="s">
        <v>61</v>
      </c>
      <c r="B18" s="1" t="s">
        <v>9</v>
      </c>
      <c r="X18" s="15">
        <f>IRR(C17:W17)</f>
        <v>0.76141105623637073</v>
      </c>
      <c r="Y18" s="14" t="s">
        <v>62</v>
      </c>
    </row>
    <row r="20" spans="1:27" x14ac:dyDescent="0.3">
      <c r="A20" s="12" t="s">
        <v>10</v>
      </c>
    </row>
    <row r="21" spans="1:27" x14ac:dyDescent="0.3">
      <c r="A21" s="6" t="s">
        <v>63</v>
      </c>
    </row>
    <row r="22" spans="1:27" x14ac:dyDescent="0.3">
      <c r="A22" s="1" t="s">
        <v>11</v>
      </c>
      <c r="B22" s="1" t="s">
        <v>7</v>
      </c>
      <c r="C22" s="5">
        <v>50000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4">
        <f>SUM(C22:W22)</f>
        <v>50000</v>
      </c>
      <c r="Y22" s="4">
        <f>C22+NPV($Y$2,D22:W22)</f>
        <v>50000</v>
      </c>
      <c r="Z22" s="19">
        <f>Y22/$Y$121</f>
        <v>2.4995055621732809E-6</v>
      </c>
      <c r="AA22" s="18" t="s">
        <v>88</v>
      </c>
    </row>
    <row r="23" spans="1:27" x14ac:dyDescent="0.3">
      <c r="A23" s="6" t="s">
        <v>64</v>
      </c>
    </row>
    <row r="24" spans="1:27" x14ac:dyDescent="0.3">
      <c r="A24" s="1" t="s">
        <v>11</v>
      </c>
      <c r="B24" s="1" t="s">
        <v>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4">
        <f>SUM(C24:W24)</f>
        <v>0</v>
      </c>
      <c r="Y24" s="4">
        <f>C24+NPV($Y$2,D24:W24)</f>
        <v>0</v>
      </c>
      <c r="Z24" s="19">
        <f>Y24/$Y$122</f>
        <v>0</v>
      </c>
      <c r="AA24" s="18" t="s">
        <v>88</v>
      </c>
    </row>
    <row r="26" spans="1:27" x14ac:dyDescent="0.3">
      <c r="A26" s="12" t="s">
        <v>12</v>
      </c>
    </row>
    <row r="27" spans="1:27" x14ac:dyDescent="0.3">
      <c r="A27" s="8" t="s">
        <v>13</v>
      </c>
      <c r="B27" s="1" t="s">
        <v>14</v>
      </c>
      <c r="C27" s="3">
        <v>711</v>
      </c>
    </row>
    <row r="28" spans="1:27" x14ac:dyDescent="0.3">
      <c r="A28" s="6" t="s">
        <v>63</v>
      </c>
    </row>
    <row r="29" spans="1:27" x14ac:dyDescent="0.3">
      <c r="A29" s="8" t="s">
        <v>65</v>
      </c>
      <c r="B29" s="1" t="s">
        <v>7</v>
      </c>
      <c r="C29" s="5">
        <f>C27*30*4+C27*50*3+C27*75*3</f>
        <v>351945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4">
        <f>SUM(C29:W29)</f>
        <v>351945</v>
      </c>
      <c r="Y29" s="4">
        <f>C29+NPV($Y$2,D29:W29)</f>
        <v>351945</v>
      </c>
      <c r="Z29" s="19">
        <f>Y29/$Y$121</f>
        <v>1.7593769701581506E-5</v>
      </c>
      <c r="AA29" s="18" t="s">
        <v>89</v>
      </c>
    </row>
    <row r="30" spans="1:27" x14ac:dyDescent="0.3">
      <c r="A30" s="6" t="s">
        <v>64</v>
      </c>
    </row>
    <row r="31" spans="1:27" x14ac:dyDescent="0.3">
      <c r="A31" s="8" t="s">
        <v>65</v>
      </c>
      <c r="B31" s="1" t="s">
        <v>7</v>
      </c>
      <c r="C31" s="5">
        <f>C27*5*4+C27*8*3+C27*15*3</f>
        <v>63279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4">
        <f>SUM(C31:W31)</f>
        <v>63279</v>
      </c>
      <c r="Y31" s="4">
        <f>C31+NPV($Y$2,D31:W31)</f>
        <v>63279</v>
      </c>
      <c r="Z31" s="19">
        <f>Y31/$Y$122</f>
        <v>5.409038980871163E-6</v>
      </c>
      <c r="AA31" s="18" t="s">
        <v>89</v>
      </c>
    </row>
    <row r="33" spans="1:27" x14ac:dyDescent="0.3">
      <c r="A33" s="12" t="s">
        <v>15</v>
      </c>
    </row>
    <row r="34" spans="1:27" x14ac:dyDescent="0.3">
      <c r="A34" s="6" t="s">
        <v>63</v>
      </c>
    </row>
    <row r="35" spans="1:27" x14ac:dyDescent="0.3">
      <c r="A35" s="1" t="s">
        <v>16</v>
      </c>
      <c r="B35" s="1" t="s">
        <v>9</v>
      </c>
      <c r="C35" s="9">
        <v>0.08</v>
      </c>
      <c r="D35" s="9">
        <v>0.08</v>
      </c>
      <c r="E35" s="9">
        <v>0.08</v>
      </c>
      <c r="F35" s="9">
        <v>0.08</v>
      </c>
      <c r="G35" s="9">
        <v>0.08</v>
      </c>
      <c r="H35" s="9">
        <v>0.08</v>
      </c>
      <c r="I35" s="9">
        <v>0.08</v>
      </c>
      <c r="J35" s="9">
        <v>0.08</v>
      </c>
      <c r="K35" s="9">
        <v>0.08</v>
      </c>
      <c r="L35" s="9">
        <v>0.08</v>
      </c>
      <c r="M35" s="9">
        <v>0.08</v>
      </c>
      <c r="N35" s="9">
        <v>0.08</v>
      </c>
      <c r="O35" s="9">
        <v>0.08</v>
      </c>
      <c r="P35" s="9">
        <v>0.08</v>
      </c>
      <c r="Q35" s="9">
        <v>0.08</v>
      </c>
      <c r="R35" s="9">
        <v>0.08</v>
      </c>
      <c r="S35" s="9">
        <v>0.08</v>
      </c>
      <c r="T35" s="9">
        <v>0.08</v>
      </c>
      <c r="U35" s="9">
        <v>0.08</v>
      </c>
      <c r="V35" s="9">
        <v>0.08</v>
      </c>
      <c r="W35" s="9">
        <v>0.08</v>
      </c>
    </row>
    <row r="36" spans="1:27" x14ac:dyDescent="0.3">
      <c r="A36" s="1" t="s">
        <v>17</v>
      </c>
      <c r="B36" s="1" t="s">
        <v>7</v>
      </c>
      <c r="C36" s="5">
        <f>C8*C35</f>
        <v>0</v>
      </c>
      <c r="D36" s="5">
        <f>D8*D35</f>
        <v>227760000</v>
      </c>
      <c r="E36" s="5">
        <f t="shared" ref="E36:W36" si="13">E8*E35</f>
        <v>350400000</v>
      </c>
      <c r="F36" s="5">
        <f t="shared" si="13"/>
        <v>350400000</v>
      </c>
      <c r="G36" s="5">
        <f t="shared" si="13"/>
        <v>350400000</v>
      </c>
      <c r="H36" s="5">
        <f t="shared" si="13"/>
        <v>350400000</v>
      </c>
      <c r="I36" s="5">
        <f t="shared" si="13"/>
        <v>350400000</v>
      </c>
      <c r="J36" s="5">
        <f t="shared" si="13"/>
        <v>350400000</v>
      </c>
      <c r="K36" s="5">
        <f t="shared" si="13"/>
        <v>350400000</v>
      </c>
      <c r="L36" s="5">
        <f t="shared" si="13"/>
        <v>350400000</v>
      </c>
      <c r="M36" s="5">
        <f t="shared" si="13"/>
        <v>280320000</v>
      </c>
      <c r="N36" s="5">
        <f t="shared" si="13"/>
        <v>280320000</v>
      </c>
      <c r="O36" s="5">
        <f t="shared" si="13"/>
        <v>280320000</v>
      </c>
      <c r="P36" s="5">
        <f t="shared" si="13"/>
        <v>280320000</v>
      </c>
      <c r="Q36" s="5">
        <f t="shared" si="13"/>
        <v>280320000</v>
      </c>
      <c r="R36" s="5">
        <f t="shared" si="13"/>
        <v>280320000</v>
      </c>
      <c r="S36" s="5">
        <f t="shared" si="13"/>
        <v>280320000</v>
      </c>
      <c r="T36" s="5">
        <f t="shared" si="13"/>
        <v>280320000</v>
      </c>
      <c r="U36" s="5">
        <f t="shared" si="13"/>
        <v>280320000</v>
      </c>
      <c r="V36" s="5">
        <f t="shared" si="13"/>
        <v>280320000</v>
      </c>
      <c r="W36" s="5">
        <f t="shared" si="13"/>
        <v>280320000</v>
      </c>
      <c r="X36" s="4">
        <f>SUM(C36:W36)</f>
        <v>6114480000</v>
      </c>
      <c r="Y36" s="4">
        <f>C36+NPV($Y$2,D36:W36)</f>
        <v>2678623661.8763723</v>
      </c>
      <c r="Z36" s="19">
        <f>Y36/$Y$121</f>
        <v>0.13390469483657907</v>
      </c>
      <c r="AA36" s="18" t="s">
        <v>90</v>
      </c>
    </row>
    <row r="37" spans="1:27" x14ac:dyDescent="0.3">
      <c r="A37" s="6" t="s">
        <v>64</v>
      </c>
    </row>
    <row r="38" spans="1:27" x14ac:dyDescent="0.3">
      <c r="A38" s="1" t="s">
        <v>17</v>
      </c>
      <c r="B38" s="1" t="s">
        <v>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4">
        <f>SUM(C38:W38)</f>
        <v>0</v>
      </c>
      <c r="Y38" s="4">
        <f>C38+NPV($Y$2,D38:W38)</f>
        <v>0</v>
      </c>
      <c r="Z38" s="19">
        <f>Y38/$Y$122</f>
        <v>0</v>
      </c>
      <c r="AA38" s="18" t="s">
        <v>90</v>
      </c>
    </row>
    <row r="40" spans="1:27" x14ac:dyDescent="0.3">
      <c r="A40" s="12" t="s">
        <v>67</v>
      </c>
    </row>
    <row r="41" spans="1:27" x14ac:dyDescent="0.3">
      <c r="A41" s="1" t="s">
        <v>66</v>
      </c>
      <c r="B41" s="1" t="s">
        <v>7</v>
      </c>
      <c r="C41" s="3">
        <f>C14</f>
        <v>4200000000</v>
      </c>
      <c r="D41" s="3">
        <f t="shared" ref="D41:W41" si="14">D14</f>
        <v>405875000</v>
      </c>
      <c r="E41" s="3">
        <f>E14</f>
        <v>597500000</v>
      </c>
      <c r="F41" s="3">
        <f t="shared" si="14"/>
        <v>597500000</v>
      </c>
      <c r="G41" s="3">
        <f t="shared" si="14"/>
        <v>597500000</v>
      </c>
      <c r="H41" s="3">
        <f t="shared" si="14"/>
        <v>597500000</v>
      </c>
      <c r="I41" s="3">
        <f t="shared" si="14"/>
        <v>597500000</v>
      </c>
      <c r="J41" s="3">
        <f t="shared" si="14"/>
        <v>597500000</v>
      </c>
      <c r="K41" s="3">
        <f t="shared" si="14"/>
        <v>597500000</v>
      </c>
      <c r="L41" s="3">
        <f t="shared" si="14"/>
        <v>597500000</v>
      </c>
      <c r="M41" s="3">
        <f t="shared" si="14"/>
        <v>488000000</v>
      </c>
      <c r="N41" s="3">
        <f t="shared" si="14"/>
        <v>488000000</v>
      </c>
      <c r="O41" s="3">
        <f t="shared" si="14"/>
        <v>488000000</v>
      </c>
      <c r="P41" s="3">
        <f t="shared" si="14"/>
        <v>488000000</v>
      </c>
      <c r="Q41" s="3">
        <f t="shared" si="14"/>
        <v>488000000</v>
      </c>
      <c r="R41" s="3">
        <f t="shared" si="14"/>
        <v>488000000</v>
      </c>
      <c r="S41" s="3">
        <f t="shared" si="14"/>
        <v>488000000</v>
      </c>
      <c r="T41" s="3">
        <f t="shared" si="14"/>
        <v>488000000</v>
      </c>
      <c r="U41" s="3">
        <f t="shared" si="14"/>
        <v>488000000</v>
      </c>
      <c r="V41" s="3">
        <f t="shared" si="14"/>
        <v>488000000</v>
      </c>
      <c r="W41" s="3">
        <f t="shared" si="14"/>
        <v>488000000</v>
      </c>
      <c r="X41" s="4">
        <f>SUM(C41:W41)</f>
        <v>14753875000</v>
      </c>
      <c r="Y41" s="4">
        <f>C41+NPV($Y$2,D41:W41)</f>
        <v>8811027657.6697578</v>
      </c>
    </row>
    <row r="43" spans="1:27" x14ac:dyDescent="0.3">
      <c r="A43" s="12" t="s">
        <v>68</v>
      </c>
    </row>
    <row r="44" spans="1:27" x14ac:dyDescent="0.3">
      <c r="A44" s="6" t="s">
        <v>63</v>
      </c>
    </row>
    <row r="45" spans="1:27" x14ac:dyDescent="0.3">
      <c r="A45" s="1" t="s">
        <v>16</v>
      </c>
      <c r="B45" s="1" t="s">
        <v>9</v>
      </c>
      <c r="C45" s="9">
        <v>0.65</v>
      </c>
      <c r="D45" s="9">
        <v>0.65</v>
      </c>
      <c r="E45" s="9">
        <v>0.65</v>
      </c>
      <c r="F45" s="9">
        <v>0.65</v>
      </c>
      <c r="G45" s="9">
        <v>0.65</v>
      </c>
      <c r="H45" s="9">
        <v>0.65</v>
      </c>
      <c r="I45" s="9">
        <v>0.65</v>
      </c>
      <c r="J45" s="9">
        <v>0.65</v>
      </c>
      <c r="K45" s="9">
        <v>0.65</v>
      </c>
      <c r="L45" s="9">
        <v>0.65</v>
      </c>
      <c r="M45" s="9">
        <v>0.65</v>
      </c>
      <c r="N45" s="9">
        <v>0.65</v>
      </c>
      <c r="O45" s="9">
        <v>0.65</v>
      </c>
      <c r="P45" s="9">
        <v>0.65</v>
      </c>
      <c r="Q45" s="9">
        <v>0.65</v>
      </c>
      <c r="R45" s="9">
        <v>0.65</v>
      </c>
      <c r="S45" s="9">
        <v>0.65</v>
      </c>
      <c r="T45" s="9">
        <v>0.65</v>
      </c>
      <c r="U45" s="9">
        <v>0.65</v>
      </c>
      <c r="V45" s="9">
        <v>0.65</v>
      </c>
      <c r="W45" s="9">
        <v>0.65</v>
      </c>
    </row>
    <row r="46" spans="1:27" x14ac:dyDescent="0.3">
      <c r="A46" s="1" t="s">
        <v>18</v>
      </c>
      <c r="B46" s="1" t="s">
        <v>7</v>
      </c>
      <c r="C46" s="5">
        <f>C8*C45</f>
        <v>0</v>
      </c>
      <c r="D46" s="5">
        <f>D8*D45</f>
        <v>1850550000</v>
      </c>
      <c r="E46" s="5">
        <f t="shared" ref="E46:W46" si="15">E8*E45</f>
        <v>2847000000</v>
      </c>
      <c r="F46" s="5">
        <f t="shared" si="15"/>
        <v>2847000000</v>
      </c>
      <c r="G46" s="5">
        <f t="shared" si="15"/>
        <v>2847000000</v>
      </c>
      <c r="H46" s="5">
        <f t="shared" si="15"/>
        <v>2847000000</v>
      </c>
      <c r="I46" s="5">
        <f t="shared" si="15"/>
        <v>2847000000</v>
      </c>
      <c r="J46" s="5">
        <f t="shared" si="15"/>
        <v>2847000000</v>
      </c>
      <c r="K46" s="5">
        <f t="shared" si="15"/>
        <v>2847000000</v>
      </c>
      <c r="L46" s="5">
        <f t="shared" si="15"/>
        <v>2847000000</v>
      </c>
      <c r="M46" s="5">
        <f t="shared" si="15"/>
        <v>2277600000</v>
      </c>
      <c r="N46" s="5">
        <f t="shared" si="15"/>
        <v>2277600000</v>
      </c>
      <c r="O46" s="5">
        <f t="shared" si="15"/>
        <v>2277600000</v>
      </c>
      <c r="P46" s="5">
        <f t="shared" si="15"/>
        <v>2277600000</v>
      </c>
      <c r="Q46" s="5">
        <f t="shared" si="15"/>
        <v>2277600000</v>
      </c>
      <c r="R46" s="5">
        <f t="shared" si="15"/>
        <v>2277600000</v>
      </c>
      <c r="S46" s="5">
        <f t="shared" si="15"/>
        <v>2277600000</v>
      </c>
      <c r="T46" s="5">
        <f t="shared" si="15"/>
        <v>2277600000</v>
      </c>
      <c r="U46" s="5">
        <f t="shared" si="15"/>
        <v>2277600000</v>
      </c>
      <c r="V46" s="5">
        <f t="shared" si="15"/>
        <v>2277600000</v>
      </c>
      <c r="W46" s="5">
        <f t="shared" si="15"/>
        <v>2277600000</v>
      </c>
      <c r="X46" s="4">
        <f>SUM(C46:W46)</f>
        <v>49680150000</v>
      </c>
      <c r="Y46" s="4">
        <f t="shared" ref="Y46" si="16">C46+NPV($Y$2,D46:W46)</f>
        <v>21763817252.745522</v>
      </c>
    </row>
    <row r="47" spans="1:27" x14ac:dyDescent="0.3">
      <c r="A47" s="6" t="s">
        <v>64</v>
      </c>
    </row>
    <row r="48" spans="1:27" x14ac:dyDescent="0.3">
      <c r="A48" s="1" t="s">
        <v>16</v>
      </c>
      <c r="B48" s="1" t="s">
        <v>9</v>
      </c>
      <c r="C48" s="9">
        <v>0.75</v>
      </c>
      <c r="D48" s="9">
        <v>0.75</v>
      </c>
      <c r="E48" s="9">
        <v>0.75</v>
      </c>
      <c r="F48" s="9">
        <v>0.75</v>
      </c>
      <c r="G48" s="9">
        <v>0.75</v>
      </c>
      <c r="H48" s="9">
        <v>0.75</v>
      </c>
      <c r="I48" s="9">
        <v>0.75</v>
      </c>
      <c r="J48" s="9">
        <v>0.75</v>
      </c>
      <c r="K48" s="9">
        <v>0.75</v>
      </c>
      <c r="L48" s="9">
        <v>0.75</v>
      </c>
      <c r="M48" s="9">
        <v>0.75</v>
      </c>
      <c r="N48" s="9">
        <v>0.75</v>
      </c>
      <c r="O48" s="9">
        <v>0.75</v>
      </c>
      <c r="P48" s="9">
        <v>0.75</v>
      </c>
      <c r="Q48" s="9">
        <v>0.75</v>
      </c>
      <c r="R48" s="9">
        <v>0.75</v>
      </c>
      <c r="S48" s="9">
        <v>0.75</v>
      </c>
      <c r="T48" s="9">
        <v>0.75</v>
      </c>
      <c r="U48" s="9">
        <v>0.75</v>
      </c>
      <c r="V48" s="9">
        <v>0.75</v>
      </c>
      <c r="W48" s="9">
        <v>0.75</v>
      </c>
    </row>
    <row r="49" spans="1:27" x14ac:dyDescent="0.3">
      <c r="A49" s="1" t="s">
        <v>18</v>
      </c>
      <c r="B49" s="1" t="s">
        <v>7</v>
      </c>
      <c r="C49" s="5">
        <f>C8*C48</f>
        <v>0</v>
      </c>
      <c r="D49" s="5">
        <f>D8*D48</f>
        <v>2135250000</v>
      </c>
      <c r="E49" s="5">
        <f t="shared" ref="E49:W49" si="17">E8*E48</f>
        <v>3285000000</v>
      </c>
      <c r="F49" s="5">
        <f t="shared" si="17"/>
        <v>3285000000</v>
      </c>
      <c r="G49" s="5">
        <f t="shared" si="17"/>
        <v>3285000000</v>
      </c>
      <c r="H49" s="5">
        <f t="shared" si="17"/>
        <v>3285000000</v>
      </c>
      <c r="I49" s="5">
        <f t="shared" si="17"/>
        <v>3285000000</v>
      </c>
      <c r="J49" s="5">
        <f t="shared" si="17"/>
        <v>3285000000</v>
      </c>
      <c r="K49" s="5">
        <f t="shared" si="17"/>
        <v>3285000000</v>
      </c>
      <c r="L49" s="5">
        <f t="shared" si="17"/>
        <v>3285000000</v>
      </c>
      <c r="M49" s="5">
        <f t="shared" si="17"/>
        <v>2628000000</v>
      </c>
      <c r="N49" s="5">
        <f t="shared" si="17"/>
        <v>2628000000</v>
      </c>
      <c r="O49" s="5">
        <f t="shared" si="17"/>
        <v>2628000000</v>
      </c>
      <c r="P49" s="5">
        <f t="shared" si="17"/>
        <v>2628000000</v>
      </c>
      <c r="Q49" s="5">
        <f t="shared" si="17"/>
        <v>2628000000</v>
      </c>
      <c r="R49" s="5">
        <f t="shared" si="17"/>
        <v>2628000000</v>
      </c>
      <c r="S49" s="5">
        <f t="shared" si="17"/>
        <v>2628000000</v>
      </c>
      <c r="T49" s="5">
        <f t="shared" si="17"/>
        <v>2628000000</v>
      </c>
      <c r="U49" s="5">
        <f t="shared" si="17"/>
        <v>2628000000</v>
      </c>
      <c r="V49" s="5">
        <f t="shared" si="17"/>
        <v>2628000000</v>
      </c>
      <c r="W49" s="5">
        <f t="shared" si="17"/>
        <v>2628000000</v>
      </c>
      <c r="X49" s="4">
        <f>SUM(C49:W49)</f>
        <v>57323250000</v>
      </c>
      <c r="Y49" s="4">
        <f t="shared" ref="Y49" si="18">C49+NPV($Y$2,D49:W49)</f>
        <v>25112096830.090984</v>
      </c>
    </row>
    <row r="51" spans="1:27" x14ac:dyDescent="0.3">
      <c r="A51" s="12" t="s">
        <v>69</v>
      </c>
    </row>
    <row r="52" spans="1:27" x14ac:dyDescent="0.3">
      <c r="A52" s="6" t="s">
        <v>63</v>
      </c>
    </row>
    <row r="53" spans="1:27" x14ac:dyDescent="0.3">
      <c r="A53" s="1" t="s">
        <v>28</v>
      </c>
      <c r="B53" s="1" t="s">
        <v>7</v>
      </c>
      <c r="C53" s="3">
        <f>C8-C41-C36</f>
        <v>-4200000000</v>
      </c>
      <c r="D53" s="3">
        <f>D8-D41-D36</f>
        <v>2213365000</v>
      </c>
      <c r="E53" s="3">
        <f t="shared" ref="E53:W53" si="19">E8-E41-E36</f>
        <v>3432100000</v>
      </c>
      <c r="F53" s="3">
        <f t="shared" si="19"/>
        <v>3432100000</v>
      </c>
      <c r="G53" s="3">
        <f t="shared" si="19"/>
        <v>3432100000</v>
      </c>
      <c r="H53" s="3">
        <f t="shared" si="19"/>
        <v>3432100000</v>
      </c>
      <c r="I53" s="3">
        <f t="shared" si="19"/>
        <v>3432100000</v>
      </c>
      <c r="J53" s="3">
        <f t="shared" si="19"/>
        <v>3432100000</v>
      </c>
      <c r="K53" s="3">
        <f t="shared" si="19"/>
        <v>3432100000</v>
      </c>
      <c r="L53" s="3">
        <f t="shared" si="19"/>
        <v>3432100000</v>
      </c>
      <c r="M53" s="3">
        <f t="shared" si="19"/>
        <v>2735680000</v>
      </c>
      <c r="N53" s="3">
        <f t="shared" si="19"/>
        <v>2735680000</v>
      </c>
      <c r="O53" s="3">
        <f t="shared" si="19"/>
        <v>2735680000</v>
      </c>
      <c r="P53" s="3">
        <f t="shared" si="19"/>
        <v>2735680000</v>
      </c>
      <c r="Q53" s="3">
        <f t="shared" si="19"/>
        <v>2735680000</v>
      </c>
      <c r="R53" s="3">
        <f t="shared" si="19"/>
        <v>2735680000</v>
      </c>
      <c r="S53" s="3">
        <f t="shared" si="19"/>
        <v>2735680000</v>
      </c>
      <c r="T53" s="3">
        <f t="shared" si="19"/>
        <v>2735680000</v>
      </c>
      <c r="U53" s="3">
        <f t="shared" si="19"/>
        <v>2735680000</v>
      </c>
      <c r="V53" s="3">
        <f t="shared" si="19"/>
        <v>2735680000</v>
      </c>
      <c r="W53" s="3">
        <f t="shared" si="19"/>
        <v>2735680000</v>
      </c>
      <c r="X53" s="4">
        <f>SUM(C53:W53)</f>
        <v>55562645000</v>
      </c>
      <c r="Y53" s="4">
        <f>C53+NPV($Y$2,D53:W53)</f>
        <v>21993144453.908524</v>
      </c>
    </row>
    <row r="54" spans="1:27" x14ac:dyDescent="0.3">
      <c r="A54" s="1" t="s">
        <v>70</v>
      </c>
      <c r="C54" s="17">
        <v>0</v>
      </c>
      <c r="D54" s="16">
        <f>(SUM($C8:D8)-SUM($C36:D36))/SUM($C11:D11)</f>
        <v>0.61629176470588232</v>
      </c>
      <c r="E54" s="16">
        <f>(SUM($C8:E8)-SUM($C36:E36))/SUM($C11:E11)</f>
        <v>1.5462418604651162</v>
      </c>
      <c r="F54" s="16">
        <f>(SUM($C8:F8)-SUM($C36:F36))/SUM($C11:F11)</f>
        <v>2.4548137931034484</v>
      </c>
      <c r="G54" s="16">
        <f>(SUM($C8:G8)-SUM($C36:G36))/SUM($C11:G11)</f>
        <v>3.3427363636363636</v>
      </c>
      <c r="H54" s="16">
        <f>(SUM($C8:H8)-SUM($C36:H36))/SUM($C11:H11)</f>
        <v>4.2107056179775277</v>
      </c>
      <c r="I54" s="16">
        <f>(SUM($C8:I8)-SUM($C36:I36))/SUM($C11:I11)</f>
        <v>5.0593866666666667</v>
      </c>
      <c r="J54" s="16">
        <f>(SUM($C8:J8)-SUM($C36:J36))/SUM($C11:J11)</f>
        <v>5.8894153846153845</v>
      </c>
      <c r="K54" s="16">
        <f>(SUM($C8:K8)-SUM($C36:K36))/SUM($C11:K11)</f>
        <v>6.7013999999999996</v>
      </c>
      <c r="L54" s="16">
        <f>(SUM($C8:L8)-SUM($C36:L36))/SUM($C11:L11)</f>
        <v>7.4959225806451615</v>
      </c>
      <c r="M54" s="16">
        <f>(SUM($C8:M8)-SUM($C36:M36))/SUM($C11:M11)</f>
        <v>8.1020680851063833</v>
      </c>
      <c r="N54" s="16">
        <f>(SUM($C8:N8)-SUM($C36:N36))/SUM($C11:N11)</f>
        <v>8.6954526315789469</v>
      </c>
      <c r="O54" s="16">
        <f>(SUM($C8:O8)-SUM($C36:O36))/SUM($C11:O11)</f>
        <v>9.2764749999999996</v>
      </c>
      <c r="P54" s="16">
        <f>(SUM($C8:P8)-SUM($C36:P36))/SUM($C11:P11)</f>
        <v>9.8455175257731966</v>
      </c>
      <c r="Q54" s="16">
        <f>(SUM($C8:Q8)-SUM($C36:Q36))/SUM($C11:Q11)</f>
        <v>10.402946938775511</v>
      </c>
      <c r="R54" s="16">
        <f>(SUM($C8:R8)-SUM($C36:R36))/SUM($C11:R11)</f>
        <v>10.949115151515151</v>
      </c>
      <c r="S54" s="16">
        <f>(SUM($C8:S8)-SUM($C36:S36))/SUM($C11:S11)</f>
        <v>11.484360000000001</v>
      </c>
      <c r="T54" s="16">
        <f>(SUM($C8:T8)-SUM($C36:T36))/SUM($C11:T11)</f>
        <v>12.00900594059406</v>
      </c>
      <c r="U54" s="16">
        <f>(SUM($C8:U8)-SUM($C36:U36))/SUM($C11:U11)</f>
        <v>12.523364705882353</v>
      </c>
      <c r="V54" s="16">
        <f>(SUM($C8:V8)-SUM($C36:V36))/SUM($C11:V11)</f>
        <v>13.027735922330097</v>
      </c>
      <c r="W54" s="16">
        <f>(SUM($C8:W8)-SUM($C36:W36))/SUM($C11:W11)</f>
        <v>13.522407692307691</v>
      </c>
    </row>
    <row r="55" spans="1:27" x14ac:dyDescent="0.3">
      <c r="A55" s="14" t="s">
        <v>72</v>
      </c>
    </row>
    <row r="56" spans="1:27" x14ac:dyDescent="0.3">
      <c r="A56" s="14" t="s">
        <v>71</v>
      </c>
    </row>
    <row r="57" spans="1:27" x14ac:dyDescent="0.3">
      <c r="A57" s="1" t="s">
        <v>16</v>
      </c>
      <c r="B57" s="1" t="s">
        <v>9</v>
      </c>
      <c r="C57" s="9">
        <f>IF(C54&lt;1,40%,IF(C54&lt;2,45%,IF(C54&lt;3,55%,60%)))</f>
        <v>0.4</v>
      </c>
      <c r="D57" s="9">
        <f t="shared" ref="D57:W57" si="20">IF(D54&lt;1,40%,IF(D54&lt;2,45%,IF(D54&lt;3,55%,60%)))</f>
        <v>0.4</v>
      </c>
      <c r="E57" s="9">
        <f t="shared" si="20"/>
        <v>0.45</v>
      </c>
      <c r="F57" s="9">
        <f t="shared" si="20"/>
        <v>0.55000000000000004</v>
      </c>
      <c r="G57" s="9">
        <f t="shared" si="20"/>
        <v>0.6</v>
      </c>
      <c r="H57" s="9">
        <f t="shared" si="20"/>
        <v>0.6</v>
      </c>
      <c r="I57" s="9">
        <f t="shared" si="20"/>
        <v>0.6</v>
      </c>
      <c r="J57" s="9">
        <f t="shared" si="20"/>
        <v>0.6</v>
      </c>
      <c r="K57" s="9">
        <f t="shared" si="20"/>
        <v>0.6</v>
      </c>
      <c r="L57" s="9">
        <f t="shared" si="20"/>
        <v>0.6</v>
      </c>
      <c r="M57" s="9">
        <f t="shared" si="20"/>
        <v>0.6</v>
      </c>
      <c r="N57" s="9">
        <f t="shared" si="20"/>
        <v>0.6</v>
      </c>
      <c r="O57" s="9">
        <f t="shared" si="20"/>
        <v>0.6</v>
      </c>
      <c r="P57" s="9">
        <f t="shared" si="20"/>
        <v>0.6</v>
      </c>
      <c r="Q57" s="9">
        <f t="shared" si="20"/>
        <v>0.6</v>
      </c>
      <c r="R57" s="9">
        <f t="shared" si="20"/>
        <v>0.6</v>
      </c>
      <c r="S57" s="9">
        <f t="shared" si="20"/>
        <v>0.6</v>
      </c>
      <c r="T57" s="9">
        <f t="shared" si="20"/>
        <v>0.6</v>
      </c>
      <c r="U57" s="9">
        <f t="shared" si="20"/>
        <v>0.6</v>
      </c>
      <c r="V57" s="9">
        <f t="shared" si="20"/>
        <v>0.6</v>
      </c>
      <c r="W57" s="9">
        <f t="shared" si="20"/>
        <v>0.6</v>
      </c>
    </row>
    <row r="58" spans="1:27" x14ac:dyDescent="0.3">
      <c r="A58" s="1" t="s">
        <v>20</v>
      </c>
      <c r="B58" s="1" t="s">
        <v>7</v>
      </c>
      <c r="C58" s="5">
        <f>IF(C53&lt;0,0,C53*C57)</f>
        <v>0</v>
      </c>
      <c r="D58" s="5">
        <f>IF(D53&lt;0,0,D53*D57)</f>
        <v>885346000</v>
      </c>
      <c r="E58" s="5">
        <f t="shared" ref="E58:W58" si="21">IF(E53&lt;0,0,E53*E57)</f>
        <v>1544445000</v>
      </c>
      <c r="F58" s="5">
        <f t="shared" si="21"/>
        <v>1887655000.0000002</v>
      </c>
      <c r="G58" s="5">
        <f t="shared" si="21"/>
        <v>2059260000</v>
      </c>
      <c r="H58" s="5">
        <f t="shared" si="21"/>
        <v>2059260000</v>
      </c>
      <c r="I58" s="5">
        <f t="shared" si="21"/>
        <v>2059260000</v>
      </c>
      <c r="J58" s="5">
        <f t="shared" si="21"/>
        <v>2059260000</v>
      </c>
      <c r="K58" s="5">
        <f t="shared" si="21"/>
        <v>2059260000</v>
      </c>
      <c r="L58" s="5">
        <f t="shared" si="21"/>
        <v>2059260000</v>
      </c>
      <c r="M58" s="5">
        <f t="shared" si="21"/>
        <v>1641408000</v>
      </c>
      <c r="N58" s="5">
        <f t="shared" si="21"/>
        <v>1641408000</v>
      </c>
      <c r="O58" s="5">
        <f t="shared" si="21"/>
        <v>1641408000</v>
      </c>
      <c r="P58" s="5">
        <f t="shared" si="21"/>
        <v>1641408000</v>
      </c>
      <c r="Q58" s="5">
        <f t="shared" si="21"/>
        <v>1641408000</v>
      </c>
      <c r="R58" s="5">
        <f t="shared" si="21"/>
        <v>1641408000</v>
      </c>
      <c r="S58" s="5">
        <f t="shared" si="21"/>
        <v>1641408000</v>
      </c>
      <c r="T58" s="5">
        <f t="shared" si="21"/>
        <v>1641408000</v>
      </c>
      <c r="U58" s="5">
        <f t="shared" si="21"/>
        <v>1641408000</v>
      </c>
      <c r="V58" s="5">
        <f t="shared" si="21"/>
        <v>1641408000</v>
      </c>
      <c r="W58" s="5">
        <f t="shared" si="21"/>
        <v>1641408000</v>
      </c>
      <c r="X58" s="4">
        <f>SUM(C58:W58)</f>
        <v>34728494000</v>
      </c>
      <c r="Y58" s="4">
        <f>C58+NPV($Y$2,D58:W58)</f>
        <v>14759060353.787634</v>
      </c>
      <c r="Z58" s="19">
        <f>Y58/$Y$121</f>
        <v>0.73780706893486681</v>
      </c>
      <c r="AA58" s="18" t="s">
        <v>91</v>
      </c>
    </row>
    <row r="59" spans="1:27" x14ac:dyDescent="0.3">
      <c r="A59" s="6" t="s">
        <v>64</v>
      </c>
    </row>
    <row r="60" spans="1:27" x14ac:dyDescent="0.3">
      <c r="A60" s="1" t="s">
        <v>28</v>
      </c>
      <c r="B60" s="1" t="s">
        <v>7</v>
      </c>
      <c r="C60" s="3">
        <f>C8-C41-C38</f>
        <v>-4200000000</v>
      </c>
      <c r="D60" s="3">
        <f>D8-D41-D38</f>
        <v>2441125000</v>
      </c>
      <c r="E60" s="3">
        <f t="shared" ref="E60:W60" si="22">E8-E41-E38</f>
        <v>3782500000</v>
      </c>
      <c r="F60" s="3">
        <f t="shared" si="22"/>
        <v>3782500000</v>
      </c>
      <c r="G60" s="3">
        <f t="shared" si="22"/>
        <v>3782500000</v>
      </c>
      <c r="H60" s="3">
        <f t="shared" si="22"/>
        <v>3782500000</v>
      </c>
      <c r="I60" s="3">
        <f t="shared" si="22"/>
        <v>3782500000</v>
      </c>
      <c r="J60" s="3">
        <f t="shared" si="22"/>
        <v>3782500000</v>
      </c>
      <c r="K60" s="3">
        <f t="shared" si="22"/>
        <v>3782500000</v>
      </c>
      <c r="L60" s="3">
        <f t="shared" si="22"/>
        <v>3782500000</v>
      </c>
      <c r="M60" s="3">
        <f t="shared" si="22"/>
        <v>3016000000</v>
      </c>
      <c r="N60" s="3">
        <f t="shared" si="22"/>
        <v>3016000000</v>
      </c>
      <c r="O60" s="3">
        <f t="shared" si="22"/>
        <v>3016000000</v>
      </c>
      <c r="P60" s="3">
        <f t="shared" si="22"/>
        <v>3016000000</v>
      </c>
      <c r="Q60" s="3">
        <f t="shared" si="22"/>
        <v>3016000000</v>
      </c>
      <c r="R60" s="3">
        <f t="shared" si="22"/>
        <v>3016000000</v>
      </c>
      <c r="S60" s="3">
        <f t="shared" si="22"/>
        <v>3016000000</v>
      </c>
      <c r="T60" s="3">
        <f t="shared" si="22"/>
        <v>3016000000</v>
      </c>
      <c r="U60" s="3">
        <f t="shared" si="22"/>
        <v>3016000000</v>
      </c>
      <c r="V60" s="3">
        <f t="shared" si="22"/>
        <v>3016000000</v>
      </c>
      <c r="W60" s="3">
        <f t="shared" si="22"/>
        <v>3016000000</v>
      </c>
      <c r="X60" s="4">
        <f>SUM(C60:W60)</f>
        <v>61677125000</v>
      </c>
      <c r="Y60" s="4">
        <f>C60+NPV($Y$2,D60:W60)</f>
        <v>24671768115.784893</v>
      </c>
    </row>
    <row r="61" spans="1:27" x14ac:dyDescent="0.3">
      <c r="A61" s="1" t="s">
        <v>16</v>
      </c>
      <c r="B61" s="1" t="s">
        <v>9</v>
      </c>
      <c r="C61" s="9">
        <f t="shared" ref="C61:W61" si="23">IF(C5&lt;=50000,15%,IF(C5&lt;=100000,20%,IF(C5&lt;=150000,25%,IF(C5&lt;=200000,30%,40%))))</f>
        <v>0.15</v>
      </c>
      <c r="D61" s="9">
        <f t="shared" si="23"/>
        <v>0.2</v>
      </c>
      <c r="E61" s="9">
        <f t="shared" si="23"/>
        <v>0.2</v>
      </c>
      <c r="F61" s="9">
        <f t="shared" si="23"/>
        <v>0.2</v>
      </c>
      <c r="G61" s="9">
        <f t="shared" si="23"/>
        <v>0.2</v>
      </c>
      <c r="H61" s="9">
        <f t="shared" si="23"/>
        <v>0.2</v>
      </c>
      <c r="I61" s="9">
        <f t="shared" si="23"/>
        <v>0.2</v>
      </c>
      <c r="J61" s="9">
        <f t="shared" si="23"/>
        <v>0.2</v>
      </c>
      <c r="K61" s="9">
        <f t="shared" si="23"/>
        <v>0.2</v>
      </c>
      <c r="L61" s="9">
        <f t="shared" si="23"/>
        <v>0.2</v>
      </c>
      <c r="M61" s="9">
        <f t="shared" si="23"/>
        <v>0.2</v>
      </c>
      <c r="N61" s="9">
        <f t="shared" si="23"/>
        <v>0.2</v>
      </c>
      <c r="O61" s="9">
        <f t="shared" si="23"/>
        <v>0.2</v>
      </c>
      <c r="P61" s="9">
        <f t="shared" si="23"/>
        <v>0.2</v>
      </c>
      <c r="Q61" s="9">
        <f t="shared" si="23"/>
        <v>0.2</v>
      </c>
      <c r="R61" s="9">
        <f t="shared" si="23"/>
        <v>0.2</v>
      </c>
      <c r="S61" s="9">
        <f t="shared" si="23"/>
        <v>0.2</v>
      </c>
      <c r="T61" s="9">
        <f t="shared" si="23"/>
        <v>0.2</v>
      </c>
      <c r="U61" s="9">
        <f t="shared" si="23"/>
        <v>0.2</v>
      </c>
      <c r="V61" s="9">
        <f t="shared" si="23"/>
        <v>0.2</v>
      </c>
      <c r="W61" s="9">
        <f t="shared" si="23"/>
        <v>0.2</v>
      </c>
    </row>
    <row r="62" spans="1:27" x14ac:dyDescent="0.3">
      <c r="A62" s="1" t="s">
        <v>20</v>
      </c>
      <c r="B62" s="1" t="s">
        <v>7</v>
      </c>
      <c r="C62" s="5">
        <f t="shared" ref="C62:W62" si="24">IF(C60&lt;0,0,C60*C61)</f>
        <v>0</v>
      </c>
      <c r="D62" s="5">
        <f>IF(D60&lt;0,0,D60*D61)</f>
        <v>488225000</v>
      </c>
      <c r="E62" s="5">
        <f t="shared" si="24"/>
        <v>756500000</v>
      </c>
      <c r="F62" s="5">
        <f t="shared" si="24"/>
        <v>756500000</v>
      </c>
      <c r="G62" s="5">
        <f t="shared" si="24"/>
        <v>756500000</v>
      </c>
      <c r="H62" s="5">
        <f t="shared" si="24"/>
        <v>756500000</v>
      </c>
      <c r="I62" s="5">
        <f t="shared" si="24"/>
        <v>756500000</v>
      </c>
      <c r="J62" s="5">
        <f t="shared" si="24"/>
        <v>756500000</v>
      </c>
      <c r="K62" s="5">
        <f t="shared" si="24"/>
        <v>756500000</v>
      </c>
      <c r="L62" s="5">
        <f t="shared" si="24"/>
        <v>756500000</v>
      </c>
      <c r="M62" s="5">
        <f t="shared" si="24"/>
        <v>603200000</v>
      </c>
      <c r="N62" s="5">
        <f t="shared" si="24"/>
        <v>603200000</v>
      </c>
      <c r="O62" s="5">
        <f t="shared" si="24"/>
        <v>603200000</v>
      </c>
      <c r="P62" s="5">
        <f t="shared" si="24"/>
        <v>603200000</v>
      </c>
      <c r="Q62" s="5">
        <f t="shared" si="24"/>
        <v>603200000</v>
      </c>
      <c r="R62" s="5">
        <f t="shared" si="24"/>
        <v>603200000</v>
      </c>
      <c r="S62" s="5">
        <f t="shared" si="24"/>
        <v>603200000</v>
      </c>
      <c r="T62" s="5">
        <f t="shared" si="24"/>
        <v>603200000</v>
      </c>
      <c r="U62" s="5">
        <f t="shared" si="24"/>
        <v>603200000</v>
      </c>
      <c r="V62" s="5">
        <f t="shared" si="24"/>
        <v>603200000</v>
      </c>
      <c r="W62" s="5">
        <f t="shared" si="24"/>
        <v>603200000</v>
      </c>
      <c r="X62" s="4">
        <f>SUM(C62:W62)</f>
        <v>13175425000</v>
      </c>
      <c r="Y62" s="4">
        <f>C62+NPV($Y$2,D62:W62)</f>
        <v>5774353623.1569786</v>
      </c>
      <c r="Z62" s="19">
        <f>Y62/$Y$122</f>
        <v>0.49358719064761974</v>
      </c>
      <c r="AA62" s="18" t="s">
        <v>91</v>
      </c>
    </row>
    <row r="64" spans="1:27" x14ac:dyDescent="0.3">
      <c r="A64" s="12" t="s">
        <v>73</v>
      </c>
    </row>
    <row r="65" spans="1:27" x14ac:dyDescent="0.3">
      <c r="A65" s="6" t="s">
        <v>63</v>
      </c>
    </row>
    <row r="66" spans="1:27" x14ac:dyDescent="0.3">
      <c r="A66" s="1" t="s">
        <v>74</v>
      </c>
      <c r="B66" s="1" t="s">
        <v>7</v>
      </c>
      <c r="C66" s="3">
        <f>C8*60%</f>
        <v>0</v>
      </c>
      <c r="D66" s="3">
        <f>D8*60%</f>
        <v>1708200000</v>
      </c>
      <c r="E66" s="3">
        <f t="shared" ref="E66:W66" si="25">E8*60%</f>
        <v>2628000000</v>
      </c>
      <c r="F66" s="3">
        <f t="shared" si="25"/>
        <v>2628000000</v>
      </c>
      <c r="G66" s="3">
        <f t="shared" si="25"/>
        <v>2628000000</v>
      </c>
      <c r="H66" s="3">
        <f t="shared" si="25"/>
        <v>2628000000</v>
      </c>
      <c r="I66" s="3">
        <f t="shared" si="25"/>
        <v>2628000000</v>
      </c>
      <c r="J66" s="3">
        <f t="shared" si="25"/>
        <v>2628000000</v>
      </c>
      <c r="K66" s="3">
        <f t="shared" si="25"/>
        <v>2628000000</v>
      </c>
      <c r="L66" s="3">
        <f t="shared" si="25"/>
        <v>2628000000</v>
      </c>
      <c r="M66" s="3">
        <f t="shared" si="25"/>
        <v>2102400000</v>
      </c>
      <c r="N66" s="3">
        <f t="shared" si="25"/>
        <v>2102400000</v>
      </c>
      <c r="O66" s="3">
        <f t="shared" si="25"/>
        <v>2102400000</v>
      </c>
      <c r="P66" s="3">
        <f t="shared" si="25"/>
        <v>2102400000</v>
      </c>
      <c r="Q66" s="3">
        <f t="shared" si="25"/>
        <v>2102400000</v>
      </c>
      <c r="R66" s="3">
        <f t="shared" si="25"/>
        <v>2102400000</v>
      </c>
      <c r="S66" s="3">
        <f t="shared" si="25"/>
        <v>2102400000</v>
      </c>
      <c r="T66" s="3">
        <f t="shared" si="25"/>
        <v>2102400000</v>
      </c>
      <c r="U66" s="3">
        <f t="shared" si="25"/>
        <v>2102400000</v>
      </c>
      <c r="V66" s="3">
        <f t="shared" si="25"/>
        <v>2102400000</v>
      </c>
      <c r="W66" s="3">
        <f t="shared" si="25"/>
        <v>2102400000</v>
      </c>
    </row>
    <row r="67" spans="1:27" x14ac:dyDescent="0.3">
      <c r="A67" s="1" t="s">
        <v>16</v>
      </c>
      <c r="B67" s="1" t="s">
        <v>9</v>
      </c>
      <c r="C67" s="9">
        <v>0.01</v>
      </c>
      <c r="D67" s="9">
        <v>0.01</v>
      </c>
      <c r="E67" s="9">
        <v>0.01</v>
      </c>
      <c r="F67" s="9">
        <v>0.01</v>
      </c>
      <c r="G67" s="9">
        <v>0.01</v>
      </c>
      <c r="H67" s="9">
        <v>0.01</v>
      </c>
      <c r="I67" s="9">
        <v>0.01</v>
      </c>
      <c r="J67" s="9">
        <v>0.01</v>
      </c>
      <c r="K67" s="9">
        <v>0.01</v>
      </c>
      <c r="L67" s="9">
        <v>0.01</v>
      </c>
      <c r="M67" s="9">
        <v>0.01</v>
      </c>
      <c r="N67" s="9">
        <v>0.01</v>
      </c>
      <c r="O67" s="9">
        <v>0.01</v>
      </c>
      <c r="P67" s="9">
        <v>0.01</v>
      </c>
      <c r="Q67" s="9">
        <v>0.01</v>
      </c>
      <c r="R67" s="9">
        <v>0.01</v>
      </c>
      <c r="S67" s="9">
        <v>0.01</v>
      </c>
      <c r="T67" s="9">
        <v>0.01</v>
      </c>
      <c r="U67" s="9">
        <v>0.01</v>
      </c>
      <c r="V67" s="9">
        <v>0.01</v>
      </c>
      <c r="W67" s="9">
        <v>0.01</v>
      </c>
    </row>
    <row r="68" spans="1:27" x14ac:dyDescent="0.3">
      <c r="A68" s="1" t="s">
        <v>75</v>
      </c>
      <c r="B68" s="1" t="s">
        <v>7</v>
      </c>
      <c r="C68" s="5">
        <f>C66*C67</f>
        <v>0</v>
      </c>
      <c r="D68" s="5">
        <f>D66*D67</f>
        <v>17082000</v>
      </c>
      <c r="E68" s="5">
        <f t="shared" ref="E68:W68" si="26">E66*E67</f>
        <v>26280000</v>
      </c>
      <c r="F68" s="5">
        <f t="shared" si="26"/>
        <v>26280000</v>
      </c>
      <c r="G68" s="5">
        <f t="shared" si="26"/>
        <v>26280000</v>
      </c>
      <c r="H68" s="5">
        <f t="shared" si="26"/>
        <v>26280000</v>
      </c>
      <c r="I68" s="5">
        <f t="shared" si="26"/>
        <v>26280000</v>
      </c>
      <c r="J68" s="5">
        <f t="shared" si="26"/>
        <v>26280000</v>
      </c>
      <c r="K68" s="5">
        <f t="shared" si="26"/>
        <v>26280000</v>
      </c>
      <c r="L68" s="5">
        <f t="shared" si="26"/>
        <v>26280000</v>
      </c>
      <c r="M68" s="5">
        <f t="shared" si="26"/>
        <v>21024000</v>
      </c>
      <c r="N68" s="5">
        <f t="shared" si="26"/>
        <v>21024000</v>
      </c>
      <c r="O68" s="5">
        <f t="shared" si="26"/>
        <v>21024000</v>
      </c>
      <c r="P68" s="5">
        <f t="shared" si="26"/>
        <v>21024000</v>
      </c>
      <c r="Q68" s="5">
        <f t="shared" si="26"/>
        <v>21024000</v>
      </c>
      <c r="R68" s="5">
        <f t="shared" si="26"/>
        <v>21024000</v>
      </c>
      <c r="S68" s="5">
        <f t="shared" si="26"/>
        <v>21024000</v>
      </c>
      <c r="T68" s="5">
        <f t="shared" si="26"/>
        <v>21024000</v>
      </c>
      <c r="U68" s="5">
        <f t="shared" si="26"/>
        <v>21024000</v>
      </c>
      <c r="V68" s="5">
        <f t="shared" si="26"/>
        <v>21024000</v>
      </c>
      <c r="W68" s="5">
        <f t="shared" si="26"/>
        <v>21024000</v>
      </c>
      <c r="X68" s="4">
        <f>SUM(C68:W68)</f>
        <v>458586000</v>
      </c>
      <c r="Y68" s="4">
        <f>C68+NPV($Y$2,D68:W68)</f>
        <v>200896774.64072791</v>
      </c>
      <c r="Z68" s="19">
        <f>Y68/$Y$121</f>
        <v>1.0042852112743431E-2</v>
      </c>
      <c r="AA68" s="18" t="s">
        <v>92</v>
      </c>
    </row>
    <row r="69" spans="1:27" x14ac:dyDescent="0.3">
      <c r="A69" s="6" t="s">
        <v>64</v>
      </c>
    </row>
    <row r="70" spans="1:27" x14ac:dyDescent="0.3">
      <c r="A70" s="1" t="s">
        <v>75</v>
      </c>
      <c r="B70" s="1" t="s">
        <v>7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4">
        <f>SUM(C70:W70)</f>
        <v>0</v>
      </c>
      <c r="Y70" s="4">
        <f>C70+NPV($Y$2,D70:W70)</f>
        <v>0</v>
      </c>
      <c r="Z70" s="19">
        <f>Y70/$Y$122</f>
        <v>0</v>
      </c>
      <c r="AA70" s="18" t="s">
        <v>92</v>
      </c>
    </row>
    <row r="72" spans="1:27" x14ac:dyDescent="0.3">
      <c r="A72" s="12" t="s">
        <v>76</v>
      </c>
    </row>
    <row r="73" spans="1:27" x14ac:dyDescent="0.3">
      <c r="A73" s="1" t="s">
        <v>29</v>
      </c>
      <c r="B73" s="1" t="s">
        <v>7</v>
      </c>
      <c r="C73" s="3">
        <f>$C$11/10</f>
        <v>420000000</v>
      </c>
      <c r="D73" s="3">
        <f t="shared" ref="D73:L73" si="27">$C$11/10</f>
        <v>420000000</v>
      </c>
      <c r="E73" s="3">
        <f t="shared" si="27"/>
        <v>420000000</v>
      </c>
      <c r="F73" s="3">
        <f t="shared" si="27"/>
        <v>420000000</v>
      </c>
      <c r="G73" s="3">
        <f t="shared" si="27"/>
        <v>420000000</v>
      </c>
      <c r="H73" s="3">
        <f t="shared" si="27"/>
        <v>420000000</v>
      </c>
      <c r="I73" s="3">
        <f t="shared" si="27"/>
        <v>420000000</v>
      </c>
      <c r="J73" s="3">
        <f t="shared" si="27"/>
        <v>420000000</v>
      </c>
      <c r="K73" s="3">
        <f t="shared" si="27"/>
        <v>420000000</v>
      </c>
      <c r="L73" s="3">
        <f t="shared" si="27"/>
        <v>420000000</v>
      </c>
    </row>
    <row r="74" spans="1:27" x14ac:dyDescent="0.3">
      <c r="A74" s="1" t="s">
        <v>30</v>
      </c>
      <c r="B74" s="1" t="s">
        <v>7</v>
      </c>
      <c r="D74" s="3">
        <f>$D$11/10</f>
        <v>5000000</v>
      </c>
      <c r="E74" s="3">
        <f t="shared" ref="E74:M74" si="28">$D$11/10</f>
        <v>5000000</v>
      </c>
      <c r="F74" s="3">
        <f t="shared" si="28"/>
        <v>5000000</v>
      </c>
      <c r="G74" s="3">
        <f t="shared" si="28"/>
        <v>5000000</v>
      </c>
      <c r="H74" s="3">
        <f t="shared" si="28"/>
        <v>5000000</v>
      </c>
      <c r="I74" s="3">
        <f t="shared" si="28"/>
        <v>5000000</v>
      </c>
      <c r="J74" s="3">
        <f t="shared" si="28"/>
        <v>5000000</v>
      </c>
      <c r="K74" s="3">
        <f t="shared" si="28"/>
        <v>5000000</v>
      </c>
      <c r="L74" s="3">
        <f t="shared" si="28"/>
        <v>5000000</v>
      </c>
      <c r="M74" s="3">
        <f t="shared" si="28"/>
        <v>5000000</v>
      </c>
    </row>
    <row r="75" spans="1:27" x14ac:dyDescent="0.3">
      <c r="A75" s="1" t="s">
        <v>31</v>
      </c>
      <c r="B75" s="1" t="s">
        <v>7</v>
      </c>
      <c r="E75" s="3">
        <f>$E$11/10</f>
        <v>5000000</v>
      </c>
      <c r="F75" s="3">
        <f t="shared" ref="F75:N75" si="29">$E$11/10</f>
        <v>5000000</v>
      </c>
      <c r="G75" s="3">
        <f t="shared" si="29"/>
        <v>5000000</v>
      </c>
      <c r="H75" s="3">
        <f t="shared" si="29"/>
        <v>5000000</v>
      </c>
      <c r="I75" s="3">
        <f t="shared" si="29"/>
        <v>5000000</v>
      </c>
      <c r="J75" s="3">
        <f t="shared" si="29"/>
        <v>5000000</v>
      </c>
      <c r="K75" s="3">
        <f t="shared" si="29"/>
        <v>5000000</v>
      </c>
      <c r="L75" s="3">
        <f t="shared" si="29"/>
        <v>5000000</v>
      </c>
      <c r="M75" s="3">
        <f t="shared" si="29"/>
        <v>5000000</v>
      </c>
      <c r="N75" s="3">
        <f t="shared" si="29"/>
        <v>5000000</v>
      </c>
    </row>
    <row r="76" spans="1:27" x14ac:dyDescent="0.3">
      <c r="A76" s="1" t="s">
        <v>32</v>
      </c>
      <c r="B76" s="1" t="s">
        <v>7</v>
      </c>
      <c r="F76" s="3">
        <f>$F$11/10</f>
        <v>5000000</v>
      </c>
      <c r="G76" s="3">
        <f t="shared" ref="G76:O76" si="30">$F$11/10</f>
        <v>5000000</v>
      </c>
      <c r="H76" s="3">
        <f t="shared" si="30"/>
        <v>5000000</v>
      </c>
      <c r="I76" s="3">
        <f t="shared" si="30"/>
        <v>5000000</v>
      </c>
      <c r="J76" s="3">
        <f t="shared" si="30"/>
        <v>5000000</v>
      </c>
      <c r="K76" s="3">
        <f t="shared" si="30"/>
        <v>5000000</v>
      </c>
      <c r="L76" s="3">
        <f t="shared" si="30"/>
        <v>5000000</v>
      </c>
      <c r="M76" s="3">
        <f t="shared" si="30"/>
        <v>5000000</v>
      </c>
      <c r="N76" s="3">
        <f t="shared" si="30"/>
        <v>5000000</v>
      </c>
      <c r="O76" s="3">
        <f t="shared" si="30"/>
        <v>5000000</v>
      </c>
    </row>
    <row r="77" spans="1:27" x14ac:dyDescent="0.3">
      <c r="A77" s="1" t="s">
        <v>33</v>
      </c>
      <c r="B77" s="1" t="s">
        <v>7</v>
      </c>
      <c r="G77" s="3">
        <f>$G$11/10</f>
        <v>5000000</v>
      </c>
      <c r="H77" s="3">
        <f t="shared" ref="H77:P77" si="31">$G$11/10</f>
        <v>5000000</v>
      </c>
      <c r="I77" s="3">
        <f t="shared" si="31"/>
        <v>5000000</v>
      </c>
      <c r="J77" s="3">
        <f t="shared" si="31"/>
        <v>5000000</v>
      </c>
      <c r="K77" s="3">
        <f t="shared" si="31"/>
        <v>5000000</v>
      </c>
      <c r="L77" s="3">
        <f t="shared" si="31"/>
        <v>5000000</v>
      </c>
      <c r="M77" s="3">
        <f t="shared" si="31"/>
        <v>5000000</v>
      </c>
      <c r="N77" s="3">
        <f t="shared" si="31"/>
        <v>5000000</v>
      </c>
      <c r="O77" s="3">
        <f t="shared" si="31"/>
        <v>5000000</v>
      </c>
      <c r="P77" s="3">
        <f t="shared" si="31"/>
        <v>5000000</v>
      </c>
    </row>
    <row r="78" spans="1:27" x14ac:dyDescent="0.3">
      <c r="A78" s="1" t="s">
        <v>34</v>
      </c>
      <c r="B78" s="1" t="s">
        <v>7</v>
      </c>
      <c r="H78" s="3">
        <f>$H$11/10</f>
        <v>5000000</v>
      </c>
      <c r="I78" s="3">
        <f t="shared" ref="I78:Q78" si="32">$H$11/10</f>
        <v>5000000</v>
      </c>
      <c r="J78" s="3">
        <f t="shared" si="32"/>
        <v>5000000</v>
      </c>
      <c r="K78" s="3">
        <f t="shared" si="32"/>
        <v>5000000</v>
      </c>
      <c r="L78" s="3">
        <f t="shared" si="32"/>
        <v>5000000</v>
      </c>
      <c r="M78" s="3">
        <f t="shared" si="32"/>
        <v>5000000</v>
      </c>
      <c r="N78" s="3">
        <f t="shared" si="32"/>
        <v>5000000</v>
      </c>
      <c r="O78" s="3">
        <f t="shared" si="32"/>
        <v>5000000</v>
      </c>
      <c r="P78" s="3">
        <f t="shared" si="32"/>
        <v>5000000</v>
      </c>
      <c r="Q78" s="3">
        <f t="shared" si="32"/>
        <v>5000000</v>
      </c>
    </row>
    <row r="79" spans="1:27" x14ac:dyDescent="0.3">
      <c r="A79" s="1" t="s">
        <v>35</v>
      </c>
      <c r="B79" s="1" t="s">
        <v>7</v>
      </c>
      <c r="I79" s="3">
        <f>$I$11/10</f>
        <v>5000000</v>
      </c>
      <c r="J79" s="3">
        <f t="shared" ref="J79:R79" si="33">$I$11/10</f>
        <v>5000000</v>
      </c>
      <c r="K79" s="3">
        <f t="shared" si="33"/>
        <v>5000000</v>
      </c>
      <c r="L79" s="3">
        <f t="shared" si="33"/>
        <v>5000000</v>
      </c>
      <c r="M79" s="3">
        <f t="shared" si="33"/>
        <v>5000000</v>
      </c>
      <c r="N79" s="3">
        <f t="shared" si="33"/>
        <v>5000000</v>
      </c>
      <c r="O79" s="3">
        <f t="shared" si="33"/>
        <v>5000000</v>
      </c>
      <c r="P79" s="3">
        <f t="shared" si="33"/>
        <v>5000000</v>
      </c>
      <c r="Q79" s="3">
        <f t="shared" si="33"/>
        <v>5000000</v>
      </c>
      <c r="R79" s="3">
        <f t="shared" si="33"/>
        <v>5000000</v>
      </c>
    </row>
    <row r="80" spans="1:27" x14ac:dyDescent="0.3">
      <c r="A80" s="1" t="s">
        <v>36</v>
      </c>
      <c r="B80" s="1" t="s">
        <v>7</v>
      </c>
      <c r="J80" s="3">
        <f>$J$11/10</f>
        <v>5000000</v>
      </c>
      <c r="K80" s="3">
        <f t="shared" ref="K80:S80" si="34">$J$11/10</f>
        <v>5000000</v>
      </c>
      <c r="L80" s="3">
        <f t="shared" si="34"/>
        <v>5000000</v>
      </c>
      <c r="M80" s="3">
        <f t="shared" si="34"/>
        <v>5000000</v>
      </c>
      <c r="N80" s="3">
        <f t="shared" si="34"/>
        <v>5000000</v>
      </c>
      <c r="O80" s="3">
        <f t="shared" si="34"/>
        <v>5000000</v>
      </c>
      <c r="P80" s="3">
        <f t="shared" si="34"/>
        <v>5000000</v>
      </c>
      <c r="Q80" s="3">
        <f t="shared" si="34"/>
        <v>5000000</v>
      </c>
      <c r="R80" s="3">
        <f t="shared" si="34"/>
        <v>5000000</v>
      </c>
      <c r="S80" s="3">
        <f t="shared" si="34"/>
        <v>5000000</v>
      </c>
    </row>
    <row r="81" spans="1:25" x14ac:dyDescent="0.3">
      <c r="A81" s="1" t="s">
        <v>37</v>
      </c>
      <c r="B81" s="1" t="s">
        <v>7</v>
      </c>
      <c r="K81" s="3">
        <f>$K$11/10</f>
        <v>5000000</v>
      </c>
      <c r="L81" s="3">
        <f t="shared" ref="L81:T81" si="35">$K$11/10</f>
        <v>5000000</v>
      </c>
      <c r="M81" s="3">
        <f t="shared" si="35"/>
        <v>5000000</v>
      </c>
      <c r="N81" s="3">
        <f t="shared" si="35"/>
        <v>5000000</v>
      </c>
      <c r="O81" s="3">
        <f t="shared" si="35"/>
        <v>5000000</v>
      </c>
      <c r="P81" s="3">
        <f t="shared" si="35"/>
        <v>5000000</v>
      </c>
      <c r="Q81" s="3">
        <f t="shared" si="35"/>
        <v>5000000</v>
      </c>
      <c r="R81" s="3">
        <f t="shared" si="35"/>
        <v>5000000</v>
      </c>
      <c r="S81" s="3">
        <f t="shared" si="35"/>
        <v>5000000</v>
      </c>
      <c r="T81" s="3">
        <f t="shared" si="35"/>
        <v>5000000</v>
      </c>
    </row>
    <row r="82" spans="1:25" x14ac:dyDescent="0.3">
      <c r="A82" s="1" t="s">
        <v>38</v>
      </c>
      <c r="B82" s="1" t="s">
        <v>7</v>
      </c>
      <c r="L82" s="3">
        <f>$L$11/10</f>
        <v>5000000</v>
      </c>
      <c r="M82" s="3">
        <f t="shared" ref="M82:U82" si="36">$L$11/10</f>
        <v>5000000</v>
      </c>
      <c r="N82" s="3">
        <f t="shared" si="36"/>
        <v>5000000</v>
      </c>
      <c r="O82" s="3">
        <f t="shared" si="36"/>
        <v>5000000</v>
      </c>
      <c r="P82" s="3">
        <f t="shared" si="36"/>
        <v>5000000</v>
      </c>
      <c r="Q82" s="3">
        <f t="shared" si="36"/>
        <v>5000000</v>
      </c>
      <c r="R82" s="3">
        <f t="shared" si="36"/>
        <v>5000000</v>
      </c>
      <c r="S82" s="3">
        <f t="shared" si="36"/>
        <v>5000000</v>
      </c>
      <c r="T82" s="3">
        <f t="shared" si="36"/>
        <v>5000000</v>
      </c>
      <c r="U82" s="3">
        <f t="shared" si="36"/>
        <v>5000000</v>
      </c>
    </row>
    <row r="83" spans="1:25" x14ac:dyDescent="0.3">
      <c r="A83" s="1" t="s">
        <v>39</v>
      </c>
      <c r="B83" s="1" t="s">
        <v>7</v>
      </c>
      <c r="M83" s="3">
        <f>$M$11/10</f>
        <v>5000000</v>
      </c>
      <c r="N83" s="3">
        <f t="shared" ref="N83:V83" si="37">$M$11/10</f>
        <v>5000000</v>
      </c>
      <c r="O83" s="3">
        <f t="shared" si="37"/>
        <v>5000000</v>
      </c>
      <c r="P83" s="3">
        <f t="shared" si="37"/>
        <v>5000000</v>
      </c>
      <c r="Q83" s="3">
        <f t="shared" si="37"/>
        <v>5000000</v>
      </c>
      <c r="R83" s="3">
        <f t="shared" si="37"/>
        <v>5000000</v>
      </c>
      <c r="S83" s="3">
        <f t="shared" si="37"/>
        <v>5000000</v>
      </c>
      <c r="T83" s="3">
        <f t="shared" si="37"/>
        <v>5000000</v>
      </c>
      <c r="U83" s="3">
        <f t="shared" si="37"/>
        <v>5000000</v>
      </c>
      <c r="V83" s="3">
        <f t="shared" si="37"/>
        <v>5000000</v>
      </c>
    </row>
    <row r="84" spans="1:25" x14ac:dyDescent="0.3">
      <c r="A84" s="1" t="s">
        <v>40</v>
      </c>
      <c r="B84" s="1" t="s">
        <v>7</v>
      </c>
      <c r="N84" s="3">
        <f>$N$11/10</f>
        <v>5000000</v>
      </c>
      <c r="O84" s="3">
        <f t="shared" ref="O84:W84" si="38">$N$11/10</f>
        <v>5000000</v>
      </c>
      <c r="P84" s="3">
        <f t="shared" si="38"/>
        <v>5000000</v>
      </c>
      <c r="Q84" s="3">
        <f t="shared" si="38"/>
        <v>5000000</v>
      </c>
      <c r="R84" s="3">
        <f t="shared" si="38"/>
        <v>5000000</v>
      </c>
      <c r="S84" s="3">
        <f t="shared" si="38"/>
        <v>5000000</v>
      </c>
      <c r="T84" s="3">
        <f t="shared" si="38"/>
        <v>5000000</v>
      </c>
      <c r="U84" s="3">
        <f t="shared" si="38"/>
        <v>5000000</v>
      </c>
      <c r="V84" s="3">
        <f t="shared" si="38"/>
        <v>5000000</v>
      </c>
      <c r="W84" s="3">
        <f t="shared" si="38"/>
        <v>5000000</v>
      </c>
    </row>
    <row r="85" spans="1:25" x14ac:dyDescent="0.3">
      <c r="A85" s="1" t="s">
        <v>41</v>
      </c>
      <c r="B85" s="1" t="s">
        <v>7</v>
      </c>
      <c r="O85" s="3">
        <f>$O$11/10</f>
        <v>5000000</v>
      </c>
      <c r="P85" s="3">
        <f t="shared" ref="P85:W85" si="39">$O$11/10</f>
        <v>5000000</v>
      </c>
      <c r="Q85" s="3">
        <f t="shared" si="39"/>
        <v>5000000</v>
      </c>
      <c r="R85" s="3">
        <f t="shared" si="39"/>
        <v>5000000</v>
      </c>
      <c r="S85" s="3">
        <f t="shared" si="39"/>
        <v>5000000</v>
      </c>
      <c r="T85" s="3">
        <f t="shared" si="39"/>
        <v>5000000</v>
      </c>
      <c r="U85" s="3">
        <f t="shared" si="39"/>
        <v>5000000</v>
      </c>
      <c r="V85" s="3">
        <f t="shared" si="39"/>
        <v>5000000</v>
      </c>
      <c r="W85" s="3">
        <f t="shared" si="39"/>
        <v>5000000</v>
      </c>
    </row>
    <row r="86" spans="1:25" x14ac:dyDescent="0.3">
      <c r="A86" s="1" t="s">
        <v>42</v>
      </c>
      <c r="B86" s="1" t="s">
        <v>7</v>
      </c>
      <c r="P86" s="3">
        <f>$P$11/10</f>
        <v>5000000</v>
      </c>
      <c r="Q86" s="3">
        <f t="shared" ref="Q86:W86" si="40">$P$11/10</f>
        <v>5000000</v>
      </c>
      <c r="R86" s="3">
        <f t="shared" si="40"/>
        <v>5000000</v>
      </c>
      <c r="S86" s="3">
        <f t="shared" si="40"/>
        <v>5000000</v>
      </c>
      <c r="T86" s="3">
        <f t="shared" si="40"/>
        <v>5000000</v>
      </c>
      <c r="U86" s="3">
        <f t="shared" si="40"/>
        <v>5000000</v>
      </c>
      <c r="V86" s="3">
        <f t="shared" si="40"/>
        <v>5000000</v>
      </c>
      <c r="W86" s="3">
        <f t="shared" si="40"/>
        <v>5000000</v>
      </c>
    </row>
    <row r="87" spans="1:25" x14ac:dyDescent="0.3">
      <c r="A87" s="1" t="s">
        <v>43</v>
      </c>
      <c r="B87" s="1" t="s">
        <v>7</v>
      </c>
      <c r="Q87" s="3">
        <f>$Q$11/10</f>
        <v>5000000</v>
      </c>
      <c r="R87" s="3">
        <f t="shared" ref="R87:W87" si="41">$Q$11/10</f>
        <v>5000000</v>
      </c>
      <c r="S87" s="3">
        <f t="shared" si="41"/>
        <v>5000000</v>
      </c>
      <c r="T87" s="3">
        <f t="shared" si="41"/>
        <v>5000000</v>
      </c>
      <c r="U87" s="3">
        <f t="shared" si="41"/>
        <v>5000000</v>
      </c>
      <c r="V87" s="3">
        <f t="shared" si="41"/>
        <v>5000000</v>
      </c>
      <c r="W87" s="3">
        <f t="shared" si="41"/>
        <v>5000000</v>
      </c>
    </row>
    <row r="88" spans="1:25" x14ac:dyDescent="0.3">
      <c r="A88" s="1" t="s">
        <v>44</v>
      </c>
      <c r="B88" s="1" t="s">
        <v>7</v>
      </c>
      <c r="R88" s="3">
        <f>$R$11/10</f>
        <v>5000000</v>
      </c>
      <c r="S88" s="3">
        <f t="shared" ref="S88:W88" si="42">$R$11/10</f>
        <v>5000000</v>
      </c>
      <c r="T88" s="3">
        <f t="shared" si="42"/>
        <v>5000000</v>
      </c>
      <c r="U88" s="3">
        <f t="shared" si="42"/>
        <v>5000000</v>
      </c>
      <c r="V88" s="3">
        <f t="shared" si="42"/>
        <v>5000000</v>
      </c>
      <c r="W88" s="3">
        <f t="shared" si="42"/>
        <v>5000000</v>
      </c>
    </row>
    <row r="89" spans="1:25" x14ac:dyDescent="0.3">
      <c r="A89" s="1" t="s">
        <v>45</v>
      </c>
      <c r="B89" s="1" t="s">
        <v>7</v>
      </c>
      <c r="S89" s="3">
        <f>$S$11/10</f>
        <v>5000000</v>
      </c>
      <c r="T89" s="3">
        <f t="shared" ref="T89:W89" si="43">$S$11/10</f>
        <v>5000000</v>
      </c>
      <c r="U89" s="3">
        <f t="shared" si="43"/>
        <v>5000000</v>
      </c>
      <c r="V89" s="3">
        <f t="shared" si="43"/>
        <v>5000000</v>
      </c>
      <c r="W89" s="3">
        <f t="shared" si="43"/>
        <v>5000000</v>
      </c>
    </row>
    <row r="90" spans="1:25" x14ac:dyDescent="0.3">
      <c r="A90" s="1" t="s">
        <v>46</v>
      </c>
      <c r="B90" s="1" t="s">
        <v>7</v>
      </c>
      <c r="T90" s="3">
        <f>$T$11/10</f>
        <v>5000000</v>
      </c>
      <c r="U90" s="3">
        <f t="shared" ref="U90:W90" si="44">$T$11/10</f>
        <v>5000000</v>
      </c>
      <c r="V90" s="3">
        <f t="shared" si="44"/>
        <v>5000000</v>
      </c>
      <c r="W90" s="3">
        <f t="shared" si="44"/>
        <v>5000000</v>
      </c>
    </row>
    <row r="91" spans="1:25" x14ac:dyDescent="0.3">
      <c r="A91" s="1" t="s">
        <v>47</v>
      </c>
      <c r="B91" s="1" t="s">
        <v>7</v>
      </c>
      <c r="U91" s="3">
        <f>$U$11/10</f>
        <v>5000000</v>
      </c>
      <c r="V91" s="3">
        <f t="shared" ref="V91:W91" si="45">$U$11/10</f>
        <v>5000000</v>
      </c>
      <c r="W91" s="3">
        <f t="shared" si="45"/>
        <v>5000000</v>
      </c>
    </row>
    <row r="92" spans="1:25" x14ac:dyDescent="0.3">
      <c r="A92" s="1" t="s">
        <v>48</v>
      </c>
      <c r="B92" s="1" t="s">
        <v>7</v>
      </c>
      <c r="V92" s="3">
        <f>$V$11/10</f>
        <v>5000000</v>
      </c>
      <c r="W92" s="3">
        <f>$V$11/10</f>
        <v>5000000</v>
      </c>
    </row>
    <row r="93" spans="1:25" x14ac:dyDescent="0.3">
      <c r="A93" s="1" t="s">
        <v>77</v>
      </c>
      <c r="B93" s="1" t="s">
        <v>7</v>
      </c>
      <c r="W93" s="3">
        <f>$W$11/10</f>
        <v>5000000</v>
      </c>
    </row>
    <row r="94" spans="1:25" x14ac:dyDescent="0.3">
      <c r="A94" s="1" t="s">
        <v>21</v>
      </c>
      <c r="B94" s="1" t="s">
        <v>7</v>
      </c>
      <c r="C94" s="5">
        <f>SUM(C73:C93)</f>
        <v>420000000</v>
      </c>
      <c r="D94" s="5">
        <f>SUM(D73:D93)</f>
        <v>425000000</v>
      </c>
      <c r="E94" s="5">
        <f t="shared" ref="E94:W94" si="46">SUM(E73:E93)</f>
        <v>430000000</v>
      </c>
      <c r="F94" s="5">
        <f t="shared" si="46"/>
        <v>435000000</v>
      </c>
      <c r="G94" s="5">
        <f t="shared" si="46"/>
        <v>440000000</v>
      </c>
      <c r="H94" s="5">
        <f>SUM(H73:H93)</f>
        <v>445000000</v>
      </c>
      <c r="I94" s="5">
        <f t="shared" si="46"/>
        <v>450000000</v>
      </c>
      <c r="J94" s="5">
        <f t="shared" si="46"/>
        <v>455000000</v>
      </c>
      <c r="K94" s="5">
        <f t="shared" si="46"/>
        <v>460000000</v>
      </c>
      <c r="L94" s="5">
        <f t="shared" si="46"/>
        <v>465000000</v>
      </c>
      <c r="M94" s="5">
        <f t="shared" si="46"/>
        <v>50000000</v>
      </c>
      <c r="N94" s="5">
        <f t="shared" si="46"/>
        <v>50000000</v>
      </c>
      <c r="O94" s="5">
        <f t="shared" si="46"/>
        <v>50000000</v>
      </c>
      <c r="P94" s="5">
        <f t="shared" si="46"/>
        <v>50000000</v>
      </c>
      <c r="Q94" s="5">
        <f t="shared" si="46"/>
        <v>50000000</v>
      </c>
      <c r="R94" s="5">
        <f t="shared" si="46"/>
        <v>50000000</v>
      </c>
      <c r="S94" s="5">
        <f t="shared" si="46"/>
        <v>50000000</v>
      </c>
      <c r="T94" s="5">
        <f t="shared" si="46"/>
        <v>50000000</v>
      </c>
      <c r="U94" s="5">
        <f t="shared" si="46"/>
        <v>50000000</v>
      </c>
      <c r="V94" s="5">
        <f t="shared" si="46"/>
        <v>50000000</v>
      </c>
      <c r="W94" s="5">
        <f t="shared" si="46"/>
        <v>50000000</v>
      </c>
      <c r="X94" s="4">
        <f>SUM(C94:W94)</f>
        <v>4975000000</v>
      </c>
      <c r="Y94" s="4">
        <f>C94+NPV($Y$2,D94:W94)</f>
        <v>3102419379.637248</v>
      </c>
    </row>
    <row r="96" spans="1:25" x14ac:dyDescent="0.3">
      <c r="A96" s="12" t="s">
        <v>78</v>
      </c>
    </row>
    <row r="97" spans="1:27" x14ac:dyDescent="0.3">
      <c r="A97" s="1" t="s">
        <v>79</v>
      </c>
      <c r="B97" s="1" t="s">
        <v>7</v>
      </c>
      <c r="D97" s="3">
        <f>C14</f>
        <v>4200000000</v>
      </c>
      <c r="E97" s="3">
        <f>D97-D98</f>
        <v>3360000000</v>
      </c>
      <c r="F97" s="3">
        <f t="shared" ref="F97:H97" si="47">E97-E98</f>
        <v>2520000000</v>
      </c>
      <c r="G97" s="3">
        <f t="shared" si="47"/>
        <v>1680000000</v>
      </c>
      <c r="H97" s="3">
        <f t="shared" si="47"/>
        <v>840000000</v>
      </c>
    </row>
    <row r="98" spans="1:27" x14ac:dyDescent="0.3">
      <c r="A98" s="1" t="s">
        <v>19</v>
      </c>
      <c r="B98" s="1" t="s">
        <v>7</v>
      </c>
      <c r="D98" s="3">
        <f>$D$97/5</f>
        <v>840000000</v>
      </c>
      <c r="E98" s="3">
        <f t="shared" ref="E98:H98" si="48">$D$97/5</f>
        <v>840000000</v>
      </c>
      <c r="F98" s="3">
        <f t="shared" si="48"/>
        <v>840000000</v>
      </c>
      <c r="G98" s="3">
        <f t="shared" si="48"/>
        <v>840000000</v>
      </c>
      <c r="H98" s="3">
        <f t="shared" si="48"/>
        <v>840000000</v>
      </c>
    </row>
    <row r="99" spans="1:27" x14ac:dyDescent="0.3">
      <c r="A99" s="1" t="s">
        <v>80</v>
      </c>
      <c r="B99" s="1" t="s">
        <v>7</v>
      </c>
      <c r="D99" s="9">
        <v>7.0000000000000007E-2</v>
      </c>
      <c r="E99" s="9">
        <v>7.0000000000000007E-2</v>
      </c>
      <c r="F99" s="9">
        <v>7.0000000000000007E-2</v>
      </c>
      <c r="G99" s="9">
        <v>7.0000000000000007E-2</v>
      </c>
      <c r="H99" s="9">
        <v>7.0000000000000007E-2</v>
      </c>
    </row>
    <row r="100" spans="1:27" x14ac:dyDescent="0.3">
      <c r="A100" s="1" t="s">
        <v>23</v>
      </c>
      <c r="B100" s="1" t="s">
        <v>7</v>
      </c>
      <c r="D100" s="5">
        <f>D97*D99</f>
        <v>294000000</v>
      </c>
      <c r="E100" s="5">
        <f>E97*E99</f>
        <v>235200000.00000003</v>
      </c>
      <c r="F100" s="5">
        <f t="shared" ref="F100:G100" si="49">F97*F99</f>
        <v>176400000.00000003</v>
      </c>
      <c r="G100" s="5">
        <f t="shared" si="49"/>
        <v>117600000.00000001</v>
      </c>
      <c r="H100" s="5">
        <f>H97*H99</f>
        <v>58800000.000000007</v>
      </c>
    </row>
    <row r="102" spans="1:27" x14ac:dyDescent="0.3">
      <c r="A102" s="12" t="s">
        <v>25</v>
      </c>
    </row>
    <row r="103" spans="1:27" x14ac:dyDescent="0.3">
      <c r="A103" s="6" t="s">
        <v>63</v>
      </c>
    </row>
    <row r="104" spans="1:27" x14ac:dyDescent="0.3">
      <c r="A104" s="1" t="s">
        <v>22</v>
      </c>
      <c r="B104" s="1" t="s">
        <v>7</v>
      </c>
      <c r="C104" s="3">
        <f>C8-C13-C94-C100-C22-C29-C36-C68-C58</f>
        <v>-420401945</v>
      </c>
      <c r="D104" s="3">
        <f>D8-D13-D94-D100-D22-D29-D36-D68-D58</f>
        <v>641937000</v>
      </c>
      <c r="E104" s="3">
        <f t="shared" ref="E104:W104" si="50">E8-E13-E94-E100-E22-E29-E36-E68-E58</f>
        <v>1246175000</v>
      </c>
      <c r="F104" s="3">
        <f t="shared" si="50"/>
        <v>956764999.99999976</v>
      </c>
      <c r="G104" s="3">
        <f t="shared" si="50"/>
        <v>838960000</v>
      </c>
      <c r="H104" s="3">
        <f t="shared" si="50"/>
        <v>892760000</v>
      </c>
      <c r="I104" s="3">
        <f t="shared" si="50"/>
        <v>946560000</v>
      </c>
      <c r="J104" s="3">
        <f t="shared" si="50"/>
        <v>941560000</v>
      </c>
      <c r="K104" s="3">
        <f t="shared" si="50"/>
        <v>936560000</v>
      </c>
      <c r="L104" s="3">
        <f t="shared" si="50"/>
        <v>931560000</v>
      </c>
      <c r="M104" s="3">
        <f t="shared" si="50"/>
        <v>1073248000</v>
      </c>
      <c r="N104" s="3">
        <f t="shared" si="50"/>
        <v>1073248000</v>
      </c>
      <c r="O104" s="3">
        <f t="shared" si="50"/>
        <v>1073248000</v>
      </c>
      <c r="P104" s="3">
        <f t="shared" si="50"/>
        <v>1073248000</v>
      </c>
      <c r="Q104" s="3">
        <f t="shared" si="50"/>
        <v>1073248000</v>
      </c>
      <c r="R104" s="3">
        <f t="shared" si="50"/>
        <v>1073248000</v>
      </c>
      <c r="S104" s="3">
        <f t="shared" si="50"/>
        <v>1073248000</v>
      </c>
      <c r="T104" s="3">
        <f t="shared" si="50"/>
        <v>1073248000</v>
      </c>
      <c r="U104" s="3">
        <f t="shared" si="50"/>
        <v>1073248000</v>
      </c>
      <c r="V104" s="3">
        <f t="shared" si="50"/>
        <v>1073248000</v>
      </c>
      <c r="W104" s="3">
        <f t="shared" si="50"/>
        <v>1073248000</v>
      </c>
    </row>
    <row r="105" spans="1:27" x14ac:dyDescent="0.3">
      <c r="A105" s="1" t="s">
        <v>81</v>
      </c>
      <c r="B105" s="1" t="s">
        <v>7</v>
      </c>
      <c r="C105" s="3">
        <f>C104</f>
        <v>-420401945</v>
      </c>
      <c r="D105" s="3">
        <f>IF(C105&lt;0,C105+D104,D104)</f>
        <v>221535055</v>
      </c>
      <c r="E105" s="3">
        <f t="shared" ref="E105:W105" si="51">IF(D105&lt;0,D105+E104,E104)</f>
        <v>1246175000</v>
      </c>
      <c r="F105" s="3">
        <f t="shared" si="51"/>
        <v>956764999.99999976</v>
      </c>
      <c r="G105" s="3">
        <f t="shared" si="51"/>
        <v>838960000</v>
      </c>
      <c r="H105" s="3">
        <f t="shared" si="51"/>
        <v>892760000</v>
      </c>
      <c r="I105" s="3">
        <f t="shared" si="51"/>
        <v>946560000</v>
      </c>
      <c r="J105" s="3">
        <f t="shared" si="51"/>
        <v>941560000</v>
      </c>
      <c r="K105" s="3">
        <f t="shared" si="51"/>
        <v>936560000</v>
      </c>
      <c r="L105" s="3">
        <f t="shared" si="51"/>
        <v>931560000</v>
      </c>
      <c r="M105" s="3">
        <f t="shared" si="51"/>
        <v>1073248000</v>
      </c>
      <c r="N105" s="3">
        <f t="shared" si="51"/>
        <v>1073248000</v>
      </c>
      <c r="O105" s="3">
        <f t="shared" si="51"/>
        <v>1073248000</v>
      </c>
      <c r="P105" s="3">
        <f t="shared" si="51"/>
        <v>1073248000</v>
      </c>
      <c r="Q105" s="3">
        <f t="shared" si="51"/>
        <v>1073248000</v>
      </c>
      <c r="R105" s="3">
        <f t="shared" si="51"/>
        <v>1073248000</v>
      </c>
      <c r="S105" s="3">
        <f t="shared" si="51"/>
        <v>1073248000</v>
      </c>
      <c r="T105" s="3">
        <f t="shared" si="51"/>
        <v>1073248000</v>
      </c>
      <c r="U105" s="3">
        <f t="shared" si="51"/>
        <v>1073248000</v>
      </c>
      <c r="V105" s="3">
        <f t="shared" si="51"/>
        <v>1073248000</v>
      </c>
      <c r="W105" s="3">
        <f t="shared" si="51"/>
        <v>1073248000</v>
      </c>
    </row>
    <row r="106" spans="1:27" x14ac:dyDescent="0.3">
      <c r="A106" s="1" t="s">
        <v>16</v>
      </c>
      <c r="B106" s="1" t="s">
        <v>9</v>
      </c>
      <c r="C106" s="9">
        <v>0.3</v>
      </c>
      <c r="D106" s="9">
        <v>0.3</v>
      </c>
      <c r="E106" s="9">
        <v>0.3</v>
      </c>
      <c r="F106" s="9">
        <v>0.3</v>
      </c>
      <c r="G106" s="9">
        <v>0.3</v>
      </c>
      <c r="H106" s="9">
        <v>0.3</v>
      </c>
      <c r="I106" s="9">
        <v>0.3</v>
      </c>
      <c r="J106" s="9">
        <v>0.3</v>
      </c>
      <c r="K106" s="9">
        <v>0.3</v>
      </c>
      <c r="L106" s="9">
        <v>0.3</v>
      </c>
      <c r="M106" s="9">
        <v>0.3</v>
      </c>
      <c r="N106" s="9">
        <v>0.3</v>
      </c>
      <c r="O106" s="9">
        <v>0.3</v>
      </c>
      <c r="P106" s="9">
        <v>0.3</v>
      </c>
      <c r="Q106" s="9">
        <v>0.3</v>
      </c>
      <c r="R106" s="9">
        <v>0.3</v>
      </c>
      <c r="S106" s="9">
        <v>0.3</v>
      </c>
      <c r="T106" s="9">
        <v>0.3</v>
      </c>
      <c r="U106" s="9">
        <v>0.3</v>
      </c>
      <c r="V106" s="9">
        <v>0.3</v>
      </c>
      <c r="W106" s="9">
        <v>0.3</v>
      </c>
    </row>
    <row r="107" spans="1:27" x14ac:dyDescent="0.3">
      <c r="A107" s="1" t="s">
        <v>24</v>
      </c>
      <c r="B107" s="1" t="s">
        <v>7</v>
      </c>
      <c r="C107" s="5">
        <f t="shared" ref="C107:W107" si="52">IF(C105&lt;0,0,C105*C106)</f>
        <v>0</v>
      </c>
      <c r="D107" s="5">
        <f t="shared" si="52"/>
        <v>66460516.5</v>
      </c>
      <c r="E107" s="5">
        <f t="shared" si="52"/>
        <v>373852500</v>
      </c>
      <c r="F107" s="5">
        <f t="shared" si="52"/>
        <v>287029499.99999994</v>
      </c>
      <c r="G107" s="5">
        <f t="shared" si="52"/>
        <v>251688000</v>
      </c>
      <c r="H107" s="5">
        <f t="shared" si="52"/>
        <v>267828000</v>
      </c>
      <c r="I107" s="5">
        <f t="shared" si="52"/>
        <v>283968000</v>
      </c>
      <c r="J107" s="5">
        <f t="shared" si="52"/>
        <v>282468000</v>
      </c>
      <c r="K107" s="5">
        <f t="shared" si="52"/>
        <v>280968000</v>
      </c>
      <c r="L107" s="5">
        <f t="shared" si="52"/>
        <v>279468000</v>
      </c>
      <c r="M107" s="5">
        <f t="shared" si="52"/>
        <v>321974400</v>
      </c>
      <c r="N107" s="5">
        <f t="shared" si="52"/>
        <v>321974400</v>
      </c>
      <c r="O107" s="5">
        <f t="shared" si="52"/>
        <v>321974400</v>
      </c>
      <c r="P107" s="5">
        <f t="shared" si="52"/>
        <v>321974400</v>
      </c>
      <c r="Q107" s="5">
        <f t="shared" si="52"/>
        <v>321974400</v>
      </c>
      <c r="R107" s="5">
        <f t="shared" si="52"/>
        <v>321974400</v>
      </c>
      <c r="S107" s="5">
        <f t="shared" si="52"/>
        <v>321974400</v>
      </c>
      <c r="T107" s="5">
        <f t="shared" si="52"/>
        <v>321974400</v>
      </c>
      <c r="U107" s="5">
        <f t="shared" si="52"/>
        <v>321974400</v>
      </c>
      <c r="V107" s="5">
        <f t="shared" si="52"/>
        <v>321974400</v>
      </c>
      <c r="W107" s="5">
        <f t="shared" si="52"/>
        <v>321974400</v>
      </c>
      <c r="X107" s="4">
        <f>SUM(C107:W107)</f>
        <v>5915448916.5</v>
      </c>
      <c r="Y107" s="4">
        <f>C107+NPV($Y$2,D107:W107)</f>
        <v>2364973549.7638102</v>
      </c>
      <c r="Z107" s="19">
        <f>Y107/$Y$121</f>
        <v>0.11822529084054663</v>
      </c>
      <c r="AA107" s="18" t="s">
        <v>93</v>
      </c>
    </row>
    <row r="108" spans="1:27" x14ac:dyDescent="0.3">
      <c r="A108" s="6" t="s">
        <v>64</v>
      </c>
    </row>
    <row r="109" spans="1:27" x14ac:dyDescent="0.3">
      <c r="A109" s="1" t="s">
        <v>22</v>
      </c>
      <c r="B109" s="1" t="s">
        <v>7</v>
      </c>
      <c r="C109" s="3">
        <f>C8-C13-C94-C100-C24-C31-C38-C70-C62</f>
        <v>-420063279</v>
      </c>
      <c r="D109" s="3">
        <f>D8-D13-D94-D100-D24-D31-D38-D70-D62</f>
        <v>1283900000</v>
      </c>
      <c r="E109" s="3">
        <f t="shared" ref="E109:W109" si="53">E8-E13-E94-E100-E24-E31-E38-E70-E62</f>
        <v>2410800000</v>
      </c>
      <c r="F109" s="3">
        <f t="shared" si="53"/>
        <v>2464600000</v>
      </c>
      <c r="G109" s="3">
        <f t="shared" si="53"/>
        <v>2518400000</v>
      </c>
      <c r="H109" s="3">
        <f t="shared" si="53"/>
        <v>2572200000</v>
      </c>
      <c r="I109" s="3">
        <f t="shared" si="53"/>
        <v>2626000000</v>
      </c>
      <c r="J109" s="3">
        <f t="shared" si="53"/>
        <v>2621000000</v>
      </c>
      <c r="K109" s="3">
        <f t="shared" si="53"/>
        <v>2616000000</v>
      </c>
      <c r="L109" s="3">
        <f t="shared" si="53"/>
        <v>2611000000</v>
      </c>
      <c r="M109" s="3">
        <f t="shared" si="53"/>
        <v>2412800000</v>
      </c>
      <c r="N109" s="3">
        <f t="shared" si="53"/>
        <v>2412800000</v>
      </c>
      <c r="O109" s="3">
        <f t="shared" si="53"/>
        <v>2412800000</v>
      </c>
      <c r="P109" s="3">
        <f t="shared" si="53"/>
        <v>2412800000</v>
      </c>
      <c r="Q109" s="3">
        <f t="shared" si="53"/>
        <v>2412800000</v>
      </c>
      <c r="R109" s="3">
        <f t="shared" si="53"/>
        <v>2412800000</v>
      </c>
      <c r="S109" s="3">
        <f t="shared" si="53"/>
        <v>2412800000</v>
      </c>
      <c r="T109" s="3">
        <f t="shared" si="53"/>
        <v>2412800000</v>
      </c>
      <c r="U109" s="3">
        <f t="shared" si="53"/>
        <v>2412800000</v>
      </c>
      <c r="V109" s="3">
        <f t="shared" si="53"/>
        <v>2412800000</v>
      </c>
      <c r="W109" s="3">
        <f t="shared" si="53"/>
        <v>2412800000</v>
      </c>
    </row>
    <row r="110" spans="1:27" x14ac:dyDescent="0.3">
      <c r="A110" s="1" t="s">
        <v>81</v>
      </c>
      <c r="B110" s="1" t="s">
        <v>7</v>
      </c>
      <c r="C110" s="3">
        <f>C109</f>
        <v>-420063279</v>
      </c>
      <c r="D110" s="3">
        <f>IF(C110&lt;0,C110+D109,D109)</f>
        <v>863836721</v>
      </c>
      <c r="E110" s="3">
        <f t="shared" ref="E110:W110" si="54">IF(D110&lt;0,D110+E109,E109)</f>
        <v>2410800000</v>
      </c>
      <c r="F110" s="3">
        <f t="shared" si="54"/>
        <v>2464600000</v>
      </c>
      <c r="G110" s="3">
        <f t="shared" si="54"/>
        <v>2518400000</v>
      </c>
      <c r="H110" s="3">
        <f t="shared" si="54"/>
        <v>2572200000</v>
      </c>
      <c r="I110" s="3">
        <f t="shared" si="54"/>
        <v>2626000000</v>
      </c>
      <c r="J110" s="3">
        <f t="shared" si="54"/>
        <v>2621000000</v>
      </c>
      <c r="K110" s="3">
        <f t="shared" si="54"/>
        <v>2616000000</v>
      </c>
      <c r="L110" s="3">
        <f t="shared" si="54"/>
        <v>2611000000</v>
      </c>
      <c r="M110" s="3">
        <f t="shared" si="54"/>
        <v>2412800000</v>
      </c>
      <c r="N110" s="3">
        <f t="shared" si="54"/>
        <v>2412800000</v>
      </c>
      <c r="O110" s="3">
        <f t="shared" si="54"/>
        <v>2412800000</v>
      </c>
      <c r="P110" s="3">
        <f t="shared" si="54"/>
        <v>2412800000</v>
      </c>
      <c r="Q110" s="3">
        <f t="shared" si="54"/>
        <v>2412800000</v>
      </c>
      <c r="R110" s="3">
        <f t="shared" si="54"/>
        <v>2412800000</v>
      </c>
      <c r="S110" s="3">
        <f t="shared" si="54"/>
        <v>2412800000</v>
      </c>
      <c r="T110" s="3">
        <f t="shared" si="54"/>
        <v>2412800000</v>
      </c>
      <c r="U110" s="3">
        <f t="shared" si="54"/>
        <v>2412800000</v>
      </c>
      <c r="V110" s="3">
        <f t="shared" si="54"/>
        <v>2412800000</v>
      </c>
      <c r="W110" s="3">
        <f t="shared" si="54"/>
        <v>2412800000</v>
      </c>
    </row>
    <row r="111" spans="1:27" x14ac:dyDescent="0.3">
      <c r="A111" s="1" t="s">
        <v>16</v>
      </c>
      <c r="B111" s="1" t="s">
        <v>9</v>
      </c>
      <c r="C111" s="9">
        <v>0.3</v>
      </c>
      <c r="D111" s="9">
        <v>0.3</v>
      </c>
      <c r="E111" s="9">
        <v>0.3</v>
      </c>
      <c r="F111" s="9">
        <v>0.3</v>
      </c>
      <c r="G111" s="9">
        <v>0.3</v>
      </c>
      <c r="H111" s="9">
        <v>0.3</v>
      </c>
      <c r="I111" s="9">
        <v>0.3</v>
      </c>
      <c r="J111" s="9">
        <v>0.3</v>
      </c>
      <c r="K111" s="9">
        <v>0.3</v>
      </c>
      <c r="L111" s="9">
        <v>0.3</v>
      </c>
      <c r="M111" s="9">
        <v>0.3</v>
      </c>
      <c r="N111" s="9">
        <v>0.3</v>
      </c>
      <c r="O111" s="9">
        <v>0.3</v>
      </c>
      <c r="P111" s="9">
        <v>0.3</v>
      </c>
      <c r="Q111" s="9">
        <v>0.3</v>
      </c>
      <c r="R111" s="9">
        <v>0.3</v>
      </c>
      <c r="S111" s="9">
        <v>0.3</v>
      </c>
      <c r="T111" s="9">
        <v>0.3</v>
      </c>
      <c r="U111" s="9">
        <v>0.3</v>
      </c>
      <c r="V111" s="9">
        <v>0.3</v>
      </c>
      <c r="W111" s="9">
        <v>0.3</v>
      </c>
    </row>
    <row r="112" spans="1:27" x14ac:dyDescent="0.3">
      <c r="A112" s="1" t="s">
        <v>24</v>
      </c>
      <c r="B112" s="1" t="s">
        <v>7</v>
      </c>
      <c r="C112" s="5">
        <f>IF(C110&lt;0,0,C110*C111)</f>
        <v>0</v>
      </c>
      <c r="D112" s="5">
        <f t="shared" ref="D112:W112" si="55">IF(D110&lt;0,0,D110*D111)</f>
        <v>259151016.29999998</v>
      </c>
      <c r="E112" s="5">
        <f t="shared" si="55"/>
        <v>723240000</v>
      </c>
      <c r="F112" s="5">
        <f t="shared" si="55"/>
        <v>739380000</v>
      </c>
      <c r="G112" s="5">
        <f t="shared" si="55"/>
        <v>755520000</v>
      </c>
      <c r="H112" s="5">
        <f t="shared" si="55"/>
        <v>771660000</v>
      </c>
      <c r="I112" s="5">
        <f t="shared" si="55"/>
        <v>787800000</v>
      </c>
      <c r="J112" s="5">
        <f t="shared" si="55"/>
        <v>786300000</v>
      </c>
      <c r="K112" s="5">
        <f t="shared" si="55"/>
        <v>784800000</v>
      </c>
      <c r="L112" s="5">
        <f t="shared" si="55"/>
        <v>783300000</v>
      </c>
      <c r="M112" s="5">
        <f t="shared" si="55"/>
        <v>723840000</v>
      </c>
      <c r="N112" s="5">
        <f t="shared" si="55"/>
        <v>723840000</v>
      </c>
      <c r="O112" s="5">
        <f t="shared" si="55"/>
        <v>723840000</v>
      </c>
      <c r="P112" s="5">
        <f t="shared" si="55"/>
        <v>723840000</v>
      </c>
      <c r="Q112" s="5">
        <f t="shared" si="55"/>
        <v>723840000</v>
      </c>
      <c r="R112" s="5">
        <f t="shared" si="55"/>
        <v>723840000</v>
      </c>
      <c r="S112" s="5">
        <f t="shared" si="55"/>
        <v>723840000</v>
      </c>
      <c r="T112" s="5">
        <f t="shared" si="55"/>
        <v>723840000</v>
      </c>
      <c r="U112" s="5">
        <f t="shared" si="55"/>
        <v>723840000</v>
      </c>
      <c r="V112" s="5">
        <f t="shared" si="55"/>
        <v>723840000</v>
      </c>
      <c r="W112" s="5">
        <f t="shared" si="55"/>
        <v>723840000</v>
      </c>
      <c r="X112" s="4">
        <f>SUM(C112:W112)</f>
        <v>14353391016.299999</v>
      </c>
      <c r="Y112" s="4">
        <f>C112+NPV($Y$2,D112:W112)</f>
        <v>5924334063.3626833</v>
      </c>
      <c r="Z112" s="19">
        <f>Y112/$Y$122</f>
        <v>0.50640740031339948</v>
      </c>
      <c r="AA112" s="18" t="s">
        <v>93</v>
      </c>
    </row>
    <row r="114" spans="1:27" x14ac:dyDescent="0.3">
      <c r="A114" s="12" t="s">
        <v>26</v>
      </c>
    </row>
    <row r="115" spans="1:27" x14ac:dyDescent="0.3">
      <c r="A115" s="6" t="s">
        <v>63</v>
      </c>
    </row>
    <row r="116" spans="1:27" x14ac:dyDescent="0.3">
      <c r="A116" s="1" t="s">
        <v>16</v>
      </c>
      <c r="B116" s="1" t="s">
        <v>9</v>
      </c>
      <c r="C116" s="9">
        <v>0.1</v>
      </c>
      <c r="D116" s="9">
        <v>0.1</v>
      </c>
      <c r="E116" s="9">
        <v>0.1</v>
      </c>
      <c r="F116" s="9">
        <v>0.1</v>
      </c>
      <c r="G116" s="9">
        <v>0.1</v>
      </c>
      <c r="H116" s="9">
        <v>0.1</v>
      </c>
      <c r="I116" s="9">
        <v>0.1</v>
      </c>
      <c r="J116" s="9">
        <v>0.1</v>
      </c>
      <c r="K116" s="9">
        <v>0.1</v>
      </c>
      <c r="L116" s="9">
        <v>0.1</v>
      </c>
      <c r="M116" s="9">
        <v>0.1</v>
      </c>
      <c r="N116" s="9">
        <v>0.1</v>
      </c>
      <c r="O116" s="9">
        <v>0.1</v>
      </c>
      <c r="P116" s="9">
        <v>0.1</v>
      </c>
      <c r="Q116" s="9">
        <v>0.1</v>
      </c>
      <c r="R116" s="9">
        <v>0.1</v>
      </c>
      <c r="S116" s="9">
        <v>0.1</v>
      </c>
      <c r="T116" s="9">
        <v>0.1</v>
      </c>
      <c r="U116" s="9">
        <v>0.1</v>
      </c>
      <c r="V116" s="9">
        <v>0.1</v>
      </c>
      <c r="W116" s="9">
        <v>0.1</v>
      </c>
    </row>
    <row r="117" spans="1:27" x14ac:dyDescent="0.3">
      <c r="A117" s="6" t="s">
        <v>64</v>
      </c>
    </row>
    <row r="118" spans="1:27" x14ac:dyDescent="0.3">
      <c r="A118" s="1" t="s">
        <v>16</v>
      </c>
      <c r="B118" s="1" t="s">
        <v>9</v>
      </c>
      <c r="C118" s="9">
        <v>0.18</v>
      </c>
      <c r="D118" s="9">
        <v>0.18</v>
      </c>
      <c r="E118" s="9">
        <v>0.18</v>
      </c>
      <c r="F118" s="9">
        <v>0.18</v>
      </c>
      <c r="G118" s="9">
        <v>0.18</v>
      </c>
      <c r="H118" s="9">
        <v>0.18</v>
      </c>
      <c r="I118" s="9">
        <v>0.18</v>
      </c>
      <c r="J118" s="9">
        <v>0.18</v>
      </c>
      <c r="K118" s="9">
        <v>0.18</v>
      </c>
      <c r="L118" s="9">
        <v>0.18</v>
      </c>
      <c r="M118" s="9">
        <v>0.18</v>
      </c>
      <c r="N118" s="9">
        <v>0.18</v>
      </c>
      <c r="O118" s="9">
        <v>0.18</v>
      </c>
      <c r="P118" s="9">
        <v>0.18</v>
      </c>
      <c r="Q118" s="9">
        <v>0.18</v>
      </c>
      <c r="R118" s="9">
        <v>0.18</v>
      </c>
      <c r="S118" s="9">
        <v>0.18</v>
      </c>
      <c r="T118" s="9">
        <v>0.18</v>
      </c>
      <c r="U118" s="9">
        <v>0.18</v>
      </c>
      <c r="V118" s="9">
        <v>0.18</v>
      </c>
      <c r="W118" s="9">
        <v>0.18</v>
      </c>
    </row>
    <row r="120" spans="1:27" x14ac:dyDescent="0.3">
      <c r="A120" s="12" t="s">
        <v>83</v>
      </c>
    </row>
    <row r="121" spans="1:27" x14ac:dyDescent="0.3">
      <c r="A121" s="6" t="s">
        <v>63</v>
      </c>
      <c r="B121" s="1" t="s">
        <v>7</v>
      </c>
      <c r="C121" s="5">
        <f>C22+C29+C36+C58+C68+C107</f>
        <v>401945</v>
      </c>
      <c r="D121" s="5">
        <f t="shared" ref="D121:W121" si="56">D22+D29+D36+D58+D68+D107</f>
        <v>1196648516.5</v>
      </c>
      <c r="E121" s="5">
        <f t="shared" si="56"/>
        <v>2294977500</v>
      </c>
      <c r="F121" s="5">
        <f t="shared" si="56"/>
        <v>2551364500</v>
      </c>
      <c r="G121" s="5">
        <f t="shared" si="56"/>
        <v>2687628000</v>
      </c>
      <c r="H121" s="5">
        <f t="shared" si="56"/>
        <v>2703768000</v>
      </c>
      <c r="I121" s="5">
        <f t="shared" si="56"/>
        <v>2719908000</v>
      </c>
      <c r="J121" s="5">
        <f t="shared" si="56"/>
        <v>2718408000</v>
      </c>
      <c r="K121" s="5">
        <f t="shared" si="56"/>
        <v>2716908000</v>
      </c>
      <c r="L121" s="5">
        <f t="shared" si="56"/>
        <v>2715408000</v>
      </c>
      <c r="M121" s="5">
        <f t="shared" si="56"/>
        <v>2264726400</v>
      </c>
      <c r="N121" s="5">
        <f t="shared" si="56"/>
        <v>2264726400</v>
      </c>
      <c r="O121" s="5">
        <f t="shared" si="56"/>
        <v>2264726400</v>
      </c>
      <c r="P121" s="5">
        <f t="shared" si="56"/>
        <v>2264726400</v>
      </c>
      <c r="Q121" s="5">
        <f t="shared" si="56"/>
        <v>2264726400</v>
      </c>
      <c r="R121" s="5">
        <f t="shared" si="56"/>
        <v>2264726400</v>
      </c>
      <c r="S121" s="5">
        <f t="shared" si="56"/>
        <v>2264726400</v>
      </c>
      <c r="T121" s="5">
        <f t="shared" si="56"/>
        <v>2264726400</v>
      </c>
      <c r="U121" s="5">
        <f t="shared" si="56"/>
        <v>2264726400</v>
      </c>
      <c r="V121" s="5">
        <f t="shared" si="56"/>
        <v>2264726400</v>
      </c>
      <c r="W121" s="5">
        <f t="shared" si="56"/>
        <v>2264726400</v>
      </c>
      <c r="X121" s="4">
        <f>SUM(C121:W121)</f>
        <v>47217410861.5</v>
      </c>
      <c r="Y121" s="4">
        <f>C121+NPV($Y$2,D121:W121)</f>
        <v>20003956285.06855</v>
      </c>
      <c r="Z121" s="10">
        <f>Y121/$Y$17</f>
        <v>0.81080351400798478</v>
      </c>
      <c r="AA121" s="14" t="s">
        <v>84</v>
      </c>
    </row>
    <row r="122" spans="1:27" x14ac:dyDescent="0.3">
      <c r="A122" s="6" t="s">
        <v>64</v>
      </c>
      <c r="B122" s="1" t="s">
        <v>7</v>
      </c>
      <c r="C122" s="5">
        <f>C24+C31+C38+C62+C70+C112</f>
        <v>63279</v>
      </c>
      <c r="D122" s="5">
        <f t="shared" ref="D122:Y122" si="57">D24+D31+D38+D62+D70+D112</f>
        <v>747376016.29999995</v>
      </c>
      <c r="E122" s="5">
        <f t="shared" si="57"/>
        <v>1479740000</v>
      </c>
      <c r="F122" s="5">
        <f t="shared" si="57"/>
        <v>1495880000</v>
      </c>
      <c r="G122" s="5">
        <f t="shared" si="57"/>
        <v>1512020000</v>
      </c>
      <c r="H122" s="5">
        <f t="shared" si="57"/>
        <v>1528160000</v>
      </c>
      <c r="I122" s="5">
        <f t="shared" si="57"/>
        <v>1544300000</v>
      </c>
      <c r="J122" s="5">
        <f t="shared" si="57"/>
        <v>1542800000</v>
      </c>
      <c r="K122" s="5">
        <f t="shared" si="57"/>
        <v>1541300000</v>
      </c>
      <c r="L122" s="5">
        <f t="shared" si="57"/>
        <v>1539800000</v>
      </c>
      <c r="M122" s="5">
        <f t="shared" si="57"/>
        <v>1327040000</v>
      </c>
      <c r="N122" s="5">
        <f t="shared" si="57"/>
        <v>1327040000</v>
      </c>
      <c r="O122" s="5">
        <f t="shared" si="57"/>
        <v>1327040000</v>
      </c>
      <c r="P122" s="5">
        <f t="shared" si="57"/>
        <v>1327040000</v>
      </c>
      <c r="Q122" s="5">
        <f t="shared" si="57"/>
        <v>1327040000</v>
      </c>
      <c r="R122" s="5">
        <f t="shared" si="57"/>
        <v>1327040000</v>
      </c>
      <c r="S122" s="5">
        <f t="shared" si="57"/>
        <v>1327040000</v>
      </c>
      <c r="T122" s="5">
        <f t="shared" si="57"/>
        <v>1327040000</v>
      </c>
      <c r="U122" s="5">
        <f t="shared" si="57"/>
        <v>1327040000</v>
      </c>
      <c r="V122" s="5">
        <f t="shared" si="57"/>
        <v>1327040000</v>
      </c>
      <c r="W122" s="5">
        <f t="shared" si="57"/>
        <v>1327040000</v>
      </c>
      <c r="X122" s="5">
        <f t="shared" si="57"/>
        <v>27528879295.299999</v>
      </c>
      <c r="Y122" s="5">
        <f t="shared" si="57"/>
        <v>11698750965.519661</v>
      </c>
      <c r="Z122" s="10">
        <f>Y122/$Y$17</f>
        <v>0.47417562092093635</v>
      </c>
      <c r="AA122" s="14" t="s">
        <v>84</v>
      </c>
    </row>
    <row r="124" spans="1:27" x14ac:dyDescent="0.3">
      <c r="A124" s="12" t="s">
        <v>82</v>
      </c>
    </row>
    <row r="125" spans="1:27" x14ac:dyDescent="0.3">
      <c r="A125" s="6" t="s">
        <v>63</v>
      </c>
    </row>
    <row r="126" spans="1:27" x14ac:dyDescent="0.3">
      <c r="A126" s="1" t="s">
        <v>27</v>
      </c>
      <c r="B126" s="1" t="s">
        <v>7</v>
      </c>
      <c r="C126" s="5">
        <f t="shared" ref="C126:W126" si="58">C17-C121</f>
        <v>-4200401945</v>
      </c>
      <c r="D126" s="5">
        <f t="shared" si="58"/>
        <v>1244476483.5</v>
      </c>
      <c r="E126" s="5">
        <f t="shared" si="58"/>
        <v>1487522500</v>
      </c>
      <c r="F126" s="5">
        <f t="shared" si="58"/>
        <v>1231135500</v>
      </c>
      <c r="G126" s="5">
        <f t="shared" si="58"/>
        <v>1094872000</v>
      </c>
      <c r="H126" s="5">
        <f t="shared" si="58"/>
        <v>1078732000</v>
      </c>
      <c r="I126" s="5">
        <f t="shared" si="58"/>
        <v>1062592000</v>
      </c>
      <c r="J126" s="5">
        <f t="shared" si="58"/>
        <v>1064092000</v>
      </c>
      <c r="K126" s="5">
        <f t="shared" si="58"/>
        <v>1065592000</v>
      </c>
      <c r="L126" s="5">
        <f t="shared" si="58"/>
        <v>1067092000</v>
      </c>
      <c r="M126" s="5">
        <f t="shared" si="58"/>
        <v>751273600</v>
      </c>
      <c r="N126" s="5">
        <f t="shared" si="58"/>
        <v>751273600</v>
      </c>
      <c r="O126" s="5">
        <f t="shared" si="58"/>
        <v>751273600</v>
      </c>
      <c r="P126" s="5">
        <f t="shared" si="58"/>
        <v>751273600</v>
      </c>
      <c r="Q126" s="5">
        <f t="shared" si="58"/>
        <v>751273600</v>
      </c>
      <c r="R126" s="5">
        <f t="shared" si="58"/>
        <v>751273600</v>
      </c>
      <c r="S126" s="5">
        <f t="shared" si="58"/>
        <v>751273600</v>
      </c>
      <c r="T126" s="5">
        <f t="shared" si="58"/>
        <v>751273600</v>
      </c>
      <c r="U126" s="5">
        <f t="shared" si="58"/>
        <v>751273600</v>
      </c>
      <c r="V126" s="5">
        <f t="shared" si="58"/>
        <v>751273600</v>
      </c>
      <c r="W126" s="5">
        <f t="shared" si="58"/>
        <v>751273600</v>
      </c>
      <c r="X126" s="4">
        <f>SUM(C126:W126)</f>
        <v>14459714138.5</v>
      </c>
      <c r="Y126" s="4">
        <f>C126+NPV($Y$2,D126:W126)</f>
        <v>4667811830.7163467</v>
      </c>
      <c r="Z126" s="10">
        <f>Y126/$Y$17</f>
        <v>0.18919648599201533</v>
      </c>
      <c r="AA126" s="14" t="s">
        <v>85</v>
      </c>
    </row>
    <row r="127" spans="1:27" x14ac:dyDescent="0.3">
      <c r="A127" s="1" t="s">
        <v>86</v>
      </c>
      <c r="B127" s="1" t="s">
        <v>9</v>
      </c>
      <c r="X127" s="15">
        <f>IRR(C126:W126)</f>
        <v>0.27644690262800742</v>
      </c>
      <c r="Y127" s="14" t="s">
        <v>87</v>
      </c>
    </row>
    <row r="128" spans="1:27" x14ac:dyDescent="0.3">
      <c r="A128" s="6" t="s">
        <v>64</v>
      </c>
    </row>
    <row r="129" spans="1:27" x14ac:dyDescent="0.3">
      <c r="A129" s="1" t="s">
        <v>27</v>
      </c>
      <c r="B129" s="1" t="s">
        <v>7</v>
      </c>
      <c r="C129" s="5">
        <f t="shared" ref="C129:W129" si="59">C17-C122</f>
        <v>-4200063279</v>
      </c>
      <c r="D129" s="5">
        <f t="shared" si="59"/>
        <v>1693748983.7</v>
      </c>
      <c r="E129" s="5">
        <f t="shared" si="59"/>
        <v>2302760000</v>
      </c>
      <c r="F129" s="5">
        <f t="shared" si="59"/>
        <v>2286620000</v>
      </c>
      <c r="G129" s="5">
        <f t="shared" si="59"/>
        <v>2270480000</v>
      </c>
      <c r="H129" s="5">
        <f t="shared" si="59"/>
        <v>2254340000</v>
      </c>
      <c r="I129" s="5">
        <f t="shared" si="59"/>
        <v>2238200000</v>
      </c>
      <c r="J129" s="5">
        <f t="shared" si="59"/>
        <v>2239700000</v>
      </c>
      <c r="K129" s="5">
        <f t="shared" si="59"/>
        <v>2241200000</v>
      </c>
      <c r="L129" s="5">
        <f t="shared" si="59"/>
        <v>2242700000</v>
      </c>
      <c r="M129" s="5">
        <f t="shared" si="59"/>
        <v>1688960000</v>
      </c>
      <c r="N129" s="5">
        <f t="shared" si="59"/>
        <v>1688960000</v>
      </c>
      <c r="O129" s="5">
        <f t="shared" si="59"/>
        <v>1688960000</v>
      </c>
      <c r="P129" s="5">
        <f t="shared" si="59"/>
        <v>1688960000</v>
      </c>
      <c r="Q129" s="5">
        <f t="shared" si="59"/>
        <v>1688960000</v>
      </c>
      <c r="R129" s="5">
        <f t="shared" si="59"/>
        <v>1688960000</v>
      </c>
      <c r="S129" s="5">
        <f t="shared" si="59"/>
        <v>1688960000</v>
      </c>
      <c r="T129" s="5">
        <f t="shared" si="59"/>
        <v>1688960000</v>
      </c>
      <c r="U129" s="5">
        <f t="shared" si="59"/>
        <v>1688960000</v>
      </c>
      <c r="V129" s="5">
        <f t="shared" si="59"/>
        <v>1688960000</v>
      </c>
      <c r="W129" s="5">
        <f t="shared" si="59"/>
        <v>1688960000</v>
      </c>
      <c r="X129" s="4">
        <f>SUM(C129:W129)</f>
        <v>34148245704.700001</v>
      </c>
      <c r="Y129" s="4">
        <f>C129+NPV($Y$2,D129:W129)</f>
        <v>12973017150.265228</v>
      </c>
      <c r="Z129" s="10">
        <f>Y129/$Y$17</f>
        <v>0.52582437907906354</v>
      </c>
      <c r="AA129" s="14" t="s">
        <v>85</v>
      </c>
    </row>
    <row r="130" spans="1:27" x14ac:dyDescent="0.3">
      <c r="A130" s="1" t="s">
        <v>86</v>
      </c>
      <c r="B130" s="1" t="s">
        <v>9</v>
      </c>
      <c r="X130" s="15">
        <f>IRR(C129:W129)</f>
        <v>0.49258992730768059</v>
      </c>
      <c r="Y130" s="14" t="s">
        <v>87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D54:E54 F54:W5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Sénégal Sangomar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2026-06-05T11:41:14Z</dcterms:modified>
</cp:coreProperties>
</file>