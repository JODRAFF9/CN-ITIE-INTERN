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/>
  <mc:AlternateContent xmlns:mc="http://schemas.openxmlformats.org/markup-compatibility/2006">
    <mc:Choice Requires="x15">
      <x15ac:absPath xmlns:x15ac="http://schemas.microsoft.com/office/spreadsheetml/2010/11/ac" url="C:\Users\Bmd\Downloads\"/>
    </mc:Choice>
  </mc:AlternateContent>
  <xr:revisionPtr revIDLastSave="0" documentId="8_{35551FAD-44CE-4C10-A95B-4F60E5096AC5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Présentation" sheetId="1" r:id="rId1"/>
    <sheet name="Résultats" sheetId="2" r:id="rId2"/>
    <sheet name="Paramètres" sheetId="3" r:id="rId3"/>
    <sheet name="Modèle" sheetId="4" r:id="rId4"/>
  </sheets>
  <externalReferences>
    <externalReference r:id="rId5"/>
  </externalReferences>
  <definedNames>
    <definedName name="_xlfn_IFERROR">none</definedName>
    <definedName name="_xlfn_STDEV_S">none</definedName>
    <definedName name="conv_ton_to_lb">[1]ControlPanel!$C$10</definedName>
    <definedName name="Excel_BuiltIn__FilterDatabase" localSheetId="3">#REF!</definedName>
    <definedName name="Excel_BuiltIn__FilterDatabase" localSheetId="1">Résultats!$F$183:$G$194</definedName>
    <definedName name="_xlnm.Print_Area" localSheetId="1">Résultats!$A$1:$M$150</definedName>
  </definedNames>
  <calcPr calcId="191029" concurrentCalc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3" l="1"/>
  <c r="E543" i="4"/>
  <c r="G108" i="3"/>
  <c r="E542" i="4"/>
  <c r="F528" i="4"/>
  <c r="F529" i="4"/>
  <c r="F530" i="4"/>
  <c r="F531" i="4"/>
  <c r="F532" i="4"/>
  <c r="F533" i="4"/>
  <c r="F534" i="4"/>
  <c r="F535" i="4"/>
  <c r="F536" i="4"/>
  <c r="F537" i="4"/>
  <c r="D523" i="4"/>
  <c r="D537" i="4"/>
  <c r="D522" i="4"/>
  <c r="D536" i="4"/>
  <c r="D521" i="4"/>
  <c r="D535" i="4"/>
  <c r="D520" i="4"/>
  <c r="D534" i="4"/>
  <c r="D519" i="4"/>
  <c r="D533" i="4"/>
  <c r="D518" i="4"/>
  <c r="D532" i="4"/>
  <c r="D517" i="4"/>
  <c r="D531" i="4"/>
  <c r="D516" i="4"/>
  <c r="D530" i="4"/>
  <c r="D515" i="4"/>
  <c r="D529" i="4"/>
  <c r="D514" i="4"/>
  <c r="D528" i="4"/>
  <c r="D513" i="4"/>
  <c r="D527" i="4"/>
  <c r="Q526" i="4"/>
  <c r="R452" i="4"/>
  <c r="S452" i="4"/>
  <c r="T452" i="4"/>
  <c r="U452" i="4"/>
  <c r="V452" i="4"/>
  <c r="W452" i="4"/>
  <c r="X452" i="4"/>
  <c r="Y452" i="4"/>
  <c r="Z452" i="4"/>
  <c r="AA452" i="4"/>
  <c r="AB452" i="4"/>
  <c r="AC452" i="4"/>
  <c r="AD452" i="4"/>
  <c r="AE452" i="4"/>
  <c r="AF452" i="4"/>
  <c r="AG452" i="4"/>
  <c r="AH452" i="4"/>
  <c r="AI452" i="4"/>
  <c r="AI526" i="4"/>
  <c r="AH526" i="4"/>
  <c r="AG526" i="4"/>
  <c r="AF526" i="4"/>
  <c r="AE526" i="4"/>
  <c r="AD526" i="4"/>
  <c r="AC526" i="4"/>
  <c r="AB526" i="4"/>
  <c r="AA526" i="4"/>
  <c r="Z526" i="4"/>
  <c r="Y526" i="4"/>
  <c r="X526" i="4"/>
  <c r="W526" i="4"/>
  <c r="V526" i="4"/>
  <c r="U526" i="4"/>
  <c r="T526" i="4"/>
  <c r="S526" i="4"/>
  <c r="R526" i="4"/>
  <c r="P452" i="4"/>
  <c r="P526" i="4"/>
  <c r="O452" i="4"/>
  <c r="O526" i="4"/>
  <c r="N452" i="4"/>
  <c r="N526" i="4"/>
  <c r="M452" i="4"/>
  <c r="M526" i="4"/>
  <c r="L452" i="4"/>
  <c r="L526" i="4"/>
  <c r="K452" i="4"/>
  <c r="K526" i="4"/>
  <c r="J452" i="4"/>
  <c r="J526" i="4"/>
  <c r="I452" i="4"/>
  <c r="I526" i="4"/>
  <c r="H452" i="4"/>
  <c r="H526" i="4"/>
  <c r="G452" i="4"/>
  <c r="G526" i="4"/>
  <c r="H353" i="4"/>
  <c r="I353" i="4"/>
  <c r="G8" i="4"/>
  <c r="H8" i="4"/>
  <c r="G9" i="4"/>
  <c r="F137" i="3"/>
  <c r="H108" i="3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8" i="4"/>
  <c r="H28" i="4"/>
  <c r="F390" i="4"/>
  <c r="F138" i="3"/>
  <c r="F9" i="3"/>
  <c r="H111" i="4"/>
  <c r="H291" i="4"/>
  <c r="H113" i="3"/>
  <c r="H40" i="4"/>
  <c r="H50" i="4"/>
  <c r="F38" i="3"/>
  <c r="H108" i="4"/>
  <c r="H292" i="4"/>
  <c r="G29" i="4"/>
  <c r="H29" i="4"/>
  <c r="F12" i="3"/>
  <c r="H43" i="4"/>
  <c r="H81" i="4"/>
  <c r="H83" i="4"/>
  <c r="F24" i="3"/>
  <c r="F11" i="3"/>
  <c r="H84" i="4"/>
  <c r="H86" i="4"/>
  <c r="H293" i="4"/>
  <c r="F37" i="3"/>
  <c r="H89" i="4"/>
  <c r="H90" i="4"/>
  <c r="H294" i="4"/>
  <c r="F23" i="3"/>
  <c r="F60" i="3"/>
  <c r="E60" i="3"/>
  <c r="H95" i="4"/>
  <c r="H100" i="4"/>
  <c r="F61" i="3"/>
  <c r="E61" i="3"/>
  <c r="H96" i="4"/>
  <c r="H101" i="4"/>
  <c r="F62" i="3"/>
  <c r="E62" i="3"/>
  <c r="H97" i="4"/>
  <c r="H102" i="4"/>
  <c r="F63" i="3"/>
  <c r="E63" i="3"/>
  <c r="H98" i="4"/>
  <c r="H103" i="4"/>
  <c r="H105" i="4"/>
  <c r="H295" i="4"/>
  <c r="H45" i="4"/>
  <c r="H46" i="4"/>
  <c r="H47" i="4"/>
  <c r="H48" i="4"/>
  <c r="H49" i="4"/>
  <c r="H51" i="4"/>
  <c r="H52" i="4"/>
  <c r="H53" i="4"/>
  <c r="H54" i="4"/>
  <c r="H114" i="4"/>
  <c r="H117" i="4"/>
  <c r="H175" i="4"/>
  <c r="H176" i="4"/>
  <c r="H177" i="4"/>
  <c r="H178" i="4"/>
  <c r="H179" i="4"/>
  <c r="F15" i="3"/>
  <c r="H143" i="4"/>
  <c r="H152" i="4"/>
  <c r="H153" i="4"/>
  <c r="H180" i="4"/>
  <c r="F16" i="3"/>
  <c r="H144" i="4"/>
  <c r="H155" i="4"/>
  <c r="H156" i="4"/>
  <c r="H181" i="4"/>
  <c r="F17" i="3"/>
  <c r="H145" i="4"/>
  <c r="H146" i="4"/>
  <c r="H158" i="4"/>
  <c r="H159" i="4"/>
  <c r="F21" i="3"/>
  <c r="F20" i="3"/>
  <c r="B160" i="4"/>
  <c r="H160" i="4"/>
  <c r="G40" i="4"/>
  <c r="G48" i="4"/>
  <c r="G145" i="4"/>
  <c r="G49" i="4"/>
  <c r="G146" i="4"/>
  <c r="G158" i="4"/>
  <c r="G159" i="4"/>
  <c r="B161" i="4"/>
  <c r="H161" i="4"/>
  <c r="H170" i="4"/>
  <c r="H182" i="4"/>
  <c r="H147" i="4"/>
  <c r="H183" i="4"/>
  <c r="H65" i="4"/>
  <c r="C115" i="3"/>
  <c r="H69" i="4"/>
  <c r="F40" i="3"/>
  <c r="H71" i="4"/>
  <c r="G52" i="4"/>
  <c r="G65" i="4"/>
  <c r="G66" i="4"/>
  <c r="H66" i="4"/>
  <c r="I19" i="4"/>
  <c r="I113" i="3"/>
  <c r="I40" i="4"/>
  <c r="I52" i="4"/>
  <c r="I65" i="4"/>
  <c r="I66" i="4"/>
  <c r="J19" i="4"/>
  <c r="J113" i="3"/>
  <c r="J40" i="4"/>
  <c r="J52" i="4"/>
  <c r="J65" i="4"/>
  <c r="J66" i="4"/>
  <c r="K19" i="4"/>
  <c r="K113" i="3"/>
  <c r="K40" i="4"/>
  <c r="K52" i="4"/>
  <c r="K65" i="4"/>
  <c r="K66" i="4"/>
  <c r="L19" i="4"/>
  <c r="L113" i="3"/>
  <c r="L40" i="4"/>
  <c r="L52" i="4"/>
  <c r="L65" i="4"/>
  <c r="L66" i="4"/>
  <c r="M19" i="4"/>
  <c r="M113" i="3"/>
  <c r="M40" i="4"/>
  <c r="M52" i="4"/>
  <c r="M65" i="4"/>
  <c r="M66" i="4"/>
  <c r="N19" i="4"/>
  <c r="N113" i="3"/>
  <c r="N40" i="4"/>
  <c r="N52" i="4"/>
  <c r="N65" i="4"/>
  <c r="N66" i="4"/>
  <c r="O19" i="4"/>
  <c r="O113" i="3"/>
  <c r="O40" i="4"/>
  <c r="O52" i="4"/>
  <c r="O65" i="4"/>
  <c r="O66" i="4"/>
  <c r="P19" i="4"/>
  <c r="P113" i="3"/>
  <c r="P40" i="4"/>
  <c r="P52" i="4"/>
  <c r="P65" i="4"/>
  <c r="P66" i="4"/>
  <c r="Q19" i="4"/>
  <c r="Q113" i="3"/>
  <c r="Q40" i="4"/>
  <c r="Q52" i="4"/>
  <c r="Q65" i="4"/>
  <c r="Q66" i="4"/>
  <c r="R19" i="4"/>
  <c r="R113" i="3"/>
  <c r="R40" i="4"/>
  <c r="R52" i="4"/>
  <c r="R65" i="4"/>
  <c r="R66" i="4"/>
  <c r="S19" i="4"/>
  <c r="S113" i="3"/>
  <c r="S40" i="4"/>
  <c r="S52" i="4"/>
  <c r="S65" i="4"/>
  <c r="S66" i="4"/>
  <c r="T19" i="4"/>
  <c r="T113" i="3"/>
  <c r="T40" i="4"/>
  <c r="T52" i="4"/>
  <c r="T65" i="4"/>
  <c r="T66" i="4"/>
  <c r="U19" i="4"/>
  <c r="U113" i="3"/>
  <c r="U40" i="4"/>
  <c r="U52" i="4"/>
  <c r="U65" i="4"/>
  <c r="U66" i="4"/>
  <c r="V19" i="4"/>
  <c r="V113" i="3"/>
  <c r="V40" i="4"/>
  <c r="V52" i="4"/>
  <c r="V65" i="4"/>
  <c r="V66" i="4"/>
  <c r="W19" i="4"/>
  <c r="W113" i="3"/>
  <c r="W40" i="4"/>
  <c r="W52" i="4"/>
  <c r="W65" i="4"/>
  <c r="W66" i="4"/>
  <c r="X19" i="4"/>
  <c r="X113" i="3"/>
  <c r="X40" i="4"/>
  <c r="X52" i="4"/>
  <c r="X65" i="4"/>
  <c r="X66" i="4"/>
  <c r="Y19" i="4"/>
  <c r="Y113" i="3"/>
  <c r="Y40" i="4"/>
  <c r="Y52" i="4"/>
  <c r="Y65" i="4"/>
  <c r="Y66" i="4"/>
  <c r="Z19" i="4"/>
  <c r="Z113" i="3"/>
  <c r="Z40" i="4"/>
  <c r="Z52" i="4"/>
  <c r="Z65" i="4"/>
  <c r="Z66" i="4"/>
  <c r="AA19" i="4"/>
  <c r="AA113" i="3"/>
  <c r="AA40" i="4"/>
  <c r="AA52" i="4"/>
  <c r="AA65" i="4"/>
  <c r="AA66" i="4"/>
  <c r="AB19" i="4"/>
  <c r="AB113" i="3"/>
  <c r="AB40" i="4"/>
  <c r="AB52" i="4"/>
  <c r="AB65" i="4"/>
  <c r="AB66" i="4"/>
  <c r="AC19" i="4"/>
  <c r="AC113" i="3"/>
  <c r="AC40" i="4"/>
  <c r="AC52" i="4"/>
  <c r="AC65" i="4"/>
  <c r="AC66" i="4"/>
  <c r="AD19" i="4"/>
  <c r="AD113" i="3"/>
  <c r="AD40" i="4"/>
  <c r="AD52" i="4"/>
  <c r="AD65" i="4"/>
  <c r="AD66" i="4"/>
  <c r="AE19" i="4"/>
  <c r="AE113" i="3"/>
  <c r="AE40" i="4"/>
  <c r="AE52" i="4"/>
  <c r="AE65" i="4"/>
  <c r="AE66" i="4"/>
  <c r="AF19" i="4"/>
  <c r="AF113" i="3"/>
  <c r="AF40" i="4"/>
  <c r="AF52" i="4"/>
  <c r="AF65" i="4"/>
  <c r="AF66" i="4"/>
  <c r="AG19" i="4"/>
  <c r="AG113" i="3"/>
  <c r="AG40" i="4"/>
  <c r="AG52" i="4"/>
  <c r="AG65" i="4"/>
  <c r="AG66" i="4"/>
  <c r="AH19" i="4"/>
  <c r="AH113" i="3"/>
  <c r="AH40" i="4"/>
  <c r="AH52" i="4"/>
  <c r="AH65" i="4"/>
  <c r="AH66" i="4"/>
  <c r="AI19" i="4"/>
  <c r="AI113" i="3"/>
  <c r="AI40" i="4"/>
  <c r="AI52" i="4"/>
  <c r="AI65" i="4"/>
  <c r="AI66" i="4"/>
  <c r="AJ19" i="4"/>
  <c r="AJ113" i="3"/>
  <c r="AJ40" i="4"/>
  <c r="AJ52" i="4"/>
  <c r="AJ65" i="4"/>
  <c r="AJ66" i="4"/>
  <c r="AK19" i="4"/>
  <c r="AK113" i="3"/>
  <c r="AK40" i="4"/>
  <c r="AK52" i="4"/>
  <c r="AK65" i="4"/>
  <c r="AK66" i="4"/>
  <c r="AL19" i="4"/>
  <c r="AL113" i="3"/>
  <c r="AL40" i="4"/>
  <c r="AL52" i="4"/>
  <c r="AL65" i="4"/>
  <c r="AL66" i="4"/>
  <c r="AM19" i="4"/>
  <c r="AM113" i="3"/>
  <c r="AM40" i="4"/>
  <c r="AM52" i="4"/>
  <c r="AM65" i="4"/>
  <c r="AM66" i="4"/>
  <c r="AN19" i="4"/>
  <c r="AN113" i="3"/>
  <c r="AN40" i="4"/>
  <c r="AN52" i="4"/>
  <c r="AN65" i="4"/>
  <c r="AN66" i="4"/>
  <c r="AO19" i="4"/>
  <c r="AO113" i="3"/>
  <c r="AO40" i="4"/>
  <c r="AO52" i="4"/>
  <c r="AO65" i="4"/>
  <c r="AO66" i="4"/>
  <c r="AP19" i="4"/>
  <c r="AP113" i="3"/>
  <c r="AP40" i="4"/>
  <c r="AP52" i="4"/>
  <c r="AP65" i="4"/>
  <c r="AP66" i="4"/>
  <c r="AQ19" i="4"/>
  <c r="AQ113" i="3"/>
  <c r="AQ40" i="4"/>
  <c r="AQ52" i="4"/>
  <c r="AQ65" i="4"/>
  <c r="AQ66" i="4"/>
  <c r="AR19" i="4"/>
  <c r="AR113" i="3"/>
  <c r="AR40" i="4"/>
  <c r="AR52" i="4"/>
  <c r="AR65" i="4"/>
  <c r="AR66" i="4"/>
  <c r="AS19" i="4"/>
  <c r="AS113" i="3"/>
  <c r="AS40" i="4"/>
  <c r="AS52" i="4"/>
  <c r="AS65" i="4"/>
  <c r="AS66" i="4"/>
  <c r="AT19" i="4"/>
  <c r="AT113" i="3"/>
  <c r="AT40" i="4"/>
  <c r="AT52" i="4"/>
  <c r="AT65" i="4"/>
  <c r="AT66" i="4"/>
  <c r="AU19" i="4"/>
  <c r="AU113" i="3"/>
  <c r="AU40" i="4"/>
  <c r="AU52" i="4"/>
  <c r="AU65" i="4"/>
  <c r="AU66" i="4"/>
  <c r="AV19" i="4"/>
  <c r="AV113" i="3"/>
  <c r="AV40" i="4"/>
  <c r="AV52" i="4"/>
  <c r="AV65" i="4"/>
  <c r="AV66" i="4"/>
  <c r="AW19" i="4"/>
  <c r="AW113" i="3"/>
  <c r="AW40" i="4"/>
  <c r="AW52" i="4"/>
  <c r="AW65" i="4"/>
  <c r="AW66" i="4"/>
  <c r="AX19" i="4"/>
  <c r="AX113" i="3"/>
  <c r="AX40" i="4"/>
  <c r="AX52" i="4"/>
  <c r="AX65" i="4"/>
  <c r="AX66" i="4"/>
  <c r="AY19" i="4"/>
  <c r="AY113" i="3"/>
  <c r="AY40" i="4"/>
  <c r="AY52" i="4"/>
  <c r="AY65" i="4"/>
  <c r="AY66" i="4"/>
  <c r="AZ19" i="4"/>
  <c r="AZ113" i="3"/>
  <c r="AZ40" i="4"/>
  <c r="AZ52" i="4"/>
  <c r="AZ65" i="4"/>
  <c r="AZ66" i="4"/>
  <c r="BA19" i="4"/>
  <c r="BA113" i="3"/>
  <c r="BA40" i="4"/>
  <c r="BA52" i="4"/>
  <c r="BA65" i="4"/>
  <c r="BA66" i="4"/>
  <c r="BB19" i="4"/>
  <c r="BB113" i="3"/>
  <c r="BB40" i="4"/>
  <c r="BB52" i="4"/>
  <c r="BB65" i="4"/>
  <c r="BB66" i="4"/>
  <c r="BC19" i="4"/>
  <c r="BC113" i="3"/>
  <c r="BC40" i="4"/>
  <c r="BC52" i="4"/>
  <c r="BC65" i="4"/>
  <c r="BC66" i="4"/>
  <c r="BD19" i="4"/>
  <c r="BD113" i="3"/>
  <c r="BD40" i="4"/>
  <c r="BD52" i="4"/>
  <c r="BD65" i="4"/>
  <c r="BD66" i="4"/>
  <c r="C66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Z64" i="4"/>
  <c r="BA64" i="4"/>
  <c r="BB64" i="4"/>
  <c r="BC64" i="4"/>
  <c r="BD64" i="4"/>
  <c r="C64" i="4"/>
  <c r="H67" i="4"/>
  <c r="G74" i="4"/>
  <c r="G69" i="4"/>
  <c r="G71" i="4"/>
  <c r="G67" i="4"/>
  <c r="G72" i="4"/>
  <c r="F39" i="3"/>
  <c r="G75" i="4"/>
  <c r="G76" i="4"/>
  <c r="G77" i="4"/>
  <c r="G78" i="4"/>
  <c r="H74" i="4"/>
  <c r="H72" i="4"/>
  <c r="G70" i="4"/>
  <c r="H75" i="4"/>
  <c r="H76" i="4"/>
  <c r="H77" i="4"/>
  <c r="H148" i="4"/>
  <c r="H184" i="4"/>
  <c r="G47" i="4"/>
  <c r="G144" i="4"/>
  <c r="G207" i="4"/>
  <c r="H207" i="4"/>
  <c r="I13" i="4"/>
  <c r="I47" i="4"/>
  <c r="I144" i="4"/>
  <c r="I14" i="4"/>
  <c r="I48" i="4"/>
  <c r="I145" i="4"/>
  <c r="I8" i="4"/>
  <c r="I29" i="4"/>
  <c r="I207" i="4"/>
  <c r="J13" i="4"/>
  <c r="J47" i="4"/>
  <c r="J144" i="4"/>
  <c r="J14" i="4"/>
  <c r="J48" i="4"/>
  <c r="J145" i="4"/>
  <c r="J8" i="4"/>
  <c r="J29" i="4"/>
  <c r="J207" i="4"/>
  <c r="K13" i="4"/>
  <c r="K47" i="4"/>
  <c r="K144" i="4"/>
  <c r="K14" i="4"/>
  <c r="K48" i="4"/>
  <c r="K145" i="4"/>
  <c r="K8" i="4"/>
  <c r="K29" i="4"/>
  <c r="K207" i="4"/>
  <c r="L13" i="4"/>
  <c r="L47" i="4"/>
  <c r="L144" i="4"/>
  <c r="L14" i="4"/>
  <c r="L48" i="4"/>
  <c r="L145" i="4"/>
  <c r="L8" i="4"/>
  <c r="L29" i="4"/>
  <c r="L207" i="4"/>
  <c r="M13" i="4"/>
  <c r="M47" i="4"/>
  <c r="M144" i="4"/>
  <c r="M14" i="4"/>
  <c r="M48" i="4"/>
  <c r="M145" i="4"/>
  <c r="M8" i="4"/>
  <c r="M29" i="4"/>
  <c r="M207" i="4"/>
  <c r="N13" i="4"/>
  <c r="N47" i="4"/>
  <c r="N144" i="4"/>
  <c r="N14" i="4"/>
  <c r="N48" i="4"/>
  <c r="N145" i="4"/>
  <c r="N8" i="4"/>
  <c r="N29" i="4"/>
  <c r="N207" i="4"/>
  <c r="O13" i="4"/>
  <c r="O47" i="4"/>
  <c r="O144" i="4"/>
  <c r="O14" i="4"/>
  <c r="O48" i="4"/>
  <c r="O145" i="4"/>
  <c r="O8" i="4"/>
  <c r="O29" i="4"/>
  <c r="O207" i="4"/>
  <c r="P13" i="4"/>
  <c r="P47" i="4"/>
  <c r="P144" i="4"/>
  <c r="P14" i="4"/>
  <c r="P48" i="4"/>
  <c r="P145" i="4"/>
  <c r="P8" i="4"/>
  <c r="P29" i="4"/>
  <c r="P207" i="4"/>
  <c r="Q13" i="4"/>
  <c r="Q47" i="4"/>
  <c r="Q144" i="4"/>
  <c r="Q14" i="4"/>
  <c r="Q48" i="4"/>
  <c r="Q145" i="4"/>
  <c r="Q8" i="4"/>
  <c r="Q29" i="4"/>
  <c r="Q207" i="4"/>
  <c r="R13" i="4"/>
  <c r="R47" i="4"/>
  <c r="R144" i="4"/>
  <c r="R14" i="4"/>
  <c r="R48" i="4"/>
  <c r="R145" i="4"/>
  <c r="R8" i="4"/>
  <c r="R29" i="4"/>
  <c r="R207" i="4"/>
  <c r="S13" i="4"/>
  <c r="S47" i="4"/>
  <c r="S144" i="4"/>
  <c r="S14" i="4"/>
  <c r="S48" i="4"/>
  <c r="S145" i="4"/>
  <c r="S8" i="4"/>
  <c r="S29" i="4"/>
  <c r="S207" i="4"/>
  <c r="T13" i="4"/>
  <c r="T47" i="4"/>
  <c r="T144" i="4"/>
  <c r="T14" i="4"/>
  <c r="T48" i="4"/>
  <c r="T145" i="4"/>
  <c r="T8" i="4"/>
  <c r="T29" i="4"/>
  <c r="T207" i="4"/>
  <c r="U13" i="4"/>
  <c r="U47" i="4"/>
  <c r="U144" i="4"/>
  <c r="U14" i="4"/>
  <c r="U48" i="4"/>
  <c r="U145" i="4"/>
  <c r="U8" i="4"/>
  <c r="U29" i="4"/>
  <c r="U207" i="4"/>
  <c r="V13" i="4"/>
  <c r="V47" i="4"/>
  <c r="V144" i="4"/>
  <c r="V14" i="4"/>
  <c r="V48" i="4"/>
  <c r="V145" i="4"/>
  <c r="V8" i="4"/>
  <c r="V29" i="4"/>
  <c r="V207" i="4"/>
  <c r="W13" i="4"/>
  <c r="W47" i="4"/>
  <c r="W144" i="4"/>
  <c r="W14" i="4"/>
  <c r="W48" i="4"/>
  <c r="W145" i="4"/>
  <c r="W8" i="4"/>
  <c r="W29" i="4"/>
  <c r="W207" i="4"/>
  <c r="X13" i="4"/>
  <c r="X47" i="4"/>
  <c r="X144" i="4"/>
  <c r="X14" i="4"/>
  <c r="X48" i="4"/>
  <c r="X145" i="4"/>
  <c r="X8" i="4"/>
  <c r="X29" i="4"/>
  <c r="X207" i="4"/>
  <c r="Y13" i="4"/>
  <c r="Y47" i="4"/>
  <c r="Y144" i="4"/>
  <c r="Y14" i="4"/>
  <c r="Y48" i="4"/>
  <c r="Y145" i="4"/>
  <c r="Y8" i="4"/>
  <c r="Y29" i="4"/>
  <c r="Y207" i="4"/>
  <c r="Z13" i="4"/>
  <c r="Z47" i="4"/>
  <c r="Z144" i="4"/>
  <c r="Z14" i="4"/>
  <c r="Z48" i="4"/>
  <c r="Z145" i="4"/>
  <c r="Z8" i="4"/>
  <c r="Z29" i="4"/>
  <c r="Z207" i="4"/>
  <c r="AA13" i="4"/>
  <c r="AA47" i="4"/>
  <c r="AA144" i="4"/>
  <c r="AA14" i="4"/>
  <c r="AA48" i="4"/>
  <c r="AA145" i="4"/>
  <c r="AA8" i="4"/>
  <c r="AA29" i="4"/>
  <c r="AA207" i="4"/>
  <c r="AB13" i="4"/>
  <c r="AB47" i="4"/>
  <c r="AB144" i="4"/>
  <c r="AB14" i="4"/>
  <c r="AB48" i="4"/>
  <c r="AB145" i="4"/>
  <c r="AB8" i="4"/>
  <c r="AB29" i="4"/>
  <c r="AB207" i="4"/>
  <c r="AC13" i="4"/>
  <c r="AC47" i="4"/>
  <c r="AC144" i="4"/>
  <c r="AC14" i="4"/>
  <c r="AC48" i="4"/>
  <c r="AC145" i="4"/>
  <c r="AC8" i="4"/>
  <c r="AC29" i="4"/>
  <c r="AC207" i="4"/>
  <c r="AD13" i="4"/>
  <c r="AD47" i="4"/>
  <c r="AD144" i="4"/>
  <c r="AD14" i="4"/>
  <c r="AD48" i="4"/>
  <c r="AD145" i="4"/>
  <c r="AD8" i="4"/>
  <c r="AD29" i="4"/>
  <c r="AD207" i="4"/>
  <c r="AE13" i="4"/>
  <c r="AE47" i="4"/>
  <c r="AE144" i="4"/>
  <c r="AE14" i="4"/>
  <c r="AE48" i="4"/>
  <c r="AE145" i="4"/>
  <c r="AE8" i="4"/>
  <c r="AE29" i="4"/>
  <c r="AE207" i="4"/>
  <c r="AF13" i="4"/>
  <c r="AF47" i="4"/>
  <c r="AF144" i="4"/>
  <c r="AF14" i="4"/>
  <c r="AF48" i="4"/>
  <c r="AF145" i="4"/>
  <c r="AF8" i="4"/>
  <c r="AF29" i="4"/>
  <c r="AF207" i="4"/>
  <c r="AG13" i="4"/>
  <c r="AG47" i="4"/>
  <c r="AG144" i="4"/>
  <c r="AG14" i="4"/>
  <c r="AG48" i="4"/>
  <c r="AG145" i="4"/>
  <c r="AG8" i="4"/>
  <c r="AG29" i="4"/>
  <c r="AG207" i="4"/>
  <c r="AH13" i="4"/>
  <c r="AH47" i="4"/>
  <c r="AH144" i="4"/>
  <c r="AH14" i="4"/>
  <c r="AH48" i="4"/>
  <c r="AH145" i="4"/>
  <c r="AH8" i="4"/>
  <c r="AH29" i="4"/>
  <c r="AH207" i="4"/>
  <c r="AI13" i="4"/>
  <c r="AI47" i="4"/>
  <c r="AI144" i="4"/>
  <c r="AI14" i="4"/>
  <c r="AI48" i="4"/>
  <c r="AI145" i="4"/>
  <c r="AI8" i="4"/>
  <c r="AI29" i="4"/>
  <c r="AI207" i="4"/>
  <c r="AJ13" i="4"/>
  <c r="AJ47" i="4"/>
  <c r="AJ144" i="4"/>
  <c r="AJ14" i="4"/>
  <c r="AJ48" i="4"/>
  <c r="AJ145" i="4"/>
  <c r="AJ8" i="4"/>
  <c r="AJ29" i="4"/>
  <c r="AJ207" i="4"/>
  <c r="AK13" i="4"/>
  <c r="AK47" i="4"/>
  <c r="AK144" i="4"/>
  <c r="AK14" i="4"/>
  <c r="AK48" i="4"/>
  <c r="AK145" i="4"/>
  <c r="AK8" i="4"/>
  <c r="AK29" i="4"/>
  <c r="AK207" i="4"/>
  <c r="AL13" i="4"/>
  <c r="AL47" i="4"/>
  <c r="AL144" i="4"/>
  <c r="AL14" i="4"/>
  <c r="AL48" i="4"/>
  <c r="AL145" i="4"/>
  <c r="AL8" i="4"/>
  <c r="AL29" i="4"/>
  <c r="AL207" i="4"/>
  <c r="AM13" i="4"/>
  <c r="AM47" i="4"/>
  <c r="AM144" i="4"/>
  <c r="AM14" i="4"/>
  <c r="AM48" i="4"/>
  <c r="AM145" i="4"/>
  <c r="AM8" i="4"/>
  <c r="AM29" i="4"/>
  <c r="AM207" i="4"/>
  <c r="AN13" i="4"/>
  <c r="AN47" i="4"/>
  <c r="AN144" i="4"/>
  <c r="AN14" i="4"/>
  <c r="AN48" i="4"/>
  <c r="AN145" i="4"/>
  <c r="AN8" i="4"/>
  <c r="AN29" i="4"/>
  <c r="AN207" i="4"/>
  <c r="AO13" i="4"/>
  <c r="AO47" i="4"/>
  <c r="AO144" i="4"/>
  <c r="AO14" i="4"/>
  <c r="AO48" i="4"/>
  <c r="AO145" i="4"/>
  <c r="AO8" i="4"/>
  <c r="AO29" i="4"/>
  <c r="AO207" i="4"/>
  <c r="AP13" i="4"/>
  <c r="AP47" i="4"/>
  <c r="AP144" i="4"/>
  <c r="AP14" i="4"/>
  <c r="AP48" i="4"/>
  <c r="AP145" i="4"/>
  <c r="AP8" i="4"/>
  <c r="AP29" i="4"/>
  <c r="AP207" i="4"/>
  <c r="AQ13" i="4"/>
  <c r="AQ47" i="4"/>
  <c r="AQ144" i="4"/>
  <c r="AQ14" i="4"/>
  <c r="AQ48" i="4"/>
  <c r="AQ145" i="4"/>
  <c r="AQ8" i="4"/>
  <c r="AQ29" i="4"/>
  <c r="AQ207" i="4"/>
  <c r="AR13" i="4"/>
  <c r="AR47" i="4"/>
  <c r="AR144" i="4"/>
  <c r="AR14" i="4"/>
  <c r="AR48" i="4"/>
  <c r="AR145" i="4"/>
  <c r="AR8" i="4"/>
  <c r="AR29" i="4"/>
  <c r="AR207" i="4"/>
  <c r="AS13" i="4"/>
  <c r="AS47" i="4"/>
  <c r="AS144" i="4"/>
  <c r="AS14" i="4"/>
  <c r="AS48" i="4"/>
  <c r="AS145" i="4"/>
  <c r="AS8" i="4"/>
  <c r="AS29" i="4"/>
  <c r="AS207" i="4"/>
  <c r="AT13" i="4"/>
  <c r="AT47" i="4"/>
  <c r="AT144" i="4"/>
  <c r="AT14" i="4"/>
  <c r="AT48" i="4"/>
  <c r="AT145" i="4"/>
  <c r="AT8" i="4"/>
  <c r="AT29" i="4"/>
  <c r="AT207" i="4"/>
  <c r="AU13" i="4"/>
  <c r="AU47" i="4"/>
  <c r="AU144" i="4"/>
  <c r="AU14" i="4"/>
  <c r="AU48" i="4"/>
  <c r="AU145" i="4"/>
  <c r="AU8" i="4"/>
  <c r="AU29" i="4"/>
  <c r="AU207" i="4"/>
  <c r="AV13" i="4"/>
  <c r="AV47" i="4"/>
  <c r="AV144" i="4"/>
  <c r="AV14" i="4"/>
  <c r="AV48" i="4"/>
  <c r="AV145" i="4"/>
  <c r="AV8" i="4"/>
  <c r="AV29" i="4"/>
  <c r="AV207" i="4"/>
  <c r="AW13" i="4"/>
  <c r="AW47" i="4"/>
  <c r="AW144" i="4"/>
  <c r="AW14" i="4"/>
  <c r="AW48" i="4"/>
  <c r="AW145" i="4"/>
  <c r="AW8" i="4"/>
  <c r="AW29" i="4"/>
  <c r="AW207" i="4"/>
  <c r="AX13" i="4"/>
  <c r="AX47" i="4"/>
  <c r="AX144" i="4"/>
  <c r="AX14" i="4"/>
  <c r="AX48" i="4"/>
  <c r="AX145" i="4"/>
  <c r="AX8" i="4"/>
  <c r="AX29" i="4"/>
  <c r="AX207" i="4"/>
  <c r="AY13" i="4"/>
  <c r="AY47" i="4"/>
  <c r="AY144" i="4"/>
  <c r="AY14" i="4"/>
  <c r="AY48" i="4"/>
  <c r="AY145" i="4"/>
  <c r="AY8" i="4"/>
  <c r="AY29" i="4"/>
  <c r="AY207" i="4"/>
  <c r="AZ13" i="4"/>
  <c r="AZ47" i="4"/>
  <c r="AZ144" i="4"/>
  <c r="AZ14" i="4"/>
  <c r="AZ48" i="4"/>
  <c r="AZ145" i="4"/>
  <c r="AZ8" i="4"/>
  <c r="AZ29" i="4"/>
  <c r="AZ207" i="4"/>
  <c r="BA13" i="4"/>
  <c r="BA47" i="4"/>
  <c r="BA144" i="4"/>
  <c r="BA14" i="4"/>
  <c r="BA48" i="4"/>
  <c r="BA145" i="4"/>
  <c r="BA8" i="4"/>
  <c r="BA29" i="4"/>
  <c r="BA207" i="4"/>
  <c r="BB13" i="4"/>
  <c r="BB47" i="4"/>
  <c r="BB144" i="4"/>
  <c r="BB14" i="4"/>
  <c r="BB48" i="4"/>
  <c r="BB145" i="4"/>
  <c r="BB8" i="4"/>
  <c r="BB29" i="4"/>
  <c r="BB207" i="4"/>
  <c r="BC13" i="4"/>
  <c r="BC47" i="4"/>
  <c r="BC144" i="4"/>
  <c r="BC14" i="4"/>
  <c r="BC48" i="4"/>
  <c r="BC145" i="4"/>
  <c r="BC8" i="4"/>
  <c r="BC29" i="4"/>
  <c r="BC207" i="4"/>
  <c r="BD13" i="4"/>
  <c r="BD47" i="4"/>
  <c r="BD144" i="4"/>
  <c r="BD14" i="4"/>
  <c r="BD48" i="4"/>
  <c r="BD145" i="4"/>
  <c r="BD8" i="4"/>
  <c r="BD29" i="4"/>
  <c r="BD207" i="4"/>
  <c r="C207" i="4"/>
  <c r="H210" i="4"/>
  <c r="H185" i="4"/>
  <c r="G213" i="4"/>
  <c r="F26" i="3"/>
  <c r="G214" i="4"/>
  <c r="G45" i="4"/>
  <c r="G43" i="4"/>
  <c r="G81" i="4"/>
  <c r="G83" i="4"/>
  <c r="G84" i="4"/>
  <c r="G86" i="4"/>
  <c r="G89" i="4"/>
  <c r="G90" i="4"/>
  <c r="G95" i="4"/>
  <c r="G100" i="4"/>
  <c r="G96" i="4"/>
  <c r="G101" i="4"/>
  <c r="G97" i="4"/>
  <c r="G102" i="4"/>
  <c r="G98" i="4"/>
  <c r="G103" i="4"/>
  <c r="G105" i="4"/>
  <c r="G50" i="4"/>
  <c r="G108" i="4"/>
  <c r="G111" i="4"/>
  <c r="G46" i="4"/>
  <c r="G51" i="4"/>
  <c r="G53" i="4"/>
  <c r="G54" i="4"/>
  <c r="G114" i="4"/>
  <c r="G117" i="4"/>
  <c r="F29" i="3"/>
  <c r="H227" i="4"/>
  <c r="H299" i="4"/>
  <c r="F109" i="3"/>
  <c r="H193" i="4"/>
  <c r="F31" i="3"/>
  <c r="H194" i="4"/>
  <c r="F30" i="3"/>
  <c r="F14" i="3"/>
  <c r="H195" i="4"/>
  <c r="H300" i="4"/>
  <c r="F514" i="4"/>
  <c r="F515" i="4"/>
  <c r="F516" i="4"/>
  <c r="F517" i="4"/>
  <c r="F518" i="4"/>
  <c r="F519" i="4"/>
  <c r="F520" i="4"/>
  <c r="F521" i="4"/>
  <c r="F522" i="4"/>
  <c r="F523" i="4"/>
  <c r="Q512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AF434" i="4"/>
  <c r="AG434" i="4"/>
  <c r="AH434" i="4"/>
  <c r="AI434" i="4"/>
  <c r="AI512" i="4"/>
  <c r="AH512" i="4"/>
  <c r="AG512" i="4"/>
  <c r="AF512" i="4"/>
  <c r="AE512" i="4"/>
  <c r="AD512" i="4"/>
  <c r="AC512" i="4"/>
  <c r="AB512" i="4"/>
  <c r="AA512" i="4"/>
  <c r="Z512" i="4"/>
  <c r="Y512" i="4"/>
  <c r="X512" i="4"/>
  <c r="W512" i="4"/>
  <c r="V512" i="4"/>
  <c r="U512" i="4"/>
  <c r="T512" i="4"/>
  <c r="S512" i="4"/>
  <c r="R512" i="4"/>
  <c r="P434" i="4"/>
  <c r="P512" i="4"/>
  <c r="O434" i="4"/>
  <c r="O512" i="4"/>
  <c r="N434" i="4"/>
  <c r="N512" i="4"/>
  <c r="M434" i="4"/>
  <c r="M512" i="4"/>
  <c r="L434" i="4"/>
  <c r="L512" i="4"/>
  <c r="K434" i="4"/>
  <c r="K512" i="4"/>
  <c r="J434" i="4"/>
  <c r="J512" i="4"/>
  <c r="I434" i="4"/>
  <c r="I512" i="4"/>
  <c r="H434" i="4"/>
  <c r="H512" i="4"/>
  <c r="G434" i="4"/>
  <c r="G512" i="4"/>
  <c r="J353" i="4"/>
  <c r="D509" i="4"/>
  <c r="D508" i="4"/>
  <c r="D507" i="4"/>
  <c r="D506" i="4"/>
  <c r="Q505" i="4"/>
  <c r="P505" i="4"/>
  <c r="O505" i="4"/>
  <c r="N505" i="4"/>
  <c r="M505" i="4"/>
  <c r="L505" i="4"/>
  <c r="K505" i="4"/>
  <c r="J505" i="4"/>
  <c r="I505" i="4"/>
  <c r="H505" i="4"/>
  <c r="G505" i="4"/>
  <c r="Q504" i="4"/>
  <c r="P504" i="4"/>
  <c r="O504" i="4"/>
  <c r="N504" i="4"/>
  <c r="M504" i="4"/>
  <c r="L504" i="4"/>
  <c r="K504" i="4"/>
  <c r="J504" i="4"/>
  <c r="I504" i="4"/>
  <c r="H504" i="4"/>
  <c r="G504" i="4"/>
  <c r="G337" i="4"/>
  <c r="G341" i="4"/>
  <c r="G267" i="4"/>
  <c r="G348" i="4"/>
  <c r="H337" i="4"/>
  <c r="H341" i="4"/>
  <c r="H267" i="4"/>
  <c r="H348" i="4"/>
  <c r="I108" i="3"/>
  <c r="I9" i="4"/>
  <c r="I10" i="4"/>
  <c r="I11" i="4"/>
  <c r="I45" i="4"/>
  <c r="I12" i="4"/>
  <c r="I46" i="4"/>
  <c r="I15" i="4"/>
  <c r="I49" i="4"/>
  <c r="I16" i="4"/>
  <c r="I17" i="4"/>
  <c r="I50" i="4"/>
  <c r="I18" i="4"/>
  <c r="I51" i="4"/>
  <c r="I53" i="4"/>
  <c r="I54" i="4"/>
  <c r="I337" i="4"/>
  <c r="I341" i="4"/>
  <c r="I267" i="4"/>
  <c r="I348" i="4"/>
  <c r="J108" i="3"/>
  <c r="J9" i="4"/>
  <c r="J10" i="4"/>
  <c r="J11" i="4"/>
  <c r="J45" i="4"/>
  <c r="J12" i="4"/>
  <c r="J46" i="4"/>
  <c r="J15" i="4"/>
  <c r="J49" i="4"/>
  <c r="J16" i="4"/>
  <c r="J17" i="4"/>
  <c r="J50" i="4"/>
  <c r="J18" i="4"/>
  <c r="J51" i="4"/>
  <c r="J53" i="4"/>
  <c r="J54" i="4"/>
  <c r="J337" i="4"/>
  <c r="J341" i="4"/>
  <c r="J267" i="4"/>
  <c r="J348" i="4"/>
  <c r="K108" i="3"/>
  <c r="K9" i="4"/>
  <c r="K10" i="4"/>
  <c r="K11" i="4"/>
  <c r="K45" i="4"/>
  <c r="K12" i="4"/>
  <c r="K46" i="4"/>
  <c r="K15" i="4"/>
  <c r="K49" i="4"/>
  <c r="K16" i="4"/>
  <c r="K17" i="4"/>
  <c r="K50" i="4"/>
  <c r="K18" i="4"/>
  <c r="K51" i="4"/>
  <c r="K53" i="4"/>
  <c r="K54" i="4"/>
  <c r="K337" i="4"/>
  <c r="K341" i="4"/>
  <c r="K267" i="4"/>
  <c r="K348" i="4"/>
  <c r="L108" i="3"/>
  <c r="L9" i="4"/>
  <c r="L10" i="4"/>
  <c r="L11" i="4"/>
  <c r="L45" i="4"/>
  <c r="L12" i="4"/>
  <c r="L46" i="4"/>
  <c r="L15" i="4"/>
  <c r="L49" i="4"/>
  <c r="L16" i="4"/>
  <c r="L17" i="4"/>
  <c r="L50" i="4"/>
  <c r="L18" i="4"/>
  <c r="L51" i="4"/>
  <c r="L53" i="4"/>
  <c r="L54" i="4"/>
  <c r="L337" i="4"/>
  <c r="L341" i="4"/>
  <c r="L267" i="4"/>
  <c r="L348" i="4"/>
  <c r="M108" i="3"/>
  <c r="M9" i="4"/>
  <c r="M10" i="4"/>
  <c r="M11" i="4"/>
  <c r="M45" i="4"/>
  <c r="M12" i="4"/>
  <c r="M46" i="4"/>
  <c r="M15" i="4"/>
  <c r="M49" i="4"/>
  <c r="M16" i="4"/>
  <c r="M17" i="4"/>
  <c r="M50" i="4"/>
  <c r="M18" i="4"/>
  <c r="M51" i="4"/>
  <c r="M53" i="4"/>
  <c r="M54" i="4"/>
  <c r="M337" i="4"/>
  <c r="M341" i="4"/>
  <c r="M267" i="4"/>
  <c r="M348" i="4"/>
  <c r="N108" i="3"/>
  <c r="N9" i="4"/>
  <c r="N10" i="4"/>
  <c r="N11" i="4"/>
  <c r="N45" i="4"/>
  <c r="N12" i="4"/>
  <c r="N46" i="4"/>
  <c r="N15" i="4"/>
  <c r="N49" i="4"/>
  <c r="N16" i="4"/>
  <c r="N17" i="4"/>
  <c r="N50" i="4"/>
  <c r="N18" i="4"/>
  <c r="N51" i="4"/>
  <c r="N53" i="4"/>
  <c r="N54" i="4"/>
  <c r="N337" i="4"/>
  <c r="N341" i="4"/>
  <c r="N267" i="4"/>
  <c r="N348" i="4"/>
  <c r="O108" i="3"/>
  <c r="O9" i="4"/>
  <c r="O10" i="4"/>
  <c r="O11" i="4"/>
  <c r="O45" i="4"/>
  <c r="O12" i="4"/>
  <c r="O46" i="4"/>
  <c r="O15" i="4"/>
  <c r="O49" i="4"/>
  <c r="O16" i="4"/>
  <c r="O17" i="4"/>
  <c r="O50" i="4"/>
  <c r="O18" i="4"/>
  <c r="O51" i="4"/>
  <c r="O53" i="4"/>
  <c r="O54" i="4"/>
  <c r="O337" i="4"/>
  <c r="O341" i="4"/>
  <c r="O267" i="4"/>
  <c r="O348" i="4"/>
  <c r="P108" i="3"/>
  <c r="P9" i="4"/>
  <c r="P10" i="4"/>
  <c r="P11" i="4"/>
  <c r="P45" i="4"/>
  <c r="P12" i="4"/>
  <c r="P46" i="4"/>
  <c r="P15" i="4"/>
  <c r="P49" i="4"/>
  <c r="P16" i="4"/>
  <c r="P17" i="4"/>
  <c r="P50" i="4"/>
  <c r="P18" i="4"/>
  <c r="P51" i="4"/>
  <c r="P53" i="4"/>
  <c r="P54" i="4"/>
  <c r="P337" i="4"/>
  <c r="P341" i="4"/>
  <c r="P267" i="4"/>
  <c r="P348" i="4"/>
  <c r="Q108" i="3"/>
  <c r="Q9" i="4"/>
  <c r="Q10" i="4"/>
  <c r="Q11" i="4"/>
  <c r="Q45" i="4"/>
  <c r="Q12" i="4"/>
  <c r="Q46" i="4"/>
  <c r="Q15" i="4"/>
  <c r="Q49" i="4"/>
  <c r="Q16" i="4"/>
  <c r="Q17" i="4"/>
  <c r="Q50" i="4"/>
  <c r="Q18" i="4"/>
  <c r="Q51" i="4"/>
  <c r="Q53" i="4"/>
  <c r="Q54" i="4"/>
  <c r="Q337" i="4"/>
  <c r="Q341" i="4"/>
  <c r="Q267" i="4"/>
  <c r="Q348" i="4"/>
  <c r="R108" i="3"/>
  <c r="R9" i="4"/>
  <c r="R10" i="4"/>
  <c r="R11" i="4"/>
  <c r="R45" i="4"/>
  <c r="R12" i="4"/>
  <c r="R46" i="4"/>
  <c r="R15" i="4"/>
  <c r="R49" i="4"/>
  <c r="R16" i="4"/>
  <c r="R17" i="4"/>
  <c r="R50" i="4"/>
  <c r="R18" i="4"/>
  <c r="R51" i="4"/>
  <c r="R53" i="4"/>
  <c r="R54" i="4"/>
  <c r="R337" i="4"/>
  <c r="R341" i="4"/>
  <c r="R267" i="4"/>
  <c r="R348" i="4"/>
  <c r="S108" i="3"/>
  <c r="S9" i="4"/>
  <c r="S10" i="4"/>
  <c r="S11" i="4"/>
  <c r="S45" i="4"/>
  <c r="S12" i="4"/>
  <c r="S46" i="4"/>
  <c r="S15" i="4"/>
  <c r="S49" i="4"/>
  <c r="S16" i="4"/>
  <c r="S17" i="4"/>
  <c r="S50" i="4"/>
  <c r="S18" i="4"/>
  <c r="S51" i="4"/>
  <c r="S53" i="4"/>
  <c r="S54" i="4"/>
  <c r="S337" i="4"/>
  <c r="S341" i="4"/>
  <c r="S267" i="4"/>
  <c r="S348" i="4"/>
  <c r="T108" i="3"/>
  <c r="T9" i="4"/>
  <c r="T10" i="4"/>
  <c r="T11" i="4"/>
  <c r="T45" i="4"/>
  <c r="T12" i="4"/>
  <c r="T46" i="4"/>
  <c r="T15" i="4"/>
  <c r="T49" i="4"/>
  <c r="T16" i="4"/>
  <c r="T17" i="4"/>
  <c r="T50" i="4"/>
  <c r="T18" i="4"/>
  <c r="T51" i="4"/>
  <c r="T53" i="4"/>
  <c r="T54" i="4"/>
  <c r="T337" i="4"/>
  <c r="T341" i="4"/>
  <c r="T267" i="4"/>
  <c r="T348" i="4"/>
  <c r="U108" i="3"/>
  <c r="U9" i="4"/>
  <c r="U10" i="4"/>
  <c r="U11" i="4"/>
  <c r="U45" i="4"/>
  <c r="U12" i="4"/>
  <c r="U46" i="4"/>
  <c r="U15" i="4"/>
  <c r="U49" i="4"/>
  <c r="U16" i="4"/>
  <c r="U17" i="4"/>
  <c r="U50" i="4"/>
  <c r="U18" i="4"/>
  <c r="U51" i="4"/>
  <c r="U53" i="4"/>
  <c r="U54" i="4"/>
  <c r="U337" i="4"/>
  <c r="U341" i="4"/>
  <c r="U267" i="4"/>
  <c r="U348" i="4"/>
  <c r="V108" i="3"/>
  <c r="V9" i="4"/>
  <c r="V10" i="4"/>
  <c r="V11" i="4"/>
  <c r="V45" i="4"/>
  <c r="V12" i="4"/>
  <c r="V46" i="4"/>
  <c r="V15" i="4"/>
  <c r="V49" i="4"/>
  <c r="V16" i="4"/>
  <c r="V17" i="4"/>
  <c r="V50" i="4"/>
  <c r="V18" i="4"/>
  <c r="V51" i="4"/>
  <c r="V53" i="4"/>
  <c r="V54" i="4"/>
  <c r="V337" i="4"/>
  <c r="V341" i="4"/>
  <c r="V267" i="4"/>
  <c r="V348" i="4"/>
  <c r="W108" i="3"/>
  <c r="W9" i="4"/>
  <c r="W10" i="4"/>
  <c r="W11" i="4"/>
  <c r="W45" i="4"/>
  <c r="W12" i="4"/>
  <c r="W46" i="4"/>
  <c r="W15" i="4"/>
  <c r="W49" i="4"/>
  <c r="W16" i="4"/>
  <c r="W17" i="4"/>
  <c r="W50" i="4"/>
  <c r="W18" i="4"/>
  <c r="W51" i="4"/>
  <c r="W53" i="4"/>
  <c r="W54" i="4"/>
  <c r="W337" i="4"/>
  <c r="W341" i="4"/>
  <c r="W267" i="4"/>
  <c r="W348" i="4"/>
  <c r="X108" i="3"/>
  <c r="X9" i="4"/>
  <c r="X10" i="4"/>
  <c r="X11" i="4"/>
  <c r="X45" i="4"/>
  <c r="X12" i="4"/>
  <c r="X46" i="4"/>
  <c r="X15" i="4"/>
  <c r="X49" i="4"/>
  <c r="X16" i="4"/>
  <c r="X17" i="4"/>
  <c r="X50" i="4"/>
  <c r="X18" i="4"/>
  <c r="X51" i="4"/>
  <c r="X53" i="4"/>
  <c r="X54" i="4"/>
  <c r="X337" i="4"/>
  <c r="X341" i="4"/>
  <c r="X267" i="4"/>
  <c r="X348" i="4"/>
  <c r="Y108" i="3"/>
  <c r="Y9" i="4"/>
  <c r="Y10" i="4"/>
  <c r="Y11" i="4"/>
  <c r="Y45" i="4"/>
  <c r="Y12" i="4"/>
  <c r="Y46" i="4"/>
  <c r="Y15" i="4"/>
  <c r="Y49" i="4"/>
  <c r="Y16" i="4"/>
  <c r="Y17" i="4"/>
  <c r="Y50" i="4"/>
  <c r="Y18" i="4"/>
  <c r="Y51" i="4"/>
  <c r="Y53" i="4"/>
  <c r="Y54" i="4"/>
  <c r="Y337" i="4"/>
  <c r="Y341" i="4"/>
  <c r="Y267" i="4"/>
  <c r="Y348" i="4"/>
  <c r="Z108" i="3"/>
  <c r="Z9" i="4"/>
  <c r="Z10" i="4"/>
  <c r="Z11" i="4"/>
  <c r="Z45" i="4"/>
  <c r="Z12" i="4"/>
  <c r="Z46" i="4"/>
  <c r="Z15" i="4"/>
  <c r="Z49" i="4"/>
  <c r="Z16" i="4"/>
  <c r="Z17" i="4"/>
  <c r="Z50" i="4"/>
  <c r="Z18" i="4"/>
  <c r="Z51" i="4"/>
  <c r="Z53" i="4"/>
  <c r="Z54" i="4"/>
  <c r="Z337" i="4"/>
  <c r="Z341" i="4"/>
  <c r="Z267" i="4"/>
  <c r="Z348" i="4"/>
  <c r="AA108" i="3"/>
  <c r="AA9" i="4"/>
  <c r="AA10" i="4"/>
  <c r="AA11" i="4"/>
  <c r="AA45" i="4"/>
  <c r="AA12" i="4"/>
  <c r="AA46" i="4"/>
  <c r="AA15" i="4"/>
  <c r="AA49" i="4"/>
  <c r="AA16" i="4"/>
  <c r="AA17" i="4"/>
  <c r="AA50" i="4"/>
  <c r="AA18" i="4"/>
  <c r="AA51" i="4"/>
  <c r="AA53" i="4"/>
  <c r="AA54" i="4"/>
  <c r="AA337" i="4"/>
  <c r="AA341" i="4"/>
  <c r="AA267" i="4"/>
  <c r="AA348" i="4"/>
  <c r="AB108" i="3"/>
  <c r="AB9" i="4"/>
  <c r="AB10" i="4"/>
  <c r="AB11" i="4"/>
  <c r="AB45" i="4"/>
  <c r="AB12" i="4"/>
  <c r="AB46" i="4"/>
  <c r="AB15" i="4"/>
  <c r="AB49" i="4"/>
  <c r="AB16" i="4"/>
  <c r="AB17" i="4"/>
  <c r="AB50" i="4"/>
  <c r="AB18" i="4"/>
  <c r="AB51" i="4"/>
  <c r="AB53" i="4"/>
  <c r="AB54" i="4"/>
  <c r="AB337" i="4"/>
  <c r="AB341" i="4"/>
  <c r="AB267" i="4"/>
  <c r="AB348" i="4"/>
  <c r="AC108" i="3"/>
  <c r="AC9" i="4"/>
  <c r="AC10" i="4"/>
  <c r="AC11" i="4"/>
  <c r="AC45" i="4"/>
  <c r="AC12" i="4"/>
  <c r="AC46" i="4"/>
  <c r="AC15" i="4"/>
  <c r="AC49" i="4"/>
  <c r="AC16" i="4"/>
  <c r="AC17" i="4"/>
  <c r="AC50" i="4"/>
  <c r="AC18" i="4"/>
  <c r="AC51" i="4"/>
  <c r="AC53" i="4"/>
  <c r="AC54" i="4"/>
  <c r="AC337" i="4"/>
  <c r="AC341" i="4"/>
  <c r="AC267" i="4"/>
  <c r="AC348" i="4"/>
  <c r="AD108" i="3"/>
  <c r="AD9" i="4"/>
  <c r="AD10" i="4"/>
  <c r="AD11" i="4"/>
  <c r="AD45" i="4"/>
  <c r="AD12" i="4"/>
  <c r="AD46" i="4"/>
  <c r="AD15" i="4"/>
  <c r="AD49" i="4"/>
  <c r="AD16" i="4"/>
  <c r="AD17" i="4"/>
  <c r="AD50" i="4"/>
  <c r="AD18" i="4"/>
  <c r="AD51" i="4"/>
  <c r="AD53" i="4"/>
  <c r="AD54" i="4"/>
  <c r="AD337" i="4"/>
  <c r="AD341" i="4"/>
  <c r="AD267" i="4"/>
  <c r="AD348" i="4"/>
  <c r="AE108" i="3"/>
  <c r="AE9" i="4"/>
  <c r="AE10" i="4"/>
  <c r="AE11" i="4"/>
  <c r="AE45" i="4"/>
  <c r="AE12" i="4"/>
  <c r="AE46" i="4"/>
  <c r="AE15" i="4"/>
  <c r="AE49" i="4"/>
  <c r="AE16" i="4"/>
  <c r="AE17" i="4"/>
  <c r="AE50" i="4"/>
  <c r="AE18" i="4"/>
  <c r="AE51" i="4"/>
  <c r="AE53" i="4"/>
  <c r="AE54" i="4"/>
  <c r="AE337" i="4"/>
  <c r="AE341" i="4"/>
  <c r="AE267" i="4"/>
  <c r="AE348" i="4"/>
  <c r="AF108" i="3"/>
  <c r="AF9" i="4"/>
  <c r="AF10" i="4"/>
  <c r="AF11" i="4"/>
  <c r="AF45" i="4"/>
  <c r="AF12" i="4"/>
  <c r="AF46" i="4"/>
  <c r="AF15" i="4"/>
  <c r="AF49" i="4"/>
  <c r="AF16" i="4"/>
  <c r="AF17" i="4"/>
  <c r="AF50" i="4"/>
  <c r="AF18" i="4"/>
  <c r="AF51" i="4"/>
  <c r="AF53" i="4"/>
  <c r="AF54" i="4"/>
  <c r="AF337" i="4"/>
  <c r="AF341" i="4"/>
  <c r="AF267" i="4"/>
  <c r="AF348" i="4"/>
  <c r="AG108" i="3"/>
  <c r="AG9" i="4"/>
  <c r="AG10" i="4"/>
  <c r="AG11" i="4"/>
  <c r="AG45" i="4"/>
  <c r="AG12" i="4"/>
  <c r="AG46" i="4"/>
  <c r="AG15" i="4"/>
  <c r="AG49" i="4"/>
  <c r="AG16" i="4"/>
  <c r="AG17" i="4"/>
  <c r="AG50" i="4"/>
  <c r="AG18" i="4"/>
  <c r="AG51" i="4"/>
  <c r="AG53" i="4"/>
  <c r="AG54" i="4"/>
  <c r="AG337" i="4"/>
  <c r="AG341" i="4"/>
  <c r="AG267" i="4"/>
  <c r="AG348" i="4"/>
  <c r="AH108" i="3"/>
  <c r="AH9" i="4"/>
  <c r="AH10" i="4"/>
  <c r="AH11" i="4"/>
  <c r="AH45" i="4"/>
  <c r="AH12" i="4"/>
  <c r="AH46" i="4"/>
  <c r="AH15" i="4"/>
  <c r="AH49" i="4"/>
  <c r="AH16" i="4"/>
  <c r="AH17" i="4"/>
  <c r="AH50" i="4"/>
  <c r="AH18" i="4"/>
  <c r="AH51" i="4"/>
  <c r="AH53" i="4"/>
  <c r="AH54" i="4"/>
  <c r="AH337" i="4"/>
  <c r="AH341" i="4"/>
  <c r="AH267" i="4"/>
  <c r="AH348" i="4"/>
  <c r="AI108" i="3"/>
  <c r="AI9" i="4"/>
  <c r="AI10" i="4"/>
  <c r="AI11" i="4"/>
  <c r="AI45" i="4"/>
  <c r="AI12" i="4"/>
  <c r="AI46" i="4"/>
  <c r="AI15" i="4"/>
  <c r="AI49" i="4"/>
  <c r="AI16" i="4"/>
  <c r="AI17" i="4"/>
  <c r="AI50" i="4"/>
  <c r="AI18" i="4"/>
  <c r="AI51" i="4"/>
  <c r="AI53" i="4"/>
  <c r="AI54" i="4"/>
  <c r="AI337" i="4"/>
  <c r="AI341" i="4"/>
  <c r="AI267" i="4"/>
  <c r="AI348" i="4"/>
  <c r="AJ108" i="3"/>
  <c r="AJ9" i="4"/>
  <c r="AJ10" i="4"/>
  <c r="AJ11" i="4"/>
  <c r="AJ45" i="4"/>
  <c r="AJ12" i="4"/>
  <c r="AJ46" i="4"/>
  <c r="AJ15" i="4"/>
  <c r="AJ49" i="4"/>
  <c r="AJ16" i="4"/>
  <c r="AJ17" i="4"/>
  <c r="AJ50" i="4"/>
  <c r="AJ18" i="4"/>
  <c r="AJ51" i="4"/>
  <c r="AJ53" i="4"/>
  <c r="AJ54" i="4"/>
  <c r="AJ337" i="4"/>
  <c r="AJ341" i="4"/>
  <c r="AJ267" i="4"/>
  <c r="AJ348" i="4"/>
  <c r="AK108" i="3"/>
  <c r="AK9" i="4"/>
  <c r="AK10" i="4"/>
  <c r="AK11" i="4"/>
  <c r="AK45" i="4"/>
  <c r="AK12" i="4"/>
  <c r="AK46" i="4"/>
  <c r="AK15" i="4"/>
  <c r="AK49" i="4"/>
  <c r="AK16" i="4"/>
  <c r="AK17" i="4"/>
  <c r="AK50" i="4"/>
  <c r="AK18" i="4"/>
  <c r="AK51" i="4"/>
  <c r="AK53" i="4"/>
  <c r="AK54" i="4"/>
  <c r="AK337" i="4"/>
  <c r="AK341" i="4"/>
  <c r="AK267" i="4"/>
  <c r="AK348" i="4"/>
  <c r="AL108" i="3"/>
  <c r="AL9" i="4"/>
  <c r="AL10" i="4"/>
  <c r="AL11" i="4"/>
  <c r="AL45" i="4"/>
  <c r="AL12" i="4"/>
  <c r="AL46" i="4"/>
  <c r="AL15" i="4"/>
  <c r="AL49" i="4"/>
  <c r="AL16" i="4"/>
  <c r="AL17" i="4"/>
  <c r="AL50" i="4"/>
  <c r="AL18" i="4"/>
  <c r="AL51" i="4"/>
  <c r="AL53" i="4"/>
  <c r="AL54" i="4"/>
  <c r="AL337" i="4"/>
  <c r="AL341" i="4"/>
  <c r="AL267" i="4"/>
  <c r="AL348" i="4"/>
  <c r="AM108" i="3"/>
  <c r="AM9" i="4"/>
  <c r="AM10" i="4"/>
  <c r="AM11" i="4"/>
  <c r="AM45" i="4"/>
  <c r="AM12" i="4"/>
  <c r="AM46" i="4"/>
  <c r="AM15" i="4"/>
  <c r="AM49" i="4"/>
  <c r="AM16" i="4"/>
  <c r="AM17" i="4"/>
  <c r="AM50" i="4"/>
  <c r="AM18" i="4"/>
  <c r="AM51" i="4"/>
  <c r="AM53" i="4"/>
  <c r="AM54" i="4"/>
  <c r="AM337" i="4"/>
  <c r="AM341" i="4"/>
  <c r="AM267" i="4"/>
  <c r="AM348" i="4"/>
  <c r="AN108" i="3"/>
  <c r="AN9" i="4"/>
  <c r="AN10" i="4"/>
  <c r="AN11" i="4"/>
  <c r="AN45" i="4"/>
  <c r="AN12" i="4"/>
  <c r="AN46" i="4"/>
  <c r="AN15" i="4"/>
  <c r="AN49" i="4"/>
  <c r="AN16" i="4"/>
  <c r="AN17" i="4"/>
  <c r="AN50" i="4"/>
  <c r="AN18" i="4"/>
  <c r="AN51" i="4"/>
  <c r="AN53" i="4"/>
  <c r="AN54" i="4"/>
  <c r="AN337" i="4"/>
  <c r="AN341" i="4"/>
  <c r="AN267" i="4"/>
  <c r="AN348" i="4"/>
  <c r="AO108" i="3"/>
  <c r="AO9" i="4"/>
  <c r="AO10" i="4"/>
  <c r="AO11" i="4"/>
  <c r="AO45" i="4"/>
  <c r="AO12" i="4"/>
  <c r="AO46" i="4"/>
  <c r="AO15" i="4"/>
  <c r="AO49" i="4"/>
  <c r="AO16" i="4"/>
  <c r="AO17" i="4"/>
  <c r="AO50" i="4"/>
  <c r="AO18" i="4"/>
  <c r="AO51" i="4"/>
  <c r="AO53" i="4"/>
  <c r="AO54" i="4"/>
  <c r="AO337" i="4"/>
  <c r="AO341" i="4"/>
  <c r="AO267" i="4"/>
  <c r="AO348" i="4"/>
  <c r="AP108" i="3"/>
  <c r="AP9" i="4"/>
  <c r="AP10" i="4"/>
  <c r="AP11" i="4"/>
  <c r="AP45" i="4"/>
  <c r="AP12" i="4"/>
  <c r="AP46" i="4"/>
  <c r="AP15" i="4"/>
  <c r="AP49" i="4"/>
  <c r="AP16" i="4"/>
  <c r="AP17" i="4"/>
  <c r="AP50" i="4"/>
  <c r="AP18" i="4"/>
  <c r="AP51" i="4"/>
  <c r="AP53" i="4"/>
  <c r="AP54" i="4"/>
  <c r="AP337" i="4"/>
  <c r="AP341" i="4"/>
  <c r="AP267" i="4"/>
  <c r="AP348" i="4"/>
  <c r="AQ108" i="3"/>
  <c r="AQ9" i="4"/>
  <c r="AQ10" i="4"/>
  <c r="AQ11" i="4"/>
  <c r="AQ45" i="4"/>
  <c r="AQ12" i="4"/>
  <c r="AQ46" i="4"/>
  <c r="AQ15" i="4"/>
  <c r="AQ49" i="4"/>
  <c r="AQ16" i="4"/>
  <c r="AQ17" i="4"/>
  <c r="AQ50" i="4"/>
  <c r="AQ18" i="4"/>
  <c r="AQ51" i="4"/>
  <c r="AQ53" i="4"/>
  <c r="AQ54" i="4"/>
  <c r="AQ337" i="4"/>
  <c r="AQ341" i="4"/>
  <c r="AQ267" i="4"/>
  <c r="AQ348" i="4"/>
  <c r="AR108" i="3"/>
  <c r="AR9" i="4"/>
  <c r="AR10" i="4"/>
  <c r="AR11" i="4"/>
  <c r="AR45" i="4"/>
  <c r="AR12" i="4"/>
  <c r="AR46" i="4"/>
  <c r="AR15" i="4"/>
  <c r="AR49" i="4"/>
  <c r="AR16" i="4"/>
  <c r="AR17" i="4"/>
  <c r="AR50" i="4"/>
  <c r="AR18" i="4"/>
  <c r="AR51" i="4"/>
  <c r="AR53" i="4"/>
  <c r="AR54" i="4"/>
  <c r="AR337" i="4"/>
  <c r="AR341" i="4"/>
  <c r="AR267" i="4"/>
  <c r="AR348" i="4"/>
  <c r="AS108" i="3"/>
  <c r="AS9" i="4"/>
  <c r="AS10" i="4"/>
  <c r="AS11" i="4"/>
  <c r="AS45" i="4"/>
  <c r="AS12" i="4"/>
  <c r="AS46" i="4"/>
  <c r="AS15" i="4"/>
  <c r="AS49" i="4"/>
  <c r="AS16" i="4"/>
  <c r="AS17" i="4"/>
  <c r="AS50" i="4"/>
  <c r="AS18" i="4"/>
  <c r="AS51" i="4"/>
  <c r="AS53" i="4"/>
  <c r="AS54" i="4"/>
  <c r="AS337" i="4"/>
  <c r="AS341" i="4"/>
  <c r="AS267" i="4"/>
  <c r="AS348" i="4"/>
  <c r="AT108" i="3"/>
  <c r="AT9" i="4"/>
  <c r="AT10" i="4"/>
  <c r="AT11" i="4"/>
  <c r="AT45" i="4"/>
  <c r="AT12" i="4"/>
  <c r="AT46" i="4"/>
  <c r="AT15" i="4"/>
  <c r="AT49" i="4"/>
  <c r="AT16" i="4"/>
  <c r="AT17" i="4"/>
  <c r="AT50" i="4"/>
  <c r="AT18" i="4"/>
  <c r="AT51" i="4"/>
  <c r="AT53" i="4"/>
  <c r="AT54" i="4"/>
  <c r="AT337" i="4"/>
  <c r="AT341" i="4"/>
  <c r="AT267" i="4"/>
  <c r="AT348" i="4"/>
  <c r="AU108" i="3"/>
  <c r="AU9" i="4"/>
  <c r="AU10" i="4"/>
  <c r="AU11" i="4"/>
  <c r="AU45" i="4"/>
  <c r="AU12" i="4"/>
  <c r="AU46" i="4"/>
  <c r="AU15" i="4"/>
  <c r="AU49" i="4"/>
  <c r="AU16" i="4"/>
  <c r="AU17" i="4"/>
  <c r="AU50" i="4"/>
  <c r="AU18" i="4"/>
  <c r="AU51" i="4"/>
  <c r="AU53" i="4"/>
  <c r="AU54" i="4"/>
  <c r="AU337" i="4"/>
  <c r="AU341" i="4"/>
  <c r="AU267" i="4"/>
  <c r="AU348" i="4"/>
  <c r="AV108" i="3"/>
  <c r="AV9" i="4"/>
  <c r="AV10" i="4"/>
  <c r="AV11" i="4"/>
  <c r="AV45" i="4"/>
  <c r="AV12" i="4"/>
  <c r="AV46" i="4"/>
  <c r="AV15" i="4"/>
  <c r="AV49" i="4"/>
  <c r="AV16" i="4"/>
  <c r="AV17" i="4"/>
  <c r="AV50" i="4"/>
  <c r="AV18" i="4"/>
  <c r="AV51" i="4"/>
  <c r="AV53" i="4"/>
  <c r="AV54" i="4"/>
  <c r="AV337" i="4"/>
  <c r="AV341" i="4"/>
  <c r="AV267" i="4"/>
  <c r="AV348" i="4"/>
  <c r="AW108" i="3"/>
  <c r="AW9" i="4"/>
  <c r="AW10" i="4"/>
  <c r="AW11" i="4"/>
  <c r="AW45" i="4"/>
  <c r="AW12" i="4"/>
  <c r="AW46" i="4"/>
  <c r="AW15" i="4"/>
  <c r="AW49" i="4"/>
  <c r="AW16" i="4"/>
  <c r="AW17" i="4"/>
  <c r="AW50" i="4"/>
  <c r="AW18" i="4"/>
  <c r="AW51" i="4"/>
  <c r="AW53" i="4"/>
  <c r="AW54" i="4"/>
  <c r="AW337" i="4"/>
  <c r="AW341" i="4"/>
  <c r="AW267" i="4"/>
  <c r="AW348" i="4"/>
  <c r="AX108" i="3"/>
  <c r="AX9" i="4"/>
  <c r="AX10" i="4"/>
  <c r="AX11" i="4"/>
  <c r="AX45" i="4"/>
  <c r="AX12" i="4"/>
  <c r="AX46" i="4"/>
  <c r="AX15" i="4"/>
  <c r="AX49" i="4"/>
  <c r="AX16" i="4"/>
  <c r="AX17" i="4"/>
  <c r="AX50" i="4"/>
  <c r="AX18" i="4"/>
  <c r="AX51" i="4"/>
  <c r="AX53" i="4"/>
  <c r="AX54" i="4"/>
  <c r="AX337" i="4"/>
  <c r="AX341" i="4"/>
  <c r="AX267" i="4"/>
  <c r="AX348" i="4"/>
  <c r="AY108" i="3"/>
  <c r="AY9" i="4"/>
  <c r="AY10" i="4"/>
  <c r="AY11" i="4"/>
  <c r="AY45" i="4"/>
  <c r="AY12" i="4"/>
  <c r="AY46" i="4"/>
  <c r="AY15" i="4"/>
  <c r="AY49" i="4"/>
  <c r="AY16" i="4"/>
  <c r="AY17" i="4"/>
  <c r="AY50" i="4"/>
  <c r="AY18" i="4"/>
  <c r="AY51" i="4"/>
  <c r="AY53" i="4"/>
  <c r="AY54" i="4"/>
  <c r="AY337" i="4"/>
  <c r="AY341" i="4"/>
  <c r="AY267" i="4"/>
  <c r="AY348" i="4"/>
  <c r="AZ108" i="3"/>
  <c r="AZ9" i="4"/>
  <c r="AZ10" i="4"/>
  <c r="AZ11" i="4"/>
  <c r="AZ45" i="4"/>
  <c r="AZ12" i="4"/>
  <c r="AZ46" i="4"/>
  <c r="AZ15" i="4"/>
  <c r="AZ49" i="4"/>
  <c r="AZ16" i="4"/>
  <c r="AZ17" i="4"/>
  <c r="AZ50" i="4"/>
  <c r="AZ18" i="4"/>
  <c r="AZ51" i="4"/>
  <c r="AZ53" i="4"/>
  <c r="AZ54" i="4"/>
  <c r="AZ337" i="4"/>
  <c r="AZ341" i="4"/>
  <c r="AZ267" i="4"/>
  <c r="AZ348" i="4"/>
  <c r="BA108" i="3"/>
  <c r="BA9" i="4"/>
  <c r="BA10" i="4"/>
  <c r="BA11" i="4"/>
  <c r="BA45" i="4"/>
  <c r="BA12" i="4"/>
  <c r="BA46" i="4"/>
  <c r="BA15" i="4"/>
  <c r="BA49" i="4"/>
  <c r="BA16" i="4"/>
  <c r="BA17" i="4"/>
  <c r="BA50" i="4"/>
  <c r="BA18" i="4"/>
  <c r="BA51" i="4"/>
  <c r="BA53" i="4"/>
  <c r="BA54" i="4"/>
  <c r="BA337" i="4"/>
  <c r="BA341" i="4"/>
  <c r="BA267" i="4"/>
  <c r="BA348" i="4"/>
  <c r="BB108" i="3"/>
  <c r="BB9" i="4"/>
  <c r="BB10" i="4"/>
  <c r="BB11" i="4"/>
  <c r="BB45" i="4"/>
  <c r="BB12" i="4"/>
  <c r="BB46" i="4"/>
  <c r="BB15" i="4"/>
  <c r="BB49" i="4"/>
  <c r="BB16" i="4"/>
  <c r="BB17" i="4"/>
  <c r="BB50" i="4"/>
  <c r="BB18" i="4"/>
  <c r="BB51" i="4"/>
  <c r="BB53" i="4"/>
  <c r="BB54" i="4"/>
  <c r="BB337" i="4"/>
  <c r="BB341" i="4"/>
  <c r="BB267" i="4"/>
  <c r="BB348" i="4"/>
  <c r="BC108" i="3"/>
  <c r="BC9" i="4"/>
  <c r="BC10" i="4"/>
  <c r="BC11" i="4"/>
  <c r="BC45" i="4"/>
  <c r="BC12" i="4"/>
  <c r="BC46" i="4"/>
  <c r="BC15" i="4"/>
  <c r="BC49" i="4"/>
  <c r="BC16" i="4"/>
  <c r="BC17" i="4"/>
  <c r="BC50" i="4"/>
  <c r="BC18" i="4"/>
  <c r="BC51" i="4"/>
  <c r="BC53" i="4"/>
  <c r="BC54" i="4"/>
  <c r="BC337" i="4"/>
  <c r="BC341" i="4"/>
  <c r="BC267" i="4"/>
  <c r="BC348" i="4"/>
  <c r="BD108" i="3"/>
  <c r="BD9" i="4"/>
  <c r="BD10" i="4"/>
  <c r="BD11" i="4"/>
  <c r="BD45" i="4"/>
  <c r="BD12" i="4"/>
  <c r="BD46" i="4"/>
  <c r="BD15" i="4"/>
  <c r="BD49" i="4"/>
  <c r="BD16" i="4"/>
  <c r="BD17" i="4"/>
  <c r="BD50" i="4"/>
  <c r="BD18" i="4"/>
  <c r="BD51" i="4"/>
  <c r="BD53" i="4"/>
  <c r="BD54" i="4"/>
  <c r="BD337" i="4"/>
  <c r="BD341" i="4"/>
  <c r="BD267" i="4"/>
  <c r="BD348" i="4"/>
  <c r="C348" i="4"/>
  <c r="J359" i="4"/>
  <c r="J500" i="4"/>
  <c r="I359" i="4"/>
  <c r="I500" i="4"/>
  <c r="H359" i="4"/>
  <c r="H500" i="4"/>
  <c r="G359" i="4"/>
  <c r="G500" i="4"/>
  <c r="J498" i="4"/>
  <c r="I498" i="4"/>
  <c r="H498" i="4"/>
  <c r="G498" i="4"/>
  <c r="K495" i="4"/>
  <c r="J495" i="4"/>
  <c r="I495" i="4"/>
  <c r="H495" i="4"/>
  <c r="G495" i="4"/>
  <c r="F495" i="4"/>
  <c r="E495" i="4"/>
  <c r="D417" i="4"/>
  <c r="D447" i="4"/>
  <c r="D465" i="4"/>
  <c r="D495" i="4"/>
  <c r="K494" i="4"/>
  <c r="J494" i="4"/>
  <c r="I494" i="4"/>
  <c r="H494" i="4"/>
  <c r="G494" i="4"/>
  <c r="F494" i="4"/>
  <c r="E494" i="4"/>
  <c r="D416" i="4"/>
  <c r="D446" i="4"/>
  <c r="D464" i="4"/>
  <c r="D494" i="4"/>
  <c r="K493" i="4"/>
  <c r="J493" i="4"/>
  <c r="I493" i="4"/>
  <c r="H493" i="4"/>
  <c r="G493" i="4"/>
  <c r="F493" i="4"/>
  <c r="E493" i="4"/>
  <c r="D415" i="4"/>
  <c r="D445" i="4"/>
  <c r="D463" i="4"/>
  <c r="D493" i="4"/>
  <c r="K492" i="4"/>
  <c r="J492" i="4"/>
  <c r="I492" i="4"/>
  <c r="H492" i="4"/>
  <c r="G492" i="4"/>
  <c r="F492" i="4"/>
  <c r="E492" i="4"/>
  <c r="D414" i="4"/>
  <c r="D444" i="4"/>
  <c r="D462" i="4"/>
  <c r="D492" i="4"/>
  <c r="K491" i="4"/>
  <c r="J491" i="4"/>
  <c r="I491" i="4"/>
  <c r="H491" i="4"/>
  <c r="G491" i="4"/>
  <c r="F491" i="4"/>
  <c r="E491" i="4"/>
  <c r="D413" i="4"/>
  <c r="D443" i="4"/>
  <c r="D461" i="4"/>
  <c r="D491" i="4"/>
  <c r="K490" i="4"/>
  <c r="J490" i="4"/>
  <c r="I490" i="4"/>
  <c r="H490" i="4"/>
  <c r="G490" i="4"/>
  <c r="F490" i="4"/>
  <c r="E490" i="4"/>
  <c r="D412" i="4"/>
  <c r="D442" i="4"/>
  <c r="D460" i="4"/>
  <c r="D490" i="4"/>
  <c r="K489" i="4"/>
  <c r="J489" i="4"/>
  <c r="I489" i="4"/>
  <c r="H489" i="4"/>
  <c r="G489" i="4"/>
  <c r="F489" i="4"/>
  <c r="E489" i="4"/>
  <c r="D411" i="4"/>
  <c r="D441" i="4"/>
  <c r="D459" i="4"/>
  <c r="D489" i="4"/>
  <c r="K488" i="4"/>
  <c r="J488" i="4"/>
  <c r="I488" i="4"/>
  <c r="H488" i="4"/>
  <c r="G488" i="4"/>
  <c r="F488" i="4"/>
  <c r="E488" i="4"/>
  <c r="D410" i="4"/>
  <c r="D440" i="4"/>
  <c r="D458" i="4"/>
  <c r="D488" i="4"/>
  <c r="K487" i="4"/>
  <c r="J487" i="4"/>
  <c r="I487" i="4"/>
  <c r="H487" i="4"/>
  <c r="G487" i="4"/>
  <c r="F487" i="4"/>
  <c r="E487" i="4"/>
  <c r="D409" i="4"/>
  <c r="D439" i="4"/>
  <c r="D457" i="4"/>
  <c r="D487" i="4"/>
  <c r="K486" i="4"/>
  <c r="J486" i="4"/>
  <c r="I486" i="4"/>
  <c r="H486" i="4"/>
  <c r="G486" i="4"/>
  <c r="F486" i="4"/>
  <c r="E486" i="4"/>
  <c r="D408" i="4"/>
  <c r="D438" i="4"/>
  <c r="D456" i="4"/>
  <c r="D486" i="4"/>
  <c r="K485" i="4"/>
  <c r="J485" i="4"/>
  <c r="I485" i="4"/>
  <c r="H485" i="4"/>
  <c r="G485" i="4"/>
  <c r="F485" i="4"/>
  <c r="E485" i="4"/>
  <c r="D407" i="4"/>
  <c r="D437" i="4"/>
  <c r="D455" i="4"/>
  <c r="D485" i="4"/>
  <c r="AI480" i="4"/>
  <c r="AH480" i="4"/>
  <c r="AG480" i="4"/>
  <c r="AF480" i="4"/>
  <c r="AE480" i="4"/>
  <c r="AD480" i="4"/>
  <c r="AC480" i="4"/>
  <c r="AB480" i="4"/>
  <c r="AA480" i="4"/>
  <c r="Z480" i="4"/>
  <c r="Y480" i="4"/>
  <c r="X480" i="4"/>
  <c r="W480" i="4"/>
  <c r="V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H480" i="4"/>
  <c r="G480" i="4"/>
  <c r="D480" i="4"/>
  <c r="AI479" i="4"/>
  <c r="AH479" i="4"/>
  <c r="AG479" i="4"/>
  <c r="AF479" i="4"/>
  <c r="AE479" i="4"/>
  <c r="AD479" i="4"/>
  <c r="AC479" i="4"/>
  <c r="AB479" i="4"/>
  <c r="AA479" i="4"/>
  <c r="Z479" i="4"/>
  <c r="Y479" i="4"/>
  <c r="X479" i="4"/>
  <c r="W479" i="4"/>
  <c r="V479" i="4"/>
  <c r="U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H479" i="4"/>
  <c r="G479" i="4"/>
  <c r="D479" i="4"/>
  <c r="AI478" i="4"/>
  <c r="AH478" i="4"/>
  <c r="AG478" i="4"/>
  <c r="AF478" i="4"/>
  <c r="AE478" i="4"/>
  <c r="AD478" i="4"/>
  <c r="AC478" i="4"/>
  <c r="AB478" i="4"/>
  <c r="AA478" i="4"/>
  <c r="Z478" i="4"/>
  <c r="Y478" i="4"/>
  <c r="X478" i="4"/>
  <c r="W478" i="4"/>
  <c r="V478" i="4"/>
  <c r="U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D478" i="4"/>
  <c r="AI477" i="4"/>
  <c r="AH477" i="4"/>
  <c r="AG477" i="4"/>
  <c r="AF477" i="4"/>
  <c r="AE477" i="4"/>
  <c r="AD477" i="4"/>
  <c r="AC477" i="4"/>
  <c r="AB477" i="4"/>
  <c r="AA477" i="4"/>
  <c r="Z477" i="4"/>
  <c r="Y477" i="4"/>
  <c r="X477" i="4"/>
  <c r="W477" i="4"/>
  <c r="V477" i="4"/>
  <c r="U477" i="4"/>
  <c r="T477" i="4"/>
  <c r="S477" i="4"/>
  <c r="R477" i="4"/>
  <c r="Q477" i="4"/>
  <c r="P477" i="4"/>
  <c r="O477" i="4"/>
  <c r="N477" i="4"/>
  <c r="M477" i="4"/>
  <c r="L477" i="4"/>
  <c r="K477" i="4"/>
  <c r="J477" i="4"/>
  <c r="I477" i="4"/>
  <c r="H477" i="4"/>
  <c r="G477" i="4"/>
  <c r="D477" i="4"/>
  <c r="AI476" i="4"/>
  <c r="AH476" i="4"/>
  <c r="AG476" i="4"/>
  <c r="AF476" i="4"/>
  <c r="AE476" i="4"/>
  <c r="AD476" i="4"/>
  <c r="AC476" i="4"/>
  <c r="AB476" i="4"/>
  <c r="AA476" i="4"/>
  <c r="Z476" i="4"/>
  <c r="Y476" i="4"/>
  <c r="X476" i="4"/>
  <c r="W476" i="4"/>
  <c r="V476" i="4"/>
  <c r="U476" i="4"/>
  <c r="T476" i="4"/>
  <c r="S476" i="4"/>
  <c r="R476" i="4"/>
  <c r="Q476" i="4"/>
  <c r="P476" i="4"/>
  <c r="O476" i="4"/>
  <c r="N476" i="4"/>
  <c r="M476" i="4"/>
  <c r="L476" i="4"/>
  <c r="K476" i="4"/>
  <c r="J476" i="4"/>
  <c r="I476" i="4"/>
  <c r="H476" i="4"/>
  <c r="G476" i="4"/>
  <c r="D476" i="4"/>
  <c r="AI475" i="4"/>
  <c r="AH475" i="4"/>
  <c r="AG475" i="4"/>
  <c r="AF475" i="4"/>
  <c r="AE475" i="4"/>
  <c r="AD475" i="4"/>
  <c r="AC475" i="4"/>
  <c r="AB475" i="4"/>
  <c r="AA475" i="4"/>
  <c r="Z475" i="4"/>
  <c r="Y475" i="4"/>
  <c r="X475" i="4"/>
  <c r="W475" i="4"/>
  <c r="V475" i="4"/>
  <c r="U475" i="4"/>
  <c r="T475" i="4"/>
  <c r="S475" i="4"/>
  <c r="R475" i="4"/>
  <c r="Q475" i="4"/>
  <c r="P475" i="4"/>
  <c r="O475" i="4"/>
  <c r="N475" i="4"/>
  <c r="M475" i="4"/>
  <c r="L475" i="4"/>
  <c r="K475" i="4"/>
  <c r="J475" i="4"/>
  <c r="I475" i="4"/>
  <c r="H475" i="4"/>
  <c r="G475" i="4"/>
  <c r="D475" i="4"/>
  <c r="AI474" i="4"/>
  <c r="AH474" i="4"/>
  <c r="AG474" i="4"/>
  <c r="AF474" i="4"/>
  <c r="AE474" i="4"/>
  <c r="AD474" i="4"/>
  <c r="AC474" i="4"/>
  <c r="AB474" i="4"/>
  <c r="AA474" i="4"/>
  <c r="Z474" i="4"/>
  <c r="Y474" i="4"/>
  <c r="X474" i="4"/>
  <c r="W474" i="4"/>
  <c r="V474" i="4"/>
  <c r="U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D474" i="4"/>
  <c r="AI473" i="4"/>
  <c r="AH473" i="4"/>
  <c r="AG473" i="4"/>
  <c r="AF473" i="4"/>
  <c r="AE473" i="4"/>
  <c r="AD473" i="4"/>
  <c r="AC473" i="4"/>
  <c r="AB473" i="4"/>
  <c r="AA473" i="4"/>
  <c r="Z473" i="4"/>
  <c r="Y473" i="4"/>
  <c r="X473" i="4"/>
  <c r="W473" i="4"/>
  <c r="V473" i="4"/>
  <c r="U473" i="4"/>
  <c r="T473" i="4"/>
  <c r="S473" i="4"/>
  <c r="R473" i="4"/>
  <c r="Q473" i="4"/>
  <c r="P473" i="4"/>
  <c r="O473" i="4"/>
  <c r="N473" i="4"/>
  <c r="M473" i="4"/>
  <c r="L473" i="4"/>
  <c r="K473" i="4"/>
  <c r="J473" i="4"/>
  <c r="I473" i="4"/>
  <c r="H473" i="4"/>
  <c r="G473" i="4"/>
  <c r="D473" i="4"/>
  <c r="AI472" i="4"/>
  <c r="AH472" i="4"/>
  <c r="AG472" i="4"/>
  <c r="AF472" i="4"/>
  <c r="AE472" i="4"/>
  <c r="AD472" i="4"/>
  <c r="AC472" i="4"/>
  <c r="AB472" i="4"/>
  <c r="AA472" i="4"/>
  <c r="Z472" i="4"/>
  <c r="Y472" i="4"/>
  <c r="X472" i="4"/>
  <c r="W472" i="4"/>
  <c r="V472" i="4"/>
  <c r="U472" i="4"/>
  <c r="T472" i="4"/>
  <c r="S472" i="4"/>
  <c r="R472" i="4"/>
  <c r="Q472" i="4"/>
  <c r="P472" i="4"/>
  <c r="O472" i="4"/>
  <c r="N472" i="4"/>
  <c r="M472" i="4"/>
  <c r="L472" i="4"/>
  <c r="K472" i="4"/>
  <c r="J472" i="4"/>
  <c r="I472" i="4"/>
  <c r="H472" i="4"/>
  <c r="G472" i="4"/>
  <c r="D472" i="4"/>
  <c r="AI471" i="4"/>
  <c r="AH471" i="4"/>
  <c r="AG471" i="4"/>
  <c r="AF471" i="4"/>
  <c r="AE471" i="4"/>
  <c r="AD471" i="4"/>
  <c r="AC471" i="4"/>
  <c r="AB471" i="4"/>
  <c r="AA471" i="4"/>
  <c r="Z471" i="4"/>
  <c r="Y471" i="4"/>
  <c r="X471" i="4"/>
  <c r="W471" i="4"/>
  <c r="V471" i="4"/>
  <c r="U471" i="4"/>
  <c r="T471" i="4"/>
  <c r="S471" i="4"/>
  <c r="R471" i="4"/>
  <c r="Q471" i="4"/>
  <c r="P471" i="4"/>
  <c r="O471" i="4"/>
  <c r="N471" i="4"/>
  <c r="M471" i="4"/>
  <c r="L471" i="4"/>
  <c r="K471" i="4"/>
  <c r="J471" i="4"/>
  <c r="I471" i="4"/>
  <c r="H471" i="4"/>
  <c r="G471" i="4"/>
  <c r="D471" i="4"/>
  <c r="AI470" i="4"/>
  <c r="AH470" i="4"/>
  <c r="AG470" i="4"/>
  <c r="AF470" i="4"/>
  <c r="AE470" i="4"/>
  <c r="AD470" i="4"/>
  <c r="AC470" i="4"/>
  <c r="AB470" i="4"/>
  <c r="AA470" i="4"/>
  <c r="Z470" i="4"/>
  <c r="Y470" i="4"/>
  <c r="X470" i="4"/>
  <c r="W470" i="4"/>
  <c r="V470" i="4"/>
  <c r="U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D470" i="4"/>
  <c r="Q436" i="4"/>
  <c r="AI454" i="4"/>
  <c r="AI469" i="4"/>
  <c r="AH454" i="4"/>
  <c r="AH469" i="4"/>
  <c r="AG454" i="4"/>
  <c r="AG469" i="4"/>
  <c r="AF454" i="4"/>
  <c r="AF469" i="4"/>
  <c r="AE454" i="4"/>
  <c r="AE469" i="4"/>
  <c r="AD454" i="4"/>
  <c r="AD469" i="4"/>
  <c r="AC454" i="4"/>
  <c r="AC469" i="4"/>
  <c r="AB454" i="4"/>
  <c r="AB469" i="4"/>
  <c r="AA454" i="4"/>
  <c r="AA469" i="4"/>
  <c r="Z454" i="4"/>
  <c r="Z469" i="4"/>
  <c r="Y454" i="4"/>
  <c r="Y469" i="4"/>
  <c r="X454" i="4"/>
  <c r="X469" i="4"/>
  <c r="W454" i="4"/>
  <c r="W469" i="4"/>
  <c r="V454" i="4"/>
  <c r="V469" i="4"/>
  <c r="U454" i="4"/>
  <c r="U469" i="4"/>
  <c r="T454" i="4"/>
  <c r="T469" i="4"/>
  <c r="S454" i="4"/>
  <c r="S469" i="4"/>
  <c r="R454" i="4"/>
  <c r="R469" i="4"/>
  <c r="Q454" i="4"/>
  <c r="Q469" i="4"/>
  <c r="P454" i="4"/>
  <c r="P469" i="4"/>
  <c r="O454" i="4"/>
  <c r="O469" i="4"/>
  <c r="N454" i="4"/>
  <c r="N469" i="4"/>
  <c r="M454" i="4"/>
  <c r="M469" i="4"/>
  <c r="L454" i="4"/>
  <c r="L469" i="4"/>
  <c r="K454" i="4"/>
  <c r="K469" i="4"/>
  <c r="J454" i="4"/>
  <c r="J469" i="4"/>
  <c r="I454" i="4"/>
  <c r="I469" i="4"/>
  <c r="H454" i="4"/>
  <c r="H469" i="4"/>
  <c r="G454" i="4"/>
  <c r="G469" i="4"/>
  <c r="F461" i="4"/>
  <c r="F462" i="4"/>
  <c r="F456" i="4"/>
  <c r="F457" i="4"/>
  <c r="F458" i="4"/>
  <c r="R451" i="4"/>
  <c r="S451" i="4"/>
  <c r="T451" i="4"/>
  <c r="U451" i="4"/>
  <c r="V451" i="4"/>
  <c r="W451" i="4"/>
  <c r="X451" i="4"/>
  <c r="Y451" i="4"/>
  <c r="Z451" i="4"/>
  <c r="AA451" i="4"/>
  <c r="AB451" i="4"/>
  <c r="AC451" i="4"/>
  <c r="AD451" i="4"/>
  <c r="AE451" i="4"/>
  <c r="AF451" i="4"/>
  <c r="AG451" i="4"/>
  <c r="AH451" i="4"/>
  <c r="AI451" i="4"/>
  <c r="P451" i="4"/>
  <c r="O451" i="4"/>
  <c r="N451" i="4"/>
  <c r="M451" i="4"/>
  <c r="L451" i="4"/>
  <c r="K451" i="4"/>
  <c r="J451" i="4"/>
  <c r="I451" i="4"/>
  <c r="H451" i="4"/>
  <c r="G451" i="4"/>
  <c r="F443" i="4"/>
  <c r="F444" i="4"/>
  <c r="F438" i="4"/>
  <c r="F439" i="4"/>
  <c r="F440" i="4"/>
  <c r="AI436" i="4"/>
  <c r="AH436" i="4"/>
  <c r="AG436" i="4"/>
  <c r="AF436" i="4"/>
  <c r="AE436" i="4"/>
  <c r="AD436" i="4"/>
  <c r="AC436" i="4"/>
  <c r="AB436" i="4"/>
  <c r="AA436" i="4"/>
  <c r="Z436" i="4"/>
  <c r="Y436" i="4"/>
  <c r="X436" i="4"/>
  <c r="W436" i="4"/>
  <c r="V436" i="4"/>
  <c r="U436" i="4"/>
  <c r="T436" i="4"/>
  <c r="S436" i="4"/>
  <c r="R436" i="4"/>
  <c r="P436" i="4"/>
  <c r="O436" i="4"/>
  <c r="N436" i="4"/>
  <c r="M436" i="4"/>
  <c r="L436" i="4"/>
  <c r="K436" i="4"/>
  <c r="J436" i="4"/>
  <c r="I436" i="4"/>
  <c r="H436" i="4"/>
  <c r="G436" i="4"/>
  <c r="D433" i="4"/>
  <c r="D431" i="4"/>
  <c r="D430" i="4"/>
  <c r="D429" i="4"/>
  <c r="D428" i="4"/>
  <c r="Q427" i="4"/>
  <c r="P427" i="4"/>
  <c r="O427" i="4"/>
  <c r="N427" i="4"/>
  <c r="M427" i="4"/>
  <c r="L427" i="4"/>
  <c r="K427" i="4"/>
  <c r="J427" i="4"/>
  <c r="I427" i="4"/>
  <c r="H427" i="4"/>
  <c r="G427" i="4"/>
  <c r="Q426" i="4"/>
  <c r="P426" i="4"/>
  <c r="O426" i="4"/>
  <c r="N426" i="4"/>
  <c r="M426" i="4"/>
  <c r="L426" i="4"/>
  <c r="K426" i="4"/>
  <c r="J426" i="4"/>
  <c r="I426" i="4"/>
  <c r="H426" i="4"/>
  <c r="G426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AF344" i="4"/>
  <c r="AG344" i="4"/>
  <c r="AH344" i="4"/>
  <c r="AI344" i="4"/>
  <c r="AJ344" i="4"/>
  <c r="AK344" i="4"/>
  <c r="AL344" i="4"/>
  <c r="AM344" i="4"/>
  <c r="AN344" i="4"/>
  <c r="AO344" i="4"/>
  <c r="AP344" i="4"/>
  <c r="AQ344" i="4"/>
  <c r="AR344" i="4"/>
  <c r="AS344" i="4"/>
  <c r="AT344" i="4"/>
  <c r="AU344" i="4"/>
  <c r="AV344" i="4"/>
  <c r="AW344" i="4"/>
  <c r="AX344" i="4"/>
  <c r="AY344" i="4"/>
  <c r="AZ344" i="4"/>
  <c r="BA344" i="4"/>
  <c r="BB344" i="4"/>
  <c r="BC344" i="4"/>
  <c r="BD344" i="4"/>
  <c r="G344" i="4"/>
  <c r="J354" i="4"/>
  <c r="J422" i="4"/>
  <c r="I354" i="4"/>
  <c r="I422" i="4"/>
  <c r="H354" i="4"/>
  <c r="H422" i="4"/>
  <c r="G354" i="4"/>
  <c r="G422" i="4"/>
  <c r="J420" i="4"/>
  <c r="I420" i="4"/>
  <c r="H420" i="4"/>
  <c r="G420" i="4"/>
  <c r="F408" i="4"/>
  <c r="F409" i="4"/>
  <c r="F410" i="4"/>
  <c r="F411" i="4"/>
  <c r="F412" i="4"/>
  <c r="F413" i="4"/>
  <c r="F414" i="4"/>
  <c r="F415" i="4"/>
  <c r="F416" i="4"/>
  <c r="F417" i="4"/>
  <c r="C417" i="4"/>
  <c r="C416" i="4"/>
  <c r="C415" i="4"/>
  <c r="C414" i="4"/>
  <c r="C413" i="4"/>
  <c r="C412" i="4"/>
  <c r="C411" i="4"/>
  <c r="C410" i="4"/>
  <c r="C409" i="4"/>
  <c r="C408" i="4"/>
  <c r="C407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D111" i="4"/>
  <c r="BD291" i="4"/>
  <c r="BD307" i="4"/>
  <c r="BD374" i="4"/>
  <c r="BD108" i="4"/>
  <c r="BD292" i="4"/>
  <c r="BD308" i="4"/>
  <c r="BD375" i="4"/>
  <c r="BD83" i="4"/>
  <c r="BD84" i="4"/>
  <c r="BD86" i="4"/>
  <c r="BD293" i="4"/>
  <c r="BD309" i="4"/>
  <c r="BD376" i="4"/>
  <c r="BD89" i="4"/>
  <c r="BD90" i="4"/>
  <c r="BD294" i="4"/>
  <c r="BD310" i="4"/>
  <c r="BD377" i="4"/>
  <c r="BD95" i="4"/>
  <c r="BD100" i="4"/>
  <c r="BD96" i="4"/>
  <c r="BD101" i="4"/>
  <c r="BD97" i="4"/>
  <c r="BD102" i="4"/>
  <c r="BD98" i="4"/>
  <c r="BD103" i="4"/>
  <c r="BD105" i="4"/>
  <c r="BD295" i="4"/>
  <c r="BD311" i="4"/>
  <c r="BD378" i="4"/>
  <c r="BD114" i="4"/>
  <c r="BD117" i="4"/>
  <c r="BD175" i="4"/>
  <c r="BD176" i="4"/>
  <c r="BD177" i="4"/>
  <c r="BD178" i="4"/>
  <c r="BD179" i="4"/>
  <c r="BD153" i="4"/>
  <c r="BD180" i="4"/>
  <c r="BD156" i="4"/>
  <c r="BD181" i="4"/>
  <c r="BD159" i="4"/>
  <c r="BD160" i="4"/>
  <c r="BC159" i="4"/>
  <c r="BD161" i="4"/>
  <c r="BB159" i="4"/>
  <c r="B162" i="4"/>
  <c r="BD162" i="4"/>
  <c r="BA159" i="4"/>
  <c r="B163" i="4"/>
  <c r="BD163" i="4"/>
  <c r="AZ159" i="4"/>
  <c r="B164" i="4"/>
  <c r="BD164" i="4"/>
  <c r="AY159" i="4"/>
  <c r="B165" i="4"/>
  <c r="BD165" i="4"/>
  <c r="AX159" i="4"/>
  <c r="B166" i="4"/>
  <c r="BD166" i="4"/>
  <c r="AW159" i="4"/>
  <c r="B167" i="4"/>
  <c r="BD167" i="4"/>
  <c r="AV159" i="4"/>
  <c r="B168" i="4"/>
  <c r="BD168" i="4"/>
  <c r="AU159" i="4"/>
  <c r="B169" i="4"/>
  <c r="BD169" i="4"/>
  <c r="BD170" i="4"/>
  <c r="BD182" i="4"/>
  <c r="BD147" i="4"/>
  <c r="BD183" i="4"/>
  <c r="BD69" i="4"/>
  <c r="BD71" i="4"/>
  <c r="BD75" i="4"/>
  <c r="H78" i="4"/>
  <c r="I74" i="4"/>
  <c r="I69" i="4"/>
  <c r="I71" i="4"/>
  <c r="I67" i="4"/>
  <c r="I72" i="4"/>
  <c r="H70" i="4"/>
  <c r="I75" i="4"/>
  <c r="I76" i="4"/>
  <c r="I77" i="4"/>
  <c r="I78" i="4"/>
  <c r="J74" i="4"/>
  <c r="J69" i="4"/>
  <c r="J71" i="4"/>
  <c r="J67" i="4"/>
  <c r="J72" i="4"/>
  <c r="I70" i="4"/>
  <c r="J75" i="4"/>
  <c r="J76" i="4"/>
  <c r="J77" i="4"/>
  <c r="J78" i="4"/>
  <c r="K74" i="4"/>
  <c r="K69" i="4"/>
  <c r="K71" i="4"/>
  <c r="K67" i="4"/>
  <c r="K72" i="4"/>
  <c r="J70" i="4"/>
  <c r="K75" i="4"/>
  <c r="K76" i="4"/>
  <c r="K77" i="4"/>
  <c r="K78" i="4"/>
  <c r="L74" i="4"/>
  <c r="L69" i="4"/>
  <c r="L71" i="4"/>
  <c r="L67" i="4"/>
  <c r="L72" i="4"/>
  <c r="K70" i="4"/>
  <c r="L75" i="4"/>
  <c r="L76" i="4"/>
  <c r="L77" i="4"/>
  <c r="L78" i="4"/>
  <c r="M74" i="4"/>
  <c r="M69" i="4"/>
  <c r="M71" i="4"/>
  <c r="M67" i="4"/>
  <c r="M72" i="4"/>
  <c r="L70" i="4"/>
  <c r="M75" i="4"/>
  <c r="M76" i="4"/>
  <c r="M77" i="4"/>
  <c r="M78" i="4"/>
  <c r="N74" i="4"/>
  <c r="N69" i="4"/>
  <c r="N71" i="4"/>
  <c r="N67" i="4"/>
  <c r="N72" i="4"/>
  <c r="M70" i="4"/>
  <c r="N75" i="4"/>
  <c r="N76" i="4"/>
  <c r="N77" i="4"/>
  <c r="N78" i="4"/>
  <c r="O74" i="4"/>
  <c r="O69" i="4"/>
  <c r="O71" i="4"/>
  <c r="O67" i="4"/>
  <c r="O72" i="4"/>
  <c r="N70" i="4"/>
  <c r="O75" i="4"/>
  <c r="O76" i="4"/>
  <c r="O77" i="4"/>
  <c r="O78" i="4"/>
  <c r="P74" i="4"/>
  <c r="P69" i="4"/>
  <c r="P71" i="4"/>
  <c r="P67" i="4"/>
  <c r="P72" i="4"/>
  <c r="O70" i="4"/>
  <c r="P75" i="4"/>
  <c r="P76" i="4"/>
  <c r="P77" i="4"/>
  <c r="P78" i="4"/>
  <c r="Q74" i="4"/>
  <c r="Q69" i="4"/>
  <c r="Q71" i="4"/>
  <c r="Q67" i="4"/>
  <c r="Q72" i="4"/>
  <c r="P70" i="4"/>
  <c r="Q75" i="4"/>
  <c r="Q76" i="4"/>
  <c r="Q77" i="4"/>
  <c r="Q78" i="4"/>
  <c r="R74" i="4"/>
  <c r="R69" i="4"/>
  <c r="R71" i="4"/>
  <c r="R67" i="4"/>
  <c r="R72" i="4"/>
  <c r="Q70" i="4"/>
  <c r="R75" i="4"/>
  <c r="R76" i="4"/>
  <c r="R77" i="4"/>
  <c r="R78" i="4"/>
  <c r="S74" i="4"/>
  <c r="S69" i="4"/>
  <c r="S71" i="4"/>
  <c r="S67" i="4"/>
  <c r="S72" i="4"/>
  <c r="R70" i="4"/>
  <c r="S75" i="4"/>
  <c r="S76" i="4"/>
  <c r="S77" i="4"/>
  <c r="S78" i="4"/>
  <c r="T74" i="4"/>
  <c r="T69" i="4"/>
  <c r="T71" i="4"/>
  <c r="T67" i="4"/>
  <c r="T72" i="4"/>
  <c r="S70" i="4"/>
  <c r="T75" i="4"/>
  <c r="T76" i="4"/>
  <c r="T77" i="4"/>
  <c r="T78" i="4"/>
  <c r="U74" i="4"/>
  <c r="U69" i="4"/>
  <c r="U71" i="4"/>
  <c r="U67" i="4"/>
  <c r="U72" i="4"/>
  <c r="T70" i="4"/>
  <c r="U75" i="4"/>
  <c r="U76" i="4"/>
  <c r="U77" i="4"/>
  <c r="U78" i="4"/>
  <c r="V74" i="4"/>
  <c r="V69" i="4"/>
  <c r="V71" i="4"/>
  <c r="V67" i="4"/>
  <c r="V72" i="4"/>
  <c r="U70" i="4"/>
  <c r="V75" i="4"/>
  <c r="V76" i="4"/>
  <c r="V77" i="4"/>
  <c r="V78" i="4"/>
  <c r="W74" i="4"/>
  <c r="W69" i="4"/>
  <c r="W71" i="4"/>
  <c r="W67" i="4"/>
  <c r="W72" i="4"/>
  <c r="V70" i="4"/>
  <c r="W75" i="4"/>
  <c r="W76" i="4"/>
  <c r="W77" i="4"/>
  <c r="W78" i="4"/>
  <c r="X74" i="4"/>
  <c r="X69" i="4"/>
  <c r="X71" i="4"/>
  <c r="X75" i="4"/>
  <c r="X76" i="4"/>
  <c r="X77" i="4"/>
  <c r="X78" i="4"/>
  <c r="Y74" i="4"/>
  <c r="Y69" i="4"/>
  <c r="Y71" i="4"/>
  <c r="Y75" i="4"/>
  <c r="Y76" i="4"/>
  <c r="Y77" i="4"/>
  <c r="Y78" i="4"/>
  <c r="Z74" i="4"/>
  <c r="Z69" i="4"/>
  <c r="Z71" i="4"/>
  <c r="Z75" i="4"/>
  <c r="Z76" i="4"/>
  <c r="Z77" i="4"/>
  <c r="Z78" i="4"/>
  <c r="AA74" i="4"/>
  <c r="AA69" i="4"/>
  <c r="AA71" i="4"/>
  <c r="AA75" i="4"/>
  <c r="AA76" i="4"/>
  <c r="AA77" i="4"/>
  <c r="AA78" i="4"/>
  <c r="AB74" i="4"/>
  <c r="AB69" i="4"/>
  <c r="AB71" i="4"/>
  <c r="AB75" i="4"/>
  <c r="AB76" i="4"/>
  <c r="AB77" i="4"/>
  <c r="AB78" i="4"/>
  <c r="AC74" i="4"/>
  <c r="AC69" i="4"/>
  <c r="AC71" i="4"/>
  <c r="AC75" i="4"/>
  <c r="AC76" i="4"/>
  <c r="AC77" i="4"/>
  <c r="AC78" i="4"/>
  <c r="AD74" i="4"/>
  <c r="AD69" i="4"/>
  <c r="AD71" i="4"/>
  <c r="AD75" i="4"/>
  <c r="AD76" i="4"/>
  <c r="AD77" i="4"/>
  <c r="AD78" i="4"/>
  <c r="AE74" i="4"/>
  <c r="AE69" i="4"/>
  <c r="AE71" i="4"/>
  <c r="AE75" i="4"/>
  <c r="AE76" i="4"/>
  <c r="AE77" i="4"/>
  <c r="AE78" i="4"/>
  <c r="AF74" i="4"/>
  <c r="AF69" i="4"/>
  <c r="AF71" i="4"/>
  <c r="AF75" i="4"/>
  <c r="AF76" i="4"/>
  <c r="AF77" i="4"/>
  <c r="AF78" i="4"/>
  <c r="AG74" i="4"/>
  <c r="AG69" i="4"/>
  <c r="AG71" i="4"/>
  <c r="AG75" i="4"/>
  <c r="AG76" i="4"/>
  <c r="AG77" i="4"/>
  <c r="AG78" i="4"/>
  <c r="AH74" i="4"/>
  <c r="AH69" i="4"/>
  <c r="AH71" i="4"/>
  <c r="AH75" i="4"/>
  <c r="AH76" i="4"/>
  <c r="AH77" i="4"/>
  <c r="AH78" i="4"/>
  <c r="AI74" i="4"/>
  <c r="AI69" i="4"/>
  <c r="AI71" i="4"/>
  <c r="AI75" i="4"/>
  <c r="AI76" i="4"/>
  <c r="AI77" i="4"/>
  <c r="AI78" i="4"/>
  <c r="AJ74" i="4"/>
  <c r="AJ69" i="4"/>
  <c r="AJ71" i="4"/>
  <c r="AJ75" i="4"/>
  <c r="AJ76" i="4"/>
  <c r="AJ77" i="4"/>
  <c r="AJ78" i="4"/>
  <c r="AK74" i="4"/>
  <c r="AK69" i="4"/>
  <c r="AK71" i="4"/>
  <c r="AK75" i="4"/>
  <c r="AK76" i="4"/>
  <c r="AK77" i="4"/>
  <c r="AK78" i="4"/>
  <c r="AL74" i="4"/>
  <c r="AL69" i="4"/>
  <c r="AL71" i="4"/>
  <c r="AL75" i="4"/>
  <c r="AL76" i="4"/>
  <c r="AL77" i="4"/>
  <c r="AL78" i="4"/>
  <c r="AM74" i="4"/>
  <c r="AM69" i="4"/>
  <c r="AM71" i="4"/>
  <c r="AM75" i="4"/>
  <c r="AM76" i="4"/>
  <c r="AM77" i="4"/>
  <c r="AM78" i="4"/>
  <c r="AN74" i="4"/>
  <c r="AN69" i="4"/>
  <c r="AN71" i="4"/>
  <c r="AN75" i="4"/>
  <c r="AN76" i="4"/>
  <c r="AN77" i="4"/>
  <c r="AN78" i="4"/>
  <c r="AO74" i="4"/>
  <c r="AO69" i="4"/>
  <c r="AO71" i="4"/>
  <c r="AO75" i="4"/>
  <c r="AO76" i="4"/>
  <c r="AO77" i="4"/>
  <c r="AO78" i="4"/>
  <c r="AP74" i="4"/>
  <c r="AP69" i="4"/>
  <c r="AP71" i="4"/>
  <c r="AP75" i="4"/>
  <c r="AP76" i="4"/>
  <c r="AP77" i="4"/>
  <c r="AP78" i="4"/>
  <c r="AQ74" i="4"/>
  <c r="AQ69" i="4"/>
  <c r="AQ71" i="4"/>
  <c r="AQ75" i="4"/>
  <c r="AQ76" i="4"/>
  <c r="AQ77" i="4"/>
  <c r="AQ78" i="4"/>
  <c r="AR74" i="4"/>
  <c r="AR69" i="4"/>
  <c r="AR71" i="4"/>
  <c r="AR75" i="4"/>
  <c r="AR76" i="4"/>
  <c r="AR77" i="4"/>
  <c r="AR78" i="4"/>
  <c r="AS74" i="4"/>
  <c r="AS69" i="4"/>
  <c r="AS71" i="4"/>
  <c r="AS75" i="4"/>
  <c r="AS76" i="4"/>
  <c r="AS77" i="4"/>
  <c r="AS78" i="4"/>
  <c r="AT74" i="4"/>
  <c r="AT69" i="4"/>
  <c r="AT71" i="4"/>
  <c r="AT75" i="4"/>
  <c r="AT76" i="4"/>
  <c r="AT77" i="4"/>
  <c r="AT78" i="4"/>
  <c r="AU74" i="4"/>
  <c r="AU69" i="4"/>
  <c r="AU71" i="4"/>
  <c r="AU75" i="4"/>
  <c r="AU76" i="4"/>
  <c r="AU77" i="4"/>
  <c r="AU78" i="4"/>
  <c r="AV74" i="4"/>
  <c r="AV69" i="4"/>
  <c r="AV71" i="4"/>
  <c r="AV75" i="4"/>
  <c r="AV76" i="4"/>
  <c r="AV77" i="4"/>
  <c r="AV78" i="4"/>
  <c r="AW74" i="4"/>
  <c r="AW69" i="4"/>
  <c r="AW71" i="4"/>
  <c r="AW75" i="4"/>
  <c r="AW76" i="4"/>
  <c r="AW77" i="4"/>
  <c r="AW78" i="4"/>
  <c r="AX74" i="4"/>
  <c r="AX69" i="4"/>
  <c r="AX71" i="4"/>
  <c r="AX75" i="4"/>
  <c r="AX76" i="4"/>
  <c r="AX77" i="4"/>
  <c r="AX78" i="4"/>
  <c r="AY74" i="4"/>
  <c r="AY69" i="4"/>
  <c r="AY71" i="4"/>
  <c r="AY75" i="4"/>
  <c r="AY76" i="4"/>
  <c r="AY77" i="4"/>
  <c r="AY78" i="4"/>
  <c r="AZ74" i="4"/>
  <c r="AZ69" i="4"/>
  <c r="AZ71" i="4"/>
  <c r="AZ75" i="4"/>
  <c r="AZ76" i="4"/>
  <c r="AZ77" i="4"/>
  <c r="AZ78" i="4"/>
  <c r="BA74" i="4"/>
  <c r="BA69" i="4"/>
  <c r="BA71" i="4"/>
  <c r="BA75" i="4"/>
  <c r="BA76" i="4"/>
  <c r="BA77" i="4"/>
  <c r="BA78" i="4"/>
  <c r="BB74" i="4"/>
  <c r="BB69" i="4"/>
  <c r="BB71" i="4"/>
  <c r="BB75" i="4"/>
  <c r="BB76" i="4"/>
  <c r="BB77" i="4"/>
  <c r="BB78" i="4"/>
  <c r="BC74" i="4"/>
  <c r="BC69" i="4"/>
  <c r="BC71" i="4"/>
  <c r="BC75" i="4"/>
  <c r="BC76" i="4"/>
  <c r="BC77" i="4"/>
  <c r="BC78" i="4"/>
  <c r="BD76" i="4"/>
  <c r="BD74" i="4"/>
  <c r="BD77" i="4"/>
  <c r="BD148" i="4"/>
  <c r="BD184" i="4"/>
  <c r="BD210" i="4"/>
  <c r="BD185" i="4"/>
  <c r="BD227" i="4"/>
  <c r="BD299" i="4"/>
  <c r="BD315" i="4"/>
  <c r="BD382" i="4"/>
  <c r="BD193" i="4"/>
  <c r="BD194" i="4"/>
  <c r="BD195" i="4"/>
  <c r="BD300" i="4"/>
  <c r="BD316" i="4"/>
  <c r="BD383" i="4"/>
  <c r="BC111" i="4"/>
  <c r="BC291" i="4"/>
  <c r="BC307" i="4"/>
  <c r="BC374" i="4"/>
  <c r="BC108" i="4"/>
  <c r="BC292" i="4"/>
  <c r="BC308" i="4"/>
  <c r="BC375" i="4"/>
  <c r="BC83" i="4"/>
  <c r="BC84" i="4"/>
  <c r="BC86" i="4"/>
  <c r="BC293" i="4"/>
  <c r="BC309" i="4"/>
  <c r="BC376" i="4"/>
  <c r="BC89" i="4"/>
  <c r="BC90" i="4"/>
  <c r="BC294" i="4"/>
  <c r="BC310" i="4"/>
  <c r="BC377" i="4"/>
  <c r="BC95" i="4"/>
  <c r="BC100" i="4"/>
  <c r="BC96" i="4"/>
  <c r="BC101" i="4"/>
  <c r="BC97" i="4"/>
  <c r="BC102" i="4"/>
  <c r="BC98" i="4"/>
  <c r="BC103" i="4"/>
  <c r="BC105" i="4"/>
  <c r="BC295" i="4"/>
  <c r="BC311" i="4"/>
  <c r="BC378" i="4"/>
  <c r="BC114" i="4"/>
  <c r="BC117" i="4"/>
  <c r="BC175" i="4"/>
  <c r="BC176" i="4"/>
  <c r="BC177" i="4"/>
  <c r="BC178" i="4"/>
  <c r="BC179" i="4"/>
  <c r="BC153" i="4"/>
  <c r="BC180" i="4"/>
  <c r="BC156" i="4"/>
  <c r="BC181" i="4"/>
  <c r="BC160" i="4"/>
  <c r="BC161" i="4"/>
  <c r="BC162" i="4"/>
  <c r="BC163" i="4"/>
  <c r="BC164" i="4"/>
  <c r="BC165" i="4"/>
  <c r="BC166" i="4"/>
  <c r="BC167" i="4"/>
  <c r="BC168" i="4"/>
  <c r="AT159" i="4"/>
  <c r="BC169" i="4"/>
  <c r="BC170" i="4"/>
  <c r="BC182" i="4"/>
  <c r="BC147" i="4"/>
  <c r="BC183" i="4"/>
  <c r="BC148" i="4"/>
  <c r="BC184" i="4"/>
  <c r="BC210" i="4"/>
  <c r="BC185" i="4"/>
  <c r="BC227" i="4"/>
  <c r="BC299" i="4"/>
  <c r="BC315" i="4"/>
  <c r="BC382" i="4"/>
  <c r="BC193" i="4"/>
  <c r="BC194" i="4"/>
  <c r="BC195" i="4"/>
  <c r="BC300" i="4"/>
  <c r="BC316" i="4"/>
  <c r="BC383" i="4"/>
  <c r="BB111" i="4"/>
  <c r="BB291" i="4"/>
  <c r="BB307" i="4"/>
  <c r="BB374" i="4"/>
  <c r="BB108" i="4"/>
  <c r="BB292" i="4"/>
  <c r="BB308" i="4"/>
  <c r="BB375" i="4"/>
  <c r="BB83" i="4"/>
  <c r="BB84" i="4"/>
  <c r="BB86" i="4"/>
  <c r="BB293" i="4"/>
  <c r="BB309" i="4"/>
  <c r="BB376" i="4"/>
  <c r="BB89" i="4"/>
  <c r="BB90" i="4"/>
  <c r="BB294" i="4"/>
  <c r="BB310" i="4"/>
  <c r="BB377" i="4"/>
  <c r="BB95" i="4"/>
  <c r="BB100" i="4"/>
  <c r="BB96" i="4"/>
  <c r="BB101" i="4"/>
  <c r="BB97" i="4"/>
  <c r="BB102" i="4"/>
  <c r="BB98" i="4"/>
  <c r="BB103" i="4"/>
  <c r="BB105" i="4"/>
  <c r="BB295" i="4"/>
  <c r="BB311" i="4"/>
  <c r="BB378" i="4"/>
  <c r="BB114" i="4"/>
  <c r="BB117" i="4"/>
  <c r="BB175" i="4"/>
  <c r="BB176" i="4"/>
  <c r="BB177" i="4"/>
  <c r="BB178" i="4"/>
  <c r="BB179" i="4"/>
  <c r="BB153" i="4"/>
  <c r="BB180" i="4"/>
  <c r="BB156" i="4"/>
  <c r="BB181" i="4"/>
  <c r="BB160" i="4"/>
  <c r="BB161" i="4"/>
  <c r="BB162" i="4"/>
  <c r="BB163" i="4"/>
  <c r="BB164" i="4"/>
  <c r="BB165" i="4"/>
  <c r="BB166" i="4"/>
  <c r="BB167" i="4"/>
  <c r="BB168" i="4"/>
  <c r="AS159" i="4"/>
  <c r="BB169" i="4"/>
  <c r="BB170" i="4"/>
  <c r="BB182" i="4"/>
  <c r="BB147" i="4"/>
  <c r="BB183" i="4"/>
  <c r="BB148" i="4"/>
  <c r="BB184" i="4"/>
  <c r="BB210" i="4"/>
  <c r="BB185" i="4"/>
  <c r="BB227" i="4"/>
  <c r="BB299" i="4"/>
  <c r="BB315" i="4"/>
  <c r="BB382" i="4"/>
  <c r="BB193" i="4"/>
  <c r="BB194" i="4"/>
  <c r="BB195" i="4"/>
  <c r="BB300" i="4"/>
  <c r="BB316" i="4"/>
  <c r="BB383" i="4"/>
  <c r="BA111" i="4"/>
  <c r="BA291" i="4"/>
  <c r="BA307" i="4"/>
  <c r="BA374" i="4"/>
  <c r="BA108" i="4"/>
  <c r="BA292" i="4"/>
  <c r="BA308" i="4"/>
  <c r="BA375" i="4"/>
  <c r="BA83" i="4"/>
  <c r="BA84" i="4"/>
  <c r="BA86" i="4"/>
  <c r="BA293" i="4"/>
  <c r="BA309" i="4"/>
  <c r="BA376" i="4"/>
  <c r="BA89" i="4"/>
  <c r="BA90" i="4"/>
  <c r="BA294" i="4"/>
  <c r="BA310" i="4"/>
  <c r="BA377" i="4"/>
  <c r="BA95" i="4"/>
  <c r="BA100" i="4"/>
  <c r="BA96" i="4"/>
  <c r="BA101" i="4"/>
  <c r="BA97" i="4"/>
  <c r="BA102" i="4"/>
  <c r="BA98" i="4"/>
  <c r="BA103" i="4"/>
  <c r="BA105" i="4"/>
  <c r="BA295" i="4"/>
  <c r="BA311" i="4"/>
  <c r="BA378" i="4"/>
  <c r="BA114" i="4"/>
  <c r="BA117" i="4"/>
  <c r="BA175" i="4"/>
  <c r="BA176" i="4"/>
  <c r="BA177" i="4"/>
  <c r="BA178" i="4"/>
  <c r="BA179" i="4"/>
  <c r="BA153" i="4"/>
  <c r="BA180" i="4"/>
  <c r="BA156" i="4"/>
  <c r="BA181" i="4"/>
  <c r="BA160" i="4"/>
  <c r="BA161" i="4"/>
  <c r="BA162" i="4"/>
  <c r="BA163" i="4"/>
  <c r="BA164" i="4"/>
  <c r="BA165" i="4"/>
  <c r="BA166" i="4"/>
  <c r="BA167" i="4"/>
  <c r="BA168" i="4"/>
  <c r="AR159" i="4"/>
  <c r="BA169" i="4"/>
  <c r="BA170" i="4"/>
  <c r="BA182" i="4"/>
  <c r="BA147" i="4"/>
  <c r="BA183" i="4"/>
  <c r="BA148" i="4"/>
  <c r="BA184" i="4"/>
  <c r="BA210" i="4"/>
  <c r="BA185" i="4"/>
  <c r="BA227" i="4"/>
  <c r="BA299" i="4"/>
  <c r="BA315" i="4"/>
  <c r="BA382" i="4"/>
  <c r="BA193" i="4"/>
  <c r="BA194" i="4"/>
  <c r="BA195" i="4"/>
  <c r="BA300" i="4"/>
  <c r="BA316" i="4"/>
  <c r="BA383" i="4"/>
  <c r="AZ111" i="4"/>
  <c r="AZ291" i="4"/>
  <c r="AZ307" i="4"/>
  <c r="AZ374" i="4"/>
  <c r="AZ108" i="4"/>
  <c r="AZ292" i="4"/>
  <c r="AZ308" i="4"/>
  <c r="AZ375" i="4"/>
  <c r="AZ83" i="4"/>
  <c r="AZ84" i="4"/>
  <c r="AZ86" i="4"/>
  <c r="AZ293" i="4"/>
  <c r="AZ309" i="4"/>
  <c r="AZ376" i="4"/>
  <c r="AZ89" i="4"/>
  <c r="AZ90" i="4"/>
  <c r="AZ294" i="4"/>
  <c r="AZ310" i="4"/>
  <c r="AZ377" i="4"/>
  <c r="AZ95" i="4"/>
  <c r="AZ100" i="4"/>
  <c r="AZ96" i="4"/>
  <c r="AZ101" i="4"/>
  <c r="AZ97" i="4"/>
  <c r="AZ102" i="4"/>
  <c r="AZ98" i="4"/>
  <c r="AZ103" i="4"/>
  <c r="AZ105" i="4"/>
  <c r="AZ295" i="4"/>
  <c r="AZ311" i="4"/>
  <c r="AZ378" i="4"/>
  <c r="AZ114" i="4"/>
  <c r="AZ117" i="4"/>
  <c r="AZ175" i="4"/>
  <c r="AZ176" i="4"/>
  <c r="AZ177" i="4"/>
  <c r="AZ178" i="4"/>
  <c r="AZ179" i="4"/>
  <c r="AZ153" i="4"/>
  <c r="AZ180" i="4"/>
  <c r="AZ156" i="4"/>
  <c r="AZ181" i="4"/>
  <c r="AZ160" i="4"/>
  <c r="AZ161" i="4"/>
  <c r="AZ162" i="4"/>
  <c r="AZ163" i="4"/>
  <c r="AZ164" i="4"/>
  <c r="AZ165" i="4"/>
  <c r="AZ166" i="4"/>
  <c r="AZ167" i="4"/>
  <c r="AZ168" i="4"/>
  <c r="AQ159" i="4"/>
  <c r="AZ169" i="4"/>
  <c r="AZ170" i="4"/>
  <c r="AZ182" i="4"/>
  <c r="AZ147" i="4"/>
  <c r="AZ183" i="4"/>
  <c r="AZ148" i="4"/>
  <c r="AZ184" i="4"/>
  <c r="AZ210" i="4"/>
  <c r="AZ185" i="4"/>
  <c r="AZ227" i="4"/>
  <c r="AZ299" i="4"/>
  <c r="AZ315" i="4"/>
  <c r="AZ382" i="4"/>
  <c r="AZ193" i="4"/>
  <c r="AZ194" i="4"/>
  <c r="AZ195" i="4"/>
  <c r="AZ300" i="4"/>
  <c r="AZ316" i="4"/>
  <c r="AZ383" i="4"/>
  <c r="AY111" i="4"/>
  <c r="AY291" i="4"/>
  <c r="AY307" i="4"/>
  <c r="AY374" i="4"/>
  <c r="AY108" i="4"/>
  <c r="AY292" i="4"/>
  <c r="AY308" i="4"/>
  <c r="AY375" i="4"/>
  <c r="AY83" i="4"/>
  <c r="AY84" i="4"/>
  <c r="AY86" i="4"/>
  <c r="AY293" i="4"/>
  <c r="AY309" i="4"/>
  <c r="AY376" i="4"/>
  <c r="AY89" i="4"/>
  <c r="AY90" i="4"/>
  <c r="AY294" i="4"/>
  <c r="AY310" i="4"/>
  <c r="AY377" i="4"/>
  <c r="AY95" i="4"/>
  <c r="AY100" i="4"/>
  <c r="AY96" i="4"/>
  <c r="AY101" i="4"/>
  <c r="AY97" i="4"/>
  <c r="AY102" i="4"/>
  <c r="AY98" i="4"/>
  <c r="AY103" i="4"/>
  <c r="AY105" i="4"/>
  <c r="AY295" i="4"/>
  <c r="AY311" i="4"/>
  <c r="AY378" i="4"/>
  <c r="AY114" i="4"/>
  <c r="AY117" i="4"/>
  <c r="AY175" i="4"/>
  <c r="AY176" i="4"/>
  <c r="AY177" i="4"/>
  <c r="AY178" i="4"/>
  <c r="AY179" i="4"/>
  <c r="AY153" i="4"/>
  <c r="AY180" i="4"/>
  <c r="AY156" i="4"/>
  <c r="AY181" i="4"/>
  <c r="AY160" i="4"/>
  <c r="AY161" i="4"/>
  <c r="AY162" i="4"/>
  <c r="AY163" i="4"/>
  <c r="AY164" i="4"/>
  <c r="AY165" i="4"/>
  <c r="AY166" i="4"/>
  <c r="AY167" i="4"/>
  <c r="AY168" i="4"/>
  <c r="AP159" i="4"/>
  <c r="AY169" i="4"/>
  <c r="AY170" i="4"/>
  <c r="AY182" i="4"/>
  <c r="AY147" i="4"/>
  <c r="AY183" i="4"/>
  <c r="AY148" i="4"/>
  <c r="AY184" i="4"/>
  <c r="AY210" i="4"/>
  <c r="AY185" i="4"/>
  <c r="AY227" i="4"/>
  <c r="AY299" i="4"/>
  <c r="AY315" i="4"/>
  <c r="AY382" i="4"/>
  <c r="AY193" i="4"/>
  <c r="AY194" i="4"/>
  <c r="AY195" i="4"/>
  <c r="AY300" i="4"/>
  <c r="AY316" i="4"/>
  <c r="AY383" i="4"/>
  <c r="AX111" i="4"/>
  <c r="AX291" i="4"/>
  <c r="AX307" i="4"/>
  <c r="AX374" i="4"/>
  <c r="AX108" i="4"/>
  <c r="AX292" i="4"/>
  <c r="AX308" i="4"/>
  <c r="AX375" i="4"/>
  <c r="AX83" i="4"/>
  <c r="AX84" i="4"/>
  <c r="AX86" i="4"/>
  <c r="AX293" i="4"/>
  <c r="AX309" i="4"/>
  <c r="AX376" i="4"/>
  <c r="AX89" i="4"/>
  <c r="AX90" i="4"/>
  <c r="AX294" i="4"/>
  <c r="AX310" i="4"/>
  <c r="AX377" i="4"/>
  <c r="AX95" i="4"/>
  <c r="AX100" i="4"/>
  <c r="AX96" i="4"/>
  <c r="AX101" i="4"/>
  <c r="AX97" i="4"/>
  <c r="AX102" i="4"/>
  <c r="AX98" i="4"/>
  <c r="AX103" i="4"/>
  <c r="AX105" i="4"/>
  <c r="AX295" i="4"/>
  <c r="AX311" i="4"/>
  <c r="AX378" i="4"/>
  <c r="AX114" i="4"/>
  <c r="AX117" i="4"/>
  <c r="AX175" i="4"/>
  <c r="AX176" i="4"/>
  <c r="AX177" i="4"/>
  <c r="AX178" i="4"/>
  <c r="AX179" i="4"/>
  <c r="AX153" i="4"/>
  <c r="AX180" i="4"/>
  <c r="AX156" i="4"/>
  <c r="AX181" i="4"/>
  <c r="AX160" i="4"/>
  <c r="AX161" i="4"/>
  <c r="AX162" i="4"/>
  <c r="AX163" i="4"/>
  <c r="AX164" i="4"/>
  <c r="AX165" i="4"/>
  <c r="AX166" i="4"/>
  <c r="AX167" i="4"/>
  <c r="AX168" i="4"/>
  <c r="AO159" i="4"/>
  <c r="AX169" i="4"/>
  <c r="AX170" i="4"/>
  <c r="AX182" i="4"/>
  <c r="AX147" i="4"/>
  <c r="AX183" i="4"/>
  <c r="AX148" i="4"/>
  <c r="AX184" i="4"/>
  <c r="AX210" i="4"/>
  <c r="AX185" i="4"/>
  <c r="AX227" i="4"/>
  <c r="AX299" i="4"/>
  <c r="AX315" i="4"/>
  <c r="AX382" i="4"/>
  <c r="AX193" i="4"/>
  <c r="AX194" i="4"/>
  <c r="AX195" i="4"/>
  <c r="AX300" i="4"/>
  <c r="AX316" i="4"/>
  <c r="AX383" i="4"/>
  <c r="AW111" i="4"/>
  <c r="AW291" i="4"/>
  <c r="AW307" i="4"/>
  <c r="AW374" i="4"/>
  <c r="AW108" i="4"/>
  <c r="AW292" i="4"/>
  <c r="AW308" i="4"/>
  <c r="AW375" i="4"/>
  <c r="AW83" i="4"/>
  <c r="AW84" i="4"/>
  <c r="AW86" i="4"/>
  <c r="AW293" i="4"/>
  <c r="AW309" i="4"/>
  <c r="AW376" i="4"/>
  <c r="AW89" i="4"/>
  <c r="AW90" i="4"/>
  <c r="AW294" i="4"/>
  <c r="AW310" i="4"/>
  <c r="AW377" i="4"/>
  <c r="AW95" i="4"/>
  <c r="AW100" i="4"/>
  <c r="AW96" i="4"/>
  <c r="AW101" i="4"/>
  <c r="AW97" i="4"/>
  <c r="AW102" i="4"/>
  <c r="AW98" i="4"/>
  <c r="AW103" i="4"/>
  <c r="AW105" i="4"/>
  <c r="AW295" i="4"/>
  <c r="AW311" i="4"/>
  <c r="AW378" i="4"/>
  <c r="AW114" i="4"/>
  <c r="AW117" i="4"/>
  <c r="AW175" i="4"/>
  <c r="AW176" i="4"/>
  <c r="AW177" i="4"/>
  <c r="AW178" i="4"/>
  <c r="AW179" i="4"/>
  <c r="AW153" i="4"/>
  <c r="AW180" i="4"/>
  <c r="AW156" i="4"/>
  <c r="AW181" i="4"/>
  <c r="AW160" i="4"/>
  <c r="AW161" i="4"/>
  <c r="AW162" i="4"/>
  <c r="AW163" i="4"/>
  <c r="AW164" i="4"/>
  <c r="AW165" i="4"/>
  <c r="AW166" i="4"/>
  <c r="AW167" i="4"/>
  <c r="AW168" i="4"/>
  <c r="AN159" i="4"/>
  <c r="AW169" i="4"/>
  <c r="AW170" i="4"/>
  <c r="AW182" i="4"/>
  <c r="AW147" i="4"/>
  <c r="AW183" i="4"/>
  <c r="AW148" i="4"/>
  <c r="AW184" i="4"/>
  <c r="AW210" i="4"/>
  <c r="AW185" i="4"/>
  <c r="AW227" i="4"/>
  <c r="AW299" i="4"/>
  <c r="AW315" i="4"/>
  <c r="AW382" i="4"/>
  <c r="AW193" i="4"/>
  <c r="AW194" i="4"/>
  <c r="AW195" i="4"/>
  <c r="AW300" i="4"/>
  <c r="AW316" i="4"/>
  <c r="AW383" i="4"/>
  <c r="AV111" i="4"/>
  <c r="AV291" i="4"/>
  <c r="AV307" i="4"/>
  <c r="AV374" i="4"/>
  <c r="AV108" i="4"/>
  <c r="AV292" i="4"/>
  <c r="AV308" i="4"/>
  <c r="AV375" i="4"/>
  <c r="AV83" i="4"/>
  <c r="AV84" i="4"/>
  <c r="AV86" i="4"/>
  <c r="AV293" i="4"/>
  <c r="AV309" i="4"/>
  <c r="AV376" i="4"/>
  <c r="AV89" i="4"/>
  <c r="AV90" i="4"/>
  <c r="AV294" i="4"/>
  <c r="AV310" i="4"/>
  <c r="AV377" i="4"/>
  <c r="AV95" i="4"/>
  <c r="AV100" i="4"/>
  <c r="AV96" i="4"/>
  <c r="AV101" i="4"/>
  <c r="AV97" i="4"/>
  <c r="AV102" i="4"/>
  <c r="AV98" i="4"/>
  <c r="AV103" i="4"/>
  <c r="AV105" i="4"/>
  <c r="AV295" i="4"/>
  <c r="AV311" i="4"/>
  <c r="AV378" i="4"/>
  <c r="AV114" i="4"/>
  <c r="AV117" i="4"/>
  <c r="AV175" i="4"/>
  <c r="AV176" i="4"/>
  <c r="AV177" i="4"/>
  <c r="AV178" i="4"/>
  <c r="AV179" i="4"/>
  <c r="AV153" i="4"/>
  <c r="AV180" i="4"/>
  <c r="AV156" i="4"/>
  <c r="AV181" i="4"/>
  <c r="AV160" i="4"/>
  <c r="AV161" i="4"/>
  <c r="AV162" i="4"/>
  <c r="AV163" i="4"/>
  <c r="AV164" i="4"/>
  <c r="AV165" i="4"/>
  <c r="AV166" i="4"/>
  <c r="AV167" i="4"/>
  <c r="AV168" i="4"/>
  <c r="AM159" i="4"/>
  <c r="AV169" i="4"/>
  <c r="AV170" i="4"/>
  <c r="AV182" i="4"/>
  <c r="AV147" i="4"/>
  <c r="AV183" i="4"/>
  <c r="AV148" i="4"/>
  <c r="AV184" i="4"/>
  <c r="AV210" i="4"/>
  <c r="AV185" i="4"/>
  <c r="AV227" i="4"/>
  <c r="AV299" i="4"/>
  <c r="AV315" i="4"/>
  <c r="AV382" i="4"/>
  <c r="AV193" i="4"/>
  <c r="AV194" i="4"/>
  <c r="AV195" i="4"/>
  <c r="AV300" i="4"/>
  <c r="AV316" i="4"/>
  <c r="AV383" i="4"/>
  <c r="AU111" i="4"/>
  <c r="AU291" i="4"/>
  <c r="AU307" i="4"/>
  <c r="AU374" i="4"/>
  <c r="AU108" i="4"/>
  <c r="AU292" i="4"/>
  <c r="AU308" i="4"/>
  <c r="AU375" i="4"/>
  <c r="AU83" i="4"/>
  <c r="AU84" i="4"/>
  <c r="AU86" i="4"/>
  <c r="AU293" i="4"/>
  <c r="AU309" i="4"/>
  <c r="AU376" i="4"/>
  <c r="AU89" i="4"/>
  <c r="AU90" i="4"/>
  <c r="AU294" i="4"/>
  <c r="AU310" i="4"/>
  <c r="AU377" i="4"/>
  <c r="AU95" i="4"/>
  <c r="AU100" i="4"/>
  <c r="AU96" i="4"/>
  <c r="AU101" i="4"/>
  <c r="AU97" i="4"/>
  <c r="AU102" i="4"/>
  <c r="AU98" i="4"/>
  <c r="AU103" i="4"/>
  <c r="AU105" i="4"/>
  <c r="AU295" i="4"/>
  <c r="AU311" i="4"/>
  <c r="AU378" i="4"/>
  <c r="AU114" i="4"/>
  <c r="AU117" i="4"/>
  <c r="AU175" i="4"/>
  <c r="AU176" i="4"/>
  <c r="AU177" i="4"/>
  <c r="AU178" i="4"/>
  <c r="AU179" i="4"/>
  <c r="AU153" i="4"/>
  <c r="AU180" i="4"/>
  <c r="AU156" i="4"/>
  <c r="AU181" i="4"/>
  <c r="AU160" i="4"/>
  <c r="AU161" i="4"/>
  <c r="AU162" i="4"/>
  <c r="AU163" i="4"/>
  <c r="AU164" i="4"/>
  <c r="AU165" i="4"/>
  <c r="AU166" i="4"/>
  <c r="AU167" i="4"/>
  <c r="AU168" i="4"/>
  <c r="AL159" i="4"/>
  <c r="AU169" i="4"/>
  <c r="AU170" i="4"/>
  <c r="AU182" i="4"/>
  <c r="AU147" i="4"/>
  <c r="AU183" i="4"/>
  <c r="AU148" i="4"/>
  <c r="AU184" i="4"/>
  <c r="AU210" i="4"/>
  <c r="AU185" i="4"/>
  <c r="AU227" i="4"/>
  <c r="AU299" i="4"/>
  <c r="AU315" i="4"/>
  <c r="AU382" i="4"/>
  <c r="AU193" i="4"/>
  <c r="AU194" i="4"/>
  <c r="AU195" i="4"/>
  <c r="AU300" i="4"/>
  <c r="AU316" i="4"/>
  <c r="AU383" i="4"/>
  <c r="AT111" i="4"/>
  <c r="AT291" i="4"/>
  <c r="AT307" i="4"/>
  <c r="AT374" i="4"/>
  <c r="AT108" i="4"/>
  <c r="AT292" i="4"/>
  <c r="AT308" i="4"/>
  <c r="AT375" i="4"/>
  <c r="AT83" i="4"/>
  <c r="AT84" i="4"/>
  <c r="AT86" i="4"/>
  <c r="AT293" i="4"/>
  <c r="AT309" i="4"/>
  <c r="AT376" i="4"/>
  <c r="AT89" i="4"/>
  <c r="AT90" i="4"/>
  <c r="AT294" i="4"/>
  <c r="AT310" i="4"/>
  <c r="AT377" i="4"/>
  <c r="AT95" i="4"/>
  <c r="AT100" i="4"/>
  <c r="AT96" i="4"/>
  <c r="AT101" i="4"/>
  <c r="AT97" i="4"/>
  <c r="AT102" i="4"/>
  <c r="AT98" i="4"/>
  <c r="AT103" i="4"/>
  <c r="AT105" i="4"/>
  <c r="AT295" i="4"/>
  <c r="AT311" i="4"/>
  <c r="AT378" i="4"/>
  <c r="AT114" i="4"/>
  <c r="AT117" i="4"/>
  <c r="AT175" i="4"/>
  <c r="AT176" i="4"/>
  <c r="AT177" i="4"/>
  <c r="AT178" i="4"/>
  <c r="AT179" i="4"/>
  <c r="AT153" i="4"/>
  <c r="AT180" i="4"/>
  <c r="AT156" i="4"/>
  <c r="AT181" i="4"/>
  <c r="AT160" i="4"/>
  <c r="AT161" i="4"/>
  <c r="AT162" i="4"/>
  <c r="AT163" i="4"/>
  <c r="AT164" i="4"/>
  <c r="AT165" i="4"/>
  <c r="AT166" i="4"/>
  <c r="AT167" i="4"/>
  <c r="AT168" i="4"/>
  <c r="AK159" i="4"/>
  <c r="AT169" i="4"/>
  <c r="AT170" i="4"/>
  <c r="AT182" i="4"/>
  <c r="AT147" i="4"/>
  <c r="AT183" i="4"/>
  <c r="AT148" i="4"/>
  <c r="AT184" i="4"/>
  <c r="AT210" i="4"/>
  <c r="AT185" i="4"/>
  <c r="AT227" i="4"/>
  <c r="AT299" i="4"/>
  <c r="AT315" i="4"/>
  <c r="AT382" i="4"/>
  <c r="AT193" i="4"/>
  <c r="AT194" i="4"/>
  <c r="AT195" i="4"/>
  <c r="AT300" i="4"/>
  <c r="AT316" i="4"/>
  <c r="AT383" i="4"/>
  <c r="AS111" i="4"/>
  <c r="AS291" i="4"/>
  <c r="AS307" i="4"/>
  <c r="AS374" i="4"/>
  <c r="AS108" i="4"/>
  <c r="AS292" i="4"/>
  <c r="AS308" i="4"/>
  <c r="AS375" i="4"/>
  <c r="AS83" i="4"/>
  <c r="AS84" i="4"/>
  <c r="AS86" i="4"/>
  <c r="AS293" i="4"/>
  <c r="AS309" i="4"/>
  <c r="AS376" i="4"/>
  <c r="AS89" i="4"/>
  <c r="AS90" i="4"/>
  <c r="AS294" i="4"/>
  <c r="AS310" i="4"/>
  <c r="AS377" i="4"/>
  <c r="AS95" i="4"/>
  <c r="AS100" i="4"/>
  <c r="AS96" i="4"/>
  <c r="AS101" i="4"/>
  <c r="AS97" i="4"/>
  <c r="AS102" i="4"/>
  <c r="AS98" i="4"/>
  <c r="AS103" i="4"/>
  <c r="AS105" i="4"/>
  <c r="AS295" i="4"/>
  <c r="AS311" i="4"/>
  <c r="AS378" i="4"/>
  <c r="AS114" i="4"/>
  <c r="AS117" i="4"/>
  <c r="AS175" i="4"/>
  <c r="AS176" i="4"/>
  <c r="AS177" i="4"/>
  <c r="AS178" i="4"/>
  <c r="AS179" i="4"/>
  <c r="AS153" i="4"/>
  <c r="AS180" i="4"/>
  <c r="AS156" i="4"/>
  <c r="AS181" i="4"/>
  <c r="AS160" i="4"/>
  <c r="AS161" i="4"/>
  <c r="AS162" i="4"/>
  <c r="AS163" i="4"/>
  <c r="AS164" i="4"/>
  <c r="AS165" i="4"/>
  <c r="AS166" i="4"/>
  <c r="AS167" i="4"/>
  <c r="AS168" i="4"/>
  <c r="AJ159" i="4"/>
  <c r="AS169" i="4"/>
  <c r="AS170" i="4"/>
  <c r="AS182" i="4"/>
  <c r="AS147" i="4"/>
  <c r="AS183" i="4"/>
  <c r="AS148" i="4"/>
  <c r="AS184" i="4"/>
  <c r="AS210" i="4"/>
  <c r="AS185" i="4"/>
  <c r="AS227" i="4"/>
  <c r="AS299" i="4"/>
  <c r="AS315" i="4"/>
  <c r="AS382" i="4"/>
  <c r="AS193" i="4"/>
  <c r="AS194" i="4"/>
  <c r="AS195" i="4"/>
  <c r="AS300" i="4"/>
  <c r="AS316" i="4"/>
  <c r="AS383" i="4"/>
  <c r="AR111" i="4"/>
  <c r="AR291" i="4"/>
  <c r="AR307" i="4"/>
  <c r="AR374" i="4"/>
  <c r="AR108" i="4"/>
  <c r="AR292" i="4"/>
  <c r="AR308" i="4"/>
  <c r="AR375" i="4"/>
  <c r="AR83" i="4"/>
  <c r="AR84" i="4"/>
  <c r="AR86" i="4"/>
  <c r="AR293" i="4"/>
  <c r="AR309" i="4"/>
  <c r="AR376" i="4"/>
  <c r="AR89" i="4"/>
  <c r="AR90" i="4"/>
  <c r="AR294" i="4"/>
  <c r="AR310" i="4"/>
  <c r="AR377" i="4"/>
  <c r="AR95" i="4"/>
  <c r="AR100" i="4"/>
  <c r="AR96" i="4"/>
  <c r="AR101" i="4"/>
  <c r="AR97" i="4"/>
  <c r="AR102" i="4"/>
  <c r="AR98" i="4"/>
  <c r="AR103" i="4"/>
  <c r="AR105" i="4"/>
  <c r="AR295" i="4"/>
  <c r="AR311" i="4"/>
  <c r="AR378" i="4"/>
  <c r="AR114" i="4"/>
  <c r="AR117" i="4"/>
  <c r="AR175" i="4"/>
  <c r="AR176" i="4"/>
  <c r="AR177" i="4"/>
  <c r="AR178" i="4"/>
  <c r="AR179" i="4"/>
  <c r="AR153" i="4"/>
  <c r="AR180" i="4"/>
  <c r="AR156" i="4"/>
  <c r="AR181" i="4"/>
  <c r="AR160" i="4"/>
  <c r="AR161" i="4"/>
  <c r="AR162" i="4"/>
  <c r="AR163" i="4"/>
  <c r="AR164" i="4"/>
  <c r="AR165" i="4"/>
  <c r="AR166" i="4"/>
  <c r="AR167" i="4"/>
  <c r="AR168" i="4"/>
  <c r="AI159" i="4"/>
  <c r="AR169" i="4"/>
  <c r="AR170" i="4"/>
  <c r="AR182" i="4"/>
  <c r="AR147" i="4"/>
  <c r="AR183" i="4"/>
  <c r="AR148" i="4"/>
  <c r="AR184" i="4"/>
  <c r="AR210" i="4"/>
  <c r="AR185" i="4"/>
  <c r="AR227" i="4"/>
  <c r="AR299" i="4"/>
  <c r="AR315" i="4"/>
  <c r="AR382" i="4"/>
  <c r="AR193" i="4"/>
  <c r="AR194" i="4"/>
  <c r="AR195" i="4"/>
  <c r="AR300" i="4"/>
  <c r="AR316" i="4"/>
  <c r="AR383" i="4"/>
  <c r="AQ111" i="4"/>
  <c r="AQ291" i="4"/>
  <c r="AQ307" i="4"/>
  <c r="AQ374" i="4"/>
  <c r="AQ108" i="4"/>
  <c r="AQ292" i="4"/>
  <c r="AQ308" i="4"/>
  <c r="AQ375" i="4"/>
  <c r="AQ83" i="4"/>
  <c r="AQ84" i="4"/>
  <c r="AQ86" i="4"/>
  <c r="AQ293" i="4"/>
  <c r="AQ309" i="4"/>
  <c r="AQ376" i="4"/>
  <c r="AQ89" i="4"/>
  <c r="AQ90" i="4"/>
  <c r="AQ294" i="4"/>
  <c r="AQ310" i="4"/>
  <c r="AQ377" i="4"/>
  <c r="AQ95" i="4"/>
  <c r="AQ100" i="4"/>
  <c r="AQ96" i="4"/>
  <c r="AQ101" i="4"/>
  <c r="AQ97" i="4"/>
  <c r="AQ102" i="4"/>
  <c r="AQ98" i="4"/>
  <c r="AQ103" i="4"/>
  <c r="AQ105" i="4"/>
  <c r="AQ295" i="4"/>
  <c r="AQ311" i="4"/>
  <c r="AQ378" i="4"/>
  <c r="AQ114" i="4"/>
  <c r="AQ117" i="4"/>
  <c r="AQ175" i="4"/>
  <c r="AQ176" i="4"/>
  <c r="AQ177" i="4"/>
  <c r="AQ178" i="4"/>
  <c r="AQ179" i="4"/>
  <c r="AQ153" i="4"/>
  <c r="AQ180" i="4"/>
  <c r="AQ156" i="4"/>
  <c r="AQ181" i="4"/>
  <c r="AQ160" i="4"/>
  <c r="AQ161" i="4"/>
  <c r="AQ162" i="4"/>
  <c r="AQ163" i="4"/>
  <c r="AQ164" i="4"/>
  <c r="AQ165" i="4"/>
  <c r="AQ166" i="4"/>
  <c r="AQ167" i="4"/>
  <c r="AQ168" i="4"/>
  <c r="AH159" i="4"/>
  <c r="AQ169" i="4"/>
  <c r="AQ170" i="4"/>
  <c r="AQ182" i="4"/>
  <c r="AQ147" i="4"/>
  <c r="AQ183" i="4"/>
  <c r="AQ148" i="4"/>
  <c r="AQ184" i="4"/>
  <c r="AQ210" i="4"/>
  <c r="AQ185" i="4"/>
  <c r="AQ227" i="4"/>
  <c r="AQ299" i="4"/>
  <c r="AQ315" i="4"/>
  <c r="AQ382" i="4"/>
  <c r="AQ193" i="4"/>
  <c r="AQ194" i="4"/>
  <c r="AQ195" i="4"/>
  <c r="AQ300" i="4"/>
  <c r="AQ316" i="4"/>
  <c r="AQ383" i="4"/>
  <c r="AP111" i="4"/>
  <c r="AP291" i="4"/>
  <c r="AP307" i="4"/>
  <c r="AP374" i="4"/>
  <c r="AP108" i="4"/>
  <c r="AP292" i="4"/>
  <c r="AP308" i="4"/>
  <c r="AP375" i="4"/>
  <c r="AP83" i="4"/>
  <c r="AP84" i="4"/>
  <c r="AP86" i="4"/>
  <c r="AP293" i="4"/>
  <c r="AP309" i="4"/>
  <c r="AP376" i="4"/>
  <c r="AP89" i="4"/>
  <c r="AP90" i="4"/>
  <c r="AP294" i="4"/>
  <c r="AP310" i="4"/>
  <c r="AP377" i="4"/>
  <c r="AP95" i="4"/>
  <c r="AP100" i="4"/>
  <c r="AP96" i="4"/>
  <c r="AP101" i="4"/>
  <c r="AP97" i="4"/>
  <c r="AP102" i="4"/>
  <c r="AP98" i="4"/>
  <c r="AP103" i="4"/>
  <c r="AP105" i="4"/>
  <c r="AP295" i="4"/>
  <c r="AP311" i="4"/>
  <c r="AP378" i="4"/>
  <c r="AP114" i="4"/>
  <c r="AP117" i="4"/>
  <c r="AP175" i="4"/>
  <c r="AP176" i="4"/>
  <c r="AP177" i="4"/>
  <c r="AP178" i="4"/>
  <c r="AP179" i="4"/>
  <c r="AP153" i="4"/>
  <c r="AP180" i="4"/>
  <c r="AP156" i="4"/>
  <c r="AP181" i="4"/>
  <c r="AP160" i="4"/>
  <c r="AP161" i="4"/>
  <c r="AP162" i="4"/>
  <c r="AP163" i="4"/>
  <c r="AP164" i="4"/>
  <c r="AP165" i="4"/>
  <c r="AP166" i="4"/>
  <c r="AP167" i="4"/>
  <c r="AP168" i="4"/>
  <c r="AG159" i="4"/>
  <c r="AP169" i="4"/>
  <c r="AP170" i="4"/>
  <c r="AP182" i="4"/>
  <c r="AP147" i="4"/>
  <c r="AP183" i="4"/>
  <c r="AP148" i="4"/>
  <c r="AP184" i="4"/>
  <c r="AP210" i="4"/>
  <c r="AP185" i="4"/>
  <c r="AP227" i="4"/>
  <c r="AP299" i="4"/>
  <c r="AP315" i="4"/>
  <c r="AP382" i="4"/>
  <c r="AP193" i="4"/>
  <c r="AP194" i="4"/>
  <c r="AP195" i="4"/>
  <c r="AP300" i="4"/>
  <c r="AP316" i="4"/>
  <c r="AP383" i="4"/>
  <c r="AO111" i="4"/>
  <c r="AO291" i="4"/>
  <c r="AO307" i="4"/>
  <c r="AO374" i="4"/>
  <c r="AO108" i="4"/>
  <c r="AO292" i="4"/>
  <c r="AO308" i="4"/>
  <c r="AO375" i="4"/>
  <c r="AO83" i="4"/>
  <c r="AO84" i="4"/>
  <c r="AO86" i="4"/>
  <c r="AO293" i="4"/>
  <c r="AO309" i="4"/>
  <c r="AO376" i="4"/>
  <c r="AO89" i="4"/>
  <c r="AO90" i="4"/>
  <c r="AO294" i="4"/>
  <c r="AO310" i="4"/>
  <c r="AO377" i="4"/>
  <c r="AO95" i="4"/>
  <c r="AO100" i="4"/>
  <c r="AO96" i="4"/>
  <c r="AO101" i="4"/>
  <c r="AO97" i="4"/>
  <c r="AO102" i="4"/>
  <c r="AO98" i="4"/>
  <c r="AO103" i="4"/>
  <c r="AO105" i="4"/>
  <c r="AO295" i="4"/>
  <c r="AO311" i="4"/>
  <c r="AO378" i="4"/>
  <c r="AO114" i="4"/>
  <c r="AO117" i="4"/>
  <c r="AO175" i="4"/>
  <c r="AO176" i="4"/>
  <c r="AO177" i="4"/>
  <c r="AO178" i="4"/>
  <c r="AO179" i="4"/>
  <c r="AO153" i="4"/>
  <c r="AO180" i="4"/>
  <c r="AO156" i="4"/>
  <c r="AO181" i="4"/>
  <c r="AO160" i="4"/>
  <c r="AO161" i="4"/>
  <c r="AO162" i="4"/>
  <c r="AO163" i="4"/>
  <c r="AO164" i="4"/>
  <c r="AO165" i="4"/>
  <c r="AO166" i="4"/>
  <c r="AO167" i="4"/>
  <c r="AO168" i="4"/>
  <c r="AF159" i="4"/>
  <c r="AO169" i="4"/>
  <c r="AO170" i="4"/>
  <c r="AO182" i="4"/>
  <c r="AO147" i="4"/>
  <c r="AO183" i="4"/>
  <c r="AO148" i="4"/>
  <c r="AO184" i="4"/>
  <c r="AO210" i="4"/>
  <c r="AO185" i="4"/>
  <c r="AO227" i="4"/>
  <c r="AO299" i="4"/>
  <c r="AO315" i="4"/>
  <c r="AO382" i="4"/>
  <c r="AO193" i="4"/>
  <c r="AO194" i="4"/>
  <c r="AO195" i="4"/>
  <c r="AO300" i="4"/>
  <c r="AO316" i="4"/>
  <c r="AO383" i="4"/>
  <c r="AN111" i="4"/>
  <c r="AN291" i="4"/>
  <c r="AN307" i="4"/>
  <c r="AN374" i="4"/>
  <c r="AN108" i="4"/>
  <c r="AN292" i="4"/>
  <c r="AN308" i="4"/>
  <c r="AN375" i="4"/>
  <c r="AN83" i="4"/>
  <c r="AN84" i="4"/>
  <c r="AN86" i="4"/>
  <c r="AN293" i="4"/>
  <c r="AN309" i="4"/>
  <c r="AN376" i="4"/>
  <c r="AN89" i="4"/>
  <c r="AN90" i="4"/>
  <c r="AN294" i="4"/>
  <c r="AN310" i="4"/>
  <c r="AN377" i="4"/>
  <c r="AN95" i="4"/>
  <c r="AN100" i="4"/>
  <c r="AN96" i="4"/>
  <c r="AN101" i="4"/>
  <c r="AN97" i="4"/>
  <c r="AN102" i="4"/>
  <c r="AN98" i="4"/>
  <c r="AN103" i="4"/>
  <c r="AN105" i="4"/>
  <c r="AN295" i="4"/>
  <c r="AN311" i="4"/>
  <c r="AN378" i="4"/>
  <c r="AN114" i="4"/>
  <c r="AN117" i="4"/>
  <c r="AN175" i="4"/>
  <c r="AN176" i="4"/>
  <c r="AN177" i="4"/>
  <c r="AN178" i="4"/>
  <c r="AN179" i="4"/>
  <c r="AN153" i="4"/>
  <c r="AN180" i="4"/>
  <c r="AN156" i="4"/>
  <c r="AN181" i="4"/>
  <c r="AN160" i="4"/>
  <c r="AN161" i="4"/>
  <c r="AN162" i="4"/>
  <c r="AN163" i="4"/>
  <c r="AN164" i="4"/>
  <c r="AN165" i="4"/>
  <c r="AN166" i="4"/>
  <c r="AN167" i="4"/>
  <c r="AN168" i="4"/>
  <c r="AE159" i="4"/>
  <c r="AN169" i="4"/>
  <c r="AN170" i="4"/>
  <c r="AN182" i="4"/>
  <c r="AN147" i="4"/>
  <c r="AN183" i="4"/>
  <c r="AN148" i="4"/>
  <c r="AN184" i="4"/>
  <c r="AN210" i="4"/>
  <c r="AN185" i="4"/>
  <c r="AN227" i="4"/>
  <c r="AN299" i="4"/>
  <c r="AN315" i="4"/>
  <c r="AN382" i="4"/>
  <c r="AN193" i="4"/>
  <c r="AN194" i="4"/>
  <c r="AN195" i="4"/>
  <c r="AN300" i="4"/>
  <c r="AN316" i="4"/>
  <c r="AN383" i="4"/>
  <c r="AM111" i="4"/>
  <c r="AM291" i="4"/>
  <c r="AM307" i="4"/>
  <c r="AM374" i="4"/>
  <c r="AM108" i="4"/>
  <c r="AM292" i="4"/>
  <c r="AM308" i="4"/>
  <c r="AM375" i="4"/>
  <c r="AM83" i="4"/>
  <c r="AM84" i="4"/>
  <c r="AM86" i="4"/>
  <c r="AM293" i="4"/>
  <c r="AM309" i="4"/>
  <c r="AM376" i="4"/>
  <c r="AM89" i="4"/>
  <c r="AM90" i="4"/>
  <c r="AM294" i="4"/>
  <c r="AM310" i="4"/>
  <c r="AM377" i="4"/>
  <c r="AM95" i="4"/>
  <c r="AM100" i="4"/>
  <c r="AM96" i="4"/>
  <c r="AM101" i="4"/>
  <c r="AM97" i="4"/>
  <c r="AM102" i="4"/>
  <c r="AM98" i="4"/>
  <c r="AM103" i="4"/>
  <c r="AM105" i="4"/>
  <c r="AM295" i="4"/>
  <c r="AM311" i="4"/>
  <c r="AM378" i="4"/>
  <c r="AM114" i="4"/>
  <c r="AM117" i="4"/>
  <c r="AM175" i="4"/>
  <c r="AM176" i="4"/>
  <c r="AM177" i="4"/>
  <c r="AM178" i="4"/>
  <c r="AM179" i="4"/>
  <c r="AM153" i="4"/>
  <c r="AM180" i="4"/>
  <c r="AM156" i="4"/>
  <c r="AM181" i="4"/>
  <c r="AM160" i="4"/>
  <c r="AM161" i="4"/>
  <c r="AM162" i="4"/>
  <c r="AM163" i="4"/>
  <c r="AM164" i="4"/>
  <c r="AM165" i="4"/>
  <c r="AM166" i="4"/>
  <c r="AM167" i="4"/>
  <c r="AM168" i="4"/>
  <c r="AD159" i="4"/>
  <c r="AM169" i="4"/>
  <c r="AM170" i="4"/>
  <c r="AM182" i="4"/>
  <c r="AM147" i="4"/>
  <c r="AM183" i="4"/>
  <c r="AM148" i="4"/>
  <c r="AM184" i="4"/>
  <c r="AM210" i="4"/>
  <c r="AM185" i="4"/>
  <c r="AM227" i="4"/>
  <c r="AM299" i="4"/>
  <c r="AM315" i="4"/>
  <c r="AM382" i="4"/>
  <c r="AM193" i="4"/>
  <c r="AM194" i="4"/>
  <c r="AM195" i="4"/>
  <c r="AM300" i="4"/>
  <c r="AM316" i="4"/>
  <c r="AM383" i="4"/>
  <c r="AL111" i="4"/>
  <c r="AL291" i="4"/>
  <c r="AL307" i="4"/>
  <c r="AL374" i="4"/>
  <c r="AL108" i="4"/>
  <c r="AL292" i="4"/>
  <c r="AL308" i="4"/>
  <c r="AL375" i="4"/>
  <c r="AL83" i="4"/>
  <c r="AL84" i="4"/>
  <c r="AL86" i="4"/>
  <c r="AL293" i="4"/>
  <c r="AL309" i="4"/>
  <c r="AL376" i="4"/>
  <c r="AL89" i="4"/>
  <c r="AL90" i="4"/>
  <c r="AL294" i="4"/>
  <c r="AL310" i="4"/>
  <c r="AL377" i="4"/>
  <c r="AL95" i="4"/>
  <c r="AL100" i="4"/>
  <c r="AL96" i="4"/>
  <c r="AL101" i="4"/>
  <c r="AL97" i="4"/>
  <c r="AL102" i="4"/>
  <c r="AL98" i="4"/>
  <c r="AL103" i="4"/>
  <c r="AL105" i="4"/>
  <c r="AL295" i="4"/>
  <c r="AL311" i="4"/>
  <c r="AL378" i="4"/>
  <c r="AL114" i="4"/>
  <c r="AL117" i="4"/>
  <c r="AL175" i="4"/>
  <c r="AL176" i="4"/>
  <c r="AL177" i="4"/>
  <c r="AL178" i="4"/>
  <c r="AL179" i="4"/>
  <c r="AL153" i="4"/>
  <c r="AL180" i="4"/>
  <c r="AL156" i="4"/>
  <c r="AL181" i="4"/>
  <c r="AL160" i="4"/>
  <c r="AL161" i="4"/>
  <c r="AL162" i="4"/>
  <c r="AL163" i="4"/>
  <c r="AL164" i="4"/>
  <c r="AL165" i="4"/>
  <c r="AL166" i="4"/>
  <c r="AL167" i="4"/>
  <c r="AL168" i="4"/>
  <c r="AC159" i="4"/>
  <c r="AL169" i="4"/>
  <c r="AL170" i="4"/>
  <c r="AL182" i="4"/>
  <c r="AL147" i="4"/>
  <c r="AL183" i="4"/>
  <c r="AL148" i="4"/>
  <c r="AL184" i="4"/>
  <c r="AL210" i="4"/>
  <c r="AL185" i="4"/>
  <c r="AL227" i="4"/>
  <c r="AL299" i="4"/>
  <c r="AL315" i="4"/>
  <c r="AL382" i="4"/>
  <c r="AL193" i="4"/>
  <c r="AL194" i="4"/>
  <c r="AL195" i="4"/>
  <c r="AL300" i="4"/>
  <c r="AL316" i="4"/>
  <c r="AL383" i="4"/>
  <c r="AK111" i="4"/>
  <c r="AK291" i="4"/>
  <c r="AK307" i="4"/>
  <c r="AK374" i="4"/>
  <c r="AK108" i="4"/>
  <c r="AK292" i="4"/>
  <c r="AK308" i="4"/>
  <c r="AK375" i="4"/>
  <c r="AK83" i="4"/>
  <c r="AK84" i="4"/>
  <c r="AK86" i="4"/>
  <c r="AK293" i="4"/>
  <c r="AK309" i="4"/>
  <c r="AK376" i="4"/>
  <c r="AK89" i="4"/>
  <c r="AK90" i="4"/>
  <c r="AK294" i="4"/>
  <c r="AK310" i="4"/>
  <c r="AK377" i="4"/>
  <c r="AK95" i="4"/>
  <c r="AK100" i="4"/>
  <c r="AK96" i="4"/>
  <c r="AK101" i="4"/>
  <c r="AK97" i="4"/>
  <c r="AK102" i="4"/>
  <c r="AK98" i="4"/>
  <c r="AK103" i="4"/>
  <c r="AK105" i="4"/>
  <c r="AK295" i="4"/>
  <c r="AK311" i="4"/>
  <c r="AK378" i="4"/>
  <c r="AK114" i="4"/>
  <c r="AK117" i="4"/>
  <c r="AK175" i="4"/>
  <c r="AK176" i="4"/>
  <c r="AK177" i="4"/>
  <c r="AK178" i="4"/>
  <c r="AK179" i="4"/>
  <c r="AK153" i="4"/>
  <c r="AK180" i="4"/>
  <c r="AK156" i="4"/>
  <c r="AK181" i="4"/>
  <c r="AK160" i="4"/>
  <c r="AK161" i="4"/>
  <c r="AK162" i="4"/>
  <c r="AK163" i="4"/>
  <c r="AK164" i="4"/>
  <c r="AK165" i="4"/>
  <c r="AK166" i="4"/>
  <c r="AK167" i="4"/>
  <c r="AK168" i="4"/>
  <c r="AB159" i="4"/>
  <c r="AK169" i="4"/>
  <c r="AK170" i="4"/>
  <c r="AK182" i="4"/>
  <c r="AK147" i="4"/>
  <c r="AK183" i="4"/>
  <c r="AK148" i="4"/>
  <c r="AK184" i="4"/>
  <c r="AK210" i="4"/>
  <c r="AK185" i="4"/>
  <c r="AK227" i="4"/>
  <c r="AK299" i="4"/>
  <c r="AK315" i="4"/>
  <c r="AK382" i="4"/>
  <c r="AK193" i="4"/>
  <c r="AK194" i="4"/>
  <c r="AK195" i="4"/>
  <c r="AK300" i="4"/>
  <c r="AK316" i="4"/>
  <c r="AK383" i="4"/>
  <c r="AJ111" i="4"/>
  <c r="AJ291" i="4"/>
  <c r="AJ307" i="4"/>
  <c r="AJ374" i="4"/>
  <c r="AJ108" i="4"/>
  <c r="AJ292" i="4"/>
  <c r="AJ308" i="4"/>
  <c r="AJ375" i="4"/>
  <c r="AJ83" i="4"/>
  <c r="AJ84" i="4"/>
  <c r="AJ86" i="4"/>
  <c r="AJ293" i="4"/>
  <c r="AJ309" i="4"/>
  <c r="AJ376" i="4"/>
  <c r="AJ89" i="4"/>
  <c r="AJ90" i="4"/>
  <c r="AJ294" i="4"/>
  <c r="AJ310" i="4"/>
  <c r="AJ377" i="4"/>
  <c r="AJ95" i="4"/>
  <c r="AJ100" i="4"/>
  <c r="AJ96" i="4"/>
  <c r="AJ101" i="4"/>
  <c r="AJ97" i="4"/>
  <c r="AJ102" i="4"/>
  <c r="AJ98" i="4"/>
  <c r="AJ103" i="4"/>
  <c r="AJ105" i="4"/>
  <c r="AJ295" i="4"/>
  <c r="AJ311" i="4"/>
  <c r="AJ378" i="4"/>
  <c r="AJ114" i="4"/>
  <c r="AJ117" i="4"/>
  <c r="AJ175" i="4"/>
  <c r="AJ176" i="4"/>
  <c r="AJ177" i="4"/>
  <c r="AJ178" i="4"/>
  <c r="AJ179" i="4"/>
  <c r="AJ153" i="4"/>
  <c r="AJ180" i="4"/>
  <c r="AJ156" i="4"/>
  <c r="AJ181" i="4"/>
  <c r="AJ160" i="4"/>
  <c r="AJ161" i="4"/>
  <c r="AJ162" i="4"/>
  <c r="AJ163" i="4"/>
  <c r="AJ164" i="4"/>
  <c r="AJ165" i="4"/>
  <c r="AJ166" i="4"/>
  <c r="AJ167" i="4"/>
  <c r="AJ168" i="4"/>
  <c r="AA159" i="4"/>
  <c r="AJ169" i="4"/>
  <c r="AJ170" i="4"/>
  <c r="AJ182" i="4"/>
  <c r="AJ147" i="4"/>
  <c r="AJ183" i="4"/>
  <c r="AJ148" i="4"/>
  <c r="AJ184" i="4"/>
  <c r="AJ210" i="4"/>
  <c r="AJ185" i="4"/>
  <c r="AJ227" i="4"/>
  <c r="AJ299" i="4"/>
  <c r="AJ315" i="4"/>
  <c r="AJ382" i="4"/>
  <c r="AJ193" i="4"/>
  <c r="AJ194" i="4"/>
  <c r="AJ195" i="4"/>
  <c r="AJ300" i="4"/>
  <c r="AJ316" i="4"/>
  <c r="AJ383" i="4"/>
  <c r="AI111" i="4"/>
  <c r="AI291" i="4"/>
  <c r="AI307" i="4"/>
  <c r="AI374" i="4"/>
  <c r="AI108" i="4"/>
  <c r="AI292" i="4"/>
  <c r="AI308" i="4"/>
  <c r="AI375" i="4"/>
  <c r="AI83" i="4"/>
  <c r="AI84" i="4"/>
  <c r="AI86" i="4"/>
  <c r="AI293" i="4"/>
  <c r="AI309" i="4"/>
  <c r="AI376" i="4"/>
  <c r="AI89" i="4"/>
  <c r="AI90" i="4"/>
  <c r="AI294" i="4"/>
  <c r="AI310" i="4"/>
  <c r="AI377" i="4"/>
  <c r="AI95" i="4"/>
  <c r="AI100" i="4"/>
  <c r="AI96" i="4"/>
  <c r="AI101" i="4"/>
  <c r="AI97" i="4"/>
  <c r="AI102" i="4"/>
  <c r="AI98" i="4"/>
  <c r="AI103" i="4"/>
  <c r="AI105" i="4"/>
  <c r="AI295" i="4"/>
  <c r="AI311" i="4"/>
  <c r="AI378" i="4"/>
  <c r="AI114" i="4"/>
  <c r="AI117" i="4"/>
  <c r="AI175" i="4"/>
  <c r="AI176" i="4"/>
  <c r="AI177" i="4"/>
  <c r="AI178" i="4"/>
  <c r="AI179" i="4"/>
  <c r="AI153" i="4"/>
  <c r="AI180" i="4"/>
  <c r="AI156" i="4"/>
  <c r="AI181" i="4"/>
  <c r="AI160" i="4"/>
  <c r="AI161" i="4"/>
  <c r="AI162" i="4"/>
  <c r="AI163" i="4"/>
  <c r="AI164" i="4"/>
  <c r="AI165" i="4"/>
  <c r="AI166" i="4"/>
  <c r="AI167" i="4"/>
  <c r="AI168" i="4"/>
  <c r="Z159" i="4"/>
  <c r="AI169" i="4"/>
  <c r="AI170" i="4"/>
  <c r="AI182" i="4"/>
  <c r="AI147" i="4"/>
  <c r="AI183" i="4"/>
  <c r="AI148" i="4"/>
  <c r="AI184" i="4"/>
  <c r="AI210" i="4"/>
  <c r="AI185" i="4"/>
  <c r="AI227" i="4"/>
  <c r="AI299" i="4"/>
  <c r="AI315" i="4"/>
  <c r="AI382" i="4"/>
  <c r="AI193" i="4"/>
  <c r="AI194" i="4"/>
  <c r="AI195" i="4"/>
  <c r="AI300" i="4"/>
  <c r="AI316" i="4"/>
  <c r="AI383" i="4"/>
  <c r="AH111" i="4"/>
  <c r="AH291" i="4"/>
  <c r="AH307" i="4"/>
  <c r="AH374" i="4"/>
  <c r="AH108" i="4"/>
  <c r="AH292" i="4"/>
  <c r="AH308" i="4"/>
  <c r="AH375" i="4"/>
  <c r="AH83" i="4"/>
  <c r="AH84" i="4"/>
  <c r="AH86" i="4"/>
  <c r="AH293" i="4"/>
  <c r="AH309" i="4"/>
  <c r="AH376" i="4"/>
  <c r="AH89" i="4"/>
  <c r="AH90" i="4"/>
  <c r="AH294" i="4"/>
  <c r="AH310" i="4"/>
  <c r="AH377" i="4"/>
  <c r="AH95" i="4"/>
  <c r="AH100" i="4"/>
  <c r="AH96" i="4"/>
  <c r="AH101" i="4"/>
  <c r="AH97" i="4"/>
  <c r="AH102" i="4"/>
  <c r="AH98" i="4"/>
  <c r="AH103" i="4"/>
  <c r="AH105" i="4"/>
  <c r="AH295" i="4"/>
  <c r="AH311" i="4"/>
  <c r="AH378" i="4"/>
  <c r="AH114" i="4"/>
  <c r="AH117" i="4"/>
  <c r="AH175" i="4"/>
  <c r="AH176" i="4"/>
  <c r="AH177" i="4"/>
  <c r="AH178" i="4"/>
  <c r="AH179" i="4"/>
  <c r="AH153" i="4"/>
  <c r="AH180" i="4"/>
  <c r="AH156" i="4"/>
  <c r="AH181" i="4"/>
  <c r="AH160" i="4"/>
  <c r="AH161" i="4"/>
  <c r="AH162" i="4"/>
  <c r="AH163" i="4"/>
  <c r="AH164" i="4"/>
  <c r="AH165" i="4"/>
  <c r="AH166" i="4"/>
  <c r="AH167" i="4"/>
  <c r="AH168" i="4"/>
  <c r="Y159" i="4"/>
  <c r="AH169" i="4"/>
  <c r="AH170" i="4"/>
  <c r="AH182" i="4"/>
  <c r="AH147" i="4"/>
  <c r="AH183" i="4"/>
  <c r="AH148" i="4"/>
  <c r="AH184" i="4"/>
  <c r="AH210" i="4"/>
  <c r="AH185" i="4"/>
  <c r="AH227" i="4"/>
  <c r="AH299" i="4"/>
  <c r="AH315" i="4"/>
  <c r="AH382" i="4"/>
  <c r="AH193" i="4"/>
  <c r="AH194" i="4"/>
  <c r="AH195" i="4"/>
  <c r="AH300" i="4"/>
  <c r="AH316" i="4"/>
  <c r="AH383" i="4"/>
  <c r="AG111" i="4"/>
  <c r="AG291" i="4"/>
  <c r="AG307" i="4"/>
  <c r="AG374" i="4"/>
  <c r="AG108" i="4"/>
  <c r="AG292" i="4"/>
  <c r="AG308" i="4"/>
  <c r="AG375" i="4"/>
  <c r="AG83" i="4"/>
  <c r="AG84" i="4"/>
  <c r="AG86" i="4"/>
  <c r="AG293" i="4"/>
  <c r="AG309" i="4"/>
  <c r="AG376" i="4"/>
  <c r="AG89" i="4"/>
  <c r="AG90" i="4"/>
  <c r="AG294" i="4"/>
  <c r="AG310" i="4"/>
  <c r="AG377" i="4"/>
  <c r="AG95" i="4"/>
  <c r="AG100" i="4"/>
  <c r="AG96" i="4"/>
  <c r="AG101" i="4"/>
  <c r="AG97" i="4"/>
  <c r="AG102" i="4"/>
  <c r="AG98" i="4"/>
  <c r="AG103" i="4"/>
  <c r="AG105" i="4"/>
  <c r="AG295" i="4"/>
  <c r="AG311" i="4"/>
  <c r="AG378" i="4"/>
  <c r="AG114" i="4"/>
  <c r="AG117" i="4"/>
  <c r="AG175" i="4"/>
  <c r="AG176" i="4"/>
  <c r="AG177" i="4"/>
  <c r="AG178" i="4"/>
  <c r="AG179" i="4"/>
  <c r="AG153" i="4"/>
  <c r="AG180" i="4"/>
  <c r="AG156" i="4"/>
  <c r="AG181" i="4"/>
  <c r="AG160" i="4"/>
  <c r="AG161" i="4"/>
  <c r="AG162" i="4"/>
  <c r="AG163" i="4"/>
  <c r="AG164" i="4"/>
  <c r="AG165" i="4"/>
  <c r="AG166" i="4"/>
  <c r="AG167" i="4"/>
  <c r="AG168" i="4"/>
  <c r="X159" i="4"/>
  <c r="AG169" i="4"/>
  <c r="AG170" i="4"/>
  <c r="AG182" i="4"/>
  <c r="AG147" i="4"/>
  <c r="AG183" i="4"/>
  <c r="AG148" i="4"/>
  <c r="AG184" i="4"/>
  <c r="AG210" i="4"/>
  <c r="AG185" i="4"/>
  <c r="AG227" i="4"/>
  <c r="AG299" i="4"/>
  <c r="AG315" i="4"/>
  <c r="AG382" i="4"/>
  <c r="AG193" i="4"/>
  <c r="AG194" i="4"/>
  <c r="AG195" i="4"/>
  <c r="AG300" i="4"/>
  <c r="AG316" i="4"/>
  <c r="AG383" i="4"/>
  <c r="AF111" i="4"/>
  <c r="AF291" i="4"/>
  <c r="AF307" i="4"/>
  <c r="AF374" i="4"/>
  <c r="AF108" i="4"/>
  <c r="AF292" i="4"/>
  <c r="AF308" i="4"/>
  <c r="AF375" i="4"/>
  <c r="AF83" i="4"/>
  <c r="AF84" i="4"/>
  <c r="AF86" i="4"/>
  <c r="AF293" i="4"/>
  <c r="AF309" i="4"/>
  <c r="AF376" i="4"/>
  <c r="AF89" i="4"/>
  <c r="AF90" i="4"/>
  <c r="AF294" i="4"/>
  <c r="AF310" i="4"/>
  <c r="AF377" i="4"/>
  <c r="AF95" i="4"/>
  <c r="AF100" i="4"/>
  <c r="AF96" i="4"/>
  <c r="AF101" i="4"/>
  <c r="AF97" i="4"/>
  <c r="AF102" i="4"/>
  <c r="AF98" i="4"/>
  <c r="AF103" i="4"/>
  <c r="AF105" i="4"/>
  <c r="AF295" i="4"/>
  <c r="AF311" i="4"/>
  <c r="AF378" i="4"/>
  <c r="AF114" i="4"/>
  <c r="AF117" i="4"/>
  <c r="AF175" i="4"/>
  <c r="AF176" i="4"/>
  <c r="AF177" i="4"/>
  <c r="AF178" i="4"/>
  <c r="AF179" i="4"/>
  <c r="AF153" i="4"/>
  <c r="AF180" i="4"/>
  <c r="AF156" i="4"/>
  <c r="AF181" i="4"/>
  <c r="AF160" i="4"/>
  <c r="AF161" i="4"/>
  <c r="AF162" i="4"/>
  <c r="AF163" i="4"/>
  <c r="AF164" i="4"/>
  <c r="AF165" i="4"/>
  <c r="AF166" i="4"/>
  <c r="AF167" i="4"/>
  <c r="AF168" i="4"/>
  <c r="W146" i="4"/>
  <c r="W158" i="4"/>
  <c r="W159" i="4"/>
  <c r="AF169" i="4"/>
  <c r="AF170" i="4"/>
  <c r="AF182" i="4"/>
  <c r="AF147" i="4"/>
  <c r="AF183" i="4"/>
  <c r="AF148" i="4"/>
  <c r="AF184" i="4"/>
  <c r="AF210" i="4"/>
  <c r="AF185" i="4"/>
  <c r="AF227" i="4"/>
  <c r="AF299" i="4"/>
  <c r="AF315" i="4"/>
  <c r="AF382" i="4"/>
  <c r="AF193" i="4"/>
  <c r="AF194" i="4"/>
  <c r="AF195" i="4"/>
  <c r="AF300" i="4"/>
  <c r="AF316" i="4"/>
  <c r="AF383" i="4"/>
  <c r="AE111" i="4"/>
  <c r="AE291" i="4"/>
  <c r="AE307" i="4"/>
  <c r="AE374" i="4"/>
  <c r="AE108" i="4"/>
  <c r="AE292" i="4"/>
  <c r="AE308" i="4"/>
  <c r="AE375" i="4"/>
  <c r="AE83" i="4"/>
  <c r="AE84" i="4"/>
  <c r="AE86" i="4"/>
  <c r="AE293" i="4"/>
  <c r="AE309" i="4"/>
  <c r="AE376" i="4"/>
  <c r="AE89" i="4"/>
  <c r="AE90" i="4"/>
  <c r="AE294" i="4"/>
  <c r="AE310" i="4"/>
  <c r="AE377" i="4"/>
  <c r="AE95" i="4"/>
  <c r="AE100" i="4"/>
  <c r="AE96" i="4"/>
  <c r="AE101" i="4"/>
  <c r="AE97" i="4"/>
  <c r="AE102" i="4"/>
  <c r="AE98" i="4"/>
  <c r="AE103" i="4"/>
  <c r="AE105" i="4"/>
  <c r="AE295" i="4"/>
  <c r="AE311" i="4"/>
  <c r="AE378" i="4"/>
  <c r="AE114" i="4"/>
  <c r="AE117" i="4"/>
  <c r="AE175" i="4"/>
  <c r="AE176" i="4"/>
  <c r="AE177" i="4"/>
  <c r="AE178" i="4"/>
  <c r="AE179" i="4"/>
  <c r="AE153" i="4"/>
  <c r="AE180" i="4"/>
  <c r="AE156" i="4"/>
  <c r="AE181" i="4"/>
  <c r="AE160" i="4"/>
  <c r="AE161" i="4"/>
  <c r="AE162" i="4"/>
  <c r="AE163" i="4"/>
  <c r="AE164" i="4"/>
  <c r="AE165" i="4"/>
  <c r="AE166" i="4"/>
  <c r="AE167" i="4"/>
  <c r="AE168" i="4"/>
  <c r="V146" i="4"/>
  <c r="V158" i="4"/>
  <c r="V159" i="4"/>
  <c r="AE169" i="4"/>
  <c r="AE170" i="4"/>
  <c r="AE182" i="4"/>
  <c r="AE147" i="4"/>
  <c r="AE183" i="4"/>
  <c r="AE148" i="4"/>
  <c r="AE184" i="4"/>
  <c r="AE210" i="4"/>
  <c r="AE185" i="4"/>
  <c r="AE227" i="4"/>
  <c r="AE299" i="4"/>
  <c r="AE315" i="4"/>
  <c r="AE382" i="4"/>
  <c r="AE193" i="4"/>
  <c r="AE194" i="4"/>
  <c r="AE195" i="4"/>
  <c r="AE300" i="4"/>
  <c r="AE316" i="4"/>
  <c r="AE383" i="4"/>
  <c r="AD111" i="4"/>
  <c r="AD291" i="4"/>
  <c r="AD307" i="4"/>
  <c r="AD374" i="4"/>
  <c r="AD108" i="4"/>
  <c r="AD292" i="4"/>
  <c r="AD308" i="4"/>
  <c r="AD375" i="4"/>
  <c r="AD83" i="4"/>
  <c r="AD84" i="4"/>
  <c r="AD86" i="4"/>
  <c r="AD293" i="4"/>
  <c r="AD309" i="4"/>
  <c r="AD376" i="4"/>
  <c r="AD89" i="4"/>
  <c r="AD90" i="4"/>
  <c r="AD294" i="4"/>
  <c r="AD310" i="4"/>
  <c r="AD377" i="4"/>
  <c r="AD95" i="4"/>
  <c r="AD100" i="4"/>
  <c r="AD96" i="4"/>
  <c r="AD101" i="4"/>
  <c r="AD97" i="4"/>
  <c r="AD102" i="4"/>
  <c r="AD98" i="4"/>
  <c r="AD103" i="4"/>
  <c r="AD105" i="4"/>
  <c r="AD295" i="4"/>
  <c r="AD311" i="4"/>
  <c r="AD378" i="4"/>
  <c r="AD114" i="4"/>
  <c r="AD117" i="4"/>
  <c r="AD175" i="4"/>
  <c r="AD176" i="4"/>
  <c r="AD177" i="4"/>
  <c r="AD178" i="4"/>
  <c r="AD179" i="4"/>
  <c r="AD153" i="4"/>
  <c r="AD180" i="4"/>
  <c r="AD156" i="4"/>
  <c r="AD181" i="4"/>
  <c r="AD160" i="4"/>
  <c r="AD161" i="4"/>
  <c r="AD162" i="4"/>
  <c r="AD163" i="4"/>
  <c r="AD164" i="4"/>
  <c r="AD165" i="4"/>
  <c r="AD166" i="4"/>
  <c r="AD167" i="4"/>
  <c r="AD168" i="4"/>
  <c r="U146" i="4"/>
  <c r="U158" i="4"/>
  <c r="U159" i="4"/>
  <c r="AD169" i="4"/>
  <c r="AD170" i="4"/>
  <c r="AD182" i="4"/>
  <c r="AD147" i="4"/>
  <c r="AD183" i="4"/>
  <c r="AD148" i="4"/>
  <c r="AD184" i="4"/>
  <c r="AD210" i="4"/>
  <c r="AD185" i="4"/>
  <c r="AD227" i="4"/>
  <c r="AD299" i="4"/>
  <c r="AD315" i="4"/>
  <c r="AD382" i="4"/>
  <c r="AD193" i="4"/>
  <c r="AD194" i="4"/>
  <c r="AD195" i="4"/>
  <c r="AD300" i="4"/>
  <c r="AD316" i="4"/>
  <c r="AD383" i="4"/>
  <c r="AC111" i="4"/>
  <c r="AC291" i="4"/>
  <c r="AC307" i="4"/>
  <c r="AC374" i="4"/>
  <c r="AC108" i="4"/>
  <c r="AC292" i="4"/>
  <c r="AC308" i="4"/>
  <c r="AC375" i="4"/>
  <c r="AC83" i="4"/>
  <c r="AC84" i="4"/>
  <c r="AC86" i="4"/>
  <c r="AC293" i="4"/>
  <c r="AC309" i="4"/>
  <c r="AC376" i="4"/>
  <c r="AC89" i="4"/>
  <c r="AC90" i="4"/>
  <c r="AC294" i="4"/>
  <c r="AC310" i="4"/>
  <c r="AC377" i="4"/>
  <c r="AC95" i="4"/>
  <c r="AC100" i="4"/>
  <c r="AC96" i="4"/>
  <c r="AC101" i="4"/>
  <c r="AC97" i="4"/>
  <c r="AC102" i="4"/>
  <c r="AC98" i="4"/>
  <c r="AC103" i="4"/>
  <c r="AC105" i="4"/>
  <c r="AC295" i="4"/>
  <c r="AC311" i="4"/>
  <c r="AC378" i="4"/>
  <c r="AC114" i="4"/>
  <c r="AC117" i="4"/>
  <c r="AC175" i="4"/>
  <c r="AC176" i="4"/>
  <c r="AC177" i="4"/>
  <c r="AC178" i="4"/>
  <c r="AC179" i="4"/>
  <c r="AC153" i="4"/>
  <c r="AC180" i="4"/>
  <c r="AC156" i="4"/>
  <c r="AC181" i="4"/>
  <c r="AC160" i="4"/>
  <c r="AC161" i="4"/>
  <c r="AC162" i="4"/>
  <c r="AC163" i="4"/>
  <c r="AC164" i="4"/>
  <c r="AC165" i="4"/>
  <c r="AC166" i="4"/>
  <c r="AC167" i="4"/>
  <c r="AC168" i="4"/>
  <c r="T146" i="4"/>
  <c r="T158" i="4"/>
  <c r="T159" i="4"/>
  <c r="AC169" i="4"/>
  <c r="AC170" i="4"/>
  <c r="AC182" i="4"/>
  <c r="AC147" i="4"/>
  <c r="AC183" i="4"/>
  <c r="AC148" i="4"/>
  <c r="AC184" i="4"/>
  <c r="AC210" i="4"/>
  <c r="AC185" i="4"/>
  <c r="AC227" i="4"/>
  <c r="AC299" i="4"/>
  <c r="AC315" i="4"/>
  <c r="AC382" i="4"/>
  <c r="AC193" i="4"/>
  <c r="AC194" i="4"/>
  <c r="AC195" i="4"/>
  <c r="AC300" i="4"/>
  <c r="AC316" i="4"/>
  <c r="AC383" i="4"/>
  <c r="AB111" i="4"/>
  <c r="AB291" i="4"/>
  <c r="AB307" i="4"/>
  <c r="AB374" i="4"/>
  <c r="AB108" i="4"/>
  <c r="AB292" i="4"/>
  <c r="AB308" i="4"/>
  <c r="AB375" i="4"/>
  <c r="AB83" i="4"/>
  <c r="AB84" i="4"/>
  <c r="AB86" i="4"/>
  <c r="AB293" i="4"/>
  <c r="AB309" i="4"/>
  <c r="AB376" i="4"/>
  <c r="AB89" i="4"/>
  <c r="AB90" i="4"/>
  <c r="AB294" i="4"/>
  <c r="AB310" i="4"/>
  <c r="AB377" i="4"/>
  <c r="AB95" i="4"/>
  <c r="AB100" i="4"/>
  <c r="AB96" i="4"/>
  <c r="AB101" i="4"/>
  <c r="AB97" i="4"/>
  <c r="AB102" i="4"/>
  <c r="AB98" i="4"/>
  <c r="AB103" i="4"/>
  <c r="AB105" i="4"/>
  <c r="AB295" i="4"/>
  <c r="AB311" i="4"/>
  <c r="AB378" i="4"/>
  <c r="AB114" i="4"/>
  <c r="AB117" i="4"/>
  <c r="AB175" i="4"/>
  <c r="AB176" i="4"/>
  <c r="AB177" i="4"/>
  <c r="AB178" i="4"/>
  <c r="AB179" i="4"/>
  <c r="AB153" i="4"/>
  <c r="AB180" i="4"/>
  <c r="AB156" i="4"/>
  <c r="AB181" i="4"/>
  <c r="AB160" i="4"/>
  <c r="AB161" i="4"/>
  <c r="AB162" i="4"/>
  <c r="AB163" i="4"/>
  <c r="AB164" i="4"/>
  <c r="AB165" i="4"/>
  <c r="AB166" i="4"/>
  <c r="AB167" i="4"/>
  <c r="AB168" i="4"/>
  <c r="S146" i="4"/>
  <c r="S158" i="4"/>
  <c r="S159" i="4"/>
  <c r="AB169" i="4"/>
  <c r="AB170" i="4"/>
  <c r="AB182" i="4"/>
  <c r="AB147" i="4"/>
  <c r="AB183" i="4"/>
  <c r="AB148" i="4"/>
  <c r="AB184" i="4"/>
  <c r="AB210" i="4"/>
  <c r="AB185" i="4"/>
  <c r="AB227" i="4"/>
  <c r="AB299" i="4"/>
  <c r="AB315" i="4"/>
  <c r="AB382" i="4"/>
  <c r="AB193" i="4"/>
  <c r="AB194" i="4"/>
  <c r="AB195" i="4"/>
  <c r="AB300" i="4"/>
  <c r="AB316" i="4"/>
  <c r="AB383" i="4"/>
  <c r="AA111" i="4"/>
  <c r="AA291" i="4"/>
  <c r="AA307" i="4"/>
  <c r="AA374" i="4"/>
  <c r="AA108" i="4"/>
  <c r="AA292" i="4"/>
  <c r="AA308" i="4"/>
  <c r="AA375" i="4"/>
  <c r="AA83" i="4"/>
  <c r="AA84" i="4"/>
  <c r="AA86" i="4"/>
  <c r="AA293" i="4"/>
  <c r="AA309" i="4"/>
  <c r="AA376" i="4"/>
  <c r="AA89" i="4"/>
  <c r="AA90" i="4"/>
  <c r="AA294" i="4"/>
  <c r="AA310" i="4"/>
  <c r="AA377" i="4"/>
  <c r="AA95" i="4"/>
  <c r="AA100" i="4"/>
  <c r="AA96" i="4"/>
  <c r="AA101" i="4"/>
  <c r="AA97" i="4"/>
  <c r="AA102" i="4"/>
  <c r="AA98" i="4"/>
  <c r="AA103" i="4"/>
  <c r="AA105" i="4"/>
  <c r="AA295" i="4"/>
  <c r="AA311" i="4"/>
  <c r="AA378" i="4"/>
  <c r="AA114" i="4"/>
  <c r="AA117" i="4"/>
  <c r="AA175" i="4"/>
  <c r="AA176" i="4"/>
  <c r="AA177" i="4"/>
  <c r="AA178" i="4"/>
  <c r="AA179" i="4"/>
  <c r="AA153" i="4"/>
  <c r="AA180" i="4"/>
  <c r="AA156" i="4"/>
  <c r="AA181" i="4"/>
  <c r="AA160" i="4"/>
  <c r="AA161" i="4"/>
  <c r="AA162" i="4"/>
  <c r="AA163" i="4"/>
  <c r="AA164" i="4"/>
  <c r="AA165" i="4"/>
  <c r="AA166" i="4"/>
  <c r="AA167" i="4"/>
  <c r="AA168" i="4"/>
  <c r="R146" i="4"/>
  <c r="R158" i="4"/>
  <c r="R159" i="4"/>
  <c r="AA169" i="4"/>
  <c r="AA170" i="4"/>
  <c r="AA182" i="4"/>
  <c r="AA147" i="4"/>
  <c r="AA183" i="4"/>
  <c r="AA148" i="4"/>
  <c r="AA184" i="4"/>
  <c r="AA210" i="4"/>
  <c r="AA185" i="4"/>
  <c r="AA227" i="4"/>
  <c r="AA299" i="4"/>
  <c r="AA315" i="4"/>
  <c r="AA382" i="4"/>
  <c r="AA193" i="4"/>
  <c r="AA194" i="4"/>
  <c r="AA195" i="4"/>
  <c r="AA300" i="4"/>
  <c r="AA316" i="4"/>
  <c r="AA383" i="4"/>
  <c r="Z111" i="4"/>
  <c r="Z291" i="4"/>
  <c r="Z307" i="4"/>
  <c r="Z374" i="4"/>
  <c r="Z108" i="4"/>
  <c r="Z292" i="4"/>
  <c r="Z308" i="4"/>
  <c r="Z375" i="4"/>
  <c r="Z83" i="4"/>
  <c r="Z84" i="4"/>
  <c r="Z86" i="4"/>
  <c r="Z293" i="4"/>
  <c r="Z309" i="4"/>
  <c r="Z376" i="4"/>
  <c r="Z89" i="4"/>
  <c r="Z90" i="4"/>
  <c r="Z294" i="4"/>
  <c r="Z310" i="4"/>
  <c r="Z377" i="4"/>
  <c r="Z95" i="4"/>
  <c r="Z100" i="4"/>
  <c r="Z96" i="4"/>
  <c r="Z101" i="4"/>
  <c r="Z97" i="4"/>
  <c r="Z102" i="4"/>
  <c r="Z98" i="4"/>
  <c r="Z103" i="4"/>
  <c r="Z105" i="4"/>
  <c r="Z295" i="4"/>
  <c r="Z311" i="4"/>
  <c r="Z378" i="4"/>
  <c r="Z114" i="4"/>
  <c r="Z117" i="4"/>
  <c r="Z175" i="4"/>
  <c r="Z176" i="4"/>
  <c r="Z177" i="4"/>
  <c r="Z178" i="4"/>
  <c r="Z179" i="4"/>
  <c r="Z153" i="4"/>
  <c r="Z180" i="4"/>
  <c r="Z156" i="4"/>
  <c r="Z181" i="4"/>
  <c r="Z160" i="4"/>
  <c r="Z161" i="4"/>
  <c r="Z162" i="4"/>
  <c r="Z163" i="4"/>
  <c r="Z164" i="4"/>
  <c r="Z165" i="4"/>
  <c r="Z166" i="4"/>
  <c r="Z167" i="4"/>
  <c r="Z168" i="4"/>
  <c r="Q146" i="4"/>
  <c r="Q158" i="4"/>
  <c r="Q159" i="4"/>
  <c r="Z169" i="4"/>
  <c r="Z170" i="4"/>
  <c r="Z182" i="4"/>
  <c r="Z147" i="4"/>
  <c r="Z183" i="4"/>
  <c r="Z148" i="4"/>
  <c r="Z184" i="4"/>
  <c r="Z210" i="4"/>
  <c r="Z185" i="4"/>
  <c r="Z227" i="4"/>
  <c r="Z299" i="4"/>
  <c r="Z315" i="4"/>
  <c r="Z382" i="4"/>
  <c r="Z193" i="4"/>
  <c r="Z194" i="4"/>
  <c r="Z195" i="4"/>
  <c r="Z300" i="4"/>
  <c r="Z316" i="4"/>
  <c r="Z383" i="4"/>
  <c r="Y111" i="4"/>
  <c r="Y291" i="4"/>
  <c r="Y307" i="4"/>
  <c r="Y374" i="4"/>
  <c r="Y108" i="4"/>
  <c r="Y292" i="4"/>
  <c r="Y308" i="4"/>
  <c r="Y375" i="4"/>
  <c r="Y83" i="4"/>
  <c r="Y84" i="4"/>
  <c r="Y86" i="4"/>
  <c r="Y293" i="4"/>
  <c r="Y309" i="4"/>
  <c r="Y376" i="4"/>
  <c r="Y89" i="4"/>
  <c r="Y90" i="4"/>
  <c r="Y294" i="4"/>
  <c r="Y310" i="4"/>
  <c r="Y377" i="4"/>
  <c r="Y95" i="4"/>
  <c r="Y100" i="4"/>
  <c r="Y96" i="4"/>
  <c r="Y101" i="4"/>
  <c r="Y97" i="4"/>
  <c r="Y102" i="4"/>
  <c r="Y98" i="4"/>
  <c r="Y103" i="4"/>
  <c r="Y105" i="4"/>
  <c r="Y295" i="4"/>
  <c r="Y311" i="4"/>
  <c r="Y378" i="4"/>
  <c r="Y114" i="4"/>
  <c r="Y117" i="4"/>
  <c r="Y175" i="4"/>
  <c r="Y176" i="4"/>
  <c r="Y177" i="4"/>
  <c r="Y178" i="4"/>
  <c r="Y179" i="4"/>
  <c r="Y153" i="4"/>
  <c r="Y180" i="4"/>
  <c r="Y156" i="4"/>
  <c r="Y181" i="4"/>
  <c r="Y160" i="4"/>
  <c r="Y161" i="4"/>
  <c r="Y162" i="4"/>
  <c r="Y163" i="4"/>
  <c r="Y164" i="4"/>
  <c r="Y165" i="4"/>
  <c r="Y166" i="4"/>
  <c r="Y167" i="4"/>
  <c r="Y168" i="4"/>
  <c r="P146" i="4"/>
  <c r="P158" i="4"/>
  <c r="P159" i="4"/>
  <c r="Y169" i="4"/>
  <c r="Y170" i="4"/>
  <c r="Y182" i="4"/>
  <c r="Y147" i="4"/>
  <c r="Y183" i="4"/>
  <c r="Y148" i="4"/>
  <c r="Y184" i="4"/>
  <c r="Y210" i="4"/>
  <c r="Y185" i="4"/>
  <c r="Y227" i="4"/>
  <c r="Y299" i="4"/>
  <c r="Y315" i="4"/>
  <c r="Y382" i="4"/>
  <c r="Y193" i="4"/>
  <c r="Y194" i="4"/>
  <c r="Y195" i="4"/>
  <c r="Y300" i="4"/>
  <c r="Y316" i="4"/>
  <c r="Y383" i="4"/>
  <c r="X111" i="4"/>
  <c r="X291" i="4"/>
  <c r="X307" i="4"/>
  <c r="X374" i="4"/>
  <c r="X108" i="4"/>
  <c r="X292" i="4"/>
  <c r="X308" i="4"/>
  <c r="X375" i="4"/>
  <c r="X83" i="4"/>
  <c r="X84" i="4"/>
  <c r="X86" i="4"/>
  <c r="X293" i="4"/>
  <c r="X309" i="4"/>
  <c r="X376" i="4"/>
  <c r="X89" i="4"/>
  <c r="X90" i="4"/>
  <c r="X294" i="4"/>
  <c r="X310" i="4"/>
  <c r="X377" i="4"/>
  <c r="X95" i="4"/>
  <c r="X100" i="4"/>
  <c r="X96" i="4"/>
  <c r="X101" i="4"/>
  <c r="X97" i="4"/>
  <c r="X102" i="4"/>
  <c r="X98" i="4"/>
  <c r="X103" i="4"/>
  <c r="X105" i="4"/>
  <c r="X295" i="4"/>
  <c r="X311" i="4"/>
  <c r="X378" i="4"/>
  <c r="X114" i="4"/>
  <c r="X117" i="4"/>
  <c r="X175" i="4"/>
  <c r="X176" i="4"/>
  <c r="X177" i="4"/>
  <c r="X178" i="4"/>
  <c r="X179" i="4"/>
  <c r="X153" i="4"/>
  <c r="X180" i="4"/>
  <c r="X156" i="4"/>
  <c r="X181" i="4"/>
  <c r="X160" i="4"/>
  <c r="X161" i="4"/>
  <c r="X162" i="4"/>
  <c r="X163" i="4"/>
  <c r="X164" i="4"/>
  <c r="X165" i="4"/>
  <c r="X166" i="4"/>
  <c r="X167" i="4"/>
  <c r="X168" i="4"/>
  <c r="O146" i="4"/>
  <c r="O158" i="4"/>
  <c r="O159" i="4"/>
  <c r="X169" i="4"/>
  <c r="X170" i="4"/>
  <c r="X182" i="4"/>
  <c r="X147" i="4"/>
  <c r="X183" i="4"/>
  <c r="X148" i="4"/>
  <c r="X184" i="4"/>
  <c r="X210" i="4"/>
  <c r="X185" i="4"/>
  <c r="X227" i="4"/>
  <c r="X299" i="4"/>
  <c r="X315" i="4"/>
  <c r="X382" i="4"/>
  <c r="X193" i="4"/>
  <c r="X194" i="4"/>
  <c r="X195" i="4"/>
  <c r="X300" i="4"/>
  <c r="X316" i="4"/>
  <c r="X383" i="4"/>
  <c r="W111" i="4"/>
  <c r="W291" i="4"/>
  <c r="W307" i="4"/>
  <c r="W374" i="4"/>
  <c r="W108" i="4"/>
  <c r="W292" i="4"/>
  <c r="W308" i="4"/>
  <c r="W375" i="4"/>
  <c r="W43" i="4"/>
  <c r="W81" i="4"/>
  <c r="W83" i="4"/>
  <c r="W84" i="4"/>
  <c r="W86" i="4"/>
  <c r="W293" i="4"/>
  <c r="W309" i="4"/>
  <c r="W376" i="4"/>
  <c r="W89" i="4"/>
  <c r="W90" i="4"/>
  <c r="W294" i="4"/>
  <c r="W310" i="4"/>
  <c r="W377" i="4"/>
  <c r="W95" i="4"/>
  <c r="W100" i="4"/>
  <c r="W96" i="4"/>
  <c r="W101" i="4"/>
  <c r="W97" i="4"/>
  <c r="W102" i="4"/>
  <c r="W98" i="4"/>
  <c r="W103" i="4"/>
  <c r="W105" i="4"/>
  <c r="W295" i="4"/>
  <c r="W311" i="4"/>
  <c r="W378" i="4"/>
  <c r="W114" i="4"/>
  <c r="W117" i="4"/>
  <c r="W175" i="4"/>
  <c r="W176" i="4"/>
  <c r="W177" i="4"/>
  <c r="W178" i="4"/>
  <c r="W179" i="4"/>
  <c r="W143" i="4"/>
  <c r="W152" i="4"/>
  <c r="W153" i="4"/>
  <c r="W180" i="4"/>
  <c r="W155" i="4"/>
  <c r="W156" i="4"/>
  <c r="W181" i="4"/>
  <c r="W160" i="4"/>
  <c r="W161" i="4"/>
  <c r="W162" i="4"/>
  <c r="W163" i="4"/>
  <c r="W164" i="4"/>
  <c r="W165" i="4"/>
  <c r="W166" i="4"/>
  <c r="W167" i="4"/>
  <c r="W168" i="4"/>
  <c r="N146" i="4"/>
  <c r="N158" i="4"/>
  <c r="N159" i="4"/>
  <c r="W169" i="4"/>
  <c r="W170" i="4"/>
  <c r="W182" i="4"/>
  <c r="W147" i="4"/>
  <c r="W183" i="4"/>
  <c r="W148" i="4"/>
  <c r="W184" i="4"/>
  <c r="W210" i="4"/>
  <c r="W185" i="4"/>
  <c r="W227" i="4"/>
  <c r="W299" i="4"/>
  <c r="W315" i="4"/>
  <c r="W382" i="4"/>
  <c r="W193" i="4"/>
  <c r="W194" i="4"/>
  <c r="W195" i="4"/>
  <c r="W300" i="4"/>
  <c r="W316" i="4"/>
  <c r="W383" i="4"/>
  <c r="V111" i="4"/>
  <c r="V291" i="4"/>
  <c r="V307" i="4"/>
  <c r="V374" i="4"/>
  <c r="V108" i="4"/>
  <c r="V292" i="4"/>
  <c r="V308" i="4"/>
  <c r="V375" i="4"/>
  <c r="V43" i="4"/>
  <c r="V81" i="4"/>
  <c r="V83" i="4"/>
  <c r="V84" i="4"/>
  <c r="V86" i="4"/>
  <c r="V293" i="4"/>
  <c r="V309" i="4"/>
  <c r="V376" i="4"/>
  <c r="V89" i="4"/>
  <c r="V90" i="4"/>
  <c r="V294" i="4"/>
  <c r="V310" i="4"/>
  <c r="V377" i="4"/>
  <c r="V95" i="4"/>
  <c r="V100" i="4"/>
  <c r="V96" i="4"/>
  <c r="V101" i="4"/>
  <c r="V97" i="4"/>
  <c r="V102" i="4"/>
  <c r="V98" i="4"/>
  <c r="V103" i="4"/>
  <c r="V105" i="4"/>
  <c r="V295" i="4"/>
  <c r="V311" i="4"/>
  <c r="V378" i="4"/>
  <c r="V114" i="4"/>
  <c r="V117" i="4"/>
  <c r="V175" i="4"/>
  <c r="V176" i="4"/>
  <c r="V177" i="4"/>
  <c r="V178" i="4"/>
  <c r="V179" i="4"/>
  <c r="V143" i="4"/>
  <c r="V152" i="4"/>
  <c r="V153" i="4"/>
  <c r="V180" i="4"/>
  <c r="V155" i="4"/>
  <c r="V156" i="4"/>
  <c r="V181" i="4"/>
  <c r="V160" i="4"/>
  <c r="V161" i="4"/>
  <c r="V162" i="4"/>
  <c r="V163" i="4"/>
  <c r="V164" i="4"/>
  <c r="V165" i="4"/>
  <c r="V166" i="4"/>
  <c r="V167" i="4"/>
  <c r="V168" i="4"/>
  <c r="M146" i="4"/>
  <c r="M158" i="4"/>
  <c r="M159" i="4"/>
  <c r="V169" i="4"/>
  <c r="V170" i="4"/>
  <c r="V182" i="4"/>
  <c r="V147" i="4"/>
  <c r="V183" i="4"/>
  <c r="V148" i="4"/>
  <c r="V184" i="4"/>
  <c r="V210" i="4"/>
  <c r="V185" i="4"/>
  <c r="V227" i="4"/>
  <c r="V299" i="4"/>
  <c r="V315" i="4"/>
  <c r="V382" i="4"/>
  <c r="V193" i="4"/>
  <c r="V194" i="4"/>
  <c r="V195" i="4"/>
  <c r="V300" i="4"/>
  <c r="V316" i="4"/>
  <c r="V383" i="4"/>
  <c r="U111" i="4"/>
  <c r="U291" i="4"/>
  <c r="U307" i="4"/>
  <c r="U374" i="4"/>
  <c r="U108" i="4"/>
  <c r="U292" i="4"/>
  <c r="U308" i="4"/>
  <c r="U375" i="4"/>
  <c r="U43" i="4"/>
  <c r="U81" i="4"/>
  <c r="U83" i="4"/>
  <c r="U84" i="4"/>
  <c r="U86" i="4"/>
  <c r="U293" i="4"/>
  <c r="U309" i="4"/>
  <c r="U376" i="4"/>
  <c r="U89" i="4"/>
  <c r="U90" i="4"/>
  <c r="U294" i="4"/>
  <c r="U310" i="4"/>
  <c r="U377" i="4"/>
  <c r="U95" i="4"/>
  <c r="U100" i="4"/>
  <c r="U96" i="4"/>
  <c r="U101" i="4"/>
  <c r="U97" i="4"/>
  <c r="U102" i="4"/>
  <c r="U98" i="4"/>
  <c r="U103" i="4"/>
  <c r="U105" i="4"/>
  <c r="U295" i="4"/>
  <c r="U311" i="4"/>
  <c r="U378" i="4"/>
  <c r="U114" i="4"/>
  <c r="U117" i="4"/>
  <c r="U175" i="4"/>
  <c r="U176" i="4"/>
  <c r="U177" i="4"/>
  <c r="U178" i="4"/>
  <c r="U179" i="4"/>
  <c r="U143" i="4"/>
  <c r="U152" i="4"/>
  <c r="U153" i="4"/>
  <c r="U180" i="4"/>
  <c r="U155" i="4"/>
  <c r="U156" i="4"/>
  <c r="U181" i="4"/>
  <c r="U160" i="4"/>
  <c r="U161" i="4"/>
  <c r="U162" i="4"/>
  <c r="U163" i="4"/>
  <c r="U164" i="4"/>
  <c r="U165" i="4"/>
  <c r="U166" i="4"/>
  <c r="U167" i="4"/>
  <c r="U168" i="4"/>
  <c r="L146" i="4"/>
  <c r="L158" i="4"/>
  <c r="L159" i="4"/>
  <c r="U169" i="4"/>
  <c r="U170" i="4"/>
  <c r="U182" i="4"/>
  <c r="U147" i="4"/>
  <c r="U183" i="4"/>
  <c r="U148" i="4"/>
  <c r="U184" i="4"/>
  <c r="U210" i="4"/>
  <c r="U185" i="4"/>
  <c r="U227" i="4"/>
  <c r="U299" i="4"/>
  <c r="U315" i="4"/>
  <c r="U382" i="4"/>
  <c r="U193" i="4"/>
  <c r="U194" i="4"/>
  <c r="U195" i="4"/>
  <c r="U300" i="4"/>
  <c r="U316" i="4"/>
  <c r="U383" i="4"/>
  <c r="T111" i="4"/>
  <c r="T291" i="4"/>
  <c r="T307" i="4"/>
  <c r="T374" i="4"/>
  <c r="T108" i="4"/>
  <c r="T292" i="4"/>
  <c r="T308" i="4"/>
  <c r="T375" i="4"/>
  <c r="T43" i="4"/>
  <c r="T81" i="4"/>
  <c r="T83" i="4"/>
  <c r="T84" i="4"/>
  <c r="T86" i="4"/>
  <c r="T293" i="4"/>
  <c r="T309" i="4"/>
  <c r="T376" i="4"/>
  <c r="T89" i="4"/>
  <c r="T90" i="4"/>
  <c r="T294" i="4"/>
  <c r="T310" i="4"/>
  <c r="T377" i="4"/>
  <c r="T95" i="4"/>
  <c r="T100" i="4"/>
  <c r="T96" i="4"/>
  <c r="T101" i="4"/>
  <c r="T97" i="4"/>
  <c r="T102" i="4"/>
  <c r="T98" i="4"/>
  <c r="T103" i="4"/>
  <c r="T105" i="4"/>
  <c r="T295" i="4"/>
  <c r="T311" i="4"/>
  <c r="T378" i="4"/>
  <c r="T114" i="4"/>
  <c r="T117" i="4"/>
  <c r="T175" i="4"/>
  <c r="T176" i="4"/>
  <c r="T177" i="4"/>
  <c r="T178" i="4"/>
  <c r="T179" i="4"/>
  <c r="T143" i="4"/>
  <c r="T152" i="4"/>
  <c r="T153" i="4"/>
  <c r="T180" i="4"/>
  <c r="T155" i="4"/>
  <c r="T156" i="4"/>
  <c r="T181" i="4"/>
  <c r="T160" i="4"/>
  <c r="T161" i="4"/>
  <c r="T162" i="4"/>
  <c r="T163" i="4"/>
  <c r="T164" i="4"/>
  <c r="T165" i="4"/>
  <c r="T166" i="4"/>
  <c r="T167" i="4"/>
  <c r="T168" i="4"/>
  <c r="K146" i="4"/>
  <c r="K158" i="4"/>
  <c r="K159" i="4"/>
  <c r="T169" i="4"/>
  <c r="T170" i="4"/>
  <c r="T182" i="4"/>
  <c r="T147" i="4"/>
  <c r="T183" i="4"/>
  <c r="T148" i="4"/>
  <c r="T184" i="4"/>
  <c r="T210" i="4"/>
  <c r="T185" i="4"/>
  <c r="T227" i="4"/>
  <c r="T299" i="4"/>
  <c r="T315" i="4"/>
  <c r="T382" i="4"/>
  <c r="T193" i="4"/>
  <c r="T194" i="4"/>
  <c r="T195" i="4"/>
  <c r="T300" i="4"/>
  <c r="T316" i="4"/>
  <c r="T383" i="4"/>
  <c r="S111" i="4"/>
  <c r="S291" i="4"/>
  <c r="S307" i="4"/>
  <c r="S374" i="4"/>
  <c r="S108" i="4"/>
  <c r="S292" i="4"/>
  <c r="S308" i="4"/>
  <c r="S375" i="4"/>
  <c r="S43" i="4"/>
  <c r="S81" i="4"/>
  <c r="S83" i="4"/>
  <c r="S84" i="4"/>
  <c r="S86" i="4"/>
  <c r="S293" i="4"/>
  <c r="S309" i="4"/>
  <c r="S376" i="4"/>
  <c r="S89" i="4"/>
  <c r="S90" i="4"/>
  <c r="S294" i="4"/>
  <c r="S310" i="4"/>
  <c r="S377" i="4"/>
  <c r="S95" i="4"/>
  <c r="S100" i="4"/>
  <c r="S96" i="4"/>
  <c r="S101" i="4"/>
  <c r="S97" i="4"/>
  <c r="S102" i="4"/>
  <c r="S98" i="4"/>
  <c r="S103" i="4"/>
  <c r="S105" i="4"/>
  <c r="S295" i="4"/>
  <c r="S311" i="4"/>
  <c r="S378" i="4"/>
  <c r="S114" i="4"/>
  <c r="S117" i="4"/>
  <c r="S175" i="4"/>
  <c r="S176" i="4"/>
  <c r="S177" i="4"/>
  <c r="S178" i="4"/>
  <c r="S179" i="4"/>
  <c r="S143" i="4"/>
  <c r="S152" i="4"/>
  <c r="S153" i="4"/>
  <c r="S180" i="4"/>
  <c r="S155" i="4"/>
  <c r="S156" i="4"/>
  <c r="S181" i="4"/>
  <c r="S160" i="4"/>
  <c r="S161" i="4"/>
  <c r="S162" i="4"/>
  <c r="S163" i="4"/>
  <c r="S164" i="4"/>
  <c r="S165" i="4"/>
  <c r="S166" i="4"/>
  <c r="S167" i="4"/>
  <c r="S168" i="4"/>
  <c r="J146" i="4"/>
  <c r="J158" i="4"/>
  <c r="J159" i="4"/>
  <c r="S169" i="4"/>
  <c r="S170" i="4"/>
  <c r="S182" i="4"/>
  <c r="S147" i="4"/>
  <c r="S183" i="4"/>
  <c r="S148" i="4"/>
  <c r="S184" i="4"/>
  <c r="S210" i="4"/>
  <c r="S185" i="4"/>
  <c r="S227" i="4"/>
  <c r="S299" i="4"/>
  <c r="S315" i="4"/>
  <c r="S382" i="4"/>
  <c r="S193" i="4"/>
  <c r="S194" i="4"/>
  <c r="S195" i="4"/>
  <c r="S300" i="4"/>
  <c r="S316" i="4"/>
  <c r="S383" i="4"/>
  <c r="R111" i="4"/>
  <c r="R291" i="4"/>
  <c r="R307" i="4"/>
  <c r="R374" i="4"/>
  <c r="R108" i="4"/>
  <c r="R292" i="4"/>
  <c r="R308" i="4"/>
  <c r="R375" i="4"/>
  <c r="R43" i="4"/>
  <c r="R81" i="4"/>
  <c r="R83" i="4"/>
  <c r="R84" i="4"/>
  <c r="R86" i="4"/>
  <c r="R293" i="4"/>
  <c r="R309" i="4"/>
  <c r="R376" i="4"/>
  <c r="R89" i="4"/>
  <c r="R90" i="4"/>
  <c r="R294" i="4"/>
  <c r="R310" i="4"/>
  <c r="R377" i="4"/>
  <c r="R95" i="4"/>
  <c r="R100" i="4"/>
  <c r="R96" i="4"/>
  <c r="R101" i="4"/>
  <c r="R97" i="4"/>
  <c r="R102" i="4"/>
  <c r="R98" i="4"/>
  <c r="R103" i="4"/>
  <c r="R105" i="4"/>
  <c r="R295" i="4"/>
  <c r="R311" i="4"/>
  <c r="R378" i="4"/>
  <c r="R114" i="4"/>
  <c r="R117" i="4"/>
  <c r="R175" i="4"/>
  <c r="R176" i="4"/>
  <c r="R177" i="4"/>
  <c r="R178" i="4"/>
  <c r="R179" i="4"/>
  <c r="R143" i="4"/>
  <c r="R152" i="4"/>
  <c r="R153" i="4"/>
  <c r="R180" i="4"/>
  <c r="R155" i="4"/>
  <c r="R156" i="4"/>
  <c r="R181" i="4"/>
  <c r="R160" i="4"/>
  <c r="R161" i="4"/>
  <c r="R162" i="4"/>
  <c r="R163" i="4"/>
  <c r="R164" i="4"/>
  <c r="R165" i="4"/>
  <c r="R166" i="4"/>
  <c r="R167" i="4"/>
  <c r="R168" i="4"/>
  <c r="I146" i="4"/>
  <c r="I158" i="4"/>
  <c r="I159" i="4"/>
  <c r="R169" i="4"/>
  <c r="R170" i="4"/>
  <c r="R182" i="4"/>
  <c r="R147" i="4"/>
  <c r="R183" i="4"/>
  <c r="R148" i="4"/>
  <c r="R184" i="4"/>
  <c r="R210" i="4"/>
  <c r="R185" i="4"/>
  <c r="R227" i="4"/>
  <c r="R299" i="4"/>
  <c r="R315" i="4"/>
  <c r="R382" i="4"/>
  <c r="R193" i="4"/>
  <c r="R194" i="4"/>
  <c r="R195" i="4"/>
  <c r="R300" i="4"/>
  <c r="R316" i="4"/>
  <c r="R383" i="4"/>
  <c r="Q111" i="4"/>
  <c r="Q291" i="4"/>
  <c r="Q307" i="4"/>
  <c r="Q374" i="4"/>
  <c r="Q108" i="4"/>
  <c r="Q292" i="4"/>
  <c r="Q308" i="4"/>
  <c r="Q375" i="4"/>
  <c r="Q43" i="4"/>
  <c r="Q81" i="4"/>
  <c r="Q83" i="4"/>
  <c r="Q84" i="4"/>
  <c r="Q86" i="4"/>
  <c r="Q293" i="4"/>
  <c r="Q309" i="4"/>
  <c r="Q376" i="4"/>
  <c r="Q89" i="4"/>
  <c r="Q90" i="4"/>
  <c r="Q294" i="4"/>
  <c r="Q310" i="4"/>
  <c r="Q377" i="4"/>
  <c r="Q95" i="4"/>
  <c r="Q100" i="4"/>
  <c r="Q96" i="4"/>
  <c r="Q101" i="4"/>
  <c r="Q97" i="4"/>
  <c r="Q102" i="4"/>
  <c r="Q98" i="4"/>
  <c r="Q103" i="4"/>
  <c r="Q105" i="4"/>
  <c r="Q295" i="4"/>
  <c r="Q311" i="4"/>
  <c r="Q378" i="4"/>
  <c r="Q114" i="4"/>
  <c r="Q117" i="4"/>
  <c r="Q175" i="4"/>
  <c r="Q176" i="4"/>
  <c r="Q177" i="4"/>
  <c r="Q178" i="4"/>
  <c r="Q179" i="4"/>
  <c r="Q143" i="4"/>
  <c r="Q152" i="4"/>
  <c r="Q153" i="4"/>
  <c r="Q180" i="4"/>
  <c r="Q155" i="4"/>
  <c r="Q156" i="4"/>
  <c r="Q181" i="4"/>
  <c r="Q160" i="4"/>
  <c r="Q161" i="4"/>
  <c r="Q162" i="4"/>
  <c r="Q163" i="4"/>
  <c r="Q164" i="4"/>
  <c r="Q165" i="4"/>
  <c r="Q166" i="4"/>
  <c r="Q167" i="4"/>
  <c r="Q168" i="4"/>
  <c r="Q169" i="4"/>
  <c r="Q170" i="4"/>
  <c r="Q182" i="4"/>
  <c r="Q147" i="4"/>
  <c r="Q183" i="4"/>
  <c r="Q148" i="4"/>
  <c r="Q184" i="4"/>
  <c r="Q210" i="4"/>
  <c r="Q185" i="4"/>
  <c r="Q227" i="4"/>
  <c r="Q299" i="4"/>
  <c r="Q315" i="4"/>
  <c r="Q382" i="4"/>
  <c r="Q193" i="4"/>
  <c r="Q194" i="4"/>
  <c r="Q195" i="4"/>
  <c r="Q300" i="4"/>
  <c r="Q316" i="4"/>
  <c r="Q383" i="4"/>
  <c r="P111" i="4"/>
  <c r="P291" i="4"/>
  <c r="P307" i="4"/>
  <c r="P374" i="4"/>
  <c r="P108" i="4"/>
  <c r="P292" i="4"/>
  <c r="P308" i="4"/>
  <c r="P375" i="4"/>
  <c r="P43" i="4"/>
  <c r="P81" i="4"/>
  <c r="P83" i="4"/>
  <c r="P84" i="4"/>
  <c r="P86" i="4"/>
  <c r="P293" i="4"/>
  <c r="P309" i="4"/>
  <c r="P376" i="4"/>
  <c r="P89" i="4"/>
  <c r="P90" i="4"/>
  <c r="P294" i="4"/>
  <c r="P310" i="4"/>
  <c r="P377" i="4"/>
  <c r="P95" i="4"/>
  <c r="P100" i="4"/>
  <c r="P96" i="4"/>
  <c r="P101" i="4"/>
  <c r="P97" i="4"/>
  <c r="P102" i="4"/>
  <c r="P98" i="4"/>
  <c r="P103" i="4"/>
  <c r="P105" i="4"/>
  <c r="P295" i="4"/>
  <c r="P311" i="4"/>
  <c r="P378" i="4"/>
  <c r="P114" i="4"/>
  <c r="P117" i="4"/>
  <c r="P175" i="4"/>
  <c r="P176" i="4"/>
  <c r="P177" i="4"/>
  <c r="P178" i="4"/>
  <c r="P179" i="4"/>
  <c r="P143" i="4"/>
  <c r="P152" i="4"/>
  <c r="P153" i="4"/>
  <c r="P180" i="4"/>
  <c r="P155" i="4"/>
  <c r="P156" i="4"/>
  <c r="P181" i="4"/>
  <c r="P160" i="4"/>
  <c r="P161" i="4"/>
  <c r="P162" i="4"/>
  <c r="P163" i="4"/>
  <c r="P164" i="4"/>
  <c r="P165" i="4"/>
  <c r="P166" i="4"/>
  <c r="P167" i="4"/>
  <c r="P168" i="4"/>
  <c r="P169" i="4"/>
  <c r="P170" i="4"/>
  <c r="P182" i="4"/>
  <c r="P147" i="4"/>
  <c r="P183" i="4"/>
  <c r="P148" i="4"/>
  <c r="P184" i="4"/>
  <c r="P210" i="4"/>
  <c r="P185" i="4"/>
  <c r="P227" i="4"/>
  <c r="P299" i="4"/>
  <c r="P315" i="4"/>
  <c r="P382" i="4"/>
  <c r="P193" i="4"/>
  <c r="P194" i="4"/>
  <c r="P195" i="4"/>
  <c r="P300" i="4"/>
  <c r="P316" i="4"/>
  <c r="P383" i="4"/>
  <c r="O111" i="4"/>
  <c r="O291" i="4"/>
  <c r="O307" i="4"/>
  <c r="O374" i="4"/>
  <c r="O108" i="4"/>
  <c r="O292" i="4"/>
  <c r="O308" i="4"/>
  <c r="O375" i="4"/>
  <c r="O43" i="4"/>
  <c r="O81" i="4"/>
  <c r="O83" i="4"/>
  <c r="O84" i="4"/>
  <c r="O86" i="4"/>
  <c r="O293" i="4"/>
  <c r="O309" i="4"/>
  <c r="O376" i="4"/>
  <c r="O89" i="4"/>
  <c r="O90" i="4"/>
  <c r="O294" i="4"/>
  <c r="O310" i="4"/>
  <c r="O377" i="4"/>
  <c r="O95" i="4"/>
  <c r="O100" i="4"/>
  <c r="O96" i="4"/>
  <c r="O101" i="4"/>
  <c r="O97" i="4"/>
  <c r="O102" i="4"/>
  <c r="O98" i="4"/>
  <c r="O103" i="4"/>
  <c r="O105" i="4"/>
  <c r="O295" i="4"/>
  <c r="O311" i="4"/>
  <c r="O378" i="4"/>
  <c r="O114" i="4"/>
  <c r="O117" i="4"/>
  <c r="O175" i="4"/>
  <c r="O176" i="4"/>
  <c r="O177" i="4"/>
  <c r="O178" i="4"/>
  <c r="O179" i="4"/>
  <c r="O143" i="4"/>
  <c r="O152" i="4"/>
  <c r="O153" i="4"/>
  <c r="O180" i="4"/>
  <c r="O155" i="4"/>
  <c r="O156" i="4"/>
  <c r="O181" i="4"/>
  <c r="O160" i="4"/>
  <c r="O161" i="4"/>
  <c r="O162" i="4"/>
  <c r="O163" i="4"/>
  <c r="O164" i="4"/>
  <c r="O165" i="4"/>
  <c r="O166" i="4"/>
  <c r="O167" i="4"/>
  <c r="O168" i="4"/>
  <c r="O170" i="4"/>
  <c r="O182" i="4"/>
  <c r="O147" i="4"/>
  <c r="O183" i="4"/>
  <c r="O148" i="4"/>
  <c r="O184" i="4"/>
  <c r="O210" i="4"/>
  <c r="O185" i="4"/>
  <c r="O227" i="4"/>
  <c r="O299" i="4"/>
  <c r="O315" i="4"/>
  <c r="O382" i="4"/>
  <c r="O193" i="4"/>
  <c r="O194" i="4"/>
  <c r="O195" i="4"/>
  <c r="O300" i="4"/>
  <c r="O316" i="4"/>
  <c r="O383" i="4"/>
  <c r="N111" i="4"/>
  <c r="N291" i="4"/>
  <c r="N307" i="4"/>
  <c r="N374" i="4"/>
  <c r="N108" i="4"/>
  <c r="N292" i="4"/>
  <c r="N308" i="4"/>
  <c r="N375" i="4"/>
  <c r="N43" i="4"/>
  <c r="N81" i="4"/>
  <c r="N83" i="4"/>
  <c r="N84" i="4"/>
  <c r="N86" i="4"/>
  <c r="N293" i="4"/>
  <c r="N309" i="4"/>
  <c r="N376" i="4"/>
  <c r="N89" i="4"/>
  <c r="N90" i="4"/>
  <c r="N294" i="4"/>
  <c r="N310" i="4"/>
  <c r="N377" i="4"/>
  <c r="N95" i="4"/>
  <c r="N100" i="4"/>
  <c r="N96" i="4"/>
  <c r="N101" i="4"/>
  <c r="N97" i="4"/>
  <c r="N102" i="4"/>
  <c r="N98" i="4"/>
  <c r="N103" i="4"/>
  <c r="N105" i="4"/>
  <c r="N295" i="4"/>
  <c r="N311" i="4"/>
  <c r="N378" i="4"/>
  <c r="N114" i="4"/>
  <c r="N117" i="4"/>
  <c r="N175" i="4"/>
  <c r="N176" i="4"/>
  <c r="N177" i="4"/>
  <c r="N178" i="4"/>
  <c r="N179" i="4"/>
  <c r="N143" i="4"/>
  <c r="N152" i="4"/>
  <c r="N153" i="4"/>
  <c r="N180" i="4"/>
  <c r="N155" i="4"/>
  <c r="N156" i="4"/>
  <c r="N181" i="4"/>
  <c r="N160" i="4"/>
  <c r="N161" i="4"/>
  <c r="N162" i="4"/>
  <c r="N163" i="4"/>
  <c r="N164" i="4"/>
  <c r="N165" i="4"/>
  <c r="N166" i="4"/>
  <c r="N167" i="4"/>
  <c r="N170" i="4"/>
  <c r="N182" i="4"/>
  <c r="N147" i="4"/>
  <c r="N183" i="4"/>
  <c r="N148" i="4"/>
  <c r="N184" i="4"/>
  <c r="N210" i="4"/>
  <c r="N185" i="4"/>
  <c r="N227" i="4"/>
  <c r="N299" i="4"/>
  <c r="N315" i="4"/>
  <c r="N382" i="4"/>
  <c r="N193" i="4"/>
  <c r="N194" i="4"/>
  <c r="N195" i="4"/>
  <c r="N300" i="4"/>
  <c r="N316" i="4"/>
  <c r="N383" i="4"/>
  <c r="M111" i="4"/>
  <c r="M291" i="4"/>
  <c r="M307" i="4"/>
  <c r="M374" i="4"/>
  <c r="M108" i="4"/>
  <c r="M292" i="4"/>
  <c r="M308" i="4"/>
  <c r="M375" i="4"/>
  <c r="M43" i="4"/>
  <c r="M81" i="4"/>
  <c r="M83" i="4"/>
  <c r="M84" i="4"/>
  <c r="M86" i="4"/>
  <c r="M293" i="4"/>
  <c r="M309" i="4"/>
  <c r="M376" i="4"/>
  <c r="M89" i="4"/>
  <c r="M90" i="4"/>
  <c r="M294" i="4"/>
  <c r="M310" i="4"/>
  <c r="M377" i="4"/>
  <c r="M95" i="4"/>
  <c r="M100" i="4"/>
  <c r="M96" i="4"/>
  <c r="M101" i="4"/>
  <c r="M97" i="4"/>
  <c r="M102" i="4"/>
  <c r="M98" i="4"/>
  <c r="M103" i="4"/>
  <c r="M105" i="4"/>
  <c r="M295" i="4"/>
  <c r="M311" i="4"/>
  <c r="M378" i="4"/>
  <c r="M114" i="4"/>
  <c r="M117" i="4"/>
  <c r="M175" i="4"/>
  <c r="M176" i="4"/>
  <c r="M177" i="4"/>
  <c r="M178" i="4"/>
  <c r="M179" i="4"/>
  <c r="M143" i="4"/>
  <c r="M152" i="4"/>
  <c r="M153" i="4"/>
  <c r="M180" i="4"/>
  <c r="M155" i="4"/>
  <c r="M156" i="4"/>
  <c r="M181" i="4"/>
  <c r="M160" i="4"/>
  <c r="M161" i="4"/>
  <c r="M162" i="4"/>
  <c r="M163" i="4"/>
  <c r="M164" i="4"/>
  <c r="M165" i="4"/>
  <c r="M166" i="4"/>
  <c r="M170" i="4"/>
  <c r="M182" i="4"/>
  <c r="M147" i="4"/>
  <c r="M183" i="4"/>
  <c r="M148" i="4"/>
  <c r="M184" i="4"/>
  <c r="M210" i="4"/>
  <c r="M185" i="4"/>
  <c r="M227" i="4"/>
  <c r="M299" i="4"/>
  <c r="M315" i="4"/>
  <c r="M382" i="4"/>
  <c r="M193" i="4"/>
  <c r="M194" i="4"/>
  <c r="M195" i="4"/>
  <c r="M300" i="4"/>
  <c r="M316" i="4"/>
  <c r="M383" i="4"/>
  <c r="L111" i="4"/>
  <c r="L291" i="4"/>
  <c r="L307" i="4"/>
  <c r="L374" i="4"/>
  <c r="L108" i="4"/>
  <c r="L292" i="4"/>
  <c r="L308" i="4"/>
  <c r="L375" i="4"/>
  <c r="L43" i="4"/>
  <c r="L81" i="4"/>
  <c r="L83" i="4"/>
  <c r="L84" i="4"/>
  <c r="L86" i="4"/>
  <c r="L293" i="4"/>
  <c r="L309" i="4"/>
  <c r="L376" i="4"/>
  <c r="L89" i="4"/>
  <c r="L90" i="4"/>
  <c r="L294" i="4"/>
  <c r="L310" i="4"/>
  <c r="L377" i="4"/>
  <c r="L95" i="4"/>
  <c r="L100" i="4"/>
  <c r="L96" i="4"/>
  <c r="L101" i="4"/>
  <c r="L97" i="4"/>
  <c r="L102" i="4"/>
  <c r="L98" i="4"/>
  <c r="L103" i="4"/>
  <c r="L105" i="4"/>
  <c r="L295" i="4"/>
  <c r="L311" i="4"/>
  <c r="L378" i="4"/>
  <c r="L114" i="4"/>
  <c r="L117" i="4"/>
  <c r="L175" i="4"/>
  <c r="L176" i="4"/>
  <c r="L177" i="4"/>
  <c r="L178" i="4"/>
  <c r="L179" i="4"/>
  <c r="L143" i="4"/>
  <c r="L152" i="4"/>
  <c r="L153" i="4"/>
  <c r="L180" i="4"/>
  <c r="L155" i="4"/>
  <c r="L156" i="4"/>
  <c r="L181" i="4"/>
  <c r="L160" i="4"/>
  <c r="L161" i="4"/>
  <c r="L162" i="4"/>
  <c r="L163" i="4"/>
  <c r="L164" i="4"/>
  <c r="L165" i="4"/>
  <c r="L170" i="4"/>
  <c r="L182" i="4"/>
  <c r="L147" i="4"/>
  <c r="L183" i="4"/>
  <c r="L148" i="4"/>
  <c r="L184" i="4"/>
  <c r="L210" i="4"/>
  <c r="L185" i="4"/>
  <c r="L227" i="4"/>
  <c r="L299" i="4"/>
  <c r="L315" i="4"/>
  <c r="L382" i="4"/>
  <c r="L193" i="4"/>
  <c r="L194" i="4"/>
  <c r="L195" i="4"/>
  <c r="L300" i="4"/>
  <c r="L316" i="4"/>
  <c r="L383" i="4"/>
  <c r="K111" i="4"/>
  <c r="K291" i="4"/>
  <c r="K307" i="4"/>
  <c r="K374" i="4"/>
  <c r="K108" i="4"/>
  <c r="K292" i="4"/>
  <c r="K308" i="4"/>
  <c r="K375" i="4"/>
  <c r="K43" i="4"/>
  <c r="K81" i="4"/>
  <c r="K83" i="4"/>
  <c r="K84" i="4"/>
  <c r="K86" i="4"/>
  <c r="K293" i="4"/>
  <c r="K309" i="4"/>
  <c r="K376" i="4"/>
  <c r="K89" i="4"/>
  <c r="K90" i="4"/>
  <c r="K294" i="4"/>
  <c r="K310" i="4"/>
  <c r="K377" i="4"/>
  <c r="K95" i="4"/>
  <c r="K100" i="4"/>
  <c r="K96" i="4"/>
  <c r="K101" i="4"/>
  <c r="K97" i="4"/>
  <c r="K102" i="4"/>
  <c r="K98" i="4"/>
  <c r="K103" i="4"/>
  <c r="K105" i="4"/>
  <c r="K295" i="4"/>
  <c r="K311" i="4"/>
  <c r="K378" i="4"/>
  <c r="K114" i="4"/>
  <c r="K117" i="4"/>
  <c r="K175" i="4"/>
  <c r="K176" i="4"/>
  <c r="K177" i="4"/>
  <c r="K178" i="4"/>
  <c r="K179" i="4"/>
  <c r="K143" i="4"/>
  <c r="K152" i="4"/>
  <c r="K153" i="4"/>
  <c r="K180" i="4"/>
  <c r="K155" i="4"/>
  <c r="K156" i="4"/>
  <c r="K181" i="4"/>
  <c r="K160" i="4"/>
  <c r="K161" i="4"/>
  <c r="K162" i="4"/>
  <c r="K163" i="4"/>
  <c r="K164" i="4"/>
  <c r="K170" i="4"/>
  <c r="K182" i="4"/>
  <c r="K147" i="4"/>
  <c r="K183" i="4"/>
  <c r="K148" i="4"/>
  <c r="K184" i="4"/>
  <c r="K210" i="4"/>
  <c r="K185" i="4"/>
  <c r="K227" i="4"/>
  <c r="K299" i="4"/>
  <c r="K315" i="4"/>
  <c r="K382" i="4"/>
  <c r="K193" i="4"/>
  <c r="K194" i="4"/>
  <c r="K195" i="4"/>
  <c r="K300" i="4"/>
  <c r="K316" i="4"/>
  <c r="K383" i="4"/>
  <c r="J111" i="4"/>
  <c r="J291" i="4"/>
  <c r="J307" i="4"/>
  <c r="J374" i="4"/>
  <c r="J108" i="4"/>
  <c r="J292" i="4"/>
  <c r="J308" i="4"/>
  <c r="J375" i="4"/>
  <c r="J43" i="4"/>
  <c r="J81" i="4"/>
  <c r="J83" i="4"/>
  <c r="J84" i="4"/>
  <c r="J86" i="4"/>
  <c r="J293" i="4"/>
  <c r="J309" i="4"/>
  <c r="J376" i="4"/>
  <c r="J89" i="4"/>
  <c r="J90" i="4"/>
  <c r="J294" i="4"/>
  <c r="J310" i="4"/>
  <c r="J377" i="4"/>
  <c r="J95" i="4"/>
  <c r="J100" i="4"/>
  <c r="J96" i="4"/>
  <c r="J101" i="4"/>
  <c r="J97" i="4"/>
  <c r="J102" i="4"/>
  <c r="J98" i="4"/>
  <c r="J103" i="4"/>
  <c r="J105" i="4"/>
  <c r="J295" i="4"/>
  <c r="J311" i="4"/>
  <c r="J378" i="4"/>
  <c r="J114" i="4"/>
  <c r="J117" i="4"/>
  <c r="J175" i="4"/>
  <c r="J176" i="4"/>
  <c r="J177" i="4"/>
  <c r="J178" i="4"/>
  <c r="J179" i="4"/>
  <c r="J143" i="4"/>
  <c r="J152" i="4"/>
  <c r="J153" i="4"/>
  <c r="J180" i="4"/>
  <c r="J155" i="4"/>
  <c r="J156" i="4"/>
  <c r="J181" i="4"/>
  <c r="J160" i="4"/>
  <c r="J161" i="4"/>
  <c r="J162" i="4"/>
  <c r="J163" i="4"/>
  <c r="J170" i="4"/>
  <c r="J182" i="4"/>
  <c r="J147" i="4"/>
  <c r="J183" i="4"/>
  <c r="J148" i="4"/>
  <c r="J184" i="4"/>
  <c r="J210" i="4"/>
  <c r="J185" i="4"/>
  <c r="J227" i="4"/>
  <c r="J299" i="4"/>
  <c r="J315" i="4"/>
  <c r="J382" i="4"/>
  <c r="J193" i="4"/>
  <c r="J194" i="4"/>
  <c r="J195" i="4"/>
  <c r="J300" i="4"/>
  <c r="J316" i="4"/>
  <c r="J383" i="4"/>
  <c r="I111" i="4"/>
  <c r="I291" i="4"/>
  <c r="I307" i="4"/>
  <c r="I374" i="4"/>
  <c r="I108" i="4"/>
  <c r="I292" i="4"/>
  <c r="I308" i="4"/>
  <c r="I375" i="4"/>
  <c r="I43" i="4"/>
  <c r="I81" i="4"/>
  <c r="I83" i="4"/>
  <c r="I84" i="4"/>
  <c r="I86" i="4"/>
  <c r="I293" i="4"/>
  <c r="I309" i="4"/>
  <c r="I376" i="4"/>
  <c r="I89" i="4"/>
  <c r="I90" i="4"/>
  <c r="I294" i="4"/>
  <c r="I310" i="4"/>
  <c r="I377" i="4"/>
  <c r="I95" i="4"/>
  <c r="I100" i="4"/>
  <c r="I96" i="4"/>
  <c r="I101" i="4"/>
  <c r="I97" i="4"/>
  <c r="I102" i="4"/>
  <c r="I98" i="4"/>
  <c r="I103" i="4"/>
  <c r="I105" i="4"/>
  <c r="I295" i="4"/>
  <c r="I311" i="4"/>
  <c r="I378" i="4"/>
  <c r="I114" i="4"/>
  <c r="I117" i="4"/>
  <c r="I175" i="4"/>
  <c r="I176" i="4"/>
  <c r="I177" i="4"/>
  <c r="I178" i="4"/>
  <c r="I179" i="4"/>
  <c r="I143" i="4"/>
  <c r="I152" i="4"/>
  <c r="I153" i="4"/>
  <c r="I180" i="4"/>
  <c r="I155" i="4"/>
  <c r="I156" i="4"/>
  <c r="I181" i="4"/>
  <c r="I160" i="4"/>
  <c r="I161" i="4"/>
  <c r="I162" i="4"/>
  <c r="I170" i="4"/>
  <c r="I182" i="4"/>
  <c r="I147" i="4"/>
  <c r="I183" i="4"/>
  <c r="I148" i="4"/>
  <c r="I184" i="4"/>
  <c r="I210" i="4"/>
  <c r="I185" i="4"/>
  <c r="I227" i="4"/>
  <c r="I299" i="4"/>
  <c r="I315" i="4"/>
  <c r="I382" i="4"/>
  <c r="I193" i="4"/>
  <c r="I194" i="4"/>
  <c r="I195" i="4"/>
  <c r="I300" i="4"/>
  <c r="I316" i="4"/>
  <c r="I383" i="4"/>
  <c r="H307" i="4"/>
  <c r="H374" i="4"/>
  <c r="H308" i="4"/>
  <c r="H375" i="4"/>
  <c r="H309" i="4"/>
  <c r="H376" i="4"/>
  <c r="H310" i="4"/>
  <c r="H377" i="4"/>
  <c r="H311" i="4"/>
  <c r="H378" i="4"/>
  <c r="H315" i="4"/>
  <c r="H382" i="4"/>
  <c r="H316" i="4"/>
  <c r="H383" i="4"/>
  <c r="G291" i="4"/>
  <c r="G307" i="4"/>
  <c r="G374" i="4"/>
  <c r="G292" i="4"/>
  <c r="G308" i="4"/>
  <c r="G375" i="4"/>
  <c r="G293" i="4"/>
  <c r="G309" i="4"/>
  <c r="G376" i="4"/>
  <c r="G294" i="4"/>
  <c r="G310" i="4"/>
  <c r="G377" i="4"/>
  <c r="G295" i="4"/>
  <c r="G311" i="4"/>
  <c r="G378" i="4"/>
  <c r="G175" i="4"/>
  <c r="G176" i="4"/>
  <c r="G177" i="4"/>
  <c r="G178" i="4"/>
  <c r="G179" i="4"/>
  <c r="G143" i="4"/>
  <c r="G152" i="4"/>
  <c r="G153" i="4"/>
  <c r="G180" i="4"/>
  <c r="G155" i="4"/>
  <c r="G156" i="4"/>
  <c r="G181" i="4"/>
  <c r="G160" i="4"/>
  <c r="G170" i="4"/>
  <c r="G182" i="4"/>
  <c r="G147" i="4"/>
  <c r="G183" i="4"/>
  <c r="G148" i="4"/>
  <c r="G184" i="4"/>
  <c r="G210" i="4"/>
  <c r="G185" i="4"/>
  <c r="G227" i="4"/>
  <c r="G299" i="4"/>
  <c r="G315" i="4"/>
  <c r="G382" i="4"/>
  <c r="G193" i="4"/>
  <c r="G194" i="4"/>
  <c r="G195" i="4"/>
  <c r="G300" i="4"/>
  <c r="G316" i="4"/>
  <c r="G383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BD405" i="4"/>
  <c r="BC405" i="4"/>
  <c r="BB405" i="4"/>
  <c r="BA405" i="4"/>
  <c r="AZ405" i="4"/>
  <c r="AY405" i="4"/>
  <c r="AX405" i="4"/>
  <c r="AW405" i="4"/>
  <c r="AV405" i="4"/>
  <c r="AU405" i="4"/>
  <c r="AT405" i="4"/>
  <c r="AS405" i="4"/>
  <c r="AR405" i="4"/>
  <c r="AQ405" i="4"/>
  <c r="AP405" i="4"/>
  <c r="AO405" i="4"/>
  <c r="AN405" i="4"/>
  <c r="AM405" i="4"/>
  <c r="AL405" i="4"/>
  <c r="AK405" i="4"/>
  <c r="AJ405" i="4"/>
  <c r="AI405" i="4"/>
  <c r="AH405" i="4"/>
  <c r="AG405" i="4"/>
  <c r="AF405" i="4"/>
  <c r="AE405" i="4"/>
  <c r="AD405" i="4"/>
  <c r="AC405" i="4"/>
  <c r="AB405" i="4"/>
  <c r="AA405" i="4"/>
  <c r="Z405" i="4"/>
  <c r="Y405" i="4"/>
  <c r="X405" i="4"/>
  <c r="W405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D403" i="4"/>
  <c r="D402" i="4"/>
  <c r="D401" i="4"/>
  <c r="C383" i="4"/>
  <c r="F400" i="4"/>
  <c r="D400" i="4"/>
  <c r="C382" i="4"/>
  <c r="F399" i="4"/>
  <c r="D399" i="4"/>
  <c r="D398" i="4"/>
  <c r="D397" i="4"/>
  <c r="D396" i="4"/>
  <c r="C378" i="4"/>
  <c r="F395" i="4"/>
  <c r="D395" i="4"/>
  <c r="C377" i="4"/>
  <c r="F394" i="4"/>
  <c r="D394" i="4"/>
  <c r="C376" i="4"/>
  <c r="F393" i="4"/>
  <c r="D393" i="4"/>
  <c r="C375" i="4"/>
  <c r="F392" i="4"/>
  <c r="D392" i="4"/>
  <c r="C374" i="4"/>
  <c r="F391" i="4"/>
  <c r="D391" i="4"/>
  <c r="Q389" i="4"/>
  <c r="P389" i="4"/>
  <c r="O389" i="4"/>
  <c r="N389" i="4"/>
  <c r="M389" i="4"/>
  <c r="L389" i="4"/>
  <c r="K389" i="4"/>
  <c r="J389" i="4"/>
  <c r="I389" i="4"/>
  <c r="H389" i="4"/>
  <c r="G389" i="4"/>
  <c r="BD373" i="4"/>
  <c r="BC373" i="4"/>
  <c r="BB373" i="4"/>
  <c r="BA373" i="4"/>
  <c r="AZ373" i="4"/>
  <c r="AY373" i="4"/>
  <c r="AX373" i="4"/>
  <c r="AW373" i="4"/>
  <c r="AV373" i="4"/>
  <c r="AU373" i="4"/>
  <c r="AT373" i="4"/>
  <c r="AS373" i="4"/>
  <c r="AR373" i="4"/>
  <c r="AQ373" i="4"/>
  <c r="AP373" i="4"/>
  <c r="AO373" i="4"/>
  <c r="AN373" i="4"/>
  <c r="AM373" i="4"/>
  <c r="AL373" i="4"/>
  <c r="AK373" i="4"/>
  <c r="AJ373" i="4"/>
  <c r="AI373" i="4"/>
  <c r="AH373" i="4"/>
  <c r="AG373" i="4"/>
  <c r="AF373" i="4"/>
  <c r="AE373" i="4"/>
  <c r="AD373" i="4"/>
  <c r="AC373" i="4"/>
  <c r="AB373" i="4"/>
  <c r="AA373" i="4"/>
  <c r="Z373" i="4"/>
  <c r="Y373" i="4"/>
  <c r="X373" i="4"/>
  <c r="W373" i="4"/>
  <c r="V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K353" i="4"/>
  <c r="H208" i="4"/>
  <c r="H209" i="4"/>
  <c r="H340" i="4"/>
  <c r="H347" i="4"/>
  <c r="I208" i="4"/>
  <c r="I209" i="4"/>
  <c r="I340" i="4"/>
  <c r="I347" i="4"/>
  <c r="J208" i="4"/>
  <c r="J209" i="4"/>
  <c r="J340" i="4"/>
  <c r="J347" i="4"/>
  <c r="K208" i="4"/>
  <c r="K209" i="4"/>
  <c r="K340" i="4"/>
  <c r="K347" i="4"/>
  <c r="L208" i="4"/>
  <c r="L209" i="4"/>
  <c r="L340" i="4"/>
  <c r="L347" i="4"/>
  <c r="M208" i="4"/>
  <c r="M209" i="4"/>
  <c r="M340" i="4"/>
  <c r="M347" i="4"/>
  <c r="N208" i="4"/>
  <c r="N209" i="4"/>
  <c r="N340" i="4"/>
  <c r="N347" i="4"/>
  <c r="O208" i="4"/>
  <c r="O209" i="4"/>
  <c r="O340" i="4"/>
  <c r="O347" i="4"/>
  <c r="P208" i="4"/>
  <c r="P209" i="4"/>
  <c r="P340" i="4"/>
  <c r="P347" i="4"/>
  <c r="Q208" i="4"/>
  <c r="Q209" i="4"/>
  <c r="Q340" i="4"/>
  <c r="Q347" i="4"/>
  <c r="R208" i="4"/>
  <c r="R209" i="4"/>
  <c r="R340" i="4"/>
  <c r="R347" i="4"/>
  <c r="S208" i="4"/>
  <c r="S209" i="4"/>
  <c r="S340" i="4"/>
  <c r="S347" i="4"/>
  <c r="G208" i="4"/>
  <c r="G209" i="4"/>
  <c r="G340" i="4"/>
  <c r="G347" i="4"/>
  <c r="K357" i="4"/>
  <c r="K359" i="4"/>
  <c r="K368" i="4"/>
  <c r="J357" i="4"/>
  <c r="J368" i="4"/>
  <c r="I357" i="4"/>
  <c r="I368" i="4"/>
  <c r="H357" i="4"/>
  <c r="H368" i="4"/>
  <c r="G357" i="4"/>
  <c r="G368" i="4"/>
  <c r="H365" i="4"/>
  <c r="I365" i="4"/>
  <c r="J365" i="4"/>
  <c r="K365" i="4"/>
  <c r="K354" i="4"/>
  <c r="H264" i="4"/>
  <c r="H278" i="4"/>
  <c r="I264" i="4"/>
  <c r="I278" i="4"/>
  <c r="J264" i="4"/>
  <c r="J278" i="4"/>
  <c r="K264" i="4"/>
  <c r="K278" i="4"/>
  <c r="L264" i="4"/>
  <c r="L278" i="4"/>
  <c r="M264" i="4"/>
  <c r="M278" i="4"/>
  <c r="N264" i="4"/>
  <c r="N278" i="4"/>
  <c r="O264" i="4"/>
  <c r="O278" i="4"/>
  <c r="P264" i="4"/>
  <c r="P278" i="4"/>
  <c r="Q264" i="4"/>
  <c r="Q278" i="4"/>
  <c r="R264" i="4"/>
  <c r="R278" i="4"/>
  <c r="S264" i="4"/>
  <c r="S278" i="4"/>
  <c r="G264" i="4"/>
  <c r="G278" i="4"/>
  <c r="K361" i="4"/>
  <c r="J361" i="4"/>
  <c r="I361" i="4"/>
  <c r="H361" i="4"/>
  <c r="G361" i="4"/>
  <c r="BD208" i="4"/>
  <c r="BD209" i="4"/>
  <c r="BD340" i="4"/>
  <c r="BD347" i="4"/>
  <c r="BC208" i="4"/>
  <c r="BC209" i="4"/>
  <c r="BC340" i="4"/>
  <c r="BC347" i="4"/>
  <c r="BB208" i="4"/>
  <c r="BB209" i="4"/>
  <c r="BB340" i="4"/>
  <c r="BB347" i="4"/>
  <c r="BA208" i="4"/>
  <c r="BA209" i="4"/>
  <c r="BA340" i="4"/>
  <c r="BA347" i="4"/>
  <c r="AZ208" i="4"/>
  <c r="AZ209" i="4"/>
  <c r="AZ340" i="4"/>
  <c r="AZ347" i="4"/>
  <c r="AY208" i="4"/>
  <c r="AY209" i="4"/>
  <c r="AY340" i="4"/>
  <c r="AY347" i="4"/>
  <c r="AX208" i="4"/>
  <c r="AX209" i="4"/>
  <c r="AX340" i="4"/>
  <c r="AX347" i="4"/>
  <c r="AW208" i="4"/>
  <c r="AW209" i="4"/>
  <c r="AW340" i="4"/>
  <c r="AW347" i="4"/>
  <c r="AV208" i="4"/>
  <c r="AV209" i="4"/>
  <c r="AV340" i="4"/>
  <c r="AV347" i="4"/>
  <c r="AU208" i="4"/>
  <c r="AU209" i="4"/>
  <c r="AU340" i="4"/>
  <c r="AU347" i="4"/>
  <c r="AT208" i="4"/>
  <c r="AT209" i="4"/>
  <c r="AT340" i="4"/>
  <c r="AT347" i="4"/>
  <c r="AS208" i="4"/>
  <c r="AS209" i="4"/>
  <c r="AS340" i="4"/>
  <c r="AS347" i="4"/>
  <c r="AR208" i="4"/>
  <c r="AR209" i="4"/>
  <c r="AR340" i="4"/>
  <c r="AR347" i="4"/>
  <c r="AQ208" i="4"/>
  <c r="AQ209" i="4"/>
  <c r="AQ340" i="4"/>
  <c r="AQ347" i="4"/>
  <c r="AP208" i="4"/>
  <c r="AP209" i="4"/>
  <c r="AP340" i="4"/>
  <c r="AP347" i="4"/>
  <c r="AO208" i="4"/>
  <c r="AO209" i="4"/>
  <c r="AO340" i="4"/>
  <c r="AO347" i="4"/>
  <c r="AN208" i="4"/>
  <c r="AN209" i="4"/>
  <c r="AN340" i="4"/>
  <c r="AN347" i="4"/>
  <c r="AM208" i="4"/>
  <c r="AM209" i="4"/>
  <c r="AM340" i="4"/>
  <c r="AM347" i="4"/>
  <c r="AL208" i="4"/>
  <c r="AL209" i="4"/>
  <c r="AL340" i="4"/>
  <c r="AL347" i="4"/>
  <c r="AK208" i="4"/>
  <c r="AK209" i="4"/>
  <c r="AK340" i="4"/>
  <c r="AK347" i="4"/>
  <c r="AJ208" i="4"/>
  <c r="AJ209" i="4"/>
  <c r="AJ340" i="4"/>
  <c r="AJ347" i="4"/>
  <c r="AI208" i="4"/>
  <c r="AI209" i="4"/>
  <c r="AI340" i="4"/>
  <c r="AI347" i="4"/>
  <c r="AH208" i="4"/>
  <c r="AH209" i="4"/>
  <c r="AH340" i="4"/>
  <c r="AH347" i="4"/>
  <c r="AG208" i="4"/>
  <c r="AG209" i="4"/>
  <c r="AG340" i="4"/>
  <c r="AG347" i="4"/>
  <c r="AF208" i="4"/>
  <c r="AF209" i="4"/>
  <c r="AF340" i="4"/>
  <c r="AF347" i="4"/>
  <c r="AE208" i="4"/>
  <c r="AE209" i="4"/>
  <c r="AE340" i="4"/>
  <c r="AE347" i="4"/>
  <c r="AD208" i="4"/>
  <c r="AD209" i="4"/>
  <c r="AD340" i="4"/>
  <c r="AD347" i="4"/>
  <c r="AC208" i="4"/>
  <c r="AC209" i="4"/>
  <c r="AC340" i="4"/>
  <c r="AC347" i="4"/>
  <c r="AB208" i="4"/>
  <c r="AB209" i="4"/>
  <c r="AB340" i="4"/>
  <c r="AB347" i="4"/>
  <c r="AA208" i="4"/>
  <c r="AA209" i="4"/>
  <c r="AA340" i="4"/>
  <c r="AA347" i="4"/>
  <c r="Z208" i="4"/>
  <c r="Z209" i="4"/>
  <c r="Z340" i="4"/>
  <c r="Z347" i="4"/>
  <c r="Y208" i="4"/>
  <c r="Y209" i="4"/>
  <c r="Y340" i="4"/>
  <c r="Y347" i="4"/>
  <c r="X208" i="4"/>
  <c r="X209" i="4"/>
  <c r="X340" i="4"/>
  <c r="X347" i="4"/>
  <c r="W208" i="4"/>
  <c r="W209" i="4"/>
  <c r="W340" i="4"/>
  <c r="W347" i="4"/>
  <c r="V208" i="4"/>
  <c r="V209" i="4"/>
  <c r="V340" i="4"/>
  <c r="V347" i="4"/>
  <c r="U208" i="4"/>
  <c r="U209" i="4"/>
  <c r="U340" i="4"/>
  <c r="U347" i="4"/>
  <c r="T208" i="4"/>
  <c r="T209" i="4"/>
  <c r="T340" i="4"/>
  <c r="T347" i="4"/>
  <c r="C347" i="4"/>
  <c r="C344" i="4"/>
  <c r="C341" i="4"/>
  <c r="C340" i="4"/>
  <c r="C337" i="4"/>
  <c r="BD21" i="4"/>
  <c r="BD333" i="4"/>
  <c r="BC21" i="4"/>
  <c r="BC333" i="4"/>
  <c r="BB21" i="4"/>
  <c r="BB333" i="4"/>
  <c r="BA21" i="4"/>
  <c r="BA333" i="4"/>
  <c r="AZ21" i="4"/>
  <c r="AZ333" i="4"/>
  <c r="AY21" i="4"/>
  <c r="AY333" i="4"/>
  <c r="AX21" i="4"/>
  <c r="AX333" i="4"/>
  <c r="AW21" i="4"/>
  <c r="AW333" i="4"/>
  <c r="AV21" i="4"/>
  <c r="AV333" i="4"/>
  <c r="AU21" i="4"/>
  <c r="AU333" i="4"/>
  <c r="AT21" i="4"/>
  <c r="AT333" i="4"/>
  <c r="AS21" i="4"/>
  <c r="AS333" i="4"/>
  <c r="AR21" i="4"/>
  <c r="AR333" i="4"/>
  <c r="AQ21" i="4"/>
  <c r="AQ333" i="4"/>
  <c r="AP21" i="4"/>
  <c r="AP333" i="4"/>
  <c r="AO21" i="4"/>
  <c r="AO333" i="4"/>
  <c r="AN21" i="4"/>
  <c r="AN333" i="4"/>
  <c r="AM21" i="4"/>
  <c r="AM333" i="4"/>
  <c r="AL21" i="4"/>
  <c r="AL333" i="4"/>
  <c r="AK21" i="4"/>
  <c r="AK333" i="4"/>
  <c r="AJ21" i="4"/>
  <c r="AJ333" i="4"/>
  <c r="AI21" i="4"/>
  <c r="AI333" i="4"/>
  <c r="AH21" i="4"/>
  <c r="AH333" i="4"/>
  <c r="AG21" i="4"/>
  <c r="AG333" i="4"/>
  <c r="AF21" i="4"/>
  <c r="AF333" i="4"/>
  <c r="AE21" i="4"/>
  <c r="AE333" i="4"/>
  <c r="AD21" i="4"/>
  <c r="AD333" i="4"/>
  <c r="AC21" i="4"/>
  <c r="AC333" i="4"/>
  <c r="AB21" i="4"/>
  <c r="AB333" i="4"/>
  <c r="AA21" i="4"/>
  <c r="AA333" i="4"/>
  <c r="Z21" i="4"/>
  <c r="Z333" i="4"/>
  <c r="Y21" i="4"/>
  <c r="Y333" i="4"/>
  <c r="X21" i="4"/>
  <c r="X333" i="4"/>
  <c r="W21" i="4"/>
  <c r="W333" i="4"/>
  <c r="V21" i="4"/>
  <c r="V333" i="4"/>
  <c r="U21" i="4"/>
  <c r="U333" i="4"/>
  <c r="T21" i="4"/>
  <c r="T333" i="4"/>
  <c r="S21" i="4"/>
  <c r="S333" i="4"/>
  <c r="R21" i="4"/>
  <c r="R333" i="4"/>
  <c r="Q21" i="4"/>
  <c r="Q333" i="4"/>
  <c r="P21" i="4"/>
  <c r="P333" i="4"/>
  <c r="O21" i="4"/>
  <c r="O333" i="4"/>
  <c r="N21" i="4"/>
  <c r="N333" i="4"/>
  <c r="M21" i="4"/>
  <c r="M333" i="4"/>
  <c r="L21" i="4"/>
  <c r="L333" i="4"/>
  <c r="K21" i="4"/>
  <c r="K333" i="4"/>
  <c r="J21" i="4"/>
  <c r="J333" i="4"/>
  <c r="I21" i="4"/>
  <c r="I333" i="4"/>
  <c r="H21" i="4"/>
  <c r="H333" i="4"/>
  <c r="G21" i="4"/>
  <c r="G333" i="4"/>
  <c r="C333" i="4"/>
  <c r="BD264" i="4"/>
  <c r="BD278" i="4"/>
  <c r="BD331" i="4"/>
  <c r="BC264" i="4"/>
  <c r="BC278" i="4"/>
  <c r="BC331" i="4"/>
  <c r="BB264" i="4"/>
  <c r="BB278" i="4"/>
  <c r="BB331" i="4"/>
  <c r="BA264" i="4"/>
  <c r="BA278" i="4"/>
  <c r="BA331" i="4"/>
  <c r="AZ264" i="4"/>
  <c r="AZ278" i="4"/>
  <c r="AZ331" i="4"/>
  <c r="AY264" i="4"/>
  <c r="AY278" i="4"/>
  <c r="AY331" i="4"/>
  <c r="AX264" i="4"/>
  <c r="AX278" i="4"/>
  <c r="AX331" i="4"/>
  <c r="AW264" i="4"/>
  <c r="AW278" i="4"/>
  <c r="AW331" i="4"/>
  <c r="AV264" i="4"/>
  <c r="AV278" i="4"/>
  <c r="AV331" i="4"/>
  <c r="AU264" i="4"/>
  <c r="AU278" i="4"/>
  <c r="AU331" i="4"/>
  <c r="AT264" i="4"/>
  <c r="AT278" i="4"/>
  <c r="AT331" i="4"/>
  <c r="AS264" i="4"/>
  <c r="AS278" i="4"/>
  <c r="AS331" i="4"/>
  <c r="AR264" i="4"/>
  <c r="AR278" i="4"/>
  <c r="AR331" i="4"/>
  <c r="AQ264" i="4"/>
  <c r="AQ278" i="4"/>
  <c r="AQ331" i="4"/>
  <c r="AP264" i="4"/>
  <c r="AP278" i="4"/>
  <c r="AP331" i="4"/>
  <c r="AO264" i="4"/>
  <c r="AO278" i="4"/>
  <c r="AO331" i="4"/>
  <c r="AN264" i="4"/>
  <c r="AN278" i="4"/>
  <c r="AN331" i="4"/>
  <c r="AM264" i="4"/>
  <c r="AM278" i="4"/>
  <c r="AM331" i="4"/>
  <c r="AL264" i="4"/>
  <c r="AL278" i="4"/>
  <c r="AL331" i="4"/>
  <c r="AK264" i="4"/>
  <c r="AK278" i="4"/>
  <c r="AK331" i="4"/>
  <c r="AJ264" i="4"/>
  <c r="AJ278" i="4"/>
  <c r="AJ331" i="4"/>
  <c r="AI264" i="4"/>
  <c r="AI278" i="4"/>
  <c r="AI331" i="4"/>
  <c r="AH264" i="4"/>
  <c r="AH278" i="4"/>
  <c r="AH331" i="4"/>
  <c r="AG264" i="4"/>
  <c r="AG278" i="4"/>
  <c r="AG331" i="4"/>
  <c r="AF264" i="4"/>
  <c r="AF278" i="4"/>
  <c r="AF331" i="4"/>
  <c r="AE264" i="4"/>
  <c r="AE278" i="4"/>
  <c r="AE331" i="4"/>
  <c r="AD264" i="4"/>
  <c r="AD278" i="4"/>
  <c r="AD331" i="4"/>
  <c r="AC264" i="4"/>
  <c r="AC278" i="4"/>
  <c r="AC331" i="4"/>
  <c r="AB264" i="4"/>
  <c r="AB278" i="4"/>
  <c r="AB331" i="4"/>
  <c r="AA264" i="4"/>
  <c r="AA278" i="4"/>
  <c r="AA331" i="4"/>
  <c r="Z264" i="4"/>
  <c r="Z278" i="4"/>
  <c r="Z331" i="4"/>
  <c r="Y264" i="4"/>
  <c r="Y278" i="4"/>
  <c r="Y331" i="4"/>
  <c r="X264" i="4"/>
  <c r="X278" i="4"/>
  <c r="X331" i="4"/>
  <c r="W264" i="4"/>
  <c r="W278" i="4"/>
  <c r="W331" i="4"/>
  <c r="V264" i="4"/>
  <c r="V278" i="4"/>
  <c r="V331" i="4"/>
  <c r="U264" i="4"/>
  <c r="U278" i="4"/>
  <c r="U331" i="4"/>
  <c r="T264" i="4"/>
  <c r="T278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C331" i="4"/>
  <c r="BD326" i="4"/>
  <c r="BC326" i="4"/>
  <c r="BB326" i="4"/>
  <c r="BA326" i="4"/>
  <c r="AZ326" i="4"/>
  <c r="AY326" i="4"/>
  <c r="AX326" i="4"/>
  <c r="AW326" i="4"/>
  <c r="AV326" i="4"/>
  <c r="AU326" i="4"/>
  <c r="AT326" i="4"/>
  <c r="AS326" i="4"/>
  <c r="AR326" i="4"/>
  <c r="AQ326" i="4"/>
  <c r="AP326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C326" i="4"/>
  <c r="BD324" i="4"/>
  <c r="BC324" i="4"/>
  <c r="BB324" i="4"/>
  <c r="BA324" i="4"/>
  <c r="AZ324" i="4"/>
  <c r="AY324" i="4"/>
  <c r="AX324" i="4"/>
  <c r="AW324" i="4"/>
  <c r="AV324" i="4"/>
  <c r="AU324" i="4"/>
  <c r="AT324" i="4"/>
  <c r="AS324" i="4"/>
  <c r="AR324" i="4"/>
  <c r="AQ324" i="4"/>
  <c r="AP324" i="4"/>
  <c r="AO324" i="4"/>
  <c r="AN324" i="4"/>
  <c r="AM324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Z324" i="4"/>
  <c r="Y324" i="4"/>
  <c r="X324" i="4"/>
  <c r="W324" i="4"/>
  <c r="V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C324" i="4"/>
  <c r="C316" i="4"/>
  <c r="C315" i="4"/>
  <c r="C311" i="4"/>
  <c r="C310" i="4"/>
  <c r="C309" i="4"/>
  <c r="C308" i="4"/>
  <c r="C307" i="4"/>
  <c r="C300" i="4"/>
  <c r="C299" i="4"/>
  <c r="C295" i="4"/>
  <c r="C294" i="4"/>
  <c r="C293" i="4"/>
  <c r="C292" i="4"/>
  <c r="C291" i="4"/>
  <c r="BD246" i="4"/>
  <c r="BD285" i="4"/>
  <c r="BC246" i="4"/>
  <c r="BC285" i="4"/>
  <c r="BB246" i="4"/>
  <c r="BB285" i="4"/>
  <c r="BA246" i="4"/>
  <c r="BA285" i="4"/>
  <c r="AZ246" i="4"/>
  <c r="AZ285" i="4"/>
  <c r="AY246" i="4"/>
  <c r="AY285" i="4"/>
  <c r="AX246" i="4"/>
  <c r="AX285" i="4"/>
  <c r="AW246" i="4"/>
  <c r="AW285" i="4"/>
  <c r="AV246" i="4"/>
  <c r="AV285" i="4"/>
  <c r="AU246" i="4"/>
  <c r="AU285" i="4"/>
  <c r="AT246" i="4"/>
  <c r="AT285" i="4"/>
  <c r="AS246" i="4"/>
  <c r="AS285" i="4"/>
  <c r="AR246" i="4"/>
  <c r="AR285" i="4"/>
  <c r="AQ246" i="4"/>
  <c r="AQ285" i="4"/>
  <c r="AP246" i="4"/>
  <c r="AP285" i="4"/>
  <c r="AO246" i="4"/>
  <c r="AO285" i="4"/>
  <c r="AN246" i="4"/>
  <c r="AN285" i="4"/>
  <c r="AM246" i="4"/>
  <c r="AM285" i="4"/>
  <c r="AL246" i="4"/>
  <c r="AL285" i="4"/>
  <c r="AK246" i="4"/>
  <c r="AK285" i="4"/>
  <c r="AJ246" i="4"/>
  <c r="AJ285" i="4"/>
  <c r="AI246" i="4"/>
  <c r="AI285" i="4"/>
  <c r="AH246" i="4"/>
  <c r="AH285" i="4"/>
  <c r="AG246" i="4"/>
  <c r="AG285" i="4"/>
  <c r="AF246" i="4"/>
  <c r="AF285" i="4"/>
  <c r="AE246" i="4"/>
  <c r="AE285" i="4"/>
  <c r="AD246" i="4"/>
  <c r="AD285" i="4"/>
  <c r="AC246" i="4"/>
  <c r="AC285" i="4"/>
  <c r="AB246" i="4"/>
  <c r="AB285" i="4"/>
  <c r="AA246" i="4"/>
  <c r="AA285" i="4"/>
  <c r="Z246" i="4"/>
  <c r="Z285" i="4"/>
  <c r="Y246" i="4"/>
  <c r="Y285" i="4"/>
  <c r="X246" i="4"/>
  <c r="X285" i="4"/>
  <c r="W246" i="4"/>
  <c r="W285" i="4"/>
  <c r="V246" i="4"/>
  <c r="V285" i="4"/>
  <c r="U246" i="4"/>
  <c r="U285" i="4"/>
  <c r="T246" i="4"/>
  <c r="T285" i="4"/>
  <c r="S246" i="4"/>
  <c r="S285" i="4"/>
  <c r="R246" i="4"/>
  <c r="R285" i="4"/>
  <c r="Q246" i="4"/>
  <c r="Q285" i="4"/>
  <c r="P246" i="4"/>
  <c r="P285" i="4"/>
  <c r="O246" i="4"/>
  <c r="O285" i="4"/>
  <c r="N246" i="4"/>
  <c r="N285" i="4"/>
  <c r="M246" i="4"/>
  <c r="M285" i="4"/>
  <c r="L246" i="4"/>
  <c r="L285" i="4"/>
  <c r="K246" i="4"/>
  <c r="K285" i="4"/>
  <c r="J246" i="4"/>
  <c r="J285" i="4"/>
  <c r="I246" i="4"/>
  <c r="I285" i="4"/>
  <c r="H246" i="4"/>
  <c r="H285" i="4"/>
  <c r="G246" i="4"/>
  <c r="G285" i="4"/>
  <c r="C278" i="4"/>
  <c r="BD259" i="4"/>
  <c r="BD273" i="4"/>
  <c r="BC259" i="4"/>
  <c r="BC273" i="4"/>
  <c r="BB259" i="4"/>
  <c r="BB273" i="4"/>
  <c r="BA259" i="4"/>
  <c r="BA273" i="4"/>
  <c r="AZ259" i="4"/>
  <c r="AZ273" i="4"/>
  <c r="AY259" i="4"/>
  <c r="AY273" i="4"/>
  <c r="AX259" i="4"/>
  <c r="AX273" i="4"/>
  <c r="AW259" i="4"/>
  <c r="AW273" i="4"/>
  <c r="AV259" i="4"/>
  <c r="AV273" i="4"/>
  <c r="AU259" i="4"/>
  <c r="AU273" i="4"/>
  <c r="AT259" i="4"/>
  <c r="AT273" i="4"/>
  <c r="AS259" i="4"/>
  <c r="AS273" i="4"/>
  <c r="AR259" i="4"/>
  <c r="AR273" i="4"/>
  <c r="AQ259" i="4"/>
  <c r="AQ273" i="4"/>
  <c r="AP259" i="4"/>
  <c r="AP273" i="4"/>
  <c r="AO259" i="4"/>
  <c r="AO273" i="4"/>
  <c r="AN259" i="4"/>
  <c r="AN273" i="4"/>
  <c r="AM259" i="4"/>
  <c r="AM273" i="4"/>
  <c r="AL259" i="4"/>
  <c r="AL273" i="4"/>
  <c r="AK259" i="4"/>
  <c r="AK273" i="4"/>
  <c r="AJ259" i="4"/>
  <c r="AJ273" i="4"/>
  <c r="AI259" i="4"/>
  <c r="AI273" i="4"/>
  <c r="AH259" i="4"/>
  <c r="AH273" i="4"/>
  <c r="AG259" i="4"/>
  <c r="AG273" i="4"/>
  <c r="AF259" i="4"/>
  <c r="AF273" i="4"/>
  <c r="AE259" i="4"/>
  <c r="AE273" i="4"/>
  <c r="AD259" i="4"/>
  <c r="AD273" i="4"/>
  <c r="AC259" i="4"/>
  <c r="AC273" i="4"/>
  <c r="AB259" i="4"/>
  <c r="AB273" i="4"/>
  <c r="AA259" i="4"/>
  <c r="AA273" i="4"/>
  <c r="Z259" i="4"/>
  <c r="Z273" i="4"/>
  <c r="Y259" i="4"/>
  <c r="Y273" i="4"/>
  <c r="X259" i="4"/>
  <c r="X273" i="4"/>
  <c r="W259" i="4"/>
  <c r="W273" i="4"/>
  <c r="V259" i="4"/>
  <c r="V273" i="4"/>
  <c r="U259" i="4"/>
  <c r="U273" i="4"/>
  <c r="T259" i="4"/>
  <c r="T273" i="4"/>
  <c r="S259" i="4"/>
  <c r="S273" i="4"/>
  <c r="R259" i="4"/>
  <c r="R273" i="4"/>
  <c r="Q259" i="4"/>
  <c r="Q273" i="4"/>
  <c r="P259" i="4"/>
  <c r="P273" i="4"/>
  <c r="O259" i="4"/>
  <c r="O273" i="4"/>
  <c r="N259" i="4"/>
  <c r="N273" i="4"/>
  <c r="M259" i="4"/>
  <c r="M273" i="4"/>
  <c r="L259" i="4"/>
  <c r="L273" i="4"/>
  <c r="K259" i="4"/>
  <c r="K273" i="4"/>
  <c r="J259" i="4"/>
  <c r="J273" i="4"/>
  <c r="I259" i="4"/>
  <c r="I273" i="4"/>
  <c r="H259" i="4"/>
  <c r="H273" i="4"/>
  <c r="G259" i="4"/>
  <c r="G273" i="4"/>
  <c r="C273" i="4"/>
  <c r="BD258" i="4"/>
  <c r="BD272" i="4"/>
  <c r="BC258" i="4"/>
  <c r="BC272" i="4"/>
  <c r="BB258" i="4"/>
  <c r="BB272" i="4"/>
  <c r="BA258" i="4"/>
  <c r="BA272" i="4"/>
  <c r="AZ258" i="4"/>
  <c r="AZ272" i="4"/>
  <c r="AY258" i="4"/>
  <c r="AY272" i="4"/>
  <c r="AX258" i="4"/>
  <c r="AX272" i="4"/>
  <c r="AW258" i="4"/>
  <c r="AW272" i="4"/>
  <c r="AV258" i="4"/>
  <c r="AV272" i="4"/>
  <c r="AU258" i="4"/>
  <c r="AU272" i="4"/>
  <c r="AT258" i="4"/>
  <c r="AT272" i="4"/>
  <c r="AS258" i="4"/>
  <c r="AS272" i="4"/>
  <c r="AR258" i="4"/>
  <c r="AR272" i="4"/>
  <c r="AQ258" i="4"/>
  <c r="AQ272" i="4"/>
  <c r="AP258" i="4"/>
  <c r="AP272" i="4"/>
  <c r="AO258" i="4"/>
  <c r="AO272" i="4"/>
  <c r="AN258" i="4"/>
  <c r="AN272" i="4"/>
  <c r="AM258" i="4"/>
  <c r="AM272" i="4"/>
  <c r="AL258" i="4"/>
  <c r="AL272" i="4"/>
  <c r="AK258" i="4"/>
  <c r="AK272" i="4"/>
  <c r="AJ258" i="4"/>
  <c r="AJ272" i="4"/>
  <c r="AI258" i="4"/>
  <c r="AI272" i="4"/>
  <c r="AH258" i="4"/>
  <c r="AH272" i="4"/>
  <c r="AG258" i="4"/>
  <c r="AG272" i="4"/>
  <c r="AF258" i="4"/>
  <c r="AF272" i="4"/>
  <c r="AE258" i="4"/>
  <c r="AE272" i="4"/>
  <c r="AD258" i="4"/>
  <c r="AD272" i="4"/>
  <c r="AC258" i="4"/>
  <c r="AC272" i="4"/>
  <c r="AB258" i="4"/>
  <c r="AB272" i="4"/>
  <c r="AA258" i="4"/>
  <c r="AA272" i="4"/>
  <c r="Z258" i="4"/>
  <c r="Z272" i="4"/>
  <c r="Y258" i="4"/>
  <c r="Y272" i="4"/>
  <c r="X258" i="4"/>
  <c r="X272" i="4"/>
  <c r="W258" i="4"/>
  <c r="W272" i="4"/>
  <c r="V258" i="4"/>
  <c r="V272" i="4"/>
  <c r="U258" i="4"/>
  <c r="U272" i="4"/>
  <c r="T258" i="4"/>
  <c r="T272" i="4"/>
  <c r="S258" i="4"/>
  <c r="S272" i="4"/>
  <c r="R258" i="4"/>
  <c r="R272" i="4"/>
  <c r="Q258" i="4"/>
  <c r="Q272" i="4"/>
  <c r="P258" i="4"/>
  <c r="P272" i="4"/>
  <c r="O258" i="4"/>
  <c r="O272" i="4"/>
  <c r="N258" i="4"/>
  <c r="N272" i="4"/>
  <c r="M258" i="4"/>
  <c r="M272" i="4"/>
  <c r="L258" i="4"/>
  <c r="L272" i="4"/>
  <c r="K258" i="4"/>
  <c r="K272" i="4"/>
  <c r="J258" i="4"/>
  <c r="J272" i="4"/>
  <c r="I258" i="4"/>
  <c r="I272" i="4"/>
  <c r="H258" i="4"/>
  <c r="H272" i="4"/>
  <c r="G258" i="4"/>
  <c r="G272" i="4"/>
  <c r="BD255" i="4"/>
  <c r="BD269" i="4"/>
  <c r="BC255" i="4"/>
  <c r="BC269" i="4"/>
  <c r="BB255" i="4"/>
  <c r="BB269" i="4"/>
  <c r="BA255" i="4"/>
  <c r="BA269" i="4"/>
  <c r="AZ255" i="4"/>
  <c r="AZ269" i="4"/>
  <c r="AY255" i="4"/>
  <c r="AY269" i="4"/>
  <c r="AX255" i="4"/>
  <c r="AX269" i="4"/>
  <c r="AW255" i="4"/>
  <c r="AW269" i="4"/>
  <c r="AV255" i="4"/>
  <c r="AV269" i="4"/>
  <c r="AU255" i="4"/>
  <c r="AU269" i="4"/>
  <c r="AT255" i="4"/>
  <c r="AT269" i="4"/>
  <c r="AS255" i="4"/>
  <c r="AS269" i="4"/>
  <c r="AR255" i="4"/>
  <c r="AR269" i="4"/>
  <c r="AQ255" i="4"/>
  <c r="AQ269" i="4"/>
  <c r="AP255" i="4"/>
  <c r="AP269" i="4"/>
  <c r="AO255" i="4"/>
  <c r="AO269" i="4"/>
  <c r="AN255" i="4"/>
  <c r="AN269" i="4"/>
  <c r="AM255" i="4"/>
  <c r="AM269" i="4"/>
  <c r="AL255" i="4"/>
  <c r="AL269" i="4"/>
  <c r="AK255" i="4"/>
  <c r="AK269" i="4"/>
  <c r="AJ255" i="4"/>
  <c r="AJ269" i="4"/>
  <c r="AI255" i="4"/>
  <c r="AI269" i="4"/>
  <c r="AH255" i="4"/>
  <c r="AH269" i="4"/>
  <c r="AG255" i="4"/>
  <c r="AG269" i="4"/>
  <c r="AF255" i="4"/>
  <c r="AF269" i="4"/>
  <c r="AE255" i="4"/>
  <c r="AE269" i="4"/>
  <c r="AD255" i="4"/>
  <c r="AD269" i="4"/>
  <c r="AC255" i="4"/>
  <c r="AC269" i="4"/>
  <c r="AB255" i="4"/>
  <c r="AB269" i="4"/>
  <c r="AA255" i="4"/>
  <c r="AA269" i="4"/>
  <c r="Z255" i="4"/>
  <c r="Z269" i="4"/>
  <c r="Y255" i="4"/>
  <c r="Y269" i="4"/>
  <c r="X255" i="4"/>
  <c r="X269" i="4"/>
  <c r="W255" i="4"/>
  <c r="W269" i="4"/>
  <c r="V255" i="4"/>
  <c r="V269" i="4"/>
  <c r="U255" i="4"/>
  <c r="U269" i="4"/>
  <c r="T255" i="4"/>
  <c r="T269" i="4"/>
  <c r="S255" i="4"/>
  <c r="S269" i="4"/>
  <c r="R255" i="4"/>
  <c r="R269" i="4"/>
  <c r="Q255" i="4"/>
  <c r="Q269" i="4"/>
  <c r="P255" i="4"/>
  <c r="P269" i="4"/>
  <c r="O255" i="4"/>
  <c r="O269" i="4"/>
  <c r="N255" i="4"/>
  <c r="N269" i="4"/>
  <c r="M255" i="4"/>
  <c r="M269" i="4"/>
  <c r="L255" i="4"/>
  <c r="L269" i="4"/>
  <c r="K255" i="4"/>
  <c r="K269" i="4"/>
  <c r="J255" i="4"/>
  <c r="J269" i="4"/>
  <c r="I255" i="4"/>
  <c r="I269" i="4"/>
  <c r="H255" i="4"/>
  <c r="H269" i="4"/>
  <c r="G255" i="4"/>
  <c r="G269" i="4"/>
  <c r="C269" i="4"/>
  <c r="C264" i="4"/>
  <c r="C259" i="4"/>
  <c r="C258" i="4"/>
  <c r="C255" i="4"/>
  <c r="BD172" i="4"/>
  <c r="BD251" i="4"/>
  <c r="BC172" i="4"/>
  <c r="BC251" i="4"/>
  <c r="BB172" i="4"/>
  <c r="BB251" i="4"/>
  <c r="BA172" i="4"/>
  <c r="BA251" i="4"/>
  <c r="AZ172" i="4"/>
  <c r="AZ251" i="4"/>
  <c r="AY172" i="4"/>
  <c r="AY251" i="4"/>
  <c r="AX172" i="4"/>
  <c r="AX251" i="4"/>
  <c r="AW172" i="4"/>
  <c r="AW251" i="4"/>
  <c r="AV172" i="4"/>
  <c r="AV251" i="4"/>
  <c r="AU172" i="4"/>
  <c r="AU251" i="4"/>
  <c r="AT172" i="4"/>
  <c r="AT251" i="4"/>
  <c r="AS172" i="4"/>
  <c r="AS251" i="4"/>
  <c r="AR172" i="4"/>
  <c r="AR251" i="4"/>
  <c r="AQ172" i="4"/>
  <c r="AQ251" i="4"/>
  <c r="AP172" i="4"/>
  <c r="AP251" i="4"/>
  <c r="AO172" i="4"/>
  <c r="AO251" i="4"/>
  <c r="AN172" i="4"/>
  <c r="AN251" i="4"/>
  <c r="AM172" i="4"/>
  <c r="AM251" i="4"/>
  <c r="AL172" i="4"/>
  <c r="AL251" i="4"/>
  <c r="AK172" i="4"/>
  <c r="AK251" i="4"/>
  <c r="AJ172" i="4"/>
  <c r="AJ251" i="4"/>
  <c r="AI172" i="4"/>
  <c r="AI251" i="4"/>
  <c r="AH172" i="4"/>
  <c r="AH251" i="4"/>
  <c r="AG172" i="4"/>
  <c r="AG251" i="4"/>
  <c r="AF172" i="4"/>
  <c r="AF251" i="4"/>
  <c r="AE172" i="4"/>
  <c r="AE251" i="4"/>
  <c r="AD172" i="4"/>
  <c r="AD251" i="4"/>
  <c r="AC172" i="4"/>
  <c r="AC251" i="4"/>
  <c r="AB172" i="4"/>
  <c r="AB251" i="4"/>
  <c r="AA172" i="4"/>
  <c r="AA251" i="4"/>
  <c r="Z172" i="4"/>
  <c r="Z251" i="4"/>
  <c r="Y172" i="4"/>
  <c r="Y251" i="4"/>
  <c r="X172" i="4"/>
  <c r="X251" i="4"/>
  <c r="W172" i="4"/>
  <c r="W251" i="4"/>
  <c r="V172" i="4"/>
  <c r="V251" i="4"/>
  <c r="U172" i="4"/>
  <c r="U251" i="4"/>
  <c r="T172" i="4"/>
  <c r="T251" i="4"/>
  <c r="S172" i="4"/>
  <c r="S251" i="4"/>
  <c r="R172" i="4"/>
  <c r="R251" i="4"/>
  <c r="Q172" i="4"/>
  <c r="Q251" i="4"/>
  <c r="P172" i="4"/>
  <c r="P251" i="4"/>
  <c r="O172" i="4"/>
  <c r="O251" i="4"/>
  <c r="N172" i="4"/>
  <c r="N251" i="4"/>
  <c r="M172" i="4"/>
  <c r="M251" i="4"/>
  <c r="L172" i="4"/>
  <c r="L251" i="4"/>
  <c r="K172" i="4"/>
  <c r="K251" i="4"/>
  <c r="J172" i="4"/>
  <c r="J251" i="4"/>
  <c r="I172" i="4"/>
  <c r="I251" i="4"/>
  <c r="H172" i="4"/>
  <c r="H251" i="4"/>
  <c r="G172" i="4"/>
  <c r="G251" i="4"/>
  <c r="C251" i="4"/>
  <c r="BD250" i="4"/>
  <c r="BC250" i="4"/>
  <c r="BB250" i="4"/>
  <c r="BA250" i="4"/>
  <c r="AZ250" i="4"/>
  <c r="AY250" i="4"/>
  <c r="AX250" i="4"/>
  <c r="AW250" i="4"/>
  <c r="AV250" i="4"/>
  <c r="AU250" i="4"/>
  <c r="AT250" i="4"/>
  <c r="AS250" i="4"/>
  <c r="AR250" i="4"/>
  <c r="AQ250" i="4"/>
  <c r="AP250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C250" i="4"/>
  <c r="BD249" i="4"/>
  <c r="BC249" i="4"/>
  <c r="BB249" i="4"/>
  <c r="BA249" i="4"/>
  <c r="AZ249" i="4"/>
  <c r="AY249" i="4"/>
  <c r="AX249" i="4"/>
  <c r="AW249" i="4"/>
  <c r="AV249" i="4"/>
  <c r="AU249" i="4"/>
  <c r="AT249" i="4"/>
  <c r="AS249" i="4"/>
  <c r="AR249" i="4"/>
  <c r="AQ249" i="4"/>
  <c r="AP249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C249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C235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C234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C231" i="4"/>
  <c r="C210" i="4"/>
  <c r="C209" i="4"/>
  <c r="C208" i="4"/>
  <c r="F18" i="3"/>
  <c r="BD198" i="4"/>
  <c r="BC198" i="4"/>
  <c r="BB198" i="4"/>
  <c r="BA198" i="4"/>
  <c r="AZ198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K199" i="4"/>
  <c r="J198" i="4"/>
  <c r="J199" i="4"/>
  <c r="I198" i="4"/>
  <c r="I199" i="4"/>
  <c r="H198" i="4"/>
  <c r="H199" i="4"/>
  <c r="G198" i="4"/>
  <c r="G199" i="4"/>
  <c r="C195" i="4"/>
  <c r="C185" i="4"/>
  <c r="C184" i="4"/>
  <c r="C183" i="4"/>
  <c r="C182" i="4"/>
  <c r="C181" i="4"/>
  <c r="C180" i="4"/>
  <c r="C179" i="4"/>
  <c r="C178" i="4"/>
  <c r="C177" i="4"/>
  <c r="C176" i="4"/>
  <c r="C175" i="4"/>
  <c r="C172" i="4"/>
  <c r="C170" i="4"/>
  <c r="C159" i="4"/>
  <c r="A170" i="4"/>
  <c r="C169" i="4"/>
  <c r="C168" i="4"/>
  <c r="C167" i="4"/>
  <c r="C166" i="4"/>
  <c r="C165" i="4"/>
  <c r="C164" i="4"/>
  <c r="C163" i="4"/>
  <c r="C162" i="4"/>
  <c r="C161" i="4"/>
  <c r="C160" i="4"/>
  <c r="BD146" i="4"/>
  <c r="BD158" i="4"/>
  <c r="BC146" i="4"/>
  <c r="BC158" i="4"/>
  <c r="BB146" i="4"/>
  <c r="BB158" i="4"/>
  <c r="BA146" i="4"/>
  <c r="BA158" i="4"/>
  <c r="AZ146" i="4"/>
  <c r="AZ158" i="4"/>
  <c r="AY146" i="4"/>
  <c r="AY158" i="4"/>
  <c r="AX146" i="4"/>
  <c r="AX158" i="4"/>
  <c r="AW146" i="4"/>
  <c r="AW158" i="4"/>
  <c r="AV146" i="4"/>
  <c r="AV158" i="4"/>
  <c r="AU146" i="4"/>
  <c r="AU158" i="4"/>
  <c r="AT146" i="4"/>
  <c r="AT158" i="4"/>
  <c r="AS146" i="4"/>
  <c r="AS158" i="4"/>
  <c r="AR146" i="4"/>
  <c r="AR158" i="4"/>
  <c r="AQ146" i="4"/>
  <c r="AQ158" i="4"/>
  <c r="AP146" i="4"/>
  <c r="AP158" i="4"/>
  <c r="AO146" i="4"/>
  <c r="AO158" i="4"/>
  <c r="AN146" i="4"/>
  <c r="AN158" i="4"/>
  <c r="AM146" i="4"/>
  <c r="AM158" i="4"/>
  <c r="AL146" i="4"/>
  <c r="AL158" i="4"/>
  <c r="AK146" i="4"/>
  <c r="AK158" i="4"/>
  <c r="AJ146" i="4"/>
  <c r="AJ158" i="4"/>
  <c r="AI146" i="4"/>
  <c r="AI158" i="4"/>
  <c r="AH146" i="4"/>
  <c r="AH158" i="4"/>
  <c r="AG146" i="4"/>
  <c r="AG158" i="4"/>
  <c r="AF146" i="4"/>
  <c r="AF158" i="4"/>
  <c r="AE146" i="4"/>
  <c r="AE158" i="4"/>
  <c r="AD146" i="4"/>
  <c r="AD158" i="4"/>
  <c r="AC146" i="4"/>
  <c r="AC158" i="4"/>
  <c r="AB146" i="4"/>
  <c r="AB158" i="4"/>
  <c r="AA146" i="4"/>
  <c r="AA158" i="4"/>
  <c r="Z146" i="4"/>
  <c r="Z158" i="4"/>
  <c r="Y146" i="4"/>
  <c r="Y158" i="4"/>
  <c r="X146" i="4"/>
  <c r="X158" i="4"/>
  <c r="C158" i="4"/>
  <c r="C156" i="4"/>
  <c r="BD155" i="4"/>
  <c r="BC155" i="4"/>
  <c r="BB155" i="4"/>
  <c r="BA155" i="4"/>
  <c r="AZ155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C155" i="4"/>
  <c r="C153" i="4"/>
  <c r="BD143" i="4"/>
  <c r="BD152" i="4"/>
  <c r="BC143" i="4"/>
  <c r="BC152" i="4"/>
  <c r="BB143" i="4"/>
  <c r="BB152" i="4"/>
  <c r="BA143" i="4"/>
  <c r="BA152" i="4"/>
  <c r="AZ143" i="4"/>
  <c r="AZ152" i="4"/>
  <c r="AY143" i="4"/>
  <c r="AY152" i="4"/>
  <c r="AX143" i="4"/>
  <c r="AX152" i="4"/>
  <c r="AW143" i="4"/>
  <c r="AW152" i="4"/>
  <c r="AV143" i="4"/>
  <c r="AV152" i="4"/>
  <c r="AU143" i="4"/>
  <c r="AU152" i="4"/>
  <c r="AT143" i="4"/>
  <c r="AT152" i="4"/>
  <c r="AS143" i="4"/>
  <c r="AS152" i="4"/>
  <c r="AR143" i="4"/>
  <c r="AR152" i="4"/>
  <c r="AQ143" i="4"/>
  <c r="AQ152" i="4"/>
  <c r="AP143" i="4"/>
  <c r="AP152" i="4"/>
  <c r="AO143" i="4"/>
  <c r="AO152" i="4"/>
  <c r="AN143" i="4"/>
  <c r="AN152" i="4"/>
  <c r="AM143" i="4"/>
  <c r="AM152" i="4"/>
  <c r="AL143" i="4"/>
  <c r="AL152" i="4"/>
  <c r="AK143" i="4"/>
  <c r="AK152" i="4"/>
  <c r="AJ143" i="4"/>
  <c r="AJ152" i="4"/>
  <c r="AI143" i="4"/>
  <c r="AI152" i="4"/>
  <c r="AH143" i="4"/>
  <c r="AH152" i="4"/>
  <c r="AG143" i="4"/>
  <c r="AG152" i="4"/>
  <c r="AF143" i="4"/>
  <c r="AF152" i="4"/>
  <c r="AE143" i="4"/>
  <c r="AE152" i="4"/>
  <c r="AD143" i="4"/>
  <c r="AD152" i="4"/>
  <c r="AC143" i="4"/>
  <c r="AC152" i="4"/>
  <c r="AB143" i="4"/>
  <c r="AB152" i="4"/>
  <c r="AA143" i="4"/>
  <c r="AA152" i="4"/>
  <c r="Z143" i="4"/>
  <c r="Z152" i="4"/>
  <c r="Y143" i="4"/>
  <c r="Y152" i="4"/>
  <c r="X143" i="4"/>
  <c r="X152" i="4"/>
  <c r="C152" i="4"/>
  <c r="C148" i="4"/>
  <c r="C147" i="4"/>
  <c r="C146" i="4"/>
  <c r="C145" i="4"/>
  <c r="C144" i="4"/>
  <c r="C143" i="4"/>
  <c r="BD118" i="4"/>
  <c r="F28" i="3"/>
  <c r="E83" i="3"/>
  <c r="BD136" i="4"/>
  <c r="BC118" i="4"/>
  <c r="BC136" i="4"/>
  <c r="BB118" i="4"/>
  <c r="BB136" i="4"/>
  <c r="BA118" i="4"/>
  <c r="BA136" i="4"/>
  <c r="AZ118" i="4"/>
  <c r="AZ136" i="4"/>
  <c r="AY118" i="4"/>
  <c r="AY136" i="4"/>
  <c r="AX118" i="4"/>
  <c r="AX136" i="4"/>
  <c r="AW118" i="4"/>
  <c r="AW136" i="4"/>
  <c r="AV118" i="4"/>
  <c r="AV136" i="4"/>
  <c r="AU118" i="4"/>
  <c r="AU136" i="4"/>
  <c r="AT118" i="4"/>
  <c r="AT136" i="4"/>
  <c r="AS118" i="4"/>
  <c r="AS136" i="4"/>
  <c r="AR118" i="4"/>
  <c r="AR136" i="4"/>
  <c r="AQ118" i="4"/>
  <c r="AQ136" i="4"/>
  <c r="AP118" i="4"/>
  <c r="AP136" i="4"/>
  <c r="AO118" i="4"/>
  <c r="AO136" i="4"/>
  <c r="AN118" i="4"/>
  <c r="AN136" i="4"/>
  <c r="AM118" i="4"/>
  <c r="AM136" i="4"/>
  <c r="AL118" i="4"/>
  <c r="AL136" i="4"/>
  <c r="AK118" i="4"/>
  <c r="AK136" i="4"/>
  <c r="AJ118" i="4"/>
  <c r="AJ136" i="4"/>
  <c r="AI118" i="4"/>
  <c r="AI136" i="4"/>
  <c r="AH118" i="4"/>
  <c r="AH136" i="4"/>
  <c r="AG118" i="4"/>
  <c r="AG136" i="4"/>
  <c r="AF118" i="4"/>
  <c r="AF136" i="4"/>
  <c r="AE118" i="4"/>
  <c r="AE136" i="4"/>
  <c r="AD118" i="4"/>
  <c r="AD136" i="4"/>
  <c r="AC118" i="4"/>
  <c r="AC136" i="4"/>
  <c r="AB118" i="4"/>
  <c r="AB136" i="4"/>
  <c r="AA118" i="4"/>
  <c r="AA136" i="4"/>
  <c r="Z118" i="4"/>
  <c r="Z136" i="4"/>
  <c r="Y118" i="4"/>
  <c r="Y136" i="4"/>
  <c r="X118" i="4"/>
  <c r="X136" i="4"/>
  <c r="W118" i="4"/>
  <c r="W136" i="4"/>
  <c r="V118" i="4"/>
  <c r="V136" i="4"/>
  <c r="U118" i="4"/>
  <c r="U136" i="4"/>
  <c r="T118" i="4"/>
  <c r="T136" i="4"/>
  <c r="S118" i="4"/>
  <c r="S136" i="4"/>
  <c r="R118" i="4"/>
  <c r="R136" i="4"/>
  <c r="Q118" i="4"/>
  <c r="Q136" i="4"/>
  <c r="P118" i="4"/>
  <c r="P136" i="4"/>
  <c r="O118" i="4"/>
  <c r="O136" i="4"/>
  <c r="N118" i="4"/>
  <c r="N136" i="4"/>
  <c r="M118" i="4"/>
  <c r="M136" i="4"/>
  <c r="L118" i="4"/>
  <c r="L136" i="4"/>
  <c r="K118" i="4"/>
  <c r="K136" i="4"/>
  <c r="J118" i="4"/>
  <c r="J136" i="4"/>
  <c r="I118" i="4"/>
  <c r="I136" i="4"/>
  <c r="H118" i="4"/>
  <c r="H136" i="4"/>
  <c r="G118" i="4"/>
  <c r="G136" i="4"/>
  <c r="E82" i="3"/>
  <c r="BD135" i="4"/>
  <c r="BC135" i="4"/>
  <c r="BB135" i="4"/>
  <c r="BA135" i="4"/>
  <c r="AZ135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E81" i="3"/>
  <c r="BD134" i="4"/>
  <c r="BC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E80" i="3"/>
  <c r="BD133" i="4"/>
  <c r="BC133" i="4"/>
  <c r="BB133" i="4"/>
  <c r="BA133" i="4"/>
  <c r="AZ133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E79" i="3"/>
  <c r="BD132" i="4"/>
  <c r="BC132" i="4"/>
  <c r="BB132" i="4"/>
  <c r="BA132" i="4"/>
  <c r="AZ132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E78" i="3"/>
  <c r="BD131" i="4"/>
  <c r="BC131" i="4"/>
  <c r="BB131" i="4"/>
  <c r="BA131" i="4"/>
  <c r="AZ131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E77" i="3"/>
  <c r="BD130" i="4"/>
  <c r="BC130" i="4"/>
  <c r="BB130" i="4"/>
  <c r="BA130" i="4"/>
  <c r="AZ130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E76" i="3"/>
  <c r="BD129" i="4"/>
  <c r="BC129" i="4"/>
  <c r="BB129" i="4"/>
  <c r="BA129" i="4"/>
  <c r="AZ129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E75" i="3"/>
  <c r="BD128" i="4"/>
  <c r="BC128" i="4"/>
  <c r="BB128" i="4"/>
  <c r="BA128" i="4"/>
  <c r="AZ128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E74" i="3"/>
  <c r="BD127" i="4"/>
  <c r="BC127" i="4"/>
  <c r="BB127" i="4"/>
  <c r="BA127" i="4"/>
  <c r="AZ127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E73" i="3"/>
  <c r="BD126" i="4"/>
  <c r="BC126" i="4"/>
  <c r="BB126" i="4"/>
  <c r="BA126" i="4"/>
  <c r="AZ126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E72" i="3"/>
  <c r="BD125" i="4"/>
  <c r="BC125" i="4"/>
  <c r="BB125" i="4"/>
  <c r="BA125" i="4"/>
  <c r="AZ125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E71" i="3"/>
  <c r="BD124" i="4"/>
  <c r="BC124" i="4"/>
  <c r="BB124" i="4"/>
  <c r="BA124" i="4"/>
  <c r="AZ124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E70" i="3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E69" i="3"/>
  <c r="BD122" i="4"/>
  <c r="BC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E68" i="3"/>
  <c r="BD121" i="4"/>
  <c r="BC121" i="4"/>
  <c r="BB121" i="4"/>
  <c r="BA121" i="4"/>
  <c r="AZ121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BD120" i="4"/>
  <c r="BC120" i="4"/>
  <c r="BB120" i="4"/>
  <c r="BA120" i="4"/>
  <c r="AZ120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C111" i="4"/>
  <c r="C108" i="4"/>
  <c r="C105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C86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C83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C82" i="4"/>
  <c r="BD43" i="4"/>
  <c r="BD81" i="4"/>
  <c r="BC43" i="4"/>
  <c r="BC81" i="4"/>
  <c r="BB43" i="4"/>
  <c r="BB81" i="4"/>
  <c r="BA43" i="4"/>
  <c r="BA81" i="4"/>
  <c r="AZ43" i="4"/>
  <c r="AZ81" i="4"/>
  <c r="AY43" i="4"/>
  <c r="AY81" i="4"/>
  <c r="AX43" i="4"/>
  <c r="AX81" i="4"/>
  <c r="AW43" i="4"/>
  <c r="AW81" i="4"/>
  <c r="AV43" i="4"/>
  <c r="AV81" i="4"/>
  <c r="AU43" i="4"/>
  <c r="AU81" i="4"/>
  <c r="AT43" i="4"/>
  <c r="AT81" i="4"/>
  <c r="AS43" i="4"/>
  <c r="AS81" i="4"/>
  <c r="AR43" i="4"/>
  <c r="AR81" i="4"/>
  <c r="AQ43" i="4"/>
  <c r="AQ81" i="4"/>
  <c r="AP43" i="4"/>
  <c r="AP81" i="4"/>
  <c r="AO43" i="4"/>
  <c r="AO81" i="4"/>
  <c r="AN43" i="4"/>
  <c r="AN81" i="4"/>
  <c r="AM43" i="4"/>
  <c r="AM81" i="4"/>
  <c r="AL43" i="4"/>
  <c r="AL81" i="4"/>
  <c r="AK43" i="4"/>
  <c r="AK81" i="4"/>
  <c r="AJ43" i="4"/>
  <c r="AJ81" i="4"/>
  <c r="AI43" i="4"/>
  <c r="AI81" i="4"/>
  <c r="AH43" i="4"/>
  <c r="AH81" i="4"/>
  <c r="AG43" i="4"/>
  <c r="AG81" i="4"/>
  <c r="AF43" i="4"/>
  <c r="AF81" i="4"/>
  <c r="AE43" i="4"/>
  <c r="AE81" i="4"/>
  <c r="AD43" i="4"/>
  <c r="AD81" i="4"/>
  <c r="AC43" i="4"/>
  <c r="AC81" i="4"/>
  <c r="AB43" i="4"/>
  <c r="AB81" i="4"/>
  <c r="AA43" i="4"/>
  <c r="AA81" i="4"/>
  <c r="Z43" i="4"/>
  <c r="Z81" i="4"/>
  <c r="Y43" i="4"/>
  <c r="Y81" i="4"/>
  <c r="X43" i="4"/>
  <c r="X81" i="4"/>
  <c r="C81" i="4"/>
  <c r="BD78" i="4"/>
  <c r="C77" i="4"/>
  <c r="C76" i="4"/>
  <c r="C75" i="4"/>
  <c r="C74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Z73" i="4"/>
  <c r="BA73" i="4"/>
  <c r="BB73" i="4"/>
  <c r="BC73" i="4"/>
  <c r="BD73" i="4"/>
  <c r="C73" i="4"/>
  <c r="C72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C65" i="4"/>
  <c r="C58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C57" i="4"/>
  <c r="C54" i="4"/>
  <c r="C45" i="4"/>
  <c r="C46" i="4"/>
  <c r="C47" i="4"/>
  <c r="C48" i="4"/>
  <c r="C49" i="4"/>
  <c r="C50" i="4"/>
  <c r="C51" i="4"/>
  <c r="C52" i="4"/>
  <c r="A54" i="4"/>
  <c r="C53" i="4"/>
  <c r="C43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Z44" i="4"/>
  <c r="BA44" i="4"/>
  <c r="BB44" i="4"/>
  <c r="BC44" i="4"/>
  <c r="BD44" i="4"/>
  <c r="C44" i="4"/>
  <c r="A45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C37" i="4"/>
  <c r="C36" i="4"/>
  <c r="C35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C31" i="4"/>
  <c r="C29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C30" i="4"/>
  <c r="C28" i="4"/>
  <c r="C25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C24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C23" i="4"/>
  <c r="C21" i="4"/>
  <c r="C11" i="4"/>
  <c r="C12" i="4"/>
  <c r="C13" i="4"/>
  <c r="C14" i="4"/>
  <c r="C15" i="4"/>
  <c r="C17" i="4"/>
  <c r="C18" i="4"/>
  <c r="C19" i="4"/>
  <c r="A21" i="4"/>
  <c r="C20" i="4"/>
  <c r="C9" i="4"/>
  <c r="C10" i="4"/>
  <c r="A11" i="4"/>
  <c r="C8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D411" i="3"/>
  <c r="C128" i="3"/>
  <c r="C127" i="3"/>
  <c r="C122" i="3"/>
  <c r="C121" i="3"/>
  <c r="C120" i="3"/>
  <c r="C119" i="3"/>
  <c r="C118" i="3"/>
  <c r="C117" i="3"/>
  <c r="C116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E67" i="3"/>
  <c r="F36" i="3"/>
  <c r="F35" i="3"/>
  <c r="F33" i="3"/>
  <c r="F32" i="3"/>
  <c r="F27" i="3"/>
  <c r="F25" i="3"/>
  <c r="F19" i="3"/>
  <c r="B213" i="2"/>
  <c r="B212" i="2"/>
  <c r="B211" i="2"/>
  <c r="C210" i="2"/>
  <c r="B210" i="2"/>
  <c r="C209" i="2"/>
  <c r="B209" i="2"/>
  <c r="B208" i="2"/>
  <c r="B207" i="2"/>
  <c r="B206" i="2"/>
  <c r="C205" i="2"/>
  <c r="B205" i="2"/>
  <c r="C204" i="2"/>
  <c r="B204" i="2"/>
  <c r="C203" i="2"/>
  <c r="B203" i="2"/>
  <c r="C202" i="2"/>
  <c r="B202" i="2"/>
  <c r="C201" i="2"/>
  <c r="B201" i="2"/>
  <c r="C184" i="2" a="1"/>
  <c r="C185" i="2"/>
  <c r="C186" i="2"/>
  <c r="C187" i="2"/>
  <c r="C188" i="2"/>
  <c r="C189" i="2"/>
  <c r="C190" i="2"/>
  <c r="C191" i="2"/>
  <c r="C192" i="2"/>
  <c r="C193" i="2"/>
  <c r="C194" i="2"/>
  <c r="C184" i="2"/>
  <c r="B184" i="2" a="1"/>
  <c r="B185" i="2"/>
  <c r="B186" i="2"/>
  <c r="B187" i="2"/>
  <c r="B188" i="2"/>
  <c r="B189" i="2"/>
  <c r="B190" i="2"/>
  <c r="B191" i="2"/>
  <c r="B192" i="2"/>
  <c r="B193" i="2"/>
  <c r="B194" i="2"/>
  <c r="B184" i="2"/>
  <c r="J146" i="2"/>
  <c r="D17" i="2"/>
  <c r="D26" i="2"/>
  <c r="D24" i="2"/>
  <c r="D23" i="2"/>
  <c r="D20" i="2"/>
  <c r="D19" i="2"/>
  <c r="D18" i="2"/>
  <c r="D16" i="2"/>
  <c r="D12" i="2"/>
  <c r="D15" i="2"/>
  <c r="D14" i="2"/>
  <c r="D10" i="2"/>
  <c r="D5" i="2"/>
  <c r="D8" i="2"/>
  <c r="D9" i="2"/>
  <c r="D7" i="2"/>
  <c r="D6" i="2"/>
  <c r="G138" i="4"/>
  <c r="G139" i="4"/>
  <c r="G142" i="4"/>
  <c r="G149" i="4"/>
  <c r="G254" i="4"/>
  <c r="G186" i="4"/>
  <c r="G187" i="4"/>
  <c r="G202" i="4"/>
  <c r="G203" i="4"/>
  <c r="G188" i="4"/>
  <c r="G189" i="4"/>
  <c r="G190" i="4"/>
  <c r="G256" i="4"/>
  <c r="G215" i="4"/>
  <c r="G216" i="4"/>
  <c r="G217" i="4"/>
  <c r="G218" i="4"/>
  <c r="G257" i="4"/>
  <c r="G230" i="4"/>
  <c r="G232" i="4"/>
  <c r="G233" i="4"/>
  <c r="G236" i="4"/>
  <c r="G237" i="4"/>
  <c r="G239" i="4"/>
  <c r="G240" i="4"/>
  <c r="G260" i="4"/>
  <c r="G241" i="4"/>
  <c r="G242" i="4"/>
  <c r="G261" i="4"/>
  <c r="G262" i="4"/>
  <c r="G339" i="4"/>
  <c r="G346" i="4"/>
  <c r="G350" i="4"/>
  <c r="H138" i="4"/>
  <c r="H139" i="4"/>
  <c r="H142" i="4"/>
  <c r="H149" i="4"/>
  <c r="H230" i="4"/>
  <c r="H186" i="4"/>
  <c r="H187" i="4"/>
  <c r="H202" i="4"/>
  <c r="G201" i="4"/>
  <c r="G204" i="4"/>
  <c r="H200" i="4"/>
  <c r="H203" i="4"/>
  <c r="H188" i="4"/>
  <c r="H189" i="4"/>
  <c r="H190" i="4"/>
  <c r="H232" i="4"/>
  <c r="H213" i="4"/>
  <c r="H214" i="4"/>
  <c r="H215" i="4"/>
  <c r="H216" i="4"/>
  <c r="H217" i="4"/>
  <c r="H218" i="4"/>
  <c r="H233" i="4"/>
  <c r="H236" i="4"/>
  <c r="H237" i="4"/>
  <c r="H239" i="4"/>
  <c r="H240" i="4"/>
  <c r="H241" i="4"/>
  <c r="H242" i="4"/>
  <c r="H244" i="4"/>
  <c r="H339" i="4"/>
  <c r="H346" i="4"/>
  <c r="H350" i="4"/>
  <c r="I138" i="4"/>
  <c r="I139" i="4"/>
  <c r="I142" i="4"/>
  <c r="I149" i="4"/>
  <c r="I230" i="4"/>
  <c r="I186" i="4"/>
  <c r="I187" i="4"/>
  <c r="I202" i="4"/>
  <c r="H201" i="4"/>
  <c r="H204" i="4"/>
  <c r="I200" i="4"/>
  <c r="I203" i="4"/>
  <c r="I188" i="4"/>
  <c r="I189" i="4"/>
  <c r="I190" i="4"/>
  <c r="I232" i="4"/>
  <c r="I213" i="4"/>
  <c r="I214" i="4"/>
  <c r="I215" i="4"/>
  <c r="I216" i="4"/>
  <c r="I217" i="4"/>
  <c r="I218" i="4"/>
  <c r="I233" i="4"/>
  <c r="I236" i="4"/>
  <c r="I237" i="4"/>
  <c r="I239" i="4"/>
  <c r="I240" i="4"/>
  <c r="I241" i="4"/>
  <c r="I242" i="4"/>
  <c r="I244" i="4"/>
  <c r="I339" i="4"/>
  <c r="I346" i="4"/>
  <c r="I350" i="4"/>
  <c r="J138" i="4"/>
  <c r="J139" i="4"/>
  <c r="J142" i="4"/>
  <c r="J149" i="4"/>
  <c r="J230" i="4"/>
  <c r="J186" i="4"/>
  <c r="J187" i="4"/>
  <c r="J202" i="4"/>
  <c r="I201" i="4"/>
  <c r="I204" i="4"/>
  <c r="J200" i="4"/>
  <c r="J203" i="4"/>
  <c r="J188" i="4"/>
  <c r="J189" i="4"/>
  <c r="J190" i="4"/>
  <c r="J232" i="4"/>
  <c r="J213" i="4"/>
  <c r="J214" i="4"/>
  <c r="J215" i="4"/>
  <c r="J216" i="4"/>
  <c r="J217" i="4"/>
  <c r="J218" i="4"/>
  <c r="J233" i="4"/>
  <c r="J236" i="4"/>
  <c r="J237" i="4"/>
  <c r="J239" i="4"/>
  <c r="J240" i="4"/>
  <c r="J241" i="4"/>
  <c r="J242" i="4"/>
  <c r="J244" i="4"/>
  <c r="J339" i="4"/>
  <c r="J346" i="4"/>
  <c r="J350" i="4"/>
  <c r="K138" i="4"/>
  <c r="K139" i="4"/>
  <c r="K142" i="4"/>
  <c r="K149" i="4"/>
  <c r="K230" i="4"/>
  <c r="K186" i="4"/>
  <c r="K187" i="4"/>
  <c r="K202" i="4"/>
  <c r="J201" i="4"/>
  <c r="J204" i="4"/>
  <c r="K200" i="4"/>
  <c r="K203" i="4"/>
  <c r="K188" i="4"/>
  <c r="K189" i="4"/>
  <c r="K190" i="4"/>
  <c r="K232" i="4"/>
  <c r="K213" i="4"/>
  <c r="K214" i="4"/>
  <c r="K215" i="4"/>
  <c r="K216" i="4"/>
  <c r="K217" i="4"/>
  <c r="K218" i="4"/>
  <c r="K233" i="4"/>
  <c r="K236" i="4"/>
  <c r="K237" i="4"/>
  <c r="K239" i="4"/>
  <c r="K240" i="4"/>
  <c r="K241" i="4"/>
  <c r="K242" i="4"/>
  <c r="K244" i="4"/>
  <c r="K339" i="4"/>
  <c r="K346" i="4"/>
  <c r="K350" i="4"/>
  <c r="L138" i="4"/>
  <c r="L139" i="4"/>
  <c r="L142" i="4"/>
  <c r="L149" i="4"/>
  <c r="L230" i="4"/>
  <c r="L186" i="4"/>
  <c r="L187" i="4"/>
  <c r="L202" i="4"/>
  <c r="K201" i="4"/>
  <c r="K204" i="4"/>
  <c r="L200" i="4"/>
  <c r="L203" i="4"/>
  <c r="L188" i="4"/>
  <c r="L189" i="4"/>
  <c r="L190" i="4"/>
  <c r="L232" i="4"/>
  <c r="L213" i="4"/>
  <c r="L214" i="4"/>
  <c r="L215" i="4"/>
  <c r="L216" i="4"/>
  <c r="L217" i="4"/>
  <c r="L218" i="4"/>
  <c r="L233" i="4"/>
  <c r="L236" i="4"/>
  <c r="L237" i="4"/>
  <c r="L239" i="4"/>
  <c r="L240" i="4"/>
  <c r="L241" i="4"/>
  <c r="L242" i="4"/>
  <c r="L244" i="4"/>
  <c r="L339" i="4"/>
  <c r="L346" i="4"/>
  <c r="L350" i="4"/>
  <c r="M138" i="4"/>
  <c r="M139" i="4"/>
  <c r="M142" i="4"/>
  <c r="M149" i="4"/>
  <c r="M230" i="4"/>
  <c r="M186" i="4"/>
  <c r="M187" i="4"/>
  <c r="M202" i="4"/>
  <c r="L201" i="4"/>
  <c r="L199" i="4"/>
  <c r="L204" i="4"/>
  <c r="M200" i="4"/>
  <c r="M203" i="4"/>
  <c r="M188" i="4"/>
  <c r="M189" i="4"/>
  <c r="M190" i="4"/>
  <c r="M232" i="4"/>
  <c r="M213" i="4"/>
  <c r="M214" i="4"/>
  <c r="M215" i="4"/>
  <c r="M216" i="4"/>
  <c r="M217" i="4"/>
  <c r="M218" i="4"/>
  <c r="M233" i="4"/>
  <c r="M236" i="4"/>
  <c r="M237" i="4"/>
  <c r="M239" i="4"/>
  <c r="M240" i="4"/>
  <c r="M241" i="4"/>
  <c r="M242" i="4"/>
  <c r="M244" i="4"/>
  <c r="M339" i="4"/>
  <c r="M346" i="4"/>
  <c r="M350" i="4"/>
  <c r="N138" i="4"/>
  <c r="N139" i="4"/>
  <c r="N142" i="4"/>
  <c r="N149" i="4"/>
  <c r="N230" i="4"/>
  <c r="N186" i="4"/>
  <c r="N187" i="4"/>
  <c r="N202" i="4"/>
  <c r="M201" i="4"/>
  <c r="M199" i="4"/>
  <c r="M204" i="4"/>
  <c r="N200" i="4"/>
  <c r="N203" i="4"/>
  <c r="N188" i="4"/>
  <c r="N189" i="4"/>
  <c r="N190" i="4"/>
  <c r="N232" i="4"/>
  <c r="N213" i="4"/>
  <c r="N214" i="4"/>
  <c r="N215" i="4"/>
  <c r="N216" i="4"/>
  <c r="N217" i="4"/>
  <c r="N218" i="4"/>
  <c r="N233" i="4"/>
  <c r="N236" i="4"/>
  <c r="N237" i="4"/>
  <c r="N239" i="4"/>
  <c r="N240" i="4"/>
  <c r="N241" i="4"/>
  <c r="N242" i="4"/>
  <c r="N244" i="4"/>
  <c r="N339" i="4"/>
  <c r="N346" i="4"/>
  <c r="N350" i="4"/>
  <c r="O138" i="4"/>
  <c r="O139" i="4"/>
  <c r="O142" i="4"/>
  <c r="O149" i="4"/>
  <c r="O230" i="4"/>
  <c r="O186" i="4"/>
  <c r="O187" i="4"/>
  <c r="O202" i="4"/>
  <c r="N201" i="4"/>
  <c r="N199" i="4"/>
  <c r="N204" i="4"/>
  <c r="O200" i="4"/>
  <c r="O203" i="4"/>
  <c r="O188" i="4"/>
  <c r="O189" i="4"/>
  <c r="O190" i="4"/>
  <c r="O232" i="4"/>
  <c r="O213" i="4"/>
  <c r="O214" i="4"/>
  <c r="O215" i="4"/>
  <c r="O216" i="4"/>
  <c r="O217" i="4"/>
  <c r="O218" i="4"/>
  <c r="O233" i="4"/>
  <c r="O236" i="4"/>
  <c r="O237" i="4"/>
  <c r="O239" i="4"/>
  <c r="O240" i="4"/>
  <c r="O241" i="4"/>
  <c r="O242" i="4"/>
  <c r="O244" i="4"/>
  <c r="O339" i="4"/>
  <c r="O346" i="4"/>
  <c r="O350" i="4"/>
  <c r="P138" i="4"/>
  <c r="P139" i="4"/>
  <c r="P142" i="4"/>
  <c r="P149" i="4"/>
  <c r="P230" i="4"/>
  <c r="P186" i="4"/>
  <c r="P187" i="4"/>
  <c r="P202" i="4"/>
  <c r="O201" i="4"/>
  <c r="O199" i="4"/>
  <c r="O204" i="4"/>
  <c r="P200" i="4"/>
  <c r="P203" i="4"/>
  <c r="P188" i="4"/>
  <c r="P189" i="4"/>
  <c r="P190" i="4"/>
  <c r="P232" i="4"/>
  <c r="P213" i="4"/>
  <c r="P214" i="4"/>
  <c r="P215" i="4"/>
  <c r="P216" i="4"/>
  <c r="P217" i="4"/>
  <c r="P218" i="4"/>
  <c r="P233" i="4"/>
  <c r="P236" i="4"/>
  <c r="P237" i="4"/>
  <c r="P239" i="4"/>
  <c r="P240" i="4"/>
  <c r="P241" i="4"/>
  <c r="P242" i="4"/>
  <c r="P244" i="4"/>
  <c r="P339" i="4"/>
  <c r="P346" i="4"/>
  <c r="P350" i="4"/>
  <c r="Q138" i="4"/>
  <c r="Q139" i="4"/>
  <c r="Q142" i="4"/>
  <c r="Q149" i="4"/>
  <c r="Q230" i="4"/>
  <c r="Q186" i="4"/>
  <c r="Q187" i="4"/>
  <c r="Q202" i="4"/>
  <c r="P201" i="4"/>
  <c r="P199" i="4"/>
  <c r="P204" i="4"/>
  <c r="Q200" i="4"/>
  <c r="Q203" i="4"/>
  <c r="Q188" i="4"/>
  <c r="Q189" i="4"/>
  <c r="Q190" i="4"/>
  <c r="Q232" i="4"/>
  <c r="Q213" i="4"/>
  <c r="Q214" i="4"/>
  <c r="Q215" i="4"/>
  <c r="Q216" i="4"/>
  <c r="Q217" i="4"/>
  <c r="Q218" i="4"/>
  <c r="Q233" i="4"/>
  <c r="Q236" i="4"/>
  <c r="Q237" i="4"/>
  <c r="Q239" i="4"/>
  <c r="Q240" i="4"/>
  <c r="Q241" i="4"/>
  <c r="Q242" i="4"/>
  <c r="Q244" i="4"/>
  <c r="Q339" i="4"/>
  <c r="Q346" i="4"/>
  <c r="Q350" i="4"/>
  <c r="R138" i="4"/>
  <c r="R139" i="4"/>
  <c r="R142" i="4"/>
  <c r="R149" i="4"/>
  <c r="R230" i="4"/>
  <c r="R186" i="4"/>
  <c r="R187" i="4"/>
  <c r="R202" i="4"/>
  <c r="Q201" i="4"/>
  <c r="Q199" i="4"/>
  <c r="Q204" i="4"/>
  <c r="R200" i="4"/>
  <c r="R203" i="4"/>
  <c r="R188" i="4"/>
  <c r="R189" i="4"/>
  <c r="R190" i="4"/>
  <c r="R232" i="4"/>
  <c r="R213" i="4"/>
  <c r="R214" i="4"/>
  <c r="R215" i="4"/>
  <c r="R216" i="4"/>
  <c r="R217" i="4"/>
  <c r="R218" i="4"/>
  <c r="R233" i="4"/>
  <c r="R236" i="4"/>
  <c r="R237" i="4"/>
  <c r="R239" i="4"/>
  <c r="R240" i="4"/>
  <c r="R241" i="4"/>
  <c r="R242" i="4"/>
  <c r="R244" i="4"/>
  <c r="R339" i="4"/>
  <c r="R346" i="4"/>
  <c r="R350" i="4"/>
  <c r="S138" i="4"/>
  <c r="S139" i="4"/>
  <c r="S142" i="4"/>
  <c r="S149" i="4"/>
  <c r="S230" i="4"/>
  <c r="S186" i="4"/>
  <c r="S187" i="4"/>
  <c r="S202" i="4"/>
  <c r="R201" i="4"/>
  <c r="R199" i="4"/>
  <c r="R204" i="4"/>
  <c r="S200" i="4"/>
  <c r="S203" i="4"/>
  <c r="S188" i="4"/>
  <c r="S189" i="4"/>
  <c r="S190" i="4"/>
  <c r="S232" i="4"/>
  <c r="S213" i="4"/>
  <c r="S214" i="4"/>
  <c r="S215" i="4"/>
  <c r="S216" i="4"/>
  <c r="S217" i="4"/>
  <c r="S218" i="4"/>
  <c r="S233" i="4"/>
  <c r="S236" i="4"/>
  <c r="S237" i="4"/>
  <c r="S239" i="4"/>
  <c r="S240" i="4"/>
  <c r="S241" i="4"/>
  <c r="S242" i="4"/>
  <c r="S244" i="4"/>
  <c r="S339" i="4"/>
  <c r="S346" i="4"/>
  <c r="S350" i="4"/>
  <c r="T138" i="4"/>
  <c r="T139" i="4"/>
  <c r="T142" i="4"/>
  <c r="T149" i="4"/>
  <c r="T230" i="4"/>
  <c r="T186" i="4"/>
  <c r="T187" i="4"/>
  <c r="T202" i="4"/>
  <c r="S201" i="4"/>
  <c r="S199" i="4"/>
  <c r="S204" i="4"/>
  <c r="T200" i="4"/>
  <c r="T203" i="4"/>
  <c r="T188" i="4"/>
  <c r="T189" i="4"/>
  <c r="T190" i="4"/>
  <c r="T232" i="4"/>
  <c r="T213" i="4"/>
  <c r="T214" i="4"/>
  <c r="T215" i="4"/>
  <c r="T216" i="4"/>
  <c r="T217" i="4"/>
  <c r="T218" i="4"/>
  <c r="T233" i="4"/>
  <c r="T236" i="4"/>
  <c r="T237" i="4"/>
  <c r="T239" i="4"/>
  <c r="T240" i="4"/>
  <c r="T241" i="4"/>
  <c r="T242" i="4"/>
  <c r="T244" i="4"/>
  <c r="T339" i="4"/>
  <c r="T346" i="4"/>
  <c r="T350" i="4"/>
  <c r="U138" i="4"/>
  <c r="U139" i="4"/>
  <c r="U142" i="4"/>
  <c r="U149" i="4"/>
  <c r="U230" i="4"/>
  <c r="U186" i="4"/>
  <c r="U187" i="4"/>
  <c r="U202" i="4"/>
  <c r="T201" i="4"/>
  <c r="T199" i="4"/>
  <c r="T204" i="4"/>
  <c r="U200" i="4"/>
  <c r="U203" i="4"/>
  <c r="U188" i="4"/>
  <c r="U189" i="4"/>
  <c r="U190" i="4"/>
  <c r="U232" i="4"/>
  <c r="U213" i="4"/>
  <c r="U214" i="4"/>
  <c r="U215" i="4"/>
  <c r="U216" i="4"/>
  <c r="U217" i="4"/>
  <c r="U218" i="4"/>
  <c r="U233" i="4"/>
  <c r="U236" i="4"/>
  <c r="U237" i="4"/>
  <c r="U239" i="4"/>
  <c r="U240" i="4"/>
  <c r="U241" i="4"/>
  <c r="U242" i="4"/>
  <c r="U244" i="4"/>
  <c r="U339" i="4"/>
  <c r="U346" i="4"/>
  <c r="U350" i="4"/>
  <c r="V138" i="4"/>
  <c r="V139" i="4"/>
  <c r="V142" i="4"/>
  <c r="V149" i="4"/>
  <c r="V230" i="4"/>
  <c r="V186" i="4"/>
  <c r="V187" i="4"/>
  <c r="V202" i="4"/>
  <c r="U201" i="4"/>
  <c r="U199" i="4"/>
  <c r="U204" i="4"/>
  <c r="V200" i="4"/>
  <c r="V203" i="4"/>
  <c r="V188" i="4"/>
  <c r="V189" i="4"/>
  <c r="V190" i="4"/>
  <c r="V232" i="4"/>
  <c r="V213" i="4"/>
  <c r="V214" i="4"/>
  <c r="V215" i="4"/>
  <c r="V216" i="4"/>
  <c r="V217" i="4"/>
  <c r="V218" i="4"/>
  <c r="V233" i="4"/>
  <c r="V236" i="4"/>
  <c r="V237" i="4"/>
  <c r="V239" i="4"/>
  <c r="V240" i="4"/>
  <c r="V241" i="4"/>
  <c r="V242" i="4"/>
  <c r="V244" i="4"/>
  <c r="V339" i="4"/>
  <c r="V346" i="4"/>
  <c r="V350" i="4"/>
  <c r="W138" i="4"/>
  <c r="W139" i="4"/>
  <c r="W142" i="4"/>
  <c r="W149" i="4"/>
  <c r="W230" i="4"/>
  <c r="W186" i="4"/>
  <c r="W187" i="4"/>
  <c r="W202" i="4"/>
  <c r="V201" i="4"/>
  <c r="V199" i="4"/>
  <c r="V204" i="4"/>
  <c r="W200" i="4"/>
  <c r="W203" i="4"/>
  <c r="W188" i="4"/>
  <c r="W189" i="4"/>
  <c r="W190" i="4"/>
  <c r="W232" i="4"/>
  <c r="W213" i="4"/>
  <c r="W214" i="4"/>
  <c r="W215" i="4"/>
  <c r="W216" i="4"/>
  <c r="W217" i="4"/>
  <c r="W218" i="4"/>
  <c r="W233" i="4"/>
  <c r="W236" i="4"/>
  <c r="W237" i="4"/>
  <c r="W239" i="4"/>
  <c r="W240" i="4"/>
  <c r="W241" i="4"/>
  <c r="W242" i="4"/>
  <c r="W244" i="4"/>
  <c r="W339" i="4"/>
  <c r="W346" i="4"/>
  <c r="W350" i="4"/>
  <c r="X138" i="4"/>
  <c r="X139" i="4"/>
  <c r="X142" i="4"/>
  <c r="X149" i="4"/>
  <c r="X230" i="4"/>
  <c r="X186" i="4"/>
  <c r="X187" i="4"/>
  <c r="X202" i="4"/>
  <c r="W201" i="4"/>
  <c r="W199" i="4"/>
  <c r="W204" i="4"/>
  <c r="X200" i="4"/>
  <c r="X203" i="4"/>
  <c r="X188" i="4"/>
  <c r="X189" i="4"/>
  <c r="X190" i="4"/>
  <c r="X232" i="4"/>
  <c r="X213" i="4"/>
  <c r="X214" i="4"/>
  <c r="X215" i="4"/>
  <c r="X216" i="4"/>
  <c r="X217" i="4"/>
  <c r="X218" i="4"/>
  <c r="X233" i="4"/>
  <c r="X236" i="4"/>
  <c r="X237" i="4"/>
  <c r="X239" i="4"/>
  <c r="X240" i="4"/>
  <c r="X241" i="4"/>
  <c r="X242" i="4"/>
  <c r="X244" i="4"/>
  <c r="X339" i="4"/>
  <c r="X346" i="4"/>
  <c r="X350" i="4"/>
  <c r="Y138" i="4"/>
  <c r="Y139" i="4"/>
  <c r="Y142" i="4"/>
  <c r="Y149" i="4"/>
  <c r="Y230" i="4"/>
  <c r="Y186" i="4"/>
  <c r="Y187" i="4"/>
  <c r="Y202" i="4"/>
  <c r="X201" i="4"/>
  <c r="X199" i="4"/>
  <c r="X204" i="4"/>
  <c r="Y200" i="4"/>
  <c r="Y203" i="4"/>
  <c r="Y188" i="4"/>
  <c r="Y189" i="4"/>
  <c r="Y190" i="4"/>
  <c r="Y232" i="4"/>
  <c r="Y213" i="4"/>
  <c r="Y214" i="4"/>
  <c r="Y215" i="4"/>
  <c r="Y216" i="4"/>
  <c r="Y217" i="4"/>
  <c r="Y218" i="4"/>
  <c r="Y233" i="4"/>
  <c r="Y236" i="4"/>
  <c r="Y237" i="4"/>
  <c r="Y239" i="4"/>
  <c r="Y240" i="4"/>
  <c r="Y241" i="4"/>
  <c r="Y242" i="4"/>
  <c r="Y244" i="4"/>
  <c r="Y339" i="4"/>
  <c r="Y346" i="4"/>
  <c r="Y350" i="4"/>
  <c r="Z138" i="4"/>
  <c r="Z139" i="4"/>
  <c r="Z142" i="4"/>
  <c r="Z149" i="4"/>
  <c r="Z230" i="4"/>
  <c r="Z186" i="4"/>
  <c r="Z187" i="4"/>
  <c r="Z202" i="4"/>
  <c r="Y201" i="4"/>
  <c r="Y199" i="4"/>
  <c r="Y204" i="4"/>
  <c r="Z200" i="4"/>
  <c r="Z203" i="4"/>
  <c r="Z188" i="4"/>
  <c r="Z189" i="4"/>
  <c r="Z190" i="4"/>
  <c r="Z232" i="4"/>
  <c r="Z213" i="4"/>
  <c r="Z214" i="4"/>
  <c r="Z215" i="4"/>
  <c r="Z216" i="4"/>
  <c r="Z217" i="4"/>
  <c r="Z218" i="4"/>
  <c r="Z233" i="4"/>
  <c r="Z236" i="4"/>
  <c r="Z237" i="4"/>
  <c r="Z239" i="4"/>
  <c r="Z240" i="4"/>
  <c r="Z241" i="4"/>
  <c r="Z242" i="4"/>
  <c r="Z244" i="4"/>
  <c r="Z339" i="4"/>
  <c r="Z346" i="4"/>
  <c r="Z350" i="4"/>
  <c r="AA138" i="4"/>
  <c r="AA139" i="4"/>
  <c r="AA142" i="4"/>
  <c r="AA149" i="4"/>
  <c r="AA230" i="4"/>
  <c r="AA186" i="4"/>
  <c r="AA187" i="4"/>
  <c r="AA202" i="4"/>
  <c r="Z201" i="4"/>
  <c r="Z199" i="4"/>
  <c r="Z204" i="4"/>
  <c r="AA200" i="4"/>
  <c r="AA203" i="4"/>
  <c r="AA188" i="4"/>
  <c r="AA189" i="4"/>
  <c r="AA190" i="4"/>
  <c r="AA232" i="4"/>
  <c r="AA213" i="4"/>
  <c r="AA214" i="4"/>
  <c r="AA215" i="4"/>
  <c r="AA216" i="4"/>
  <c r="AA217" i="4"/>
  <c r="AA218" i="4"/>
  <c r="AA233" i="4"/>
  <c r="AA236" i="4"/>
  <c r="AA237" i="4"/>
  <c r="AA239" i="4"/>
  <c r="AA240" i="4"/>
  <c r="AA241" i="4"/>
  <c r="AA242" i="4"/>
  <c r="AA244" i="4"/>
  <c r="AA339" i="4"/>
  <c r="AA346" i="4"/>
  <c r="AA350" i="4"/>
  <c r="AB138" i="4"/>
  <c r="AB139" i="4"/>
  <c r="AB142" i="4"/>
  <c r="AB149" i="4"/>
  <c r="AB230" i="4"/>
  <c r="AB186" i="4"/>
  <c r="AB187" i="4"/>
  <c r="AB202" i="4"/>
  <c r="AA201" i="4"/>
  <c r="AA199" i="4"/>
  <c r="AA204" i="4"/>
  <c r="AB200" i="4"/>
  <c r="AB203" i="4"/>
  <c r="AB188" i="4"/>
  <c r="AB189" i="4"/>
  <c r="AB190" i="4"/>
  <c r="AB232" i="4"/>
  <c r="AB213" i="4"/>
  <c r="AB214" i="4"/>
  <c r="AB215" i="4"/>
  <c r="AB216" i="4"/>
  <c r="AB217" i="4"/>
  <c r="AB218" i="4"/>
  <c r="AB233" i="4"/>
  <c r="AB236" i="4"/>
  <c r="AB237" i="4"/>
  <c r="AB239" i="4"/>
  <c r="AB240" i="4"/>
  <c r="AB241" i="4"/>
  <c r="AB242" i="4"/>
  <c r="AB244" i="4"/>
  <c r="AB339" i="4"/>
  <c r="AB346" i="4"/>
  <c r="AB350" i="4"/>
  <c r="AC138" i="4"/>
  <c r="AC139" i="4"/>
  <c r="AC142" i="4"/>
  <c r="AC149" i="4"/>
  <c r="AC230" i="4"/>
  <c r="AC186" i="4"/>
  <c r="AC187" i="4"/>
  <c r="AC202" i="4"/>
  <c r="AB201" i="4"/>
  <c r="AB199" i="4"/>
  <c r="AB204" i="4"/>
  <c r="AC200" i="4"/>
  <c r="AC203" i="4"/>
  <c r="AC188" i="4"/>
  <c r="AC189" i="4"/>
  <c r="AC190" i="4"/>
  <c r="AC232" i="4"/>
  <c r="AC213" i="4"/>
  <c r="AC214" i="4"/>
  <c r="AC215" i="4"/>
  <c r="AC216" i="4"/>
  <c r="AC217" i="4"/>
  <c r="AC218" i="4"/>
  <c r="AC233" i="4"/>
  <c r="AC236" i="4"/>
  <c r="AC237" i="4"/>
  <c r="AC239" i="4"/>
  <c r="AC240" i="4"/>
  <c r="AC241" i="4"/>
  <c r="AC242" i="4"/>
  <c r="AC244" i="4"/>
  <c r="AC339" i="4"/>
  <c r="AC346" i="4"/>
  <c r="AC350" i="4"/>
  <c r="AD138" i="4"/>
  <c r="AD139" i="4"/>
  <c r="AD142" i="4"/>
  <c r="AD149" i="4"/>
  <c r="AD230" i="4"/>
  <c r="AD186" i="4"/>
  <c r="AD187" i="4"/>
  <c r="AD202" i="4"/>
  <c r="AC201" i="4"/>
  <c r="AC199" i="4"/>
  <c r="AC204" i="4"/>
  <c r="AD200" i="4"/>
  <c r="AD203" i="4"/>
  <c r="AD188" i="4"/>
  <c r="AD189" i="4"/>
  <c r="AD190" i="4"/>
  <c r="AD232" i="4"/>
  <c r="AD213" i="4"/>
  <c r="AD214" i="4"/>
  <c r="AD215" i="4"/>
  <c r="AD216" i="4"/>
  <c r="AD217" i="4"/>
  <c r="AD218" i="4"/>
  <c r="AD233" i="4"/>
  <c r="AD236" i="4"/>
  <c r="AD237" i="4"/>
  <c r="AD239" i="4"/>
  <c r="AD240" i="4"/>
  <c r="AD241" i="4"/>
  <c r="AD242" i="4"/>
  <c r="AD244" i="4"/>
  <c r="AD339" i="4"/>
  <c r="AD346" i="4"/>
  <c r="AD350" i="4"/>
  <c r="AE138" i="4"/>
  <c r="AE139" i="4"/>
  <c r="AE142" i="4"/>
  <c r="AE149" i="4"/>
  <c r="AE230" i="4"/>
  <c r="AE186" i="4"/>
  <c r="AE187" i="4"/>
  <c r="AE202" i="4"/>
  <c r="AD201" i="4"/>
  <c r="AD199" i="4"/>
  <c r="AD204" i="4"/>
  <c r="AE200" i="4"/>
  <c r="AE203" i="4"/>
  <c r="AE188" i="4"/>
  <c r="AE189" i="4"/>
  <c r="AE190" i="4"/>
  <c r="AE232" i="4"/>
  <c r="AE213" i="4"/>
  <c r="AE214" i="4"/>
  <c r="AE215" i="4"/>
  <c r="AE216" i="4"/>
  <c r="AE217" i="4"/>
  <c r="AE218" i="4"/>
  <c r="AE233" i="4"/>
  <c r="AE236" i="4"/>
  <c r="AE237" i="4"/>
  <c r="AE239" i="4"/>
  <c r="AE240" i="4"/>
  <c r="AE241" i="4"/>
  <c r="AE242" i="4"/>
  <c r="AE244" i="4"/>
  <c r="AE339" i="4"/>
  <c r="AE346" i="4"/>
  <c r="AE350" i="4"/>
  <c r="AF138" i="4"/>
  <c r="AF139" i="4"/>
  <c r="AF142" i="4"/>
  <c r="AF149" i="4"/>
  <c r="AF230" i="4"/>
  <c r="AF186" i="4"/>
  <c r="AF187" i="4"/>
  <c r="AF202" i="4"/>
  <c r="AE201" i="4"/>
  <c r="AE199" i="4"/>
  <c r="AE204" i="4"/>
  <c r="AF200" i="4"/>
  <c r="AF203" i="4"/>
  <c r="AF188" i="4"/>
  <c r="AF189" i="4"/>
  <c r="AF190" i="4"/>
  <c r="AF232" i="4"/>
  <c r="AF213" i="4"/>
  <c r="AF214" i="4"/>
  <c r="AF215" i="4"/>
  <c r="AF216" i="4"/>
  <c r="AF217" i="4"/>
  <c r="AF218" i="4"/>
  <c r="AF233" i="4"/>
  <c r="AF236" i="4"/>
  <c r="AF237" i="4"/>
  <c r="AF239" i="4"/>
  <c r="AF240" i="4"/>
  <c r="AF241" i="4"/>
  <c r="AF242" i="4"/>
  <c r="AF244" i="4"/>
  <c r="AF339" i="4"/>
  <c r="AF346" i="4"/>
  <c r="AF350" i="4"/>
  <c r="AG138" i="4"/>
  <c r="AG139" i="4"/>
  <c r="AG142" i="4"/>
  <c r="AG149" i="4"/>
  <c r="AG230" i="4"/>
  <c r="AG186" i="4"/>
  <c r="AG187" i="4"/>
  <c r="AG202" i="4"/>
  <c r="AF201" i="4"/>
  <c r="AF199" i="4"/>
  <c r="AF204" i="4"/>
  <c r="AG200" i="4"/>
  <c r="AG203" i="4"/>
  <c r="AG188" i="4"/>
  <c r="AG189" i="4"/>
  <c r="AG190" i="4"/>
  <c r="AG232" i="4"/>
  <c r="AG213" i="4"/>
  <c r="AG214" i="4"/>
  <c r="AG215" i="4"/>
  <c r="AG216" i="4"/>
  <c r="AG217" i="4"/>
  <c r="AG218" i="4"/>
  <c r="AG233" i="4"/>
  <c r="AG236" i="4"/>
  <c r="AG237" i="4"/>
  <c r="AG239" i="4"/>
  <c r="AG240" i="4"/>
  <c r="AG241" i="4"/>
  <c r="AG242" i="4"/>
  <c r="AG244" i="4"/>
  <c r="AG339" i="4"/>
  <c r="AG346" i="4"/>
  <c r="AG350" i="4"/>
  <c r="AH138" i="4"/>
  <c r="AH139" i="4"/>
  <c r="AH142" i="4"/>
  <c r="AH149" i="4"/>
  <c r="AH230" i="4"/>
  <c r="AH186" i="4"/>
  <c r="AH187" i="4"/>
  <c r="AH202" i="4"/>
  <c r="AG201" i="4"/>
  <c r="AG199" i="4"/>
  <c r="AG204" i="4"/>
  <c r="AH200" i="4"/>
  <c r="AH203" i="4"/>
  <c r="AH188" i="4"/>
  <c r="AH189" i="4"/>
  <c r="AH190" i="4"/>
  <c r="AH232" i="4"/>
  <c r="AH213" i="4"/>
  <c r="AH214" i="4"/>
  <c r="AH215" i="4"/>
  <c r="AH216" i="4"/>
  <c r="AH217" i="4"/>
  <c r="AH218" i="4"/>
  <c r="AH233" i="4"/>
  <c r="AH236" i="4"/>
  <c r="AH237" i="4"/>
  <c r="AH239" i="4"/>
  <c r="AH240" i="4"/>
  <c r="AH241" i="4"/>
  <c r="AH242" i="4"/>
  <c r="AH244" i="4"/>
  <c r="AH339" i="4"/>
  <c r="AH346" i="4"/>
  <c r="AH350" i="4"/>
  <c r="AI138" i="4"/>
  <c r="AI139" i="4"/>
  <c r="AI142" i="4"/>
  <c r="AI149" i="4"/>
  <c r="AI230" i="4"/>
  <c r="AI186" i="4"/>
  <c r="AI187" i="4"/>
  <c r="AI202" i="4"/>
  <c r="AH201" i="4"/>
  <c r="AH199" i="4"/>
  <c r="AH204" i="4"/>
  <c r="AI200" i="4"/>
  <c r="AI203" i="4"/>
  <c r="AI188" i="4"/>
  <c r="AI189" i="4"/>
  <c r="AI190" i="4"/>
  <c r="AI232" i="4"/>
  <c r="AI213" i="4"/>
  <c r="AI214" i="4"/>
  <c r="AI215" i="4"/>
  <c r="AI216" i="4"/>
  <c r="AI217" i="4"/>
  <c r="AI218" i="4"/>
  <c r="AI233" i="4"/>
  <c r="AI236" i="4"/>
  <c r="AI237" i="4"/>
  <c r="AI239" i="4"/>
  <c r="AI240" i="4"/>
  <c r="AI241" i="4"/>
  <c r="AI242" i="4"/>
  <c r="AI244" i="4"/>
  <c r="AI339" i="4"/>
  <c r="AI346" i="4"/>
  <c r="AI350" i="4"/>
  <c r="AJ138" i="4"/>
  <c r="AJ139" i="4"/>
  <c r="AJ142" i="4"/>
  <c r="AJ149" i="4"/>
  <c r="AJ230" i="4"/>
  <c r="AJ186" i="4"/>
  <c r="AJ187" i="4"/>
  <c r="AJ202" i="4"/>
  <c r="AI201" i="4"/>
  <c r="AI199" i="4"/>
  <c r="AI204" i="4"/>
  <c r="AJ200" i="4"/>
  <c r="AJ203" i="4"/>
  <c r="AJ188" i="4"/>
  <c r="AJ189" i="4"/>
  <c r="AJ190" i="4"/>
  <c r="AJ232" i="4"/>
  <c r="AJ213" i="4"/>
  <c r="AJ214" i="4"/>
  <c r="AJ215" i="4"/>
  <c r="AJ216" i="4"/>
  <c r="AJ217" i="4"/>
  <c r="AJ218" i="4"/>
  <c r="AJ233" i="4"/>
  <c r="AJ236" i="4"/>
  <c r="AJ237" i="4"/>
  <c r="AJ239" i="4"/>
  <c r="AJ240" i="4"/>
  <c r="AJ241" i="4"/>
  <c r="AJ242" i="4"/>
  <c r="AJ244" i="4"/>
  <c r="AJ339" i="4"/>
  <c r="AJ346" i="4"/>
  <c r="AJ350" i="4"/>
  <c r="AK138" i="4"/>
  <c r="AK139" i="4"/>
  <c r="AK142" i="4"/>
  <c r="AK149" i="4"/>
  <c r="AK230" i="4"/>
  <c r="AK186" i="4"/>
  <c r="AK187" i="4"/>
  <c r="AK202" i="4"/>
  <c r="AJ201" i="4"/>
  <c r="AJ199" i="4"/>
  <c r="AJ204" i="4"/>
  <c r="AK200" i="4"/>
  <c r="AK203" i="4"/>
  <c r="AK188" i="4"/>
  <c r="AK189" i="4"/>
  <c r="AK190" i="4"/>
  <c r="AK232" i="4"/>
  <c r="AK213" i="4"/>
  <c r="AK214" i="4"/>
  <c r="AK215" i="4"/>
  <c r="AK216" i="4"/>
  <c r="AK217" i="4"/>
  <c r="AK218" i="4"/>
  <c r="AK233" i="4"/>
  <c r="AK236" i="4"/>
  <c r="AK237" i="4"/>
  <c r="AK239" i="4"/>
  <c r="AK240" i="4"/>
  <c r="AK241" i="4"/>
  <c r="AK242" i="4"/>
  <c r="AK244" i="4"/>
  <c r="AK339" i="4"/>
  <c r="AK346" i="4"/>
  <c r="AK350" i="4"/>
  <c r="AL138" i="4"/>
  <c r="AL139" i="4"/>
  <c r="AL142" i="4"/>
  <c r="AL149" i="4"/>
  <c r="AL230" i="4"/>
  <c r="AL186" i="4"/>
  <c r="AL187" i="4"/>
  <c r="AL202" i="4"/>
  <c r="AK201" i="4"/>
  <c r="AK199" i="4"/>
  <c r="AK204" i="4"/>
  <c r="AL200" i="4"/>
  <c r="AL203" i="4"/>
  <c r="AL188" i="4"/>
  <c r="AL189" i="4"/>
  <c r="AL190" i="4"/>
  <c r="AL232" i="4"/>
  <c r="AL213" i="4"/>
  <c r="AL214" i="4"/>
  <c r="AL215" i="4"/>
  <c r="AL216" i="4"/>
  <c r="AL217" i="4"/>
  <c r="AL218" i="4"/>
  <c r="AL233" i="4"/>
  <c r="AL236" i="4"/>
  <c r="AL237" i="4"/>
  <c r="AL239" i="4"/>
  <c r="AL240" i="4"/>
  <c r="AL241" i="4"/>
  <c r="AL242" i="4"/>
  <c r="AL244" i="4"/>
  <c r="AL339" i="4"/>
  <c r="AL346" i="4"/>
  <c r="AL350" i="4"/>
  <c r="AM138" i="4"/>
  <c r="AM139" i="4"/>
  <c r="AM142" i="4"/>
  <c r="AM149" i="4"/>
  <c r="AM230" i="4"/>
  <c r="AM186" i="4"/>
  <c r="AM187" i="4"/>
  <c r="AM202" i="4"/>
  <c r="AL201" i="4"/>
  <c r="AL199" i="4"/>
  <c r="AL204" i="4"/>
  <c r="AM200" i="4"/>
  <c r="AM203" i="4"/>
  <c r="AM188" i="4"/>
  <c r="AM189" i="4"/>
  <c r="AM190" i="4"/>
  <c r="AM232" i="4"/>
  <c r="AM213" i="4"/>
  <c r="AM214" i="4"/>
  <c r="AM215" i="4"/>
  <c r="AM216" i="4"/>
  <c r="AM217" i="4"/>
  <c r="AM218" i="4"/>
  <c r="AM233" i="4"/>
  <c r="AM236" i="4"/>
  <c r="AM237" i="4"/>
  <c r="AM239" i="4"/>
  <c r="AM240" i="4"/>
  <c r="AM241" i="4"/>
  <c r="AM242" i="4"/>
  <c r="AM244" i="4"/>
  <c r="AM339" i="4"/>
  <c r="AM346" i="4"/>
  <c r="AM350" i="4"/>
  <c r="AN138" i="4"/>
  <c r="AN139" i="4"/>
  <c r="AN142" i="4"/>
  <c r="AN149" i="4"/>
  <c r="AN230" i="4"/>
  <c r="AN186" i="4"/>
  <c r="AN187" i="4"/>
  <c r="AN202" i="4"/>
  <c r="AM201" i="4"/>
  <c r="AM199" i="4"/>
  <c r="AM204" i="4"/>
  <c r="AN200" i="4"/>
  <c r="AN203" i="4"/>
  <c r="AN188" i="4"/>
  <c r="AN189" i="4"/>
  <c r="AN190" i="4"/>
  <c r="AN232" i="4"/>
  <c r="AN213" i="4"/>
  <c r="AN214" i="4"/>
  <c r="AN215" i="4"/>
  <c r="AN216" i="4"/>
  <c r="AN217" i="4"/>
  <c r="AN218" i="4"/>
  <c r="AN233" i="4"/>
  <c r="AN236" i="4"/>
  <c r="AN237" i="4"/>
  <c r="AN239" i="4"/>
  <c r="AN240" i="4"/>
  <c r="AN241" i="4"/>
  <c r="AN242" i="4"/>
  <c r="AN244" i="4"/>
  <c r="AN339" i="4"/>
  <c r="AN346" i="4"/>
  <c r="AN350" i="4"/>
  <c r="AO138" i="4"/>
  <c r="AO139" i="4"/>
  <c r="AO142" i="4"/>
  <c r="AO149" i="4"/>
  <c r="AO230" i="4"/>
  <c r="AO186" i="4"/>
  <c r="AO187" i="4"/>
  <c r="AO202" i="4"/>
  <c r="AN201" i="4"/>
  <c r="AN199" i="4"/>
  <c r="AN204" i="4"/>
  <c r="AO200" i="4"/>
  <c r="AO203" i="4"/>
  <c r="AO188" i="4"/>
  <c r="AO189" i="4"/>
  <c r="AO190" i="4"/>
  <c r="AO232" i="4"/>
  <c r="AO213" i="4"/>
  <c r="AO214" i="4"/>
  <c r="AO215" i="4"/>
  <c r="AO216" i="4"/>
  <c r="AO217" i="4"/>
  <c r="AO218" i="4"/>
  <c r="AO233" i="4"/>
  <c r="AO236" i="4"/>
  <c r="AO237" i="4"/>
  <c r="AO239" i="4"/>
  <c r="AO240" i="4"/>
  <c r="AO241" i="4"/>
  <c r="AO242" i="4"/>
  <c r="AO244" i="4"/>
  <c r="AO339" i="4"/>
  <c r="AO346" i="4"/>
  <c r="AO350" i="4"/>
  <c r="AP138" i="4"/>
  <c r="AP139" i="4"/>
  <c r="AP142" i="4"/>
  <c r="AP149" i="4"/>
  <c r="AP230" i="4"/>
  <c r="AP186" i="4"/>
  <c r="AP187" i="4"/>
  <c r="AP202" i="4"/>
  <c r="AO201" i="4"/>
  <c r="AO199" i="4"/>
  <c r="AO204" i="4"/>
  <c r="AP200" i="4"/>
  <c r="AP203" i="4"/>
  <c r="AP188" i="4"/>
  <c r="AP189" i="4"/>
  <c r="AP190" i="4"/>
  <c r="AP232" i="4"/>
  <c r="AP213" i="4"/>
  <c r="AP214" i="4"/>
  <c r="AP215" i="4"/>
  <c r="AP216" i="4"/>
  <c r="AP217" i="4"/>
  <c r="AP218" i="4"/>
  <c r="AP233" i="4"/>
  <c r="AP236" i="4"/>
  <c r="AP237" i="4"/>
  <c r="AP239" i="4"/>
  <c r="AP240" i="4"/>
  <c r="AP241" i="4"/>
  <c r="AP242" i="4"/>
  <c r="AP244" i="4"/>
  <c r="AP339" i="4"/>
  <c r="AP346" i="4"/>
  <c r="AP350" i="4"/>
  <c r="AQ138" i="4"/>
  <c r="AQ139" i="4"/>
  <c r="AQ142" i="4"/>
  <c r="AQ149" i="4"/>
  <c r="AQ230" i="4"/>
  <c r="AQ186" i="4"/>
  <c r="AQ187" i="4"/>
  <c r="AQ202" i="4"/>
  <c r="AP201" i="4"/>
  <c r="AP199" i="4"/>
  <c r="AP204" i="4"/>
  <c r="AQ200" i="4"/>
  <c r="AQ203" i="4"/>
  <c r="AQ188" i="4"/>
  <c r="AQ189" i="4"/>
  <c r="AQ190" i="4"/>
  <c r="AQ232" i="4"/>
  <c r="AQ213" i="4"/>
  <c r="AQ214" i="4"/>
  <c r="AQ215" i="4"/>
  <c r="AQ216" i="4"/>
  <c r="AQ217" i="4"/>
  <c r="AQ218" i="4"/>
  <c r="AQ233" i="4"/>
  <c r="AQ236" i="4"/>
  <c r="AQ237" i="4"/>
  <c r="AQ239" i="4"/>
  <c r="AQ240" i="4"/>
  <c r="AQ241" i="4"/>
  <c r="AQ242" i="4"/>
  <c r="AQ244" i="4"/>
  <c r="AQ339" i="4"/>
  <c r="AQ346" i="4"/>
  <c r="AQ350" i="4"/>
  <c r="AR138" i="4"/>
  <c r="AR139" i="4"/>
  <c r="AR142" i="4"/>
  <c r="AR149" i="4"/>
  <c r="AR230" i="4"/>
  <c r="AR186" i="4"/>
  <c r="AR187" i="4"/>
  <c r="AR202" i="4"/>
  <c r="AQ201" i="4"/>
  <c r="AQ199" i="4"/>
  <c r="AQ204" i="4"/>
  <c r="AR200" i="4"/>
  <c r="AR203" i="4"/>
  <c r="AR188" i="4"/>
  <c r="AR189" i="4"/>
  <c r="AR190" i="4"/>
  <c r="AR232" i="4"/>
  <c r="AR213" i="4"/>
  <c r="AR214" i="4"/>
  <c r="AR215" i="4"/>
  <c r="AR216" i="4"/>
  <c r="AR217" i="4"/>
  <c r="AR218" i="4"/>
  <c r="AR233" i="4"/>
  <c r="AR236" i="4"/>
  <c r="AR237" i="4"/>
  <c r="AR239" i="4"/>
  <c r="AR240" i="4"/>
  <c r="AR241" i="4"/>
  <c r="AR242" i="4"/>
  <c r="AR244" i="4"/>
  <c r="AR339" i="4"/>
  <c r="AR346" i="4"/>
  <c r="AR350" i="4"/>
  <c r="AS138" i="4"/>
  <c r="AS139" i="4"/>
  <c r="AS142" i="4"/>
  <c r="AS149" i="4"/>
  <c r="AS230" i="4"/>
  <c r="AS186" i="4"/>
  <c r="AS187" i="4"/>
  <c r="AS202" i="4"/>
  <c r="AR201" i="4"/>
  <c r="AR199" i="4"/>
  <c r="AR204" i="4"/>
  <c r="AS200" i="4"/>
  <c r="AS203" i="4"/>
  <c r="AS188" i="4"/>
  <c r="AS189" i="4"/>
  <c r="AS190" i="4"/>
  <c r="AS232" i="4"/>
  <c r="AS213" i="4"/>
  <c r="AS214" i="4"/>
  <c r="AS215" i="4"/>
  <c r="AS216" i="4"/>
  <c r="AS217" i="4"/>
  <c r="AS218" i="4"/>
  <c r="AS233" i="4"/>
  <c r="AS236" i="4"/>
  <c r="AS237" i="4"/>
  <c r="AS239" i="4"/>
  <c r="AS240" i="4"/>
  <c r="AS241" i="4"/>
  <c r="AS242" i="4"/>
  <c r="AS244" i="4"/>
  <c r="AS339" i="4"/>
  <c r="AS346" i="4"/>
  <c r="AS350" i="4"/>
  <c r="AT138" i="4"/>
  <c r="AT139" i="4"/>
  <c r="AT142" i="4"/>
  <c r="AT149" i="4"/>
  <c r="AT230" i="4"/>
  <c r="AT186" i="4"/>
  <c r="AT187" i="4"/>
  <c r="AT202" i="4"/>
  <c r="AS201" i="4"/>
  <c r="AS199" i="4"/>
  <c r="AS204" i="4"/>
  <c r="AT200" i="4"/>
  <c r="AT203" i="4"/>
  <c r="AT188" i="4"/>
  <c r="AT189" i="4"/>
  <c r="AT190" i="4"/>
  <c r="AT232" i="4"/>
  <c r="AT213" i="4"/>
  <c r="AT214" i="4"/>
  <c r="AT215" i="4"/>
  <c r="AT216" i="4"/>
  <c r="AT217" i="4"/>
  <c r="AT218" i="4"/>
  <c r="AT233" i="4"/>
  <c r="AT236" i="4"/>
  <c r="AT237" i="4"/>
  <c r="AT239" i="4"/>
  <c r="AT240" i="4"/>
  <c r="AT241" i="4"/>
  <c r="AT242" i="4"/>
  <c r="AT244" i="4"/>
  <c r="AT339" i="4"/>
  <c r="AT346" i="4"/>
  <c r="AT350" i="4"/>
  <c r="AU138" i="4"/>
  <c r="AU139" i="4"/>
  <c r="AU142" i="4"/>
  <c r="AU149" i="4"/>
  <c r="AU230" i="4"/>
  <c r="AU186" i="4"/>
  <c r="AU187" i="4"/>
  <c r="AU202" i="4"/>
  <c r="AT201" i="4"/>
  <c r="AT199" i="4"/>
  <c r="AT204" i="4"/>
  <c r="AU200" i="4"/>
  <c r="AU203" i="4"/>
  <c r="AU188" i="4"/>
  <c r="AU189" i="4"/>
  <c r="AU190" i="4"/>
  <c r="AU232" i="4"/>
  <c r="AU213" i="4"/>
  <c r="AU214" i="4"/>
  <c r="AU215" i="4"/>
  <c r="AU216" i="4"/>
  <c r="AU217" i="4"/>
  <c r="AU218" i="4"/>
  <c r="AU233" i="4"/>
  <c r="AU236" i="4"/>
  <c r="AU237" i="4"/>
  <c r="AU239" i="4"/>
  <c r="AU240" i="4"/>
  <c r="AU241" i="4"/>
  <c r="AU242" i="4"/>
  <c r="AU244" i="4"/>
  <c r="AU339" i="4"/>
  <c r="AU346" i="4"/>
  <c r="AU350" i="4"/>
  <c r="AV138" i="4"/>
  <c r="AV139" i="4"/>
  <c r="AV142" i="4"/>
  <c r="AV149" i="4"/>
  <c r="AV230" i="4"/>
  <c r="AV186" i="4"/>
  <c r="AV187" i="4"/>
  <c r="AV202" i="4"/>
  <c r="AU201" i="4"/>
  <c r="AU199" i="4"/>
  <c r="AU204" i="4"/>
  <c r="AV200" i="4"/>
  <c r="AV203" i="4"/>
  <c r="AV188" i="4"/>
  <c r="AV189" i="4"/>
  <c r="AV190" i="4"/>
  <c r="AV232" i="4"/>
  <c r="AV213" i="4"/>
  <c r="AV214" i="4"/>
  <c r="AV215" i="4"/>
  <c r="AV216" i="4"/>
  <c r="AV217" i="4"/>
  <c r="AV218" i="4"/>
  <c r="AV233" i="4"/>
  <c r="AV236" i="4"/>
  <c r="AV237" i="4"/>
  <c r="AV239" i="4"/>
  <c r="AV240" i="4"/>
  <c r="AV241" i="4"/>
  <c r="AV242" i="4"/>
  <c r="AV244" i="4"/>
  <c r="AV339" i="4"/>
  <c r="AV346" i="4"/>
  <c r="AV350" i="4"/>
  <c r="AW138" i="4"/>
  <c r="AW139" i="4"/>
  <c r="AW142" i="4"/>
  <c r="AW149" i="4"/>
  <c r="AW230" i="4"/>
  <c r="AW186" i="4"/>
  <c r="AW187" i="4"/>
  <c r="AW202" i="4"/>
  <c r="AV201" i="4"/>
  <c r="AV199" i="4"/>
  <c r="AV204" i="4"/>
  <c r="AW200" i="4"/>
  <c r="AW203" i="4"/>
  <c r="AW188" i="4"/>
  <c r="AW189" i="4"/>
  <c r="AW190" i="4"/>
  <c r="AW232" i="4"/>
  <c r="AW213" i="4"/>
  <c r="AW214" i="4"/>
  <c r="AW215" i="4"/>
  <c r="AW216" i="4"/>
  <c r="AW217" i="4"/>
  <c r="AW218" i="4"/>
  <c r="AW233" i="4"/>
  <c r="AW236" i="4"/>
  <c r="AW237" i="4"/>
  <c r="AW239" i="4"/>
  <c r="AW240" i="4"/>
  <c r="AW241" i="4"/>
  <c r="AW242" i="4"/>
  <c r="AW244" i="4"/>
  <c r="AW339" i="4"/>
  <c r="AW346" i="4"/>
  <c r="AW350" i="4"/>
  <c r="AX138" i="4"/>
  <c r="AX139" i="4"/>
  <c r="AX142" i="4"/>
  <c r="AX149" i="4"/>
  <c r="AX230" i="4"/>
  <c r="AX186" i="4"/>
  <c r="AX187" i="4"/>
  <c r="AX202" i="4"/>
  <c r="AW201" i="4"/>
  <c r="AW199" i="4"/>
  <c r="AW204" i="4"/>
  <c r="AX200" i="4"/>
  <c r="AX203" i="4"/>
  <c r="AX188" i="4"/>
  <c r="AX189" i="4"/>
  <c r="AX190" i="4"/>
  <c r="AX232" i="4"/>
  <c r="AX213" i="4"/>
  <c r="AX214" i="4"/>
  <c r="AX215" i="4"/>
  <c r="AX216" i="4"/>
  <c r="AX217" i="4"/>
  <c r="AX218" i="4"/>
  <c r="AX233" i="4"/>
  <c r="AX236" i="4"/>
  <c r="AX237" i="4"/>
  <c r="AX239" i="4"/>
  <c r="AX240" i="4"/>
  <c r="AX241" i="4"/>
  <c r="AX242" i="4"/>
  <c r="AX244" i="4"/>
  <c r="AX339" i="4"/>
  <c r="AX346" i="4"/>
  <c r="AX350" i="4"/>
  <c r="AY138" i="4"/>
  <c r="AY139" i="4"/>
  <c r="AY142" i="4"/>
  <c r="AY149" i="4"/>
  <c r="AY230" i="4"/>
  <c r="AY186" i="4"/>
  <c r="AY187" i="4"/>
  <c r="AY202" i="4"/>
  <c r="AX201" i="4"/>
  <c r="AX199" i="4"/>
  <c r="AX204" i="4"/>
  <c r="AY200" i="4"/>
  <c r="AY203" i="4"/>
  <c r="AY188" i="4"/>
  <c r="AY189" i="4"/>
  <c r="AY190" i="4"/>
  <c r="AY232" i="4"/>
  <c r="AY213" i="4"/>
  <c r="AY214" i="4"/>
  <c r="AY215" i="4"/>
  <c r="AY216" i="4"/>
  <c r="AY217" i="4"/>
  <c r="AY218" i="4"/>
  <c r="AY233" i="4"/>
  <c r="AY236" i="4"/>
  <c r="AY237" i="4"/>
  <c r="AY239" i="4"/>
  <c r="AY240" i="4"/>
  <c r="AY241" i="4"/>
  <c r="AY242" i="4"/>
  <c r="AY244" i="4"/>
  <c r="AY339" i="4"/>
  <c r="AY346" i="4"/>
  <c r="AY350" i="4"/>
  <c r="AZ138" i="4"/>
  <c r="AZ139" i="4"/>
  <c r="AZ142" i="4"/>
  <c r="AZ149" i="4"/>
  <c r="AZ230" i="4"/>
  <c r="AZ186" i="4"/>
  <c r="AZ187" i="4"/>
  <c r="AZ202" i="4"/>
  <c r="AY201" i="4"/>
  <c r="AY199" i="4"/>
  <c r="AY204" i="4"/>
  <c r="AZ200" i="4"/>
  <c r="AZ203" i="4"/>
  <c r="AZ188" i="4"/>
  <c r="AZ189" i="4"/>
  <c r="AZ190" i="4"/>
  <c r="AZ232" i="4"/>
  <c r="AZ213" i="4"/>
  <c r="AZ214" i="4"/>
  <c r="AZ215" i="4"/>
  <c r="AZ216" i="4"/>
  <c r="AZ217" i="4"/>
  <c r="AZ218" i="4"/>
  <c r="AZ233" i="4"/>
  <c r="AZ236" i="4"/>
  <c r="AZ237" i="4"/>
  <c r="AZ239" i="4"/>
  <c r="AZ240" i="4"/>
  <c r="AZ241" i="4"/>
  <c r="AZ242" i="4"/>
  <c r="AZ244" i="4"/>
  <c r="AZ339" i="4"/>
  <c r="AZ346" i="4"/>
  <c r="AZ350" i="4"/>
  <c r="BA138" i="4"/>
  <c r="BA139" i="4"/>
  <c r="BA142" i="4"/>
  <c r="BA149" i="4"/>
  <c r="BA230" i="4"/>
  <c r="BA186" i="4"/>
  <c r="BA187" i="4"/>
  <c r="BA202" i="4"/>
  <c r="AZ201" i="4"/>
  <c r="AZ199" i="4"/>
  <c r="AZ204" i="4"/>
  <c r="BA200" i="4"/>
  <c r="BA203" i="4"/>
  <c r="BA188" i="4"/>
  <c r="BA189" i="4"/>
  <c r="BA190" i="4"/>
  <c r="BA232" i="4"/>
  <c r="BA213" i="4"/>
  <c r="BA214" i="4"/>
  <c r="BA215" i="4"/>
  <c r="BA216" i="4"/>
  <c r="BA217" i="4"/>
  <c r="BA218" i="4"/>
  <c r="BA233" i="4"/>
  <c r="BA236" i="4"/>
  <c r="BA237" i="4"/>
  <c r="BA239" i="4"/>
  <c r="BA240" i="4"/>
  <c r="BA241" i="4"/>
  <c r="BA242" i="4"/>
  <c r="BA244" i="4"/>
  <c r="BA339" i="4"/>
  <c r="BA346" i="4"/>
  <c r="BA350" i="4"/>
  <c r="BB138" i="4"/>
  <c r="BB139" i="4"/>
  <c r="BB142" i="4"/>
  <c r="BB149" i="4"/>
  <c r="BB230" i="4"/>
  <c r="BB186" i="4"/>
  <c r="BB187" i="4"/>
  <c r="BB202" i="4"/>
  <c r="BA201" i="4"/>
  <c r="BA199" i="4"/>
  <c r="BA204" i="4"/>
  <c r="BB200" i="4"/>
  <c r="BB203" i="4"/>
  <c r="BB188" i="4"/>
  <c r="BB189" i="4"/>
  <c r="BB190" i="4"/>
  <c r="BB232" i="4"/>
  <c r="BB213" i="4"/>
  <c r="BB214" i="4"/>
  <c r="BB215" i="4"/>
  <c r="BB216" i="4"/>
  <c r="BB217" i="4"/>
  <c r="BB218" i="4"/>
  <c r="BB233" i="4"/>
  <c r="BB236" i="4"/>
  <c r="BB237" i="4"/>
  <c r="BB239" i="4"/>
  <c r="BB240" i="4"/>
  <c r="BB241" i="4"/>
  <c r="BB242" i="4"/>
  <c r="BB244" i="4"/>
  <c r="BB339" i="4"/>
  <c r="BB346" i="4"/>
  <c r="BB350" i="4"/>
  <c r="BC138" i="4"/>
  <c r="BC139" i="4"/>
  <c r="BC142" i="4"/>
  <c r="BC149" i="4"/>
  <c r="BC230" i="4"/>
  <c r="BC186" i="4"/>
  <c r="BC187" i="4"/>
  <c r="BC202" i="4"/>
  <c r="BB201" i="4"/>
  <c r="BB199" i="4"/>
  <c r="BB204" i="4"/>
  <c r="BC200" i="4"/>
  <c r="BC203" i="4"/>
  <c r="BC188" i="4"/>
  <c r="BC189" i="4"/>
  <c r="BC190" i="4"/>
  <c r="BC232" i="4"/>
  <c r="BC213" i="4"/>
  <c r="BC214" i="4"/>
  <c r="BC215" i="4"/>
  <c r="BC216" i="4"/>
  <c r="BC217" i="4"/>
  <c r="BC218" i="4"/>
  <c r="BC233" i="4"/>
  <c r="BC236" i="4"/>
  <c r="BC237" i="4"/>
  <c r="BC239" i="4"/>
  <c r="BC240" i="4"/>
  <c r="BC241" i="4"/>
  <c r="BC242" i="4"/>
  <c r="BC244" i="4"/>
  <c r="BC339" i="4"/>
  <c r="BC346" i="4"/>
  <c r="BC350" i="4"/>
  <c r="BD138" i="4"/>
  <c r="BD139" i="4"/>
  <c r="BD142" i="4"/>
  <c r="BD149" i="4"/>
  <c r="BD230" i="4"/>
  <c r="BD186" i="4"/>
  <c r="BD187" i="4"/>
  <c r="BD202" i="4"/>
  <c r="BC201" i="4"/>
  <c r="BC199" i="4"/>
  <c r="BC204" i="4"/>
  <c r="BD200" i="4"/>
  <c r="BD203" i="4"/>
  <c r="BD188" i="4"/>
  <c r="BD189" i="4"/>
  <c r="BD190" i="4"/>
  <c r="BD232" i="4"/>
  <c r="BD213" i="4"/>
  <c r="BD214" i="4"/>
  <c r="BD215" i="4"/>
  <c r="BD216" i="4"/>
  <c r="BD217" i="4"/>
  <c r="BD218" i="4"/>
  <c r="BD233" i="4"/>
  <c r="BD236" i="4"/>
  <c r="BD237" i="4"/>
  <c r="BD239" i="4"/>
  <c r="BD240" i="4"/>
  <c r="BD241" i="4"/>
  <c r="BD242" i="4"/>
  <c r="BD244" i="4"/>
  <c r="BD339" i="4"/>
  <c r="BD346" i="4"/>
  <c r="BD350" i="4"/>
  <c r="C351" i="4"/>
  <c r="D25" i="2"/>
  <c r="D27" i="2"/>
  <c r="G268" i="4"/>
  <c r="G270" i="4"/>
  <c r="G271" i="4"/>
  <c r="G274" i="4"/>
  <c r="G275" i="4"/>
  <c r="G276" i="4"/>
  <c r="G281" i="4"/>
  <c r="G282" i="4"/>
  <c r="H254" i="4"/>
  <c r="H268" i="4"/>
  <c r="H256" i="4"/>
  <c r="H270" i="4"/>
  <c r="H257" i="4"/>
  <c r="H271" i="4"/>
  <c r="H260" i="4"/>
  <c r="H274" i="4"/>
  <c r="H261" i="4"/>
  <c r="H275" i="4"/>
  <c r="H276" i="4"/>
  <c r="H281" i="4"/>
  <c r="H282" i="4"/>
  <c r="G283" i="4"/>
  <c r="I254" i="4"/>
  <c r="I268" i="4"/>
  <c r="I256" i="4"/>
  <c r="I270" i="4"/>
  <c r="I257" i="4"/>
  <c r="I271" i="4"/>
  <c r="I260" i="4"/>
  <c r="I274" i="4"/>
  <c r="I261" i="4"/>
  <c r="I275" i="4"/>
  <c r="I276" i="4"/>
  <c r="I281" i="4"/>
  <c r="I282" i="4"/>
  <c r="H283" i="4"/>
  <c r="J254" i="4"/>
  <c r="J268" i="4"/>
  <c r="J256" i="4"/>
  <c r="J270" i="4"/>
  <c r="J257" i="4"/>
  <c r="J271" i="4"/>
  <c r="J260" i="4"/>
  <c r="J274" i="4"/>
  <c r="J261" i="4"/>
  <c r="J275" i="4"/>
  <c r="J276" i="4"/>
  <c r="J281" i="4"/>
  <c r="J282" i="4"/>
  <c r="I283" i="4"/>
  <c r="K254" i="4"/>
  <c r="K268" i="4"/>
  <c r="K256" i="4"/>
  <c r="K270" i="4"/>
  <c r="K257" i="4"/>
  <c r="K271" i="4"/>
  <c r="K260" i="4"/>
  <c r="K274" i="4"/>
  <c r="K261" i="4"/>
  <c r="K275" i="4"/>
  <c r="K276" i="4"/>
  <c r="K281" i="4"/>
  <c r="K282" i="4"/>
  <c r="J283" i="4"/>
  <c r="L254" i="4"/>
  <c r="L268" i="4"/>
  <c r="L256" i="4"/>
  <c r="L270" i="4"/>
  <c r="L257" i="4"/>
  <c r="L271" i="4"/>
  <c r="L260" i="4"/>
  <c r="L274" i="4"/>
  <c r="L261" i="4"/>
  <c r="L275" i="4"/>
  <c r="L276" i="4"/>
  <c r="L281" i="4"/>
  <c r="L282" i="4"/>
  <c r="K283" i="4"/>
  <c r="M254" i="4"/>
  <c r="M268" i="4"/>
  <c r="M256" i="4"/>
  <c r="M270" i="4"/>
  <c r="M257" i="4"/>
  <c r="M271" i="4"/>
  <c r="M260" i="4"/>
  <c r="M274" i="4"/>
  <c r="M261" i="4"/>
  <c r="M275" i="4"/>
  <c r="M276" i="4"/>
  <c r="M281" i="4"/>
  <c r="M282" i="4"/>
  <c r="L283" i="4"/>
  <c r="N254" i="4"/>
  <c r="N268" i="4"/>
  <c r="N256" i="4"/>
  <c r="N270" i="4"/>
  <c r="N257" i="4"/>
  <c r="N271" i="4"/>
  <c r="N260" i="4"/>
  <c r="N274" i="4"/>
  <c r="N261" i="4"/>
  <c r="N275" i="4"/>
  <c r="N276" i="4"/>
  <c r="N281" i="4"/>
  <c r="N282" i="4"/>
  <c r="M283" i="4"/>
  <c r="O254" i="4"/>
  <c r="O268" i="4"/>
  <c r="O256" i="4"/>
  <c r="O270" i="4"/>
  <c r="O257" i="4"/>
  <c r="O271" i="4"/>
  <c r="O260" i="4"/>
  <c r="O274" i="4"/>
  <c r="O261" i="4"/>
  <c r="O275" i="4"/>
  <c r="O276" i="4"/>
  <c r="O281" i="4"/>
  <c r="O282" i="4"/>
  <c r="N283" i="4"/>
  <c r="P254" i="4"/>
  <c r="P268" i="4"/>
  <c r="P256" i="4"/>
  <c r="P270" i="4"/>
  <c r="P257" i="4"/>
  <c r="P271" i="4"/>
  <c r="P260" i="4"/>
  <c r="P274" i="4"/>
  <c r="P261" i="4"/>
  <c r="P275" i="4"/>
  <c r="P276" i="4"/>
  <c r="P281" i="4"/>
  <c r="P282" i="4"/>
  <c r="O283" i="4"/>
  <c r="Q254" i="4"/>
  <c r="Q268" i="4"/>
  <c r="Q256" i="4"/>
  <c r="Q270" i="4"/>
  <c r="Q257" i="4"/>
  <c r="Q271" i="4"/>
  <c r="Q260" i="4"/>
  <c r="Q274" i="4"/>
  <c r="Q261" i="4"/>
  <c r="Q275" i="4"/>
  <c r="Q276" i="4"/>
  <c r="Q281" i="4"/>
  <c r="Q282" i="4"/>
  <c r="P283" i="4"/>
  <c r="R254" i="4"/>
  <c r="R268" i="4"/>
  <c r="R256" i="4"/>
  <c r="R270" i="4"/>
  <c r="R257" i="4"/>
  <c r="R271" i="4"/>
  <c r="R260" i="4"/>
  <c r="R274" i="4"/>
  <c r="R261" i="4"/>
  <c r="R275" i="4"/>
  <c r="R276" i="4"/>
  <c r="R281" i="4"/>
  <c r="R282" i="4"/>
  <c r="Q283" i="4"/>
  <c r="S254" i="4"/>
  <c r="S268" i="4"/>
  <c r="S256" i="4"/>
  <c r="S270" i="4"/>
  <c r="S257" i="4"/>
  <c r="S271" i="4"/>
  <c r="S260" i="4"/>
  <c r="S274" i="4"/>
  <c r="S261" i="4"/>
  <c r="S275" i="4"/>
  <c r="S276" i="4"/>
  <c r="S281" i="4"/>
  <c r="S282" i="4"/>
  <c r="R283" i="4"/>
  <c r="T254" i="4"/>
  <c r="T268" i="4"/>
  <c r="T256" i="4"/>
  <c r="T270" i="4"/>
  <c r="T257" i="4"/>
  <c r="T271" i="4"/>
  <c r="T260" i="4"/>
  <c r="T274" i="4"/>
  <c r="T261" i="4"/>
  <c r="T275" i="4"/>
  <c r="T276" i="4"/>
  <c r="T281" i="4"/>
  <c r="T282" i="4"/>
  <c r="S283" i="4"/>
  <c r="U254" i="4"/>
  <c r="U268" i="4"/>
  <c r="U256" i="4"/>
  <c r="U270" i="4"/>
  <c r="U257" i="4"/>
  <c r="U271" i="4"/>
  <c r="U260" i="4"/>
  <c r="U274" i="4"/>
  <c r="U261" i="4"/>
  <c r="U275" i="4"/>
  <c r="U276" i="4"/>
  <c r="U281" i="4"/>
  <c r="U282" i="4"/>
  <c r="T283" i="4"/>
  <c r="V254" i="4"/>
  <c r="V268" i="4"/>
  <c r="V256" i="4"/>
  <c r="V270" i="4"/>
  <c r="V257" i="4"/>
  <c r="V271" i="4"/>
  <c r="V260" i="4"/>
  <c r="V274" i="4"/>
  <c r="V261" i="4"/>
  <c r="V275" i="4"/>
  <c r="V276" i="4"/>
  <c r="V281" i="4"/>
  <c r="V282" i="4"/>
  <c r="U283" i="4"/>
  <c r="W254" i="4"/>
  <c r="W268" i="4"/>
  <c r="W256" i="4"/>
  <c r="W270" i="4"/>
  <c r="W257" i="4"/>
  <c r="W271" i="4"/>
  <c r="W260" i="4"/>
  <c r="W274" i="4"/>
  <c r="W261" i="4"/>
  <c r="W275" i="4"/>
  <c r="W276" i="4"/>
  <c r="W281" i="4"/>
  <c r="W282" i="4"/>
  <c r="V283" i="4"/>
  <c r="X254" i="4"/>
  <c r="X268" i="4"/>
  <c r="X256" i="4"/>
  <c r="X270" i="4"/>
  <c r="X257" i="4"/>
  <c r="X271" i="4"/>
  <c r="X260" i="4"/>
  <c r="X274" i="4"/>
  <c r="X261" i="4"/>
  <c r="X275" i="4"/>
  <c r="X276" i="4"/>
  <c r="X281" i="4"/>
  <c r="X282" i="4"/>
  <c r="W283" i="4"/>
  <c r="Y254" i="4"/>
  <c r="Y268" i="4"/>
  <c r="Y256" i="4"/>
  <c r="Y270" i="4"/>
  <c r="Y257" i="4"/>
  <c r="Y271" i="4"/>
  <c r="Y260" i="4"/>
  <c r="Y274" i="4"/>
  <c r="Y261" i="4"/>
  <c r="Y275" i="4"/>
  <c r="Y276" i="4"/>
  <c r="Y281" i="4"/>
  <c r="Y282" i="4"/>
  <c r="X283" i="4"/>
  <c r="Z254" i="4"/>
  <c r="Z268" i="4"/>
  <c r="Z256" i="4"/>
  <c r="Z270" i="4"/>
  <c r="Z257" i="4"/>
  <c r="Z271" i="4"/>
  <c r="Z260" i="4"/>
  <c r="Z274" i="4"/>
  <c r="Z261" i="4"/>
  <c r="Z275" i="4"/>
  <c r="Z276" i="4"/>
  <c r="Z281" i="4"/>
  <c r="Z282" i="4"/>
  <c r="Y283" i="4"/>
  <c r="AA254" i="4"/>
  <c r="AA268" i="4"/>
  <c r="AA256" i="4"/>
  <c r="AA270" i="4"/>
  <c r="AA257" i="4"/>
  <c r="AA271" i="4"/>
  <c r="AA260" i="4"/>
  <c r="AA274" i="4"/>
  <c r="AA261" i="4"/>
  <c r="AA275" i="4"/>
  <c r="AA276" i="4"/>
  <c r="AA281" i="4"/>
  <c r="AA282" i="4"/>
  <c r="Z283" i="4"/>
  <c r="AB254" i="4"/>
  <c r="AB268" i="4"/>
  <c r="AB256" i="4"/>
  <c r="AB270" i="4"/>
  <c r="AB257" i="4"/>
  <c r="AB271" i="4"/>
  <c r="AB260" i="4"/>
  <c r="AB274" i="4"/>
  <c r="AB261" i="4"/>
  <c r="AB275" i="4"/>
  <c r="AB276" i="4"/>
  <c r="AB281" i="4"/>
  <c r="AB282" i="4"/>
  <c r="AA283" i="4"/>
  <c r="AC254" i="4"/>
  <c r="AC268" i="4"/>
  <c r="AC256" i="4"/>
  <c r="AC270" i="4"/>
  <c r="AC257" i="4"/>
  <c r="AC271" i="4"/>
  <c r="AC260" i="4"/>
  <c r="AC274" i="4"/>
  <c r="AC261" i="4"/>
  <c r="AC275" i="4"/>
  <c r="AC276" i="4"/>
  <c r="AC281" i="4"/>
  <c r="AC282" i="4"/>
  <c r="AB283" i="4"/>
  <c r="AD254" i="4"/>
  <c r="AD268" i="4"/>
  <c r="AD256" i="4"/>
  <c r="AD270" i="4"/>
  <c r="AD257" i="4"/>
  <c r="AD271" i="4"/>
  <c r="AD260" i="4"/>
  <c r="AD274" i="4"/>
  <c r="AD261" i="4"/>
  <c r="AD275" i="4"/>
  <c r="AD276" i="4"/>
  <c r="AD281" i="4"/>
  <c r="AD282" i="4"/>
  <c r="AC283" i="4"/>
  <c r="AE254" i="4"/>
  <c r="AE268" i="4"/>
  <c r="AE256" i="4"/>
  <c r="AE270" i="4"/>
  <c r="AE257" i="4"/>
  <c r="AE271" i="4"/>
  <c r="AE260" i="4"/>
  <c r="AE274" i="4"/>
  <c r="AE261" i="4"/>
  <c r="AE275" i="4"/>
  <c r="AE276" i="4"/>
  <c r="AE281" i="4"/>
  <c r="AE282" i="4"/>
  <c r="AD283" i="4"/>
  <c r="AF254" i="4"/>
  <c r="AF268" i="4"/>
  <c r="AF256" i="4"/>
  <c r="AF270" i="4"/>
  <c r="AF257" i="4"/>
  <c r="AF271" i="4"/>
  <c r="AF260" i="4"/>
  <c r="AF274" i="4"/>
  <c r="AF261" i="4"/>
  <c r="AF275" i="4"/>
  <c r="AF276" i="4"/>
  <c r="AF281" i="4"/>
  <c r="AF282" i="4"/>
  <c r="AE283" i="4"/>
  <c r="AG254" i="4"/>
  <c r="AG268" i="4"/>
  <c r="AG256" i="4"/>
  <c r="AG270" i="4"/>
  <c r="AG257" i="4"/>
  <c r="AG271" i="4"/>
  <c r="AG260" i="4"/>
  <c r="AG274" i="4"/>
  <c r="AG261" i="4"/>
  <c r="AG275" i="4"/>
  <c r="AG276" i="4"/>
  <c r="AG281" i="4"/>
  <c r="AG282" i="4"/>
  <c r="AF283" i="4"/>
  <c r="AH254" i="4"/>
  <c r="AH268" i="4"/>
  <c r="AH256" i="4"/>
  <c r="AH270" i="4"/>
  <c r="AH257" i="4"/>
  <c r="AH271" i="4"/>
  <c r="AH260" i="4"/>
  <c r="AH274" i="4"/>
  <c r="AH261" i="4"/>
  <c r="AH275" i="4"/>
  <c r="AH276" i="4"/>
  <c r="AH281" i="4"/>
  <c r="AH282" i="4"/>
  <c r="AG283" i="4"/>
  <c r="AI254" i="4"/>
  <c r="AI268" i="4"/>
  <c r="AI256" i="4"/>
  <c r="AI270" i="4"/>
  <c r="AI257" i="4"/>
  <c r="AI271" i="4"/>
  <c r="AI260" i="4"/>
  <c r="AI274" i="4"/>
  <c r="AI261" i="4"/>
  <c r="AI275" i="4"/>
  <c r="AI276" i="4"/>
  <c r="AI281" i="4"/>
  <c r="AI282" i="4"/>
  <c r="AH283" i="4"/>
  <c r="AJ254" i="4"/>
  <c r="AJ268" i="4"/>
  <c r="AJ256" i="4"/>
  <c r="AJ270" i="4"/>
  <c r="AJ257" i="4"/>
  <c r="AJ271" i="4"/>
  <c r="AJ260" i="4"/>
  <c r="AJ274" i="4"/>
  <c r="AJ261" i="4"/>
  <c r="AJ275" i="4"/>
  <c r="AJ276" i="4"/>
  <c r="AJ281" i="4"/>
  <c r="AJ282" i="4"/>
  <c r="AI283" i="4"/>
  <c r="AK254" i="4"/>
  <c r="AK268" i="4"/>
  <c r="AK256" i="4"/>
  <c r="AK270" i="4"/>
  <c r="AK257" i="4"/>
  <c r="AK271" i="4"/>
  <c r="AK260" i="4"/>
  <c r="AK274" i="4"/>
  <c r="AK261" i="4"/>
  <c r="AK275" i="4"/>
  <c r="AK276" i="4"/>
  <c r="AK281" i="4"/>
  <c r="AK282" i="4"/>
  <c r="AJ283" i="4"/>
  <c r="AL254" i="4"/>
  <c r="AL268" i="4"/>
  <c r="AL256" i="4"/>
  <c r="AL270" i="4"/>
  <c r="AL257" i="4"/>
  <c r="AL271" i="4"/>
  <c r="AL260" i="4"/>
  <c r="AL274" i="4"/>
  <c r="AL261" i="4"/>
  <c r="AL275" i="4"/>
  <c r="AL276" i="4"/>
  <c r="AL281" i="4"/>
  <c r="AL282" i="4"/>
  <c r="AK283" i="4"/>
  <c r="AM254" i="4"/>
  <c r="AM268" i="4"/>
  <c r="AM256" i="4"/>
  <c r="AM270" i="4"/>
  <c r="AM257" i="4"/>
  <c r="AM271" i="4"/>
  <c r="AM260" i="4"/>
  <c r="AM274" i="4"/>
  <c r="AM261" i="4"/>
  <c r="AM275" i="4"/>
  <c r="AM276" i="4"/>
  <c r="AM281" i="4"/>
  <c r="AM282" i="4"/>
  <c r="AL283" i="4"/>
  <c r="AN254" i="4"/>
  <c r="AN268" i="4"/>
  <c r="AN256" i="4"/>
  <c r="AN270" i="4"/>
  <c r="AN257" i="4"/>
  <c r="AN271" i="4"/>
  <c r="AN260" i="4"/>
  <c r="AN274" i="4"/>
  <c r="AN261" i="4"/>
  <c r="AN275" i="4"/>
  <c r="AN276" i="4"/>
  <c r="AN281" i="4"/>
  <c r="AN282" i="4"/>
  <c r="AM283" i="4"/>
  <c r="AO254" i="4"/>
  <c r="AO268" i="4"/>
  <c r="AO256" i="4"/>
  <c r="AO270" i="4"/>
  <c r="AO257" i="4"/>
  <c r="AO271" i="4"/>
  <c r="AO260" i="4"/>
  <c r="AO274" i="4"/>
  <c r="AO261" i="4"/>
  <c r="AO275" i="4"/>
  <c r="AO276" i="4"/>
  <c r="AO281" i="4"/>
  <c r="AO282" i="4"/>
  <c r="AN283" i="4"/>
  <c r="AP254" i="4"/>
  <c r="AP268" i="4"/>
  <c r="AP256" i="4"/>
  <c r="AP270" i="4"/>
  <c r="AP257" i="4"/>
  <c r="AP271" i="4"/>
  <c r="AP260" i="4"/>
  <c r="AP274" i="4"/>
  <c r="AP261" i="4"/>
  <c r="AP275" i="4"/>
  <c r="AP276" i="4"/>
  <c r="AP281" i="4"/>
  <c r="AP282" i="4"/>
  <c r="AO283" i="4"/>
  <c r="AQ254" i="4"/>
  <c r="AQ268" i="4"/>
  <c r="AQ256" i="4"/>
  <c r="AQ270" i="4"/>
  <c r="AQ257" i="4"/>
  <c r="AQ271" i="4"/>
  <c r="AQ260" i="4"/>
  <c r="AQ274" i="4"/>
  <c r="AQ261" i="4"/>
  <c r="AQ275" i="4"/>
  <c r="AQ276" i="4"/>
  <c r="AQ281" i="4"/>
  <c r="AQ282" i="4"/>
  <c r="AP283" i="4"/>
  <c r="AR254" i="4"/>
  <c r="AR268" i="4"/>
  <c r="AR256" i="4"/>
  <c r="AR270" i="4"/>
  <c r="AR257" i="4"/>
  <c r="AR271" i="4"/>
  <c r="AR260" i="4"/>
  <c r="AR274" i="4"/>
  <c r="AR261" i="4"/>
  <c r="AR275" i="4"/>
  <c r="AR276" i="4"/>
  <c r="AR281" i="4"/>
  <c r="AR282" i="4"/>
  <c r="AQ283" i="4"/>
  <c r="AS254" i="4"/>
  <c r="AS268" i="4"/>
  <c r="AS256" i="4"/>
  <c r="AS270" i="4"/>
  <c r="AS257" i="4"/>
  <c r="AS271" i="4"/>
  <c r="AS260" i="4"/>
  <c r="AS274" i="4"/>
  <c r="AS261" i="4"/>
  <c r="AS275" i="4"/>
  <c r="AS276" i="4"/>
  <c r="AS281" i="4"/>
  <c r="AS282" i="4"/>
  <c r="AR283" i="4"/>
  <c r="AT254" i="4"/>
  <c r="AT268" i="4"/>
  <c r="AT256" i="4"/>
  <c r="AT270" i="4"/>
  <c r="AT257" i="4"/>
  <c r="AT271" i="4"/>
  <c r="AT260" i="4"/>
  <c r="AT274" i="4"/>
  <c r="AT261" i="4"/>
  <c r="AT275" i="4"/>
  <c r="AT276" i="4"/>
  <c r="AT281" i="4"/>
  <c r="AT282" i="4"/>
  <c r="AS283" i="4"/>
  <c r="AU254" i="4"/>
  <c r="AU268" i="4"/>
  <c r="AU256" i="4"/>
  <c r="AU270" i="4"/>
  <c r="AU257" i="4"/>
  <c r="AU271" i="4"/>
  <c r="AU260" i="4"/>
  <c r="AU274" i="4"/>
  <c r="AU261" i="4"/>
  <c r="AU275" i="4"/>
  <c r="AU276" i="4"/>
  <c r="AU281" i="4"/>
  <c r="AU282" i="4"/>
  <c r="AT283" i="4"/>
  <c r="AV254" i="4"/>
  <c r="AV268" i="4"/>
  <c r="AV256" i="4"/>
  <c r="AV270" i="4"/>
  <c r="AV257" i="4"/>
  <c r="AV271" i="4"/>
  <c r="AV260" i="4"/>
  <c r="AV274" i="4"/>
  <c r="AV261" i="4"/>
  <c r="AV275" i="4"/>
  <c r="AV276" i="4"/>
  <c r="AV281" i="4"/>
  <c r="AV282" i="4"/>
  <c r="AU283" i="4"/>
  <c r="AW254" i="4"/>
  <c r="AW268" i="4"/>
  <c r="AW256" i="4"/>
  <c r="AW270" i="4"/>
  <c r="AW257" i="4"/>
  <c r="AW271" i="4"/>
  <c r="AW260" i="4"/>
  <c r="AW274" i="4"/>
  <c r="AW261" i="4"/>
  <c r="AW275" i="4"/>
  <c r="AW276" i="4"/>
  <c r="AW281" i="4"/>
  <c r="AW282" i="4"/>
  <c r="AV283" i="4"/>
  <c r="AX254" i="4"/>
  <c r="AX268" i="4"/>
  <c r="AX256" i="4"/>
  <c r="AX270" i="4"/>
  <c r="AX257" i="4"/>
  <c r="AX271" i="4"/>
  <c r="AX260" i="4"/>
  <c r="AX274" i="4"/>
  <c r="AX261" i="4"/>
  <c r="AX275" i="4"/>
  <c r="AX276" i="4"/>
  <c r="AX281" i="4"/>
  <c r="AX282" i="4"/>
  <c r="AW283" i="4"/>
  <c r="AY254" i="4"/>
  <c r="AY268" i="4"/>
  <c r="AY256" i="4"/>
  <c r="AY270" i="4"/>
  <c r="AY257" i="4"/>
  <c r="AY271" i="4"/>
  <c r="AY260" i="4"/>
  <c r="AY274" i="4"/>
  <c r="AY261" i="4"/>
  <c r="AY275" i="4"/>
  <c r="AY276" i="4"/>
  <c r="AY281" i="4"/>
  <c r="AY282" i="4"/>
  <c r="AX283" i="4"/>
  <c r="AZ254" i="4"/>
  <c r="AZ268" i="4"/>
  <c r="AZ256" i="4"/>
  <c r="AZ270" i="4"/>
  <c r="AZ257" i="4"/>
  <c r="AZ271" i="4"/>
  <c r="AZ260" i="4"/>
  <c r="AZ274" i="4"/>
  <c r="AZ261" i="4"/>
  <c r="AZ275" i="4"/>
  <c r="AZ276" i="4"/>
  <c r="AZ281" i="4"/>
  <c r="AZ282" i="4"/>
  <c r="AY283" i="4"/>
  <c r="BA254" i="4"/>
  <c r="BA268" i="4"/>
  <c r="BA256" i="4"/>
  <c r="BA270" i="4"/>
  <c r="BA257" i="4"/>
  <c r="BA271" i="4"/>
  <c r="BA260" i="4"/>
  <c r="BA274" i="4"/>
  <c r="BA261" i="4"/>
  <c r="BA275" i="4"/>
  <c r="BA276" i="4"/>
  <c r="BA281" i="4"/>
  <c r="BA282" i="4"/>
  <c r="AZ283" i="4"/>
  <c r="BB254" i="4"/>
  <c r="BB268" i="4"/>
  <c r="BB256" i="4"/>
  <c r="BB270" i="4"/>
  <c r="BB257" i="4"/>
  <c r="BB271" i="4"/>
  <c r="BB260" i="4"/>
  <c r="BB274" i="4"/>
  <c r="BB261" i="4"/>
  <c r="BB275" i="4"/>
  <c r="BB276" i="4"/>
  <c r="BB281" i="4"/>
  <c r="BB282" i="4"/>
  <c r="BA283" i="4"/>
  <c r="BC254" i="4"/>
  <c r="BC268" i="4"/>
  <c r="BC256" i="4"/>
  <c r="BC270" i="4"/>
  <c r="BC257" i="4"/>
  <c r="BC271" i="4"/>
  <c r="BC260" i="4"/>
  <c r="BC274" i="4"/>
  <c r="BC261" i="4"/>
  <c r="BC275" i="4"/>
  <c r="BC276" i="4"/>
  <c r="BC281" i="4"/>
  <c r="BC282" i="4"/>
  <c r="BB283" i="4"/>
  <c r="BD254" i="4"/>
  <c r="BD268" i="4"/>
  <c r="BD256" i="4"/>
  <c r="BD270" i="4"/>
  <c r="BD257" i="4"/>
  <c r="BD271" i="4"/>
  <c r="BD260" i="4"/>
  <c r="BD274" i="4"/>
  <c r="BD261" i="4"/>
  <c r="BD275" i="4"/>
  <c r="BD276" i="4"/>
  <c r="BD281" i="4"/>
  <c r="BD282" i="4"/>
  <c r="BC283" i="4"/>
  <c r="BD283" i="4"/>
  <c r="C283" i="4"/>
  <c r="D28" i="2"/>
  <c r="G286" i="4"/>
  <c r="G287" i="4"/>
  <c r="H286" i="4"/>
  <c r="H287" i="4"/>
  <c r="G288" i="4"/>
  <c r="I286" i="4"/>
  <c r="I287" i="4"/>
  <c r="H288" i="4"/>
  <c r="J286" i="4"/>
  <c r="J287" i="4"/>
  <c r="I288" i="4"/>
  <c r="K286" i="4"/>
  <c r="K287" i="4"/>
  <c r="J288" i="4"/>
  <c r="L286" i="4"/>
  <c r="L287" i="4"/>
  <c r="K288" i="4"/>
  <c r="M286" i="4"/>
  <c r="M287" i="4"/>
  <c r="L288" i="4"/>
  <c r="N286" i="4"/>
  <c r="N287" i="4"/>
  <c r="M288" i="4"/>
  <c r="O286" i="4"/>
  <c r="O287" i="4"/>
  <c r="N288" i="4"/>
  <c r="P286" i="4"/>
  <c r="P287" i="4"/>
  <c r="O288" i="4"/>
  <c r="Q286" i="4"/>
  <c r="Q287" i="4"/>
  <c r="P288" i="4"/>
  <c r="R286" i="4"/>
  <c r="R287" i="4"/>
  <c r="Q288" i="4"/>
  <c r="S286" i="4"/>
  <c r="S287" i="4"/>
  <c r="R288" i="4"/>
  <c r="T286" i="4"/>
  <c r="T287" i="4"/>
  <c r="S288" i="4"/>
  <c r="U286" i="4"/>
  <c r="U287" i="4"/>
  <c r="T288" i="4"/>
  <c r="V286" i="4"/>
  <c r="V287" i="4"/>
  <c r="U288" i="4"/>
  <c r="W286" i="4"/>
  <c r="W287" i="4"/>
  <c r="V288" i="4"/>
  <c r="X286" i="4"/>
  <c r="X287" i="4"/>
  <c r="W288" i="4"/>
  <c r="Y286" i="4"/>
  <c r="Y287" i="4"/>
  <c r="X288" i="4"/>
  <c r="Z286" i="4"/>
  <c r="Z287" i="4"/>
  <c r="Y288" i="4"/>
  <c r="AA286" i="4"/>
  <c r="AA287" i="4"/>
  <c r="Z288" i="4"/>
  <c r="AB286" i="4"/>
  <c r="AB287" i="4"/>
  <c r="AA288" i="4"/>
  <c r="AC286" i="4"/>
  <c r="AC287" i="4"/>
  <c r="AB288" i="4"/>
  <c r="AD286" i="4"/>
  <c r="AD287" i="4"/>
  <c r="AC288" i="4"/>
  <c r="AE286" i="4"/>
  <c r="AE287" i="4"/>
  <c r="AD288" i="4"/>
  <c r="AF286" i="4"/>
  <c r="AF287" i="4"/>
  <c r="AE288" i="4"/>
  <c r="AG286" i="4"/>
  <c r="AG287" i="4"/>
  <c r="AF288" i="4"/>
  <c r="AH286" i="4"/>
  <c r="AH287" i="4"/>
  <c r="AG288" i="4"/>
  <c r="AI286" i="4"/>
  <c r="AI287" i="4"/>
  <c r="AH288" i="4"/>
  <c r="AJ286" i="4"/>
  <c r="AJ287" i="4"/>
  <c r="AI288" i="4"/>
  <c r="AK286" i="4"/>
  <c r="AK287" i="4"/>
  <c r="AJ288" i="4"/>
  <c r="AL286" i="4"/>
  <c r="AL287" i="4"/>
  <c r="AK288" i="4"/>
  <c r="AM286" i="4"/>
  <c r="AM287" i="4"/>
  <c r="AL288" i="4"/>
  <c r="AN286" i="4"/>
  <c r="AN287" i="4"/>
  <c r="AM288" i="4"/>
  <c r="AO286" i="4"/>
  <c r="AO287" i="4"/>
  <c r="AN288" i="4"/>
  <c r="AP286" i="4"/>
  <c r="AP287" i="4"/>
  <c r="AO288" i="4"/>
  <c r="AQ286" i="4"/>
  <c r="AQ287" i="4"/>
  <c r="AP288" i="4"/>
  <c r="AR286" i="4"/>
  <c r="AR287" i="4"/>
  <c r="AQ288" i="4"/>
  <c r="AS286" i="4"/>
  <c r="AS287" i="4"/>
  <c r="AR288" i="4"/>
  <c r="AT286" i="4"/>
  <c r="AT287" i="4"/>
  <c r="AS288" i="4"/>
  <c r="AU286" i="4"/>
  <c r="AU287" i="4"/>
  <c r="AT288" i="4"/>
  <c r="AV286" i="4"/>
  <c r="AV287" i="4"/>
  <c r="AU288" i="4"/>
  <c r="AW286" i="4"/>
  <c r="AW287" i="4"/>
  <c r="AV288" i="4"/>
  <c r="AX286" i="4"/>
  <c r="AX287" i="4"/>
  <c r="AW288" i="4"/>
  <c r="AY286" i="4"/>
  <c r="AY287" i="4"/>
  <c r="AX288" i="4"/>
  <c r="AZ286" i="4"/>
  <c r="AZ287" i="4"/>
  <c r="AY288" i="4"/>
  <c r="BA286" i="4"/>
  <c r="BA287" i="4"/>
  <c r="AZ288" i="4"/>
  <c r="BB286" i="4"/>
  <c r="BB287" i="4"/>
  <c r="BA288" i="4"/>
  <c r="BC286" i="4"/>
  <c r="BC287" i="4"/>
  <c r="BB288" i="4"/>
  <c r="BD286" i="4"/>
  <c r="BD287" i="4"/>
  <c r="BC288" i="4"/>
  <c r="BD288" i="4"/>
  <c r="C288" i="4"/>
  <c r="D29" i="2"/>
  <c r="G296" i="4"/>
  <c r="G312" i="4"/>
  <c r="G379" i="4"/>
  <c r="G297" i="4"/>
  <c r="G313" i="4"/>
  <c r="G380" i="4"/>
  <c r="G298" i="4"/>
  <c r="G314" i="4"/>
  <c r="G381" i="4"/>
  <c r="G301" i="4"/>
  <c r="G317" i="4"/>
  <c r="G384" i="4"/>
  <c r="G302" i="4"/>
  <c r="G318" i="4"/>
  <c r="G385" i="4"/>
  <c r="G386" i="4"/>
  <c r="H296" i="4"/>
  <c r="H312" i="4"/>
  <c r="H379" i="4"/>
  <c r="H297" i="4"/>
  <c r="H313" i="4"/>
  <c r="H380" i="4"/>
  <c r="H298" i="4"/>
  <c r="H314" i="4"/>
  <c r="H381" i="4"/>
  <c r="H301" i="4"/>
  <c r="H317" i="4"/>
  <c r="H384" i="4"/>
  <c r="H302" i="4"/>
  <c r="H318" i="4"/>
  <c r="H385" i="4"/>
  <c r="H386" i="4"/>
  <c r="I296" i="4"/>
  <c r="I312" i="4"/>
  <c r="I379" i="4"/>
  <c r="I297" i="4"/>
  <c r="I313" i="4"/>
  <c r="I380" i="4"/>
  <c r="I298" i="4"/>
  <c r="I314" i="4"/>
  <c r="I381" i="4"/>
  <c r="I301" i="4"/>
  <c r="I317" i="4"/>
  <c r="I384" i="4"/>
  <c r="I302" i="4"/>
  <c r="I318" i="4"/>
  <c r="I385" i="4"/>
  <c r="I386" i="4"/>
  <c r="J296" i="4"/>
  <c r="J312" i="4"/>
  <c r="J379" i="4"/>
  <c r="J297" i="4"/>
  <c r="J313" i="4"/>
  <c r="J380" i="4"/>
  <c r="J298" i="4"/>
  <c r="J314" i="4"/>
  <c r="J381" i="4"/>
  <c r="J301" i="4"/>
  <c r="J317" i="4"/>
  <c r="J384" i="4"/>
  <c r="J302" i="4"/>
  <c r="J318" i="4"/>
  <c r="J385" i="4"/>
  <c r="J386" i="4"/>
  <c r="K296" i="4"/>
  <c r="K312" i="4"/>
  <c r="K379" i="4"/>
  <c r="K297" i="4"/>
  <c r="K313" i="4"/>
  <c r="K380" i="4"/>
  <c r="K298" i="4"/>
  <c r="K314" i="4"/>
  <c r="K381" i="4"/>
  <c r="K301" i="4"/>
  <c r="K317" i="4"/>
  <c r="K384" i="4"/>
  <c r="K302" i="4"/>
  <c r="K318" i="4"/>
  <c r="K385" i="4"/>
  <c r="K386" i="4"/>
  <c r="L296" i="4"/>
  <c r="L312" i="4"/>
  <c r="L379" i="4"/>
  <c r="L297" i="4"/>
  <c r="L313" i="4"/>
  <c r="L380" i="4"/>
  <c r="L298" i="4"/>
  <c r="L314" i="4"/>
  <c r="L381" i="4"/>
  <c r="L301" i="4"/>
  <c r="L317" i="4"/>
  <c r="L384" i="4"/>
  <c r="L302" i="4"/>
  <c r="L318" i="4"/>
  <c r="L385" i="4"/>
  <c r="L386" i="4"/>
  <c r="M296" i="4"/>
  <c r="M312" i="4"/>
  <c r="M379" i="4"/>
  <c r="M297" i="4"/>
  <c r="M313" i="4"/>
  <c r="M380" i="4"/>
  <c r="M298" i="4"/>
  <c r="M314" i="4"/>
  <c r="M381" i="4"/>
  <c r="M301" i="4"/>
  <c r="M317" i="4"/>
  <c r="M384" i="4"/>
  <c r="M302" i="4"/>
  <c r="M318" i="4"/>
  <c r="M385" i="4"/>
  <c r="M386" i="4"/>
  <c r="N296" i="4"/>
  <c r="N312" i="4"/>
  <c r="N379" i="4"/>
  <c r="N297" i="4"/>
  <c r="N313" i="4"/>
  <c r="N380" i="4"/>
  <c r="N298" i="4"/>
  <c r="N314" i="4"/>
  <c r="N381" i="4"/>
  <c r="N301" i="4"/>
  <c r="N317" i="4"/>
  <c r="N384" i="4"/>
  <c r="N302" i="4"/>
  <c r="N318" i="4"/>
  <c r="N385" i="4"/>
  <c r="N386" i="4"/>
  <c r="O296" i="4"/>
  <c r="O312" i="4"/>
  <c r="O379" i="4"/>
  <c r="O297" i="4"/>
  <c r="O313" i="4"/>
  <c r="O380" i="4"/>
  <c r="O298" i="4"/>
  <c r="O314" i="4"/>
  <c r="O381" i="4"/>
  <c r="O301" i="4"/>
  <c r="O317" i="4"/>
  <c r="O384" i="4"/>
  <c r="O302" i="4"/>
  <c r="O318" i="4"/>
  <c r="O385" i="4"/>
  <c r="O386" i="4"/>
  <c r="P296" i="4"/>
  <c r="P312" i="4"/>
  <c r="P379" i="4"/>
  <c r="P297" i="4"/>
  <c r="P313" i="4"/>
  <c r="P380" i="4"/>
  <c r="P298" i="4"/>
  <c r="P314" i="4"/>
  <c r="P381" i="4"/>
  <c r="P301" i="4"/>
  <c r="P317" i="4"/>
  <c r="P384" i="4"/>
  <c r="P302" i="4"/>
  <c r="P318" i="4"/>
  <c r="P385" i="4"/>
  <c r="P386" i="4"/>
  <c r="Q296" i="4"/>
  <c r="Q312" i="4"/>
  <c r="Q379" i="4"/>
  <c r="Q297" i="4"/>
  <c r="Q313" i="4"/>
  <c r="Q380" i="4"/>
  <c r="Q298" i="4"/>
  <c r="Q314" i="4"/>
  <c r="Q381" i="4"/>
  <c r="Q301" i="4"/>
  <c r="Q317" i="4"/>
  <c r="Q384" i="4"/>
  <c r="Q302" i="4"/>
  <c r="Q318" i="4"/>
  <c r="Q385" i="4"/>
  <c r="Q386" i="4"/>
  <c r="R296" i="4"/>
  <c r="R312" i="4"/>
  <c r="R379" i="4"/>
  <c r="R297" i="4"/>
  <c r="R313" i="4"/>
  <c r="R380" i="4"/>
  <c r="R298" i="4"/>
  <c r="R314" i="4"/>
  <c r="R381" i="4"/>
  <c r="R301" i="4"/>
  <c r="R317" i="4"/>
  <c r="R384" i="4"/>
  <c r="R302" i="4"/>
  <c r="R318" i="4"/>
  <c r="R385" i="4"/>
  <c r="R386" i="4"/>
  <c r="S296" i="4"/>
  <c r="S312" i="4"/>
  <c r="S379" i="4"/>
  <c r="S297" i="4"/>
  <c r="S313" i="4"/>
  <c r="S380" i="4"/>
  <c r="S298" i="4"/>
  <c r="S314" i="4"/>
  <c r="S381" i="4"/>
  <c r="S301" i="4"/>
  <c r="S317" i="4"/>
  <c r="S384" i="4"/>
  <c r="S302" i="4"/>
  <c r="S318" i="4"/>
  <c r="S385" i="4"/>
  <c r="S386" i="4"/>
  <c r="T296" i="4"/>
  <c r="T312" i="4"/>
  <c r="T379" i="4"/>
  <c r="T297" i="4"/>
  <c r="T313" i="4"/>
  <c r="T380" i="4"/>
  <c r="T298" i="4"/>
  <c r="T314" i="4"/>
  <c r="T381" i="4"/>
  <c r="T301" i="4"/>
  <c r="T317" i="4"/>
  <c r="T384" i="4"/>
  <c r="T302" i="4"/>
  <c r="T318" i="4"/>
  <c r="T385" i="4"/>
  <c r="T386" i="4"/>
  <c r="U296" i="4"/>
  <c r="U312" i="4"/>
  <c r="U379" i="4"/>
  <c r="U297" i="4"/>
  <c r="U313" i="4"/>
  <c r="U380" i="4"/>
  <c r="U298" i="4"/>
  <c r="U314" i="4"/>
  <c r="U381" i="4"/>
  <c r="U301" i="4"/>
  <c r="U317" i="4"/>
  <c r="U384" i="4"/>
  <c r="U302" i="4"/>
  <c r="U318" i="4"/>
  <c r="U385" i="4"/>
  <c r="U386" i="4"/>
  <c r="V296" i="4"/>
  <c r="V312" i="4"/>
  <c r="V379" i="4"/>
  <c r="V297" i="4"/>
  <c r="V313" i="4"/>
  <c r="V380" i="4"/>
  <c r="V298" i="4"/>
  <c r="V314" i="4"/>
  <c r="V381" i="4"/>
  <c r="V301" i="4"/>
  <c r="V317" i="4"/>
  <c r="V384" i="4"/>
  <c r="V302" i="4"/>
  <c r="V318" i="4"/>
  <c r="V385" i="4"/>
  <c r="V386" i="4"/>
  <c r="W296" i="4"/>
  <c r="W312" i="4"/>
  <c r="W379" i="4"/>
  <c r="W297" i="4"/>
  <c r="W313" i="4"/>
  <c r="W380" i="4"/>
  <c r="W298" i="4"/>
  <c r="W314" i="4"/>
  <c r="W381" i="4"/>
  <c r="W301" i="4"/>
  <c r="W317" i="4"/>
  <c r="W384" i="4"/>
  <c r="W302" i="4"/>
  <c r="W318" i="4"/>
  <c r="W385" i="4"/>
  <c r="W386" i="4"/>
  <c r="X296" i="4"/>
  <c r="X312" i="4"/>
  <c r="X379" i="4"/>
  <c r="X297" i="4"/>
  <c r="X313" i="4"/>
  <c r="X380" i="4"/>
  <c r="X298" i="4"/>
  <c r="X314" i="4"/>
  <c r="X381" i="4"/>
  <c r="X301" i="4"/>
  <c r="X317" i="4"/>
  <c r="X384" i="4"/>
  <c r="X302" i="4"/>
  <c r="X318" i="4"/>
  <c r="X385" i="4"/>
  <c r="X386" i="4"/>
  <c r="Y296" i="4"/>
  <c r="Y312" i="4"/>
  <c r="Y379" i="4"/>
  <c r="Y297" i="4"/>
  <c r="Y313" i="4"/>
  <c r="Y380" i="4"/>
  <c r="Y298" i="4"/>
  <c r="Y314" i="4"/>
  <c r="Y381" i="4"/>
  <c r="Y301" i="4"/>
  <c r="Y317" i="4"/>
  <c r="Y384" i="4"/>
  <c r="Y302" i="4"/>
  <c r="Y318" i="4"/>
  <c r="Y385" i="4"/>
  <c r="Y386" i="4"/>
  <c r="Z296" i="4"/>
  <c r="Z312" i="4"/>
  <c r="Z379" i="4"/>
  <c r="Z297" i="4"/>
  <c r="Z313" i="4"/>
  <c r="Z380" i="4"/>
  <c r="Z298" i="4"/>
  <c r="Z314" i="4"/>
  <c r="Z381" i="4"/>
  <c r="Z301" i="4"/>
  <c r="Z317" i="4"/>
  <c r="Z384" i="4"/>
  <c r="Z302" i="4"/>
  <c r="Z318" i="4"/>
  <c r="Z385" i="4"/>
  <c r="Z386" i="4"/>
  <c r="AA296" i="4"/>
  <c r="AA312" i="4"/>
  <c r="AA379" i="4"/>
  <c r="AA297" i="4"/>
  <c r="AA313" i="4"/>
  <c r="AA380" i="4"/>
  <c r="AA298" i="4"/>
  <c r="AA314" i="4"/>
  <c r="AA381" i="4"/>
  <c r="AA301" i="4"/>
  <c r="AA317" i="4"/>
  <c r="AA384" i="4"/>
  <c r="AA302" i="4"/>
  <c r="AA318" i="4"/>
  <c r="AA385" i="4"/>
  <c r="AA386" i="4"/>
  <c r="AB296" i="4"/>
  <c r="AB312" i="4"/>
  <c r="AB379" i="4"/>
  <c r="AB297" i="4"/>
  <c r="AB313" i="4"/>
  <c r="AB380" i="4"/>
  <c r="AB298" i="4"/>
  <c r="AB314" i="4"/>
  <c r="AB381" i="4"/>
  <c r="AB301" i="4"/>
  <c r="AB317" i="4"/>
  <c r="AB384" i="4"/>
  <c r="AB302" i="4"/>
  <c r="AB318" i="4"/>
  <c r="AB385" i="4"/>
  <c r="AB386" i="4"/>
  <c r="AC296" i="4"/>
  <c r="AC312" i="4"/>
  <c r="AC379" i="4"/>
  <c r="AC297" i="4"/>
  <c r="AC313" i="4"/>
  <c r="AC380" i="4"/>
  <c r="AC298" i="4"/>
  <c r="AC314" i="4"/>
  <c r="AC381" i="4"/>
  <c r="AC301" i="4"/>
  <c r="AC317" i="4"/>
  <c r="AC384" i="4"/>
  <c r="AC302" i="4"/>
  <c r="AC318" i="4"/>
  <c r="AC385" i="4"/>
  <c r="AC386" i="4"/>
  <c r="AD296" i="4"/>
  <c r="AD312" i="4"/>
  <c r="AD379" i="4"/>
  <c r="AD297" i="4"/>
  <c r="AD313" i="4"/>
  <c r="AD380" i="4"/>
  <c r="AD298" i="4"/>
  <c r="AD314" i="4"/>
  <c r="AD381" i="4"/>
  <c r="AD301" i="4"/>
  <c r="AD317" i="4"/>
  <c r="AD384" i="4"/>
  <c r="AD302" i="4"/>
  <c r="AD318" i="4"/>
  <c r="AD385" i="4"/>
  <c r="AD386" i="4"/>
  <c r="AE296" i="4"/>
  <c r="AE312" i="4"/>
  <c r="AE379" i="4"/>
  <c r="AE297" i="4"/>
  <c r="AE313" i="4"/>
  <c r="AE380" i="4"/>
  <c r="AE298" i="4"/>
  <c r="AE314" i="4"/>
  <c r="AE381" i="4"/>
  <c r="AE301" i="4"/>
  <c r="AE317" i="4"/>
  <c r="AE384" i="4"/>
  <c r="AE302" i="4"/>
  <c r="AE318" i="4"/>
  <c r="AE385" i="4"/>
  <c r="AE386" i="4"/>
  <c r="AF296" i="4"/>
  <c r="AF312" i="4"/>
  <c r="AF379" i="4"/>
  <c r="AF297" i="4"/>
  <c r="AF313" i="4"/>
  <c r="AF380" i="4"/>
  <c r="AF298" i="4"/>
  <c r="AF314" i="4"/>
  <c r="AF381" i="4"/>
  <c r="AF301" i="4"/>
  <c r="AF317" i="4"/>
  <c r="AF384" i="4"/>
  <c r="AF302" i="4"/>
  <c r="AF318" i="4"/>
  <c r="AF385" i="4"/>
  <c r="AF386" i="4"/>
  <c r="AG296" i="4"/>
  <c r="AG312" i="4"/>
  <c r="AG379" i="4"/>
  <c r="AG297" i="4"/>
  <c r="AG313" i="4"/>
  <c r="AG380" i="4"/>
  <c r="AG298" i="4"/>
  <c r="AG314" i="4"/>
  <c r="AG381" i="4"/>
  <c r="AG301" i="4"/>
  <c r="AG317" i="4"/>
  <c r="AG384" i="4"/>
  <c r="AG302" i="4"/>
  <c r="AG318" i="4"/>
  <c r="AG385" i="4"/>
  <c r="AG386" i="4"/>
  <c r="AH296" i="4"/>
  <c r="AH312" i="4"/>
  <c r="AH379" i="4"/>
  <c r="AH297" i="4"/>
  <c r="AH313" i="4"/>
  <c r="AH380" i="4"/>
  <c r="AH298" i="4"/>
  <c r="AH314" i="4"/>
  <c r="AH381" i="4"/>
  <c r="AH301" i="4"/>
  <c r="AH317" i="4"/>
  <c r="AH384" i="4"/>
  <c r="AH302" i="4"/>
  <c r="AH318" i="4"/>
  <c r="AH385" i="4"/>
  <c r="AH386" i="4"/>
  <c r="AI296" i="4"/>
  <c r="AI312" i="4"/>
  <c r="AI379" i="4"/>
  <c r="AI297" i="4"/>
  <c r="AI313" i="4"/>
  <c r="AI380" i="4"/>
  <c r="AI298" i="4"/>
  <c r="AI314" i="4"/>
  <c r="AI381" i="4"/>
  <c r="AI301" i="4"/>
  <c r="AI317" i="4"/>
  <c r="AI384" i="4"/>
  <c r="AI302" i="4"/>
  <c r="AI318" i="4"/>
  <c r="AI385" i="4"/>
  <c r="AI386" i="4"/>
  <c r="AJ296" i="4"/>
  <c r="AJ312" i="4"/>
  <c r="AJ379" i="4"/>
  <c r="AJ297" i="4"/>
  <c r="AJ313" i="4"/>
  <c r="AJ380" i="4"/>
  <c r="AJ298" i="4"/>
  <c r="AJ314" i="4"/>
  <c r="AJ381" i="4"/>
  <c r="AJ301" i="4"/>
  <c r="AJ317" i="4"/>
  <c r="AJ384" i="4"/>
  <c r="AJ302" i="4"/>
  <c r="AJ318" i="4"/>
  <c r="AJ385" i="4"/>
  <c r="AJ386" i="4"/>
  <c r="AK296" i="4"/>
  <c r="AK312" i="4"/>
  <c r="AK379" i="4"/>
  <c r="AK297" i="4"/>
  <c r="AK313" i="4"/>
  <c r="AK380" i="4"/>
  <c r="AK298" i="4"/>
  <c r="AK314" i="4"/>
  <c r="AK381" i="4"/>
  <c r="AK301" i="4"/>
  <c r="AK317" i="4"/>
  <c r="AK384" i="4"/>
  <c r="AK302" i="4"/>
  <c r="AK318" i="4"/>
  <c r="AK385" i="4"/>
  <c r="AK386" i="4"/>
  <c r="AL296" i="4"/>
  <c r="AL312" i="4"/>
  <c r="AL379" i="4"/>
  <c r="AL297" i="4"/>
  <c r="AL313" i="4"/>
  <c r="AL380" i="4"/>
  <c r="AL298" i="4"/>
  <c r="AL314" i="4"/>
  <c r="AL381" i="4"/>
  <c r="AL301" i="4"/>
  <c r="AL317" i="4"/>
  <c r="AL384" i="4"/>
  <c r="AL302" i="4"/>
  <c r="AL318" i="4"/>
  <c r="AL385" i="4"/>
  <c r="AL386" i="4"/>
  <c r="AM296" i="4"/>
  <c r="AM312" i="4"/>
  <c r="AM379" i="4"/>
  <c r="AM297" i="4"/>
  <c r="AM313" i="4"/>
  <c r="AM380" i="4"/>
  <c r="AM298" i="4"/>
  <c r="AM314" i="4"/>
  <c r="AM381" i="4"/>
  <c r="AM301" i="4"/>
  <c r="AM317" i="4"/>
  <c r="AM384" i="4"/>
  <c r="AM302" i="4"/>
  <c r="AM318" i="4"/>
  <c r="AM385" i="4"/>
  <c r="AM386" i="4"/>
  <c r="AN296" i="4"/>
  <c r="AN312" i="4"/>
  <c r="AN379" i="4"/>
  <c r="AN297" i="4"/>
  <c r="AN313" i="4"/>
  <c r="AN380" i="4"/>
  <c r="AN298" i="4"/>
  <c r="AN314" i="4"/>
  <c r="AN381" i="4"/>
  <c r="AN301" i="4"/>
  <c r="AN317" i="4"/>
  <c r="AN384" i="4"/>
  <c r="AN302" i="4"/>
  <c r="AN318" i="4"/>
  <c r="AN385" i="4"/>
  <c r="AN386" i="4"/>
  <c r="AO296" i="4"/>
  <c r="AO312" i="4"/>
  <c r="AO379" i="4"/>
  <c r="AO297" i="4"/>
  <c r="AO313" i="4"/>
  <c r="AO380" i="4"/>
  <c r="AO298" i="4"/>
  <c r="AO314" i="4"/>
  <c r="AO381" i="4"/>
  <c r="AO301" i="4"/>
  <c r="AO317" i="4"/>
  <c r="AO384" i="4"/>
  <c r="AO302" i="4"/>
  <c r="AO318" i="4"/>
  <c r="AO385" i="4"/>
  <c r="AO386" i="4"/>
  <c r="AP296" i="4"/>
  <c r="AP312" i="4"/>
  <c r="AP379" i="4"/>
  <c r="AP297" i="4"/>
  <c r="AP313" i="4"/>
  <c r="AP380" i="4"/>
  <c r="AP298" i="4"/>
  <c r="AP314" i="4"/>
  <c r="AP381" i="4"/>
  <c r="AP301" i="4"/>
  <c r="AP317" i="4"/>
  <c r="AP384" i="4"/>
  <c r="AP302" i="4"/>
  <c r="AP318" i="4"/>
  <c r="AP385" i="4"/>
  <c r="AP386" i="4"/>
  <c r="AQ296" i="4"/>
  <c r="AQ312" i="4"/>
  <c r="AQ379" i="4"/>
  <c r="AQ297" i="4"/>
  <c r="AQ313" i="4"/>
  <c r="AQ380" i="4"/>
  <c r="AQ298" i="4"/>
  <c r="AQ314" i="4"/>
  <c r="AQ381" i="4"/>
  <c r="AQ301" i="4"/>
  <c r="AQ317" i="4"/>
  <c r="AQ384" i="4"/>
  <c r="AQ302" i="4"/>
  <c r="AQ318" i="4"/>
  <c r="AQ385" i="4"/>
  <c r="AQ386" i="4"/>
  <c r="AR296" i="4"/>
  <c r="AR312" i="4"/>
  <c r="AR379" i="4"/>
  <c r="AR297" i="4"/>
  <c r="AR313" i="4"/>
  <c r="AR380" i="4"/>
  <c r="AR298" i="4"/>
  <c r="AR314" i="4"/>
  <c r="AR381" i="4"/>
  <c r="AR301" i="4"/>
  <c r="AR317" i="4"/>
  <c r="AR384" i="4"/>
  <c r="AR302" i="4"/>
  <c r="AR318" i="4"/>
  <c r="AR385" i="4"/>
  <c r="AR386" i="4"/>
  <c r="AS296" i="4"/>
  <c r="AS312" i="4"/>
  <c r="AS379" i="4"/>
  <c r="AS297" i="4"/>
  <c r="AS313" i="4"/>
  <c r="AS380" i="4"/>
  <c r="AS298" i="4"/>
  <c r="AS314" i="4"/>
  <c r="AS381" i="4"/>
  <c r="AS301" i="4"/>
  <c r="AS317" i="4"/>
  <c r="AS384" i="4"/>
  <c r="AS302" i="4"/>
  <c r="AS318" i="4"/>
  <c r="AS385" i="4"/>
  <c r="AS386" i="4"/>
  <c r="AT296" i="4"/>
  <c r="AT312" i="4"/>
  <c r="AT379" i="4"/>
  <c r="AT297" i="4"/>
  <c r="AT313" i="4"/>
  <c r="AT380" i="4"/>
  <c r="AT298" i="4"/>
  <c r="AT314" i="4"/>
  <c r="AT381" i="4"/>
  <c r="AT301" i="4"/>
  <c r="AT317" i="4"/>
  <c r="AT384" i="4"/>
  <c r="AT302" i="4"/>
  <c r="AT318" i="4"/>
  <c r="AT385" i="4"/>
  <c r="AT386" i="4"/>
  <c r="AU296" i="4"/>
  <c r="AU312" i="4"/>
  <c r="AU379" i="4"/>
  <c r="AU297" i="4"/>
  <c r="AU313" i="4"/>
  <c r="AU380" i="4"/>
  <c r="AU298" i="4"/>
  <c r="AU314" i="4"/>
  <c r="AU381" i="4"/>
  <c r="AU301" i="4"/>
  <c r="AU317" i="4"/>
  <c r="AU384" i="4"/>
  <c r="AU302" i="4"/>
  <c r="AU318" i="4"/>
  <c r="AU385" i="4"/>
  <c r="AU386" i="4"/>
  <c r="AV296" i="4"/>
  <c r="AV312" i="4"/>
  <c r="AV379" i="4"/>
  <c r="AV297" i="4"/>
  <c r="AV313" i="4"/>
  <c r="AV380" i="4"/>
  <c r="AV298" i="4"/>
  <c r="AV314" i="4"/>
  <c r="AV381" i="4"/>
  <c r="AV301" i="4"/>
  <c r="AV317" i="4"/>
  <c r="AV384" i="4"/>
  <c r="AV302" i="4"/>
  <c r="AV318" i="4"/>
  <c r="AV385" i="4"/>
  <c r="AV386" i="4"/>
  <c r="AW296" i="4"/>
  <c r="AW312" i="4"/>
  <c r="AW379" i="4"/>
  <c r="AW297" i="4"/>
  <c r="AW313" i="4"/>
  <c r="AW380" i="4"/>
  <c r="AW298" i="4"/>
  <c r="AW314" i="4"/>
  <c r="AW381" i="4"/>
  <c r="AW301" i="4"/>
  <c r="AW317" i="4"/>
  <c r="AW384" i="4"/>
  <c r="AW302" i="4"/>
  <c r="AW318" i="4"/>
  <c r="AW385" i="4"/>
  <c r="AW386" i="4"/>
  <c r="AX296" i="4"/>
  <c r="AX312" i="4"/>
  <c r="AX379" i="4"/>
  <c r="AX297" i="4"/>
  <c r="AX313" i="4"/>
  <c r="AX380" i="4"/>
  <c r="AX298" i="4"/>
  <c r="AX314" i="4"/>
  <c r="AX381" i="4"/>
  <c r="AX301" i="4"/>
  <c r="AX317" i="4"/>
  <c r="AX384" i="4"/>
  <c r="AX302" i="4"/>
  <c r="AX318" i="4"/>
  <c r="AX385" i="4"/>
  <c r="AX386" i="4"/>
  <c r="AY296" i="4"/>
  <c r="AY312" i="4"/>
  <c r="AY379" i="4"/>
  <c r="AY297" i="4"/>
  <c r="AY313" i="4"/>
  <c r="AY380" i="4"/>
  <c r="AY298" i="4"/>
  <c r="AY314" i="4"/>
  <c r="AY381" i="4"/>
  <c r="AY301" i="4"/>
  <c r="AY317" i="4"/>
  <c r="AY384" i="4"/>
  <c r="AY302" i="4"/>
  <c r="AY318" i="4"/>
  <c r="AY385" i="4"/>
  <c r="AY386" i="4"/>
  <c r="AZ296" i="4"/>
  <c r="AZ312" i="4"/>
  <c r="AZ379" i="4"/>
  <c r="AZ297" i="4"/>
  <c r="AZ313" i="4"/>
  <c r="AZ380" i="4"/>
  <c r="AZ298" i="4"/>
  <c r="AZ314" i="4"/>
  <c r="AZ381" i="4"/>
  <c r="AZ301" i="4"/>
  <c r="AZ317" i="4"/>
  <c r="AZ384" i="4"/>
  <c r="AZ302" i="4"/>
  <c r="AZ318" i="4"/>
  <c r="AZ385" i="4"/>
  <c r="AZ386" i="4"/>
  <c r="BA296" i="4"/>
  <c r="BA312" i="4"/>
  <c r="BA379" i="4"/>
  <c r="BA297" i="4"/>
  <c r="BA313" i="4"/>
  <c r="BA380" i="4"/>
  <c r="BA298" i="4"/>
  <c r="BA314" i="4"/>
  <c r="BA381" i="4"/>
  <c r="BA301" i="4"/>
  <c r="BA317" i="4"/>
  <c r="BA384" i="4"/>
  <c r="BA302" i="4"/>
  <c r="BA318" i="4"/>
  <c r="BA385" i="4"/>
  <c r="BA386" i="4"/>
  <c r="BB296" i="4"/>
  <c r="BB312" i="4"/>
  <c r="BB379" i="4"/>
  <c r="BB297" i="4"/>
  <c r="BB313" i="4"/>
  <c r="BB380" i="4"/>
  <c r="BB298" i="4"/>
  <c r="BB314" i="4"/>
  <c r="BB381" i="4"/>
  <c r="BB301" i="4"/>
  <c r="BB317" i="4"/>
  <c r="BB384" i="4"/>
  <c r="BB302" i="4"/>
  <c r="BB318" i="4"/>
  <c r="BB385" i="4"/>
  <c r="BB386" i="4"/>
  <c r="BC296" i="4"/>
  <c r="BC312" i="4"/>
  <c r="BC379" i="4"/>
  <c r="BC297" i="4"/>
  <c r="BC313" i="4"/>
  <c r="BC380" i="4"/>
  <c r="BC298" i="4"/>
  <c r="BC314" i="4"/>
  <c r="BC381" i="4"/>
  <c r="BC301" i="4"/>
  <c r="BC317" i="4"/>
  <c r="BC384" i="4"/>
  <c r="BC302" i="4"/>
  <c r="BC318" i="4"/>
  <c r="BC385" i="4"/>
  <c r="BC386" i="4"/>
  <c r="BD296" i="4"/>
  <c r="BD312" i="4"/>
  <c r="BD379" i="4"/>
  <c r="BD297" i="4"/>
  <c r="BD313" i="4"/>
  <c r="BD380" i="4"/>
  <c r="BD298" i="4"/>
  <c r="BD314" i="4"/>
  <c r="BD381" i="4"/>
  <c r="BD301" i="4"/>
  <c r="BD317" i="4"/>
  <c r="BD384" i="4"/>
  <c r="BD302" i="4"/>
  <c r="BD318" i="4"/>
  <c r="BD385" i="4"/>
  <c r="BD386" i="4"/>
  <c r="C386" i="4"/>
  <c r="C213" i="2"/>
  <c r="D201" i="2"/>
  <c r="D202" i="2"/>
  <c r="D203" i="2"/>
  <c r="D204" i="2"/>
  <c r="D205" i="2"/>
  <c r="C379" i="4"/>
  <c r="C206" i="2"/>
  <c r="D206" i="2"/>
  <c r="C380" i="4"/>
  <c r="C207" i="2"/>
  <c r="D207" i="2"/>
  <c r="C381" i="4"/>
  <c r="C208" i="2"/>
  <c r="D208" i="2"/>
  <c r="D209" i="2"/>
  <c r="D210" i="2"/>
  <c r="C384" i="4"/>
  <c r="C211" i="2"/>
  <c r="D211" i="2"/>
  <c r="C385" i="4"/>
  <c r="C212" i="2"/>
  <c r="D212" i="2"/>
  <c r="D213" i="2"/>
  <c r="G303" i="4"/>
  <c r="G323" i="4"/>
  <c r="G325" i="4"/>
  <c r="G327" i="4"/>
  <c r="H262" i="4"/>
  <c r="H303" i="4"/>
  <c r="H323" i="4"/>
  <c r="H325" i="4"/>
  <c r="H327" i="4"/>
  <c r="I262" i="4"/>
  <c r="I303" i="4"/>
  <c r="I323" i="4"/>
  <c r="I325" i="4"/>
  <c r="I327" i="4"/>
  <c r="J262" i="4"/>
  <c r="J303" i="4"/>
  <c r="J323" i="4"/>
  <c r="J325" i="4"/>
  <c r="J327" i="4"/>
  <c r="K262" i="4"/>
  <c r="K303" i="4"/>
  <c r="K323" i="4"/>
  <c r="K325" i="4"/>
  <c r="K327" i="4"/>
  <c r="L262" i="4"/>
  <c r="L303" i="4"/>
  <c r="L323" i="4"/>
  <c r="L325" i="4"/>
  <c r="L327" i="4"/>
  <c r="M262" i="4"/>
  <c r="M303" i="4"/>
  <c r="M323" i="4"/>
  <c r="M325" i="4"/>
  <c r="M327" i="4"/>
  <c r="N262" i="4"/>
  <c r="N303" i="4"/>
  <c r="N323" i="4"/>
  <c r="N325" i="4"/>
  <c r="N327" i="4"/>
  <c r="O262" i="4"/>
  <c r="O303" i="4"/>
  <c r="O323" i="4"/>
  <c r="O325" i="4"/>
  <c r="O327" i="4"/>
  <c r="P262" i="4"/>
  <c r="P303" i="4"/>
  <c r="P323" i="4"/>
  <c r="P325" i="4"/>
  <c r="P327" i="4"/>
  <c r="Q262" i="4"/>
  <c r="Q303" i="4"/>
  <c r="Q323" i="4"/>
  <c r="Q325" i="4"/>
  <c r="Q327" i="4"/>
  <c r="R262" i="4"/>
  <c r="R303" i="4"/>
  <c r="R323" i="4"/>
  <c r="R325" i="4"/>
  <c r="R327" i="4"/>
  <c r="S262" i="4"/>
  <c r="S303" i="4"/>
  <c r="S323" i="4"/>
  <c r="S325" i="4"/>
  <c r="S327" i="4"/>
  <c r="T262" i="4"/>
  <c r="T303" i="4"/>
  <c r="T323" i="4"/>
  <c r="T325" i="4"/>
  <c r="T327" i="4"/>
  <c r="U262" i="4"/>
  <c r="U303" i="4"/>
  <c r="U323" i="4"/>
  <c r="U325" i="4"/>
  <c r="U327" i="4"/>
  <c r="V262" i="4"/>
  <c r="V303" i="4"/>
  <c r="V323" i="4"/>
  <c r="V325" i="4"/>
  <c r="V327" i="4"/>
  <c r="W262" i="4"/>
  <c r="W303" i="4"/>
  <c r="W323" i="4"/>
  <c r="W325" i="4"/>
  <c r="W327" i="4"/>
  <c r="X262" i="4"/>
  <c r="X303" i="4"/>
  <c r="X323" i="4"/>
  <c r="X325" i="4"/>
  <c r="X327" i="4"/>
  <c r="Y262" i="4"/>
  <c r="Y303" i="4"/>
  <c r="Y323" i="4"/>
  <c r="Y325" i="4"/>
  <c r="Y327" i="4"/>
  <c r="Z262" i="4"/>
  <c r="Z303" i="4"/>
  <c r="Z323" i="4"/>
  <c r="Z325" i="4"/>
  <c r="Z327" i="4"/>
  <c r="AA262" i="4"/>
  <c r="AA303" i="4"/>
  <c r="AA323" i="4"/>
  <c r="AA325" i="4"/>
  <c r="AA327" i="4"/>
  <c r="AB262" i="4"/>
  <c r="AB303" i="4"/>
  <c r="AB323" i="4"/>
  <c r="AB325" i="4"/>
  <c r="AB327" i="4"/>
  <c r="AC262" i="4"/>
  <c r="AC303" i="4"/>
  <c r="AC323" i="4"/>
  <c r="AC325" i="4"/>
  <c r="AC327" i="4"/>
  <c r="AD262" i="4"/>
  <c r="AD303" i="4"/>
  <c r="AD323" i="4"/>
  <c r="AD325" i="4"/>
  <c r="AD327" i="4"/>
  <c r="AE262" i="4"/>
  <c r="AE303" i="4"/>
  <c r="AE323" i="4"/>
  <c r="AE325" i="4"/>
  <c r="AE327" i="4"/>
  <c r="AF262" i="4"/>
  <c r="AF303" i="4"/>
  <c r="AF323" i="4"/>
  <c r="AF325" i="4"/>
  <c r="AF327" i="4"/>
  <c r="AG262" i="4"/>
  <c r="AG303" i="4"/>
  <c r="AG323" i="4"/>
  <c r="AG325" i="4"/>
  <c r="AG327" i="4"/>
  <c r="AH262" i="4"/>
  <c r="AH303" i="4"/>
  <c r="AH323" i="4"/>
  <c r="AH325" i="4"/>
  <c r="AH327" i="4"/>
  <c r="AI262" i="4"/>
  <c r="AI303" i="4"/>
  <c r="AI323" i="4"/>
  <c r="AI325" i="4"/>
  <c r="AI327" i="4"/>
  <c r="AJ262" i="4"/>
  <c r="AJ303" i="4"/>
  <c r="AJ323" i="4"/>
  <c r="AJ325" i="4"/>
  <c r="AJ327" i="4"/>
  <c r="AK262" i="4"/>
  <c r="AK303" i="4"/>
  <c r="AK323" i="4"/>
  <c r="AK325" i="4"/>
  <c r="AK327" i="4"/>
  <c r="AL262" i="4"/>
  <c r="AL303" i="4"/>
  <c r="AL323" i="4"/>
  <c r="AL325" i="4"/>
  <c r="AL327" i="4"/>
  <c r="AM262" i="4"/>
  <c r="AM303" i="4"/>
  <c r="AM323" i="4"/>
  <c r="AM325" i="4"/>
  <c r="AM327" i="4"/>
  <c r="AN262" i="4"/>
  <c r="AN303" i="4"/>
  <c r="AN323" i="4"/>
  <c r="AN325" i="4"/>
  <c r="AN327" i="4"/>
  <c r="AO262" i="4"/>
  <c r="AO303" i="4"/>
  <c r="AO323" i="4"/>
  <c r="AO325" i="4"/>
  <c r="AO327" i="4"/>
  <c r="AP262" i="4"/>
  <c r="AP303" i="4"/>
  <c r="AP323" i="4"/>
  <c r="AP325" i="4"/>
  <c r="AP327" i="4"/>
  <c r="AQ262" i="4"/>
  <c r="AQ303" i="4"/>
  <c r="AQ323" i="4"/>
  <c r="AQ325" i="4"/>
  <c r="AQ327" i="4"/>
  <c r="AR262" i="4"/>
  <c r="AR303" i="4"/>
  <c r="AR323" i="4"/>
  <c r="AR325" i="4"/>
  <c r="AR327" i="4"/>
  <c r="AS262" i="4"/>
  <c r="AS303" i="4"/>
  <c r="AS323" i="4"/>
  <c r="AS325" i="4"/>
  <c r="AS327" i="4"/>
  <c r="AT262" i="4"/>
  <c r="AT303" i="4"/>
  <c r="AT323" i="4"/>
  <c r="AT325" i="4"/>
  <c r="AT327" i="4"/>
  <c r="AU262" i="4"/>
  <c r="AU303" i="4"/>
  <c r="AU323" i="4"/>
  <c r="AU325" i="4"/>
  <c r="AU327" i="4"/>
  <c r="AV262" i="4"/>
  <c r="AV303" i="4"/>
  <c r="AV323" i="4"/>
  <c r="AV325" i="4"/>
  <c r="AV327" i="4"/>
  <c r="AW262" i="4"/>
  <c r="AW303" i="4"/>
  <c r="AW323" i="4"/>
  <c r="AW325" i="4"/>
  <c r="AW327" i="4"/>
  <c r="AX262" i="4"/>
  <c r="AX303" i="4"/>
  <c r="AX323" i="4"/>
  <c r="AX325" i="4"/>
  <c r="AX327" i="4"/>
  <c r="AY262" i="4"/>
  <c r="AY303" i="4"/>
  <c r="AY323" i="4"/>
  <c r="AY325" i="4"/>
  <c r="AY327" i="4"/>
  <c r="AZ262" i="4"/>
  <c r="AZ303" i="4"/>
  <c r="AZ323" i="4"/>
  <c r="AZ325" i="4"/>
  <c r="AZ327" i="4"/>
  <c r="BA262" i="4"/>
  <c r="BA303" i="4"/>
  <c r="BA323" i="4"/>
  <c r="BA325" i="4"/>
  <c r="BA327" i="4"/>
  <c r="BB262" i="4"/>
  <c r="BB303" i="4"/>
  <c r="BB323" i="4"/>
  <c r="BB325" i="4"/>
  <c r="BB327" i="4"/>
  <c r="BC262" i="4"/>
  <c r="BC303" i="4"/>
  <c r="BC323" i="4"/>
  <c r="BC325" i="4"/>
  <c r="BC327" i="4"/>
  <c r="BD262" i="4"/>
  <c r="BD303" i="4"/>
  <c r="BD323" i="4"/>
  <c r="BD325" i="4"/>
  <c r="BD327" i="4"/>
  <c r="C327" i="4"/>
  <c r="A327" i="4"/>
  <c r="G330" i="4"/>
  <c r="G332" i="4"/>
  <c r="G334" i="4"/>
  <c r="H330" i="4"/>
  <c r="H332" i="4"/>
  <c r="H334" i="4"/>
  <c r="I330" i="4"/>
  <c r="I332" i="4"/>
  <c r="I334" i="4"/>
  <c r="J330" i="4"/>
  <c r="J332" i="4"/>
  <c r="J334" i="4"/>
  <c r="K330" i="4"/>
  <c r="K332" i="4"/>
  <c r="K334" i="4"/>
  <c r="L330" i="4"/>
  <c r="L332" i="4"/>
  <c r="L334" i="4"/>
  <c r="M330" i="4"/>
  <c r="M332" i="4"/>
  <c r="M334" i="4"/>
  <c r="N330" i="4"/>
  <c r="N332" i="4"/>
  <c r="N334" i="4"/>
  <c r="O330" i="4"/>
  <c r="O332" i="4"/>
  <c r="O334" i="4"/>
  <c r="P330" i="4"/>
  <c r="P332" i="4"/>
  <c r="P334" i="4"/>
  <c r="Q330" i="4"/>
  <c r="Q332" i="4"/>
  <c r="Q334" i="4"/>
  <c r="R330" i="4"/>
  <c r="R332" i="4"/>
  <c r="R334" i="4"/>
  <c r="S330" i="4"/>
  <c r="S332" i="4"/>
  <c r="S334" i="4"/>
  <c r="T330" i="4"/>
  <c r="T332" i="4"/>
  <c r="T334" i="4"/>
  <c r="U330" i="4"/>
  <c r="U332" i="4"/>
  <c r="U334" i="4"/>
  <c r="V330" i="4"/>
  <c r="V332" i="4"/>
  <c r="V334" i="4"/>
  <c r="W330" i="4"/>
  <c r="W332" i="4"/>
  <c r="W334" i="4"/>
  <c r="X330" i="4"/>
  <c r="X332" i="4"/>
  <c r="X334" i="4"/>
  <c r="Y330" i="4"/>
  <c r="Y332" i="4"/>
  <c r="Y334" i="4"/>
  <c r="Z330" i="4"/>
  <c r="Z332" i="4"/>
  <c r="Z334" i="4"/>
  <c r="AA330" i="4"/>
  <c r="AA332" i="4"/>
  <c r="AA334" i="4"/>
  <c r="AB330" i="4"/>
  <c r="AB332" i="4"/>
  <c r="AB334" i="4"/>
  <c r="AC330" i="4"/>
  <c r="AC332" i="4"/>
  <c r="AC334" i="4"/>
  <c r="AD330" i="4"/>
  <c r="AD332" i="4"/>
  <c r="AD334" i="4"/>
  <c r="AE330" i="4"/>
  <c r="AE332" i="4"/>
  <c r="AE334" i="4"/>
  <c r="AF330" i="4"/>
  <c r="AF332" i="4"/>
  <c r="AF334" i="4"/>
  <c r="AG330" i="4"/>
  <c r="AG332" i="4"/>
  <c r="AG334" i="4"/>
  <c r="AH330" i="4"/>
  <c r="AH332" i="4"/>
  <c r="AH334" i="4"/>
  <c r="AI330" i="4"/>
  <c r="AI332" i="4"/>
  <c r="AI334" i="4"/>
  <c r="AJ330" i="4"/>
  <c r="AJ332" i="4"/>
  <c r="AJ334" i="4"/>
  <c r="AK330" i="4"/>
  <c r="AK332" i="4"/>
  <c r="AK334" i="4"/>
  <c r="AL330" i="4"/>
  <c r="AL332" i="4"/>
  <c r="AL334" i="4"/>
  <c r="AM330" i="4"/>
  <c r="AM332" i="4"/>
  <c r="AM334" i="4"/>
  <c r="AN330" i="4"/>
  <c r="AN332" i="4"/>
  <c r="AN334" i="4"/>
  <c r="AO330" i="4"/>
  <c r="AO332" i="4"/>
  <c r="AO334" i="4"/>
  <c r="AP330" i="4"/>
  <c r="AP332" i="4"/>
  <c r="AP334" i="4"/>
  <c r="AQ330" i="4"/>
  <c r="AQ332" i="4"/>
  <c r="AQ334" i="4"/>
  <c r="AR330" i="4"/>
  <c r="AR332" i="4"/>
  <c r="AR334" i="4"/>
  <c r="AS330" i="4"/>
  <c r="AS332" i="4"/>
  <c r="AS334" i="4"/>
  <c r="AT330" i="4"/>
  <c r="AT332" i="4"/>
  <c r="AT334" i="4"/>
  <c r="AU330" i="4"/>
  <c r="AU332" i="4"/>
  <c r="AU334" i="4"/>
  <c r="AV330" i="4"/>
  <c r="AV332" i="4"/>
  <c r="AV334" i="4"/>
  <c r="AW330" i="4"/>
  <c r="AW332" i="4"/>
  <c r="AW334" i="4"/>
  <c r="AX330" i="4"/>
  <c r="AX332" i="4"/>
  <c r="AX334" i="4"/>
  <c r="AY330" i="4"/>
  <c r="AY332" i="4"/>
  <c r="AY334" i="4"/>
  <c r="AZ330" i="4"/>
  <c r="AZ332" i="4"/>
  <c r="AZ334" i="4"/>
  <c r="BA330" i="4"/>
  <c r="BA332" i="4"/>
  <c r="BA334" i="4"/>
  <c r="BB330" i="4"/>
  <c r="BB332" i="4"/>
  <c r="BB334" i="4"/>
  <c r="BC330" i="4"/>
  <c r="BC332" i="4"/>
  <c r="BC334" i="4"/>
  <c r="BD330" i="4"/>
  <c r="BD332" i="4"/>
  <c r="BD334" i="4"/>
  <c r="C334" i="4"/>
  <c r="A334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AF338" i="4"/>
  <c r="AG338" i="4"/>
  <c r="AH338" i="4"/>
  <c r="AI338" i="4"/>
  <c r="AJ338" i="4"/>
  <c r="AK338" i="4"/>
  <c r="AL338" i="4"/>
  <c r="AM338" i="4"/>
  <c r="AN338" i="4"/>
  <c r="AO338" i="4"/>
  <c r="AP338" i="4"/>
  <c r="AQ338" i="4"/>
  <c r="AR338" i="4"/>
  <c r="AS338" i="4"/>
  <c r="AT338" i="4"/>
  <c r="AU338" i="4"/>
  <c r="AV338" i="4"/>
  <c r="AW338" i="4"/>
  <c r="AX338" i="4"/>
  <c r="AY338" i="4"/>
  <c r="AZ338" i="4"/>
  <c r="BA338" i="4"/>
  <c r="BB338" i="4"/>
  <c r="BC338" i="4"/>
  <c r="BD338" i="4"/>
  <c r="C338" i="4"/>
  <c r="C339" i="4"/>
  <c r="A339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AF345" i="4"/>
  <c r="AG345" i="4"/>
  <c r="AH345" i="4"/>
  <c r="AI345" i="4"/>
  <c r="AJ345" i="4"/>
  <c r="AK345" i="4"/>
  <c r="AL345" i="4"/>
  <c r="AM345" i="4"/>
  <c r="AN345" i="4"/>
  <c r="AO345" i="4"/>
  <c r="AP345" i="4"/>
  <c r="AQ345" i="4"/>
  <c r="AR345" i="4"/>
  <c r="AS345" i="4"/>
  <c r="AT345" i="4"/>
  <c r="AU345" i="4"/>
  <c r="AV345" i="4"/>
  <c r="AW345" i="4"/>
  <c r="AX345" i="4"/>
  <c r="AY345" i="4"/>
  <c r="AZ345" i="4"/>
  <c r="BA345" i="4"/>
  <c r="BB345" i="4"/>
  <c r="BC345" i="4"/>
  <c r="BD345" i="4"/>
  <c r="C345" i="4"/>
  <c r="C346" i="4"/>
  <c r="A346" i="4"/>
  <c r="C2" i="4"/>
  <c r="C139" i="4"/>
  <c r="C142" i="4"/>
  <c r="C149" i="4"/>
  <c r="C186" i="4"/>
  <c r="C187" i="4"/>
  <c r="C188" i="4"/>
  <c r="C189" i="4"/>
  <c r="C190" i="4"/>
  <c r="BD199" i="4"/>
  <c r="BD201" i="4"/>
  <c r="BD204" i="4"/>
  <c r="C213" i="4"/>
  <c r="C214" i="4"/>
  <c r="C215" i="4"/>
  <c r="C216" i="4"/>
  <c r="C217" i="4"/>
  <c r="C218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C220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G225" i="4"/>
  <c r="G226" i="4"/>
  <c r="H225" i="4"/>
  <c r="H226" i="4"/>
  <c r="I225" i="4"/>
  <c r="I226" i="4"/>
  <c r="J225" i="4"/>
  <c r="J226" i="4"/>
  <c r="K225" i="4"/>
  <c r="K226" i="4"/>
  <c r="L225" i="4"/>
  <c r="L226" i="4"/>
  <c r="M225" i="4"/>
  <c r="M226" i="4"/>
  <c r="N225" i="4"/>
  <c r="N226" i="4"/>
  <c r="O225" i="4"/>
  <c r="O226" i="4"/>
  <c r="P225" i="4"/>
  <c r="P226" i="4"/>
  <c r="Q225" i="4"/>
  <c r="Q226" i="4"/>
  <c r="R225" i="4"/>
  <c r="R226" i="4"/>
  <c r="S225" i="4"/>
  <c r="S226" i="4"/>
  <c r="T225" i="4"/>
  <c r="T226" i="4"/>
  <c r="U225" i="4"/>
  <c r="U226" i="4"/>
  <c r="V225" i="4"/>
  <c r="V226" i="4"/>
  <c r="W225" i="4"/>
  <c r="W226" i="4"/>
  <c r="X225" i="4"/>
  <c r="X226" i="4"/>
  <c r="Y225" i="4"/>
  <c r="Y226" i="4"/>
  <c r="Z225" i="4"/>
  <c r="Z226" i="4"/>
  <c r="AA225" i="4"/>
  <c r="AA226" i="4"/>
  <c r="AB225" i="4"/>
  <c r="AB226" i="4"/>
  <c r="AC225" i="4"/>
  <c r="AC226" i="4"/>
  <c r="AD225" i="4"/>
  <c r="AD226" i="4"/>
  <c r="AE225" i="4"/>
  <c r="AE226" i="4"/>
  <c r="AF225" i="4"/>
  <c r="AF226" i="4"/>
  <c r="AG225" i="4"/>
  <c r="AG226" i="4"/>
  <c r="AH225" i="4"/>
  <c r="AH226" i="4"/>
  <c r="AI225" i="4"/>
  <c r="AI226" i="4"/>
  <c r="AJ225" i="4"/>
  <c r="AJ226" i="4"/>
  <c r="AK225" i="4"/>
  <c r="AK226" i="4"/>
  <c r="AL225" i="4"/>
  <c r="AL226" i="4"/>
  <c r="AM225" i="4"/>
  <c r="AM226" i="4"/>
  <c r="AN225" i="4"/>
  <c r="AN226" i="4"/>
  <c r="AO225" i="4"/>
  <c r="AO226" i="4"/>
  <c r="AP225" i="4"/>
  <c r="AP226" i="4"/>
  <c r="AQ225" i="4"/>
  <c r="AQ226" i="4"/>
  <c r="AR225" i="4"/>
  <c r="AR226" i="4"/>
  <c r="AS225" i="4"/>
  <c r="AS226" i="4"/>
  <c r="AT225" i="4"/>
  <c r="AT226" i="4"/>
  <c r="AU225" i="4"/>
  <c r="AU226" i="4"/>
  <c r="AV225" i="4"/>
  <c r="AV226" i="4"/>
  <c r="AW225" i="4"/>
  <c r="AW226" i="4"/>
  <c r="AX225" i="4"/>
  <c r="AX226" i="4"/>
  <c r="AY225" i="4"/>
  <c r="AY226" i="4"/>
  <c r="AZ225" i="4"/>
  <c r="AZ226" i="4"/>
  <c r="BA225" i="4"/>
  <c r="BA226" i="4"/>
  <c r="BB225" i="4"/>
  <c r="BB226" i="4"/>
  <c r="BC225" i="4"/>
  <c r="BC226" i="4"/>
  <c r="BD225" i="4"/>
  <c r="BD226" i="4"/>
  <c r="C230" i="4"/>
  <c r="C232" i="4"/>
  <c r="C233" i="4"/>
  <c r="C236" i="4"/>
  <c r="C237" i="4"/>
  <c r="C239" i="4"/>
  <c r="C240" i="4"/>
  <c r="C241" i="4"/>
  <c r="C242" i="4"/>
  <c r="G244" i="4"/>
  <c r="C244" i="4"/>
  <c r="C254" i="4"/>
  <c r="C256" i="4"/>
  <c r="C257" i="4"/>
  <c r="C260" i="4"/>
  <c r="C261" i="4"/>
  <c r="C262" i="4"/>
  <c r="C263" i="4"/>
  <c r="C268" i="4"/>
  <c r="C270" i="4"/>
  <c r="C271" i="4"/>
  <c r="C274" i="4"/>
  <c r="C275" i="4"/>
  <c r="C276" i="4"/>
  <c r="C277" i="4"/>
  <c r="C281" i="4"/>
  <c r="C282" i="4"/>
  <c r="C286" i="4"/>
  <c r="C287" i="4"/>
  <c r="C296" i="4"/>
  <c r="C297" i="4"/>
  <c r="C298" i="4"/>
  <c r="C301" i="4"/>
  <c r="C302" i="4"/>
  <c r="C303" i="4"/>
  <c r="C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AR304" i="4"/>
  <c r="AS304" i="4"/>
  <c r="AT304" i="4"/>
  <c r="AU304" i="4"/>
  <c r="AV304" i="4"/>
  <c r="AW304" i="4"/>
  <c r="AX304" i="4"/>
  <c r="AY304" i="4"/>
  <c r="AZ304" i="4"/>
  <c r="BA304" i="4"/>
  <c r="BB304" i="4"/>
  <c r="BC304" i="4"/>
  <c r="BD304" i="4"/>
  <c r="C312" i="4"/>
  <c r="C313" i="4"/>
  <c r="C314" i="4"/>
  <c r="C317" i="4"/>
  <c r="C318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AF319" i="4"/>
  <c r="AG319" i="4"/>
  <c r="AH319" i="4"/>
  <c r="AI319" i="4"/>
  <c r="AJ319" i="4"/>
  <c r="AK319" i="4"/>
  <c r="AL319" i="4"/>
  <c r="AM319" i="4"/>
  <c r="AN319" i="4"/>
  <c r="AO319" i="4"/>
  <c r="AP319" i="4"/>
  <c r="AQ319" i="4"/>
  <c r="AR319" i="4"/>
  <c r="AS319" i="4"/>
  <c r="AT319" i="4"/>
  <c r="AU319" i="4"/>
  <c r="AV319" i="4"/>
  <c r="AW319" i="4"/>
  <c r="AX319" i="4"/>
  <c r="AY319" i="4"/>
  <c r="AZ319" i="4"/>
  <c r="BA319" i="4"/>
  <c r="BB319" i="4"/>
  <c r="BC319" i="4"/>
  <c r="BD319" i="4"/>
  <c r="C319" i="4"/>
  <c r="C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AF320" i="4"/>
  <c r="AG320" i="4"/>
  <c r="AH320" i="4"/>
  <c r="AI320" i="4"/>
  <c r="AJ320" i="4"/>
  <c r="AK320" i="4"/>
  <c r="AL320" i="4"/>
  <c r="AM320" i="4"/>
  <c r="AN320" i="4"/>
  <c r="AO320" i="4"/>
  <c r="AP320" i="4"/>
  <c r="AQ320" i="4"/>
  <c r="AR320" i="4"/>
  <c r="AS320" i="4"/>
  <c r="AT320" i="4"/>
  <c r="AU320" i="4"/>
  <c r="AV320" i="4"/>
  <c r="AW320" i="4"/>
  <c r="AX320" i="4"/>
  <c r="AY320" i="4"/>
  <c r="AZ320" i="4"/>
  <c r="BA320" i="4"/>
  <c r="BB320" i="4"/>
  <c r="BC320" i="4"/>
  <c r="BD320" i="4"/>
  <c r="C323" i="4"/>
  <c r="C325" i="4"/>
  <c r="C330" i="4"/>
  <c r="C332" i="4"/>
  <c r="C350" i="4"/>
  <c r="K355" i="4"/>
  <c r="K358" i="4"/>
  <c r="K360" i="4"/>
  <c r="G355" i="4"/>
  <c r="G356" i="4"/>
  <c r="G362" i="4"/>
  <c r="H355" i="4"/>
  <c r="H356" i="4"/>
  <c r="H362" i="4"/>
  <c r="I355" i="4"/>
  <c r="I356" i="4"/>
  <c r="I362" i="4"/>
  <c r="J355" i="4"/>
  <c r="J356" i="4"/>
  <c r="J362" i="4"/>
  <c r="K356" i="4"/>
  <c r="K362" i="4"/>
  <c r="G367" i="4"/>
  <c r="H367" i="4"/>
  <c r="I367" i="4"/>
  <c r="J367" i="4"/>
  <c r="K367" i="4"/>
  <c r="G366" i="4"/>
  <c r="G369" i="4"/>
  <c r="H366" i="4"/>
  <c r="H369" i="4"/>
  <c r="I366" i="4"/>
  <c r="I369" i="4"/>
  <c r="J366" i="4"/>
  <c r="J369" i="4"/>
  <c r="K366" i="4"/>
  <c r="K369" i="4"/>
  <c r="F396" i="4"/>
  <c r="F397" i="4"/>
  <c r="F398" i="4"/>
  <c r="F401" i="4"/>
  <c r="F402" i="4"/>
  <c r="F403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AF406" i="4"/>
  <c r="AG406" i="4"/>
  <c r="AH406" i="4"/>
  <c r="AI406" i="4"/>
  <c r="AJ406" i="4"/>
  <c r="AK406" i="4"/>
  <c r="AL406" i="4"/>
  <c r="AM406" i="4"/>
  <c r="AN406" i="4"/>
  <c r="AO406" i="4"/>
  <c r="AP406" i="4"/>
  <c r="AQ406" i="4"/>
  <c r="AR406" i="4"/>
  <c r="AS406" i="4"/>
  <c r="AT406" i="4"/>
  <c r="AU406" i="4"/>
  <c r="AV406" i="4"/>
  <c r="AW406" i="4"/>
  <c r="AX406" i="4"/>
  <c r="AY406" i="4"/>
  <c r="AZ406" i="4"/>
  <c r="BA406" i="4"/>
  <c r="BB406" i="4"/>
  <c r="BC406" i="4"/>
  <c r="BD406" i="4"/>
  <c r="C406" i="4"/>
  <c r="G421" i="4"/>
  <c r="G423" i="4"/>
  <c r="H421" i="4"/>
  <c r="H423" i="4"/>
  <c r="I421" i="4"/>
  <c r="I423" i="4"/>
  <c r="J421" i="4"/>
  <c r="J423" i="4"/>
  <c r="G358" i="4"/>
  <c r="F428" i="4"/>
  <c r="H358" i="4"/>
  <c r="F429" i="4"/>
  <c r="I358" i="4"/>
  <c r="F430" i="4"/>
  <c r="J358" i="4"/>
  <c r="F431" i="4"/>
  <c r="F436" i="4"/>
  <c r="F454" i="4"/>
  <c r="G499" i="4"/>
  <c r="G501" i="4"/>
  <c r="H499" i="4"/>
  <c r="H501" i="4"/>
  <c r="I499" i="4"/>
  <c r="I501" i="4"/>
  <c r="J499" i="4"/>
  <c r="J501" i="4"/>
  <c r="G360" i="4"/>
  <c r="F506" i="4"/>
  <c r="H360" i="4"/>
  <c r="F507" i="4"/>
  <c r="I360" i="4"/>
  <c r="F508" i="4"/>
  <c r="J360" i="4"/>
  <c r="F509" i="4"/>
  <c r="F512" i="4"/>
  <c r="F52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R7" authorId="0" shapeId="0" xr:uid="{00000000-0006-0000-0200-00000A000000}">
      <text>
        <r>
          <rPr>
            <sz val="10"/>
            <rFont val="Arial"/>
            <family val="2"/>
          </rPr>
          <t>Regime fiscal applicable au projet Sabodala-Massawa (SGO) au Senegal, tel que decrit dans le
PFS (section 22.3-22.4 et section 4.2.1).
Parametres directement issus du PFS : redevance (R11-R12), IS (R14), participation gratuite de
l'Etat (R36), exoneration de droits de douane (R38).
Parametres non precises dans le PFS (amortissement, report des pertes, IRVM, etc.) : valeurs
reprises par defaut du regime 'RDC - amendement' (colonne I) a titre de base de comparaison ;
a ajuster selon le Code minier senegalais 2016 (Loi n°2016-32) et la Convention miniere de
Sabodala si une analyse fiscale precise du Senegal est requise.</t>
        </r>
      </text>
    </comment>
    <comment ref="R11" authorId="0" shapeId="0" xr:uid="{00000000-0006-0000-0200-00000B000000}">
      <text>
        <r>
          <rPr>
            <sz val="10"/>
            <rFont val="Arial"/>
            <family val="2"/>
          </rPr>
          <t>Source: PFS section 22.3.1 'Royalties': 'A royalty of 5% is payable to the Republic of Senegal
based on the value of gold shipments.' (cf. aussi section 4.2.1: redevance NSR de 5% convenue
avec l'Etat en 2013).</t>
        </r>
      </text>
    </comment>
    <comment ref="R12" authorId="0" shapeId="0" xr:uid="{00000000-0006-0000-0200-00000C000000}">
      <text>
        <r>
          <rPr>
            <sz val="10"/>
            <rFont val="Arial"/>
            <family val="2"/>
          </rPr>
          <t>Source: PFS section 22.3.1 - redevance calculee sur la valeur des expeditions d'or (assiette
brute). 'Charge de traitement/raffinage' = 0 dans le PFS (Paramètres!F103).</t>
        </r>
      </text>
    </comment>
    <comment ref="R14" authorId="0" shapeId="0" xr:uid="{00000000-0006-0000-0200-00000D000000}">
      <text>
        <r>
          <rPr>
            <sz val="10"/>
            <rFont val="Arial"/>
            <family val="2"/>
          </rPr>
          <t>Source: PFS section 22.3.2 'Corporate Income Tax': 'The Sabodala-Massawa Project is subject to
federal income tax rate of 25%.'</t>
        </r>
      </text>
    </comment>
    <comment ref="R18" authorId="0" shapeId="0" xr:uid="{00000000-0006-0000-0200-00000E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19" authorId="0" shapeId="0" xr:uid="{00000000-0006-0000-0200-00000F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20" authorId="0" shapeId="0" xr:uid="{00000000-0006-0000-0200-000010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23" authorId="0" shapeId="0" xr:uid="{00000000-0006-0000-0200-000011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24" authorId="0" shapeId="0" xr:uid="{00000000-0006-0000-0200-000012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28" authorId="0" shapeId="0" xr:uid="{00000000-0006-0000-0200-000013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29" authorId="0" shapeId="0" xr:uid="{00000000-0006-0000-0200-000014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30" authorId="0" shapeId="0" xr:uid="{00000000-0006-0000-0200-000015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31" authorId="0" shapeId="0" xr:uid="{00000000-0006-0000-0200-000016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32" authorId="0" shapeId="0" xr:uid="{00000000-0006-0000-0200-000017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35" authorId="0" shapeId="0" xr:uid="{00000000-0006-0000-0200-000018000000}">
      <text>
        <r>
          <rPr>
            <sz val="10"/>
            <rFont val="Arial"/>
            <family val="2"/>
          </rPr>
          <t>Non specifie dans le PFS Sabodala-Massawa. Valeur reprise par defaut du regime
'RDC - amendement' (colonne I) a titre de base de comparaison - a confirmer/ajuster selon
le Code minier senegalais 2016 et la Convention miniere de Sabodala.</t>
        </r>
      </text>
    </comment>
    <comment ref="R36" authorId="0" shapeId="0" xr:uid="{00000000-0006-0000-0200-000019000000}">
      <text>
        <r>
          <rPr>
            <sz val="10"/>
            <rFont val="Arial"/>
            <family val="2"/>
          </rPr>
          <t>Source: PFS section 22.4.7 'Minority Interest': 'The Senegalese Government has a 10% free
carried interest in Sabodala-Massawa.' (cf. aussi section 4.2.1: participation gratuite de 10%
de l'Etat senegalais dans SGO).</t>
        </r>
      </text>
    </comment>
    <comment ref="R38" authorId="0" shapeId="0" xr:uid="{00000000-0006-0000-0200-00001A000000}">
      <text>
        <r>
          <rPr>
            <sz val="10"/>
            <rFont val="Arial"/>
            <family val="2"/>
          </rPr>
          <t>Source: PFS section 22.4.8 / 4.2.1: SGO beneficie du statut 'free export enterprise' (EFE,
obtenu le 16/11/2018), garantissant une exoneration des droits de douane (y compris les
prelevements parafiscaux) jusqu'au 15/10/2021, ainsi que d'une exoneration de droits de douane
sur les equipements miniers, carburant, explosifs et produits chimiques au titre de la
Convention miniere. Valeur retenue = 0%. NB: au-dela de la periode d'exoneration, le taux de
droit commun pourrait s'appliquer - a ajuster si une analyse au-dela de 2021 est requise.</t>
        </r>
      </text>
    </comment>
    <comment ref="D39" authorId="0" shapeId="0" xr:uid="{00000000-0006-0000-0200-000001000000}">
      <text>
        <r>
          <rPr>
            <sz val="10"/>
            <rFont val="Arial"/>
            <family val="2"/>
          </rPr>
          <t>David:
Not check for other regimes</t>
        </r>
      </text>
    </comment>
    <comment ref="D40" authorId="0" shapeId="0" xr:uid="{00000000-0006-0000-0200-000002000000}">
      <text>
        <r>
          <rPr>
            <sz val="10"/>
            <rFont val="Arial"/>
            <family val="2"/>
          </rPr>
          <t>David:
Not checked for other regimes</t>
        </r>
      </text>
    </comment>
    <comment ref="F98" authorId="0" shapeId="0" xr:uid="{00000000-0006-0000-0200-000004000000}">
      <text>
        <r>
          <rPr>
            <sz val="10"/>
            <rFont val="Arial"/>
            <family val="2"/>
          </rPr>
          <t>Source: Sabodala-Massawa PFS, Table 1.12 / Table 22.1 'LOM Cash Flow Summary', prix retenu
pour l'analyse economique = 1 600 $/oz.</t>
        </r>
      </text>
    </comment>
    <comment ref="F100" authorId="0" shapeId="0" xr:uid="{00000000-0006-0000-0200-000005000000}">
      <text>
        <r>
          <rPr>
            <sz val="10"/>
            <rFont val="Arial"/>
            <family val="2"/>
          </rPr>
          <t>Source: Sabodala-Massawa PFS, section 1.7 'Mineral Reserves': 'The Reserves are based on a
gold price of $1,250/oz.'</t>
        </r>
      </text>
    </comment>
    <comment ref="D113" authorId="0" shapeId="0" xr:uid="{00000000-0006-0000-0200-000003000000}">
      <text>
        <r>
          <rPr>
            <sz val="10"/>
            <rFont val="Arial"/>
            <family val="2"/>
          </rPr>
          <t>Source: Sabodala-Massawa Project PFS (NI 43-101), Lycopodium/Teranga, 26/08/2020.
Profil de projet remplacé par le profil LOM (2020-2036) de Sabodala-Massawa
(Table 1.7 / Table 22.1 'LOM Cash Flow Summary').</t>
        </r>
      </text>
    </comment>
    <comment ref="G115" authorId="0" shapeId="0" xr:uid="{00000000-0006-0000-0200-000006000000}">
      <text>
        <r>
          <rPr>
            <sz val="10"/>
            <rFont val="Arial"/>
            <family val="2"/>
          </rPr>
          <t>Source: Sabodala-Massawa PFS, Table 1.7 / Table 22.1 (Cash Flow Summary), p.1.14 &amp; 22.2.
Production (Koz) 2020-2036: 245,359,360,400,400,400,400,320,173,173,173,173,173,173,173,133,56.
Convertie en onces (x1000).</t>
        </r>
      </text>
    </comment>
    <comment ref="G120" authorId="0" shapeId="0" xr:uid="{00000000-0006-0000-0200-000007000000}">
      <text>
        <r>
          <rPr>
            <sz val="10"/>
            <rFont val="Arial"/>
            <family val="2"/>
          </rPr>
          <t>Source: Sabodala-Massawa PFS, Table 1.10 / Table 22.1, 'Development Capex' / 'Total Development'.
Inclut Massawa Phase 1 &amp; 2, developpement souterrain (UG) et relocalisation communautaire (US$M).</t>
        </r>
      </text>
    </comment>
    <comment ref="G121" authorId="0" shapeId="0" xr:uid="{00000000-0006-0000-0200-000008000000}">
      <text>
        <r>
          <rPr>
            <sz val="10"/>
            <rFont val="Arial"/>
            <family val="2"/>
          </rPr>
          <t>Source: Sabodala-Massawa PFS, Table 1.10 / Table 22.1, 'Sustaining Capex' (US$M).</t>
        </r>
      </text>
    </comment>
    <comment ref="G122" authorId="0" shapeId="0" xr:uid="{00000000-0006-0000-0200-000009000000}">
      <text>
        <r>
          <rPr>
            <sz val="10"/>
            <rFont val="Arial"/>
            <family val="2"/>
          </rPr>
          <t>Source: Sabodala-Massawa PFS, Table 1.11 (Operating Cost Summary) + 'Regional Administration'
(Table 22.1). Couts operationnels totaux (mine OP+UG, traitement WOL+ROT, G&amp;A, administration
regionale) divises par la production annuelle (Koz) -&gt; US$/once.
Note: la feuille 'Modèle' n'agrège que la ligne 'extraction' (ligne 122) pour le total des couts
operationnels ; les lignes 'broyage/autres/energie/services domestiques' ne sont pas sommees
dans 'Modèle' (limitation de la maquette d'origine), d'ou le regroupement de tous les couts
operationnels sur cette ligne.</t>
        </r>
      </text>
    </comment>
    <comment ref="W128" authorId="0" shapeId="0" xr:uid="{00000000-0006-0000-0200-00001B000000}">
      <text>
        <r>
          <rPr>
            <sz val="10"/>
            <rFont val="Arial"/>
            <family val="2"/>
          </rPr>
          <t>Source: Sabodala-Massawa PFS, section 22.4.5 'Closure': 'Reclamation and closure assume $5M,
the majority at the end of mine life.' Affecte a la derniere annee de production (2036).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63" authorId="0" shapeId="0" xr:uid="{00000000-0006-0000-0300-000001000000}">
      <text>
        <r>
          <rPr>
            <sz val="10"/>
            <rFont val="Arial"/>
            <family val="2"/>
          </rPr>
          <t>David:
Uses solely gold reserves and production. Convert to either main commodity type or total commodity production</t>
        </r>
      </text>
    </comment>
    <comment ref="D92" authorId="0" shapeId="0" xr:uid="{00000000-0006-0000-0300-000002000000}">
      <text>
        <r>
          <rPr>
            <sz val="10"/>
            <rFont val="Arial"/>
            <family val="2"/>
          </rPr>
          <t>David:
note, formula uses real prices</t>
        </r>
      </text>
    </comment>
    <comment ref="F390" authorId="0" shapeId="0" xr:uid="{00000000-0006-0000-0300-000005000000}">
      <text>
        <r>
          <rPr>
            <sz val="10"/>
            <rFont val="Arial"/>
            <family val="2"/>
          </rPr>
          <t>David:
Required for the data table functions. Do not delete</t>
        </r>
      </text>
    </comment>
    <comment ref="D512" authorId="0" shapeId="0" xr:uid="{00000000-0006-0000-0300-000003000000}">
      <text>
        <r>
          <rPr>
            <sz val="10"/>
            <rFont val="Arial"/>
            <family val="2"/>
          </rPr>
          <t>David:
Change to General Price?</t>
        </r>
      </text>
    </comment>
    <comment ref="D526" authorId="0" shapeId="0" xr:uid="{00000000-0006-0000-0300-000004000000}">
      <text>
        <r>
          <rPr>
            <sz val="10"/>
            <rFont val="Arial"/>
            <family val="2"/>
          </rPr>
          <t>David:
Change to General Price?</t>
        </r>
      </text>
    </comment>
  </commentList>
</comments>
</file>

<file path=xl/sharedStrings.xml><?xml version="1.0" encoding="utf-8"?>
<sst xmlns="http://schemas.openxmlformats.org/spreadsheetml/2006/main" count="1025" uniqueCount="400">
  <si>
    <t>Modèle financier: mine d'or</t>
  </si>
  <si>
    <t>Objectif</t>
  </si>
  <si>
    <t>Table des matières</t>
  </si>
  <si>
    <t>Relation au modele FARI du FMI</t>
  </si>
  <si>
    <t>DISCLAIMER</t>
  </si>
  <si>
    <t xml:space="preserve">Ce travail est sous la licence Creative Commons Attribution 4.0 International. </t>
  </si>
  <si>
    <t>Pour une copie de cette licence, merci de vous rendre sur le site : https://creativecommons.org/licenses/by/4.0/deed.fr</t>
  </si>
  <si>
    <t>Resultats</t>
  </si>
  <si>
    <t>Hypothèses - synthèse</t>
  </si>
  <si>
    <t>unités</t>
  </si>
  <si>
    <t>Réserves récupérables</t>
  </si>
  <si>
    <t>tonnes</t>
  </si>
  <si>
    <t>Première production</t>
  </si>
  <si>
    <t>année</t>
  </si>
  <si>
    <t>Couts d'exploration</t>
  </si>
  <si>
    <t>$m</t>
  </si>
  <si>
    <t>Couts de développement (CAPEX)</t>
  </si>
  <si>
    <t>Production / CAPEX</t>
  </si>
  <si>
    <t>tonnes/$m</t>
  </si>
  <si>
    <t>Prix du minerai</t>
  </si>
  <si>
    <t>$/tonne</t>
  </si>
  <si>
    <t>$/lb</t>
  </si>
  <si>
    <t>Cout opérationnel par tonne</t>
  </si>
  <si>
    <t xml:space="preserve">Charge de traitement / raffinage </t>
  </si>
  <si>
    <t>Total C1 cash costs</t>
  </si>
  <si>
    <t>Taux d'actualisation (investisseurs)</t>
  </si>
  <si>
    <t>%</t>
  </si>
  <si>
    <t>Taux d'actualisation (Etat)</t>
  </si>
  <si>
    <t>Inflation</t>
  </si>
  <si>
    <t>Taux d’intérêt réel </t>
  </si>
  <si>
    <t>Endettement (capitaux propres/actifs)</t>
  </si>
  <si>
    <t>Résultats - synthèse</t>
  </si>
  <si>
    <t>Flux de trésorerie nets avant impôts du projet (actualisés)</t>
  </si>
  <si>
    <t>TRI avant impôt du projet</t>
  </si>
  <si>
    <t>TRI après impôt du projet</t>
  </si>
  <si>
    <t>Taux de rendement minimum - investisseurs</t>
  </si>
  <si>
    <t>TRI supérieur au rendement minimum?</t>
  </si>
  <si>
    <t>Période de retour sur investissement (cash-flow non actualisés)</t>
  </si>
  <si>
    <t>années</t>
  </si>
  <si>
    <t>Période de retour sur investissement (cash-flow actualisés)</t>
  </si>
  <si>
    <t xml:space="preserve">Utiliser « sélection des données » dans chaque graphique pour ajuster la longueur des axes et les cellules de données, par exemple, après avoir changé le régime fiscal ou le profil du projet. </t>
  </si>
  <si>
    <t>Projet selectionné:</t>
  </si>
  <si>
    <t>Tableaux utilises pour certains graphiques</t>
  </si>
  <si>
    <t>Graphique 1. TEMI</t>
  </si>
  <si>
    <t>TEMI</t>
  </si>
  <si>
    <t>Graphique 3a. Profil des recettes de l'Etat - comparaison des regimes fiscaux (VAN10)</t>
  </si>
  <si>
    <t>VAN</t>
  </si>
  <si>
    <t>Proportion</t>
  </si>
  <si>
    <t>INPUTS</t>
  </si>
  <si>
    <t>Hypotheses du regime fiscal - principaux impots et taxes</t>
  </si>
  <si>
    <t>--- Selection de regimes fiscaux a comparer ---</t>
  </si>
  <si>
    <t>Choisir le numero du regime fiscal</t>
  </si>
  <si>
    <t>Nom du regime fiscal</t>
  </si>
  <si>
    <t>RDC - 2002</t>
  </si>
  <si>
    <t>RDC - amendement</t>
  </si>
  <si>
    <t>Chili</t>
  </si>
  <si>
    <t>Perou</t>
  </si>
  <si>
    <t>Australie Occidentale</t>
  </si>
  <si>
    <t>Tanzanie</t>
  </si>
  <si>
    <t>Ghana</t>
  </si>
  <si>
    <t>Zambie - 2016</t>
  </si>
  <si>
    <t>RDC - redevance a taux variable</t>
  </si>
  <si>
    <t>RDC - taxe sur la rente</t>
  </si>
  <si>
    <t>Sénégal (SGO - Convention Sabodala)</t>
  </si>
  <si>
    <t>Bonus de signature</t>
  </si>
  <si>
    <t>$mm</t>
  </si>
  <si>
    <t>Redevance</t>
  </si>
  <si>
    <t>Taux de redevance</t>
  </si>
  <si>
    <t>Assiette de la redevance (nette / brute)</t>
  </si>
  <si>
    <t>switch</t>
  </si>
  <si>
    <t>net</t>
  </si>
  <si>
    <t>gross</t>
  </si>
  <si>
    <t>Impôt sur les bénéfices</t>
  </si>
  <si>
    <t>Taux de l’impôt sur les bénéfices</t>
  </si>
  <si>
    <t>Deductibilite des couts d'exploration</t>
  </si>
  <si>
    <t>deferred</t>
  </si>
  <si>
    <t>Deductibilite des couts d'investissement - immobilisation incorporelles</t>
  </si>
  <si>
    <t>Amortissement des couts d'investissement - immobilisations corporelles</t>
  </si>
  <si>
    <t>Report des pertes</t>
  </si>
  <si>
    <t>years</t>
  </si>
  <si>
    <t>Report des pertes (limite)</t>
  </si>
  <si>
    <t>Regime d'amortissement (sur le capital physique et de remplacement)</t>
  </si>
  <si>
    <t>Amortissement accelere</t>
  </si>
  <si>
    <t>Option pour les redevances a taux variables (variables dans les tableaux ci-dessous)</t>
  </si>
  <si>
    <t>Redevance a taux variable - basee sur les prix (choisir entre les systemes 1 et 2)</t>
  </si>
  <si>
    <t>Redevance a taux variable - basee sur les prix, pas sur le revenu marginal (choisir entre les systemes 1 et 2)</t>
  </si>
  <si>
    <t>Taux de la taxe sur la rente</t>
  </si>
  <si>
    <t>Seuil de la taxe sur la rente</t>
  </si>
  <si>
    <t>Deductibilite de l'Impot sur les benefices (oui/non)</t>
  </si>
  <si>
    <t>Taxe sur la marge opérationnelle (Choisir 1, 2, 3, 4 dans la section des taux variables)</t>
  </si>
  <si>
    <t>Impôt variable sur les bénéfices (1 = off, 2 = on)</t>
  </si>
  <si>
    <t>Taux de l'mpot sur les profits excedentaires (RDC amendement)</t>
  </si>
  <si>
    <t>Seuil de l'impot sur les profits excedentaires (RDC amendement)</t>
  </si>
  <si>
    <t>Taux du surcout sur les flux de tresorerie</t>
  </si>
  <si>
    <t>Autres taxes et dispositions pertinentes</t>
  </si>
  <si>
    <t>Impôt sur le revenu des valeurs mobilières</t>
  </si>
  <si>
    <t>Participation gratuite de l’Etat (sans contribution)</t>
  </si>
  <si>
    <t>Tax provincial (redevance unitaire)</t>
  </si>
  <si>
    <t>$/ton</t>
  </si>
  <si>
    <t>Drotis de douane</t>
  </si>
  <si>
    <t>Clause de rehabilitation (oui/non)</t>
  </si>
  <si>
    <t>Clause sur le declenchement de la rehabilitation</t>
  </si>
  <si>
    <t>% depletion</t>
  </si>
  <si>
    <t>Amortissement annee 1</t>
  </si>
  <si>
    <t>Amortissement annee 2</t>
  </si>
  <si>
    <t>Amortissement annee 3</t>
  </si>
  <si>
    <t>Amortissement annee 4</t>
  </si>
  <si>
    <t>Amortissement annee 5</t>
  </si>
  <si>
    <t>Amortissement annee 6</t>
  </si>
  <si>
    <t>Amortissement annee 7</t>
  </si>
  <si>
    <t>Amortissement annee 8</t>
  </si>
  <si>
    <t>Amortissement annee 9</t>
  </si>
  <si>
    <t>Amortissement annee 10</t>
  </si>
  <si>
    <t>Impôts variables - regimes</t>
  </si>
  <si>
    <t>Les "impots variables" sont les taxes dont le taux depend de mesures economiques telles que la marge operationnelle ou le prix des minerais.</t>
  </si>
  <si>
    <t>Redevance a taux variable</t>
  </si>
  <si>
    <t>Tableau</t>
  </si>
  <si>
    <t>1 - No RTV</t>
  </si>
  <si>
    <t>2 - Zambie 2016</t>
  </si>
  <si>
    <t>3 - Zambie 2008</t>
  </si>
  <si>
    <t>4 - Alternative</t>
  </si>
  <si>
    <t>Paliers</t>
  </si>
  <si>
    <t>Limite inferieure ($mm)</t>
  </si>
  <si>
    <t>Taux marginal</t>
  </si>
  <si>
    <t>Impot sur la marge operationnelle</t>
  </si>
  <si>
    <t>1 - No IMO</t>
  </si>
  <si>
    <t>2 - Perou</t>
  </si>
  <si>
    <t>3 - Chili</t>
  </si>
  <si>
    <t>Limite inferieure</t>
  </si>
  <si>
    <t>`</t>
  </si>
  <si>
    <t>Impot variable sur les benefices - Zambie</t>
  </si>
  <si>
    <t>Variable "a" dans la formule</t>
  </si>
  <si>
    <t>Variable "c" dans la formule</t>
  </si>
  <si>
    <t>Hypotheses economiques et financieres</t>
  </si>
  <si>
    <t>Pourcentage des couts de developpement emprunte</t>
  </si>
  <si>
    <t>Periode de remboursement (a partir du debut de la production)</t>
  </si>
  <si>
    <t>annees</t>
  </si>
  <si>
    <t>Taux d'interet reel</t>
  </si>
  <si>
    <t>Taux d'actualisation de l'Etat</t>
  </si>
  <si>
    <t>Taux d'actualisation de l'investisseur</t>
  </si>
  <si>
    <t>Taux d'inflation du dollar US</t>
  </si>
  <si>
    <t>Prix</t>
  </si>
  <si>
    <t>$/Once</t>
  </si>
  <si>
    <t>Prix de l'etude de faisabilite (pour le calcul de l'impot sur les profits excedentaires de RDC 2015)</t>
  </si>
  <si>
    <t xml:space="preserve">Transport après imposition </t>
  </si>
  <si>
    <t>Hypotheses de prix</t>
  </si>
  <si>
    <t>year</t>
  </si>
  <si>
    <t>Prix (reel)</t>
  </si>
  <si>
    <t>Hypothese du profil de projet (valeurs reelles)</t>
  </si>
  <si>
    <t xml:space="preserve">Total </t>
  </si>
  <si>
    <t>Sabodala-Massawa (SGO) - Sénégal</t>
  </si>
  <si>
    <t>Production</t>
  </si>
  <si>
    <t>onces</t>
  </si>
  <si>
    <t>$mm reel</t>
  </si>
  <si>
    <t xml:space="preserve">Charge de traitement / raffinage après imposition </t>
  </si>
  <si>
    <t>Couts d’exploration</t>
  </si>
  <si>
    <t>Couts d’investissement en capital - incorporel</t>
  </si>
  <si>
    <t>Couts d’investissement en capital - corporel</t>
  </si>
  <si>
    <t>Capital de réinvestissement</t>
  </si>
  <si>
    <t>Couts opérationnels - extraction</t>
  </si>
  <si>
    <t>Couts opérationnels - broyage</t>
  </si>
  <si>
    <t>Couts opérationnels - autres</t>
  </si>
  <si>
    <t>Couts opérationnels - energie</t>
  </si>
  <si>
    <t>Couts opérationnels - services domestiques</t>
  </si>
  <si>
    <t>Parafiscalité</t>
  </si>
  <si>
    <t>Couts de fermeture et de rehabilitation</t>
  </si>
  <si>
    <t>Conversion des unites</t>
  </si>
  <si>
    <t>livres en tonnes</t>
  </si>
  <si>
    <t>NE PAS SUPPRIMER - variables utilisees  pour les calculs de sensibilite</t>
  </si>
  <si>
    <t>Selection du regime fiscal</t>
  </si>
  <si>
    <t>Verification:</t>
  </si>
  <si>
    <t>annee</t>
  </si>
  <si>
    <t>Flux de tresorerie du projet</t>
  </si>
  <si>
    <t>Flux de tresorerie du projet avant impots: reel</t>
  </si>
  <si>
    <t>Chiffre d'affaires brut</t>
  </si>
  <si>
    <t>Transport et traitement apres imposition</t>
  </si>
  <si>
    <t>Chiffre d'affaires net</t>
  </si>
  <si>
    <t>Couts opérationnels - total</t>
  </si>
  <si>
    <t>Couts totaux</t>
  </si>
  <si>
    <t>Flux de tresorerie du projet avant redevances, droits de douanes et impots</t>
  </si>
  <si>
    <t>Marge operationnelle (EBITDA/CA brut)</t>
  </si>
  <si>
    <t>Taux de rendement interne (reel)</t>
  </si>
  <si>
    <t>Flux de tresorerie du projet avant impots, VAN10</t>
  </si>
  <si>
    <t>Reperes</t>
  </si>
  <si>
    <t>Annees du projet</t>
  </si>
  <si>
    <t>Annees de production</t>
  </si>
  <si>
    <t>Annees de production restantes</t>
  </si>
  <si>
    <t>Annee de premiere production</t>
  </si>
  <si>
    <t>Periode de retour sur investissement</t>
  </si>
  <si>
    <t>Flux de tresorerie du projet avant impot</t>
  </si>
  <si>
    <t>Flux cumulatifs de tresorerie du projet avant impot</t>
  </si>
  <si>
    <t>Indice d'inflation</t>
  </si>
  <si>
    <t>indice</t>
  </si>
  <si>
    <t>Flux de tresorerie du projet avant impot: Nominal</t>
  </si>
  <si>
    <t>Taux de rendement interne (nominal)</t>
  </si>
  <si>
    <t>$mm nominal</t>
  </si>
  <si>
    <t>Calculs - fiscalite</t>
  </si>
  <si>
    <t>Total</t>
  </si>
  <si>
    <t>Fermeture et rehabilitation</t>
  </si>
  <si>
    <t>Annee de fermeture</t>
  </si>
  <si>
    <t>Couts de fermeture et rehabilitation</t>
  </si>
  <si>
    <t>Couts de fermeture et rehabilitation (reel)</t>
  </si>
  <si>
    <t>$mm const</t>
  </si>
  <si>
    <t>Couts de fermeture, equivalent par annee</t>
  </si>
  <si>
    <t>% des reserves extraites, par annee</t>
  </si>
  <si>
    <t>Reserves exploitables restantes au 31 decembre</t>
  </si>
  <si>
    <t>tons</t>
  </si>
  <si>
    <t>Repere - fonds de rehabilitation</t>
  </si>
  <si>
    <t>repere</t>
  </si>
  <si>
    <t>Production pendant la periode de rehabilitation</t>
  </si>
  <si>
    <t>Production cumulee pendant la periode de rehabilitation</t>
  </si>
  <si>
    <t>Solde initial du fonds de rehabilitation</t>
  </si>
  <si>
    <t>Provision autorisee pendant l'annee</t>
  </si>
  <si>
    <t>Retraits du fonds pour payer les couts de rehabilitation</t>
  </si>
  <si>
    <t>Solde positive</t>
  </si>
  <si>
    <t>Solde final</t>
  </si>
  <si>
    <t>Assiette de la redevance: revenu net</t>
  </si>
  <si>
    <t>Taux 1</t>
  </si>
  <si>
    <t>Taux 2</t>
  </si>
  <si>
    <t>Montant de la redevance</t>
  </si>
  <si>
    <t>Taxe provinciale (redevance unitaire)</t>
  </si>
  <si>
    <t>Taxe provinciale</t>
  </si>
  <si>
    <t>Assiette</t>
  </si>
  <si>
    <t>Fourchette de prix 1</t>
  </si>
  <si>
    <t>$</t>
  </si>
  <si>
    <t>Fourchette de prix 2</t>
  </si>
  <si>
    <t>Fourchette de prix 3</t>
  </si>
  <si>
    <t>Fourchette de prix 4</t>
  </si>
  <si>
    <t>Palier 1</t>
  </si>
  <si>
    <t>Palier 2</t>
  </si>
  <si>
    <t>Palier 3</t>
  </si>
  <si>
    <t>Palier 4</t>
  </si>
  <si>
    <t>Droits de douane</t>
  </si>
  <si>
    <t>Bonus</t>
  </si>
  <si>
    <t>EBITDA</t>
  </si>
  <si>
    <t>Taxe sur la marge operationnelle</t>
  </si>
  <si>
    <t>Profit operationnel [EBITDA]</t>
  </si>
  <si>
    <t>Marge operationnelle</t>
  </si>
  <si>
    <t>Palier 5</t>
  </si>
  <si>
    <t>Palier 6</t>
  </si>
  <si>
    <t>Palier 7</t>
  </si>
  <si>
    <t>Palier 8</t>
  </si>
  <si>
    <t>Palier 9</t>
  </si>
  <si>
    <t>Palier 10</t>
  </si>
  <si>
    <t>Palier 11</t>
  </si>
  <si>
    <t>Palier 12</t>
  </si>
  <si>
    <t>Palier 13</t>
  </si>
  <si>
    <t>Palier 14</t>
  </si>
  <si>
    <t>Palier 15</t>
  </si>
  <si>
    <t>Palier 16</t>
  </si>
  <si>
    <t>Palier 17</t>
  </si>
  <si>
    <t>Taux moyen</t>
  </si>
  <si>
    <t>Flux de tresorerie apres rehabilitation et autres paiement, avant impot sur les benefices</t>
  </si>
  <si>
    <t>Revenu net apres redevances et taxe sur la marge operationnelle</t>
  </si>
  <si>
    <t>Couts / provision pour fermeture et de rehabilitation</t>
  </si>
  <si>
    <t>Tresorerie nette</t>
  </si>
  <si>
    <t>Amortissement</t>
  </si>
  <si>
    <t>Deductibilite des couts d'exploration (différés )</t>
  </si>
  <si>
    <t>Deductibilite des couts d'investissement - immobilisation incorporelles (différés )</t>
  </si>
  <si>
    <t>Couts d’investissement et de reinvestissement en capital - corporel</t>
  </si>
  <si>
    <t>Deductibilite des couts d’investissement et de reinvestissement en capital - corporel (différés )</t>
  </si>
  <si>
    <t>Annee d'amortissement 1</t>
  </si>
  <si>
    <t>Annee d'amortissement 2</t>
  </si>
  <si>
    <t>Annee d'amortissement 3</t>
  </si>
  <si>
    <t>Annee d'amortissement 4</t>
  </si>
  <si>
    <t>Annee d'amortissement 5</t>
  </si>
  <si>
    <t>Annee d'amortissement 6</t>
  </si>
  <si>
    <t>Annee d'amortissement 7</t>
  </si>
  <si>
    <t>Annee d'amortissement 8</t>
  </si>
  <si>
    <t>Annee d'amortissement 9</t>
  </si>
  <si>
    <t>Annee d'amortissement 10</t>
  </si>
  <si>
    <t>Couts d'investissement - amortissement des actifs corporels</t>
  </si>
  <si>
    <t>EBIT</t>
  </si>
  <si>
    <t>Impot sur les benefices et profits</t>
  </si>
  <si>
    <t>Couts opérationnels</t>
  </si>
  <si>
    <t>Frais financiers</t>
  </si>
  <si>
    <t>Revenu imposable avant report des pertes anterieures</t>
  </si>
  <si>
    <t>Pertes anterieures reportables</t>
  </si>
  <si>
    <t>Revenu imposable apres report des pertes anterieures</t>
  </si>
  <si>
    <t>Impot sur les benefices</t>
  </si>
  <si>
    <t>Impot sur les profits excedentaires (RDC)</t>
  </si>
  <si>
    <t>Difference de prix</t>
  </si>
  <si>
    <t>Impot sur les profits excedentaires</t>
  </si>
  <si>
    <t>Report des pertes sur les exercices ulterieurs</t>
  </si>
  <si>
    <t>Expiration de la limite de report</t>
  </si>
  <si>
    <t>Year</t>
  </si>
  <si>
    <t>Pertes ayant excede la limite de report</t>
  </si>
  <si>
    <t>Solde reporte</t>
  </si>
  <si>
    <t>Pertes de l'annee en cours</t>
  </si>
  <si>
    <t>Limite reportable</t>
  </si>
  <si>
    <t>Pertes deduites</t>
  </si>
  <si>
    <t>Solde a reporter</t>
  </si>
  <si>
    <t>Flux de tresorerie du preteur</t>
  </si>
  <si>
    <t>Financement de l'investissement</t>
  </si>
  <si>
    <t>Remboursement du pret</t>
  </si>
  <si>
    <t>Flux de tresorerie net du preteur</t>
  </si>
  <si>
    <t>Impot sur la rente</t>
  </si>
  <si>
    <t>RRT solde d'ouverture</t>
  </si>
  <si>
    <t>(ajouter) uplift sur le solde negatif</t>
  </si>
  <si>
    <t>(ajouter) flux de tresorerie nets du projet apres redevance, bonus et rehabilitation</t>
  </si>
  <si>
    <t>(deduire) IBP paye: non</t>
  </si>
  <si>
    <t>RRT solde final</t>
  </si>
  <si>
    <t>Verification</t>
  </si>
  <si>
    <t>Flux de tresorerie nets apres redevance et IBP si deductible</t>
  </si>
  <si>
    <t>TRI cumulatif</t>
  </si>
  <si>
    <t>Impot sur les benefices a taux variable</t>
  </si>
  <si>
    <t>Assiette d'imposition</t>
  </si>
  <si>
    <t>Benefice imposable / chiffre d'affaires</t>
  </si>
  <si>
    <t>Taux d'imposition</t>
  </si>
  <si>
    <t>Impot sur le benefices a taux variable</t>
  </si>
  <si>
    <t>Impot sur les dividendes et participations de l'Etat</t>
  </si>
  <si>
    <t>FTN du projet apres rehabilitations et avant impots</t>
  </si>
  <si>
    <t>Flux de tresorerie de l'investisseur avant distributions</t>
  </si>
  <si>
    <t>Flux de tresorerie cumules de l'investisseur avant distributions</t>
  </si>
  <si>
    <t>Tresorerie distribuable</t>
  </si>
  <si>
    <t>Participation de l'Etat</t>
  </si>
  <si>
    <t>Versement de dividendes</t>
  </si>
  <si>
    <t>Prelevement a la source sur les dividendes</t>
  </si>
  <si>
    <t>FTN de l'investisseur apres versement des dividendes de l'Etat et prelevement a la source</t>
  </si>
  <si>
    <t>Indicateurs du projet: valeures nominales</t>
  </si>
  <si>
    <t>EBT</t>
  </si>
  <si>
    <t>Flux de tresorerie nets de l'investisseur: valeurs nominales</t>
  </si>
  <si>
    <t>Moins: Flux de tresorerie net du preteur</t>
  </si>
  <si>
    <t>Moins: Impot sur les benefices et profits</t>
  </si>
  <si>
    <t>Moins: Impot sur la rente</t>
  </si>
  <si>
    <t>Moins: Impot sur le benefices a taux variable</t>
  </si>
  <si>
    <t>Moins: Impot sur les profits excedentaires</t>
  </si>
  <si>
    <t>Moins: Participation de l'Etat</t>
  </si>
  <si>
    <t>Moins: Prelevement a la source sur les dividendes</t>
  </si>
  <si>
    <t>Flux de tresorerie de l'investisseur apres impots</t>
  </si>
  <si>
    <t>TRI de l'investisseur apres impots</t>
  </si>
  <si>
    <t>Flux de tresorerie des frais de fermeture et rehabilitation</t>
  </si>
  <si>
    <t>Flux de tresorerie nets de l'investisseur: valeurs reelles</t>
  </si>
  <si>
    <t>Moins: Impot sur les benefices a taux variable</t>
  </si>
  <si>
    <t>Periode de retour sur investissement: valeurs reelles</t>
  </si>
  <si>
    <t>Flux de tresorerie cumules de l'investisseur apres impots</t>
  </si>
  <si>
    <t>Periode de retour sur investissement VAN0</t>
  </si>
  <si>
    <t>Indice d'actualisation</t>
  </si>
  <si>
    <t>Flux de tresorerie de l'investisseur apres impots VAN12.5</t>
  </si>
  <si>
    <t>Flux de tresorerie cumules de l'investisseur apres impots VAN12.5</t>
  </si>
  <si>
    <t>Periode de retour sur investissement VAN12.5</t>
  </si>
  <si>
    <t>Recettes de l'Etat: valeurs nominales</t>
  </si>
  <si>
    <t>Recettes de l'Etat</t>
  </si>
  <si>
    <t>Recettes de l'Etat: valeurs reelles</t>
  </si>
  <si>
    <t>Reconciliation: valeurs nominales</t>
  </si>
  <si>
    <t>Etat + Investisseur + preteur</t>
  </si>
  <si>
    <t>Flux de tresorerie de la rehabilitation</t>
  </si>
  <si>
    <t>Flux de tresorerie du projet avant impots</t>
  </si>
  <si>
    <t>Flux de tresorerie du projet avant impots (ligne 58)</t>
  </si>
  <si>
    <t>Reconciliation: valeurs reelles</t>
  </si>
  <si>
    <t>Flux de tresorerie du projet avant impots (ligne 25)</t>
  </si>
  <si>
    <t>Resultats: valeurs nominales</t>
  </si>
  <si>
    <t>Benefices totaux</t>
  </si>
  <si>
    <t>Resultats: valeurs reelles</t>
  </si>
  <si>
    <t>Flux de tresorerie Investisseur + preteur</t>
  </si>
  <si>
    <t>TRI apres impots de l'investisseur</t>
  </si>
  <si>
    <t>Resultats en valeurs actuelles nettes a differents taux d'actualisation</t>
  </si>
  <si>
    <t>Taux Effectif Moyen d'Imposition</t>
  </si>
  <si>
    <t>% reel</t>
  </si>
  <si>
    <t>Part de l'Etat dans les benefices totaux</t>
  </si>
  <si>
    <t>Reconciliation</t>
  </si>
  <si>
    <t>Repartition des benefices</t>
  </si>
  <si>
    <t>Etat</t>
  </si>
  <si>
    <t>Investisseur</t>
  </si>
  <si>
    <t>Preteur</t>
  </si>
  <si>
    <t>Couts</t>
  </si>
  <si>
    <t>Recettes annuelles de l'Etat par type de recette - regime selectionne: RDC - 2002</t>
  </si>
  <si>
    <t>Redevance a taux variable - sur les prix</t>
  </si>
  <si>
    <t>Recettes totales de l'Etat</t>
  </si>
  <si>
    <t>Recettes annuelles de l'Etat par type de recette - comparaison des regimes fiscaux</t>
  </si>
  <si>
    <t>Regime</t>
  </si>
  <si>
    <t>Recettes annuelles de l'Etat - comparaison des regimes fiscaux</t>
  </si>
  <si>
    <t>Total government revenue</t>
  </si>
  <si>
    <t>Taux Effectif Moyen d'Imposition (TEMI) - regime selectionne: RDC - 2002</t>
  </si>
  <si>
    <t>Taux d'actualisation</t>
  </si>
  <si>
    <t>Recettes de l'Etat (numerateur)</t>
  </si>
  <si>
    <t>Flux de tresorerie du projet avant impots (denominateur)</t>
  </si>
  <si>
    <t>Taux Effectif Moyen d'Imposition (TEMI)</t>
  </si>
  <si>
    <t>Taux Effectif Moyen d'Imposition (TEMI) - comparaison des regimes fiscaux:</t>
  </si>
  <si>
    <t>VAN des recettes de l'Etat - - Analyse de sensibilite aux changements de prix</t>
  </si>
  <si>
    <t>changement de prix</t>
  </si>
  <si>
    <t>changement de couts</t>
  </si>
  <si>
    <t>Variation en % de la VAN des recettes de l'Etat - VAN10, sensibilite au prix</t>
  </si>
  <si>
    <t>Resume des indicateurs de partage des risques</t>
  </si>
  <si>
    <t>Coefficient de variation</t>
  </si>
  <si>
    <t>Moins 20% ($mm)</t>
  </si>
  <si>
    <t>Plus 20% ($mm)</t>
  </si>
  <si>
    <t>Plus 40% ($mm)</t>
  </si>
  <si>
    <t>Moins 20%</t>
  </si>
  <si>
    <t>Plus 20%</t>
  </si>
  <si>
    <t>Plus 40%</t>
  </si>
  <si>
    <t>Part de l'Etat dans les benefices totaux - regime selectionne: RDC - 2002</t>
  </si>
  <si>
    <t>Benefices totaux (denominateur)</t>
  </si>
  <si>
    <t>Part de l'Etat dans les benefices totaux - comparison des regimes fiscaux</t>
  </si>
  <si>
    <t>Part de l'Etat dans les benefices totaux - Analyse de sensibilite aux changements de prix</t>
  </si>
  <si>
    <t>Part de l'Etat dans les benefices totaux - Analyse de sensibilite aux changements de couts d'operation</t>
  </si>
  <si>
    <t>Elements necessaires aux analyses de sensibilite  - NE PAS EFFACER</t>
  </si>
  <si>
    <t>Degre de changement de prix</t>
  </si>
  <si>
    <t>Degre de changement de cout</t>
  </si>
  <si>
    <t>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</si>
</sst>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7">
    <numFmt numFmtId="164" formatCode="#,##0_);[Red]\(#,##0\);\-"/>
    <numFmt numFmtId="165" formatCode="_([$€-2]* #,##0.00_);_([$€-2]* \(#,##0.00\);_([$€-2]* \-??_)"/>
    <numFmt numFmtId="166" formatCode="0.0;;;"/>
    <numFmt numFmtId="167" formatCode="0.0%"/>
    <numFmt numFmtId="168" formatCode="d\-mmm\-yy_);d\-mmm\-yy_);\-_)"/>
    <numFmt numFmtId="169" formatCode="&quot;   &quot;@"/>
    <numFmt numFmtId="170" formatCode="#,##0_);\(#,##0\);\-_)"/>
    <numFmt numFmtId="171" formatCode="#,##0;\(#,##0\);\-"/>
    <numFmt numFmtId="172" formatCode="0.00%;\(0.00%\);\-"/>
    <numFmt numFmtId="173" formatCode="0.000\x_);\(#,##0&quot;)x&quot;;\-_)"/>
    <numFmt numFmtId="174" formatCode="&quot;      &quot;@"/>
    <numFmt numFmtId="175" formatCode="0.00%_);\(0.00%\);\-_)"/>
    <numFmt numFmtId="176" formatCode="0.000\x_);\(0.000&quot;)x&quot;;\-_)"/>
    <numFmt numFmtId="177" formatCode="&quot;         &quot;@"/>
    <numFmt numFmtId="178" formatCode="&quot;            &quot;@"/>
    <numFmt numFmtId="179" formatCode="&quot;               &quot;@"/>
    <numFmt numFmtId="180" formatCode="General_)"/>
    <numFmt numFmtId="181" formatCode="\$#,##0.00\ ;&quot;($&quot;#,##0.00\)"/>
    <numFmt numFmtId="182" formatCode="0.000000"/>
    <numFmt numFmtId="183" formatCode="#,##0_);[Red]\(#,##0\);&quot;-  &quot;"/>
    <numFmt numFmtId="184" formatCode="0.0"/>
    <numFmt numFmtId="185" formatCode="\$#,##0_);[Red]&quot;($&quot;#,##0\);\$0_);@_)"/>
    <numFmt numFmtId="186" formatCode="#,###,_);\(#,###,\);\-_);@\ "/>
    <numFmt numFmtId="187" formatCode="#,##0_);\(#,##0\);\-_);@\ "/>
    <numFmt numFmtId="188" formatCode="#,##0.0_);\(#,##0.0\);\-_);@\ "/>
    <numFmt numFmtId="189" formatCode="#,##0.00_);\(#,##0.00\);\-_);@\ "/>
    <numFmt numFmtId="190" formatCode="_-* #,##0.00_-;\-* #,##0.00_-;_-* \-??_-;_-@_-"/>
    <numFmt numFmtId="191" formatCode="#,##0_)&quot;  &quot;;[Red]\(#,##0&quot;)  &quot;"/>
    <numFmt numFmtId="192" formatCode="#,##0;[Red]\(#,##0\)"/>
    <numFmt numFmtId="193" formatCode="#,##0.0"/>
    <numFmt numFmtId="194" formatCode="#,##0.000"/>
    <numFmt numFmtId="195" formatCode="#,##0.0000"/>
    <numFmt numFmtId="196" formatCode="0.000_)"/>
    <numFmt numFmtId="197" formatCode="#,##0;\(#,##0\)"/>
    <numFmt numFmtId="198" formatCode="#,##0.0;\(#,##0.0\)"/>
    <numFmt numFmtId="199" formatCode="_(* #,##0.00_);_(* \(#,##0.00\);_(* \-??_);_(@_)"/>
    <numFmt numFmtId="200" formatCode="_ * #,##0.00_ ;_ * \-#,##0.00_ ;_ * \-??_ ;_ @_ "/>
    <numFmt numFmtId="201" formatCode="#,##0.0_);\(#,##0.0\)"/>
    <numFmt numFmtId="202" formatCode="_(\$* #,##0.00_);_(\$* \(#,##0.00\);_(\$* \-??_);_(@_)"/>
    <numFmt numFmtId="203" formatCode="\$#,##0_);&quot;($&quot;#,##0\)"/>
    <numFmt numFmtId="204" formatCode="#,##0_)"/>
    <numFmt numFmtId="205" formatCode="0.0_W"/>
    <numFmt numFmtId="206" formatCode="_-* #,##0.00\ _D_M_-;\-* #,##0.00\ _D_M_-;_-* \-??\ _D_M_-;_-@_-"/>
    <numFmt numFmtId="207" formatCode="#,##0.0\ ;\(#,##0.0\);\-??"/>
    <numFmt numFmtId="208" formatCode="_-* #,##0.00&quot; €&quot;_-;\-* #,##0.00&quot; €&quot;_-;_-* \-??&quot; €&quot;_-;_-@_-"/>
    <numFmt numFmtId="209" formatCode="#.##0,"/>
    <numFmt numFmtId="210" formatCode="#,#00"/>
    <numFmt numFmtId="211" formatCode="#,"/>
    <numFmt numFmtId="212" formatCode=";;;"/>
    <numFmt numFmtId="213" formatCode="[$-409]d\-mmm\-yy"/>
    <numFmt numFmtId="214" formatCode="[$-409]#,##0.00_);[Red]\(#,##0.00\)"/>
    <numFmt numFmtId="215" formatCode="_-* #,##0.00\ _€_-;\-* #,##0.00\ _€_-;_-* \-??\ _€_-;_-@_-"/>
    <numFmt numFmtId="216" formatCode="_(* #,##0_);_(* \(#,##0\);_(* \-_);_(@_)"/>
    <numFmt numFmtId="217" formatCode="&quot;Cr$&quot;#,##0_);[Red]&quot;(Cr$&quot;#,##0\)"/>
    <numFmt numFmtId="218" formatCode="\$#,"/>
    <numFmt numFmtId="219" formatCode="&quot;Cr$&quot;#,##0.00_);[Red]&quot;(Cr$&quot;#,##0.00\)"/>
    <numFmt numFmtId="220" formatCode="_(\$* #,##0_);_(\$* \(#,##0\);_(\$* \-_);_(@_)"/>
    <numFmt numFmtId="221" formatCode="\$#,#00"/>
    <numFmt numFmtId="222" formatCode="[$-409]mmm\-yy"/>
    <numFmt numFmtId="223" formatCode="#,##0;\-#,##0;\-"/>
    <numFmt numFmtId="224" formatCode="0.0_)"/>
    <numFmt numFmtId="225" formatCode="[$-409]#,##0_);\(#,##0\)"/>
    <numFmt numFmtId="226" formatCode="#,##0.00_);\-#,##0.00_);\-_)"/>
    <numFmt numFmtId="227" formatCode="[&gt;=0.05]#,##0.0;[&lt;=-0.05]\-#,##0.0;?0.0"/>
    <numFmt numFmtId="228" formatCode="[&gt;=0.05]\(#,##0.0\);[&lt;=-0.05]&quot;(-&quot;#,##0.0\);&quot;(--)&quot;;\(@\)"/>
    <numFmt numFmtId="229" formatCode="%#,#00"/>
    <numFmt numFmtId="230" formatCode="[Black][&gt;0.5]#,##0;[Black][&lt;-0.5]\-#,##0;;"/>
    <numFmt numFmtId="231" formatCode="[Black]#,##0.0;[Black]\-#,##0.0;;"/>
    <numFmt numFmtId="232" formatCode="[Black][&gt;0.05]#,##0.0;[Black][&lt;-0.05]\-#,##0.0;;"/>
    <numFmt numFmtId="233" formatCode="#.##000"/>
    <numFmt numFmtId="234" formatCode="dd\-mmm\-yy_)"/>
    <numFmt numFmtId="235" formatCode="#,##0.0____"/>
    <numFmt numFmtId="236" formatCode="#,##0."/>
    <numFmt numFmtId="237" formatCode="[$-409]#,##0_);[Red]\(#,##0\)"/>
    <numFmt numFmtId="238" formatCode="#,##0.000000"/>
    <numFmt numFmtId="239" formatCode="[$-409]m/d/yyyy"/>
    <numFmt numFmtId="240" formatCode="#,##0.0_);\-#,##0.0_);\-_)"/>
    <numFmt numFmtId="241" formatCode="0_%_);\(0\)_%;0_%_);@_%_)"/>
    <numFmt numFmtId="242" formatCode="mmmm\ yyyy"/>
    <numFmt numFmtId="243" formatCode="_-* #,##0&quot; DM&quot;_-;\-* #,##0&quot; DM&quot;_-;_-* &quot;- DM&quot;_-;_-@_-"/>
    <numFmt numFmtId="244" formatCode="_-* #,##0.00&quot; DM&quot;_-;\-* #,##0.00&quot; DM&quot;_-;_-* \-??&quot; DM&quot;_-;_-@_-"/>
    <numFmt numFmtId="245" formatCode="_(* #,##0_);_(* \(#,##0\);_(* \-??_);_(@_)"/>
    <numFmt numFmtId="246" formatCode="#,##0.00_);[Red]\(#,##0.00\);\-"/>
    <numFmt numFmtId="247" formatCode="#,##0.0;\-#,##0.0;\-"/>
    <numFmt numFmtId="248" formatCode="_(* #,##0.0_);_(* \(#,##0.0\);_(* \-??_);_(@_)"/>
    <numFmt numFmtId="249" formatCode="#,##0.00;\-#,##0.00;\-"/>
    <numFmt numFmtId="250" formatCode="#,##0.000;\-#,##0.000;\-"/>
  </numFmts>
  <fonts count="175">
    <font>
      <sz val="11"/>
      <color rgb="FF000000"/>
      <name val="Calibri"/>
      <family val="2"/>
      <charset val="1"/>
    </font>
    <font>
      <sz val="10"/>
      <name val="Arial"/>
      <family val="2"/>
    </font>
    <font>
      <sz val="12"/>
      <color rgb="FF000000"/>
      <name val="TimesNewRomanPS"/>
      <family val="1"/>
      <charset val="1"/>
    </font>
    <font>
      <sz val="10"/>
      <name val="Arial"/>
      <family val="2"/>
      <charset val="1"/>
    </font>
    <font>
      <sz val="10"/>
      <name val="Verdana"/>
      <family val="2"/>
      <charset val="1"/>
    </font>
    <font>
      <sz val="10"/>
      <color rgb="FF0000D4"/>
      <name val="Times New Roman"/>
      <family val="1"/>
      <charset val="1"/>
    </font>
    <font>
      <sz val="10"/>
      <color rgb="FF339966"/>
      <name val="Times New Roman"/>
      <family val="1"/>
      <charset val="1"/>
    </font>
    <font>
      <b/>
      <sz val="10"/>
      <color rgb="FFDD2D32"/>
      <name val="Times New Roman"/>
      <family val="1"/>
      <charset val="1"/>
    </font>
    <font>
      <sz val="7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sz val="12"/>
      <name val="Times New Roman"/>
      <family val="1"/>
      <charset val="1"/>
    </font>
    <font>
      <sz val="10"/>
      <color rgb="FF0000D4"/>
      <name val="Arial"/>
      <family val="2"/>
      <charset val="1"/>
    </font>
    <font>
      <b/>
      <u/>
      <sz val="14"/>
      <name val="Arial"/>
      <family val="2"/>
      <charset val="1"/>
    </font>
    <font>
      <b/>
      <u/>
      <sz val="12"/>
      <name val="Arial"/>
      <family val="2"/>
      <charset val="1"/>
    </font>
    <font>
      <b/>
      <u/>
      <sz val="10"/>
      <name val="Arial"/>
      <family val="2"/>
      <charset val="1"/>
    </font>
    <font>
      <u/>
      <sz val="10"/>
      <name val="Arial"/>
      <family val="2"/>
      <charset val="1"/>
    </font>
    <font>
      <sz val="11"/>
      <color rgb="FFFFFFFF"/>
      <name val="Calibri"/>
      <family val="2"/>
      <charset val="1"/>
    </font>
    <font>
      <sz val="10"/>
      <name val="Times New Roman"/>
      <family val="1"/>
      <charset val="1"/>
    </font>
    <font>
      <sz val="12"/>
      <color rgb="FF63AAFE"/>
      <name val="Modern"/>
      <family val="3"/>
      <charset val="1"/>
    </font>
    <font>
      <b/>
      <sz val="18"/>
      <color rgb="FF63AAFE"/>
      <name val="Modern"/>
      <family val="3"/>
      <charset val="1"/>
    </font>
    <font>
      <b/>
      <sz val="12"/>
      <color rgb="FF63AAFE"/>
      <name val="Modern"/>
      <family val="3"/>
      <charset val="1"/>
    </font>
    <font>
      <sz val="12"/>
      <name val="??"/>
      <charset val="1"/>
    </font>
    <font>
      <sz val="10"/>
      <name val="Arial Cyr"/>
      <family val="2"/>
      <charset val="1"/>
    </font>
    <font>
      <sz val="10"/>
      <name val="Geneva"/>
      <family val="2"/>
      <charset val="1"/>
    </font>
    <font>
      <b/>
      <sz val="9"/>
      <name val="Times New Roman"/>
      <family val="1"/>
      <charset val="1"/>
    </font>
    <font>
      <sz val="9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8"/>
      <color rgb="FF0000D4"/>
      <name val="Arial"/>
      <family val="2"/>
    </font>
    <font>
      <b/>
      <sz val="11"/>
      <color rgb="FF333333"/>
      <name val="Calibri"/>
      <family val="2"/>
      <charset val="1"/>
    </font>
    <font>
      <sz val="12"/>
      <color rgb="FF0000D4"/>
      <name val="Times New Roman"/>
      <family val="1"/>
      <charset val="1"/>
    </font>
    <font>
      <sz val="10"/>
      <color rgb="FFDD0806"/>
      <name val="Times New Roman"/>
      <family val="1"/>
      <charset val="1"/>
    </font>
    <font>
      <sz val="10"/>
      <color rgb="FF99CC00"/>
      <name val="MS Sans Serif"/>
      <family val="2"/>
      <charset val="1"/>
    </font>
    <font>
      <b/>
      <sz val="11"/>
      <color rgb="FFFF9900"/>
      <name val="Calibri"/>
      <family val="2"/>
      <charset val="1"/>
    </font>
    <font>
      <sz val="12"/>
      <name val="Arial"/>
      <family val="2"/>
      <charset val="1"/>
    </font>
    <font>
      <sz val="10"/>
      <color rgb="FF4600A5"/>
      <name val="Arial"/>
      <family val="2"/>
      <charset val="1"/>
    </font>
    <font>
      <b/>
      <sz val="10"/>
      <name val="Arial"/>
      <family val="2"/>
      <charset val="1"/>
    </font>
    <font>
      <sz val="16"/>
      <name val="Arial"/>
      <family val="2"/>
      <charset val="1"/>
    </font>
    <font>
      <sz val="14"/>
      <color rgb="FF99CC00"/>
      <name val="Arial"/>
      <family val="2"/>
      <charset val="1"/>
    </font>
    <font>
      <sz val="6"/>
      <name val="Arial"/>
      <family val="2"/>
      <charset val="1"/>
    </font>
    <font>
      <b/>
      <sz val="8.5"/>
      <color rgb="FF99CC00"/>
      <name val="Arial"/>
      <family val="2"/>
      <charset val="1"/>
    </font>
    <font>
      <sz val="8"/>
      <color rgb="FF000000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7"/>
      <name val="Arial"/>
      <family val="2"/>
      <charset val="1"/>
    </font>
    <font>
      <sz val="7"/>
      <color rgb="FF000000"/>
      <name val="Arial"/>
      <family val="2"/>
      <charset val="1"/>
    </font>
    <font>
      <sz val="6.5"/>
      <name val="Arial"/>
      <family val="2"/>
      <charset val="1"/>
    </font>
    <font>
      <sz val="1"/>
      <color rgb="FF000000"/>
      <name val="Courier New"/>
      <family val="3"/>
      <charset val="1"/>
    </font>
    <font>
      <i/>
      <sz val="1"/>
      <color rgb="FF000000"/>
      <name val="Courier New"/>
      <family val="3"/>
      <charset val="1"/>
    </font>
    <font>
      <sz val="10"/>
      <color rgb="FFFFFFFF"/>
      <name val="Times New Roman"/>
      <family val="1"/>
      <charset val="1"/>
    </font>
    <font>
      <b/>
      <sz val="12"/>
      <name val="Arial Rounded MT Bold"/>
      <family val="2"/>
      <charset val="1"/>
    </font>
    <font>
      <i/>
      <sz val="12"/>
      <name val="Arial"/>
      <family val="2"/>
      <charset val="1"/>
    </font>
    <font>
      <b/>
      <sz val="10"/>
      <color rgb="FFDD0806"/>
      <name val="Times New Roman"/>
      <family val="1"/>
      <charset val="1"/>
    </font>
    <font>
      <sz val="10"/>
      <color rgb="FF000000"/>
      <name val="Verdana"/>
      <family val="2"/>
      <charset val="1"/>
    </font>
    <font>
      <i/>
      <sz val="10"/>
      <color rgb="FF000000"/>
      <name val="Verdana"/>
      <family val="2"/>
      <charset val="1"/>
    </font>
    <font>
      <b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/>
      <sz val="11"/>
      <color rgb="FF000000"/>
      <name val="Verdana"/>
      <family val="2"/>
      <charset val="1"/>
    </font>
    <font>
      <b/>
      <sz val="13"/>
      <color rgb="FFFFFFFF"/>
      <name val="Verdana"/>
      <family val="2"/>
      <charset val="1"/>
    </font>
    <font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b/>
      <sz val="9"/>
      <color rgb="FF000090"/>
      <name val="Arial"/>
      <family val="2"/>
      <charset val="1"/>
    </font>
    <font>
      <sz val="11"/>
      <name val="Times New Roman"/>
      <family val="1"/>
    </font>
    <font>
      <sz val="10"/>
      <name val="MS Sans Serif"/>
      <family val="2"/>
      <charset val="1"/>
    </font>
    <font>
      <b/>
      <sz val="12"/>
      <name val="Arial"/>
      <family val="2"/>
      <charset val="1"/>
    </font>
    <font>
      <sz val="9"/>
      <name val="Arial"/>
      <family val="2"/>
      <charset val="1"/>
    </font>
    <font>
      <sz val="9"/>
      <name val="Times New Roman"/>
      <family val="1"/>
    </font>
    <font>
      <sz val="11"/>
      <color rgb="FF333399"/>
      <name val="Calibri"/>
      <family val="2"/>
      <charset val="1"/>
    </font>
    <font>
      <b/>
      <sz val="10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0"/>
      <color rgb="FFFFFFFF"/>
      <name val="Arial"/>
      <family val="2"/>
      <charset val="1"/>
    </font>
    <font>
      <u/>
      <sz val="7.5"/>
      <color rgb="FF6711FF"/>
      <name val="Arial"/>
      <family val="2"/>
      <charset val="1"/>
    </font>
    <font>
      <b/>
      <i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6411"/>
      <name val="Times New Roman"/>
      <family val="1"/>
      <charset val="1"/>
    </font>
    <font>
      <sz val="11"/>
      <color rgb="FF006411"/>
      <name val="Calibri"/>
      <family val="2"/>
      <charset val="1"/>
    </font>
    <font>
      <b/>
      <sz val="1"/>
      <color rgb="FF000000"/>
      <name val="Courier New"/>
      <family val="3"/>
      <charset val="1"/>
    </font>
    <font>
      <b/>
      <sz val="18"/>
      <name val="Arial"/>
      <family val="2"/>
      <charset val="1"/>
    </font>
    <font>
      <b/>
      <sz val="11"/>
      <color rgb="FF000000"/>
      <name val="Times New Roman"/>
      <family val="1"/>
      <charset val="1"/>
    </font>
    <font>
      <b/>
      <sz val="12"/>
      <name val="Times New Roman"/>
      <family val="1"/>
      <charset val="1"/>
    </font>
    <font>
      <b/>
      <sz val="9"/>
      <name val="Arial"/>
      <family val="2"/>
      <charset val="1"/>
    </font>
    <font>
      <sz val="8.5"/>
      <name val="Arial"/>
      <family val="2"/>
      <charset val="1"/>
    </font>
    <font>
      <sz val="13"/>
      <name val="Arial"/>
      <family val="2"/>
      <charset val="1"/>
    </font>
    <font>
      <u/>
      <sz val="10"/>
      <color rgb="FF0000D4"/>
      <name val="Courier New"/>
      <family val="3"/>
      <charset val="1"/>
    </font>
    <font>
      <u/>
      <sz val="11"/>
      <color rgb="FF0000D4"/>
      <name val="Calibri"/>
      <family val="2"/>
      <charset val="1"/>
    </font>
    <font>
      <u/>
      <sz val="10"/>
      <color rgb="FF6711FF"/>
      <name val="Courier New"/>
      <family val="3"/>
      <charset val="1"/>
    </font>
    <font>
      <u/>
      <sz val="5"/>
      <color rgb="FF0000D4"/>
      <name val="Courier New"/>
      <family val="3"/>
      <charset val="1"/>
    </font>
    <font>
      <u/>
      <sz val="7.5"/>
      <color rgb="FF0000D4"/>
      <name val="Arial"/>
      <family val="2"/>
      <charset val="1"/>
    </font>
    <font>
      <u/>
      <sz val="12"/>
      <color rgb="FF0000D4"/>
      <name val="Times New Roman"/>
      <family val="1"/>
      <charset val="1"/>
    </font>
    <font>
      <u/>
      <sz val="10"/>
      <color rgb="FF0000D4"/>
      <name val="Times New Roman"/>
      <family val="1"/>
      <charset val="1"/>
    </font>
    <font>
      <u/>
      <sz val="9.35"/>
      <color rgb="FF0000D4"/>
      <name val="Calibri"/>
      <family val="2"/>
      <charset val="1"/>
    </font>
    <font>
      <u/>
      <sz val="10"/>
      <color rgb="FF6711FF"/>
      <name val="Arial"/>
      <family val="2"/>
      <charset val="1"/>
    </font>
    <font>
      <sz val="10"/>
      <color rgb="FF000090"/>
      <name val="Times New Roman"/>
      <family val="1"/>
      <charset val="1"/>
    </font>
    <font>
      <b/>
      <sz val="10"/>
      <color rgb="FF0000D4"/>
      <name val="Arial"/>
      <family val="2"/>
      <charset val="1"/>
    </font>
    <font>
      <b/>
      <sz val="12"/>
      <color rgb="FF000000"/>
      <name val="Times New Roman"/>
      <family val="1"/>
      <charset val="1"/>
    </font>
    <font>
      <u/>
      <sz val="7.5"/>
      <color rgb="FF0000D4"/>
      <name val="Times New Roman"/>
      <family val="1"/>
      <charset val="1"/>
    </font>
    <font>
      <u/>
      <sz val="7.5"/>
      <color rgb="FF6711FF"/>
      <name val="Times New Roman"/>
      <family val="1"/>
      <charset val="1"/>
    </font>
    <font>
      <sz val="8"/>
      <color rgb="FF000000"/>
      <name val="Arial"/>
      <family val="2"/>
    </font>
    <font>
      <u/>
      <sz val="10"/>
      <name val="Times New Roman"/>
      <family val="1"/>
      <charset val="1"/>
    </font>
    <font>
      <sz val="12"/>
      <name val="Arial MT"/>
      <family val="2"/>
      <charset val="1"/>
    </font>
    <font>
      <sz val="10"/>
      <color rgb="FF90713A"/>
      <name val="Times New Roman"/>
      <family val="1"/>
      <charset val="1"/>
    </font>
    <font>
      <i/>
      <sz val="10"/>
      <name val="Arial"/>
      <family val="2"/>
      <charset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Calibri"/>
      <family val="2"/>
      <charset val="1"/>
    </font>
    <font>
      <sz val="10"/>
      <name val="Courier New"/>
      <family val="3"/>
      <charset val="1"/>
    </font>
    <font>
      <sz val="8.25"/>
      <name val="Microsoft Sans Serif"/>
      <family val="2"/>
      <charset val="1"/>
    </font>
    <font>
      <sz val="11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b/>
      <sz val="10"/>
      <name val="MS Sans Serif"/>
      <family val="2"/>
      <charset val="1"/>
    </font>
    <font>
      <sz val="10"/>
      <color rgb="FFDD0806"/>
      <name val="MS Sans Serif"/>
      <family val="2"/>
      <charset val="1"/>
    </font>
    <font>
      <sz val="10"/>
      <color rgb="FF6711FF"/>
      <name val="Arial"/>
      <family val="2"/>
      <charset val="1"/>
    </font>
    <font>
      <b/>
      <sz val="10"/>
      <color rgb="FF6711FF"/>
      <name val="Arial"/>
      <family val="2"/>
      <charset val="1"/>
    </font>
    <font>
      <sz val="10"/>
      <name val="NewtonCTT"/>
      <family val="2"/>
      <charset val="1"/>
    </font>
    <font>
      <b/>
      <sz val="11"/>
      <color rgb="FF000090"/>
      <name val="Arial"/>
      <family val="2"/>
      <charset val="1"/>
    </font>
    <font>
      <b/>
      <i/>
      <sz val="11"/>
      <color rgb="FF000090"/>
      <name val="Arial"/>
      <family val="2"/>
      <charset val="1"/>
    </font>
    <font>
      <b/>
      <sz val="10"/>
      <color rgb="FF000000"/>
      <name val="Arial"/>
      <family val="2"/>
      <charset val="1"/>
    </font>
    <font>
      <sz val="12"/>
      <color rgb="FFFFFFFF"/>
      <name val="MS Sans Serif"/>
      <family val="2"/>
      <charset val="1"/>
    </font>
    <font>
      <sz val="11"/>
      <color rgb="FFFFFFFF"/>
      <name val="Arial"/>
      <family val="2"/>
      <charset val="1"/>
    </font>
    <font>
      <sz val="11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000090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sz val="11"/>
      <color rgb="FF000090"/>
      <name val="Arial"/>
      <family val="2"/>
      <charset val="1"/>
    </font>
    <font>
      <sz val="10"/>
      <color rgb="FF003366"/>
      <name val="Arial"/>
      <family val="2"/>
      <charset val="1"/>
    </font>
    <font>
      <sz val="10"/>
      <color rgb="FF00009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003366"/>
      <name val="Arial"/>
      <family val="2"/>
      <charset val="1"/>
    </font>
    <font>
      <i/>
      <sz val="12"/>
      <color rgb="FF003366"/>
      <name val="Arial"/>
      <family val="2"/>
      <charset val="1"/>
    </font>
    <font>
      <sz val="11"/>
      <color rgb="FF003366"/>
      <name val="Arial"/>
      <family val="2"/>
      <charset val="1"/>
    </font>
    <font>
      <i/>
      <sz val="11"/>
      <color rgb="FF003366"/>
      <name val="Arial"/>
      <family val="2"/>
      <charset val="1"/>
    </font>
    <font>
      <b/>
      <sz val="11"/>
      <color rgb="FF003366"/>
      <name val="Arial"/>
      <family val="2"/>
      <charset val="1"/>
    </font>
    <font>
      <b/>
      <i/>
      <sz val="11"/>
      <color rgb="FF003366"/>
      <name val="Arial"/>
      <family val="2"/>
      <charset val="1"/>
    </font>
    <font>
      <sz val="18"/>
      <color rgb="FF000090"/>
      <name val="Arial"/>
      <family val="2"/>
      <charset val="1"/>
    </font>
    <font>
      <sz val="11"/>
      <color rgb="FFDD0806"/>
      <name val="Arial"/>
      <family val="2"/>
      <charset val="1"/>
    </font>
    <font>
      <sz val="11"/>
      <color rgb="FF4600A5"/>
      <name val="Calibri"/>
      <family val="2"/>
      <charset val="1"/>
    </font>
    <font>
      <sz val="10"/>
      <color rgb="FF006411"/>
      <name val="Arial"/>
      <family val="2"/>
      <charset val="1"/>
    </font>
    <font>
      <b/>
      <sz val="18"/>
      <color rgb="FF000000"/>
      <name val="Cambria"/>
      <family val="1"/>
      <charset val="1"/>
    </font>
    <font>
      <b/>
      <sz val="10"/>
      <color rgb="FF333333"/>
      <name val="Arial"/>
      <family val="2"/>
      <charset val="1"/>
    </font>
    <font>
      <sz val="8"/>
      <color rgb="FFFFFFFF"/>
      <name val="Arial"/>
      <family val="2"/>
      <charset val="1"/>
    </font>
    <font>
      <b/>
      <sz val="12"/>
      <color rgb="FF000090"/>
      <name val="Arial"/>
      <family val="2"/>
      <charset val="1"/>
    </font>
    <font>
      <b/>
      <sz val="9"/>
      <name val="Palatino"/>
      <family val="1"/>
      <charset val="1"/>
    </font>
    <font>
      <sz val="9"/>
      <name val="Helvetica-Black"/>
      <family val="2"/>
      <charset val="1"/>
    </font>
    <font>
      <sz val="7"/>
      <name val="Palatino"/>
      <family val="1"/>
      <charset val="1"/>
    </font>
    <font>
      <b/>
      <sz val="14"/>
      <name val="Arial"/>
      <family val="2"/>
      <charset val="1"/>
    </font>
    <font>
      <sz val="11"/>
      <color rgb="FFFF9900"/>
      <name val="Calibri"/>
      <family val="2"/>
      <charset val="1"/>
    </font>
    <font>
      <sz val="11"/>
      <color rgb="FFDD0806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2"/>
      <name val="宋体"/>
      <charset val="134"/>
    </font>
    <font>
      <i/>
      <sz val="26"/>
      <color rgb="FF000000"/>
      <name val="Calibri"/>
      <family val="2"/>
      <charset val="1"/>
    </font>
    <font>
      <i/>
      <sz val="18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22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b/>
      <i/>
      <sz val="10"/>
      <color rgb="FF000000"/>
      <name val="Arial"/>
      <family val="2"/>
      <charset val="1"/>
    </font>
    <font>
      <b/>
      <sz val="16"/>
      <color rgb="FF000000"/>
      <name val="Calibri"/>
      <family val="2"/>
      <charset val="1"/>
    </font>
    <font>
      <b/>
      <sz val="18"/>
      <color rgb="FFFFFFFF"/>
      <name val="Arial"/>
      <family val="2"/>
      <charset val="1"/>
    </font>
    <font>
      <sz val="6"/>
      <color rgb="FF000000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ABEA"/>
      <name val="Arial"/>
      <family val="2"/>
      <charset val="1"/>
    </font>
    <font>
      <sz val="10"/>
      <color rgb="FFDD0806"/>
      <name val="Arial"/>
      <family val="2"/>
      <charset val="1"/>
    </font>
    <font>
      <sz val="10"/>
      <color rgb="FF333399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808080"/>
      <name val="Arial"/>
      <family val="2"/>
      <charset val="1"/>
    </font>
    <font>
      <sz val="10"/>
      <color rgb="FF969696"/>
      <name val="Arial"/>
      <family val="2"/>
      <charset val="1"/>
    </font>
    <font>
      <b/>
      <sz val="6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FF99"/>
        <bgColor rgb="FFFFF8A9"/>
      </patternFill>
    </fill>
    <fill>
      <patternFill patternType="solid">
        <fgColor rgb="FF865357"/>
        <bgColor rgb="FF90713A"/>
      </patternFill>
    </fill>
    <fill>
      <patternFill patternType="solid">
        <fgColor rgb="FFA2BD90"/>
        <bgColor rgb="FFB3B3B3"/>
      </patternFill>
    </fill>
    <fill>
      <patternFill patternType="solid">
        <fgColor rgb="FFFF99CC"/>
        <bgColor rgb="FFCC99F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4EE257"/>
        <bgColor rgb="FF7BEA81"/>
      </patternFill>
    </fill>
    <fill>
      <patternFill patternType="solid">
        <fgColor rgb="FFFFCC99"/>
        <bgColor rgb="FFFFF58C"/>
      </patternFill>
    </fill>
    <fill>
      <patternFill patternType="solid">
        <fgColor rgb="FF99CCFF"/>
        <bgColor rgb="FFB2D8E5"/>
      </patternFill>
    </fill>
    <fill>
      <patternFill patternType="solid">
        <fgColor rgb="FFFEA746"/>
        <bgColor rgb="FFF79646"/>
      </patternFill>
    </fill>
    <fill>
      <patternFill patternType="solid">
        <fgColor rgb="FF1FB714"/>
        <bgColor rgb="FF339966"/>
      </patternFill>
    </fill>
    <fill>
      <patternFill patternType="solid">
        <fgColor rgb="FFFFCC00"/>
        <bgColor rgb="FFFCF305"/>
      </patternFill>
    </fill>
    <fill>
      <patternFill patternType="solid">
        <fgColor rgb="FF6711FF"/>
        <bgColor rgb="FF4600A5"/>
      </patternFill>
    </fill>
    <fill>
      <patternFill patternType="solid">
        <fgColor rgb="FF33CCCC"/>
        <bgColor rgb="FF53CAEC"/>
      </patternFill>
    </fill>
    <fill>
      <patternFill patternType="solid">
        <fgColor rgb="FFFF9900"/>
        <bgColor rgb="FFF79646"/>
      </patternFill>
    </fill>
    <fill>
      <patternFill patternType="solid">
        <fgColor rgb="FFFFF58C"/>
        <bgColor rgb="FFFFFF99"/>
      </patternFill>
    </fill>
    <fill>
      <patternFill patternType="solid">
        <fgColor rgb="FFC0C0C0"/>
        <bgColor rgb="FFB3B3B3"/>
      </patternFill>
    </fill>
    <fill>
      <patternFill patternType="solid">
        <fgColor rgb="FF969696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DD0806"/>
        <bgColor rgb="FFDD2D32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6F4C"/>
      </patternFill>
    </fill>
    <fill>
      <patternFill patternType="solid">
        <fgColor rgb="FF63AAFE"/>
        <bgColor rgb="FF4BACC6"/>
      </patternFill>
    </fill>
    <fill>
      <patternFill patternType="solid">
        <fgColor rgb="FF7BEA81"/>
        <bgColor rgb="FF4EE257"/>
      </patternFill>
    </fill>
    <fill>
      <patternFill patternType="solid">
        <fgColor rgb="FFFFF8A9"/>
        <bgColor rgb="FFFFFF99"/>
      </patternFill>
    </fill>
    <fill>
      <patternFill patternType="solid">
        <fgColor rgb="FF000000"/>
        <bgColor rgb="FF000090"/>
      </patternFill>
    </fill>
    <fill>
      <patternFill patternType="solid">
        <fgColor rgb="FFDFDFDF"/>
        <bgColor rgb="FFB2D8E5"/>
      </patternFill>
    </fill>
    <fill>
      <patternFill patternType="solid">
        <fgColor rgb="FF666699"/>
        <bgColor rgb="FF8064A2"/>
      </patternFill>
    </fill>
    <fill>
      <patternFill patternType="solid">
        <fgColor rgb="FF008080"/>
        <bgColor rgb="FF339966"/>
      </patternFill>
    </fill>
    <fill>
      <patternFill patternType="solid">
        <fgColor rgb="FF99CC00"/>
        <bgColor rgb="FFA2BD90"/>
      </patternFill>
    </fill>
    <fill>
      <patternFill patternType="solid">
        <fgColor rgb="FFB2D8E5"/>
        <bgColor rgb="FF99CCFF"/>
      </patternFill>
    </fill>
    <fill>
      <patternFill patternType="solid">
        <fgColor rgb="FF00CCFF"/>
        <bgColor rgb="FF00ABEA"/>
      </patternFill>
    </fill>
    <fill>
      <patternFill patternType="solid">
        <fgColor rgb="FF003366"/>
        <bgColor rgb="FF333399"/>
      </patternFill>
    </fill>
    <fill>
      <patternFill patternType="solid">
        <fgColor rgb="FFFCF305"/>
        <bgColor rgb="FFFFCC00"/>
      </patternFill>
    </fill>
    <fill>
      <patternFill patternType="solid">
        <fgColor rgb="FF00ABEA"/>
        <bgColor rgb="FF00CCFF"/>
      </patternFill>
    </fill>
  </fills>
  <borders count="6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99CC00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C0C0C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medium">
        <color rgb="FFA2BD90"/>
      </bottom>
      <diagonal/>
    </border>
    <border>
      <left/>
      <right/>
      <top/>
      <bottom style="hair">
        <color auto="1"/>
      </bottom>
      <diagonal/>
    </border>
    <border>
      <left style="thin">
        <color rgb="FFA2BD90"/>
      </left>
      <right style="thin">
        <color rgb="FF333399"/>
      </right>
      <top style="thin">
        <color rgb="FFA2BD90"/>
      </top>
      <bottom style="thin">
        <color rgb="FF333399"/>
      </bottom>
      <diagonal/>
    </border>
    <border>
      <left style="double">
        <color rgb="FF1FB714"/>
      </left>
      <right style="double">
        <color rgb="FF1FB714"/>
      </right>
      <top style="double">
        <color rgb="FF1FB714"/>
      </top>
      <bottom style="double">
        <color rgb="FF1FB714"/>
      </bottom>
      <diagonal/>
    </border>
    <border>
      <left style="double">
        <color auto="1"/>
      </left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65357"/>
      </left>
      <right style="thin">
        <color rgb="FF865357"/>
      </right>
      <top style="thin">
        <color rgb="FF865357"/>
      </top>
      <bottom style="thin">
        <color rgb="FF865357"/>
      </bottom>
      <diagonal/>
    </border>
    <border>
      <left/>
      <right/>
      <top/>
      <bottom style="thick">
        <color rgb="FF99CCFF"/>
      </bottom>
      <diagonal/>
    </border>
    <border>
      <left style="thin">
        <color rgb="FF3366FF"/>
      </left>
      <right style="thin">
        <color rgb="FF3366FF"/>
      </right>
      <top style="thin">
        <color rgb="FF3366FF"/>
      </top>
      <bottom style="thin">
        <color rgb="FF3366FF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rgb="FFFF990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865357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86">
    <xf numFmtId="164" fontId="0" fillId="0" borderId="0"/>
    <xf numFmtId="165" fontId="2" fillId="2" borderId="1"/>
    <xf numFmtId="164" fontId="3" fillId="0" borderId="0"/>
    <xf numFmtId="165" fontId="4" fillId="0" borderId="0"/>
    <xf numFmtId="165" fontId="4" fillId="0" borderId="0"/>
    <xf numFmtId="164" fontId="5" fillId="3" borderId="2"/>
    <xf numFmtId="164" fontId="6" fillId="4" borderId="0"/>
    <xf numFmtId="165" fontId="7" fillId="0" borderId="0"/>
    <xf numFmtId="164" fontId="174" fillId="0" borderId="3"/>
    <xf numFmtId="165" fontId="8" fillId="0" borderId="0">
      <alignment vertical="center"/>
    </xf>
    <xf numFmtId="166" fontId="9" fillId="0" borderId="0">
      <alignment horizontal="right" vertical="center"/>
    </xf>
    <xf numFmtId="166" fontId="10" fillId="0" borderId="0">
      <alignment horizontal="right" vertical="center"/>
    </xf>
    <xf numFmtId="167" fontId="10" fillId="0" borderId="0">
      <alignment horizontal="right" vertical="center"/>
    </xf>
    <xf numFmtId="165" fontId="11" fillId="0" borderId="0"/>
    <xf numFmtId="165" fontId="11" fillId="0" borderId="0"/>
    <xf numFmtId="165" fontId="11" fillId="0" borderId="0"/>
    <xf numFmtId="165" fontId="9" fillId="0" borderId="0">
      <alignment vertical="center"/>
    </xf>
    <xf numFmtId="168" fontId="3" fillId="4" borderId="0"/>
    <xf numFmtId="169" fontId="174" fillId="0" borderId="0"/>
    <xf numFmtId="169" fontId="174" fillId="0" borderId="0"/>
    <xf numFmtId="170" fontId="3" fillId="5" borderId="0"/>
    <xf numFmtId="171" fontId="3" fillId="4" borderId="0"/>
    <xf numFmtId="172" fontId="3" fillId="4" borderId="0"/>
    <xf numFmtId="173" fontId="3" fillId="4" borderId="0">
      <alignment horizontal="right"/>
    </xf>
    <xf numFmtId="171" fontId="12" fillId="4" borderId="0"/>
    <xf numFmtId="171" fontId="13" fillId="0" borderId="0"/>
    <xf numFmtId="171" fontId="14" fillId="0" borderId="0"/>
    <xf numFmtId="171" fontId="15" fillId="0" borderId="0"/>
    <xf numFmtId="171" fontId="16" fillId="0" borderId="0"/>
    <xf numFmtId="168" fontId="3" fillId="0" borderId="0"/>
    <xf numFmtId="174" fontId="174" fillId="0" borderId="0"/>
    <xf numFmtId="174" fontId="174" fillId="0" borderId="0"/>
    <xf numFmtId="175" fontId="3" fillId="0" borderId="0">
      <alignment horizontal="right"/>
    </xf>
    <xf numFmtId="176" fontId="3" fillId="0" borderId="0">
      <alignment horizontal="center"/>
    </xf>
    <xf numFmtId="170" fontId="12" fillId="0" borderId="0"/>
    <xf numFmtId="164" fontId="174" fillId="6" borderId="0"/>
    <xf numFmtId="164" fontId="174" fillId="7" borderId="0"/>
    <xf numFmtId="164" fontId="174" fillId="8" borderId="0"/>
    <xf numFmtId="164" fontId="174" fillId="9" borderId="0"/>
    <xf numFmtId="164" fontId="174" fillId="10" borderId="0"/>
    <xf numFmtId="164" fontId="174" fillId="11" borderId="0"/>
    <xf numFmtId="164" fontId="174" fillId="0" borderId="0">
      <alignment horizontal="left" vertical="center" indent="3"/>
    </xf>
    <xf numFmtId="177" fontId="174" fillId="0" borderId="0"/>
    <xf numFmtId="177" fontId="174" fillId="0" borderId="0"/>
    <xf numFmtId="178" fontId="174" fillId="0" borderId="0"/>
    <xf numFmtId="178" fontId="174" fillId="0" borderId="0"/>
    <xf numFmtId="164" fontId="174" fillId="12" borderId="0"/>
    <xf numFmtId="164" fontId="174" fillId="13" borderId="0"/>
    <xf numFmtId="164" fontId="174" fillId="14" borderId="0"/>
    <xf numFmtId="164" fontId="174" fillId="9" borderId="0"/>
    <xf numFmtId="164" fontId="174" fillId="12" borderId="0"/>
    <xf numFmtId="164" fontId="174" fillId="15" borderId="0"/>
    <xf numFmtId="179" fontId="174" fillId="0" borderId="0"/>
    <xf numFmtId="164" fontId="174" fillId="0" borderId="0">
      <alignment horizontal="left" vertical="center" indent="7"/>
    </xf>
    <xf numFmtId="164" fontId="17" fillId="5" borderId="0"/>
    <xf numFmtId="164" fontId="17" fillId="13" borderId="0"/>
    <xf numFmtId="164" fontId="17" fillId="14" borderId="0"/>
    <xf numFmtId="164" fontId="17" fillId="16" borderId="0"/>
    <xf numFmtId="164" fontId="17" fillId="17" borderId="0"/>
    <xf numFmtId="164" fontId="17" fillId="18" borderId="0"/>
    <xf numFmtId="165" fontId="18" fillId="0" borderId="0"/>
    <xf numFmtId="180" fontId="3" fillId="0" borderId="0"/>
    <xf numFmtId="165" fontId="3" fillId="0" borderId="0">
      <alignment vertical="center"/>
    </xf>
    <xf numFmtId="165" fontId="3" fillId="0" borderId="0">
      <alignment vertical="center"/>
    </xf>
    <xf numFmtId="165" fontId="3" fillId="0" borderId="0"/>
    <xf numFmtId="165" fontId="19" fillId="0" borderId="0"/>
    <xf numFmtId="165" fontId="19" fillId="0" borderId="0"/>
    <xf numFmtId="165" fontId="19" fillId="0" borderId="4"/>
    <xf numFmtId="165" fontId="20" fillId="0" borderId="0"/>
    <xf numFmtId="165" fontId="21" fillId="0" borderId="0"/>
    <xf numFmtId="2" fontId="19" fillId="0" borderId="0"/>
    <xf numFmtId="4" fontId="19" fillId="0" borderId="0"/>
    <xf numFmtId="181" fontId="19" fillId="0" borderId="0"/>
    <xf numFmtId="165" fontId="19" fillId="0" borderId="0"/>
    <xf numFmtId="165" fontId="22" fillId="0" borderId="0"/>
    <xf numFmtId="165" fontId="2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82" fontId="3" fillId="0" borderId="0">
      <alignment horizontal="left" wrapText="1"/>
    </xf>
    <xf numFmtId="182" fontId="3" fillId="0" borderId="0">
      <alignment horizontal="left" wrapText="1"/>
    </xf>
    <xf numFmtId="165" fontId="24" fillId="0" borderId="0"/>
    <xf numFmtId="165" fontId="24" fillId="0" borderId="0"/>
    <xf numFmtId="165" fontId="24" fillId="0" borderId="0"/>
    <xf numFmtId="165" fontId="24" fillId="0" borderId="0"/>
    <xf numFmtId="165" fontId="24" fillId="0" borderId="0"/>
    <xf numFmtId="165" fontId="3" fillId="0" borderId="0"/>
    <xf numFmtId="165" fontId="3" fillId="0" borderId="0"/>
    <xf numFmtId="165" fontId="3" fillId="0" borderId="0"/>
    <xf numFmtId="165" fontId="3" fillId="0" borderId="0"/>
    <xf numFmtId="164" fontId="174" fillId="6" borderId="0"/>
    <xf numFmtId="164" fontId="174" fillId="6" borderId="0"/>
    <xf numFmtId="164" fontId="17" fillId="12" borderId="0"/>
    <xf numFmtId="164" fontId="174" fillId="19" borderId="0"/>
    <xf numFmtId="164" fontId="174" fillId="20" borderId="0"/>
    <xf numFmtId="164" fontId="17" fillId="21" borderId="0"/>
    <xf numFmtId="164" fontId="174" fillId="19" borderId="0"/>
    <xf numFmtId="164" fontId="174" fillId="8" borderId="0"/>
    <xf numFmtId="164" fontId="17" fillId="20" borderId="0"/>
    <xf numFmtId="164" fontId="174" fillId="6" borderId="0"/>
    <xf numFmtId="164" fontId="174" fillId="20" borderId="0"/>
    <xf numFmtId="164" fontId="17" fillId="20" borderId="0"/>
    <xf numFmtId="164" fontId="174" fillId="10" borderId="0"/>
    <xf numFmtId="164" fontId="174" fillId="6" borderId="0"/>
    <xf numFmtId="164" fontId="17" fillId="12" borderId="0"/>
    <xf numFmtId="164" fontId="174" fillId="19" borderId="0"/>
    <xf numFmtId="164" fontId="174" fillId="11" borderId="0"/>
    <xf numFmtId="164" fontId="17" fillId="11" borderId="0"/>
    <xf numFmtId="164" fontId="12" fillId="0" borderId="0">
      <protection locked="0"/>
    </xf>
    <xf numFmtId="165" fontId="23" fillId="0" borderId="0"/>
    <xf numFmtId="165" fontId="25" fillId="10" borderId="0"/>
    <xf numFmtId="165" fontId="26" fillId="10" borderId="0">
      <alignment horizontal="right" vertical="center"/>
    </xf>
    <xf numFmtId="4" fontId="26" fillId="8" borderId="0">
      <alignment horizontal="right" vertical="center"/>
    </xf>
    <xf numFmtId="4" fontId="26" fillId="8" borderId="0">
      <alignment horizontal="right" vertical="center"/>
    </xf>
    <xf numFmtId="165" fontId="27" fillId="8" borderId="5">
      <alignment horizontal="right" vertical="center"/>
    </xf>
    <xf numFmtId="165" fontId="28" fillId="8" borderId="5">
      <alignment horizontal="right" vertical="center"/>
    </xf>
    <xf numFmtId="165" fontId="27" fillId="11" borderId="5">
      <alignment horizontal="right" vertical="center"/>
    </xf>
    <xf numFmtId="165" fontId="27" fillId="11" borderId="5">
      <alignment horizontal="right" vertical="center"/>
    </xf>
    <xf numFmtId="165" fontId="27" fillId="11" borderId="6">
      <alignment horizontal="right" vertical="center"/>
    </xf>
    <xf numFmtId="165" fontId="27" fillId="11" borderId="7">
      <alignment horizontal="right" vertical="center"/>
    </xf>
    <xf numFmtId="165" fontId="27" fillId="11" borderId="8">
      <alignment horizontal="right" vertical="center"/>
    </xf>
    <xf numFmtId="164" fontId="17" fillId="22" borderId="0"/>
    <xf numFmtId="164" fontId="17" fillId="23" borderId="0"/>
    <xf numFmtId="164" fontId="17" fillId="24" borderId="0"/>
    <xf numFmtId="164" fontId="17" fillId="16" borderId="0"/>
    <xf numFmtId="164" fontId="17" fillId="17" borderId="0"/>
    <xf numFmtId="164" fontId="17" fillId="25" borderId="0"/>
    <xf numFmtId="183" fontId="18" fillId="0" borderId="0"/>
    <xf numFmtId="164" fontId="3" fillId="0" borderId="0"/>
    <xf numFmtId="165" fontId="29" fillId="0" borderId="9">
      <protection hidden="1"/>
    </xf>
    <xf numFmtId="164" fontId="174" fillId="20" borderId="0"/>
    <xf numFmtId="164" fontId="30" fillId="20" borderId="10"/>
    <xf numFmtId="164" fontId="12" fillId="0" borderId="0"/>
    <xf numFmtId="164" fontId="12" fillId="0" borderId="0"/>
    <xf numFmtId="164" fontId="12" fillId="0" borderId="0"/>
    <xf numFmtId="164" fontId="31" fillId="0" borderId="0"/>
    <xf numFmtId="164" fontId="31" fillId="0" borderId="0"/>
    <xf numFmtId="164" fontId="32" fillId="2" borderId="0"/>
    <xf numFmtId="165" fontId="33" fillId="4" borderId="0"/>
    <xf numFmtId="164" fontId="34" fillId="20" borderId="11"/>
    <xf numFmtId="164" fontId="3" fillId="12" borderId="0">
      <protection locked="0"/>
    </xf>
    <xf numFmtId="164" fontId="3" fillId="0" borderId="0"/>
    <xf numFmtId="184" fontId="35" fillId="20" borderId="0">
      <alignment horizontal="center"/>
    </xf>
    <xf numFmtId="164" fontId="12" fillId="0" borderId="0">
      <protection locked="0"/>
    </xf>
    <xf numFmtId="185" fontId="18" fillId="0" borderId="0"/>
    <xf numFmtId="4" fontId="25" fillId="0" borderId="0">
      <alignment horizontal="right" vertical="center"/>
    </xf>
    <xf numFmtId="165" fontId="36" fillId="19" borderId="0">
      <alignment horizontal="center"/>
    </xf>
    <xf numFmtId="186" fontId="3" fillId="0" borderId="0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6" fontId="37" fillId="0" borderId="3"/>
    <xf numFmtId="187" fontId="3" fillId="0" borderId="0"/>
    <xf numFmtId="187" fontId="12" fillId="0" borderId="0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7" fontId="37" fillId="0" borderId="3"/>
    <xf numFmtId="188" fontId="12" fillId="0" borderId="0"/>
    <xf numFmtId="189" fontId="3" fillId="0" borderId="0"/>
    <xf numFmtId="189" fontId="12" fillId="0" borderId="0"/>
    <xf numFmtId="190" fontId="37" fillId="0" borderId="0"/>
    <xf numFmtId="191" fontId="11" fillId="0" borderId="0"/>
    <xf numFmtId="165" fontId="38" fillId="0" borderId="0"/>
    <xf numFmtId="165" fontId="39" fillId="0" borderId="0"/>
    <xf numFmtId="165" fontId="40" fillId="0" borderId="0">
      <alignment horizontal="right"/>
    </xf>
    <xf numFmtId="165" fontId="41" fillId="0" borderId="0"/>
    <xf numFmtId="165" fontId="42" fillId="0" borderId="0"/>
    <xf numFmtId="165" fontId="43" fillId="0" borderId="0"/>
    <xf numFmtId="164" fontId="44" fillId="0" borderId="12"/>
    <xf numFmtId="165" fontId="8" fillId="0" borderId="0"/>
    <xf numFmtId="165" fontId="8" fillId="0" borderId="0">
      <alignment horizontal="right"/>
    </xf>
    <xf numFmtId="167" fontId="8" fillId="0" borderId="0">
      <alignment horizontal="right"/>
    </xf>
    <xf numFmtId="184" fontId="45" fillId="0" borderId="0">
      <alignment horizontal="right"/>
    </xf>
    <xf numFmtId="165" fontId="46" fillId="0" borderId="0"/>
    <xf numFmtId="165" fontId="47" fillId="0" borderId="0">
      <protection locked="0"/>
    </xf>
    <xf numFmtId="165" fontId="47" fillId="0" borderId="0">
      <protection locked="0"/>
    </xf>
    <xf numFmtId="2" fontId="47" fillId="0" borderId="0">
      <protection locked="0"/>
    </xf>
    <xf numFmtId="2" fontId="48" fillId="0" borderId="0">
      <protection locked="0"/>
    </xf>
    <xf numFmtId="164" fontId="49" fillId="12" borderId="13"/>
    <xf numFmtId="164" fontId="49" fillId="12" borderId="13"/>
    <xf numFmtId="164" fontId="49" fillId="12" borderId="13"/>
    <xf numFmtId="164" fontId="49" fillId="12" borderId="13"/>
    <xf numFmtId="164" fontId="49" fillId="12" borderId="13"/>
    <xf numFmtId="164" fontId="49" fillId="12" borderId="13"/>
    <xf numFmtId="164" fontId="49" fillId="12" borderId="13"/>
    <xf numFmtId="164" fontId="49" fillId="12" borderId="13"/>
    <xf numFmtId="164" fontId="49" fillId="12" borderId="13"/>
    <xf numFmtId="164" fontId="49" fillId="12" borderId="13"/>
    <xf numFmtId="164" fontId="49" fillId="12" borderId="13"/>
    <xf numFmtId="165" fontId="50" fillId="0" borderId="14">
      <alignment horizontal="center"/>
    </xf>
    <xf numFmtId="165" fontId="51" fillId="0" borderId="15">
      <alignment horizontal="center" vertical="center"/>
    </xf>
    <xf numFmtId="164" fontId="52" fillId="0" borderId="0"/>
    <xf numFmtId="192" fontId="3" fillId="0" borderId="0"/>
    <xf numFmtId="165" fontId="53" fillId="2" borderId="5">
      <alignment horizontal="right" vertical="center"/>
    </xf>
    <xf numFmtId="165" fontId="53" fillId="2" borderId="5">
      <alignment horizontal="right" vertical="center"/>
    </xf>
    <xf numFmtId="165" fontId="53" fillId="2" borderId="5">
      <alignment horizontal="right" vertical="center"/>
    </xf>
    <xf numFmtId="165" fontId="53" fillId="2" borderId="5">
      <alignment horizontal="right" vertical="center"/>
    </xf>
    <xf numFmtId="3" fontId="53" fillId="2" borderId="5">
      <alignment horizontal="right" vertical="center" indent="1"/>
    </xf>
    <xf numFmtId="193" fontId="53" fillId="2" borderId="5">
      <alignment horizontal="right" vertical="center" indent="1"/>
    </xf>
    <xf numFmtId="4" fontId="53" fillId="2" borderId="5">
      <alignment horizontal="right" vertical="center" indent="1"/>
    </xf>
    <xf numFmtId="194" fontId="53" fillId="2" borderId="5">
      <alignment horizontal="right" vertical="center" indent="1"/>
    </xf>
    <xf numFmtId="195" fontId="53" fillId="2" borderId="5">
      <alignment horizontal="right" vertical="center" indent="1"/>
    </xf>
    <xf numFmtId="165" fontId="54" fillId="2" borderId="5">
      <alignment horizontal="right" vertical="center"/>
    </xf>
    <xf numFmtId="165" fontId="54" fillId="2" borderId="5">
      <alignment horizontal="right" vertical="center"/>
    </xf>
    <xf numFmtId="165" fontId="54" fillId="2" borderId="5">
      <alignment horizontal="right" vertical="center"/>
    </xf>
    <xf numFmtId="165" fontId="54" fillId="2" borderId="5">
      <alignment horizontal="right" vertical="center"/>
    </xf>
    <xf numFmtId="3" fontId="54" fillId="2" borderId="5">
      <alignment horizontal="right" vertical="center" indent="1"/>
    </xf>
    <xf numFmtId="193" fontId="54" fillId="2" borderId="5">
      <alignment horizontal="right" vertical="center" indent="1"/>
    </xf>
    <xf numFmtId="4" fontId="54" fillId="2" borderId="5">
      <alignment horizontal="right" vertical="center" indent="1"/>
    </xf>
    <xf numFmtId="194" fontId="54" fillId="2" borderId="5">
      <alignment horizontal="right" vertical="center" indent="1"/>
    </xf>
    <xf numFmtId="195" fontId="54" fillId="2" borderId="5">
      <alignment horizontal="right" vertical="center" indent="1"/>
    </xf>
    <xf numFmtId="165" fontId="3" fillId="2" borderId="2"/>
    <xf numFmtId="165" fontId="55" fillId="11" borderId="5">
      <alignment horizontal="center" vertical="center"/>
    </xf>
    <xf numFmtId="165" fontId="55" fillId="11" borderId="5">
      <alignment horizontal="center" vertical="center"/>
    </xf>
    <xf numFmtId="165" fontId="55" fillId="11" borderId="5">
      <alignment horizontal="center" vertical="center"/>
    </xf>
    <xf numFmtId="165" fontId="55" fillId="11" borderId="5">
      <alignment horizontal="center" vertical="center"/>
    </xf>
    <xf numFmtId="165" fontId="53" fillId="2" borderId="5">
      <alignment horizontal="right" vertical="center"/>
    </xf>
    <xf numFmtId="165" fontId="53" fillId="2" borderId="5">
      <alignment horizontal="right" vertical="center"/>
    </xf>
    <xf numFmtId="165" fontId="53" fillId="2" borderId="5">
      <alignment horizontal="right" vertical="center"/>
    </xf>
    <xf numFmtId="165" fontId="53" fillId="2" borderId="5">
      <alignment horizontal="right" vertical="center"/>
    </xf>
    <xf numFmtId="3" fontId="53" fillId="2" borderId="5">
      <alignment horizontal="right" vertical="center" indent="1"/>
    </xf>
    <xf numFmtId="193" fontId="53" fillId="2" borderId="5">
      <alignment horizontal="right" vertical="center" indent="1"/>
    </xf>
    <xf numFmtId="4" fontId="53" fillId="2" borderId="5">
      <alignment horizontal="right" vertical="center" indent="1"/>
    </xf>
    <xf numFmtId="194" fontId="53" fillId="2" borderId="5">
      <alignment horizontal="right" vertical="center" indent="1"/>
    </xf>
    <xf numFmtId="195" fontId="53" fillId="2" borderId="5">
      <alignment horizontal="right" vertical="center" indent="1"/>
    </xf>
    <xf numFmtId="165" fontId="3" fillId="2" borderId="0"/>
    <xf numFmtId="165" fontId="56" fillId="2" borderId="5">
      <alignment horizontal="left" vertical="center"/>
    </xf>
    <xf numFmtId="165" fontId="56" fillId="2" borderId="5">
      <alignment horizontal="left" vertical="center"/>
    </xf>
    <xf numFmtId="165" fontId="56" fillId="2" borderId="5">
      <alignment horizontal="left" vertical="center"/>
    </xf>
    <xf numFmtId="165" fontId="56" fillId="2" borderId="5">
      <alignment horizontal="left" vertical="center"/>
    </xf>
    <xf numFmtId="165" fontId="56" fillId="2" borderId="16">
      <alignment vertical="center"/>
    </xf>
    <xf numFmtId="165" fontId="57" fillId="2" borderId="17">
      <alignment vertical="center"/>
    </xf>
    <xf numFmtId="165" fontId="56" fillId="2" borderId="5"/>
    <xf numFmtId="165" fontId="56" fillId="2" borderId="5"/>
    <xf numFmtId="165" fontId="56" fillId="2" borderId="5"/>
    <xf numFmtId="165" fontId="56" fillId="2" borderId="5"/>
    <xf numFmtId="165" fontId="54" fillId="2" borderId="5">
      <alignment horizontal="right" vertical="center"/>
    </xf>
    <xf numFmtId="165" fontId="54" fillId="2" borderId="5">
      <alignment horizontal="right" vertical="center"/>
    </xf>
    <xf numFmtId="165" fontId="54" fillId="2" borderId="5">
      <alignment horizontal="right" vertical="center"/>
    </xf>
    <xf numFmtId="165" fontId="54" fillId="2" borderId="5">
      <alignment horizontal="right" vertical="center"/>
    </xf>
    <xf numFmtId="3" fontId="54" fillId="2" borderId="5">
      <alignment horizontal="right" vertical="center" indent="1"/>
    </xf>
    <xf numFmtId="193" fontId="54" fillId="2" borderId="5">
      <alignment horizontal="right" vertical="center" indent="1"/>
    </xf>
    <xf numFmtId="4" fontId="54" fillId="2" borderId="5">
      <alignment horizontal="right" vertical="center" indent="1"/>
    </xf>
    <xf numFmtId="194" fontId="54" fillId="2" borderId="5">
      <alignment horizontal="right" vertical="center" indent="1"/>
    </xf>
    <xf numFmtId="195" fontId="54" fillId="2" borderId="5">
      <alignment horizontal="right" vertical="center" indent="1"/>
    </xf>
    <xf numFmtId="165" fontId="58" fillId="26" borderId="5">
      <alignment horizontal="left" vertical="center"/>
    </xf>
    <xf numFmtId="165" fontId="58" fillId="26" borderId="5">
      <alignment horizontal="left" vertical="center"/>
    </xf>
    <xf numFmtId="165" fontId="58" fillId="26" borderId="5">
      <alignment horizontal="left" vertical="center"/>
    </xf>
    <xf numFmtId="165" fontId="58" fillId="26" borderId="5">
      <alignment horizontal="left" vertical="center"/>
    </xf>
    <xf numFmtId="165" fontId="58" fillId="26" borderId="5">
      <alignment horizontal="left" vertical="center"/>
    </xf>
    <xf numFmtId="165" fontId="58" fillId="26" borderId="5">
      <alignment horizontal="left" vertical="center"/>
    </xf>
    <xf numFmtId="165" fontId="58" fillId="26" borderId="5">
      <alignment horizontal="left" vertical="center"/>
    </xf>
    <xf numFmtId="165" fontId="58" fillId="26" borderId="5">
      <alignment horizontal="left" vertical="center"/>
    </xf>
    <xf numFmtId="165" fontId="59" fillId="2" borderId="5">
      <alignment horizontal="left" vertical="center"/>
    </xf>
    <xf numFmtId="165" fontId="59" fillId="2" borderId="5">
      <alignment horizontal="left" vertical="center"/>
    </xf>
    <xf numFmtId="165" fontId="59" fillId="2" borderId="5">
      <alignment horizontal="left" vertical="center"/>
    </xf>
    <xf numFmtId="165" fontId="59" fillId="2" borderId="5">
      <alignment horizontal="left" vertical="center"/>
    </xf>
    <xf numFmtId="165" fontId="60" fillId="2" borderId="2"/>
    <xf numFmtId="165" fontId="55" fillId="20" borderId="5">
      <alignment horizontal="left" vertical="center"/>
    </xf>
    <xf numFmtId="165" fontId="55" fillId="20" borderId="5">
      <alignment horizontal="left" vertical="center"/>
    </xf>
    <xf numFmtId="165" fontId="55" fillId="20" borderId="5">
      <alignment horizontal="left" vertical="center"/>
    </xf>
    <xf numFmtId="165" fontId="55" fillId="20" borderId="5">
      <alignment horizontal="left" vertical="center"/>
    </xf>
    <xf numFmtId="165" fontId="35" fillId="0" borderId="0">
      <alignment horizontal="center" vertical="center" wrapText="1"/>
    </xf>
    <xf numFmtId="1" fontId="61" fillId="0" borderId="18">
      <alignment vertical="top"/>
    </xf>
    <xf numFmtId="3" fontId="10" fillId="0" borderId="0">
      <alignment vertical="top" wrapText="1"/>
    </xf>
    <xf numFmtId="196" fontId="62" fillId="0" borderId="0"/>
    <xf numFmtId="196" fontId="62" fillId="0" borderId="0"/>
    <xf numFmtId="196" fontId="62" fillId="0" borderId="0"/>
    <xf numFmtId="196" fontId="62" fillId="0" borderId="0"/>
    <xf numFmtId="196" fontId="62" fillId="0" borderId="0"/>
    <xf numFmtId="196" fontId="62" fillId="0" borderId="0"/>
    <xf numFmtId="196" fontId="62" fillId="0" borderId="0"/>
    <xf numFmtId="196" fontId="62" fillId="0" borderId="0"/>
    <xf numFmtId="197" fontId="174" fillId="0" borderId="0"/>
    <xf numFmtId="198" fontId="63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0" fontId="174" fillId="0" borderId="0"/>
    <xf numFmtId="190" fontId="174" fillId="0" borderId="0"/>
    <xf numFmtId="199" fontId="174" fillId="0" borderId="0"/>
    <xf numFmtId="200" fontId="174" fillId="0" borderId="0"/>
    <xf numFmtId="200" fontId="174" fillId="0" borderId="0"/>
    <xf numFmtId="200" fontId="174" fillId="0" borderId="0"/>
    <xf numFmtId="190" fontId="174" fillId="0" borderId="0"/>
    <xf numFmtId="190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201" fontId="174" fillId="0" borderId="0"/>
    <xf numFmtId="3" fontId="174" fillId="0" borderId="0"/>
    <xf numFmtId="3" fontId="174" fillId="0" borderId="0"/>
    <xf numFmtId="165" fontId="174" fillId="0" borderId="0"/>
    <xf numFmtId="165" fontId="37" fillId="0" borderId="19">
      <alignment horizontal="center"/>
    </xf>
    <xf numFmtId="164" fontId="27" fillId="0" borderId="0">
      <alignment horizontal="right"/>
    </xf>
    <xf numFmtId="165" fontId="64" fillId="0" borderId="0">
      <alignment horizontal="left" vertical="center" wrapText="1"/>
    </xf>
    <xf numFmtId="202" fontId="174" fillId="0" borderId="0"/>
    <xf numFmtId="202" fontId="174" fillId="0" borderId="0"/>
    <xf numFmtId="202" fontId="174" fillId="0" borderId="0"/>
    <xf numFmtId="202" fontId="174" fillId="0" borderId="0"/>
    <xf numFmtId="203" fontId="174" fillId="0" borderId="0"/>
    <xf numFmtId="203" fontId="174" fillId="0" borderId="0"/>
    <xf numFmtId="165" fontId="26" fillId="11" borderId="20">
      <alignment horizontal="left" vertical="center" wrapText="1" indent="3"/>
    </xf>
    <xf numFmtId="165" fontId="26" fillId="0" borderId="20">
      <alignment horizontal="left" vertical="center" wrapText="1" indent="3"/>
    </xf>
    <xf numFmtId="165" fontId="26" fillId="8" borderId="7">
      <alignment horizontal="left" vertical="center"/>
    </xf>
    <xf numFmtId="2" fontId="47" fillId="0" borderId="0">
      <protection locked="0"/>
    </xf>
    <xf numFmtId="204" fontId="65" fillId="0" borderId="21">
      <alignment horizontal="right" vertical="center"/>
    </xf>
    <xf numFmtId="49" fontId="35" fillId="0" borderId="21">
      <alignment horizontal="left" vertical="center"/>
    </xf>
    <xf numFmtId="205" fontId="3" fillId="0" borderId="21">
      <alignment horizontal="right"/>
    </xf>
    <xf numFmtId="3" fontId="65" fillId="0" borderId="21"/>
    <xf numFmtId="165" fontId="174" fillId="0" borderId="0"/>
    <xf numFmtId="165" fontId="174" fillId="0" borderId="0"/>
    <xf numFmtId="206" fontId="174" fillId="0" borderId="0"/>
    <xf numFmtId="184" fontId="66" fillId="0" borderId="0"/>
    <xf numFmtId="165" fontId="27" fillId="0" borderId="22">
      <alignment horizontal="left" vertical="top" wrapText="1"/>
    </xf>
    <xf numFmtId="207" fontId="174" fillId="0" borderId="0"/>
    <xf numFmtId="164" fontId="67" fillId="11" borderId="11"/>
    <xf numFmtId="164" fontId="68" fillId="27" borderId="0"/>
    <xf numFmtId="164" fontId="68" fillId="28" borderId="0"/>
    <xf numFmtId="164" fontId="68" fillId="28" borderId="0"/>
    <xf numFmtId="165" fontId="3" fillId="0" borderId="19"/>
    <xf numFmtId="164" fontId="69" fillId="0" borderId="23"/>
    <xf numFmtId="164" fontId="70" fillId="0" borderId="0"/>
    <xf numFmtId="165" fontId="71" fillId="23" borderId="0">
      <alignment horizontal="center"/>
    </xf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208" fontId="174" fillId="0" borderId="0"/>
    <xf numFmtId="208" fontId="174" fillId="0" borderId="0"/>
    <xf numFmtId="180" fontId="35" fillId="0" borderId="0"/>
    <xf numFmtId="193" fontId="174" fillId="0" borderId="0"/>
    <xf numFmtId="209" fontId="47" fillId="0" borderId="0">
      <protection locked="0"/>
    </xf>
    <xf numFmtId="193" fontId="174" fillId="0" borderId="0"/>
    <xf numFmtId="209" fontId="47" fillId="0" borderId="0">
      <protection locked="0"/>
    </xf>
    <xf numFmtId="193" fontId="174" fillId="0" borderId="0"/>
    <xf numFmtId="193" fontId="174" fillId="0" borderId="0"/>
    <xf numFmtId="193" fontId="174" fillId="0" borderId="0"/>
    <xf numFmtId="193" fontId="174" fillId="0" borderId="0"/>
    <xf numFmtId="193" fontId="174" fillId="0" borderId="0"/>
    <xf numFmtId="165" fontId="63" fillId="0" borderId="0"/>
    <xf numFmtId="165" fontId="47" fillId="0" borderId="0">
      <protection locked="0"/>
    </xf>
    <xf numFmtId="210" fontId="47" fillId="0" borderId="0">
      <protection locked="0"/>
    </xf>
    <xf numFmtId="2" fontId="174" fillId="0" borderId="0"/>
    <xf numFmtId="2" fontId="174" fillId="0" borderId="0"/>
    <xf numFmtId="210" fontId="47" fillId="0" borderId="0">
      <protection locked="0"/>
    </xf>
    <xf numFmtId="164" fontId="72" fillId="0" borderId="0"/>
    <xf numFmtId="165" fontId="73" fillId="0" borderId="0"/>
    <xf numFmtId="193" fontId="10" fillId="0" borderId="0"/>
    <xf numFmtId="3" fontId="65" fillId="0" borderId="0"/>
    <xf numFmtId="165" fontId="74" fillId="0" borderId="0">
      <alignment horizontal="center"/>
    </xf>
    <xf numFmtId="164" fontId="75" fillId="8" borderId="0"/>
    <xf numFmtId="164" fontId="174" fillId="0" borderId="0"/>
    <xf numFmtId="164" fontId="10" fillId="20" borderId="0"/>
    <xf numFmtId="164" fontId="76" fillId="8" borderId="0"/>
    <xf numFmtId="165" fontId="50" fillId="0" borderId="14">
      <alignment horizontal="center" wrapText="1"/>
    </xf>
    <xf numFmtId="211" fontId="77" fillId="0" borderId="0">
      <protection locked="0"/>
    </xf>
    <xf numFmtId="164" fontId="78" fillId="0" borderId="0"/>
    <xf numFmtId="164" fontId="64" fillId="0" borderId="0"/>
    <xf numFmtId="164" fontId="79" fillId="0" borderId="24"/>
    <xf numFmtId="164" fontId="79" fillId="0" borderId="0"/>
    <xf numFmtId="211" fontId="77" fillId="0" borderId="0">
      <protection locked="0"/>
    </xf>
    <xf numFmtId="164" fontId="80" fillId="0" borderId="0"/>
    <xf numFmtId="165" fontId="81" fillId="0" borderId="21">
      <alignment horizontal="left"/>
    </xf>
    <xf numFmtId="165" fontId="81" fillId="0" borderId="25">
      <alignment horizontal="right" vertical="center"/>
    </xf>
    <xf numFmtId="165" fontId="81" fillId="0" borderId="25">
      <alignment horizontal="right" vertical="center"/>
    </xf>
    <xf numFmtId="165" fontId="81" fillId="0" borderId="25">
      <alignment horizontal="right" vertical="center"/>
    </xf>
    <xf numFmtId="165" fontId="82" fillId="0" borderId="21">
      <alignment horizontal="left" vertical="center"/>
    </xf>
    <xf numFmtId="165" fontId="3" fillId="0" borderId="21">
      <alignment horizontal="left" vertical="center"/>
    </xf>
    <xf numFmtId="165" fontId="37" fillId="0" borderId="21">
      <alignment horizontal="left"/>
    </xf>
    <xf numFmtId="165" fontId="37" fillId="20" borderId="0">
      <alignment horizontal="center" wrapText="1"/>
    </xf>
    <xf numFmtId="49" fontId="37" fillId="20" borderId="15">
      <alignment horizontal="left" vertical="center"/>
    </xf>
    <xf numFmtId="165" fontId="37" fillId="20" borderId="0">
      <alignment horizontal="center" vertical="center" wrapText="1"/>
    </xf>
    <xf numFmtId="212" fontId="83" fillId="0" borderId="0"/>
    <xf numFmtId="164" fontId="84" fillId="0" borderId="0"/>
    <xf numFmtId="164" fontId="85" fillId="0" borderId="0"/>
    <xf numFmtId="164" fontId="86" fillId="0" borderId="0"/>
    <xf numFmtId="164" fontId="87" fillId="0" borderId="0"/>
    <xf numFmtId="164" fontId="88" fillId="0" borderId="0"/>
    <xf numFmtId="164" fontId="89" fillId="0" borderId="0"/>
    <xf numFmtId="164" fontId="90" fillId="0" borderId="0"/>
    <xf numFmtId="164" fontId="85" fillId="0" borderId="0"/>
    <xf numFmtId="164" fontId="88" fillId="0" borderId="0"/>
    <xf numFmtId="164" fontId="91" fillId="0" borderId="0"/>
    <xf numFmtId="164" fontId="92" fillId="0" borderId="0"/>
    <xf numFmtId="193" fontId="174" fillId="0" borderId="0"/>
    <xf numFmtId="193" fontId="174" fillId="0" borderId="0"/>
    <xf numFmtId="3" fontId="174" fillId="0" borderId="0"/>
    <xf numFmtId="3" fontId="174" fillId="0" borderId="0"/>
    <xf numFmtId="165" fontId="74" fillId="0" borderId="0">
      <alignment horizontal="left" indent="1"/>
    </xf>
    <xf numFmtId="164" fontId="93" fillId="10" borderId="26"/>
    <xf numFmtId="164" fontId="93" fillId="10" borderId="26"/>
    <xf numFmtId="164" fontId="93" fillId="10" borderId="26"/>
    <xf numFmtId="164" fontId="93" fillId="10" borderId="26"/>
    <xf numFmtId="164" fontId="93" fillId="10" borderId="26"/>
    <xf numFmtId="164" fontId="93" fillId="10" borderId="26"/>
    <xf numFmtId="164" fontId="93" fillId="10" borderId="26"/>
    <xf numFmtId="164" fontId="93" fillId="10" borderId="26"/>
    <xf numFmtId="164" fontId="93" fillId="10" borderId="26"/>
    <xf numFmtId="164" fontId="10" fillId="2" borderId="0"/>
    <xf numFmtId="164" fontId="10" fillId="2" borderId="0"/>
    <xf numFmtId="164" fontId="10" fillId="2" borderId="0"/>
    <xf numFmtId="164" fontId="10" fillId="2" borderId="0"/>
    <xf numFmtId="165" fontId="94" fillId="10" borderId="0">
      <alignment horizontal="center"/>
    </xf>
    <xf numFmtId="4" fontId="26" fillId="0" borderId="0">
      <alignment horizontal="right" vertical="center"/>
    </xf>
    <xf numFmtId="165" fontId="26" fillId="0" borderId="5">
      <alignment horizontal="right" vertical="center"/>
    </xf>
    <xf numFmtId="1" fontId="95" fillId="8" borderId="0">
      <alignment horizontal="right" vertical="center"/>
    </xf>
    <xf numFmtId="213" fontId="3" fillId="0" borderId="0"/>
    <xf numFmtId="164" fontId="96" fillId="0" borderId="0"/>
    <xf numFmtId="164" fontId="97" fillId="0" borderId="0"/>
    <xf numFmtId="164" fontId="88" fillId="0" borderId="0"/>
    <xf numFmtId="164" fontId="174" fillId="4" borderId="27"/>
    <xf numFmtId="165" fontId="98" fillId="0" borderId="9">
      <alignment horizontal="left"/>
      <protection locked="0"/>
    </xf>
    <xf numFmtId="164" fontId="18" fillId="0" borderId="0"/>
    <xf numFmtId="164" fontId="99" fillId="0" borderId="0">
      <alignment horizontal="center"/>
    </xf>
    <xf numFmtId="199" fontId="174" fillId="0" borderId="0"/>
    <xf numFmtId="199" fontId="174" fillId="0" borderId="0"/>
    <xf numFmtId="199" fontId="174" fillId="0" borderId="0"/>
    <xf numFmtId="214" fontId="174" fillId="0" borderId="0"/>
    <xf numFmtId="199" fontId="174" fillId="0" borderId="0"/>
    <xf numFmtId="199" fontId="174" fillId="0" borderId="0"/>
    <xf numFmtId="214" fontId="174" fillId="0" borderId="0"/>
    <xf numFmtId="214" fontId="174" fillId="0" borderId="0"/>
    <xf numFmtId="199" fontId="174" fillId="0" borderId="0"/>
    <xf numFmtId="214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199" fontId="174" fillId="0" borderId="0"/>
    <xf numFmtId="215" fontId="174" fillId="0" borderId="0"/>
    <xf numFmtId="215" fontId="174" fillId="0" borderId="0"/>
    <xf numFmtId="215" fontId="174" fillId="0" borderId="0"/>
    <xf numFmtId="199" fontId="174" fillId="0" borderId="0"/>
    <xf numFmtId="190" fontId="174" fillId="0" borderId="0"/>
    <xf numFmtId="216" fontId="174" fillId="0" borderId="0"/>
    <xf numFmtId="199" fontId="174" fillId="0" borderId="0"/>
    <xf numFmtId="217" fontId="174" fillId="0" borderId="0"/>
    <xf numFmtId="218" fontId="47" fillId="0" borderId="0">
      <protection locked="0"/>
    </xf>
    <xf numFmtId="219" fontId="174" fillId="0" borderId="0"/>
    <xf numFmtId="220" fontId="174" fillId="0" borderId="0"/>
    <xf numFmtId="202" fontId="174" fillId="0" borderId="0"/>
    <xf numFmtId="221" fontId="47" fillId="0" borderId="0">
      <protection locked="0"/>
    </xf>
    <xf numFmtId="218" fontId="47" fillId="0" borderId="0">
      <protection locked="0"/>
    </xf>
    <xf numFmtId="222" fontId="64" fillId="0" borderId="0">
      <alignment horizontal="center"/>
    </xf>
    <xf numFmtId="165" fontId="100" fillId="0" borderId="28"/>
    <xf numFmtId="164" fontId="101" fillId="19" borderId="0"/>
    <xf numFmtId="165" fontId="102" fillId="0" borderId="0">
      <alignment horizontal="center"/>
    </xf>
    <xf numFmtId="165" fontId="35" fillId="0" borderId="0"/>
    <xf numFmtId="165" fontId="103" fillId="0" borderId="0"/>
    <xf numFmtId="165" fontId="104" fillId="0" borderId="0"/>
    <xf numFmtId="165" fontId="35" fillId="0" borderId="0"/>
    <xf numFmtId="165" fontId="35" fillId="0" borderId="0"/>
    <xf numFmtId="165" fontId="3" fillId="0" borderId="0"/>
    <xf numFmtId="223" fontId="105" fillId="0" borderId="0">
      <alignment vertical="center"/>
    </xf>
    <xf numFmtId="223" fontId="105" fillId="0" borderId="0">
      <alignment vertical="center"/>
    </xf>
    <xf numFmtId="165" fontId="3" fillId="0" borderId="0"/>
    <xf numFmtId="165" fontId="3" fillId="0" borderId="0"/>
    <xf numFmtId="165" fontId="3" fillId="0" borderId="0"/>
    <xf numFmtId="193" fontId="105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105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105" fillId="0" borderId="0">
      <alignment vertical="center"/>
    </xf>
    <xf numFmtId="164" fontId="174" fillId="0" borderId="0"/>
    <xf numFmtId="165" fontId="3" fillId="0" borderId="0"/>
    <xf numFmtId="165" fontId="3" fillId="0" borderId="0"/>
    <xf numFmtId="224" fontId="106" fillId="0" borderId="0"/>
    <xf numFmtId="165" fontId="74" fillId="0" borderId="0"/>
    <xf numFmtId="165" fontId="74" fillId="0" borderId="0"/>
    <xf numFmtId="165" fontId="174" fillId="0" borderId="0"/>
    <xf numFmtId="165" fontId="74" fillId="0" borderId="0"/>
    <xf numFmtId="165" fontId="74" fillId="0" borderId="0"/>
    <xf numFmtId="165" fontId="74" fillId="0" borderId="0"/>
    <xf numFmtId="165" fontId="74" fillId="0" borderId="0"/>
    <xf numFmtId="165" fontId="74" fillId="0" borderId="0"/>
    <xf numFmtId="165" fontId="74" fillId="0" borderId="0"/>
    <xf numFmtId="165" fontId="174" fillId="0" borderId="0"/>
    <xf numFmtId="165" fontId="18" fillId="0" borderId="0">
      <alignment vertical="top"/>
    </xf>
    <xf numFmtId="165" fontId="174" fillId="0" borderId="0"/>
    <xf numFmtId="165" fontId="18" fillId="0" borderId="0"/>
    <xf numFmtId="193" fontId="105" fillId="0" borderId="0">
      <alignment vertical="center"/>
    </xf>
    <xf numFmtId="165" fontId="18" fillId="0" borderId="0"/>
    <xf numFmtId="165" fontId="24" fillId="0" borderId="0"/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3" fillId="0" borderId="0">
      <alignment vertical="center"/>
    </xf>
    <xf numFmtId="223" fontId="18" fillId="0" borderId="0">
      <alignment vertical="center"/>
    </xf>
    <xf numFmtId="223" fontId="18" fillId="0" borderId="0">
      <alignment vertical="center"/>
    </xf>
    <xf numFmtId="223" fontId="18" fillId="0" borderId="0">
      <alignment vertical="center"/>
    </xf>
    <xf numFmtId="165" fontId="174" fillId="0" borderId="0"/>
    <xf numFmtId="164" fontId="18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3" fillId="0" borderId="0"/>
    <xf numFmtId="223" fontId="18" fillId="0" borderId="0">
      <alignment vertical="center"/>
    </xf>
    <xf numFmtId="223" fontId="18" fillId="0" borderId="0">
      <alignment vertical="center"/>
    </xf>
    <xf numFmtId="223" fontId="18" fillId="0" borderId="0">
      <alignment vertical="center"/>
    </xf>
    <xf numFmtId="223" fontId="18" fillId="0" borderId="0">
      <alignment vertical="center"/>
    </xf>
    <xf numFmtId="223" fontId="18" fillId="0" borderId="0">
      <alignment vertical="center"/>
    </xf>
    <xf numFmtId="223" fontId="18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05" fillId="0" borderId="0">
      <alignment vertical="center"/>
    </xf>
    <xf numFmtId="223" fontId="18" fillId="0" borderId="0">
      <alignment vertical="center"/>
    </xf>
    <xf numFmtId="165" fontId="174" fillId="0" borderId="0"/>
    <xf numFmtId="223" fontId="105" fillId="0" borderId="0">
      <alignment vertical="center"/>
    </xf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07" fillId="0" borderId="0">
      <protection locked="0"/>
    </xf>
    <xf numFmtId="165" fontId="174" fillId="0" borderId="0"/>
    <xf numFmtId="164" fontId="174" fillId="0" borderId="0"/>
    <xf numFmtId="165" fontId="174" fillId="0" borderId="0"/>
    <xf numFmtId="165" fontId="174" fillId="0" borderId="0"/>
    <xf numFmtId="165" fontId="174" fillId="0" borderId="0"/>
    <xf numFmtId="164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223" fontId="18" fillId="0" borderId="0">
      <alignment vertical="center"/>
    </xf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165" fontId="174" fillId="0" borderId="0"/>
    <xf numFmtId="223" fontId="18" fillId="0" borderId="0">
      <alignment vertical="center"/>
    </xf>
    <xf numFmtId="165" fontId="35" fillId="0" borderId="0"/>
    <xf numFmtId="165" fontId="174" fillId="0" borderId="0"/>
    <xf numFmtId="165" fontId="35" fillId="0" borderId="0"/>
    <xf numFmtId="165" fontId="35" fillId="0" borderId="0"/>
    <xf numFmtId="165" fontId="35" fillId="0" borderId="0"/>
    <xf numFmtId="165" fontId="174" fillId="0" borderId="0"/>
    <xf numFmtId="165" fontId="174" fillId="0" borderId="0"/>
    <xf numFmtId="0" fontId="174" fillId="0" borderId="0"/>
    <xf numFmtId="165" fontId="18" fillId="0" borderId="0"/>
    <xf numFmtId="225" fontId="106" fillId="0" borderId="0"/>
    <xf numFmtId="165" fontId="174" fillId="0" borderId="0"/>
    <xf numFmtId="165" fontId="174" fillId="0" borderId="0"/>
    <xf numFmtId="165" fontId="3" fillId="0" borderId="0"/>
    <xf numFmtId="165" fontId="18" fillId="0" borderId="0"/>
    <xf numFmtId="165" fontId="174" fillId="0" borderId="0"/>
    <xf numFmtId="165" fontId="3" fillId="0" borderId="0"/>
    <xf numFmtId="165" fontId="174" fillId="0" borderId="0"/>
    <xf numFmtId="165" fontId="3" fillId="0" borderId="0"/>
    <xf numFmtId="165" fontId="174" fillId="0" borderId="0"/>
    <xf numFmtId="226" fontId="10" fillId="0" borderId="0"/>
    <xf numFmtId="4" fontId="26" fillId="0" borderId="0">
      <alignment horizontal="right" vertical="center"/>
    </xf>
    <xf numFmtId="164" fontId="25" fillId="0" borderId="0">
      <alignment horizontal="left" vertical="center"/>
    </xf>
    <xf numFmtId="164" fontId="26" fillId="0" borderId="5"/>
    <xf numFmtId="164" fontId="174" fillId="20" borderId="0"/>
    <xf numFmtId="227" fontId="18" fillId="0" borderId="0"/>
    <xf numFmtId="165" fontId="4" fillId="0" borderId="0"/>
    <xf numFmtId="165" fontId="174" fillId="0" borderId="0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4" fontId="174" fillId="19" borderId="29"/>
    <xf numFmtId="165" fontId="102" fillId="0" borderId="9"/>
    <xf numFmtId="164" fontId="174" fillId="19" borderId="29"/>
    <xf numFmtId="228" fontId="108" fillId="0" borderId="0">
      <alignment horizontal="right"/>
    </xf>
    <xf numFmtId="164" fontId="109" fillId="29" borderId="30"/>
    <xf numFmtId="164" fontId="109" fillId="29" borderId="30"/>
    <xf numFmtId="164" fontId="109" fillId="29" borderId="30"/>
    <xf numFmtId="164" fontId="109" fillId="29" borderId="30"/>
    <xf numFmtId="164" fontId="109" fillId="29" borderId="30"/>
    <xf numFmtId="164" fontId="109" fillId="29" borderId="30"/>
    <xf numFmtId="164" fontId="109" fillId="29" borderId="30"/>
    <xf numFmtId="164" fontId="109" fillId="29" borderId="30"/>
    <xf numFmtId="164" fontId="109" fillId="29" borderId="3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229" fontId="47" fillId="0" borderId="0">
      <protection locked="0"/>
    </xf>
    <xf numFmtId="229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30" fontId="47" fillId="0" borderId="0">
      <protection locked="0"/>
    </xf>
    <xf numFmtId="229" fontId="47" fillId="0" borderId="0">
      <protection locked="0"/>
    </xf>
    <xf numFmtId="229" fontId="47" fillId="0" borderId="0">
      <protection locked="0"/>
    </xf>
    <xf numFmtId="229" fontId="47" fillId="0" borderId="0">
      <protection locked="0"/>
    </xf>
    <xf numFmtId="229" fontId="47" fillId="0" borderId="0">
      <protection locked="0"/>
    </xf>
    <xf numFmtId="229" fontId="47" fillId="0" borderId="0">
      <protection locked="0"/>
    </xf>
    <xf numFmtId="229" fontId="47" fillId="0" borderId="0">
      <protection locked="0"/>
    </xf>
    <xf numFmtId="229" fontId="47" fillId="0" borderId="0">
      <protection locked="0"/>
    </xf>
    <xf numFmtId="9" fontId="174" fillId="0" borderId="0"/>
    <xf numFmtId="9" fontId="174" fillId="0" borderId="0"/>
    <xf numFmtId="9" fontId="174" fillId="0" borderId="0"/>
    <xf numFmtId="10" fontId="3" fillId="0" borderId="0"/>
    <xf numFmtId="10" fontId="12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10" fontId="174" fillId="0" borderId="0"/>
    <xf numFmtId="165" fontId="174" fillId="0" borderId="0"/>
    <xf numFmtId="231" fontId="174" fillId="0" borderId="0"/>
    <xf numFmtId="232" fontId="174" fillId="0" borderId="0"/>
    <xf numFmtId="230" fontId="174" fillId="0" borderId="0"/>
    <xf numFmtId="229" fontId="47" fillId="0" borderId="0">
      <protection locked="0"/>
    </xf>
    <xf numFmtId="233" fontId="47" fillId="0" borderId="0">
      <protection locked="0"/>
    </xf>
    <xf numFmtId="234" fontId="174" fillId="0" borderId="0"/>
    <xf numFmtId="229" fontId="47" fillId="0" borderId="0">
      <protection locked="0"/>
    </xf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9" fontId="174" fillId="0" borderId="0"/>
    <xf numFmtId="235" fontId="18" fillId="0" borderId="0"/>
    <xf numFmtId="9" fontId="174" fillId="0" borderId="0"/>
    <xf numFmtId="164" fontId="174" fillId="0" borderId="0"/>
    <xf numFmtId="165" fontId="110" fillId="0" borderId="19">
      <alignment horizontal="center"/>
    </xf>
    <xf numFmtId="164" fontId="174" fillId="30" borderId="0"/>
    <xf numFmtId="165" fontId="26" fillId="0" borderId="0"/>
    <xf numFmtId="233" fontId="47" fillId="0" borderId="0">
      <protection locked="0"/>
    </xf>
    <xf numFmtId="209" fontId="47" fillId="0" borderId="0">
      <protection locked="0"/>
    </xf>
    <xf numFmtId="165" fontId="3" fillId="0" borderId="0"/>
    <xf numFmtId="236" fontId="47" fillId="0" borderId="0">
      <protection locked="0"/>
    </xf>
    <xf numFmtId="165" fontId="3" fillId="0" borderId="0">
      <alignment horizontal="center"/>
    </xf>
    <xf numFmtId="164" fontId="111" fillId="0" borderId="0"/>
    <xf numFmtId="3" fontId="65" fillId="0" borderId="0">
      <alignment horizontal="left" vertical="center"/>
    </xf>
    <xf numFmtId="165" fontId="35" fillId="0" borderId="0">
      <alignment horizontal="left" vertic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12" fillId="8" borderId="5">
      <alignment horizontal="center"/>
    </xf>
    <xf numFmtId="165" fontId="12" fillId="8" borderId="5">
      <alignment horizontal="center"/>
    </xf>
    <xf numFmtId="165" fontId="112" fillId="8" borderId="5">
      <alignment horizontal="center"/>
    </xf>
    <xf numFmtId="165" fontId="12" fillId="8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4" borderId="5">
      <alignment horizontal="center"/>
    </xf>
    <xf numFmtId="165" fontId="3" fillId="0" borderId="5"/>
    <xf numFmtId="165" fontId="3" fillId="0" borderId="5"/>
    <xf numFmtId="165" fontId="3" fillId="0" borderId="5"/>
    <xf numFmtId="165" fontId="3" fillId="0" borderId="5"/>
    <xf numFmtId="165" fontId="3" fillId="0" borderId="5"/>
    <xf numFmtId="165" fontId="3" fillId="0" borderId="5"/>
    <xf numFmtId="165" fontId="3" fillId="0" borderId="5"/>
    <xf numFmtId="165" fontId="3" fillId="0" borderId="5"/>
    <xf numFmtId="165" fontId="3" fillId="0" borderId="5"/>
    <xf numFmtId="165" fontId="3" fillId="0" borderId="5"/>
    <xf numFmtId="165" fontId="113" fillId="0" borderId="0">
      <alignment horizontal="center"/>
    </xf>
    <xf numFmtId="165" fontId="9" fillId="20" borderId="0"/>
    <xf numFmtId="165" fontId="114" fillId="0" borderId="0"/>
    <xf numFmtId="164" fontId="115" fillId="4" borderId="31">
      <alignment vertical="center"/>
    </xf>
    <xf numFmtId="164" fontId="116" fillId="4" borderId="31">
      <alignment vertical="center"/>
    </xf>
    <xf numFmtId="164" fontId="65" fillId="0" borderId="0">
      <alignment horizontal="left" vertical="center" indent="1"/>
    </xf>
    <xf numFmtId="164" fontId="117" fillId="4" borderId="32">
      <alignment horizontal="left" vertical="top" indent="1"/>
    </xf>
    <xf numFmtId="164" fontId="118" fillId="31" borderId="31">
      <alignment horizontal="left" vertical="center" indent="1"/>
    </xf>
    <xf numFmtId="164" fontId="119" fillId="23" borderId="31">
      <alignment vertical="center"/>
    </xf>
    <xf numFmtId="164" fontId="74" fillId="7" borderId="32">
      <alignment horizontal="right" vertical="center"/>
    </xf>
    <xf numFmtId="164" fontId="74" fillId="13" borderId="32">
      <alignment horizontal="right" vertical="center"/>
    </xf>
    <xf numFmtId="164" fontId="74" fillId="23" borderId="32">
      <alignment horizontal="right" vertical="center"/>
    </xf>
    <xf numFmtId="164" fontId="120" fillId="11" borderId="31">
      <alignment vertical="center"/>
    </xf>
    <xf numFmtId="164" fontId="74" fillId="15" borderId="32">
      <alignment horizontal="right" vertical="center"/>
    </xf>
    <xf numFmtId="164" fontId="74" fillId="18" borderId="32">
      <alignment horizontal="right" vertical="center"/>
    </xf>
    <xf numFmtId="164" fontId="74" fillId="25" borderId="32">
      <alignment horizontal="right" vertical="center"/>
    </xf>
    <xf numFmtId="164" fontId="119" fillId="32" borderId="31">
      <alignment vertical="center"/>
    </xf>
    <xf numFmtId="164" fontId="74" fillId="24" borderId="32">
      <alignment horizontal="right" vertical="center"/>
    </xf>
    <xf numFmtId="164" fontId="74" fillId="33" borderId="32">
      <alignment horizontal="right" vertical="center"/>
    </xf>
    <xf numFmtId="164" fontId="74" fillId="14" borderId="32">
      <alignment horizontal="right" vertical="center"/>
    </xf>
    <xf numFmtId="164" fontId="121" fillId="23" borderId="31">
      <alignment vertical="center"/>
    </xf>
    <xf numFmtId="164" fontId="122" fillId="34" borderId="31">
      <alignment horizontal="left" vertical="center" indent="1"/>
    </xf>
    <xf numFmtId="164" fontId="122" fillId="3" borderId="31">
      <alignment horizontal="left" vertical="center" indent="1"/>
    </xf>
    <xf numFmtId="164" fontId="123" fillId="31" borderId="31">
      <alignment horizontal="left" vertical="center" indent="1"/>
    </xf>
    <xf numFmtId="164" fontId="124" fillId="12" borderId="31">
      <alignment vertical="center"/>
    </xf>
    <xf numFmtId="164" fontId="125" fillId="2" borderId="31">
      <alignment horizontal="left" vertical="center" indent="1"/>
    </xf>
    <xf numFmtId="164" fontId="126" fillId="3" borderId="31">
      <alignment horizontal="left" vertical="center" indent="1"/>
    </xf>
    <xf numFmtId="164" fontId="127" fillId="31" borderId="31">
      <alignment horizontal="left" vertical="center" indent="1"/>
    </xf>
    <xf numFmtId="164" fontId="3" fillId="31" borderId="32">
      <alignment horizontal="left" vertical="center" indent="1"/>
    </xf>
    <xf numFmtId="164" fontId="3" fillId="31" borderId="32">
      <alignment horizontal="left" vertical="top" indent="1"/>
    </xf>
    <xf numFmtId="164" fontId="3" fillId="35" borderId="32">
      <alignment horizontal="left" vertical="center" indent="1"/>
    </xf>
    <xf numFmtId="164" fontId="3" fillId="35" borderId="32">
      <alignment horizontal="left" vertical="top" indent="1"/>
    </xf>
    <xf numFmtId="164" fontId="3" fillId="12" borderId="32">
      <alignment horizontal="left" vertical="center" indent="1"/>
    </xf>
    <xf numFmtId="164" fontId="3" fillId="12" borderId="32">
      <alignment horizontal="left" vertical="top" indent="1"/>
    </xf>
    <xf numFmtId="164" fontId="3" fillId="3" borderId="32">
      <alignment horizontal="left" vertical="center" indent="1"/>
    </xf>
    <xf numFmtId="164" fontId="3" fillId="3" borderId="32">
      <alignment horizontal="left" vertical="top" indent="1"/>
    </xf>
    <xf numFmtId="164" fontId="3" fillId="2" borderId="5">
      <protection locked="0"/>
    </xf>
    <xf numFmtId="164" fontId="128" fillId="2" borderId="31">
      <alignment vertical="center"/>
    </xf>
    <xf numFmtId="164" fontId="129" fillId="2" borderId="31">
      <alignment vertical="center"/>
    </xf>
    <xf numFmtId="164" fontId="122" fillId="3" borderId="31">
      <alignment horizontal="left" vertical="center" indent="1"/>
    </xf>
    <xf numFmtId="164" fontId="74" fillId="19" borderId="32">
      <alignment horizontal="left" vertical="top" indent="1"/>
    </xf>
    <xf numFmtId="164" fontId="130" fillId="2" borderId="31">
      <alignment vertical="center"/>
    </xf>
    <xf numFmtId="164" fontId="131" fillId="2" borderId="31">
      <alignment vertical="center"/>
    </xf>
    <xf numFmtId="164" fontId="10" fillId="0" borderId="0">
      <alignment horizontal="left" vertical="center" indent="1"/>
    </xf>
    <xf numFmtId="164" fontId="74" fillId="35" borderId="32">
      <alignment horizontal="left" vertical="top" indent="1"/>
    </xf>
    <xf numFmtId="164" fontId="132" fillId="2" borderId="31">
      <alignment vertical="center"/>
    </xf>
    <xf numFmtId="164" fontId="133" fillId="2" borderId="31">
      <alignment vertical="center"/>
    </xf>
    <xf numFmtId="164" fontId="122" fillId="19" borderId="31">
      <alignment horizontal="left" vertical="center" indent="1"/>
    </xf>
    <xf numFmtId="164" fontId="134" fillId="12" borderId="31">
      <alignment horizontal="left" indent="1"/>
    </xf>
    <xf numFmtId="164" fontId="135" fillId="2" borderId="31">
      <alignment vertical="center"/>
    </xf>
    <xf numFmtId="164" fontId="136" fillId="7" borderId="0"/>
    <xf numFmtId="237" fontId="63" fillId="0" borderId="33"/>
    <xf numFmtId="238" fontId="3" fillId="0" borderId="0">
      <protection locked="0"/>
    </xf>
    <xf numFmtId="237" fontId="174" fillId="0" borderId="0"/>
    <xf numFmtId="214" fontId="174" fillId="0" borderId="0"/>
    <xf numFmtId="165" fontId="26" fillId="21" borderId="5"/>
    <xf numFmtId="164" fontId="174" fillId="8" borderId="0"/>
    <xf numFmtId="165" fontId="137" fillId="19" borderId="0">
      <alignment horizontal="center"/>
    </xf>
    <xf numFmtId="164" fontId="138" fillId="0" borderId="0"/>
    <xf numFmtId="165" fontId="10" fillId="0" borderId="0">
      <alignment horizontal="right"/>
    </xf>
    <xf numFmtId="49" fontId="10" fillId="0" borderId="0">
      <alignment horizontal="center"/>
    </xf>
    <xf numFmtId="165" fontId="35" fillId="0" borderId="0">
      <alignment horizontal="right"/>
    </xf>
    <xf numFmtId="165" fontId="10" fillId="0" borderId="0">
      <alignment horizontal="left"/>
    </xf>
    <xf numFmtId="165" fontId="9" fillId="0" borderId="0"/>
    <xf numFmtId="165" fontId="3" fillId="0" borderId="0"/>
    <xf numFmtId="49" fontId="65" fillId="0" borderId="0">
      <alignment horizontal="left" vertical="center"/>
    </xf>
    <xf numFmtId="165" fontId="3" fillId="0" borderId="0"/>
    <xf numFmtId="2" fontId="3" fillId="0" borderId="0">
      <alignment horizontal="right"/>
    </xf>
    <xf numFmtId="239" fontId="139" fillId="22" borderId="34">
      <alignment horizontal="right"/>
    </xf>
    <xf numFmtId="239" fontId="139" fillId="22" borderId="34">
      <alignment horizontal="left"/>
    </xf>
    <xf numFmtId="164" fontId="139" fillId="0" borderId="0">
      <alignment horizontal="left"/>
    </xf>
    <xf numFmtId="164" fontId="3" fillId="0" borderId="5">
      <alignment horizontal="right"/>
    </xf>
    <xf numFmtId="164" fontId="140" fillId="22" borderId="0">
      <alignment horizontal="left"/>
    </xf>
    <xf numFmtId="164" fontId="37" fillId="0" borderId="0">
      <alignment horizontal="center" wrapText="1"/>
    </xf>
    <xf numFmtId="165" fontId="51" fillId="0" borderId="35">
      <alignment horizontal="center" vertical="top" wrapText="1"/>
    </xf>
    <xf numFmtId="165" fontId="50" fillId="0" borderId="19">
      <alignment horizontal="center" vertical="top" wrapText="1"/>
    </xf>
    <xf numFmtId="165" fontId="50" fillId="0" borderId="19">
      <alignment horizontal="center" vertical="top" wrapText="1"/>
    </xf>
    <xf numFmtId="165" fontId="50" fillId="0" borderId="19">
      <alignment horizontal="center" vertical="top" wrapText="1"/>
    </xf>
    <xf numFmtId="240" fontId="141" fillId="0" borderId="0"/>
    <xf numFmtId="49" fontId="35" fillId="0" borderId="21">
      <alignment horizontal="left" vertical="center"/>
    </xf>
    <xf numFmtId="49" fontId="35" fillId="0" borderId="21">
      <alignment horizontal="left" vertical="center"/>
    </xf>
    <xf numFmtId="49" fontId="35" fillId="0" borderId="21">
      <alignment horizontal="left"/>
    </xf>
    <xf numFmtId="164" fontId="65" fillId="0" borderId="0">
      <alignment horizontal="right"/>
    </xf>
    <xf numFmtId="241" fontId="142" fillId="0" borderId="0">
      <alignment horizontal="right" vertical="center"/>
    </xf>
    <xf numFmtId="165" fontId="81" fillId="20" borderId="0">
      <alignment horizontal="center" vertical="center" wrapText="1"/>
    </xf>
    <xf numFmtId="165" fontId="81" fillId="0" borderId="25">
      <alignment horizontal="left" vertical="center"/>
    </xf>
    <xf numFmtId="165" fontId="81" fillId="0" borderId="25">
      <alignment horizontal="left" vertical="center"/>
    </xf>
    <xf numFmtId="165" fontId="143" fillId="0" borderId="0">
      <alignment horizontal="left"/>
    </xf>
    <xf numFmtId="165" fontId="144" fillId="0" borderId="0">
      <alignment horizontal="left" vertical="top"/>
    </xf>
    <xf numFmtId="164" fontId="3" fillId="0" borderId="0"/>
    <xf numFmtId="165" fontId="37" fillId="0" borderId="0">
      <alignment horizontal="left"/>
    </xf>
    <xf numFmtId="165" fontId="64" fillId="0" borderId="0">
      <alignment horizontal="left"/>
    </xf>
    <xf numFmtId="165" fontId="3" fillId="0" borderId="0">
      <alignment horizontal="left"/>
    </xf>
    <xf numFmtId="165" fontId="145" fillId="0" borderId="0">
      <alignment horizontal="left" vertical="top"/>
    </xf>
    <xf numFmtId="165" fontId="64" fillId="0" borderId="0">
      <alignment horizontal="left"/>
    </xf>
    <xf numFmtId="165" fontId="3" fillId="0" borderId="0">
      <alignment horizontal="left"/>
    </xf>
    <xf numFmtId="165" fontId="9" fillId="21" borderId="0">
      <alignment horizontal="center" vertical="center" wrapText="1"/>
    </xf>
    <xf numFmtId="2" fontId="77" fillId="0" borderId="0">
      <protection locked="0"/>
    </xf>
    <xf numFmtId="2" fontId="77" fillId="0" borderId="0">
      <protection locked="0"/>
    </xf>
    <xf numFmtId="165" fontId="10" fillId="20" borderId="9"/>
    <xf numFmtId="164" fontId="174" fillId="0" borderId="36"/>
    <xf numFmtId="165" fontId="2" fillId="2" borderId="37"/>
    <xf numFmtId="165" fontId="63" fillId="0" borderId="0"/>
    <xf numFmtId="164" fontId="146" fillId="0" borderId="38"/>
    <xf numFmtId="233" fontId="47" fillId="0" borderId="0">
      <protection locked="0"/>
    </xf>
    <xf numFmtId="209" fontId="47" fillId="0" borderId="0">
      <protection locked="0"/>
    </xf>
    <xf numFmtId="4" fontId="174" fillId="0" borderId="0"/>
    <xf numFmtId="164" fontId="147" fillId="0" borderId="0"/>
    <xf numFmtId="164" fontId="32" fillId="0" borderId="0"/>
    <xf numFmtId="164" fontId="174" fillId="0" borderId="0"/>
    <xf numFmtId="164" fontId="174" fillId="0" borderId="0"/>
    <xf numFmtId="164" fontId="174" fillId="0" borderId="0"/>
    <xf numFmtId="164" fontId="174" fillId="0" borderId="0"/>
    <xf numFmtId="164" fontId="174" fillId="0" borderId="0"/>
    <xf numFmtId="164" fontId="174" fillId="0" borderId="0"/>
    <xf numFmtId="164" fontId="174" fillId="0" borderId="0"/>
    <xf numFmtId="165" fontId="18" fillId="0" borderId="0"/>
    <xf numFmtId="165" fontId="27" fillId="0" borderId="0">
      <alignment horizontal="left" wrapText="1"/>
    </xf>
    <xf numFmtId="164" fontId="174" fillId="0" borderId="0"/>
    <xf numFmtId="164" fontId="174" fillId="0" borderId="0"/>
    <xf numFmtId="164" fontId="174" fillId="0" borderId="0"/>
    <xf numFmtId="164" fontId="174" fillId="0" borderId="0"/>
    <xf numFmtId="164" fontId="174" fillId="0" borderId="15"/>
    <xf numFmtId="164" fontId="174" fillId="0" borderId="0"/>
    <xf numFmtId="164" fontId="174" fillId="0" borderId="0"/>
    <xf numFmtId="164" fontId="174" fillId="0" borderId="0"/>
    <xf numFmtId="242" fontId="18" fillId="0" borderId="0">
      <alignment horizontal="right"/>
    </xf>
    <xf numFmtId="49" fontId="65" fillId="0" borderId="21">
      <alignment horizontal="left"/>
    </xf>
    <xf numFmtId="165" fontId="81" fillId="0" borderId="25">
      <alignment horizontal="left"/>
    </xf>
    <xf numFmtId="165" fontId="81" fillId="0" borderId="25">
      <alignment horizontal="left"/>
    </xf>
    <xf numFmtId="165" fontId="81" fillId="0" borderId="25">
      <alignment horizontal="left"/>
    </xf>
    <xf numFmtId="165" fontId="37" fillId="0" borderId="0">
      <alignment horizontal="left" vertical="center"/>
    </xf>
    <xf numFmtId="49" fontId="10" fillId="0" borderId="21">
      <alignment horizontal="left"/>
    </xf>
    <xf numFmtId="243" fontId="174" fillId="0" borderId="0"/>
    <xf numFmtId="244" fontId="174" fillId="0" borderId="0"/>
    <xf numFmtId="165" fontId="64" fillId="0" borderId="0">
      <alignment horizontal="center"/>
    </xf>
    <xf numFmtId="1" fontId="174" fillId="0" borderId="0"/>
    <xf numFmtId="164" fontId="148" fillId="21" borderId="39"/>
    <xf numFmtId="164" fontId="149" fillId="0" borderId="0"/>
    <xf numFmtId="164" fontId="150" fillId="0" borderId="40"/>
    <xf numFmtId="164" fontId="151" fillId="0" borderId="41"/>
    <xf numFmtId="164" fontId="152" fillId="0" borderId="42"/>
    <xf numFmtId="164" fontId="152" fillId="0" borderId="42"/>
    <xf numFmtId="164" fontId="152" fillId="0" borderId="0"/>
    <xf numFmtId="164" fontId="90" fillId="0" borderId="0"/>
    <xf numFmtId="165" fontId="19" fillId="0" borderId="0"/>
    <xf numFmtId="181" fontId="19" fillId="0" borderId="0"/>
    <xf numFmtId="165" fontId="20" fillId="0" borderId="0"/>
    <xf numFmtId="165" fontId="21" fillId="0" borderId="0"/>
    <xf numFmtId="165" fontId="19" fillId="0" borderId="4"/>
    <xf numFmtId="165" fontId="26" fillId="0" borderId="0"/>
    <xf numFmtId="10" fontId="19" fillId="0" borderId="0"/>
    <xf numFmtId="165" fontId="19" fillId="0" borderId="0"/>
    <xf numFmtId="2" fontId="19" fillId="0" borderId="0"/>
    <xf numFmtId="4" fontId="19" fillId="0" borderId="0"/>
    <xf numFmtId="165" fontId="153" fillId="0" borderId="0"/>
  </cellStyleXfs>
  <cellXfs count="298">
    <xf numFmtId="164" fontId="0" fillId="0" borderId="0" xfId="0"/>
    <xf numFmtId="164" fontId="74" fillId="2" borderId="46" xfId="0" applyFont="1" applyFill="1" applyBorder="1" applyAlignment="1">
      <alignment vertical="center"/>
    </xf>
    <xf numFmtId="164" fontId="0" fillId="0" borderId="0" xfId="0" applyAlignment="1"/>
    <xf numFmtId="164" fontId="154" fillId="0" borderId="0" xfId="0" applyFont="1" applyAlignment="1"/>
    <xf numFmtId="164" fontId="155" fillId="0" borderId="0" xfId="0" applyFont="1" applyAlignment="1"/>
    <xf numFmtId="164" fontId="156" fillId="26" borderId="0" xfId="0" applyFont="1" applyFill="1" applyAlignment="1"/>
    <xf numFmtId="164" fontId="157" fillId="26" borderId="0" xfId="0" applyFont="1" applyFill="1" applyAlignment="1"/>
    <xf numFmtId="164" fontId="69" fillId="0" borderId="0" xfId="0" applyFont="1" applyAlignment="1"/>
    <xf numFmtId="164" fontId="158" fillId="0" borderId="0" xfId="0" applyFont="1" applyAlignment="1">
      <alignment horizontal="center"/>
    </xf>
    <xf numFmtId="164" fontId="159" fillId="26" borderId="0" xfId="0" applyFont="1" applyFill="1" applyAlignment="1"/>
    <xf numFmtId="164" fontId="160" fillId="26" borderId="0" xfId="0" applyFont="1" applyFill="1" applyAlignment="1"/>
    <xf numFmtId="164" fontId="161" fillId="0" borderId="0" xfId="0" applyFont="1" applyAlignment="1"/>
    <xf numFmtId="164" fontId="71" fillId="22" borderId="43" xfId="0" applyFont="1" applyFill="1" applyBorder="1" applyAlignment="1">
      <alignment vertical="center"/>
    </xf>
    <xf numFmtId="164" fontId="71" fillId="22" borderId="44" xfId="0" applyFont="1" applyFill="1" applyBorder="1" applyAlignment="1">
      <alignment vertical="center"/>
    </xf>
    <xf numFmtId="165" fontId="71" fillId="22" borderId="45" xfId="574" applyNumberFormat="1" applyFont="1" applyFill="1" applyBorder="1" applyAlignment="1">
      <alignment vertical="center"/>
    </xf>
    <xf numFmtId="164" fontId="74" fillId="2" borderId="46" xfId="0" applyFont="1" applyFill="1" applyBorder="1" applyAlignment="1">
      <alignment vertical="center"/>
    </xf>
    <xf numFmtId="164" fontId="74" fillId="2" borderId="0" xfId="0" applyFont="1" applyFill="1" applyAlignment="1">
      <alignment vertical="center"/>
    </xf>
    <xf numFmtId="164" fontId="0" fillId="0" borderId="33" xfId="0" applyBorder="1" applyAlignment="1"/>
    <xf numFmtId="245" fontId="0" fillId="0" borderId="33" xfId="10" applyNumberFormat="1" applyFont="1" applyBorder="1" applyAlignment="1"/>
    <xf numFmtId="245" fontId="60" fillId="2" borderId="33" xfId="10" applyNumberFormat="1" applyFont="1" applyFill="1" applyBorder="1" applyAlignment="1">
      <alignment vertical="center"/>
    </xf>
    <xf numFmtId="190" fontId="60" fillId="2" borderId="33" xfId="10" applyNumberFormat="1" applyFont="1" applyFill="1" applyBorder="1" applyAlignment="1">
      <alignment vertical="center"/>
    </xf>
    <xf numFmtId="199" fontId="60" fillId="0" borderId="33" xfId="10" applyNumberFormat="1" applyFont="1" applyBorder="1" applyAlignment="1">
      <alignment vertical="center"/>
    </xf>
    <xf numFmtId="164" fontId="158" fillId="0" borderId="0" xfId="0" applyFont="1" applyAlignment="1"/>
    <xf numFmtId="9" fontId="60" fillId="2" borderId="33" xfId="14" applyNumberFormat="1" applyFont="1" applyFill="1" applyBorder="1" applyAlignment="1">
      <alignment vertical="center"/>
    </xf>
    <xf numFmtId="167" fontId="60" fillId="2" borderId="33" xfId="14" applyNumberFormat="1" applyFont="1" applyFill="1" applyBorder="1" applyAlignment="1">
      <alignment vertical="center"/>
    </xf>
    <xf numFmtId="164" fontId="74" fillId="2" borderId="47" xfId="0" applyFont="1" applyFill="1" applyBorder="1" applyAlignment="1">
      <alignment vertical="center"/>
    </xf>
    <xf numFmtId="164" fontId="74" fillId="2" borderId="19" xfId="0" applyFont="1" applyFill="1" applyBorder="1" applyAlignment="1">
      <alignment vertical="center"/>
    </xf>
    <xf numFmtId="9" fontId="60" fillId="2" borderId="48" xfId="14" applyNumberFormat="1" applyFont="1" applyFill="1" applyBorder="1" applyAlignment="1">
      <alignment vertical="center"/>
    </xf>
    <xf numFmtId="167" fontId="0" fillId="0" borderId="33" xfId="14" applyNumberFormat="1" applyFont="1" applyBorder="1" applyAlignment="1"/>
    <xf numFmtId="246" fontId="0" fillId="0" borderId="0" xfId="0" applyNumberFormat="1" applyAlignment="1"/>
    <xf numFmtId="9" fontId="0" fillId="0" borderId="0" xfId="14" applyNumberFormat="1" applyFont="1" applyAlignment="1"/>
    <xf numFmtId="164" fontId="0" fillId="0" borderId="48" xfId="0" applyBorder="1" applyAlignment="1"/>
    <xf numFmtId="165" fontId="162" fillId="2" borderId="0" xfId="574" applyNumberFormat="1" applyFont="1" applyFill="1" applyAlignment="1">
      <alignment vertical="center"/>
    </xf>
    <xf numFmtId="165" fontId="117" fillId="2" borderId="0" xfId="574" applyNumberFormat="1" applyFont="1" applyFill="1" applyAlignment="1">
      <alignment vertical="center"/>
    </xf>
    <xf numFmtId="164" fontId="0" fillId="13" borderId="49" xfId="0" applyFill="1" applyBorder="1" applyAlignment="1"/>
    <xf numFmtId="164" fontId="163" fillId="13" borderId="14" xfId="0" applyFont="1" applyFill="1" applyBorder="1" applyAlignment="1">
      <alignment horizontal="center"/>
    </xf>
    <xf numFmtId="164" fontId="0" fillId="13" borderId="50" xfId="0" applyFill="1" applyBorder="1" applyAlignment="1"/>
    <xf numFmtId="164" fontId="0" fillId="26" borderId="47" xfId="0" applyFill="1" applyBorder="1" applyAlignment="1"/>
    <xf numFmtId="164" fontId="163" fillId="26" borderId="19" xfId="0" applyFont="1" applyFill="1" applyBorder="1" applyAlignment="1">
      <alignment horizontal="center"/>
    </xf>
    <xf numFmtId="164" fontId="0" fillId="26" borderId="48" xfId="0" applyFill="1" applyBorder="1" applyAlignment="1"/>
    <xf numFmtId="165" fontId="71" fillId="36" borderId="0" xfId="574" applyNumberFormat="1" applyFont="1" applyFill="1" applyAlignment="1">
      <alignment vertical="center"/>
    </xf>
    <xf numFmtId="165" fontId="71" fillId="22" borderId="0" xfId="574" applyNumberFormat="1" applyFont="1" applyFill="1" applyAlignment="1">
      <alignment vertical="center"/>
    </xf>
    <xf numFmtId="164" fontId="117" fillId="0" borderId="0" xfId="574" applyNumberFormat="1" applyFont="1" applyAlignment="1">
      <alignment horizontal="left" vertical="center"/>
    </xf>
    <xf numFmtId="165" fontId="71" fillId="26" borderId="51" xfId="574" applyNumberFormat="1" applyFont="1" applyFill="1" applyBorder="1" applyAlignment="1">
      <alignment vertical="center"/>
    </xf>
    <xf numFmtId="165" fontId="71" fillId="26" borderId="52" xfId="574" applyNumberFormat="1" applyFont="1" applyFill="1" applyBorder="1" applyAlignment="1">
      <alignment vertical="center"/>
    </xf>
    <xf numFmtId="164" fontId="74" fillId="0" borderId="37" xfId="574" applyNumberFormat="1" applyFont="1" applyBorder="1" applyAlignment="1">
      <alignment horizontal="left" vertical="center"/>
    </xf>
    <xf numFmtId="9" fontId="0" fillId="0" borderId="53" xfId="14" applyNumberFormat="1" applyFont="1" applyBorder="1" applyAlignment="1"/>
    <xf numFmtId="164" fontId="74" fillId="0" borderId="54" xfId="574" applyNumberFormat="1" applyFont="1" applyBorder="1" applyAlignment="1">
      <alignment horizontal="left" vertical="center"/>
    </xf>
    <xf numFmtId="9" fontId="0" fillId="0" borderId="55" xfId="14" applyNumberFormat="1" applyFont="1" applyBorder="1" applyAlignment="1"/>
    <xf numFmtId="165" fontId="71" fillId="26" borderId="1" xfId="574" applyNumberFormat="1" applyFont="1" applyFill="1" applyBorder="1" applyAlignment="1">
      <alignment vertical="center"/>
    </xf>
    <xf numFmtId="164" fontId="117" fillId="0" borderId="54" xfId="574" applyNumberFormat="1" applyFont="1" applyBorder="1" applyAlignment="1">
      <alignment horizontal="left" vertical="center"/>
    </xf>
    <xf numFmtId="164" fontId="69" fillId="0" borderId="15" xfId="0" applyFont="1" applyBorder="1" applyAlignment="1"/>
    <xf numFmtId="165" fontId="164" fillId="13" borderId="0" xfId="574" applyNumberFormat="1" applyFont="1" applyFill="1" applyAlignment="1">
      <alignment vertical="center"/>
    </xf>
    <xf numFmtId="165" fontId="74" fillId="13" borderId="0" xfId="574" applyNumberFormat="1" applyFont="1" applyFill="1" applyAlignment="1">
      <alignment vertical="center"/>
    </xf>
    <xf numFmtId="165" fontId="165" fillId="2" borderId="0" xfId="574" applyNumberFormat="1" applyFont="1" applyFill="1" applyAlignment="1">
      <alignment vertical="center"/>
    </xf>
    <xf numFmtId="165" fontId="74" fillId="2" borderId="0" xfId="574" applyNumberFormat="1" applyFont="1" applyFill="1" applyAlignment="1">
      <alignment vertical="center"/>
    </xf>
    <xf numFmtId="165" fontId="74" fillId="2" borderId="0" xfId="574" applyNumberFormat="1" applyFont="1" applyFill="1" applyAlignment="1">
      <alignment horizontal="right" vertical="center"/>
    </xf>
    <xf numFmtId="165" fontId="166" fillId="2" borderId="0" xfId="574" applyNumberFormat="1" applyFont="1" applyFill="1" applyAlignment="1">
      <alignment horizontal="left" vertical="center"/>
    </xf>
    <xf numFmtId="165" fontId="162" fillId="2" borderId="0" xfId="574" applyNumberFormat="1" applyFont="1" applyFill="1" applyAlignment="1">
      <alignment horizontal="center" vertical="center"/>
    </xf>
    <xf numFmtId="164" fontId="117" fillId="0" borderId="51" xfId="574" applyNumberFormat="1" applyFont="1" applyBorder="1" applyAlignment="1">
      <alignment horizontal="left" vertical="center"/>
    </xf>
    <xf numFmtId="165" fontId="74" fillId="2" borderId="1" xfId="574" applyNumberFormat="1" applyFont="1" applyFill="1" applyBorder="1" applyAlignment="1">
      <alignment vertical="center"/>
    </xf>
    <xf numFmtId="164" fontId="74" fillId="19" borderId="5" xfId="574" applyNumberFormat="1" applyFont="1" applyFill="1" applyBorder="1" applyAlignment="1">
      <alignment horizontal="center" vertical="center"/>
    </xf>
    <xf numFmtId="0" fontId="74" fillId="2" borderId="5" xfId="574" applyNumberFormat="1" applyFont="1" applyFill="1" applyBorder="1" applyAlignment="1">
      <alignment horizontal="center" vertical="center"/>
    </xf>
    <xf numFmtId="165" fontId="74" fillId="2" borderId="56" xfId="574" applyNumberFormat="1" applyFont="1" applyFill="1" applyBorder="1" applyAlignment="1">
      <alignment vertical="center"/>
    </xf>
    <xf numFmtId="165" fontId="74" fillId="2" borderId="3" xfId="574" applyNumberFormat="1" applyFont="1" applyFill="1" applyBorder="1" applyAlignment="1">
      <alignment vertical="center"/>
    </xf>
    <xf numFmtId="9" fontId="3" fillId="2" borderId="57" xfId="14" applyNumberFormat="1" applyFont="1" applyFill="1" applyBorder="1" applyAlignment="1">
      <alignment horizontal="center" vertical="center" wrapText="1"/>
    </xf>
    <xf numFmtId="1" fontId="167" fillId="19" borderId="5" xfId="574" applyNumberFormat="1" applyFont="1" applyFill="1" applyBorder="1" applyAlignment="1">
      <alignment horizontal="center" vertical="center" wrapText="1"/>
    </xf>
    <xf numFmtId="164" fontId="117" fillId="0" borderId="37" xfId="574" applyNumberFormat="1" applyFont="1" applyBorder="1" applyAlignment="1">
      <alignment horizontal="left" vertical="center"/>
    </xf>
    <xf numFmtId="164" fontId="117" fillId="0" borderId="56" xfId="574" applyNumberFormat="1" applyFont="1" applyBorder="1" applyAlignment="1">
      <alignment horizontal="left" vertical="center"/>
    </xf>
    <xf numFmtId="223" fontId="3" fillId="2" borderId="3" xfId="574" applyFont="1" applyFill="1" applyBorder="1" applyAlignment="1">
      <alignment horizontal="center" vertical="center"/>
    </xf>
    <xf numFmtId="165" fontId="74" fillId="2" borderId="57" xfId="574" applyNumberFormat="1" applyFont="1" applyFill="1" applyBorder="1" applyAlignment="1">
      <alignment vertical="center"/>
    </xf>
    <xf numFmtId="0" fontId="167" fillId="19" borderId="57" xfId="14" applyNumberFormat="1" applyFont="1" applyFill="1" applyBorder="1" applyAlignment="1">
      <alignment horizontal="center" vertical="center" wrapText="1"/>
    </xf>
    <xf numFmtId="0" fontId="167" fillId="19" borderId="5" xfId="14" applyNumberFormat="1" applyFont="1" applyFill="1" applyBorder="1" applyAlignment="1">
      <alignment horizontal="center" vertical="center" wrapText="1"/>
    </xf>
    <xf numFmtId="165" fontId="74" fillId="2" borderId="37" xfId="574" applyNumberFormat="1" applyFont="1" applyFill="1" applyBorder="1" applyAlignment="1">
      <alignment vertical="center"/>
    </xf>
    <xf numFmtId="165" fontId="74" fillId="2" borderId="37" xfId="574" applyNumberFormat="1" applyFont="1" applyFill="1" applyBorder="1" applyAlignment="1">
      <alignment horizontal="left" vertical="center"/>
    </xf>
    <xf numFmtId="9" fontId="3" fillId="2" borderId="0" xfId="14" applyNumberFormat="1" applyFont="1" applyFill="1" applyAlignment="1">
      <alignment horizontal="center" vertical="center"/>
    </xf>
    <xf numFmtId="165" fontId="74" fillId="2" borderId="53" xfId="574" applyNumberFormat="1" applyFont="1" applyFill="1" applyBorder="1" applyAlignment="1">
      <alignment vertical="center"/>
    </xf>
    <xf numFmtId="167" fontId="167" fillId="19" borderId="5" xfId="14" applyNumberFormat="1" applyFont="1" applyFill="1" applyBorder="1" applyAlignment="1">
      <alignment horizontal="center" vertical="center" wrapText="1"/>
    </xf>
    <xf numFmtId="167" fontId="167" fillId="19" borderId="57" xfId="14" applyNumberFormat="1" applyFont="1" applyFill="1" applyBorder="1" applyAlignment="1">
      <alignment horizontal="center" vertical="center" wrapText="1"/>
    </xf>
    <xf numFmtId="165" fontId="74" fillId="2" borderId="54" xfId="574" applyNumberFormat="1" applyFont="1" applyFill="1" applyBorder="1" applyAlignment="1">
      <alignment vertical="center"/>
    </xf>
    <xf numFmtId="165" fontId="74" fillId="2" borderId="15" xfId="574" applyNumberFormat="1" applyFont="1" applyFill="1" applyBorder="1" applyAlignment="1">
      <alignment vertical="center"/>
    </xf>
    <xf numFmtId="9" fontId="3" fillId="2" borderId="15" xfId="14" applyNumberFormat="1" applyFont="1" applyFill="1" applyBorder="1" applyAlignment="1">
      <alignment horizontal="center" vertical="center"/>
    </xf>
    <xf numFmtId="165" fontId="74" fillId="2" borderId="55" xfId="574" applyNumberFormat="1" applyFont="1" applyFill="1" applyBorder="1" applyAlignment="1">
      <alignment vertical="center"/>
    </xf>
    <xf numFmtId="165" fontId="167" fillId="19" borderId="5" xfId="14" applyFont="1" applyFill="1" applyBorder="1" applyAlignment="1">
      <alignment horizontal="center" vertical="center" wrapText="1"/>
    </xf>
    <xf numFmtId="165" fontId="167" fillId="19" borderId="57" xfId="14" applyFont="1" applyFill="1" applyBorder="1" applyAlignment="1">
      <alignment horizontal="center" vertical="center" wrapText="1"/>
    </xf>
    <xf numFmtId="165" fontId="74" fillId="2" borderId="51" xfId="574" applyNumberFormat="1" applyFont="1" applyFill="1" applyBorder="1" applyAlignment="1">
      <alignment vertical="center"/>
    </xf>
    <xf numFmtId="9" fontId="3" fillId="2" borderId="1" xfId="14" applyNumberFormat="1" applyFont="1" applyFill="1" applyBorder="1" applyAlignment="1">
      <alignment horizontal="center" vertical="center"/>
    </xf>
    <xf numFmtId="9" fontId="167" fillId="19" borderId="5" xfId="14" applyNumberFormat="1" applyFont="1" applyFill="1" applyBorder="1" applyAlignment="1">
      <alignment horizontal="center" vertical="center" wrapText="1"/>
    </xf>
    <xf numFmtId="0" fontId="3" fillId="2" borderId="0" xfId="574" applyNumberFormat="1" applyFont="1" applyFill="1" applyAlignment="1">
      <alignment horizontal="center" vertical="center"/>
    </xf>
    <xf numFmtId="165" fontId="74" fillId="0" borderId="37" xfId="574" applyNumberFormat="1" applyFont="1" applyBorder="1" applyAlignment="1">
      <alignment vertical="center"/>
    </xf>
    <xf numFmtId="0" fontId="167" fillId="19" borderId="5" xfId="12" applyNumberFormat="1" applyFont="1" applyFill="1" applyBorder="1" applyAlignment="1">
      <alignment horizontal="center" vertical="center" wrapText="1"/>
    </xf>
    <xf numFmtId="9" fontId="3" fillId="0" borderId="0" xfId="14" applyNumberFormat="1" applyFont="1" applyAlignment="1">
      <alignment horizontal="center" vertical="center"/>
    </xf>
    <xf numFmtId="1" fontId="167" fillId="19" borderId="5" xfId="12" applyNumberFormat="1" applyFont="1" applyFill="1" applyBorder="1" applyAlignment="1">
      <alignment horizontal="center" vertical="center" wrapText="1"/>
    </xf>
    <xf numFmtId="0" fontId="3" fillId="2" borderId="15" xfId="574" applyNumberFormat="1" applyFont="1" applyFill="1" applyBorder="1" applyAlignment="1">
      <alignment horizontal="center" vertical="center"/>
    </xf>
    <xf numFmtId="9" fontId="167" fillId="19" borderId="57" xfId="14" applyNumberFormat="1" applyFont="1" applyFill="1" applyBorder="1" applyAlignment="1">
      <alignment horizontal="center" vertical="center" wrapText="1"/>
    </xf>
    <xf numFmtId="247" fontId="3" fillId="2" borderId="0" xfId="574" applyNumberFormat="1" applyFont="1" applyFill="1" applyAlignment="1">
      <alignment horizontal="center" vertical="center"/>
    </xf>
    <xf numFmtId="247" fontId="3" fillId="2" borderId="15" xfId="574" applyNumberFormat="1" applyFont="1" applyFill="1" applyBorder="1" applyAlignment="1">
      <alignment horizontal="center" vertical="center"/>
    </xf>
    <xf numFmtId="165" fontId="74" fillId="2" borderId="52" xfId="574" applyNumberFormat="1" applyFont="1" applyFill="1" applyBorder="1" applyAlignment="1">
      <alignment vertical="center"/>
    </xf>
    <xf numFmtId="245" fontId="3" fillId="2" borderId="0" xfId="574" applyNumberFormat="1" applyFont="1" applyFill="1" applyAlignment="1">
      <alignment horizontal="center" vertical="center"/>
    </xf>
    <xf numFmtId="165" fontId="74" fillId="2" borderId="53" xfId="574" applyNumberFormat="1" applyFont="1" applyFill="1" applyBorder="1" applyAlignment="1">
      <alignment horizontal="center" vertical="center"/>
    </xf>
    <xf numFmtId="245" fontId="167" fillId="19" borderId="5" xfId="10" applyNumberFormat="1" applyFont="1" applyFill="1" applyBorder="1" applyAlignment="1">
      <alignment horizontal="center" vertical="center" wrapText="1"/>
    </xf>
    <xf numFmtId="165" fontId="74" fillId="2" borderId="0" xfId="574" applyNumberFormat="1" applyFont="1" applyFill="1" applyAlignment="1">
      <alignment horizontal="center" vertical="center"/>
    </xf>
    <xf numFmtId="165" fontId="165" fillId="0" borderId="0" xfId="574" applyNumberFormat="1" applyFont="1" applyAlignment="1">
      <alignment vertical="center"/>
    </xf>
    <xf numFmtId="165" fontId="74" fillId="0" borderId="0" xfId="574" applyNumberFormat="1" applyFont="1" applyAlignment="1">
      <alignment vertical="center"/>
    </xf>
    <xf numFmtId="9" fontId="167" fillId="0" borderId="0" xfId="14" applyNumberFormat="1" applyFont="1" applyAlignment="1">
      <alignment horizontal="center" vertical="center" wrapText="1"/>
    </xf>
    <xf numFmtId="165" fontId="71" fillId="0" borderId="0" xfId="574" applyNumberFormat="1" applyFont="1" applyAlignment="1">
      <alignment vertical="center"/>
    </xf>
    <xf numFmtId="165" fontId="74" fillId="2" borderId="0" xfId="574" applyNumberFormat="1" applyFont="1" applyFill="1" applyAlignment="1">
      <alignment horizontal="left" vertical="center" indent="1"/>
    </xf>
    <xf numFmtId="9" fontId="126" fillId="2" borderId="0" xfId="574" applyNumberFormat="1" applyFont="1" applyFill="1" applyAlignment="1">
      <alignment horizontal="center" vertical="center"/>
    </xf>
    <xf numFmtId="165" fontId="166" fillId="2" borderId="0" xfId="574" applyNumberFormat="1" applyFont="1" applyFill="1" applyAlignment="1">
      <alignment vertical="center"/>
    </xf>
    <xf numFmtId="165" fontId="117" fillId="2" borderId="0" xfId="574" applyNumberFormat="1" applyFont="1" applyFill="1" applyAlignment="1">
      <alignment horizontal="center" vertical="center"/>
    </xf>
    <xf numFmtId="0" fontId="117" fillId="2" borderId="0" xfId="574" applyNumberFormat="1" applyFont="1" applyFill="1" applyAlignment="1">
      <alignment horizontal="center" vertical="center"/>
    </xf>
    <xf numFmtId="167" fontId="3" fillId="2" borderId="0" xfId="14" applyNumberFormat="1" applyFont="1" applyFill="1" applyAlignment="1">
      <alignment horizontal="center" vertical="center"/>
    </xf>
    <xf numFmtId="9" fontId="74" fillId="2" borderId="0" xfId="14" applyNumberFormat="1" applyFont="1" applyFill="1" applyAlignment="1">
      <alignment vertical="center"/>
    </xf>
    <xf numFmtId="167" fontId="37" fillId="2" borderId="0" xfId="14" applyNumberFormat="1" applyFont="1" applyFill="1" applyAlignment="1">
      <alignment horizontal="center" vertical="center"/>
    </xf>
    <xf numFmtId="0" fontId="74" fillId="2" borderId="0" xfId="574" applyNumberFormat="1" applyFont="1" applyFill="1" applyAlignment="1">
      <alignment vertical="center"/>
    </xf>
    <xf numFmtId="0" fontId="74" fillId="2" borderId="0" xfId="14" applyNumberFormat="1" applyFont="1" applyFill="1" applyAlignment="1">
      <alignment vertical="center"/>
    </xf>
    <xf numFmtId="167" fontId="74" fillId="2" borderId="0" xfId="14" applyNumberFormat="1" applyFont="1" applyFill="1" applyAlignment="1">
      <alignment vertical="center"/>
    </xf>
    <xf numFmtId="10" fontId="167" fillId="19" borderId="5" xfId="14" applyNumberFormat="1" applyFont="1" applyFill="1" applyBorder="1" applyAlignment="1">
      <alignment horizontal="center" vertical="center" wrapText="1"/>
    </xf>
    <xf numFmtId="245" fontId="74" fillId="2" borderId="0" xfId="10" applyNumberFormat="1" applyFont="1" applyFill="1" applyAlignment="1">
      <alignment vertical="center"/>
    </xf>
    <xf numFmtId="0" fontId="117" fillId="2" borderId="0" xfId="574" applyNumberFormat="1" applyFont="1" applyFill="1" applyAlignment="1">
      <alignment vertical="center"/>
    </xf>
    <xf numFmtId="165" fontId="74" fillId="2" borderId="51" xfId="574" applyNumberFormat="1" applyFont="1" applyFill="1" applyBorder="1" applyAlignment="1">
      <alignment horizontal="left" vertical="center"/>
    </xf>
    <xf numFmtId="164" fontId="167" fillId="19" borderId="5" xfId="14" applyNumberFormat="1" applyFont="1" applyFill="1" applyBorder="1" applyAlignment="1">
      <alignment horizontal="center" vertical="center" wrapText="1"/>
    </xf>
    <xf numFmtId="184" fontId="74" fillId="2" borderId="5" xfId="574" applyNumberFormat="1" applyFont="1" applyFill="1" applyBorder="1" applyAlignment="1">
      <alignment horizontal="center" vertical="center"/>
    </xf>
    <xf numFmtId="165" fontId="74" fillId="2" borderId="54" xfId="574" applyNumberFormat="1" applyFont="1" applyFill="1" applyBorder="1" applyAlignment="1">
      <alignment horizontal="left" vertical="center"/>
    </xf>
    <xf numFmtId="165" fontId="74" fillId="2" borderId="0" xfId="574" applyNumberFormat="1" applyFont="1" applyFill="1" applyAlignment="1">
      <alignment horizontal="left" vertical="center"/>
    </xf>
    <xf numFmtId="3" fontId="74" fillId="2" borderId="0" xfId="574" applyNumberFormat="1" applyFont="1" applyFill="1" applyAlignment="1">
      <alignment vertical="center"/>
    </xf>
    <xf numFmtId="0" fontId="71" fillId="22" borderId="0" xfId="574" applyNumberFormat="1" applyFont="1" applyFill="1" applyAlignment="1">
      <alignment vertical="center"/>
    </xf>
    <xf numFmtId="223" fontId="74" fillId="2" borderId="0" xfId="574" applyFont="1" applyFill="1" applyAlignment="1">
      <alignment vertical="center"/>
    </xf>
    <xf numFmtId="223" fontId="3" fillId="2" borderId="0" xfId="574" applyFont="1" applyFill="1" applyAlignment="1">
      <alignment horizontal="left" vertical="center"/>
    </xf>
    <xf numFmtId="223" fontId="168" fillId="2" borderId="0" xfId="574" applyFont="1" applyFill="1" applyAlignment="1">
      <alignment vertical="center"/>
    </xf>
    <xf numFmtId="164" fontId="162" fillId="0" borderId="0" xfId="0" applyFont="1" applyAlignment="1">
      <alignment horizontal="right" vertical="center"/>
    </xf>
    <xf numFmtId="165" fontId="71" fillId="26" borderId="0" xfId="574" applyNumberFormat="1" applyFont="1" applyFill="1" applyAlignment="1">
      <alignment vertical="center"/>
    </xf>
    <xf numFmtId="0" fontId="71" fillId="26" borderId="0" xfId="574" applyNumberFormat="1" applyFont="1" applyFill="1" applyAlignment="1">
      <alignment vertical="center"/>
    </xf>
    <xf numFmtId="223" fontId="169" fillId="19" borderId="51" xfId="574" applyFont="1" applyFill="1" applyBorder="1" applyAlignment="1">
      <alignment vertical="center"/>
    </xf>
    <xf numFmtId="223" fontId="169" fillId="19" borderId="1" xfId="574" applyFont="1" applyFill="1" applyBorder="1" applyAlignment="1">
      <alignment vertical="center"/>
    </xf>
    <xf numFmtId="223" fontId="169" fillId="19" borderId="52" xfId="574" applyFont="1" applyFill="1" applyBorder="1" applyAlignment="1">
      <alignment vertical="center"/>
    </xf>
    <xf numFmtId="223" fontId="169" fillId="19" borderId="37" xfId="574" applyFont="1" applyFill="1" applyBorder="1" applyAlignment="1">
      <alignment vertical="center"/>
    </xf>
    <xf numFmtId="223" fontId="169" fillId="19" borderId="0" xfId="574" applyFont="1" applyFill="1" applyAlignment="1">
      <alignment vertical="center"/>
    </xf>
    <xf numFmtId="223" fontId="169" fillId="19" borderId="53" xfId="574" applyFont="1" applyFill="1" applyBorder="1" applyAlignment="1">
      <alignment vertical="center"/>
    </xf>
    <xf numFmtId="248" fontId="169" fillId="19" borderId="0" xfId="10" applyNumberFormat="1" applyFont="1" applyFill="1" applyAlignment="1">
      <alignment vertical="center"/>
    </xf>
    <xf numFmtId="223" fontId="169" fillId="19" borderId="54" xfId="574" applyFont="1" applyFill="1" applyBorder="1" applyAlignment="1">
      <alignment vertical="center"/>
    </xf>
    <xf numFmtId="223" fontId="169" fillId="19" borderId="15" xfId="574" applyFont="1" applyFill="1" applyBorder="1" applyAlignment="1">
      <alignment vertical="center"/>
    </xf>
    <xf numFmtId="164" fontId="0" fillId="37" borderId="55" xfId="0" applyFill="1" applyBorder="1" applyAlignment="1"/>
    <xf numFmtId="223" fontId="170" fillId="0" borderId="0" xfId="0" applyNumberFormat="1" applyFont="1" applyAlignment="1">
      <alignment vertical="center"/>
    </xf>
    <xf numFmtId="223" fontId="60" fillId="0" borderId="0" xfId="0" applyNumberFormat="1" applyFont="1" applyAlignment="1">
      <alignment vertical="center"/>
    </xf>
    <xf numFmtId="164" fontId="168" fillId="0" borderId="0" xfId="574" applyNumberFormat="1" applyFont="1" applyAlignment="1">
      <alignment horizontal="center" vertical="center"/>
    </xf>
    <xf numFmtId="164" fontId="0" fillId="0" borderId="0" xfId="0" applyFont="1" applyAlignment="1">
      <alignment horizontal="right"/>
    </xf>
    <xf numFmtId="223" fontId="3" fillId="0" borderId="5" xfId="574" applyFont="1" applyBorder="1" applyAlignment="1">
      <alignment horizontal="center" vertical="center"/>
    </xf>
    <xf numFmtId="165" fontId="164" fillId="26" borderId="0" xfId="574" applyNumberFormat="1" applyFont="1" applyFill="1" applyAlignment="1">
      <alignment vertical="center"/>
    </xf>
    <xf numFmtId="165" fontId="74" fillId="26" borderId="0" xfId="574" applyNumberFormat="1" applyFont="1" applyFill="1" applyAlignment="1">
      <alignment vertical="center"/>
    </xf>
    <xf numFmtId="165" fontId="74" fillId="38" borderId="0" xfId="574" applyNumberFormat="1" applyFont="1" applyFill="1" applyAlignment="1">
      <alignment vertical="center"/>
    </xf>
    <xf numFmtId="3" fontId="74" fillId="2" borderId="0" xfId="574" applyNumberFormat="1" applyFont="1" applyFill="1" applyAlignment="1">
      <alignment horizontal="right" vertical="center"/>
    </xf>
    <xf numFmtId="223" fontId="3" fillId="2" borderId="0" xfId="574" applyFont="1" applyFill="1" applyAlignment="1">
      <alignment vertical="center"/>
    </xf>
    <xf numFmtId="223" fontId="74" fillId="2" borderId="0" xfId="574" applyFont="1" applyFill="1" applyAlignment="1">
      <alignment horizontal="left" vertical="center"/>
    </xf>
    <xf numFmtId="223" fontId="74" fillId="2" borderId="0" xfId="574" applyFont="1" applyFill="1" applyAlignment="1">
      <alignment horizontal="center" vertical="center"/>
    </xf>
    <xf numFmtId="223" fontId="74" fillId="2" borderId="0" xfId="574" applyFont="1" applyFill="1" applyAlignment="1">
      <alignment horizontal="left" vertical="center" indent="1"/>
    </xf>
    <xf numFmtId="223" fontId="40" fillId="2" borderId="0" xfId="574" applyFont="1" applyFill="1" applyAlignment="1">
      <alignment vertical="center"/>
    </xf>
    <xf numFmtId="223" fontId="117" fillId="2" borderId="0" xfId="574" applyFont="1" applyFill="1" applyAlignment="1">
      <alignment horizontal="left" vertical="center"/>
    </xf>
    <xf numFmtId="223" fontId="40" fillId="0" borderId="0" xfId="574" applyFont="1" applyAlignment="1">
      <alignment vertical="center"/>
    </xf>
    <xf numFmtId="223" fontId="74" fillId="2" borderId="4" xfId="574" applyFont="1" applyFill="1" applyBorder="1" applyAlignment="1">
      <alignment horizontal="left" vertical="center"/>
    </xf>
    <xf numFmtId="223" fontId="3" fillId="2" borderId="4" xfId="574" applyFont="1" applyFill="1" applyBorder="1" applyAlignment="1">
      <alignment horizontal="left" vertical="center"/>
    </xf>
    <xf numFmtId="223" fontId="74" fillId="2" borderId="4" xfId="574" applyFont="1" applyFill="1" applyBorder="1" applyAlignment="1">
      <alignment horizontal="center" vertical="center"/>
    </xf>
    <xf numFmtId="223" fontId="74" fillId="2" borderId="4" xfId="574" applyFont="1" applyFill="1" applyBorder="1" applyAlignment="1">
      <alignment vertical="center"/>
    </xf>
    <xf numFmtId="3" fontId="165" fillId="2" borderId="0" xfId="574" applyNumberFormat="1" applyFont="1" applyFill="1" applyAlignment="1">
      <alignment horizontal="right" vertical="center"/>
    </xf>
    <xf numFmtId="167" fontId="74" fillId="2" borderId="5" xfId="14" applyNumberFormat="1" applyFont="1" applyFill="1" applyBorder="1" applyAlignment="1">
      <alignment horizontal="center" vertical="center"/>
    </xf>
    <xf numFmtId="9" fontId="74" fillId="2" borderId="0" xfId="14" applyNumberFormat="1" applyFont="1" applyFill="1" applyAlignment="1">
      <alignment horizontal="right" vertical="center"/>
    </xf>
    <xf numFmtId="3" fontId="74" fillId="2" borderId="5" xfId="574" applyNumberFormat="1" applyFont="1" applyFill="1" applyBorder="1" applyAlignment="1">
      <alignment horizontal="center" vertical="center"/>
    </xf>
    <xf numFmtId="3" fontId="74" fillId="2" borderId="0" xfId="574" applyNumberFormat="1" applyFont="1" applyFill="1" applyAlignment="1">
      <alignment horizontal="center" vertical="center"/>
    </xf>
    <xf numFmtId="249" fontId="74" fillId="2" borderId="0" xfId="574" applyNumberFormat="1" applyFont="1" applyFill="1" applyAlignment="1">
      <alignment vertical="center"/>
    </xf>
    <xf numFmtId="9" fontId="74" fillId="2" borderId="0" xfId="574" applyNumberFormat="1" applyFont="1" applyFill="1" applyAlignment="1">
      <alignment horizontal="right" vertical="center"/>
    </xf>
    <xf numFmtId="164" fontId="74" fillId="0" borderId="0" xfId="0" applyFont="1" applyAlignment="1">
      <alignment horizontal="right" vertical="center"/>
    </xf>
    <xf numFmtId="223" fontId="3" fillId="0" borderId="0" xfId="574" applyFont="1" applyAlignment="1">
      <alignment vertical="center"/>
    </xf>
    <xf numFmtId="165" fontId="117" fillId="2" borderId="1" xfId="574" applyNumberFormat="1" applyFont="1" applyFill="1" applyBorder="1" applyAlignment="1">
      <alignment vertical="center"/>
    </xf>
    <xf numFmtId="10" fontId="74" fillId="2" borderId="0" xfId="14" applyNumberFormat="1" applyFont="1" applyFill="1" applyAlignment="1">
      <alignment vertical="center"/>
    </xf>
    <xf numFmtId="165" fontId="74" fillId="2" borderId="19" xfId="574" applyNumberFormat="1" applyFont="1" applyFill="1" applyBorder="1" applyAlignment="1">
      <alignment vertical="center"/>
    </xf>
    <xf numFmtId="223" fontId="74" fillId="2" borderId="19" xfId="574" applyFont="1" applyFill="1" applyBorder="1" applyAlignment="1">
      <alignment horizontal="left" vertical="center"/>
    </xf>
    <xf numFmtId="223" fontId="3" fillId="2" borderId="19" xfId="574" applyFont="1" applyFill="1" applyBorder="1" applyAlignment="1">
      <alignment horizontal="left" vertical="center"/>
    </xf>
    <xf numFmtId="1" fontId="74" fillId="2" borderId="0" xfId="574" applyNumberFormat="1" applyFont="1" applyFill="1" applyAlignment="1">
      <alignment vertical="center"/>
    </xf>
    <xf numFmtId="0" fontId="74" fillId="2" borderId="0" xfId="574" applyNumberFormat="1" applyFont="1" applyFill="1" applyAlignment="1">
      <alignment horizontal="left" vertical="center"/>
    </xf>
    <xf numFmtId="167" fontId="74" fillId="2" borderId="0" xfId="574" applyNumberFormat="1" applyFont="1" applyFill="1" applyAlignment="1">
      <alignment vertical="center"/>
    </xf>
    <xf numFmtId="199" fontId="74" fillId="2" borderId="0" xfId="10" applyNumberFormat="1" applyFont="1" applyFill="1" applyAlignment="1">
      <alignment vertical="center"/>
    </xf>
    <xf numFmtId="247" fontId="74" fillId="2" borderId="0" xfId="574" applyNumberFormat="1" applyFont="1" applyFill="1" applyAlignment="1">
      <alignment vertical="center"/>
    </xf>
    <xf numFmtId="0" fontId="74" fillId="0" borderId="0" xfId="574" applyNumberFormat="1" applyFont="1" applyAlignment="1">
      <alignment horizontal="left" vertical="center"/>
    </xf>
    <xf numFmtId="165" fontId="74" fillId="2" borderId="14" xfId="574" applyNumberFormat="1" applyFont="1" applyFill="1" applyBorder="1" applyAlignment="1">
      <alignment vertical="center"/>
    </xf>
    <xf numFmtId="165" fontId="117" fillId="2" borderId="14" xfId="574" applyNumberFormat="1" applyFont="1" applyFill="1" applyBorder="1" applyAlignment="1">
      <alignment vertical="center"/>
    </xf>
    <xf numFmtId="9" fontId="126" fillId="2" borderId="5" xfId="574" applyNumberFormat="1" applyFont="1" applyFill="1" applyBorder="1" applyAlignment="1">
      <alignment horizontal="center" vertical="center"/>
    </xf>
    <xf numFmtId="223" fontId="74" fillId="20" borderId="0" xfId="0" applyNumberFormat="1" applyFont="1" applyFill="1" applyAlignment="1">
      <alignment vertical="center"/>
    </xf>
    <xf numFmtId="223" fontId="74" fillId="2" borderId="0" xfId="0" applyNumberFormat="1" applyFont="1" applyFill="1" applyAlignment="1">
      <alignment vertical="center"/>
    </xf>
    <xf numFmtId="9" fontId="74" fillId="2" borderId="0" xfId="574" applyNumberFormat="1" applyFont="1" applyFill="1" applyAlignment="1">
      <alignment vertical="center"/>
    </xf>
    <xf numFmtId="3" fontId="74" fillId="0" borderId="0" xfId="574" applyNumberFormat="1" applyFont="1" applyAlignment="1">
      <alignment vertical="center"/>
    </xf>
    <xf numFmtId="165" fontId="74" fillId="0" borderId="0" xfId="574" applyNumberFormat="1" applyFont="1" applyAlignment="1">
      <alignment horizontal="left" vertical="center" indent="1"/>
    </xf>
    <xf numFmtId="223" fontId="3" fillId="0" borderId="0" xfId="574" applyFont="1" applyAlignment="1">
      <alignment horizontal="left" vertical="center"/>
    </xf>
    <xf numFmtId="223" fontId="74" fillId="0" borderId="0" xfId="574" applyFont="1" applyAlignment="1">
      <alignment vertical="center"/>
    </xf>
    <xf numFmtId="3" fontId="74" fillId="2" borderId="15" xfId="574" applyNumberFormat="1" applyFont="1" applyFill="1" applyBorder="1" applyAlignment="1">
      <alignment horizontal="right" vertical="center"/>
    </xf>
    <xf numFmtId="3" fontId="74" fillId="2" borderId="15" xfId="574" applyNumberFormat="1" applyFont="1" applyFill="1" applyBorder="1" applyAlignment="1">
      <alignment vertical="center"/>
    </xf>
    <xf numFmtId="223" fontId="117" fillId="0" borderId="0" xfId="574" applyFont="1" applyAlignment="1">
      <alignment horizontal="left" vertical="center"/>
    </xf>
    <xf numFmtId="223" fontId="3" fillId="2" borderId="15" xfId="574" applyFont="1" applyFill="1" applyBorder="1" applyAlignment="1">
      <alignment horizontal="left" vertical="center"/>
    </xf>
    <xf numFmtId="3" fontId="117" fillId="2" borderId="0" xfId="574" applyNumberFormat="1" applyFont="1" applyFill="1" applyAlignment="1">
      <alignment vertical="center"/>
    </xf>
    <xf numFmtId="9" fontId="3" fillId="2" borderId="0" xfId="14" applyNumberFormat="1" applyFont="1" applyFill="1" applyAlignment="1">
      <alignment vertical="center"/>
    </xf>
    <xf numFmtId="1" fontId="3" fillId="2" borderId="0" xfId="14" applyNumberFormat="1" applyFont="1" applyFill="1" applyAlignment="1">
      <alignment vertical="center"/>
    </xf>
    <xf numFmtId="3" fontId="74" fillId="2" borderId="1" xfId="574" applyNumberFormat="1" applyFont="1" applyFill="1" applyBorder="1" applyAlignment="1">
      <alignment horizontal="right" vertical="center"/>
    </xf>
    <xf numFmtId="165" fontId="40" fillId="2" borderId="0" xfId="574" applyNumberFormat="1" applyFont="1" applyFill="1" applyAlignment="1">
      <alignment vertical="center"/>
    </xf>
    <xf numFmtId="165" fontId="3" fillId="2" borderId="0" xfId="574" applyNumberFormat="1" applyFont="1" applyFill="1" applyAlignment="1">
      <alignment vertical="center"/>
    </xf>
    <xf numFmtId="165" fontId="127" fillId="22" borderId="0" xfId="574" applyNumberFormat="1" applyFont="1" applyFill="1" applyAlignment="1">
      <alignment vertical="center"/>
    </xf>
    <xf numFmtId="9" fontId="3" fillId="0" borderId="0" xfId="14" applyNumberFormat="1" applyFont="1" applyAlignment="1">
      <alignment vertical="center"/>
    </xf>
    <xf numFmtId="249" fontId="3" fillId="2" borderId="0" xfId="574" applyNumberFormat="1" applyFont="1" applyFill="1" applyAlignment="1">
      <alignment vertical="center"/>
    </xf>
    <xf numFmtId="250" fontId="3" fillId="2" borderId="0" xfId="574" applyNumberFormat="1" applyFont="1" applyFill="1" applyAlignment="1">
      <alignment vertical="center"/>
    </xf>
    <xf numFmtId="165" fontId="3" fillId="2" borderId="15" xfId="574" applyNumberFormat="1" applyFont="1" applyFill="1" applyBorder="1" applyAlignment="1">
      <alignment vertical="center"/>
    </xf>
    <xf numFmtId="250" fontId="74" fillId="2" borderId="0" xfId="574" applyNumberFormat="1" applyFont="1" applyFill="1" applyAlignment="1">
      <alignment vertical="center"/>
    </xf>
    <xf numFmtId="164" fontId="169" fillId="0" borderId="0" xfId="574" applyNumberFormat="1" applyFont="1" applyAlignment="1">
      <alignment vertical="center"/>
    </xf>
    <xf numFmtId="164" fontId="74" fillId="0" borderId="0" xfId="574" applyNumberFormat="1" applyFont="1" applyAlignment="1">
      <alignment vertical="center"/>
    </xf>
    <xf numFmtId="164" fontId="74" fillId="0" borderId="0" xfId="574" applyNumberFormat="1" applyFont="1" applyAlignment="1">
      <alignment horizontal="center" vertical="center"/>
    </xf>
    <xf numFmtId="164" fontId="74" fillId="0" borderId="0" xfId="574" applyNumberFormat="1" applyFont="1" applyAlignment="1">
      <alignment horizontal="left" vertical="center"/>
    </xf>
    <xf numFmtId="164" fontId="117" fillId="0" borderId="56" xfId="574" applyNumberFormat="1" applyFont="1" applyBorder="1" applyAlignment="1">
      <alignment vertical="center"/>
    </xf>
    <xf numFmtId="164" fontId="74" fillId="0" borderId="3" xfId="574" applyNumberFormat="1" applyFont="1" applyBorder="1" applyAlignment="1">
      <alignment horizontal="left" vertical="center"/>
    </xf>
    <xf numFmtId="164" fontId="74" fillId="0" borderId="3" xfId="574" applyNumberFormat="1" applyFont="1" applyBorder="1" applyAlignment="1">
      <alignment vertical="center"/>
    </xf>
    <xf numFmtId="9" fontId="74" fillId="0" borderId="3" xfId="14" applyNumberFormat="1" applyFont="1" applyBorder="1" applyAlignment="1">
      <alignment horizontal="center" vertical="center"/>
    </xf>
    <xf numFmtId="9" fontId="74" fillId="0" borderId="57" xfId="14" applyNumberFormat="1" applyFont="1" applyBorder="1" applyAlignment="1">
      <alignment horizontal="center" vertical="center"/>
    </xf>
    <xf numFmtId="164" fontId="74" fillId="0" borderId="51" xfId="574" applyNumberFormat="1" applyFont="1" applyBorder="1" applyAlignment="1">
      <alignment vertical="center"/>
    </xf>
    <xf numFmtId="3" fontId="74" fillId="0" borderId="0" xfId="574" applyNumberFormat="1" applyFont="1" applyAlignment="1">
      <alignment horizontal="center" vertical="center"/>
    </xf>
    <xf numFmtId="3" fontId="74" fillId="0" borderId="53" xfId="574" applyNumberFormat="1" applyFont="1" applyBorder="1" applyAlignment="1">
      <alignment horizontal="center" vertical="center"/>
    </xf>
    <xf numFmtId="223" fontId="74" fillId="0" borderId="0" xfId="574" applyFont="1" applyAlignment="1">
      <alignment horizontal="center" vertical="center"/>
    </xf>
    <xf numFmtId="223" fontId="74" fillId="0" borderId="53" xfId="574" applyFont="1" applyBorder="1" applyAlignment="1">
      <alignment horizontal="center" vertical="center"/>
    </xf>
    <xf numFmtId="164" fontId="74" fillId="0" borderId="37" xfId="574" applyNumberFormat="1" applyFont="1" applyBorder="1" applyAlignment="1">
      <alignment vertical="center"/>
    </xf>
    <xf numFmtId="9" fontId="74" fillId="0" borderId="0" xfId="14" applyNumberFormat="1" applyFont="1" applyAlignment="1">
      <alignment horizontal="center" vertical="center"/>
    </xf>
    <xf numFmtId="9" fontId="74" fillId="0" borderId="53" xfId="14" applyNumberFormat="1" applyFont="1" applyBorder="1" applyAlignment="1">
      <alignment horizontal="center" vertical="center"/>
    </xf>
    <xf numFmtId="164" fontId="74" fillId="2" borderId="0" xfId="574" applyNumberFormat="1" applyFont="1" applyFill="1" applyAlignment="1">
      <alignment vertical="center"/>
    </xf>
    <xf numFmtId="164" fontId="74" fillId="0" borderId="53" xfId="574" applyNumberFormat="1" applyFont="1" applyBorder="1" applyAlignment="1">
      <alignment horizontal="center" vertical="center"/>
    </xf>
    <xf numFmtId="164" fontId="74" fillId="0" borderId="54" xfId="574" applyNumberFormat="1" applyFont="1" applyBorder="1" applyAlignment="1">
      <alignment vertical="center"/>
    </xf>
    <xf numFmtId="164" fontId="74" fillId="0" borderId="15" xfId="574" applyNumberFormat="1" applyFont="1" applyBorder="1" applyAlignment="1">
      <alignment horizontal="left" vertical="center"/>
    </xf>
    <xf numFmtId="164" fontId="74" fillId="0" borderId="15" xfId="574" applyNumberFormat="1" applyFont="1" applyBorder="1" applyAlignment="1">
      <alignment vertical="center"/>
    </xf>
    <xf numFmtId="223" fontId="40" fillId="2" borderId="15" xfId="574" applyFont="1" applyFill="1" applyBorder="1" applyAlignment="1">
      <alignment vertical="center"/>
    </xf>
    <xf numFmtId="223" fontId="40" fillId="2" borderId="55" xfId="574" applyFont="1" applyFill="1" applyBorder="1" applyAlignment="1">
      <alignment vertical="center"/>
    </xf>
    <xf numFmtId="165" fontId="117" fillId="2" borderId="56" xfId="574" applyNumberFormat="1" applyFont="1" applyFill="1" applyBorder="1" applyAlignment="1">
      <alignment vertical="center"/>
    </xf>
    <xf numFmtId="9" fontId="74" fillId="2" borderId="53" xfId="14" applyNumberFormat="1" applyFont="1" applyFill="1" applyBorder="1" applyAlignment="1">
      <alignment vertical="center"/>
    </xf>
    <xf numFmtId="9" fontId="74" fillId="2" borderId="15" xfId="14" applyNumberFormat="1" applyFont="1" applyFill="1" applyBorder="1" applyAlignment="1">
      <alignment vertical="center"/>
    </xf>
    <xf numFmtId="9" fontId="74" fillId="2" borderId="55" xfId="14" applyNumberFormat="1" applyFont="1" applyFill="1" applyBorder="1" applyAlignment="1">
      <alignment vertical="center"/>
    </xf>
    <xf numFmtId="164" fontId="117" fillId="0" borderId="0" xfId="574" applyNumberFormat="1" applyFont="1" applyAlignment="1">
      <alignment vertical="center"/>
    </xf>
    <xf numFmtId="165" fontId="71" fillId="22" borderId="0" xfId="574" applyNumberFormat="1" applyFont="1" applyFill="1" applyAlignment="1">
      <alignment horizontal="left" vertical="center"/>
    </xf>
    <xf numFmtId="164" fontId="37" fillId="0" borderId="0" xfId="574" applyNumberFormat="1" applyFont="1" applyAlignment="1">
      <alignment vertical="center"/>
    </xf>
    <xf numFmtId="223" fontId="37" fillId="2" borderId="0" xfId="574" applyFont="1" applyFill="1" applyAlignment="1">
      <alignment vertical="center"/>
    </xf>
    <xf numFmtId="165" fontId="37" fillId="0" borderId="15" xfId="806" applyNumberFormat="1" applyFont="1" applyBorder="1" applyAlignment="1">
      <alignment vertical="center"/>
    </xf>
    <xf numFmtId="9" fontId="37" fillId="0" borderId="15" xfId="14" applyNumberFormat="1" applyFont="1" applyBorder="1" applyAlignment="1">
      <alignment vertical="center"/>
    </xf>
    <xf numFmtId="223" fontId="117" fillId="2" borderId="15" xfId="574" applyFont="1" applyFill="1" applyBorder="1" applyAlignment="1">
      <alignment vertical="center"/>
    </xf>
    <xf numFmtId="164" fontId="117" fillId="0" borderId="0" xfId="574" applyNumberFormat="1" applyFont="1" applyAlignment="1">
      <alignment horizontal="center" vertical="center"/>
    </xf>
    <xf numFmtId="165" fontId="37" fillId="0" borderId="0" xfId="806" applyNumberFormat="1" applyFont="1" applyAlignment="1">
      <alignment vertical="center"/>
    </xf>
    <xf numFmtId="9" fontId="37" fillId="0" borderId="0" xfId="14" applyNumberFormat="1" applyFont="1" applyAlignment="1">
      <alignment vertical="center"/>
    </xf>
    <xf numFmtId="223" fontId="117" fillId="2" borderId="0" xfId="574" applyFont="1" applyFill="1" applyAlignment="1">
      <alignment vertical="center"/>
    </xf>
    <xf numFmtId="1" fontId="37" fillId="0" borderId="0" xfId="806" applyNumberFormat="1" applyFont="1" applyAlignment="1">
      <alignment vertical="center"/>
    </xf>
    <xf numFmtId="164" fontId="117" fillId="0" borderId="58" xfId="574" applyNumberFormat="1" applyFont="1" applyBorder="1" applyAlignment="1">
      <alignment horizontal="center" vertical="center" wrapText="1"/>
    </xf>
    <xf numFmtId="164" fontId="127" fillId="0" borderId="0" xfId="574" applyNumberFormat="1" applyFont="1" applyAlignment="1">
      <alignment vertical="center"/>
    </xf>
    <xf numFmtId="0" fontId="171" fillId="2" borderId="5" xfId="574" applyNumberFormat="1" applyFont="1" applyFill="1" applyBorder="1" applyAlignment="1">
      <alignment horizontal="center" vertical="center"/>
    </xf>
    <xf numFmtId="164" fontId="172" fillId="0" borderId="0" xfId="574" applyNumberFormat="1" applyFont="1" applyAlignment="1">
      <alignment horizontal="center" vertical="center"/>
    </xf>
    <xf numFmtId="164" fontId="74" fillId="0" borderId="9" xfId="574" applyNumberFormat="1" applyFont="1" applyBorder="1" applyAlignment="1">
      <alignment horizontal="center" vertical="center"/>
    </xf>
    <xf numFmtId="164" fontId="74" fillId="0" borderId="59" xfId="574" applyNumberFormat="1" applyFont="1" applyBorder="1" applyAlignment="1">
      <alignment horizontal="center" vertical="center"/>
    </xf>
    <xf numFmtId="164" fontId="3" fillId="0" borderId="0" xfId="574" applyNumberFormat="1" applyFont="1" applyAlignment="1">
      <alignment vertical="center"/>
    </xf>
    <xf numFmtId="165" fontId="3" fillId="0" borderId="0" xfId="806" applyNumberFormat="1" applyFont="1" applyAlignment="1">
      <alignment vertical="center"/>
    </xf>
    <xf numFmtId="1" fontId="74" fillId="0" borderId="0" xfId="574" applyNumberFormat="1" applyFont="1" applyAlignment="1">
      <alignment vertical="center"/>
    </xf>
    <xf numFmtId="0" fontId="171" fillId="2" borderId="0" xfId="574" applyNumberFormat="1" applyFont="1" applyFill="1" applyAlignment="1">
      <alignment vertical="center"/>
    </xf>
    <xf numFmtId="165" fontId="171" fillId="2" borderId="0" xfId="574" applyNumberFormat="1" applyFont="1" applyFill="1" applyAlignment="1">
      <alignment vertical="center"/>
    </xf>
    <xf numFmtId="167" fontId="117" fillId="2" borderId="0" xfId="14" applyNumberFormat="1" applyFont="1" applyFill="1" applyAlignment="1">
      <alignment horizontal="right" vertical="center"/>
    </xf>
    <xf numFmtId="9" fontId="74" fillId="2" borderId="0" xfId="14" applyNumberFormat="1" applyFont="1" applyFill="1" applyAlignment="1">
      <alignment horizontal="center" vertical="center"/>
    </xf>
    <xf numFmtId="165" fontId="173" fillId="2" borderId="0" xfId="574" applyNumberFormat="1" applyFont="1" applyFill="1" applyAlignment="1">
      <alignment vertical="center"/>
    </xf>
    <xf numFmtId="165" fontId="117" fillId="2" borderId="15" xfId="574" applyNumberFormat="1" applyFont="1" applyFill="1" applyBorder="1" applyAlignment="1">
      <alignment vertical="center"/>
    </xf>
    <xf numFmtId="167" fontId="117" fillId="2" borderId="15" xfId="14" applyNumberFormat="1" applyFont="1" applyFill="1" applyBorder="1" applyAlignment="1">
      <alignment horizontal="center" vertical="center"/>
    </xf>
    <xf numFmtId="167" fontId="117" fillId="0" borderId="0" xfId="14" applyNumberFormat="1" applyFont="1" applyAlignment="1">
      <alignment horizontal="right" vertical="center"/>
    </xf>
    <xf numFmtId="9" fontId="171" fillId="2" borderId="0" xfId="574" applyNumberFormat="1" applyFont="1" applyFill="1" applyAlignment="1">
      <alignment vertical="center"/>
    </xf>
    <xf numFmtId="167" fontId="74" fillId="2" borderId="58" xfId="14" applyNumberFormat="1" applyFont="1" applyFill="1" applyBorder="1" applyAlignment="1">
      <alignment horizontal="center" vertical="center"/>
    </xf>
    <xf numFmtId="167" fontId="74" fillId="2" borderId="9" xfId="14" applyNumberFormat="1" applyFont="1" applyFill="1" applyBorder="1" applyAlignment="1">
      <alignment horizontal="center" vertical="center"/>
    </xf>
    <xf numFmtId="167" fontId="74" fillId="2" borderId="59" xfId="14" applyNumberFormat="1" applyFont="1" applyFill="1" applyBorder="1" applyAlignment="1">
      <alignment horizontal="center" vertical="center"/>
    </xf>
    <xf numFmtId="9" fontId="74" fillId="2" borderId="3" xfId="14" applyNumberFormat="1" applyFont="1" applyFill="1" applyBorder="1" applyAlignment="1">
      <alignment vertical="center"/>
    </xf>
    <xf numFmtId="164" fontId="117" fillId="19" borderId="1" xfId="574" applyNumberFormat="1" applyFont="1" applyFill="1" applyBorder="1" applyAlignment="1">
      <alignment horizontal="center" vertical="center"/>
    </xf>
    <xf numFmtId="1" fontId="117" fillId="2" borderId="0" xfId="574" applyNumberFormat="1" applyFont="1" applyFill="1" applyAlignment="1">
      <alignment vertical="center"/>
    </xf>
    <xf numFmtId="165" fontId="127" fillId="0" borderId="0" xfId="574" applyNumberFormat="1" applyFont="1" applyAlignment="1">
      <alignment vertical="center"/>
    </xf>
    <xf numFmtId="165" fontId="74" fillId="2" borderId="58" xfId="574" applyNumberFormat="1" applyFont="1" applyFill="1" applyBorder="1" applyAlignment="1">
      <alignment horizontal="right" vertical="center"/>
    </xf>
    <xf numFmtId="9" fontId="74" fillId="2" borderId="57" xfId="14" applyNumberFormat="1" applyFont="1" applyFill="1" applyBorder="1" applyAlignment="1">
      <alignment vertical="center"/>
    </xf>
    <xf numFmtId="167" fontId="74" fillId="2" borderId="59" xfId="14" applyNumberFormat="1" applyFont="1" applyFill="1" applyBorder="1" applyAlignment="1">
      <alignment horizontal="right" vertical="center"/>
    </xf>
    <xf numFmtId="167" fontId="74" fillId="2" borderId="15" xfId="14" applyNumberFormat="1" applyFont="1" applyFill="1" applyBorder="1" applyAlignment="1">
      <alignment horizontal="right" vertical="center"/>
    </xf>
    <xf numFmtId="167" fontId="74" fillId="2" borderId="55" xfId="14" applyNumberFormat="1" applyFont="1" applyFill="1" applyBorder="1" applyAlignment="1">
      <alignment horizontal="right" vertical="center"/>
    </xf>
    <xf numFmtId="167" fontId="74" fillId="2" borderId="0" xfId="14" applyNumberFormat="1" applyFont="1" applyFill="1" applyAlignment="1">
      <alignment horizontal="right" vertical="center"/>
    </xf>
    <xf numFmtId="245" fontId="171" fillId="2" borderId="0" xfId="10" applyNumberFormat="1" applyFont="1" applyFill="1" applyAlignment="1">
      <alignment vertical="center"/>
    </xf>
    <xf numFmtId="164" fontId="117" fillId="0" borderId="3" xfId="574" applyNumberFormat="1" applyFont="1" applyBorder="1" applyAlignment="1">
      <alignment horizontal="center" vertical="center"/>
    </xf>
    <xf numFmtId="245" fontId="74" fillId="2" borderId="0" xfId="10" applyNumberFormat="1" applyFont="1" applyFill="1" applyAlignment="1">
      <alignment horizontal="center" vertical="center"/>
    </xf>
    <xf numFmtId="9" fontId="74" fillId="2" borderId="1" xfId="14" applyNumberFormat="1" applyFont="1" applyFill="1" applyBorder="1" applyAlignment="1">
      <alignment vertical="center"/>
    </xf>
    <xf numFmtId="199" fontId="74" fillId="2" borderId="1" xfId="10" applyNumberFormat="1" applyFont="1" applyFill="1" applyBorder="1" applyAlignment="1">
      <alignment vertical="center"/>
    </xf>
    <xf numFmtId="1" fontId="74" fillId="2" borderId="51" xfId="574" applyNumberFormat="1" applyFont="1" applyFill="1" applyBorder="1" applyAlignment="1">
      <alignment vertical="center"/>
    </xf>
    <xf numFmtId="1" fontId="74" fillId="2" borderId="1" xfId="574" applyNumberFormat="1" applyFont="1" applyFill="1" applyBorder="1" applyAlignment="1">
      <alignment vertical="center"/>
    </xf>
    <xf numFmtId="9" fontId="74" fillId="2" borderId="51" xfId="14" applyNumberFormat="1" applyFont="1" applyFill="1" applyBorder="1" applyAlignment="1">
      <alignment vertical="center"/>
    </xf>
    <xf numFmtId="9" fontId="74" fillId="2" borderId="52" xfId="14" applyNumberFormat="1" applyFont="1" applyFill="1" applyBorder="1" applyAlignment="1">
      <alignment vertical="center"/>
    </xf>
    <xf numFmtId="1" fontId="74" fillId="2" borderId="37" xfId="574" applyNumberFormat="1" applyFont="1" applyFill="1" applyBorder="1" applyAlignment="1">
      <alignment vertical="center"/>
    </xf>
    <xf numFmtId="9" fontId="74" fillId="2" borderId="37" xfId="14" applyNumberFormat="1" applyFont="1" applyFill="1" applyBorder="1" applyAlignment="1">
      <alignment vertical="center"/>
    </xf>
    <xf numFmtId="199" fontId="74" fillId="2" borderId="15" xfId="10" applyNumberFormat="1" applyFont="1" applyFill="1" applyBorder="1" applyAlignment="1">
      <alignment vertical="center"/>
    </xf>
    <xf numFmtId="1" fontId="74" fillId="2" borderId="54" xfId="574" applyNumberFormat="1" applyFont="1" applyFill="1" applyBorder="1" applyAlignment="1">
      <alignment vertical="center"/>
    </xf>
    <xf numFmtId="1" fontId="74" fillId="2" borderId="15" xfId="574" applyNumberFormat="1" applyFont="1" applyFill="1" applyBorder="1" applyAlignment="1">
      <alignment vertical="center"/>
    </xf>
    <xf numFmtId="9" fontId="74" fillId="2" borderId="54" xfId="14" applyNumberFormat="1" applyFont="1" applyFill="1" applyBorder="1" applyAlignment="1">
      <alignment vertical="center"/>
    </xf>
    <xf numFmtId="164" fontId="162" fillId="0" borderId="3" xfId="574" applyNumberFormat="1" applyFont="1" applyBorder="1" applyAlignment="1">
      <alignment horizontal="center" vertical="center"/>
    </xf>
    <xf numFmtId="164" fontId="162" fillId="0" borderId="15" xfId="574" applyNumberFormat="1" applyFont="1" applyBorder="1" applyAlignment="1">
      <alignment horizontal="center" vertical="center"/>
    </xf>
    <xf numFmtId="167" fontId="74" fillId="2" borderId="0" xfId="14" applyNumberFormat="1" applyFont="1" applyFill="1" applyAlignment="1">
      <alignment horizontal="center" vertical="center"/>
    </xf>
  </cellXfs>
  <cellStyles count="1186">
    <cellStyle name="_x0006_" xfId="1" xr:uid="{00000000-0005-0000-0000-000006000000}"/>
    <cellStyle name="_x000a_shell=progma" xfId="3" xr:uid="{00000000-0005-0000-0000-000008000000}"/>
    <cellStyle name="_x000a_shell=progma 2" xfId="4" xr:uid="{00000000-0005-0000-0000-000009000000}"/>
    <cellStyle name=".Assumption" xfId="5" xr:uid="{00000000-0005-0000-0000-00000A000000}"/>
    <cellStyle name=".Pickup" xfId="6" xr:uid="{00000000-0005-0000-0000-00000B000000}"/>
    <cellStyle name=".Warning" xfId="7" xr:uid="{00000000-0005-0000-0000-00000C000000}"/>
    <cellStyle name="?" xfId="64" xr:uid="{00000000-0005-0000-0000-000045000000}"/>
    <cellStyle name="????" xfId="65" xr:uid="{00000000-0005-0000-0000-000046000000}"/>
    <cellStyle name="?????" xfId="66" xr:uid="{00000000-0005-0000-0000-000047000000}"/>
    <cellStyle name="????????" xfId="67" xr:uid="{00000000-0005-0000-0000-000048000000}"/>
    <cellStyle name="?????????????" xfId="70" xr:uid="{00000000-0005-0000-0000-00004B000000}"/>
    <cellStyle name="??????????_BOPENGC" xfId="71" xr:uid="{00000000-0005-0000-0000-00004C000000}"/>
    <cellStyle name="?????????1" xfId="68" xr:uid="{00000000-0005-0000-0000-000049000000}"/>
    <cellStyle name="?????????2" xfId="69" xr:uid="{00000000-0005-0000-0000-00004A000000}"/>
    <cellStyle name="????????_BOPENGC" xfId="72" xr:uid="{00000000-0005-0000-0000-00004D000000}"/>
    <cellStyle name="???????_BOPENGC" xfId="73" xr:uid="{00000000-0005-0000-0000-00004E000000}"/>
    <cellStyle name="??_0-3?????" xfId="74" xr:uid="{00000000-0005-0000-0000-00004F000000}"/>
    <cellStyle name="_080808 McK Al data" xfId="75" xr:uid="{00000000-0005-0000-0000-000050000000}"/>
    <cellStyle name="_BUP057_Alumina cost curve escalation to 2015 v3" xfId="76" xr:uid="{00000000-0005-0000-0000-000051000000}"/>
    <cellStyle name="_Gas Details" xfId="77" xr:uid="{00000000-0005-0000-0000-000052000000}"/>
    <cellStyle name="_Gas Details_Protocol" xfId="78" xr:uid="{00000000-0005-0000-0000-000053000000}"/>
    <cellStyle name="_Gas Details_Protocol back-up" xfId="79" xr:uid="{00000000-0005-0000-0000-000054000000}"/>
    <cellStyle name="_Gas Details_Protocol_Protocol back-up" xfId="80" xr:uid="{00000000-0005-0000-0000-000055000000}"/>
    <cellStyle name="_Happy Camper prodtons_-750A_$10_camp_c" xfId="81" xr:uid="{00000000-0005-0000-0000-000056000000}"/>
    <cellStyle name="_Matrix of Options July07 (NW Mods)" xfId="82" xr:uid="{00000000-0005-0000-0000-000057000000}"/>
    <cellStyle name="_Matrix of options with summary - with sorting macro NW8.0 (2)" xfId="83" xr:uid="{00000000-0005-0000-0000-000058000000}"/>
    <cellStyle name="_Matrix of options with summary - with sorting macro NW9.0" xfId="84" xr:uid="{00000000-0005-0000-0000-000059000000}"/>
    <cellStyle name="_Matrix of options with summary NW7 0" xfId="85" xr:uid="{00000000-0005-0000-0000-00005A000000}"/>
    <cellStyle name="_Matrix of options with summary NW7.0" xfId="86" xr:uid="{00000000-0005-0000-0000-00005B000000}"/>
    <cellStyle name="_Matrix of options with summary NW7.0(cases only)" xfId="87" xr:uid="{00000000-0005-0000-0000-00005C000000}"/>
    <cellStyle name="_Matrix of options with summary NW8.0 cases with list" xfId="88" xr:uid="{00000000-0005-0000-0000-00005D000000}"/>
    <cellStyle name="_No. 09 Power cost forecast by province" xfId="89" xr:uid="{00000000-0005-0000-0000-00005E000000}"/>
    <cellStyle name="_No. 09 Power cost forecast by province_Protocol back-up" xfId="90" xr:uid="{00000000-0005-0000-0000-00005F000000}"/>
    <cellStyle name="_PCBC output template for Damian Rogers (20080806) (2)" xfId="91" xr:uid="{00000000-0005-0000-0000-000060000000}"/>
    <cellStyle name="_PCBC output template for Damian Rogers (20080806) (2) 2" xfId="92" xr:uid="{00000000-0005-0000-0000-000061000000}"/>
    <cellStyle name="_PCBC output template for Damian Rogers (20080806) (2) 2 2" xfId="93" xr:uid="{00000000-0005-0000-0000-000062000000}"/>
    <cellStyle name="_PCBC output template for Damian Rogers (20080806) (2) 2_Kosovo" xfId="94" xr:uid="{00000000-0005-0000-0000-000063000000}"/>
    <cellStyle name="_PCBC output template for Damian Rogers (20080806) (2) 3" xfId="95" xr:uid="{00000000-0005-0000-0000-000064000000}"/>
    <cellStyle name="_prodtons_L1_10_220k_150dpts" xfId="96" xr:uid="{00000000-0005-0000-0000-000065000000}"/>
    <cellStyle name="_RT Data Extraction Oyu Tolgoi 11 Nov 07 V8" xfId="97" xr:uid="{00000000-0005-0000-0000-000066000000}"/>
    <cellStyle name="_Sheet1" xfId="98" xr:uid="{00000000-0005-0000-0000-000067000000}"/>
    <cellStyle name="_Sheet1_Protocol back-up" xfId="99" xr:uid="{00000000-0005-0000-0000-000068000000}"/>
    <cellStyle name="=C:\WINNT\SYSTEM32\COMMAND.COM" xfId="61" xr:uid="{00000000-0005-0000-0000-000042000000}"/>
    <cellStyle name="=C:\WINNT35\SYSTEM32\COMMAND.COM" xfId="60" xr:uid="{00000000-0005-0000-0000-000041000000}"/>
    <cellStyle name="=D:\WINNT\SYSTEM32\COMMAND.COM" xfId="62" xr:uid="{00000000-0005-0000-0000-000043000000}"/>
    <cellStyle name="=D:\WINNT\SYSTEM32\COMMAND.COM 2" xfId="63" xr:uid="{00000000-0005-0000-0000-000044000000}"/>
    <cellStyle name="02_Rule above and below" xfId="8" xr:uid="{00000000-0005-0000-0000-00000D000000}"/>
    <cellStyle name="03_Table Notes" xfId="9" xr:uid="{00000000-0005-0000-0000-00000E000000}"/>
    <cellStyle name="04_Bold table figs" xfId="10" xr:uid="{00000000-0005-0000-0000-00000F000000}"/>
    <cellStyle name="05_table figs" xfId="11" xr:uid="{00000000-0005-0000-0000-000010000000}"/>
    <cellStyle name="06_per cent" xfId="12" xr:uid="{00000000-0005-0000-0000-000011000000}"/>
    <cellStyle name="07_Bold table text" xfId="16" xr:uid="{00000000-0005-0000-0000-000015000000}"/>
    <cellStyle name="0752-93035" xfId="13" xr:uid="{00000000-0005-0000-0000-000012000000}"/>
    <cellStyle name="0752-93035 2" xfId="14" xr:uid="{00000000-0005-0000-0000-000013000000}"/>
    <cellStyle name="0752-93035 3" xfId="15" xr:uid="{00000000-0005-0000-0000-000014000000}"/>
    <cellStyle name="1 Date Input" xfId="17" xr:uid="{00000000-0005-0000-0000-000016000000}"/>
    <cellStyle name="1 indent" xfId="18" xr:uid="{00000000-0005-0000-0000-000017000000}"/>
    <cellStyle name="1 indent 2" xfId="19" xr:uid="{00000000-0005-0000-0000-000018000000}"/>
    <cellStyle name="1 Initial Value" xfId="20" xr:uid="{00000000-0005-0000-0000-000019000000}"/>
    <cellStyle name="1 Normal Input" xfId="21" xr:uid="{00000000-0005-0000-0000-00001A000000}"/>
    <cellStyle name="1 Percent Input" xfId="22" xr:uid="{00000000-0005-0000-0000-00001B000000}"/>
    <cellStyle name="1 Ratio Input" xfId="23" xr:uid="{00000000-0005-0000-0000-00001C000000}"/>
    <cellStyle name="1 Real Input" xfId="24" xr:uid="{00000000-0005-0000-0000-00001D000000}"/>
    <cellStyle name="1 Title 1" xfId="25" xr:uid="{00000000-0005-0000-0000-00001E000000}"/>
    <cellStyle name="1 Title 2" xfId="26" xr:uid="{00000000-0005-0000-0000-00001F000000}"/>
    <cellStyle name="1 Title 3" xfId="27" xr:uid="{00000000-0005-0000-0000-000020000000}"/>
    <cellStyle name="1 Title 4" xfId="28" xr:uid="{00000000-0005-0000-0000-000021000000}"/>
    <cellStyle name="2 Date" xfId="29" xr:uid="{00000000-0005-0000-0000-000022000000}"/>
    <cellStyle name="2 indents" xfId="30" xr:uid="{00000000-0005-0000-0000-000023000000}"/>
    <cellStyle name="2 indents 2" xfId="31" xr:uid="{00000000-0005-0000-0000-000024000000}"/>
    <cellStyle name="2 Percent" xfId="32" xr:uid="{00000000-0005-0000-0000-000025000000}"/>
    <cellStyle name="2 Ratio" xfId="33" xr:uid="{00000000-0005-0000-0000-000026000000}"/>
    <cellStyle name="2 Real" xfId="34" xr:uid="{00000000-0005-0000-0000-000027000000}"/>
    <cellStyle name="20% - Akzent1" xfId="35" xr:uid="{00000000-0005-0000-0000-000028000000}"/>
    <cellStyle name="20% - Akzent2" xfId="36" xr:uid="{00000000-0005-0000-0000-000029000000}"/>
    <cellStyle name="20% - Akzent3" xfId="37" xr:uid="{00000000-0005-0000-0000-00002A000000}"/>
    <cellStyle name="20% - Akzent4" xfId="38" xr:uid="{00000000-0005-0000-0000-00002B000000}"/>
    <cellStyle name="20% - Akzent5" xfId="39" xr:uid="{00000000-0005-0000-0000-00002C000000}"/>
    <cellStyle name="20% - Akzent6" xfId="40" xr:uid="{00000000-0005-0000-0000-00002D000000}"/>
    <cellStyle name="2x indented GHG Textfiels" xfId="41" xr:uid="{00000000-0005-0000-0000-00002E000000}"/>
    <cellStyle name="3 indents" xfId="42" xr:uid="{00000000-0005-0000-0000-00002F000000}"/>
    <cellStyle name="3 indents 2" xfId="43" xr:uid="{00000000-0005-0000-0000-000030000000}"/>
    <cellStyle name="4 indents" xfId="44" xr:uid="{00000000-0005-0000-0000-000031000000}"/>
    <cellStyle name="4 indents 2" xfId="45" xr:uid="{00000000-0005-0000-0000-000032000000}"/>
    <cellStyle name="40% - Akzent1" xfId="46" xr:uid="{00000000-0005-0000-0000-000033000000}"/>
    <cellStyle name="40% - Akzent2" xfId="47" xr:uid="{00000000-0005-0000-0000-000034000000}"/>
    <cellStyle name="40% - Akzent3" xfId="48" xr:uid="{00000000-0005-0000-0000-000035000000}"/>
    <cellStyle name="40% - Akzent4" xfId="49" xr:uid="{00000000-0005-0000-0000-000036000000}"/>
    <cellStyle name="40% - Akzent5" xfId="50" xr:uid="{00000000-0005-0000-0000-000037000000}"/>
    <cellStyle name="40% - Akzent6" xfId="51" xr:uid="{00000000-0005-0000-0000-000038000000}"/>
    <cellStyle name="5 indents" xfId="52" xr:uid="{00000000-0005-0000-0000-000039000000}"/>
    <cellStyle name="5x indented GHG Textfiels" xfId="53" xr:uid="{00000000-0005-0000-0000-00003A000000}"/>
    <cellStyle name="60% - Akzent1" xfId="54" xr:uid="{00000000-0005-0000-0000-00003B000000}"/>
    <cellStyle name="60% - Akzent2" xfId="55" xr:uid="{00000000-0005-0000-0000-00003C000000}"/>
    <cellStyle name="60% - Akzent3" xfId="56" xr:uid="{00000000-0005-0000-0000-00003D000000}"/>
    <cellStyle name="60% - Akzent4" xfId="57" xr:uid="{00000000-0005-0000-0000-00003E000000}"/>
    <cellStyle name="60% - Akzent5" xfId="58" xr:uid="{00000000-0005-0000-0000-00003F000000}"/>
    <cellStyle name="60% - Akzent6" xfId="59" xr:uid="{00000000-0005-0000-0000-000040000000}"/>
    <cellStyle name="_x0007_Á" xfId="2" xr:uid="{00000000-0005-0000-0000-000007000000}"/>
    <cellStyle name="Accent1 - 20%" xfId="100" xr:uid="{00000000-0005-0000-0000-000069000000}"/>
    <cellStyle name="Accent1 - 40%" xfId="101" xr:uid="{00000000-0005-0000-0000-00006A000000}"/>
    <cellStyle name="Accent1 - 60%" xfId="102" xr:uid="{00000000-0005-0000-0000-00006B000000}"/>
    <cellStyle name="Accent2 - 20%" xfId="103" xr:uid="{00000000-0005-0000-0000-00006C000000}"/>
    <cellStyle name="Accent2 - 40%" xfId="104" xr:uid="{00000000-0005-0000-0000-00006D000000}"/>
    <cellStyle name="Accent2 - 60%" xfId="105" xr:uid="{00000000-0005-0000-0000-00006E000000}"/>
    <cellStyle name="Accent3 - 20%" xfId="106" xr:uid="{00000000-0005-0000-0000-00006F000000}"/>
    <cellStyle name="Accent3 - 40%" xfId="107" xr:uid="{00000000-0005-0000-0000-000070000000}"/>
    <cellStyle name="Accent3 - 60%" xfId="108" xr:uid="{00000000-0005-0000-0000-000071000000}"/>
    <cellStyle name="Accent4 - 20%" xfId="109" xr:uid="{00000000-0005-0000-0000-000072000000}"/>
    <cellStyle name="Accent4 - 40%" xfId="110" xr:uid="{00000000-0005-0000-0000-000073000000}"/>
    <cellStyle name="Accent4 - 60%" xfId="111" xr:uid="{00000000-0005-0000-0000-000074000000}"/>
    <cellStyle name="Accent5 - 20%" xfId="112" xr:uid="{00000000-0005-0000-0000-000075000000}"/>
    <cellStyle name="Accent5 - 40%" xfId="113" xr:uid="{00000000-0005-0000-0000-000076000000}"/>
    <cellStyle name="Accent5 - 60%" xfId="114" xr:uid="{00000000-0005-0000-0000-000077000000}"/>
    <cellStyle name="Accent6 - 20%" xfId="115" xr:uid="{00000000-0005-0000-0000-000078000000}"/>
    <cellStyle name="Accent6 - 40%" xfId="116" xr:uid="{00000000-0005-0000-0000-000079000000}"/>
    <cellStyle name="Accent6 - 60%" xfId="117" xr:uid="{00000000-0005-0000-0000-00007A000000}"/>
    <cellStyle name="Adjustable" xfId="118" xr:uid="{00000000-0005-0000-0000-00007B000000}"/>
    <cellStyle name="AFE" xfId="119" xr:uid="{00000000-0005-0000-0000-00007C000000}"/>
    <cellStyle name="AggblueBoldCels" xfId="120" xr:uid="{00000000-0005-0000-0000-00007D000000}"/>
    <cellStyle name="AggblueCels" xfId="121" xr:uid="{00000000-0005-0000-0000-00007E000000}"/>
    <cellStyle name="AggBoldCells" xfId="122" xr:uid="{00000000-0005-0000-0000-00007F000000}"/>
    <cellStyle name="AggCels" xfId="123" xr:uid="{00000000-0005-0000-0000-000080000000}"/>
    <cellStyle name="AggGreen" xfId="124" xr:uid="{00000000-0005-0000-0000-000081000000}"/>
    <cellStyle name="AggGreen12" xfId="125" xr:uid="{00000000-0005-0000-0000-000082000000}"/>
    <cellStyle name="AggOrange" xfId="126" xr:uid="{00000000-0005-0000-0000-000083000000}"/>
    <cellStyle name="AggOrange9" xfId="127" xr:uid="{00000000-0005-0000-0000-000084000000}"/>
    <cellStyle name="AggOrangeLB_2x" xfId="128" xr:uid="{00000000-0005-0000-0000-000085000000}"/>
    <cellStyle name="AggOrangeLBorder" xfId="129" xr:uid="{00000000-0005-0000-0000-000086000000}"/>
    <cellStyle name="AggOrangeRBorder" xfId="130" xr:uid="{00000000-0005-0000-0000-000087000000}"/>
    <cellStyle name="Akzent1" xfId="131" xr:uid="{00000000-0005-0000-0000-000088000000}"/>
    <cellStyle name="Akzent2" xfId="132" xr:uid="{00000000-0005-0000-0000-000089000000}"/>
    <cellStyle name="Akzent3" xfId="133" xr:uid="{00000000-0005-0000-0000-00008A000000}"/>
    <cellStyle name="Akzent4" xfId="134" xr:uid="{00000000-0005-0000-0000-00008B000000}"/>
    <cellStyle name="Akzent5" xfId="135" xr:uid="{00000000-0005-0000-0000-00008C000000}"/>
    <cellStyle name="Akzent6" xfId="136" xr:uid="{00000000-0005-0000-0000-00008D000000}"/>
    <cellStyle name="AMN" xfId="137" xr:uid="{00000000-0005-0000-0000-00008E000000}"/>
    <cellStyle name="ANCLAS,REZONES Y SUS PARTES,DE FUNDICION,DE HIERRO O DE ACERO" xfId="138" xr:uid="{00000000-0005-0000-0000-00008F000000}"/>
    <cellStyle name="Array" xfId="139" xr:uid="{00000000-0005-0000-0000-000090000000}"/>
    <cellStyle name="Array Enter" xfId="140" xr:uid="{00000000-0005-0000-0000-000091000000}"/>
    <cellStyle name="Ausgabe" xfId="141" xr:uid="{00000000-0005-0000-0000-000092000000}"/>
    <cellStyle name="b" xfId="142" xr:uid="{00000000-0005-0000-0000-000093000000}"/>
    <cellStyle name="b_Book1" xfId="143" xr:uid="{00000000-0005-0000-0000-000094000000}"/>
    <cellStyle name="b_Book21" xfId="144" xr:uid="{00000000-0005-0000-0000-000095000000}"/>
    <cellStyle name="b_Capacity Charge - Examples V9" xfId="145" xr:uid="{00000000-0005-0000-0000-000096000000}"/>
    <cellStyle name="b_Capacity Charge - Examples V91" xfId="146" xr:uid="{00000000-0005-0000-0000-000097000000}"/>
    <cellStyle name="Bad 2" xfId="147" xr:uid="{00000000-0005-0000-0000-000098000000}"/>
    <cellStyle name="BE Pickup Link" xfId="148" xr:uid="{00000000-0005-0000-0000-000099000000}"/>
    <cellStyle name="Berechnung" xfId="149" xr:uid="{00000000-0005-0000-0000-00009A000000}"/>
    <cellStyle name="Best" xfId="150" xr:uid="{00000000-0005-0000-0000-00009B000000}"/>
    <cellStyle name="Black" xfId="151" xr:uid="{00000000-0005-0000-0000-00009C000000}"/>
    <cellStyle name="Blank" xfId="152" xr:uid="{00000000-0005-0000-0000-00009D000000}"/>
    <cellStyle name="Blue" xfId="153" xr:uid="{00000000-0005-0000-0000-00009E000000}"/>
    <cellStyle name="Body_$Numeric" xfId="154" xr:uid="{00000000-0005-0000-0000-00009F000000}"/>
    <cellStyle name="Bold GHG Numbers (0.00)" xfId="155" xr:uid="{00000000-0005-0000-0000-0000A0000000}"/>
    <cellStyle name="Book Link" xfId="156" xr:uid="{00000000-0005-0000-0000-0000A1000000}"/>
    <cellStyle name="Bracket $'000 calc" xfId="157" xr:uid="{00000000-0005-0000-0000-0000A2000000}"/>
    <cellStyle name="Bracket $'000 total" xfId="158" xr:uid="{00000000-0005-0000-0000-0000A3000000}"/>
    <cellStyle name="Bracket $'000 total 2" xfId="159" xr:uid="{00000000-0005-0000-0000-0000A4000000}"/>
    <cellStyle name="Bracket $'000 total 2 2" xfId="160" xr:uid="{00000000-0005-0000-0000-0000A5000000}"/>
    <cellStyle name="Bracket $'000 total 2 3" xfId="161" xr:uid="{00000000-0005-0000-0000-0000A6000000}"/>
    <cellStyle name="Bracket $'000 total 2 4" xfId="162" xr:uid="{00000000-0005-0000-0000-0000A7000000}"/>
    <cellStyle name="Bracket $'000 total 2 5" xfId="163" xr:uid="{00000000-0005-0000-0000-0000A8000000}"/>
    <cellStyle name="Bracket $'000 total 2 6" xfId="164" xr:uid="{00000000-0005-0000-0000-0000A9000000}"/>
    <cellStyle name="Bracket $'000 total 2_Kosovo" xfId="165" xr:uid="{00000000-0005-0000-0000-0000AA000000}"/>
    <cellStyle name="Bracket $'000 total 3" xfId="166" xr:uid="{00000000-0005-0000-0000-0000AB000000}"/>
    <cellStyle name="Bracket $'000 total 3 2" xfId="167" xr:uid="{00000000-0005-0000-0000-0000AC000000}"/>
    <cellStyle name="Bracket $'000 total 3 3" xfId="168" xr:uid="{00000000-0005-0000-0000-0000AD000000}"/>
    <cellStyle name="Bracket $'000 total 3 4" xfId="169" xr:uid="{00000000-0005-0000-0000-0000AE000000}"/>
    <cellStyle name="Bracket $'000 total 3 5" xfId="170" xr:uid="{00000000-0005-0000-0000-0000AF000000}"/>
    <cellStyle name="Bracket $'000 total 3 6" xfId="171" xr:uid="{00000000-0005-0000-0000-0000B0000000}"/>
    <cellStyle name="Bracket $'000 total 3_Kosovo" xfId="172" xr:uid="{00000000-0005-0000-0000-0000B1000000}"/>
    <cellStyle name="Bracket $'000 total 4" xfId="173" xr:uid="{00000000-0005-0000-0000-0000B2000000}"/>
    <cellStyle name="Bracket $'000 total 4 2" xfId="174" xr:uid="{00000000-0005-0000-0000-0000B3000000}"/>
    <cellStyle name="Bracket $'000 total 4 3" xfId="175" xr:uid="{00000000-0005-0000-0000-0000B4000000}"/>
    <cellStyle name="Bracket $'000 total 4 4" xfId="176" xr:uid="{00000000-0005-0000-0000-0000B5000000}"/>
    <cellStyle name="Bracket $'000 total 4 5" xfId="177" xr:uid="{00000000-0005-0000-0000-0000B6000000}"/>
    <cellStyle name="Bracket $'000 total 4_Kosovo" xfId="178" xr:uid="{00000000-0005-0000-0000-0000B7000000}"/>
    <cellStyle name="Bracket $'000 total 5" xfId="179" xr:uid="{00000000-0005-0000-0000-0000B8000000}"/>
    <cellStyle name="Bracket $'000 total 5 2" xfId="180" xr:uid="{00000000-0005-0000-0000-0000B9000000}"/>
    <cellStyle name="Bracket $'000 total 5 3" xfId="181" xr:uid="{00000000-0005-0000-0000-0000BA000000}"/>
    <cellStyle name="Bracket $'000 total 5 4" xfId="182" xr:uid="{00000000-0005-0000-0000-0000BB000000}"/>
    <cellStyle name="Bracket $'000 total 5 5" xfId="183" xr:uid="{00000000-0005-0000-0000-0000BC000000}"/>
    <cellStyle name="Bracket $'000 total 5_Kosovo" xfId="184" xr:uid="{00000000-0005-0000-0000-0000BD000000}"/>
    <cellStyle name="Bracket $'000 total 6" xfId="185" xr:uid="{00000000-0005-0000-0000-0000BE000000}"/>
    <cellStyle name="Bracket $'000 total 6 2" xfId="186" xr:uid="{00000000-0005-0000-0000-0000BF000000}"/>
    <cellStyle name="Bracket $'000 total 6 3" xfId="187" xr:uid="{00000000-0005-0000-0000-0000C0000000}"/>
    <cellStyle name="Bracket $'000 total 6 4" xfId="188" xr:uid="{00000000-0005-0000-0000-0000C1000000}"/>
    <cellStyle name="Bracket $'000 total 6 5" xfId="189" xr:uid="{00000000-0005-0000-0000-0000C2000000}"/>
    <cellStyle name="Bracket $'000 total 6_Kosovo" xfId="190" xr:uid="{00000000-0005-0000-0000-0000C3000000}"/>
    <cellStyle name="Bracket $'000 total_Kosovo" xfId="191" xr:uid="{00000000-0005-0000-0000-0000C4000000}"/>
    <cellStyle name="Bracket 0 Decimal calc" xfId="192" xr:uid="{00000000-0005-0000-0000-0000C5000000}"/>
    <cellStyle name="Bracket 0 Decimal Input" xfId="193" xr:uid="{00000000-0005-0000-0000-0000C6000000}"/>
    <cellStyle name="Bracket 0 Decimal Total" xfId="194" xr:uid="{00000000-0005-0000-0000-0000C7000000}"/>
    <cellStyle name="Bracket 0 Decimal Total 2" xfId="195" xr:uid="{00000000-0005-0000-0000-0000C8000000}"/>
    <cellStyle name="Bracket 0 Decimal Total 2 2" xfId="196" xr:uid="{00000000-0005-0000-0000-0000C9000000}"/>
    <cellStyle name="Bracket 0 Decimal Total 2 3" xfId="197" xr:uid="{00000000-0005-0000-0000-0000CA000000}"/>
    <cellStyle name="Bracket 0 Decimal Total 2 4" xfId="198" xr:uid="{00000000-0005-0000-0000-0000CB000000}"/>
    <cellStyle name="Bracket 0 Decimal Total 2 5" xfId="199" xr:uid="{00000000-0005-0000-0000-0000CC000000}"/>
    <cellStyle name="Bracket 0 Decimal Total 2 6" xfId="200" xr:uid="{00000000-0005-0000-0000-0000CD000000}"/>
    <cellStyle name="Bracket 0 Decimal Total 2_Kosovo" xfId="201" xr:uid="{00000000-0005-0000-0000-0000CE000000}"/>
    <cellStyle name="Bracket 0 Decimal Total 3" xfId="202" xr:uid="{00000000-0005-0000-0000-0000CF000000}"/>
    <cellStyle name="Bracket 0 Decimal Total 3 2" xfId="203" xr:uid="{00000000-0005-0000-0000-0000D0000000}"/>
    <cellStyle name="Bracket 0 Decimal Total 3 3" xfId="204" xr:uid="{00000000-0005-0000-0000-0000D1000000}"/>
    <cellStyle name="Bracket 0 Decimal Total 3 4" xfId="205" xr:uid="{00000000-0005-0000-0000-0000D2000000}"/>
    <cellStyle name="Bracket 0 Decimal Total 3 5" xfId="206" xr:uid="{00000000-0005-0000-0000-0000D3000000}"/>
    <cellStyle name="Bracket 0 Decimal Total 3 6" xfId="207" xr:uid="{00000000-0005-0000-0000-0000D4000000}"/>
    <cellStyle name="Bracket 0 Decimal Total 3_Kosovo" xfId="208" xr:uid="{00000000-0005-0000-0000-0000D5000000}"/>
    <cellStyle name="Bracket 0 Decimal Total 4" xfId="209" xr:uid="{00000000-0005-0000-0000-0000D6000000}"/>
    <cellStyle name="Bracket 0 Decimal Total 4 2" xfId="210" xr:uid="{00000000-0005-0000-0000-0000D7000000}"/>
    <cellStyle name="Bracket 0 Decimal Total 4 3" xfId="211" xr:uid="{00000000-0005-0000-0000-0000D8000000}"/>
    <cellStyle name="Bracket 0 Decimal Total 4 4" xfId="212" xr:uid="{00000000-0005-0000-0000-0000D9000000}"/>
    <cellStyle name="Bracket 0 Decimal Total 4 5" xfId="213" xr:uid="{00000000-0005-0000-0000-0000DA000000}"/>
    <cellStyle name="Bracket 0 Decimal Total 4_Kosovo" xfId="214" xr:uid="{00000000-0005-0000-0000-0000DB000000}"/>
    <cellStyle name="Bracket 0 Decimal Total 5" xfId="215" xr:uid="{00000000-0005-0000-0000-0000DC000000}"/>
    <cellStyle name="Bracket 0 Decimal Total 5 2" xfId="216" xr:uid="{00000000-0005-0000-0000-0000DD000000}"/>
    <cellStyle name="Bracket 0 Decimal Total 5 3" xfId="217" xr:uid="{00000000-0005-0000-0000-0000DE000000}"/>
    <cellStyle name="Bracket 0 Decimal Total 5 4" xfId="218" xr:uid="{00000000-0005-0000-0000-0000DF000000}"/>
    <cellStyle name="Bracket 0 Decimal Total 5 5" xfId="219" xr:uid="{00000000-0005-0000-0000-0000E0000000}"/>
    <cellStyle name="Bracket 0 Decimal Total 5_Kosovo" xfId="220" xr:uid="{00000000-0005-0000-0000-0000E1000000}"/>
    <cellStyle name="Bracket 0 Decimal Total 6" xfId="221" xr:uid="{00000000-0005-0000-0000-0000E2000000}"/>
    <cellStyle name="Bracket 0 Decimal Total 6 2" xfId="222" xr:uid="{00000000-0005-0000-0000-0000E3000000}"/>
    <cellStyle name="Bracket 0 Decimal Total 6 3" xfId="223" xr:uid="{00000000-0005-0000-0000-0000E4000000}"/>
    <cellStyle name="Bracket 0 Decimal Total 6 4" xfId="224" xr:uid="{00000000-0005-0000-0000-0000E5000000}"/>
    <cellStyle name="Bracket 0 Decimal Total 6 5" xfId="225" xr:uid="{00000000-0005-0000-0000-0000E6000000}"/>
    <cellStyle name="Bracket 0 Decimal Total 6_Kosovo" xfId="226" xr:uid="{00000000-0005-0000-0000-0000E7000000}"/>
    <cellStyle name="Bracket 0 Decimal Total_Kosovo" xfId="227" xr:uid="{00000000-0005-0000-0000-0000E8000000}"/>
    <cellStyle name="Bracket 1 Decimal Input" xfId="228" xr:uid="{00000000-0005-0000-0000-0000E9000000}"/>
    <cellStyle name="Bracket 2 Decimal calc" xfId="229" xr:uid="{00000000-0005-0000-0000-0000EA000000}"/>
    <cellStyle name="Bracket 2 Decimal input" xfId="230" xr:uid="{00000000-0005-0000-0000-0000EB000000}"/>
    <cellStyle name="Bracket 2 Decimal total" xfId="231" xr:uid="{00000000-0005-0000-0000-0000EC000000}"/>
    <cellStyle name="Bridget" xfId="232" xr:uid="{00000000-0005-0000-0000-0000ED000000}"/>
    <cellStyle name="Bullet" xfId="233" xr:uid="{00000000-0005-0000-0000-0000EE000000}"/>
    <cellStyle name="C01_Main head" xfId="234" xr:uid="{00000000-0005-0000-0000-0000EF000000}"/>
    <cellStyle name="C02_Column heads" xfId="235" xr:uid="{00000000-0005-0000-0000-0000F0000000}"/>
    <cellStyle name="C03_Sub head bold" xfId="236" xr:uid="{00000000-0005-0000-0000-0000F1000000}"/>
    <cellStyle name="C03a_Sub head" xfId="237" xr:uid="{00000000-0005-0000-0000-0000F2000000}"/>
    <cellStyle name="C04_Total text white bold" xfId="238" xr:uid="{00000000-0005-0000-0000-0000F3000000}"/>
    <cellStyle name="C04a_Total text black with rule" xfId="239" xr:uid="{00000000-0005-0000-0000-0000F4000000}"/>
    <cellStyle name="C05_Main text" xfId="240" xr:uid="{00000000-0005-0000-0000-0000F5000000}"/>
    <cellStyle name="C06_Figs" xfId="241" xr:uid="{00000000-0005-0000-0000-0000F6000000}"/>
    <cellStyle name="C07_Figs 1 dec percent" xfId="242" xr:uid="{00000000-0005-0000-0000-0000F7000000}"/>
    <cellStyle name="C08_Figs 1 decimal" xfId="243" xr:uid="{00000000-0005-0000-0000-0000F8000000}"/>
    <cellStyle name="C09_Notes" xfId="244" xr:uid="{00000000-0005-0000-0000-0000F9000000}"/>
    <cellStyle name="Cabe‡alho 1" xfId="247" xr:uid="{00000000-0005-0000-0000-0000FC000000}"/>
    <cellStyle name="Cabe‡alho 2" xfId="248" xr:uid="{00000000-0005-0000-0000-0000FD000000}"/>
    <cellStyle name="Cabecera 1" xfId="245" xr:uid="{00000000-0005-0000-0000-0000FA000000}"/>
    <cellStyle name="Cabecera 2" xfId="246" xr:uid="{00000000-0005-0000-0000-0000FB000000}"/>
    <cellStyle name="Calculation 2" xfId="249" xr:uid="{00000000-0005-0000-0000-0000FE000000}"/>
    <cellStyle name="Calculation 2 2" xfId="250" xr:uid="{00000000-0005-0000-0000-0000FF000000}"/>
    <cellStyle name="Calculation 2 2 2" xfId="251" xr:uid="{00000000-0005-0000-0000-000000010000}"/>
    <cellStyle name="Calculation 2 2 3" xfId="252" xr:uid="{00000000-0005-0000-0000-000001010000}"/>
    <cellStyle name="Calculation 2 2 4" xfId="253" xr:uid="{00000000-0005-0000-0000-000002010000}"/>
    <cellStyle name="Calculation 2 2 5" xfId="254" xr:uid="{00000000-0005-0000-0000-000003010000}"/>
    <cellStyle name="Calculation 2 2 6" xfId="255" xr:uid="{00000000-0005-0000-0000-000004010000}"/>
    <cellStyle name="Calculation 2 2_Kosovo" xfId="256" xr:uid="{00000000-0005-0000-0000-000005010000}"/>
    <cellStyle name="Calculation 2 3" xfId="257" xr:uid="{00000000-0005-0000-0000-000006010000}"/>
    <cellStyle name="Calculation 2 4" xfId="258" xr:uid="{00000000-0005-0000-0000-000007010000}"/>
    <cellStyle name="Calculation 2_Kosovo" xfId="259" xr:uid="{00000000-0005-0000-0000-000008010000}"/>
    <cellStyle name="CenterHeader1" xfId="260" xr:uid="{00000000-0005-0000-0000-000009010000}"/>
    <cellStyle name="CenterHeader2" xfId="261" xr:uid="{00000000-0005-0000-0000-00000A010000}"/>
    <cellStyle name="Check Cell 2" xfId="262" xr:uid="{00000000-0005-0000-0000-00000B010000}"/>
    <cellStyle name="Clive" xfId="263" xr:uid="{00000000-0005-0000-0000-00000C010000}"/>
    <cellStyle name="clsAltData" xfId="264" xr:uid="{00000000-0005-0000-0000-00000D010000}"/>
    <cellStyle name="clsAltData 2" xfId="265" xr:uid="{00000000-0005-0000-0000-00000E010000}"/>
    <cellStyle name="clsAltData 2 2" xfId="266" xr:uid="{00000000-0005-0000-0000-00000F010000}"/>
    <cellStyle name="clsAltData 3" xfId="267" xr:uid="{00000000-0005-0000-0000-000010010000}"/>
    <cellStyle name="clsAltDataPrezn1" xfId="268" xr:uid="{00000000-0005-0000-0000-000011010000}"/>
    <cellStyle name="clsAltDataPrezn3" xfId="269" xr:uid="{00000000-0005-0000-0000-000012010000}"/>
    <cellStyle name="clsAltDataPrezn4" xfId="270" xr:uid="{00000000-0005-0000-0000-000013010000}"/>
    <cellStyle name="clsAltDataPrezn5" xfId="271" xr:uid="{00000000-0005-0000-0000-000014010000}"/>
    <cellStyle name="clsAltDataPrezn6" xfId="272" xr:uid="{00000000-0005-0000-0000-000015010000}"/>
    <cellStyle name="clsAltMRVData" xfId="273" xr:uid="{00000000-0005-0000-0000-000016010000}"/>
    <cellStyle name="clsAltMRVData 2" xfId="274" xr:uid="{00000000-0005-0000-0000-000017010000}"/>
    <cellStyle name="clsAltMRVData 2 2" xfId="275" xr:uid="{00000000-0005-0000-0000-000018010000}"/>
    <cellStyle name="clsAltMRVData 3" xfId="276" xr:uid="{00000000-0005-0000-0000-000019010000}"/>
    <cellStyle name="clsAltMRVDataPrezn1" xfId="277" xr:uid="{00000000-0005-0000-0000-00001A010000}"/>
    <cellStyle name="clsAltMRVDataPrezn3" xfId="278" xr:uid="{00000000-0005-0000-0000-00001B010000}"/>
    <cellStyle name="clsAltMRVDataPrezn4" xfId="279" xr:uid="{00000000-0005-0000-0000-00001C010000}"/>
    <cellStyle name="clsAltMRVDataPrezn5" xfId="280" xr:uid="{00000000-0005-0000-0000-00001D010000}"/>
    <cellStyle name="clsAltMRVDataPrezn6" xfId="281" xr:uid="{00000000-0005-0000-0000-00001E010000}"/>
    <cellStyle name="clsBlank" xfId="282" xr:uid="{00000000-0005-0000-0000-00001F010000}"/>
    <cellStyle name="clsColumnHeader" xfId="283" xr:uid="{00000000-0005-0000-0000-000020010000}"/>
    <cellStyle name="clsColumnHeader 2" xfId="284" xr:uid="{00000000-0005-0000-0000-000021010000}"/>
    <cellStyle name="clsColumnHeader 2 2" xfId="285" xr:uid="{00000000-0005-0000-0000-000022010000}"/>
    <cellStyle name="clsColumnHeader 3" xfId="286" xr:uid="{00000000-0005-0000-0000-000023010000}"/>
    <cellStyle name="clsData" xfId="287" xr:uid="{00000000-0005-0000-0000-000024010000}"/>
    <cellStyle name="clsData 2" xfId="288" xr:uid="{00000000-0005-0000-0000-000025010000}"/>
    <cellStyle name="clsData 2 2" xfId="289" xr:uid="{00000000-0005-0000-0000-000026010000}"/>
    <cellStyle name="clsData 3" xfId="290" xr:uid="{00000000-0005-0000-0000-000027010000}"/>
    <cellStyle name="clsDataPrezn1" xfId="291" xr:uid="{00000000-0005-0000-0000-000028010000}"/>
    <cellStyle name="clsDataPrezn3" xfId="292" xr:uid="{00000000-0005-0000-0000-000029010000}"/>
    <cellStyle name="clsDataPrezn4" xfId="293" xr:uid="{00000000-0005-0000-0000-00002A010000}"/>
    <cellStyle name="clsDataPrezn5" xfId="294" xr:uid="{00000000-0005-0000-0000-00002B010000}"/>
    <cellStyle name="clsDataPrezn6" xfId="295" xr:uid="{00000000-0005-0000-0000-00002C010000}"/>
    <cellStyle name="clsDefault" xfId="296" xr:uid="{00000000-0005-0000-0000-00002D010000}"/>
    <cellStyle name="clsFooter" xfId="297" xr:uid="{00000000-0005-0000-0000-00002E010000}"/>
    <cellStyle name="clsFooter 2" xfId="298" xr:uid="{00000000-0005-0000-0000-00002F010000}"/>
    <cellStyle name="clsFooter 2 2" xfId="299" xr:uid="{00000000-0005-0000-0000-000030010000}"/>
    <cellStyle name="clsFooter 3" xfId="300" xr:uid="{00000000-0005-0000-0000-000031010000}"/>
    <cellStyle name="clsIndexTableData" xfId="301" xr:uid="{00000000-0005-0000-0000-000032010000}"/>
    <cellStyle name="clsIndexTableHdr" xfId="302" xr:uid="{00000000-0005-0000-0000-000033010000}"/>
    <cellStyle name="clsIndexTableTitle" xfId="303" xr:uid="{00000000-0005-0000-0000-000034010000}"/>
    <cellStyle name="clsIndexTableTitle 2" xfId="304" xr:uid="{00000000-0005-0000-0000-000035010000}"/>
    <cellStyle name="clsIndexTableTitle 2 2" xfId="305" xr:uid="{00000000-0005-0000-0000-000036010000}"/>
    <cellStyle name="clsIndexTableTitle 3" xfId="306" xr:uid="{00000000-0005-0000-0000-000037010000}"/>
    <cellStyle name="clsMRVData" xfId="307" xr:uid="{00000000-0005-0000-0000-000038010000}"/>
    <cellStyle name="clsMRVData 2" xfId="308" xr:uid="{00000000-0005-0000-0000-000039010000}"/>
    <cellStyle name="clsMRVData 2 2" xfId="309" xr:uid="{00000000-0005-0000-0000-00003A010000}"/>
    <cellStyle name="clsMRVData 3" xfId="310" xr:uid="{00000000-0005-0000-0000-00003B010000}"/>
    <cellStyle name="clsMRVDataPrezn1" xfId="311" xr:uid="{00000000-0005-0000-0000-00003C010000}"/>
    <cellStyle name="clsMRVDataPrezn3" xfId="312" xr:uid="{00000000-0005-0000-0000-00003D010000}"/>
    <cellStyle name="clsMRVDataPrezn4" xfId="313" xr:uid="{00000000-0005-0000-0000-00003E010000}"/>
    <cellStyle name="clsMRVDataPrezn5" xfId="314" xr:uid="{00000000-0005-0000-0000-00003F010000}"/>
    <cellStyle name="clsMRVDataPrezn6" xfId="315" xr:uid="{00000000-0005-0000-0000-000040010000}"/>
    <cellStyle name="clsReportFooter" xfId="316" xr:uid="{00000000-0005-0000-0000-000041010000}"/>
    <cellStyle name="clsReportFooter 2" xfId="317" xr:uid="{00000000-0005-0000-0000-000042010000}"/>
    <cellStyle name="clsReportFooter 2 2" xfId="318" xr:uid="{00000000-0005-0000-0000-000043010000}"/>
    <cellStyle name="clsReportFooter 3" xfId="319" xr:uid="{00000000-0005-0000-0000-000044010000}"/>
    <cellStyle name="clsReportHeader" xfId="320" xr:uid="{00000000-0005-0000-0000-000045010000}"/>
    <cellStyle name="clsReportHeader 2" xfId="321" xr:uid="{00000000-0005-0000-0000-000046010000}"/>
    <cellStyle name="clsReportHeader 2 2" xfId="322" xr:uid="{00000000-0005-0000-0000-000047010000}"/>
    <cellStyle name="clsReportHeader 3" xfId="323" xr:uid="{00000000-0005-0000-0000-000048010000}"/>
    <cellStyle name="clsRowHeader" xfId="324" xr:uid="{00000000-0005-0000-0000-000049010000}"/>
    <cellStyle name="clsRowHeader 2" xfId="325" xr:uid="{00000000-0005-0000-0000-00004A010000}"/>
    <cellStyle name="clsRowHeader 2 2" xfId="326" xr:uid="{00000000-0005-0000-0000-00004B010000}"/>
    <cellStyle name="clsRowHeader 3" xfId="327" xr:uid="{00000000-0005-0000-0000-00004C010000}"/>
    <cellStyle name="clsScale" xfId="328" xr:uid="{00000000-0005-0000-0000-00004D010000}"/>
    <cellStyle name="clsSection" xfId="329" xr:uid="{00000000-0005-0000-0000-00004E010000}"/>
    <cellStyle name="clsSection 2" xfId="330" xr:uid="{00000000-0005-0000-0000-00004F010000}"/>
    <cellStyle name="clsSection 2 2" xfId="331" xr:uid="{00000000-0005-0000-0000-000050010000}"/>
    <cellStyle name="clsSection 3" xfId="332" xr:uid="{00000000-0005-0000-0000-000051010000}"/>
    <cellStyle name="Column heading" xfId="333" xr:uid="{00000000-0005-0000-0000-000052010000}"/>
    <cellStyle name="ColumnHeading" xfId="334" xr:uid="{00000000-0005-0000-0000-000053010000}"/>
    <cellStyle name="Comet" xfId="335" xr:uid="{00000000-0005-0000-0000-000054010000}"/>
    <cellStyle name="Comma  - Style1" xfId="336" xr:uid="{00000000-0005-0000-0000-000055010000}"/>
    <cellStyle name="Comma  - Style2" xfId="337" xr:uid="{00000000-0005-0000-0000-000056010000}"/>
    <cellStyle name="Comma  - Style3" xfId="338" xr:uid="{00000000-0005-0000-0000-000057010000}"/>
    <cellStyle name="Comma  - Style4" xfId="339" xr:uid="{00000000-0005-0000-0000-000058010000}"/>
    <cellStyle name="Comma  - Style5" xfId="340" xr:uid="{00000000-0005-0000-0000-000059010000}"/>
    <cellStyle name="Comma  - Style6" xfId="341" xr:uid="{00000000-0005-0000-0000-00005A010000}"/>
    <cellStyle name="Comma  - Style7" xfId="342" xr:uid="{00000000-0005-0000-0000-00005B010000}"/>
    <cellStyle name="Comma  - Style8" xfId="343" xr:uid="{00000000-0005-0000-0000-00005C010000}"/>
    <cellStyle name="Comma [1]" xfId="371" xr:uid="{00000000-0005-0000-0000-000078010000}"/>
    <cellStyle name="Comma 0" xfId="344" xr:uid="{00000000-0005-0000-0000-00005D010000}"/>
    <cellStyle name="Comma 1" xfId="345" xr:uid="{00000000-0005-0000-0000-00005E010000}"/>
    <cellStyle name="Comma 10" xfId="346" xr:uid="{00000000-0005-0000-0000-00005F010000}"/>
    <cellStyle name="Comma 11" xfId="347" xr:uid="{00000000-0005-0000-0000-000060010000}"/>
    <cellStyle name="Comma 11 2" xfId="348" xr:uid="{00000000-0005-0000-0000-000061010000}"/>
    <cellStyle name="Comma 12" xfId="349" xr:uid="{00000000-0005-0000-0000-000062010000}"/>
    <cellStyle name="Comma 13" xfId="350" xr:uid="{00000000-0005-0000-0000-000063010000}"/>
    <cellStyle name="Comma 13 2" xfId="351" xr:uid="{00000000-0005-0000-0000-000064010000}"/>
    <cellStyle name="Comma 13 3" xfId="352" xr:uid="{00000000-0005-0000-0000-000065010000}"/>
    <cellStyle name="Comma 14" xfId="353" xr:uid="{00000000-0005-0000-0000-000066010000}"/>
    <cellStyle name="Comma 15" xfId="354" xr:uid="{00000000-0005-0000-0000-000067010000}"/>
    <cellStyle name="Comma 2" xfId="355" xr:uid="{00000000-0005-0000-0000-000068010000}"/>
    <cellStyle name="Comma 2 2" xfId="356" xr:uid="{00000000-0005-0000-0000-000069010000}"/>
    <cellStyle name="Comma 2 3" xfId="357" xr:uid="{00000000-0005-0000-0000-00006A010000}"/>
    <cellStyle name="Comma 2 4" xfId="358" xr:uid="{00000000-0005-0000-0000-00006B010000}"/>
    <cellStyle name="Comma 2 5" xfId="359" xr:uid="{00000000-0005-0000-0000-00006C010000}"/>
    <cellStyle name="Comma 2 6" xfId="360" xr:uid="{00000000-0005-0000-0000-00006D010000}"/>
    <cellStyle name="Comma 2_Periods" xfId="361" xr:uid="{00000000-0005-0000-0000-00006E010000}"/>
    <cellStyle name="Comma 3" xfId="362" xr:uid="{00000000-0005-0000-0000-00006F010000}"/>
    <cellStyle name="Comma 3 2" xfId="363" xr:uid="{00000000-0005-0000-0000-000070010000}"/>
    <cellStyle name="Comma 3 3" xfId="364" xr:uid="{00000000-0005-0000-0000-000071010000}"/>
    <cellStyle name="Comma 4" xfId="365" xr:uid="{00000000-0005-0000-0000-000072010000}"/>
    <cellStyle name="Comma 5" xfId="366" xr:uid="{00000000-0005-0000-0000-000073010000}"/>
    <cellStyle name="Comma 6" xfId="367" xr:uid="{00000000-0005-0000-0000-000074010000}"/>
    <cellStyle name="Comma 7" xfId="368" xr:uid="{00000000-0005-0000-0000-000075010000}"/>
    <cellStyle name="Comma 8" xfId="369" xr:uid="{00000000-0005-0000-0000-000076010000}"/>
    <cellStyle name="Comma 9" xfId="370" xr:uid="{00000000-0005-0000-0000-000077010000}"/>
    <cellStyle name="Comma0" xfId="372" xr:uid="{00000000-0005-0000-0000-000079010000}"/>
    <cellStyle name="Comma0 2" xfId="373" xr:uid="{00000000-0005-0000-0000-00007A010000}"/>
    <cellStyle name="Comma1" xfId="374" xr:uid="{00000000-0005-0000-0000-00007B010000}"/>
    <cellStyle name="CompanyNum" xfId="375" xr:uid="{00000000-0005-0000-0000-00007C010000}"/>
    <cellStyle name="Constants" xfId="376" xr:uid="{00000000-0005-0000-0000-00007D010000}"/>
    <cellStyle name="Corner heading" xfId="377" xr:uid="{00000000-0005-0000-0000-00007E010000}"/>
    <cellStyle name="Currency 2" xfId="378" xr:uid="{00000000-0005-0000-0000-00007F010000}"/>
    <cellStyle name="Currency 2 2" xfId="379" xr:uid="{00000000-0005-0000-0000-000080010000}"/>
    <cellStyle name="Currency 3" xfId="380" xr:uid="{00000000-0005-0000-0000-000081010000}"/>
    <cellStyle name="Currency 4" xfId="381" xr:uid="{00000000-0005-0000-0000-000082010000}"/>
    <cellStyle name="Currency0" xfId="382" xr:uid="{00000000-0005-0000-0000-000083010000}"/>
    <cellStyle name="Currency0 2" xfId="383" xr:uid="{00000000-0005-0000-0000-000084010000}"/>
    <cellStyle name="CustomCellsOrange" xfId="384" xr:uid="{00000000-0005-0000-0000-000085010000}"/>
    <cellStyle name="CustomizationCells" xfId="385" xr:uid="{00000000-0005-0000-0000-000086010000}"/>
    <cellStyle name="CustomizationGreenCells" xfId="386" xr:uid="{00000000-0005-0000-0000-000087010000}"/>
    <cellStyle name="Data" xfId="387" xr:uid="{00000000-0005-0000-0000-000088010000}"/>
    <cellStyle name="Data no deci" xfId="388" xr:uid="{00000000-0005-0000-0000-000089010000}"/>
    <cellStyle name="Data Superscript" xfId="389" xr:uid="{00000000-0005-0000-0000-00008A010000}"/>
    <cellStyle name="Data_081013 Data Request 9-Link between GDP &amp; Demand growth" xfId="391" xr:uid="{00000000-0005-0000-0000-00008C010000}"/>
    <cellStyle name="Data-one deci" xfId="390" xr:uid="{00000000-0005-0000-0000-00008B010000}"/>
    <cellStyle name="Date" xfId="392" xr:uid="{00000000-0005-0000-0000-00008D010000}"/>
    <cellStyle name="Date 2" xfId="393" xr:uid="{00000000-0005-0000-0000-00008E010000}"/>
    <cellStyle name="Dezimal_Energiekosten_test" xfId="394" xr:uid="{00000000-0005-0000-0000-00008F010000}"/>
    <cellStyle name="diskette" xfId="395" xr:uid="{00000000-0005-0000-0000-000090010000}"/>
    <cellStyle name="DocBox_EmptyRow" xfId="396" xr:uid="{00000000-0005-0000-0000-000091010000}"/>
    <cellStyle name="Dollars M" xfId="397" xr:uid="{00000000-0005-0000-0000-000092010000}"/>
    <cellStyle name="Eingabe" xfId="398" xr:uid="{00000000-0005-0000-0000-000093010000}"/>
    <cellStyle name="Emphasis 1" xfId="399" xr:uid="{00000000-0005-0000-0000-000094010000}"/>
    <cellStyle name="Emphasis 2" xfId="400" xr:uid="{00000000-0005-0000-0000-000095010000}"/>
    <cellStyle name="Emphasis 3" xfId="401" xr:uid="{00000000-0005-0000-0000-000096010000}"/>
    <cellStyle name="Empty_B_border" xfId="402" xr:uid="{00000000-0005-0000-0000-000097010000}"/>
    <cellStyle name="Ergebnis" xfId="403" xr:uid="{00000000-0005-0000-0000-000098010000}"/>
    <cellStyle name="Erklärender Text" xfId="404" xr:uid="{00000000-0005-0000-0000-000099010000}"/>
    <cellStyle name="Error 1" xfId="405" xr:uid="{00000000-0005-0000-0000-00009A010000}"/>
    <cellStyle name="Euro" xfId="406" xr:uid="{00000000-0005-0000-0000-00009B010000}"/>
    <cellStyle name="Euro 2" xfId="407" xr:uid="{00000000-0005-0000-0000-00009C010000}"/>
    <cellStyle name="Euro 3" xfId="408" xr:uid="{00000000-0005-0000-0000-00009D010000}"/>
    <cellStyle name="Euro 4" xfId="409" xr:uid="{00000000-0005-0000-0000-00009E010000}"/>
    <cellStyle name="Euro 4 2" xfId="410" xr:uid="{00000000-0005-0000-0000-00009F010000}"/>
    <cellStyle name="Euro 4 3" xfId="411" xr:uid="{00000000-0005-0000-0000-0000A0010000}"/>
    <cellStyle name="Euro 5" xfId="412" xr:uid="{00000000-0005-0000-0000-0000A1010000}"/>
    <cellStyle name="Euro 6" xfId="413" xr:uid="{00000000-0005-0000-0000-0000A2010000}"/>
    <cellStyle name="Euro 7" xfId="414" xr:uid="{00000000-0005-0000-0000-0000A3010000}"/>
    <cellStyle name="Euro_America Latina 11" xfId="415" xr:uid="{00000000-0005-0000-0000-0000A4010000}"/>
    <cellStyle name="Excel.Chart" xfId="416" xr:uid="{00000000-0005-0000-0000-0000A5010000}"/>
    <cellStyle name="F2" xfId="417" xr:uid="{00000000-0005-0000-0000-0000A6010000}"/>
    <cellStyle name="F2 2" xfId="418" xr:uid="{00000000-0005-0000-0000-0000A7010000}"/>
    <cellStyle name="F3" xfId="419" xr:uid="{00000000-0005-0000-0000-0000A8010000}"/>
    <cellStyle name="F3 2" xfId="420" xr:uid="{00000000-0005-0000-0000-0000A9010000}"/>
    <cellStyle name="F4" xfId="421" xr:uid="{00000000-0005-0000-0000-0000AA010000}"/>
    <cellStyle name="F5" xfId="422" xr:uid="{00000000-0005-0000-0000-0000AB010000}"/>
    <cellStyle name="F6" xfId="423" xr:uid="{00000000-0005-0000-0000-0000AC010000}"/>
    <cellStyle name="F7" xfId="424" xr:uid="{00000000-0005-0000-0000-0000AD010000}"/>
    <cellStyle name="F8" xfId="425" xr:uid="{00000000-0005-0000-0000-0000AE010000}"/>
    <cellStyle name="facha" xfId="426" xr:uid="{00000000-0005-0000-0000-0000AF010000}"/>
    <cellStyle name="Fecha" xfId="427" xr:uid="{00000000-0005-0000-0000-0000B0010000}"/>
    <cellStyle name="Fijo" xfId="428" xr:uid="{00000000-0005-0000-0000-0000B1010000}"/>
    <cellStyle name="Fixed" xfId="429" xr:uid="{00000000-0005-0000-0000-0000B2010000}"/>
    <cellStyle name="Fixed 2" xfId="430" xr:uid="{00000000-0005-0000-0000-0000B3010000}"/>
    <cellStyle name="Fixo" xfId="431" xr:uid="{00000000-0005-0000-0000-0000B4010000}"/>
    <cellStyle name="Followed Hyperlink" xfId="432" xr:uid="{00000000-0005-0000-0000-0000B5010000}"/>
    <cellStyle name="Footer1" xfId="433" xr:uid="{00000000-0005-0000-0000-0000B6010000}"/>
    <cellStyle name="Footnote 1" xfId="434" xr:uid="{00000000-0005-0000-0000-0000B7010000}"/>
    <cellStyle name="For Quote Pages" xfId="435" xr:uid="{00000000-0005-0000-0000-0000B8010000}"/>
    <cellStyle name="Formula" xfId="436" xr:uid="{00000000-0005-0000-0000-0000B9010000}"/>
    <cellStyle name="Good 2" xfId="437" xr:uid="{00000000-0005-0000-0000-0000BA010000}"/>
    <cellStyle name="GOVDATA" xfId="438" xr:uid="{00000000-0005-0000-0000-0000BB010000}"/>
    <cellStyle name="Grey" xfId="439" xr:uid="{00000000-0005-0000-0000-0000BC010000}"/>
    <cellStyle name="Gut" xfId="440" xr:uid="{00000000-0005-0000-0000-0000BD010000}"/>
    <cellStyle name="Header1" xfId="441" xr:uid="{00000000-0005-0000-0000-0000BE010000}"/>
    <cellStyle name="Heading 1 1" xfId="442" xr:uid="{00000000-0005-0000-0000-0000BF010000}"/>
    <cellStyle name="Heading 1 2" xfId="443" xr:uid="{00000000-0005-0000-0000-0000C0010000}"/>
    <cellStyle name="Heading 2 2" xfId="444" xr:uid="{00000000-0005-0000-0000-0000C1010000}"/>
    <cellStyle name="Heading 3 2" xfId="445" xr:uid="{00000000-0005-0000-0000-0000C2010000}"/>
    <cellStyle name="Heading 4 2" xfId="446" xr:uid="{00000000-0005-0000-0000-0000C3010000}"/>
    <cellStyle name="Heading2" xfId="447" xr:uid="{00000000-0005-0000-0000-0000C4010000}"/>
    <cellStyle name="Headline" xfId="448" xr:uid="{00000000-0005-0000-0000-0000C5010000}"/>
    <cellStyle name="Hed Side" xfId="449" xr:uid="{00000000-0005-0000-0000-0000C6010000}"/>
    <cellStyle name="Hed Side bold" xfId="450" xr:uid="{00000000-0005-0000-0000-0000C7010000}"/>
    <cellStyle name="Hed Side bold 2" xfId="451" xr:uid="{00000000-0005-0000-0000-0000C8010000}"/>
    <cellStyle name="Hed Side bold 3" xfId="452" xr:uid="{00000000-0005-0000-0000-0000C9010000}"/>
    <cellStyle name="Hed Side Indent" xfId="453" xr:uid="{00000000-0005-0000-0000-0000CA010000}"/>
    <cellStyle name="Hed Side Regular" xfId="454" xr:uid="{00000000-0005-0000-0000-0000CB010000}"/>
    <cellStyle name="Hed Side_1-1A-Regular" xfId="455" xr:uid="{00000000-0005-0000-0000-0000CC010000}"/>
    <cellStyle name="Hed Top" xfId="456" xr:uid="{00000000-0005-0000-0000-0000CD010000}"/>
    <cellStyle name="Hed Top - SECTION" xfId="457" xr:uid="{00000000-0005-0000-0000-0000CE010000}"/>
    <cellStyle name="Hed Top_3-new4" xfId="458" xr:uid="{00000000-0005-0000-0000-0000CF010000}"/>
    <cellStyle name="Hide" xfId="459" xr:uid="{00000000-0005-0000-0000-0000D0010000}"/>
    <cellStyle name="Hipervínculo" xfId="460" xr:uid="{00000000-0005-0000-0000-0000D1010000}"/>
    <cellStyle name="Hipervínculo 2" xfId="461" xr:uid="{00000000-0005-0000-0000-0000D2010000}"/>
    <cellStyle name="Hipervínculo visitado" xfId="462" xr:uid="{00000000-0005-0000-0000-0000D3010000}"/>
    <cellStyle name="Hipervínculo_10-01-03 2003 2003 NUEVOS RON -NUEVOS INTERESES" xfId="463" xr:uid="{00000000-0005-0000-0000-0000D4010000}"/>
    <cellStyle name="Hyperlink 2" xfId="464" xr:uid="{00000000-0005-0000-0000-0000D5010000}"/>
    <cellStyle name="Hyperlink 2 2" xfId="465" xr:uid="{00000000-0005-0000-0000-0000D6010000}"/>
    <cellStyle name="Hyperlink 3" xfId="466" xr:uid="{00000000-0005-0000-0000-0000D7010000}"/>
    <cellStyle name="Hyperlink 4" xfId="467" xr:uid="{00000000-0005-0000-0000-0000D8010000}"/>
    <cellStyle name="Hyperlink 5" xfId="468" xr:uid="{00000000-0005-0000-0000-0000D9010000}"/>
    <cellStyle name="Hyperlink 6" xfId="469" xr:uid="{00000000-0005-0000-0000-0000DA010000}"/>
    <cellStyle name="Hyperlink seguido_NFGC_SPE_1995_2003" xfId="470" xr:uid="{00000000-0005-0000-0000-0000DB010000}"/>
    <cellStyle name="imf-one decimal" xfId="471" xr:uid="{00000000-0005-0000-0000-0000DC010000}"/>
    <cellStyle name="imf-one decimal 2" xfId="472" xr:uid="{00000000-0005-0000-0000-0000DD010000}"/>
    <cellStyle name="imf-zero decimal" xfId="473" xr:uid="{00000000-0005-0000-0000-0000DE010000}"/>
    <cellStyle name="imf-zero decimal 2" xfId="474" xr:uid="{00000000-0005-0000-0000-0000DF010000}"/>
    <cellStyle name="Indent formula 1" xfId="475" xr:uid="{00000000-0005-0000-0000-0000E0010000}"/>
    <cellStyle name="Input [yellow]" xfId="485" xr:uid="{00000000-0005-0000-0000-0000EA010000}"/>
    <cellStyle name="Input [yellow] 2" xfId="486" xr:uid="{00000000-0005-0000-0000-0000EB010000}"/>
    <cellStyle name="Input [yellow] 2 2" xfId="487" xr:uid="{00000000-0005-0000-0000-0000EC010000}"/>
    <cellStyle name="Input [yellow] 3" xfId="488" xr:uid="{00000000-0005-0000-0000-0000ED010000}"/>
    <cellStyle name="Input 2" xfId="476" xr:uid="{00000000-0005-0000-0000-0000E1010000}"/>
    <cellStyle name="Input 2 2" xfId="477" xr:uid="{00000000-0005-0000-0000-0000E2010000}"/>
    <cellStyle name="Input 2 2 2" xfId="478" xr:uid="{00000000-0005-0000-0000-0000E3010000}"/>
    <cellStyle name="Input 2 2 3" xfId="479" xr:uid="{00000000-0005-0000-0000-0000E4010000}"/>
    <cellStyle name="Input 2 2 4" xfId="480" xr:uid="{00000000-0005-0000-0000-0000E5010000}"/>
    <cellStyle name="Input 2 2 5" xfId="481" xr:uid="{00000000-0005-0000-0000-0000E6010000}"/>
    <cellStyle name="Input 2 2_Kosovo" xfId="482" xr:uid="{00000000-0005-0000-0000-0000E7010000}"/>
    <cellStyle name="Input 2 3" xfId="483" xr:uid="{00000000-0005-0000-0000-0000E8010000}"/>
    <cellStyle name="Input 2_Kosovo" xfId="484" xr:uid="{00000000-0005-0000-0000-0000E9010000}"/>
    <cellStyle name="Input Cell" xfId="489" xr:uid="{00000000-0005-0000-0000-0000EE010000}"/>
    <cellStyle name="InputCells" xfId="490" xr:uid="{00000000-0005-0000-0000-0000EF010000}"/>
    <cellStyle name="InputCells12" xfId="491" xr:uid="{00000000-0005-0000-0000-0000F0010000}"/>
    <cellStyle name="IntCells" xfId="492" xr:uid="{00000000-0005-0000-0000-0000F1010000}"/>
    <cellStyle name="jo[" xfId="493" xr:uid="{00000000-0005-0000-0000-0000F2010000}"/>
    <cellStyle name="Lien hypertexte" xfId="494" xr:uid="{00000000-0005-0000-0000-0000F3010000}"/>
    <cellStyle name="Lien hypertexte visité" xfId="495" xr:uid="{00000000-0005-0000-0000-0000F4010000}"/>
    <cellStyle name="Lien hypertexte_Condensé n° 39 du 29-03.11 Année 2001" xfId="496" xr:uid="{00000000-0005-0000-0000-0000F5010000}"/>
    <cellStyle name="Linked Cell 2" xfId="497" xr:uid="{00000000-0005-0000-0000-0000F6010000}"/>
    <cellStyle name="MacroCode" xfId="498" xr:uid="{00000000-0005-0000-0000-0000F7010000}"/>
    <cellStyle name="Mheading1" xfId="499" xr:uid="{00000000-0005-0000-0000-0000F8010000}"/>
    <cellStyle name="Mheading2" xfId="500" xr:uid="{00000000-0005-0000-0000-0000F9010000}"/>
    <cellStyle name="Millares [0]_11.1.3. bis" xfId="521" xr:uid="{00000000-0005-0000-0000-00000E020000}"/>
    <cellStyle name="Millares 10" xfId="501" xr:uid="{00000000-0005-0000-0000-0000FA010000}"/>
    <cellStyle name="Millares 11" xfId="502" xr:uid="{00000000-0005-0000-0000-0000FB010000}"/>
    <cellStyle name="Millares 16" xfId="503" xr:uid="{00000000-0005-0000-0000-0000FC010000}"/>
    <cellStyle name="Millares 2" xfId="504" xr:uid="{00000000-0005-0000-0000-0000FD010000}"/>
    <cellStyle name="Millares 2 2" xfId="505" xr:uid="{00000000-0005-0000-0000-0000FE010000}"/>
    <cellStyle name="Millares 2 3" xfId="506" xr:uid="{00000000-0005-0000-0000-0000FF010000}"/>
    <cellStyle name="Millares 2 4" xfId="507" xr:uid="{00000000-0005-0000-0000-000000020000}"/>
    <cellStyle name="Millares 2 5" xfId="508" xr:uid="{00000000-0005-0000-0000-000001020000}"/>
    <cellStyle name="Millares 2 6" xfId="509" xr:uid="{00000000-0005-0000-0000-000002020000}"/>
    <cellStyle name="Millares 2 7" xfId="510" xr:uid="{00000000-0005-0000-0000-000003020000}"/>
    <cellStyle name="Millares 20" xfId="511" xr:uid="{00000000-0005-0000-0000-000004020000}"/>
    <cellStyle name="Millares 21" xfId="512" xr:uid="{00000000-0005-0000-0000-000005020000}"/>
    <cellStyle name="Millares 3" xfId="513" xr:uid="{00000000-0005-0000-0000-000006020000}"/>
    <cellStyle name="Millares 3 2" xfId="514" xr:uid="{00000000-0005-0000-0000-000007020000}"/>
    <cellStyle name="Millares 3 3" xfId="515" xr:uid="{00000000-0005-0000-0000-000008020000}"/>
    <cellStyle name="Millares 4" xfId="516" xr:uid="{00000000-0005-0000-0000-000009020000}"/>
    <cellStyle name="Millares 4 2" xfId="517" xr:uid="{00000000-0005-0000-0000-00000A020000}"/>
    <cellStyle name="Millares 5" xfId="518" xr:uid="{00000000-0005-0000-0000-00000B020000}"/>
    <cellStyle name="Millares 6" xfId="519" xr:uid="{00000000-0005-0000-0000-00000C020000}"/>
    <cellStyle name="Millares 7" xfId="520" xr:uid="{00000000-0005-0000-0000-00000D020000}"/>
    <cellStyle name="Millares_11.1.3. bis" xfId="522" xr:uid="{00000000-0005-0000-0000-00000F020000}"/>
    <cellStyle name="Moeda [0]_A" xfId="523" xr:uid="{00000000-0005-0000-0000-000012020000}"/>
    <cellStyle name="Moeda_A" xfId="525" xr:uid="{00000000-0005-0000-0000-000014020000}"/>
    <cellStyle name="Moeda0" xfId="524" xr:uid="{00000000-0005-0000-0000-000013020000}"/>
    <cellStyle name="Moneda [0]_11.1.3. bis" xfId="526" xr:uid="{00000000-0005-0000-0000-000015020000}"/>
    <cellStyle name="Moneda_11.1.3. bis" xfId="527" xr:uid="{00000000-0005-0000-0000-000016020000}"/>
    <cellStyle name="Monetario" xfId="528" xr:uid="{00000000-0005-0000-0000-000017020000}"/>
    <cellStyle name="Monetario0" xfId="529" xr:uid="{00000000-0005-0000-0000-000018020000}"/>
    <cellStyle name="Month" xfId="530" xr:uid="{00000000-0005-0000-0000-000019020000}"/>
    <cellStyle name="n - Style1" xfId="531" xr:uid="{00000000-0005-0000-0000-00001C020000}"/>
    <cellStyle name="Neutral 2" xfId="532" xr:uid="{00000000-0005-0000-0000-00001D020000}"/>
    <cellStyle name="Nominal $" xfId="533" xr:uid="{00000000-0005-0000-0000-00001E020000}"/>
    <cellStyle name="Non défini" xfId="534" xr:uid="{00000000-0005-0000-0000-00001F020000}"/>
    <cellStyle name="Normal" xfId="0" builtinId="0"/>
    <cellStyle name="Normal - Style1" xfId="535" xr:uid="{00000000-0005-0000-0000-000020020000}"/>
    <cellStyle name="Normal - Style2" xfId="536" xr:uid="{00000000-0005-0000-0000-000021020000}"/>
    <cellStyle name="Normal - Style3" xfId="537" xr:uid="{00000000-0005-0000-0000-000022020000}"/>
    <cellStyle name="Normal - Style4" xfId="538" xr:uid="{00000000-0005-0000-0000-000023020000}"/>
    <cellStyle name="Normal [2]" xfId="834" xr:uid="{00000000-0005-0000-0000-00004B030000}"/>
    <cellStyle name="Normal 10" xfId="539" xr:uid="{00000000-0005-0000-0000-000024020000}"/>
    <cellStyle name="Normal 10 2" xfId="540" xr:uid="{00000000-0005-0000-0000-000025020000}"/>
    <cellStyle name="Normal 10 2 2" xfId="541" xr:uid="{00000000-0005-0000-0000-000026020000}"/>
    <cellStyle name="Normal 11" xfId="542" xr:uid="{00000000-0005-0000-0000-000027020000}"/>
    <cellStyle name="Normal 12" xfId="543" xr:uid="{00000000-0005-0000-0000-000028020000}"/>
    <cellStyle name="Normal 13" xfId="544" xr:uid="{00000000-0005-0000-0000-000029020000}"/>
    <cellStyle name="Normal 14" xfId="545" xr:uid="{00000000-0005-0000-0000-00002A020000}"/>
    <cellStyle name="Normal 15" xfId="546" xr:uid="{00000000-0005-0000-0000-00002B020000}"/>
    <cellStyle name="Normal 15 2" xfId="547" xr:uid="{00000000-0005-0000-0000-00002C020000}"/>
    <cellStyle name="Normal 15 3" xfId="548" xr:uid="{00000000-0005-0000-0000-00002D020000}"/>
    <cellStyle name="Normal 16" xfId="549" xr:uid="{00000000-0005-0000-0000-00002E020000}"/>
    <cellStyle name="Normal 17" xfId="550" xr:uid="{00000000-0005-0000-0000-00002F020000}"/>
    <cellStyle name="Normal 18" xfId="551" xr:uid="{00000000-0005-0000-0000-000030020000}"/>
    <cellStyle name="Normal 19" xfId="552" xr:uid="{00000000-0005-0000-0000-000031020000}"/>
    <cellStyle name="Normal 2" xfId="553" xr:uid="{00000000-0005-0000-0000-000032020000}"/>
    <cellStyle name="Normal 2 2" xfId="554" xr:uid="{00000000-0005-0000-0000-000033020000}"/>
    <cellStyle name="Normal 2 2 2" xfId="555" xr:uid="{00000000-0005-0000-0000-000034020000}"/>
    <cellStyle name="Normal 2 2 3" xfId="556" xr:uid="{00000000-0005-0000-0000-000035020000}"/>
    <cellStyle name="Normal 2 3" xfId="557" xr:uid="{00000000-0005-0000-0000-000036020000}"/>
    <cellStyle name="Normal 2 3 2" xfId="558" xr:uid="{00000000-0005-0000-0000-000037020000}"/>
    <cellStyle name="Normal 2 3 2 2" xfId="559" xr:uid="{00000000-0005-0000-0000-000038020000}"/>
    <cellStyle name="Normal 2 4" xfId="560" xr:uid="{00000000-0005-0000-0000-000039020000}"/>
    <cellStyle name="Normal 2 4 2" xfId="561" xr:uid="{00000000-0005-0000-0000-00003A020000}"/>
    <cellStyle name="Normal 2 4 3" xfId="562" xr:uid="{00000000-0005-0000-0000-00003B020000}"/>
    <cellStyle name="Normal 2 4 3 2" xfId="563" xr:uid="{00000000-0005-0000-0000-00003C020000}"/>
    <cellStyle name="Normal 2 4 3 2 2" xfId="564" xr:uid="{00000000-0005-0000-0000-00003D020000}"/>
    <cellStyle name="Normal 2 4 3 2 2 2" xfId="565" xr:uid="{00000000-0005-0000-0000-00003E020000}"/>
    <cellStyle name="Normal 2 4 3 3" xfId="566" xr:uid="{00000000-0005-0000-0000-00003F020000}"/>
    <cellStyle name="Normal 2 5" xfId="567" xr:uid="{00000000-0005-0000-0000-000040020000}"/>
    <cellStyle name="Normal 2 5 2" xfId="568" xr:uid="{00000000-0005-0000-0000-000041020000}"/>
    <cellStyle name="Normal 2 6" xfId="569" xr:uid="{00000000-0005-0000-0000-000042020000}"/>
    <cellStyle name="Normal 2 6 2" xfId="570" xr:uid="{00000000-0005-0000-0000-000043020000}"/>
    <cellStyle name="Normal 2 7" xfId="571" xr:uid="{00000000-0005-0000-0000-000044020000}"/>
    <cellStyle name="Normal 2 7 2" xfId="572" xr:uid="{00000000-0005-0000-0000-000045020000}"/>
    <cellStyle name="Normal 2 7 3" xfId="573" xr:uid="{00000000-0005-0000-0000-000046020000}"/>
    <cellStyle name="Normal 2 8" xfId="574" xr:uid="{00000000-0005-0000-0000-000047020000}"/>
    <cellStyle name="Normal 2 8 2" xfId="575" xr:uid="{00000000-0005-0000-0000-000048020000}"/>
    <cellStyle name="Normal 2 8 2 2" xfId="576" xr:uid="{00000000-0005-0000-0000-000049020000}"/>
    <cellStyle name="Normal 2 8 2 3" xfId="577" xr:uid="{00000000-0005-0000-0000-00004A020000}"/>
    <cellStyle name="Normal 2 8 2 4" xfId="578" xr:uid="{00000000-0005-0000-0000-00004B020000}"/>
    <cellStyle name="Normal 2 8 2 5" xfId="579" xr:uid="{00000000-0005-0000-0000-00004C020000}"/>
    <cellStyle name="Normal 2 8 2 6" xfId="580" xr:uid="{00000000-0005-0000-0000-00004D020000}"/>
    <cellStyle name="Normal 2 8 2 6 10" xfId="581" xr:uid="{00000000-0005-0000-0000-00004E020000}"/>
    <cellStyle name="Normal 2 8 2 6 11" xfId="582" xr:uid="{00000000-0005-0000-0000-00004F020000}"/>
    <cellStyle name="Normal 2 8 2 6 12" xfId="583" xr:uid="{00000000-0005-0000-0000-000050020000}"/>
    <cellStyle name="Normal 2 8 2 6 13" xfId="584" xr:uid="{00000000-0005-0000-0000-000051020000}"/>
    <cellStyle name="Normal 2 8 2 6 14" xfId="585" xr:uid="{00000000-0005-0000-0000-000052020000}"/>
    <cellStyle name="Normal 2 8 2 6 15" xfId="586" xr:uid="{00000000-0005-0000-0000-000053020000}"/>
    <cellStyle name="Normal 2 8 2 6 16" xfId="587" xr:uid="{00000000-0005-0000-0000-000054020000}"/>
    <cellStyle name="Normal 2 8 2 6 17" xfId="588" xr:uid="{00000000-0005-0000-0000-000055020000}"/>
    <cellStyle name="Normal 2 8 2 6 18" xfId="589" xr:uid="{00000000-0005-0000-0000-000056020000}"/>
    <cellStyle name="Normal 2 8 2 6 19" xfId="590" xr:uid="{00000000-0005-0000-0000-000057020000}"/>
    <cellStyle name="Normal 2 8 2 6 2" xfId="591" xr:uid="{00000000-0005-0000-0000-000058020000}"/>
    <cellStyle name="Normal 2 8 2 6 20" xfId="592" xr:uid="{00000000-0005-0000-0000-000059020000}"/>
    <cellStyle name="Normal 2 8 2 6 21" xfId="593" xr:uid="{00000000-0005-0000-0000-00005A020000}"/>
    <cellStyle name="Normal 2 8 2 6 22" xfId="594" xr:uid="{00000000-0005-0000-0000-00005B020000}"/>
    <cellStyle name="Normal 2 8 2 6 23" xfId="595" xr:uid="{00000000-0005-0000-0000-00005C020000}"/>
    <cellStyle name="Normal 2 8 2 6 24" xfId="596" xr:uid="{00000000-0005-0000-0000-00005D020000}"/>
    <cellStyle name="Normal 2 8 2 6 25" xfId="597" xr:uid="{00000000-0005-0000-0000-00005E020000}"/>
    <cellStyle name="Normal 2 8 2 6 26" xfId="598" xr:uid="{00000000-0005-0000-0000-00005F020000}"/>
    <cellStyle name="Normal 2 8 2 6 27" xfId="599" xr:uid="{00000000-0005-0000-0000-000060020000}"/>
    <cellStyle name="Normal 2 8 2 6 28" xfId="600" xr:uid="{00000000-0005-0000-0000-000061020000}"/>
    <cellStyle name="Normal 2 8 2 6 29" xfId="601" xr:uid="{00000000-0005-0000-0000-000062020000}"/>
    <cellStyle name="Normal 2 8 2 6 3" xfId="602" xr:uid="{00000000-0005-0000-0000-000063020000}"/>
    <cellStyle name="Normal 2 8 2 6 30" xfId="603" xr:uid="{00000000-0005-0000-0000-000064020000}"/>
    <cellStyle name="Normal 2 8 2 6 31" xfId="604" xr:uid="{00000000-0005-0000-0000-000065020000}"/>
    <cellStyle name="Normal 2 8 2 6 32" xfId="605" xr:uid="{00000000-0005-0000-0000-000066020000}"/>
    <cellStyle name="Normal 2 8 2 6 33" xfId="606" xr:uid="{00000000-0005-0000-0000-000067020000}"/>
    <cellStyle name="Normal 2 8 2 6 34" xfId="607" xr:uid="{00000000-0005-0000-0000-000068020000}"/>
    <cellStyle name="Normal 2 8 2 6 35" xfId="608" xr:uid="{00000000-0005-0000-0000-000069020000}"/>
    <cellStyle name="Normal 2 8 2 6 36" xfId="609" xr:uid="{00000000-0005-0000-0000-00006A020000}"/>
    <cellStyle name="Normal 2 8 2 6 37" xfId="610" xr:uid="{00000000-0005-0000-0000-00006B020000}"/>
    <cellStyle name="Normal 2 8 2 6 38" xfId="611" xr:uid="{00000000-0005-0000-0000-00006C020000}"/>
    <cellStyle name="Normal 2 8 2 6 39" xfId="612" xr:uid="{00000000-0005-0000-0000-00006D020000}"/>
    <cellStyle name="Normal 2 8 2 6 4" xfId="613" xr:uid="{00000000-0005-0000-0000-00006E020000}"/>
    <cellStyle name="Normal 2 8 2 6 40" xfId="614" xr:uid="{00000000-0005-0000-0000-00006F020000}"/>
    <cellStyle name="Normal 2 8 2 6 41" xfId="615" xr:uid="{00000000-0005-0000-0000-000070020000}"/>
    <cellStyle name="Normal 2 8 2 6 42" xfId="616" xr:uid="{00000000-0005-0000-0000-000071020000}"/>
    <cellStyle name="Normal 2 8 2 6 43" xfId="617" xr:uid="{00000000-0005-0000-0000-000072020000}"/>
    <cellStyle name="Normal 2 8 2 6 44" xfId="618" xr:uid="{00000000-0005-0000-0000-000073020000}"/>
    <cellStyle name="Normal 2 8 2 6 45" xfId="619" xr:uid="{00000000-0005-0000-0000-000074020000}"/>
    <cellStyle name="Normal 2 8 2 6 46" xfId="620" xr:uid="{00000000-0005-0000-0000-000075020000}"/>
    <cellStyle name="Normal 2 8 2 6 5" xfId="621" xr:uid="{00000000-0005-0000-0000-000076020000}"/>
    <cellStyle name="Normal 2 8 2 6 6" xfId="622" xr:uid="{00000000-0005-0000-0000-000077020000}"/>
    <cellStyle name="Normal 2 8 2 6 7" xfId="623" xr:uid="{00000000-0005-0000-0000-000078020000}"/>
    <cellStyle name="Normal 2 8 2 6 8" xfId="624" xr:uid="{00000000-0005-0000-0000-000079020000}"/>
    <cellStyle name="Normal 2 8 2 6 9" xfId="625" xr:uid="{00000000-0005-0000-0000-00007A020000}"/>
    <cellStyle name="Normal 2 8 3" xfId="626" xr:uid="{00000000-0005-0000-0000-00007B020000}"/>
    <cellStyle name="Normal 2 8 4" xfId="627" xr:uid="{00000000-0005-0000-0000-00007C020000}"/>
    <cellStyle name="Normal 2 8 5" xfId="628" xr:uid="{00000000-0005-0000-0000-00007D020000}"/>
    <cellStyle name="Normal 2 8 6" xfId="629" xr:uid="{00000000-0005-0000-0000-00007E020000}"/>
    <cellStyle name="Normal 2 8 7" xfId="630" xr:uid="{00000000-0005-0000-0000-00007F020000}"/>
    <cellStyle name="Normal 2 8 8" xfId="631" xr:uid="{00000000-0005-0000-0000-000080020000}"/>
    <cellStyle name="Normal 2 8 9" xfId="632" xr:uid="{00000000-0005-0000-0000-000081020000}"/>
    <cellStyle name="Normal 2 9" xfId="633" xr:uid="{00000000-0005-0000-0000-000082020000}"/>
    <cellStyle name="Normal 2_Kosovo" xfId="644" xr:uid="{00000000-0005-0000-0000-00008D020000}"/>
    <cellStyle name="Normal 20" xfId="634" xr:uid="{00000000-0005-0000-0000-000083020000}"/>
    <cellStyle name="Normal 21" xfId="635" xr:uid="{00000000-0005-0000-0000-000084020000}"/>
    <cellStyle name="Normal 22" xfId="636" xr:uid="{00000000-0005-0000-0000-000085020000}"/>
    <cellStyle name="Normal 23" xfId="637" xr:uid="{00000000-0005-0000-0000-000086020000}"/>
    <cellStyle name="Normal 24" xfId="638" xr:uid="{00000000-0005-0000-0000-000087020000}"/>
    <cellStyle name="Normal 25" xfId="639" xr:uid="{00000000-0005-0000-0000-000088020000}"/>
    <cellStyle name="Normal 26" xfId="640" xr:uid="{00000000-0005-0000-0000-000089020000}"/>
    <cellStyle name="Normal 27" xfId="641" xr:uid="{00000000-0005-0000-0000-00008A020000}"/>
    <cellStyle name="Normal 28" xfId="642" xr:uid="{00000000-0005-0000-0000-00008B020000}"/>
    <cellStyle name="Normal 29" xfId="643" xr:uid="{00000000-0005-0000-0000-00008C020000}"/>
    <cellStyle name="Normal 3" xfId="645" xr:uid="{00000000-0005-0000-0000-00008E020000}"/>
    <cellStyle name="Normal 3 2" xfId="646" xr:uid="{00000000-0005-0000-0000-00008F020000}"/>
    <cellStyle name="Normal 3 2 2" xfId="647" xr:uid="{00000000-0005-0000-0000-000090020000}"/>
    <cellStyle name="Normal 3 2 2 2" xfId="648" xr:uid="{00000000-0005-0000-0000-000091020000}"/>
    <cellStyle name="Normal 3 2 2 2 2" xfId="649" xr:uid="{00000000-0005-0000-0000-000092020000}"/>
    <cellStyle name="Normal 3 2 2 2 2 2" xfId="650" xr:uid="{00000000-0005-0000-0000-000093020000}"/>
    <cellStyle name="Normal 3 2 2 2 3" xfId="651" xr:uid="{00000000-0005-0000-0000-000094020000}"/>
    <cellStyle name="Normal 3 2 2 2 3 2" xfId="652" xr:uid="{00000000-0005-0000-0000-000095020000}"/>
    <cellStyle name="Normal 3 2 2 2 3 2 2" xfId="653" xr:uid="{00000000-0005-0000-0000-000096020000}"/>
    <cellStyle name="Normal 3 2 2 2 4" xfId="654" xr:uid="{00000000-0005-0000-0000-000097020000}"/>
    <cellStyle name="Normal 3 2 2 2 5" xfId="655" xr:uid="{00000000-0005-0000-0000-000098020000}"/>
    <cellStyle name="Normal 3 3" xfId="656" xr:uid="{00000000-0005-0000-0000-000099020000}"/>
    <cellStyle name="Normal 3 4" xfId="657" xr:uid="{00000000-0005-0000-0000-00009A020000}"/>
    <cellStyle name="Normal 30" xfId="658" xr:uid="{00000000-0005-0000-0000-00009B020000}"/>
    <cellStyle name="Normal 31" xfId="659" xr:uid="{00000000-0005-0000-0000-00009C020000}"/>
    <cellStyle name="Normal 32" xfId="660" xr:uid="{00000000-0005-0000-0000-00009D020000}"/>
    <cellStyle name="Normal 33" xfId="661" xr:uid="{00000000-0005-0000-0000-00009E020000}"/>
    <cellStyle name="Normal 34" xfId="662" xr:uid="{00000000-0005-0000-0000-00009F020000}"/>
    <cellStyle name="Normal 35" xfId="663" xr:uid="{00000000-0005-0000-0000-0000A0020000}"/>
    <cellStyle name="Normal 35 2" xfId="664" xr:uid="{00000000-0005-0000-0000-0000A1020000}"/>
    <cellStyle name="Normal 35 2 2" xfId="665" xr:uid="{00000000-0005-0000-0000-0000A2020000}"/>
    <cellStyle name="Normal 35 2 2 2" xfId="666" xr:uid="{00000000-0005-0000-0000-0000A3020000}"/>
    <cellStyle name="Normal 35 2 2 3" xfId="667" xr:uid="{00000000-0005-0000-0000-0000A4020000}"/>
    <cellStyle name="Normal 35 2 2 4" xfId="668" xr:uid="{00000000-0005-0000-0000-0000A5020000}"/>
    <cellStyle name="Normal 35 2 2 5" xfId="669" xr:uid="{00000000-0005-0000-0000-0000A6020000}"/>
    <cellStyle name="Normal 35 2 2 6" xfId="670" xr:uid="{00000000-0005-0000-0000-0000A7020000}"/>
    <cellStyle name="Normal 35 2 2 6 10" xfId="671" xr:uid="{00000000-0005-0000-0000-0000A8020000}"/>
    <cellStyle name="Normal 35 2 2 6 11" xfId="672" xr:uid="{00000000-0005-0000-0000-0000A9020000}"/>
    <cellStyle name="Normal 35 2 2 6 12" xfId="673" xr:uid="{00000000-0005-0000-0000-0000AA020000}"/>
    <cellStyle name="Normal 35 2 2 6 13" xfId="674" xr:uid="{00000000-0005-0000-0000-0000AB020000}"/>
    <cellStyle name="Normal 35 2 2 6 14" xfId="675" xr:uid="{00000000-0005-0000-0000-0000AC020000}"/>
    <cellStyle name="Normal 35 2 2 6 15" xfId="676" xr:uid="{00000000-0005-0000-0000-0000AD020000}"/>
    <cellStyle name="Normal 35 2 2 6 16" xfId="677" xr:uid="{00000000-0005-0000-0000-0000AE020000}"/>
    <cellStyle name="Normal 35 2 2 6 17" xfId="678" xr:uid="{00000000-0005-0000-0000-0000AF020000}"/>
    <cellStyle name="Normal 35 2 2 6 18" xfId="679" xr:uid="{00000000-0005-0000-0000-0000B0020000}"/>
    <cellStyle name="Normal 35 2 2 6 19" xfId="680" xr:uid="{00000000-0005-0000-0000-0000B1020000}"/>
    <cellStyle name="Normal 35 2 2 6 2" xfId="681" xr:uid="{00000000-0005-0000-0000-0000B2020000}"/>
    <cellStyle name="Normal 35 2 2 6 20" xfId="682" xr:uid="{00000000-0005-0000-0000-0000B3020000}"/>
    <cellStyle name="Normal 35 2 2 6 21" xfId="683" xr:uid="{00000000-0005-0000-0000-0000B4020000}"/>
    <cellStyle name="Normal 35 2 2 6 22" xfId="684" xr:uid="{00000000-0005-0000-0000-0000B5020000}"/>
    <cellStyle name="Normal 35 2 2 6 23" xfId="685" xr:uid="{00000000-0005-0000-0000-0000B6020000}"/>
    <cellStyle name="Normal 35 2 2 6 24" xfId="686" xr:uid="{00000000-0005-0000-0000-0000B7020000}"/>
    <cellStyle name="Normal 35 2 2 6 25" xfId="687" xr:uid="{00000000-0005-0000-0000-0000B8020000}"/>
    <cellStyle name="Normal 35 2 2 6 26" xfId="688" xr:uid="{00000000-0005-0000-0000-0000B9020000}"/>
    <cellStyle name="Normal 35 2 2 6 27" xfId="689" xr:uid="{00000000-0005-0000-0000-0000BA020000}"/>
    <cellStyle name="Normal 35 2 2 6 28" xfId="690" xr:uid="{00000000-0005-0000-0000-0000BB020000}"/>
    <cellStyle name="Normal 35 2 2 6 29" xfId="691" xr:uid="{00000000-0005-0000-0000-0000BC020000}"/>
    <cellStyle name="Normal 35 2 2 6 3" xfId="692" xr:uid="{00000000-0005-0000-0000-0000BD020000}"/>
    <cellStyle name="Normal 35 2 2 6 30" xfId="693" xr:uid="{00000000-0005-0000-0000-0000BE020000}"/>
    <cellStyle name="Normal 35 2 2 6 31" xfId="694" xr:uid="{00000000-0005-0000-0000-0000BF020000}"/>
    <cellStyle name="Normal 35 2 2 6 32" xfId="695" xr:uid="{00000000-0005-0000-0000-0000C0020000}"/>
    <cellStyle name="Normal 35 2 2 6 33" xfId="696" xr:uid="{00000000-0005-0000-0000-0000C1020000}"/>
    <cellStyle name="Normal 35 2 2 6 34" xfId="697" xr:uid="{00000000-0005-0000-0000-0000C2020000}"/>
    <cellStyle name="Normal 35 2 2 6 35" xfId="698" xr:uid="{00000000-0005-0000-0000-0000C3020000}"/>
    <cellStyle name="Normal 35 2 2 6 36" xfId="699" xr:uid="{00000000-0005-0000-0000-0000C4020000}"/>
    <cellStyle name="Normal 35 2 2 6 37" xfId="700" xr:uid="{00000000-0005-0000-0000-0000C5020000}"/>
    <cellStyle name="Normal 35 2 2 6 38" xfId="701" xr:uid="{00000000-0005-0000-0000-0000C6020000}"/>
    <cellStyle name="Normal 35 2 2 6 39" xfId="702" xr:uid="{00000000-0005-0000-0000-0000C7020000}"/>
    <cellStyle name="Normal 35 2 2 6 4" xfId="703" xr:uid="{00000000-0005-0000-0000-0000C8020000}"/>
    <cellStyle name="Normal 35 2 2 6 40" xfId="704" xr:uid="{00000000-0005-0000-0000-0000C9020000}"/>
    <cellStyle name="Normal 35 2 2 6 41" xfId="705" xr:uid="{00000000-0005-0000-0000-0000CA020000}"/>
    <cellStyle name="Normal 35 2 2 6 42" xfId="706" xr:uid="{00000000-0005-0000-0000-0000CB020000}"/>
    <cellStyle name="Normal 35 2 2 6 43" xfId="707" xr:uid="{00000000-0005-0000-0000-0000CC020000}"/>
    <cellStyle name="Normal 35 2 2 6 44" xfId="708" xr:uid="{00000000-0005-0000-0000-0000CD020000}"/>
    <cellStyle name="Normal 35 2 2 6 45" xfId="709" xr:uid="{00000000-0005-0000-0000-0000CE020000}"/>
    <cellStyle name="Normal 35 2 2 6 46" xfId="710" xr:uid="{00000000-0005-0000-0000-0000CF020000}"/>
    <cellStyle name="Normal 35 2 2 6 5" xfId="711" xr:uid="{00000000-0005-0000-0000-0000D0020000}"/>
    <cellStyle name="Normal 35 2 2 6 6" xfId="712" xr:uid="{00000000-0005-0000-0000-0000D1020000}"/>
    <cellStyle name="Normal 35 2 2 6 7" xfId="713" xr:uid="{00000000-0005-0000-0000-0000D2020000}"/>
    <cellStyle name="Normal 35 2 2 6 8" xfId="714" xr:uid="{00000000-0005-0000-0000-0000D3020000}"/>
    <cellStyle name="Normal 35 2 2 6 9" xfId="715" xr:uid="{00000000-0005-0000-0000-0000D4020000}"/>
    <cellStyle name="Normal 35 2 3" xfId="716" xr:uid="{00000000-0005-0000-0000-0000D5020000}"/>
    <cellStyle name="Normal 35 2 3 10" xfId="717" xr:uid="{00000000-0005-0000-0000-0000D6020000}"/>
    <cellStyle name="Normal 35 2 3 11" xfId="718" xr:uid="{00000000-0005-0000-0000-0000D7020000}"/>
    <cellStyle name="Normal 35 2 3 12" xfId="719" xr:uid="{00000000-0005-0000-0000-0000D8020000}"/>
    <cellStyle name="Normal 35 2 3 13" xfId="720" xr:uid="{00000000-0005-0000-0000-0000D9020000}"/>
    <cellStyle name="Normal 35 2 3 14" xfId="721" xr:uid="{00000000-0005-0000-0000-0000DA020000}"/>
    <cellStyle name="Normal 35 2 3 15" xfId="722" xr:uid="{00000000-0005-0000-0000-0000DB020000}"/>
    <cellStyle name="Normal 35 2 3 16" xfId="723" xr:uid="{00000000-0005-0000-0000-0000DC020000}"/>
    <cellStyle name="Normal 35 2 3 17" xfId="724" xr:uid="{00000000-0005-0000-0000-0000DD020000}"/>
    <cellStyle name="Normal 35 2 3 18" xfId="725" xr:uid="{00000000-0005-0000-0000-0000DE020000}"/>
    <cellStyle name="Normal 35 2 3 19" xfId="726" xr:uid="{00000000-0005-0000-0000-0000DF020000}"/>
    <cellStyle name="Normal 35 2 3 2" xfId="727" xr:uid="{00000000-0005-0000-0000-0000E0020000}"/>
    <cellStyle name="Normal 35 2 3 20" xfId="728" xr:uid="{00000000-0005-0000-0000-0000E1020000}"/>
    <cellStyle name="Normal 35 2 3 21" xfId="729" xr:uid="{00000000-0005-0000-0000-0000E2020000}"/>
    <cellStyle name="Normal 35 2 3 22" xfId="730" xr:uid="{00000000-0005-0000-0000-0000E3020000}"/>
    <cellStyle name="Normal 35 2 3 23" xfId="731" xr:uid="{00000000-0005-0000-0000-0000E4020000}"/>
    <cellStyle name="Normal 35 2 3 24" xfId="732" xr:uid="{00000000-0005-0000-0000-0000E5020000}"/>
    <cellStyle name="Normal 35 2 3 25" xfId="733" xr:uid="{00000000-0005-0000-0000-0000E6020000}"/>
    <cellStyle name="Normal 35 2 3 26" xfId="734" xr:uid="{00000000-0005-0000-0000-0000E7020000}"/>
    <cellStyle name="Normal 35 2 3 27" xfId="735" xr:uid="{00000000-0005-0000-0000-0000E8020000}"/>
    <cellStyle name="Normal 35 2 3 28" xfId="736" xr:uid="{00000000-0005-0000-0000-0000E9020000}"/>
    <cellStyle name="Normal 35 2 3 29" xfId="737" xr:uid="{00000000-0005-0000-0000-0000EA020000}"/>
    <cellStyle name="Normal 35 2 3 3" xfId="738" xr:uid="{00000000-0005-0000-0000-0000EB020000}"/>
    <cellStyle name="Normal 35 2 3 30" xfId="739" xr:uid="{00000000-0005-0000-0000-0000EC020000}"/>
    <cellStyle name="Normal 35 2 3 31" xfId="740" xr:uid="{00000000-0005-0000-0000-0000ED020000}"/>
    <cellStyle name="Normal 35 2 3 32" xfId="741" xr:uid="{00000000-0005-0000-0000-0000EE020000}"/>
    <cellStyle name="Normal 35 2 3 33" xfId="742" xr:uid="{00000000-0005-0000-0000-0000EF020000}"/>
    <cellStyle name="Normal 35 2 3 34" xfId="743" xr:uid="{00000000-0005-0000-0000-0000F0020000}"/>
    <cellStyle name="Normal 35 2 3 35" xfId="744" xr:uid="{00000000-0005-0000-0000-0000F1020000}"/>
    <cellStyle name="Normal 35 2 3 36" xfId="745" xr:uid="{00000000-0005-0000-0000-0000F2020000}"/>
    <cellStyle name="Normal 35 2 3 37" xfId="746" xr:uid="{00000000-0005-0000-0000-0000F3020000}"/>
    <cellStyle name="Normal 35 2 3 38" xfId="747" xr:uid="{00000000-0005-0000-0000-0000F4020000}"/>
    <cellStyle name="Normal 35 2 3 39" xfId="748" xr:uid="{00000000-0005-0000-0000-0000F5020000}"/>
    <cellStyle name="Normal 35 2 3 4" xfId="749" xr:uid="{00000000-0005-0000-0000-0000F6020000}"/>
    <cellStyle name="Normal 35 2 3 40" xfId="750" xr:uid="{00000000-0005-0000-0000-0000F7020000}"/>
    <cellStyle name="Normal 35 2 3 41" xfId="751" xr:uid="{00000000-0005-0000-0000-0000F8020000}"/>
    <cellStyle name="Normal 35 2 3 42" xfId="752" xr:uid="{00000000-0005-0000-0000-0000F9020000}"/>
    <cellStyle name="Normal 35 2 3 43" xfId="753" xr:uid="{00000000-0005-0000-0000-0000FA020000}"/>
    <cellStyle name="Normal 35 2 3 44" xfId="754" xr:uid="{00000000-0005-0000-0000-0000FB020000}"/>
    <cellStyle name="Normal 35 2 3 45" xfId="755" xr:uid="{00000000-0005-0000-0000-0000FC020000}"/>
    <cellStyle name="Normal 35 2 3 46" xfId="756" xr:uid="{00000000-0005-0000-0000-0000FD020000}"/>
    <cellStyle name="Normal 35 2 3 5" xfId="757" xr:uid="{00000000-0005-0000-0000-0000FE020000}"/>
    <cellStyle name="Normal 35 2 3 6" xfId="758" xr:uid="{00000000-0005-0000-0000-0000FF020000}"/>
    <cellStyle name="Normal 35 2 3 7" xfId="759" xr:uid="{00000000-0005-0000-0000-000000030000}"/>
    <cellStyle name="Normal 35 2 3 8" xfId="760" xr:uid="{00000000-0005-0000-0000-000001030000}"/>
    <cellStyle name="Normal 35 2 3 9" xfId="761" xr:uid="{00000000-0005-0000-0000-000002030000}"/>
    <cellStyle name="Normal 35 2 4" xfId="762" xr:uid="{00000000-0005-0000-0000-000003030000}"/>
    <cellStyle name="Normal 35 2 5" xfId="763" xr:uid="{00000000-0005-0000-0000-000004030000}"/>
    <cellStyle name="Normal 35 2 6" xfId="764" xr:uid="{00000000-0005-0000-0000-000005030000}"/>
    <cellStyle name="Normal 35 2 7" xfId="765" xr:uid="{00000000-0005-0000-0000-000006030000}"/>
    <cellStyle name="Normal 35 2 8" xfId="766" xr:uid="{00000000-0005-0000-0000-000007030000}"/>
    <cellStyle name="Normal 35 2 9" xfId="767" xr:uid="{00000000-0005-0000-0000-000008030000}"/>
    <cellStyle name="Normal 35 3" xfId="768" xr:uid="{00000000-0005-0000-0000-000009030000}"/>
    <cellStyle name="Normal 36" xfId="769" xr:uid="{00000000-0005-0000-0000-00000A030000}"/>
    <cellStyle name="Normal 37" xfId="770" xr:uid="{00000000-0005-0000-0000-00000B030000}"/>
    <cellStyle name="Normal 37 2" xfId="771" xr:uid="{00000000-0005-0000-0000-00000C030000}"/>
    <cellStyle name="Normal 37 3" xfId="772" xr:uid="{00000000-0005-0000-0000-00000D030000}"/>
    <cellStyle name="Normal 37 3 2" xfId="773" xr:uid="{00000000-0005-0000-0000-00000E030000}"/>
    <cellStyle name="Normal 37 3 2 2" xfId="774" xr:uid="{00000000-0005-0000-0000-00000F030000}"/>
    <cellStyle name="Normal 37 4" xfId="775" xr:uid="{00000000-0005-0000-0000-000010030000}"/>
    <cellStyle name="Normal 37 5" xfId="776" xr:uid="{00000000-0005-0000-0000-000011030000}"/>
    <cellStyle name="Normal 37 5 2" xfId="777" xr:uid="{00000000-0005-0000-0000-000012030000}"/>
    <cellStyle name="Normal 37 5 2 2" xfId="778" xr:uid="{00000000-0005-0000-0000-000013030000}"/>
    <cellStyle name="Normal 37 5 2 2 2" xfId="779" xr:uid="{00000000-0005-0000-0000-000014030000}"/>
    <cellStyle name="Normal 37 5 2 2 2 2" xfId="780" xr:uid="{00000000-0005-0000-0000-000015030000}"/>
    <cellStyle name="Normal 37 5 2 2 2 2 2" xfId="781" xr:uid="{00000000-0005-0000-0000-000016030000}"/>
    <cellStyle name="Normal 37 5 2 2 3" xfId="782" xr:uid="{00000000-0005-0000-0000-000017030000}"/>
    <cellStyle name="Normal 37 5 2 3" xfId="783" xr:uid="{00000000-0005-0000-0000-000018030000}"/>
    <cellStyle name="Normal 37 5 2 4" xfId="784" xr:uid="{00000000-0005-0000-0000-000019030000}"/>
    <cellStyle name="Normal 37 5 2 5" xfId="785" xr:uid="{00000000-0005-0000-0000-00001A030000}"/>
    <cellStyle name="Normal 37 5 2 6" xfId="786" xr:uid="{00000000-0005-0000-0000-00001B030000}"/>
    <cellStyle name="Normal 37 5 2 7" xfId="787" xr:uid="{00000000-0005-0000-0000-00001C030000}"/>
    <cellStyle name="Normal 37 5 2 7 2" xfId="788" xr:uid="{00000000-0005-0000-0000-00001D030000}"/>
    <cellStyle name="Normal 37 6" xfId="789" xr:uid="{00000000-0005-0000-0000-00001E030000}"/>
    <cellStyle name="Normal 37 7" xfId="790" xr:uid="{00000000-0005-0000-0000-00001F030000}"/>
    <cellStyle name="Normal 38" xfId="791" xr:uid="{00000000-0005-0000-0000-000020030000}"/>
    <cellStyle name="Normal 38 2" xfId="792" xr:uid="{00000000-0005-0000-0000-000021030000}"/>
    <cellStyle name="Normal 38 3" xfId="793" xr:uid="{00000000-0005-0000-0000-000022030000}"/>
    <cellStyle name="Normal 39" xfId="794" xr:uid="{00000000-0005-0000-0000-000023030000}"/>
    <cellStyle name="Normal 4" xfId="795" xr:uid="{00000000-0005-0000-0000-000024030000}"/>
    <cellStyle name="Normal 4 2" xfId="796" xr:uid="{00000000-0005-0000-0000-000025030000}"/>
    <cellStyle name="Normal 4 3" xfId="797" xr:uid="{00000000-0005-0000-0000-000026030000}"/>
    <cellStyle name="Normal 4 4" xfId="798" xr:uid="{00000000-0005-0000-0000-000027030000}"/>
    <cellStyle name="Normal 4_Kosovo" xfId="813" xr:uid="{00000000-0005-0000-0000-000036030000}"/>
    <cellStyle name="Normal 40" xfId="799" xr:uid="{00000000-0005-0000-0000-000028030000}"/>
    <cellStyle name="Normal 40 2" xfId="800" xr:uid="{00000000-0005-0000-0000-000029030000}"/>
    <cellStyle name="Normal 41" xfId="801" xr:uid="{00000000-0005-0000-0000-00002A030000}"/>
    <cellStyle name="Normal 41 2" xfId="802" xr:uid="{00000000-0005-0000-0000-00002B030000}"/>
    <cellStyle name="Normal 42" xfId="803" xr:uid="{00000000-0005-0000-0000-00002C030000}"/>
    <cellStyle name="Normal 43" xfId="804" xr:uid="{00000000-0005-0000-0000-00002D030000}"/>
    <cellStyle name="Normal 43 2" xfId="805" xr:uid="{00000000-0005-0000-0000-00002E030000}"/>
    <cellStyle name="Normal 44" xfId="806" xr:uid="{00000000-0005-0000-0000-00002F030000}"/>
    <cellStyle name="Normal 45" xfId="807" xr:uid="{00000000-0005-0000-0000-000030030000}"/>
    <cellStyle name="Normal 46" xfId="808" xr:uid="{00000000-0005-0000-0000-000031030000}"/>
    <cellStyle name="Normal 46 2" xfId="809" xr:uid="{00000000-0005-0000-0000-000032030000}"/>
    <cellStyle name="Normal 47" xfId="810" xr:uid="{00000000-0005-0000-0000-000033030000}"/>
    <cellStyle name="Normal 48" xfId="811" xr:uid="{00000000-0005-0000-0000-000034030000}"/>
    <cellStyle name="Normal 49" xfId="812" xr:uid="{00000000-0005-0000-0000-000035030000}"/>
    <cellStyle name="Normal 5" xfId="814" xr:uid="{00000000-0005-0000-0000-000037030000}"/>
    <cellStyle name="Normal 5 2" xfId="815" xr:uid="{00000000-0005-0000-0000-000038030000}"/>
    <cellStyle name="Normal 5 2 2" xfId="816" xr:uid="{00000000-0005-0000-0000-000039030000}"/>
    <cellStyle name="Normal 5 3" xfId="817" xr:uid="{00000000-0005-0000-0000-00003A030000}"/>
    <cellStyle name="Normal 5 4" xfId="818" xr:uid="{00000000-0005-0000-0000-00003B030000}"/>
    <cellStyle name="Normal 5 4 2" xfId="819" xr:uid="{00000000-0005-0000-0000-00003C030000}"/>
    <cellStyle name="Normal 5 5" xfId="820" xr:uid="{00000000-0005-0000-0000-00003D030000}"/>
    <cellStyle name="Normal 50" xfId="821" xr:uid="{00000000-0005-0000-0000-00003E030000}"/>
    <cellStyle name="Normal 51" xfId="822" xr:uid="{00000000-0005-0000-0000-00003F030000}"/>
    <cellStyle name="Normal 6" xfId="823" xr:uid="{00000000-0005-0000-0000-000040030000}"/>
    <cellStyle name="Normal 6 2" xfId="824" xr:uid="{00000000-0005-0000-0000-000041030000}"/>
    <cellStyle name="Normal 6 2 2" xfId="825" xr:uid="{00000000-0005-0000-0000-000042030000}"/>
    <cellStyle name="Normal 6 3" xfId="826" xr:uid="{00000000-0005-0000-0000-000043030000}"/>
    <cellStyle name="Normal 6 4" xfId="827" xr:uid="{00000000-0005-0000-0000-000044030000}"/>
    <cellStyle name="Normal 7" xfId="828" xr:uid="{00000000-0005-0000-0000-000045030000}"/>
    <cellStyle name="Normal 7 2" xfId="829" xr:uid="{00000000-0005-0000-0000-000046030000}"/>
    <cellStyle name="Normal 8" xfId="830" xr:uid="{00000000-0005-0000-0000-000047030000}"/>
    <cellStyle name="Normal 8 2" xfId="831" xr:uid="{00000000-0005-0000-0000-000048030000}"/>
    <cellStyle name="Normal 9" xfId="832" xr:uid="{00000000-0005-0000-0000-000049030000}"/>
    <cellStyle name="Normal 9 2" xfId="833" xr:uid="{00000000-0005-0000-0000-00004A030000}"/>
    <cellStyle name="Normal GHG Numbers (0.00)" xfId="835" xr:uid="{00000000-0005-0000-0000-00004C030000}"/>
    <cellStyle name="Normal GHG Textfiels Bold" xfId="836" xr:uid="{00000000-0005-0000-0000-00004D030000}"/>
    <cellStyle name="Normal GHG whole table" xfId="837" xr:uid="{00000000-0005-0000-0000-00004E030000}"/>
    <cellStyle name="Normal GHG-Shade" xfId="838" xr:uid="{00000000-0005-0000-0000-00004F030000}"/>
    <cellStyle name="Normal Table" xfId="839" xr:uid="{00000000-0005-0000-0000-000050030000}"/>
    <cellStyle name="Normale_Foglio1" xfId="840" xr:uid="{00000000-0005-0000-0000-000051030000}"/>
    <cellStyle name="Normalny 2" xfId="841" xr:uid="{00000000-0005-0000-0000-000052030000}"/>
    <cellStyle name="Notas 2 2" xfId="842" xr:uid="{00000000-0005-0000-0000-000053030000}"/>
    <cellStyle name="Notas 2 3" xfId="843" xr:uid="{00000000-0005-0000-0000-000054030000}"/>
    <cellStyle name="Notas 3" xfId="844" xr:uid="{00000000-0005-0000-0000-000055030000}"/>
    <cellStyle name="Note 2" xfId="845" xr:uid="{00000000-0005-0000-0000-000056030000}"/>
    <cellStyle name="Note 2 2" xfId="846" xr:uid="{00000000-0005-0000-0000-000057030000}"/>
    <cellStyle name="Note 2 2 2" xfId="847" xr:uid="{00000000-0005-0000-0000-000058030000}"/>
    <cellStyle name="Note 2 2 3" xfId="848" xr:uid="{00000000-0005-0000-0000-000059030000}"/>
    <cellStyle name="Note 2 2 4" xfId="849" xr:uid="{00000000-0005-0000-0000-00005A030000}"/>
    <cellStyle name="Note 2 2 5" xfId="850" xr:uid="{00000000-0005-0000-0000-00005B030000}"/>
    <cellStyle name="Note 2 2_Kosovo" xfId="851" xr:uid="{00000000-0005-0000-0000-00005C030000}"/>
    <cellStyle name="Note 2 3" xfId="852" xr:uid="{00000000-0005-0000-0000-00005D030000}"/>
    <cellStyle name="Note 2_Kosovo" xfId="853" xr:uid="{00000000-0005-0000-0000-00005E030000}"/>
    <cellStyle name="Note 3" xfId="854" xr:uid="{00000000-0005-0000-0000-00005F030000}"/>
    <cellStyle name="Notes" xfId="855" xr:uid="{00000000-0005-0000-0000-000060030000}"/>
    <cellStyle name="Notiz" xfId="856" xr:uid="{00000000-0005-0000-0000-000061030000}"/>
    <cellStyle name="Of which" xfId="857" xr:uid="{00000000-0005-0000-0000-000062030000}"/>
    <cellStyle name="Output 2" xfId="858" xr:uid="{00000000-0005-0000-0000-000063030000}"/>
    <cellStyle name="Output 2 2" xfId="859" xr:uid="{00000000-0005-0000-0000-000064030000}"/>
    <cellStyle name="Output 2 2 2" xfId="860" xr:uid="{00000000-0005-0000-0000-000065030000}"/>
    <cellStyle name="Output 2 2 3" xfId="861" xr:uid="{00000000-0005-0000-0000-000066030000}"/>
    <cellStyle name="Output 2 2 4" xfId="862" xr:uid="{00000000-0005-0000-0000-000067030000}"/>
    <cellStyle name="Output 2 2 5" xfId="863" xr:uid="{00000000-0005-0000-0000-000068030000}"/>
    <cellStyle name="Output 2 2_Kosovo" xfId="864" xr:uid="{00000000-0005-0000-0000-000069030000}"/>
    <cellStyle name="Output 2 3" xfId="865" xr:uid="{00000000-0005-0000-0000-00006A030000}"/>
    <cellStyle name="Output 2_Kosovo" xfId="866" xr:uid="{00000000-0005-0000-0000-00006B030000}"/>
    <cellStyle name="Percent [2]" xfId="957" xr:uid="{00000000-0005-0000-0000-0000C6030000}"/>
    <cellStyle name="Percent 10" xfId="867" xr:uid="{00000000-0005-0000-0000-00006C030000}"/>
    <cellStyle name="Percent 11" xfId="868" xr:uid="{00000000-0005-0000-0000-00006D030000}"/>
    <cellStyle name="Percent 12" xfId="869" xr:uid="{00000000-0005-0000-0000-00006E030000}"/>
    <cellStyle name="Percent 13" xfId="870" xr:uid="{00000000-0005-0000-0000-00006F030000}"/>
    <cellStyle name="Percent 14" xfId="871" xr:uid="{00000000-0005-0000-0000-000070030000}"/>
    <cellStyle name="Percent 15" xfId="872" xr:uid="{00000000-0005-0000-0000-000071030000}"/>
    <cellStyle name="Percent 16" xfId="873" xr:uid="{00000000-0005-0000-0000-000072030000}"/>
    <cellStyle name="Percent 17" xfId="874" xr:uid="{00000000-0005-0000-0000-000073030000}"/>
    <cellStyle name="Percent 18" xfId="875" xr:uid="{00000000-0005-0000-0000-000074030000}"/>
    <cellStyle name="Percent 19" xfId="876" xr:uid="{00000000-0005-0000-0000-000075030000}"/>
    <cellStyle name="Percent 19 2" xfId="877" xr:uid="{00000000-0005-0000-0000-000076030000}"/>
    <cellStyle name="Percent 2" xfId="878" xr:uid="{00000000-0005-0000-0000-000077030000}"/>
    <cellStyle name="Percent 2 2" xfId="879" xr:uid="{00000000-0005-0000-0000-000078030000}"/>
    <cellStyle name="Percent 2 2 2" xfId="880" xr:uid="{00000000-0005-0000-0000-000079030000}"/>
    <cellStyle name="Percent 2 2 2 2" xfId="881" xr:uid="{00000000-0005-0000-0000-00007A030000}"/>
    <cellStyle name="Percent 2 2 2 3" xfId="882" xr:uid="{00000000-0005-0000-0000-00007B030000}"/>
    <cellStyle name="Percent 2 2 2 4" xfId="883" xr:uid="{00000000-0005-0000-0000-00007C030000}"/>
    <cellStyle name="Percent 2 2 2 5" xfId="884" xr:uid="{00000000-0005-0000-0000-00007D030000}"/>
    <cellStyle name="Percent 2 2 2 6" xfId="885" xr:uid="{00000000-0005-0000-0000-00007E030000}"/>
    <cellStyle name="Percent 2 2 2 6 10" xfId="886" xr:uid="{00000000-0005-0000-0000-00007F030000}"/>
    <cellStyle name="Percent 2 2 2 6 11" xfId="887" xr:uid="{00000000-0005-0000-0000-000080030000}"/>
    <cellStyle name="Percent 2 2 2 6 12" xfId="888" xr:uid="{00000000-0005-0000-0000-000081030000}"/>
    <cellStyle name="Percent 2 2 2 6 13" xfId="889" xr:uid="{00000000-0005-0000-0000-000082030000}"/>
    <cellStyle name="Percent 2 2 2 6 14" xfId="890" xr:uid="{00000000-0005-0000-0000-000083030000}"/>
    <cellStyle name="Percent 2 2 2 6 15" xfId="891" xr:uid="{00000000-0005-0000-0000-000084030000}"/>
    <cellStyle name="Percent 2 2 2 6 16" xfId="892" xr:uid="{00000000-0005-0000-0000-000085030000}"/>
    <cellStyle name="Percent 2 2 2 6 17" xfId="893" xr:uid="{00000000-0005-0000-0000-000086030000}"/>
    <cellStyle name="Percent 2 2 2 6 18" xfId="894" xr:uid="{00000000-0005-0000-0000-000087030000}"/>
    <cellStyle name="Percent 2 2 2 6 19" xfId="895" xr:uid="{00000000-0005-0000-0000-000088030000}"/>
    <cellStyle name="Percent 2 2 2 6 2" xfId="896" xr:uid="{00000000-0005-0000-0000-000089030000}"/>
    <cellStyle name="Percent 2 2 2 6 20" xfId="897" xr:uid="{00000000-0005-0000-0000-00008A030000}"/>
    <cellStyle name="Percent 2 2 2 6 21" xfId="898" xr:uid="{00000000-0005-0000-0000-00008B030000}"/>
    <cellStyle name="Percent 2 2 2 6 22" xfId="899" xr:uid="{00000000-0005-0000-0000-00008C030000}"/>
    <cellStyle name="Percent 2 2 2 6 23" xfId="900" xr:uid="{00000000-0005-0000-0000-00008D030000}"/>
    <cellStyle name="Percent 2 2 2 6 24" xfId="901" xr:uid="{00000000-0005-0000-0000-00008E030000}"/>
    <cellStyle name="Percent 2 2 2 6 25" xfId="902" xr:uid="{00000000-0005-0000-0000-00008F030000}"/>
    <cellStyle name="Percent 2 2 2 6 26" xfId="903" xr:uid="{00000000-0005-0000-0000-000090030000}"/>
    <cellStyle name="Percent 2 2 2 6 27" xfId="904" xr:uid="{00000000-0005-0000-0000-000091030000}"/>
    <cellStyle name="Percent 2 2 2 6 28" xfId="905" xr:uid="{00000000-0005-0000-0000-000092030000}"/>
    <cellStyle name="Percent 2 2 2 6 29" xfId="906" xr:uid="{00000000-0005-0000-0000-000093030000}"/>
    <cellStyle name="Percent 2 2 2 6 3" xfId="907" xr:uid="{00000000-0005-0000-0000-000094030000}"/>
    <cellStyle name="Percent 2 2 2 6 30" xfId="908" xr:uid="{00000000-0005-0000-0000-000095030000}"/>
    <cellStyle name="Percent 2 2 2 6 31" xfId="909" xr:uid="{00000000-0005-0000-0000-000096030000}"/>
    <cellStyle name="Percent 2 2 2 6 32" xfId="910" xr:uid="{00000000-0005-0000-0000-000097030000}"/>
    <cellStyle name="Percent 2 2 2 6 33" xfId="911" xr:uid="{00000000-0005-0000-0000-000098030000}"/>
    <cellStyle name="Percent 2 2 2 6 34" xfId="912" xr:uid="{00000000-0005-0000-0000-000099030000}"/>
    <cellStyle name="Percent 2 2 2 6 35" xfId="913" xr:uid="{00000000-0005-0000-0000-00009A030000}"/>
    <cellStyle name="Percent 2 2 2 6 36" xfId="914" xr:uid="{00000000-0005-0000-0000-00009B030000}"/>
    <cellStyle name="Percent 2 2 2 6 37" xfId="915" xr:uid="{00000000-0005-0000-0000-00009C030000}"/>
    <cellStyle name="Percent 2 2 2 6 38" xfId="916" xr:uid="{00000000-0005-0000-0000-00009D030000}"/>
    <cellStyle name="Percent 2 2 2 6 39" xfId="917" xr:uid="{00000000-0005-0000-0000-00009E030000}"/>
    <cellStyle name="Percent 2 2 2 6 4" xfId="918" xr:uid="{00000000-0005-0000-0000-00009F030000}"/>
    <cellStyle name="Percent 2 2 2 6 40" xfId="919" xr:uid="{00000000-0005-0000-0000-0000A0030000}"/>
    <cellStyle name="Percent 2 2 2 6 41" xfId="920" xr:uid="{00000000-0005-0000-0000-0000A1030000}"/>
    <cellStyle name="Percent 2 2 2 6 42" xfId="921" xr:uid="{00000000-0005-0000-0000-0000A2030000}"/>
    <cellStyle name="Percent 2 2 2 6 43" xfId="922" xr:uid="{00000000-0005-0000-0000-0000A3030000}"/>
    <cellStyle name="Percent 2 2 2 6 44" xfId="923" xr:uid="{00000000-0005-0000-0000-0000A4030000}"/>
    <cellStyle name="Percent 2 2 2 6 45" xfId="924" xr:uid="{00000000-0005-0000-0000-0000A5030000}"/>
    <cellStyle name="Percent 2 2 2 6 46" xfId="925" xr:uid="{00000000-0005-0000-0000-0000A6030000}"/>
    <cellStyle name="Percent 2 2 2 6 5" xfId="926" xr:uid="{00000000-0005-0000-0000-0000A7030000}"/>
    <cellStyle name="Percent 2 2 2 6 6" xfId="927" xr:uid="{00000000-0005-0000-0000-0000A8030000}"/>
    <cellStyle name="Percent 2 2 2 6 7" xfId="928" xr:uid="{00000000-0005-0000-0000-0000A9030000}"/>
    <cellStyle name="Percent 2 2 2 6 8" xfId="929" xr:uid="{00000000-0005-0000-0000-0000AA030000}"/>
    <cellStyle name="Percent 2 2 2 6 9" xfId="930" xr:uid="{00000000-0005-0000-0000-0000AB030000}"/>
    <cellStyle name="Percent 2 2 3" xfId="931" xr:uid="{00000000-0005-0000-0000-0000AC030000}"/>
    <cellStyle name="Percent 2 2 4" xfId="932" xr:uid="{00000000-0005-0000-0000-0000AD030000}"/>
    <cellStyle name="Percent 2 2 5" xfId="933" xr:uid="{00000000-0005-0000-0000-0000AE030000}"/>
    <cellStyle name="Percent 2 2 6" xfId="934" xr:uid="{00000000-0005-0000-0000-0000AF030000}"/>
    <cellStyle name="Percent 2 2 7" xfId="935" xr:uid="{00000000-0005-0000-0000-0000B0030000}"/>
    <cellStyle name="Percent 2 2 8" xfId="936" xr:uid="{00000000-0005-0000-0000-0000B1030000}"/>
    <cellStyle name="Percent 2 2 9" xfId="937" xr:uid="{00000000-0005-0000-0000-0000B2030000}"/>
    <cellStyle name="Percent 2 3" xfId="938" xr:uid="{00000000-0005-0000-0000-0000B3030000}"/>
    <cellStyle name="Percent 2 4" xfId="939" xr:uid="{00000000-0005-0000-0000-0000B4030000}"/>
    <cellStyle name="Percent 2 5" xfId="940" xr:uid="{00000000-0005-0000-0000-0000B5030000}"/>
    <cellStyle name="Percent 2 decimal calc" xfId="941" xr:uid="{00000000-0005-0000-0000-0000B6030000}"/>
    <cellStyle name="Percent 2 decimal input" xfId="942" xr:uid="{00000000-0005-0000-0000-0000B7030000}"/>
    <cellStyle name="Percent 20" xfId="943" xr:uid="{00000000-0005-0000-0000-0000B8030000}"/>
    <cellStyle name="Percent 21" xfId="944" xr:uid="{00000000-0005-0000-0000-0000B9030000}"/>
    <cellStyle name="Percent 22" xfId="945" xr:uid="{00000000-0005-0000-0000-0000BA030000}"/>
    <cellStyle name="Percent 3" xfId="946" xr:uid="{00000000-0005-0000-0000-0000BB030000}"/>
    <cellStyle name="Percent 3 2" xfId="947" xr:uid="{00000000-0005-0000-0000-0000BC030000}"/>
    <cellStyle name="Percent 3 3" xfId="948" xr:uid="{00000000-0005-0000-0000-0000BD030000}"/>
    <cellStyle name="Percent 4" xfId="949" xr:uid="{00000000-0005-0000-0000-0000BE030000}"/>
    <cellStyle name="Percent 4 2" xfId="950" xr:uid="{00000000-0005-0000-0000-0000BF030000}"/>
    <cellStyle name="Percent 4 3" xfId="951" xr:uid="{00000000-0005-0000-0000-0000C0030000}"/>
    <cellStyle name="Percent 5" xfId="952" xr:uid="{00000000-0005-0000-0000-0000C1030000}"/>
    <cellStyle name="Percent 6" xfId="953" xr:uid="{00000000-0005-0000-0000-0000C2030000}"/>
    <cellStyle name="Percent 7" xfId="954" xr:uid="{00000000-0005-0000-0000-0000C3030000}"/>
    <cellStyle name="Percent 8" xfId="955" xr:uid="{00000000-0005-0000-0000-0000C4030000}"/>
    <cellStyle name="Percent 9" xfId="956" xr:uid="{00000000-0005-0000-0000-0000C5030000}"/>
    <cellStyle name="Percent1" xfId="958" xr:uid="{00000000-0005-0000-0000-0000C7030000}"/>
    <cellStyle name="percentage difference" xfId="959" xr:uid="{00000000-0005-0000-0000-0000C8030000}"/>
    <cellStyle name="percentage difference one decimal" xfId="960" xr:uid="{00000000-0005-0000-0000-0000C9030000}"/>
    <cellStyle name="percentage difference zero decimal" xfId="961" xr:uid="{00000000-0005-0000-0000-0000CA030000}"/>
    <cellStyle name="Percentual" xfId="962" xr:uid="{00000000-0005-0000-0000-0000CB030000}"/>
    <cellStyle name="Ponto" xfId="963" xr:uid="{00000000-0005-0000-0000-0000CC030000}"/>
    <cellStyle name="Porcentagem_SEP1196" xfId="964" xr:uid="{00000000-0005-0000-0000-0000CD030000}"/>
    <cellStyle name="Porcentaje" xfId="965" xr:uid="{00000000-0005-0000-0000-0000CE030000}"/>
    <cellStyle name="Porcentaje 2" xfId="966" xr:uid="{00000000-0005-0000-0000-0000CF030000}"/>
    <cellStyle name="Porcentual 2" xfId="967" xr:uid="{00000000-0005-0000-0000-0000D0030000}"/>
    <cellStyle name="Porcentual 2 2" xfId="968" xr:uid="{00000000-0005-0000-0000-0000D1030000}"/>
    <cellStyle name="Porcentual 2 3" xfId="969" xr:uid="{00000000-0005-0000-0000-0000D2030000}"/>
    <cellStyle name="Porcentual 2 4" xfId="970" xr:uid="{00000000-0005-0000-0000-0000D3030000}"/>
    <cellStyle name="Porcentual 2 5" xfId="971" xr:uid="{00000000-0005-0000-0000-0000D4030000}"/>
    <cellStyle name="Porcentual 2 6" xfId="972" xr:uid="{00000000-0005-0000-0000-0000D5030000}"/>
    <cellStyle name="Porcentual 2 7" xfId="973" xr:uid="{00000000-0005-0000-0000-0000D6030000}"/>
    <cellStyle name="Porcentual 3" xfId="974" xr:uid="{00000000-0005-0000-0000-0000D7030000}"/>
    <cellStyle name="Porcentual 4" xfId="975" xr:uid="{00000000-0005-0000-0000-0000D8030000}"/>
    <cellStyle name="Presentation" xfId="976" xr:uid="{00000000-0005-0000-0000-0000D9030000}"/>
    <cellStyle name="Prozent_Imp02" xfId="977" xr:uid="{00000000-0005-0000-0000-0000DA030000}"/>
    <cellStyle name="PSChar" xfId="978" xr:uid="{00000000-0005-0000-0000-0000DB030000}"/>
    <cellStyle name="PSHeading" xfId="979" xr:uid="{00000000-0005-0000-0000-0000DC030000}"/>
    <cellStyle name="PSSpacer" xfId="980" xr:uid="{00000000-0005-0000-0000-0000DD030000}"/>
    <cellStyle name="Publication" xfId="981" xr:uid="{00000000-0005-0000-0000-0000DE030000}"/>
    <cellStyle name="Punto" xfId="982" xr:uid="{00000000-0005-0000-0000-0000DF030000}"/>
    <cellStyle name="Punto0" xfId="983" xr:uid="{00000000-0005-0000-0000-0000E0030000}"/>
    <cellStyle name="Punto0 - Estilo1" xfId="984" xr:uid="{00000000-0005-0000-0000-0000E1030000}"/>
    <cellStyle name="Punto0_Hoja1" xfId="985" xr:uid="{00000000-0005-0000-0000-0000E2030000}"/>
    <cellStyle name="Real $" xfId="986" xr:uid="{00000000-0005-0000-0000-0000E3030000}"/>
    <cellStyle name="Red Text" xfId="987" xr:uid="{00000000-0005-0000-0000-0000E4030000}"/>
    <cellStyle name="Reference" xfId="988" xr:uid="{00000000-0005-0000-0000-0000E5030000}"/>
    <cellStyle name="Row heading" xfId="989" xr:uid="{00000000-0005-0000-0000-0000E6030000}"/>
    <cellStyle name="RTCP 1 - User Selected Input Cell" xfId="990" xr:uid="{00000000-0005-0000-0000-0000E7030000}"/>
    <cellStyle name="RTCP 1 - User Selected Input Cell 2" xfId="991" xr:uid="{00000000-0005-0000-0000-0000E8030000}"/>
    <cellStyle name="RTCP 1 - User Selected Input Cell 2 2" xfId="992" xr:uid="{00000000-0005-0000-0000-0000E9030000}"/>
    <cellStyle name="RTCP 1 - User Selected Input Cell 2 2 2" xfId="993" xr:uid="{00000000-0005-0000-0000-0000EA030000}"/>
    <cellStyle name="RTCP 1 - User Selected Input Cell 2 3" xfId="994" xr:uid="{00000000-0005-0000-0000-0000EB030000}"/>
    <cellStyle name="RTCP 1 - User Selected Input Cell 2 3 2" xfId="995" xr:uid="{00000000-0005-0000-0000-0000EC030000}"/>
    <cellStyle name="RTCP 1 - User Selected Input Cell 2 4" xfId="996" xr:uid="{00000000-0005-0000-0000-0000ED030000}"/>
    <cellStyle name="RTCP 1 - User Selected Input Cell 2 4 2" xfId="997" xr:uid="{00000000-0005-0000-0000-0000EE030000}"/>
    <cellStyle name="RTCP 1 - User Selected Input Cell 2 5" xfId="998" xr:uid="{00000000-0005-0000-0000-0000EF030000}"/>
    <cellStyle name="RTCP 1 - User Selected Input Cell 2 5 2" xfId="999" xr:uid="{00000000-0005-0000-0000-0000F0030000}"/>
    <cellStyle name="RTCP 1 - User Selected Input Cell 2 6" xfId="1000" xr:uid="{00000000-0005-0000-0000-0000F1030000}"/>
    <cellStyle name="RTCP 1 - User Selected Input Cell 2_Kosovo" xfId="1001" xr:uid="{00000000-0005-0000-0000-0000F2030000}"/>
    <cellStyle name="RTCP 1 - User Selected Input Cell 3" xfId="1002" xr:uid="{00000000-0005-0000-0000-0000F3030000}"/>
    <cellStyle name="RTCP 1 - User Selected Input Cell 3 2" xfId="1003" xr:uid="{00000000-0005-0000-0000-0000F4030000}"/>
    <cellStyle name="RTCP 1 - User Selected Input Cell 3 2 2" xfId="1004" xr:uid="{00000000-0005-0000-0000-0000F5030000}"/>
    <cellStyle name="RTCP 1 - User Selected Input Cell 3 3" xfId="1005" xr:uid="{00000000-0005-0000-0000-0000F6030000}"/>
    <cellStyle name="RTCP 1 - User Selected Input Cell 3_Kosovo" xfId="1006" xr:uid="{00000000-0005-0000-0000-0000F7030000}"/>
    <cellStyle name="RTCP 1 - User Selected Input Cell 4" xfId="1007" xr:uid="{00000000-0005-0000-0000-0000F8030000}"/>
    <cellStyle name="RTCP 1 - User Selected Input Cell_Kosovo" xfId="1008" xr:uid="{00000000-0005-0000-0000-0000F9030000}"/>
    <cellStyle name="RTCP 2 - Formula linked to another worksheet" xfId="1009" xr:uid="{00000000-0005-0000-0000-0000FA030000}"/>
    <cellStyle name="RTCP 2 - Formula linked to another worksheet 2" xfId="1010" xr:uid="{00000000-0005-0000-0000-0000FB030000}"/>
    <cellStyle name="RTCP 2 - Formula linked to another worksheet 2 2" xfId="1011" xr:uid="{00000000-0005-0000-0000-0000FC030000}"/>
    <cellStyle name="RTCP 2 - Formula linked to another worksheet 2 3" xfId="1012" xr:uid="{00000000-0005-0000-0000-0000FD030000}"/>
    <cellStyle name="RTCP 2 - Formula linked to another worksheet 2 4" xfId="1013" xr:uid="{00000000-0005-0000-0000-0000FE030000}"/>
    <cellStyle name="RTCP 2 - Formula linked to another worksheet 2 5" xfId="1014" xr:uid="{00000000-0005-0000-0000-0000FF030000}"/>
    <cellStyle name="RTCP 2 - Formula linked to another worksheet 2_Kosovo" xfId="1015" xr:uid="{00000000-0005-0000-0000-000000040000}"/>
    <cellStyle name="RTCP 2 - Formula linked to another worksheet 3" xfId="1016" xr:uid="{00000000-0005-0000-0000-000001040000}"/>
    <cellStyle name="RTCP 2 - Formula linked to another worksheet 3 2" xfId="1017" xr:uid="{00000000-0005-0000-0000-000002040000}"/>
    <cellStyle name="RTCP 2 - Formula linked to another worksheet 3_Kosovo" xfId="1018" xr:uid="{00000000-0005-0000-0000-000003040000}"/>
    <cellStyle name="RTCP 2 - Formula linked to another worksheet_Kosovo" xfId="1019" xr:uid="{00000000-0005-0000-0000-000004040000}"/>
    <cellStyle name="RTCP 3 - Formula linked to cell on same worksheet" xfId="1020" xr:uid="{00000000-0005-0000-0000-000005040000}"/>
    <cellStyle name="RTCP 3 - Formula linked to cell on same worksheet 2" xfId="1021" xr:uid="{00000000-0005-0000-0000-000006040000}"/>
    <cellStyle name="RTCP 3 - Formula linked to cell on same worksheet 2 2" xfId="1022" xr:uid="{00000000-0005-0000-0000-000007040000}"/>
    <cellStyle name="RTCP 3 - Formula linked to cell on same worksheet 2 3" xfId="1023" xr:uid="{00000000-0005-0000-0000-000008040000}"/>
    <cellStyle name="RTCP 3 - Formula linked to cell on same worksheet 2 4" xfId="1024" xr:uid="{00000000-0005-0000-0000-000009040000}"/>
    <cellStyle name="RTCP 3 - Formula linked to cell on same worksheet 2 5" xfId="1025" xr:uid="{00000000-0005-0000-0000-00000A040000}"/>
    <cellStyle name="RTCP 3 - Formula linked to cell on same worksheet 2_Kosovo" xfId="1026" xr:uid="{00000000-0005-0000-0000-00000B040000}"/>
    <cellStyle name="RTCP 3 - Formula linked to cell on same worksheet 3" xfId="1027" xr:uid="{00000000-0005-0000-0000-00000C040000}"/>
    <cellStyle name="RTCP 3 - Formula linked to cell on same worksheet 3 2" xfId="1028" xr:uid="{00000000-0005-0000-0000-00000D040000}"/>
    <cellStyle name="RTCP 3 - Formula linked to cell on same worksheet_Kosovo" xfId="1029" xr:uid="{00000000-0005-0000-0000-00000E040000}"/>
    <cellStyle name="RTCP 4 - NPV Calculation" xfId="1030" xr:uid="{00000000-0005-0000-0000-00000F040000}"/>
    <cellStyle name="Rubrique" xfId="1031" xr:uid="{00000000-0005-0000-0000-000010040000}"/>
    <cellStyle name="Russian Normal" xfId="1032" xr:uid="{00000000-0005-0000-0000-000011040000}"/>
    <cellStyle name="SAPBEXaggData" xfId="1033" xr:uid="{00000000-0005-0000-0000-000012040000}"/>
    <cellStyle name="SAPBEXaggDataEmph" xfId="1034" xr:uid="{00000000-0005-0000-0000-000013040000}"/>
    <cellStyle name="SAPBEXaggItem" xfId="1035" xr:uid="{00000000-0005-0000-0000-000014040000}"/>
    <cellStyle name="SAPBEXaggItemX" xfId="1036" xr:uid="{00000000-0005-0000-0000-000015040000}"/>
    <cellStyle name="SAPBEXchaText" xfId="1037" xr:uid="{00000000-0005-0000-0000-000016040000}"/>
    <cellStyle name="SAPBEXexcBad" xfId="1038" xr:uid="{00000000-0005-0000-0000-000017040000}"/>
    <cellStyle name="SAPBEXexcBad7" xfId="1039" xr:uid="{00000000-0005-0000-0000-000018040000}"/>
    <cellStyle name="SAPBEXexcBad8" xfId="1040" xr:uid="{00000000-0005-0000-0000-000019040000}"/>
    <cellStyle name="SAPBEXexcBad9" xfId="1041" xr:uid="{00000000-0005-0000-0000-00001A040000}"/>
    <cellStyle name="SAPBEXexcCritical" xfId="1042" xr:uid="{00000000-0005-0000-0000-00001B040000}"/>
    <cellStyle name="SAPBEXexcCritical4" xfId="1043" xr:uid="{00000000-0005-0000-0000-00001C040000}"/>
    <cellStyle name="SAPBEXexcCritical5" xfId="1044" xr:uid="{00000000-0005-0000-0000-00001D040000}"/>
    <cellStyle name="SAPBEXexcCritical6" xfId="1045" xr:uid="{00000000-0005-0000-0000-00001E040000}"/>
    <cellStyle name="SAPBEXexcGood" xfId="1046" xr:uid="{00000000-0005-0000-0000-00001F040000}"/>
    <cellStyle name="SAPBEXexcGood1" xfId="1047" xr:uid="{00000000-0005-0000-0000-000020040000}"/>
    <cellStyle name="SAPBEXexcGood2" xfId="1048" xr:uid="{00000000-0005-0000-0000-000021040000}"/>
    <cellStyle name="SAPBEXexcGood3" xfId="1049" xr:uid="{00000000-0005-0000-0000-000022040000}"/>
    <cellStyle name="SAPBEXexcVeryBad" xfId="1050" xr:uid="{00000000-0005-0000-0000-000023040000}"/>
    <cellStyle name="SAPBEXfilterDrill" xfId="1051" xr:uid="{00000000-0005-0000-0000-000024040000}"/>
    <cellStyle name="SAPBEXfilterItem" xfId="1052" xr:uid="{00000000-0005-0000-0000-000025040000}"/>
    <cellStyle name="SAPBEXfilterText" xfId="1053" xr:uid="{00000000-0005-0000-0000-000026040000}"/>
    <cellStyle name="SAPBEXformats" xfId="1054" xr:uid="{00000000-0005-0000-0000-000027040000}"/>
    <cellStyle name="SAPBEXheaderData" xfId="1055" xr:uid="{00000000-0005-0000-0000-000028040000}"/>
    <cellStyle name="SAPBEXheaderItem" xfId="1056" xr:uid="{00000000-0005-0000-0000-000029040000}"/>
    <cellStyle name="SAPBEXheaderText" xfId="1057" xr:uid="{00000000-0005-0000-0000-00002A040000}"/>
    <cellStyle name="SAPBEXHLevel0" xfId="1058" xr:uid="{00000000-0005-0000-0000-00002B040000}"/>
    <cellStyle name="SAPBEXHLevel0X" xfId="1059" xr:uid="{00000000-0005-0000-0000-00002C040000}"/>
    <cellStyle name="SAPBEXHLevel1" xfId="1060" xr:uid="{00000000-0005-0000-0000-00002D040000}"/>
    <cellStyle name="SAPBEXHLevel1X" xfId="1061" xr:uid="{00000000-0005-0000-0000-00002E040000}"/>
    <cellStyle name="SAPBEXHLevel2" xfId="1062" xr:uid="{00000000-0005-0000-0000-00002F040000}"/>
    <cellStyle name="SAPBEXHLevel2X" xfId="1063" xr:uid="{00000000-0005-0000-0000-000030040000}"/>
    <cellStyle name="SAPBEXHLevel3" xfId="1064" xr:uid="{00000000-0005-0000-0000-000031040000}"/>
    <cellStyle name="SAPBEXHLevel3X" xfId="1065" xr:uid="{00000000-0005-0000-0000-000032040000}"/>
    <cellStyle name="SAPBEXinputData" xfId="1066" xr:uid="{00000000-0005-0000-0000-000033040000}"/>
    <cellStyle name="SAPBEXresData" xfId="1067" xr:uid="{00000000-0005-0000-0000-000034040000}"/>
    <cellStyle name="SAPBEXresDataEmph" xfId="1068" xr:uid="{00000000-0005-0000-0000-000035040000}"/>
    <cellStyle name="SAPBEXresItem" xfId="1069" xr:uid="{00000000-0005-0000-0000-000036040000}"/>
    <cellStyle name="SAPBEXresItemX" xfId="1070" xr:uid="{00000000-0005-0000-0000-000037040000}"/>
    <cellStyle name="SAPBEXstdData" xfId="1071" xr:uid="{00000000-0005-0000-0000-000038040000}"/>
    <cellStyle name="SAPBEXstdDataEmph" xfId="1072" xr:uid="{00000000-0005-0000-0000-000039040000}"/>
    <cellStyle name="SAPBEXstdItem" xfId="1073" xr:uid="{00000000-0005-0000-0000-00003A040000}"/>
    <cellStyle name="SAPBEXstdItemX" xfId="1074" xr:uid="{00000000-0005-0000-0000-00003B040000}"/>
    <cellStyle name="SAPBEXsubData" xfId="1075" xr:uid="{00000000-0005-0000-0000-00003C040000}"/>
    <cellStyle name="SAPBEXsubDataEmph" xfId="1076" xr:uid="{00000000-0005-0000-0000-00003D040000}"/>
    <cellStyle name="SAPBEXsubItem" xfId="1077" xr:uid="{00000000-0005-0000-0000-00003E040000}"/>
    <cellStyle name="SAPBEXtitle" xfId="1078" xr:uid="{00000000-0005-0000-0000-00003F040000}"/>
    <cellStyle name="SAPBEXundefined" xfId="1079" xr:uid="{00000000-0005-0000-0000-000040040000}"/>
    <cellStyle name="Schlecht" xfId="1080" xr:uid="{00000000-0005-0000-0000-000041040000}"/>
    <cellStyle name="Sep. milhar [2]" xfId="1081" xr:uid="{00000000-0005-0000-0000-000042040000}"/>
    <cellStyle name="Separador de m" xfId="1082" xr:uid="{00000000-0005-0000-0000-000043040000}"/>
    <cellStyle name="Separador de milhares [0]_A" xfId="1083" xr:uid="{00000000-0005-0000-0000-000044040000}"/>
    <cellStyle name="Separador de milhares_A" xfId="1084" xr:uid="{00000000-0005-0000-0000-000045040000}"/>
    <cellStyle name="Shade" xfId="1085" xr:uid="{00000000-0005-0000-0000-000046040000}"/>
    <cellStyle name="Shaded" xfId="1086" xr:uid="{00000000-0005-0000-0000-000047040000}"/>
    <cellStyle name="Sheet Link" xfId="1087" xr:uid="{00000000-0005-0000-0000-000048040000}"/>
    <cellStyle name="Sheet Title" xfId="1088" xr:uid="{00000000-0005-0000-0000-000049040000}"/>
    <cellStyle name="Source Hed" xfId="1089" xr:uid="{00000000-0005-0000-0000-00004A040000}"/>
    <cellStyle name="Source Letter" xfId="1090" xr:uid="{00000000-0005-0000-0000-00004B040000}"/>
    <cellStyle name="Source Superscript" xfId="1091" xr:uid="{00000000-0005-0000-0000-00004C040000}"/>
    <cellStyle name="Source Text" xfId="1092" xr:uid="{00000000-0005-0000-0000-00004D040000}"/>
    <cellStyle name="Sous-rubrique" xfId="1093" xr:uid="{00000000-0005-0000-0000-00004E040000}"/>
    <cellStyle name="Standard_0 - Inhalt, Erläuterungen, Einheiten" xfId="1094" xr:uid="{00000000-0005-0000-0000-00004F040000}"/>
    <cellStyle name="State" xfId="1095" xr:uid="{00000000-0005-0000-0000-000050040000}"/>
    <cellStyle name="Style 1" xfId="1096" xr:uid="{00000000-0005-0000-0000-000051040000}"/>
    <cellStyle name="Style 21" xfId="1097" xr:uid="{00000000-0005-0000-0000-000052040000}"/>
    <cellStyle name="Style 22" xfId="1098" xr:uid="{00000000-0005-0000-0000-000053040000}"/>
    <cellStyle name="Style 23" xfId="1099" xr:uid="{00000000-0005-0000-0000-000054040000}"/>
    <cellStyle name="Style 24" xfId="1100" xr:uid="{00000000-0005-0000-0000-000055040000}"/>
    <cellStyle name="Style 25" xfId="1101" xr:uid="{00000000-0005-0000-0000-000056040000}"/>
    <cellStyle name="Style 26" xfId="1102" xr:uid="{00000000-0005-0000-0000-000057040000}"/>
    <cellStyle name="Style 35" xfId="1103" xr:uid="{00000000-0005-0000-0000-000058040000}"/>
    <cellStyle name="SubHead1" xfId="1104" xr:uid="{00000000-0005-0000-0000-000059040000}"/>
    <cellStyle name="SubHead2" xfId="1105" xr:uid="{00000000-0005-0000-0000-00005A040000}"/>
    <cellStyle name="SubHead2 2" xfId="1106" xr:uid="{00000000-0005-0000-0000-00005B040000}"/>
    <cellStyle name="SubHead2 3" xfId="1107" xr:uid="{00000000-0005-0000-0000-00005C040000}"/>
    <cellStyle name="SubHeading" xfId="1108" xr:uid="{00000000-0005-0000-0000-00005D040000}"/>
    <cellStyle name="Superscript" xfId="1109" xr:uid="{00000000-0005-0000-0000-00005E040000}"/>
    <cellStyle name="Superscript- regular" xfId="1110" xr:uid="{00000000-0005-0000-0000-00005F040000}"/>
    <cellStyle name="Superscript_1-1A-Regular" xfId="1111" xr:uid="{00000000-0005-0000-0000-000060040000}"/>
    <cellStyle name="Table Data" xfId="1112" xr:uid="{00000000-0005-0000-0000-000061040000}"/>
    <cellStyle name="Table Head Aligned" xfId="1113" xr:uid="{00000000-0005-0000-0000-000062040000}"/>
    <cellStyle name="Table Head Top" xfId="1114" xr:uid="{00000000-0005-0000-0000-000063040000}"/>
    <cellStyle name="Table Hed Side" xfId="1115" xr:uid="{00000000-0005-0000-0000-000064040000}"/>
    <cellStyle name="Table Hed Side 2" xfId="1116" xr:uid="{00000000-0005-0000-0000-000065040000}"/>
    <cellStyle name="Table Title" xfId="1117" xr:uid="{00000000-0005-0000-0000-000066040000}"/>
    <cellStyle name="Table Units" xfId="1118" xr:uid="{00000000-0005-0000-0000-000067040000}"/>
    <cellStyle name="Text 1" xfId="1119" xr:uid="{00000000-0005-0000-0000-000068040000}"/>
    <cellStyle name="Title Text" xfId="1120" xr:uid="{00000000-0005-0000-0000-000069040000}"/>
    <cellStyle name="Title Text 1" xfId="1121" xr:uid="{00000000-0005-0000-0000-00006A040000}"/>
    <cellStyle name="Title Text 2" xfId="1122" xr:uid="{00000000-0005-0000-0000-00006B040000}"/>
    <cellStyle name="Title-1" xfId="1123" xr:uid="{00000000-0005-0000-0000-00006C040000}"/>
    <cellStyle name="Title-2" xfId="1124" xr:uid="{00000000-0005-0000-0000-00006D040000}"/>
    <cellStyle name="Title-3" xfId="1125" xr:uid="{00000000-0005-0000-0000-00006E040000}"/>
    <cellStyle name="Titre" xfId="1126" xr:uid="{00000000-0005-0000-0000-00006F040000}"/>
    <cellStyle name="Titulo1" xfId="1127" xr:uid="{00000000-0005-0000-0000-000070040000}"/>
    <cellStyle name="Titulo2" xfId="1128" xr:uid="{00000000-0005-0000-0000-000071040000}"/>
    <cellStyle name="TopGrey" xfId="1129" xr:uid="{00000000-0005-0000-0000-000072040000}"/>
    <cellStyle name="Total 2" xfId="1130" xr:uid="{00000000-0005-0000-0000-000073040000}"/>
    <cellStyle name="Überschrift" xfId="1168" xr:uid="{00000000-0005-0000-0000-000099040000}"/>
    <cellStyle name="Überschrift 1" xfId="1169" xr:uid="{00000000-0005-0000-0000-00009A040000}"/>
    <cellStyle name="Überschrift 2" xfId="1170" xr:uid="{00000000-0005-0000-0000-00009B040000}"/>
    <cellStyle name="Überschrift 3" xfId="1171" xr:uid="{00000000-0005-0000-0000-00009C040000}"/>
    <cellStyle name="Überschrift 3 2" xfId="1172" xr:uid="{00000000-0005-0000-0000-00009D040000}"/>
    <cellStyle name="Überschrift 4" xfId="1173" xr:uid="{00000000-0005-0000-0000-00009E040000}"/>
    <cellStyle name="User_Defined_A" xfId="1131" xr:uid="{00000000-0005-0000-0000-000074040000}"/>
    <cellStyle name="V¡rgula" xfId="1134" xr:uid="{00000000-0005-0000-0000-000077040000}"/>
    <cellStyle name="V¡rgula0" xfId="1135" xr:uid="{00000000-0005-0000-0000-000078040000}"/>
    <cellStyle name="vaca" xfId="1132" xr:uid="{00000000-0005-0000-0000-000075040000}"/>
    <cellStyle name="Verknüpfte Zelle" xfId="1133" xr:uid="{00000000-0005-0000-0000-000076040000}"/>
    <cellStyle name="Vírgula" xfId="1136" xr:uid="{00000000-0005-0000-0000-000079040000}"/>
    <cellStyle name="Währung [0]_Imp02" xfId="1163" xr:uid="{00000000-0005-0000-0000-000094040000}"/>
    <cellStyle name="Währung_Imp02" xfId="1164" xr:uid="{00000000-0005-0000-0000-000095040000}"/>
    <cellStyle name="Warnender Text" xfId="1137" xr:uid="{00000000-0005-0000-0000-00007A040000}"/>
    <cellStyle name="Warning Text 2" xfId="1138" xr:uid="{00000000-0005-0000-0000-00007B040000}"/>
    <cellStyle name="WebAnchor1" xfId="1139" xr:uid="{00000000-0005-0000-0000-00007C040000}"/>
    <cellStyle name="WebAnchor2" xfId="1140" xr:uid="{00000000-0005-0000-0000-00007D040000}"/>
    <cellStyle name="WebAnchor3" xfId="1141" xr:uid="{00000000-0005-0000-0000-00007E040000}"/>
    <cellStyle name="WebAnchor4" xfId="1142" xr:uid="{00000000-0005-0000-0000-00007F040000}"/>
    <cellStyle name="WebAnchor5" xfId="1143" xr:uid="{00000000-0005-0000-0000-000080040000}"/>
    <cellStyle name="WebAnchor6" xfId="1144" xr:uid="{00000000-0005-0000-0000-000081040000}"/>
    <cellStyle name="WebAnchor7" xfId="1145" xr:uid="{00000000-0005-0000-0000-000082040000}"/>
    <cellStyle name="Webexclude" xfId="1146" xr:uid="{00000000-0005-0000-0000-000083040000}"/>
    <cellStyle name="WebFN" xfId="1147" xr:uid="{00000000-0005-0000-0000-000084040000}"/>
    <cellStyle name="WebFN1" xfId="1148" xr:uid="{00000000-0005-0000-0000-000085040000}"/>
    <cellStyle name="WebFN2" xfId="1149" xr:uid="{00000000-0005-0000-0000-000086040000}"/>
    <cellStyle name="WebFN3" xfId="1150" xr:uid="{00000000-0005-0000-0000-000087040000}"/>
    <cellStyle name="WebFN4" xfId="1151" xr:uid="{00000000-0005-0000-0000-000088040000}"/>
    <cellStyle name="WebHR" xfId="1152" xr:uid="{00000000-0005-0000-0000-000089040000}"/>
    <cellStyle name="WebIndent1" xfId="1153" xr:uid="{00000000-0005-0000-0000-00008A040000}"/>
    <cellStyle name="WebIndent1wFN3" xfId="1154" xr:uid="{00000000-0005-0000-0000-00008B040000}"/>
    <cellStyle name="WebIndent2" xfId="1155" xr:uid="{00000000-0005-0000-0000-00008C040000}"/>
    <cellStyle name="WebNoBR" xfId="1156" xr:uid="{00000000-0005-0000-0000-00008D040000}"/>
    <cellStyle name="Wrap" xfId="1157" xr:uid="{00000000-0005-0000-0000-00008E040000}"/>
    <cellStyle name="Wrap Bold" xfId="1158" xr:uid="{00000000-0005-0000-0000-00008F040000}"/>
    <cellStyle name="Wrap Bold 2" xfId="1159" xr:uid="{00000000-0005-0000-0000-000090040000}"/>
    <cellStyle name="Wrap Bold 3" xfId="1160" xr:uid="{00000000-0005-0000-0000-000091040000}"/>
    <cellStyle name="Wrap Title" xfId="1161" xr:uid="{00000000-0005-0000-0000-000092040000}"/>
    <cellStyle name="Wrap_NTS99-~11" xfId="1162" xr:uid="{00000000-0005-0000-0000-000093040000}"/>
    <cellStyle name="Year" xfId="1165" xr:uid="{00000000-0005-0000-0000-000096040000}"/>
    <cellStyle name="Years" xfId="1166" xr:uid="{00000000-0005-0000-0000-000097040000}"/>
    <cellStyle name="Zelle überprüfen" xfId="1167" xr:uid="{00000000-0005-0000-0000-000098040000}"/>
    <cellStyle name="Гиперссылка" xfId="1174" xr:uid="{00000000-0005-0000-0000-00009F040000}"/>
    <cellStyle name="ДАТА" xfId="1175" xr:uid="{00000000-0005-0000-0000-0000A0040000}"/>
    <cellStyle name="ДЕНЕЖНЫЙ_BOPENGC" xfId="1176" xr:uid="{00000000-0005-0000-0000-0000A1040000}"/>
    <cellStyle name="ЗАГОЛОВОК1" xfId="1177" xr:uid="{00000000-0005-0000-0000-0000A2040000}"/>
    <cellStyle name="ЗАГОЛОВОК2" xfId="1178" xr:uid="{00000000-0005-0000-0000-0000A3040000}"/>
    <cellStyle name="ИТОГОВЫЙ" xfId="1179" xr:uid="{00000000-0005-0000-0000-0000A4040000}"/>
    <cellStyle name="Обычный_2++" xfId="1180" xr:uid="{00000000-0005-0000-0000-0000A5040000}"/>
    <cellStyle name="ПРОЦЕНТНЫЙ_BOPENGC" xfId="1181" xr:uid="{00000000-0005-0000-0000-0000A6040000}"/>
    <cellStyle name="ТЕКСТ" xfId="1182" xr:uid="{00000000-0005-0000-0000-0000A7040000}"/>
    <cellStyle name="ФИКСИРОВАННЫЙ" xfId="1183" xr:uid="{00000000-0005-0000-0000-0000A8040000}"/>
    <cellStyle name="ФИНАНСОВЫЙ_BOPENGC" xfId="1184" xr:uid="{00000000-0005-0000-0000-0000A9040000}"/>
    <cellStyle name="常规_0-3报价汇总表" xfId="1185" xr:uid="{00000000-0005-0000-0000-0000AA040000}"/>
  </cellStyles>
  <dxfs count="5">
    <dxf>
      <font>
        <b/>
        <sz val="11"/>
        <color rgb="FFFFFFFF"/>
        <name val="Calibri"/>
        <family val="2"/>
        <charset val="1"/>
      </font>
      <numFmt numFmtId="164" formatCode="#,##0_);[Red]\(#,##0\);\-"/>
      <fill>
        <patternFill>
          <bgColor rgb="FFDD0806"/>
        </patternFill>
      </fill>
    </dxf>
    <dxf>
      <font>
        <sz val="11"/>
        <color rgb="FF3366FF"/>
        <name val="Calibri"/>
        <family val="2"/>
        <charset val="1"/>
      </font>
      <numFmt numFmtId="164" formatCode="#,##0_);[Red]\(#,##0\);\-"/>
    </dxf>
    <dxf>
      <font>
        <b/>
        <sz val="11"/>
        <color rgb="FFFFFFFF"/>
        <name val="Calibri"/>
        <family val="2"/>
        <charset val="1"/>
      </font>
      <numFmt numFmtId="164" formatCode="#,##0_);[Red]\(#,##0\);\-"/>
      <fill>
        <patternFill>
          <bgColor rgb="FFDD0806"/>
        </patternFill>
      </fill>
      <border diagonalUp="0" diagonalDown="0">
        <left style="thin">
          <color rgb="FFFCF305"/>
        </left>
        <right style="thin">
          <color rgb="FFFCF305"/>
        </right>
        <top style="thin">
          <color rgb="FFFCF305"/>
        </top>
        <bottom style="thin">
          <color rgb="FFFCF305"/>
        </bottom>
      </border>
    </dxf>
    <dxf>
      <font>
        <sz val="11"/>
        <color rgb="FF000000"/>
        <name val="Calibri"/>
        <family val="2"/>
        <charset val="1"/>
      </font>
      <numFmt numFmtId="164" formatCode="#,##0_);[Red]\(#,##0\);\-"/>
      <fill>
        <patternFill>
          <bgColor rgb="FFDD0806"/>
        </patternFill>
      </fill>
    </dxf>
    <dxf>
      <font>
        <sz val="11"/>
        <color rgb="FF000000"/>
        <name val="Calibri"/>
        <family val="2"/>
        <charset val="1"/>
      </font>
      <numFmt numFmtId="164" formatCode="#,##0_);[Red]\(#,##0\);\-"/>
      <fill>
        <patternFill>
          <bgColor rgb="FF99CC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D0806"/>
      <rgbColor rgb="FF4EE257"/>
      <rgbColor rgb="FF0000D4"/>
      <rgbColor rgb="FFFCF305"/>
      <rgbColor rgb="FFDD5061"/>
      <rgbColor rgb="FF53CAEC"/>
      <rgbColor rgb="FFFEA746"/>
      <rgbColor rgb="FF006411"/>
      <rgbColor rgb="FF000090"/>
      <rgbColor rgb="FF90713A"/>
      <rgbColor rgb="FF6711FF"/>
      <rgbColor rgb="FF008080"/>
      <rgbColor rgb="FFC0C0C0"/>
      <rgbColor rgb="FF808080"/>
      <rgbColor rgb="FF63AAFE"/>
      <rgbColor rgb="FF993366"/>
      <rgbColor rgb="FFFFF8A9"/>
      <rgbColor rgb="FFCCFFFF"/>
      <rgbColor rgb="FF4600A5"/>
      <rgbColor rgb="FFFF6F4C"/>
      <rgbColor rgb="FF4F81BD"/>
      <rgbColor rgb="FFB2D8E5"/>
      <rgbColor rgb="FFA2BD90"/>
      <rgbColor rgb="FFF79646"/>
      <rgbColor rgb="FFFFF58C"/>
      <rgbColor rgb="FF00ABEA"/>
      <rgbColor rgb="FF8064A2"/>
      <rgbColor rgb="FFB3B3B3"/>
      <rgbColor rgb="FF466371"/>
      <rgbColor rgb="FF7BEA81"/>
      <rgbColor rgb="FF00CCFF"/>
      <rgbColor rgb="FFDFDFD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4BACC6"/>
      <rgbColor rgb="FF1FB714"/>
      <rgbColor rgb="FFDD2D32"/>
      <rgbColor rgb="FF865357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2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lang="fr-SN" sz="1320" b="0" strike="noStrike" spc="-1">
                <a:solidFill>
                  <a:srgbClr val="000000"/>
                </a:solidFill>
                <a:latin typeface="Calibri"/>
                <a:ea typeface="DejaVu Sans"/>
              </a:rPr>
              <a:t>Flux de tresorerie - mine d'or</a:t>
            </a:r>
          </a:p>
        </c:rich>
      </c:tx>
      <c:layout>
        <c:manualLayout>
          <c:xMode val="edge"/>
          <c:yMode val="edge"/>
          <c:x val="0.42032368274048126"/>
          <c:y val="4.3384821412374881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6.4219275677815199E-2"/>
          <c:y val="1.5795273662299499E-2"/>
          <c:w val="0.91094399366712797"/>
          <c:h val="0.94930819150238799"/>
        </c:manualLayout>
      </c:layout>
      <c:barChart>
        <c:barDir val="col"/>
        <c:grouping val="clustered"/>
        <c:varyColors val="0"/>
        <c:ser>
          <c:idx val="0"/>
          <c:order val="0"/>
          <c:tx>
            <c:v>Flux de tresorerie avant impots (reel)</c:v>
          </c:tx>
          <c:spPr>
            <a:solidFill>
              <a:srgbClr val="53CAE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Modèle!$G$21:$X$21</c:f>
              <c:numCache>
                <c:formatCode>#\ ##0;\-#\ ##0;\-</c:formatCode>
                <c:ptCount val="18"/>
                <c:pt idx="0">
                  <c:v>142.99</c:v>
                </c:pt>
                <c:pt idx="1">
                  <c:v>259.38279999999997</c:v>
                </c:pt>
                <c:pt idx="2">
                  <c:v>193.01599999999996</c:v>
                </c:pt>
                <c:pt idx="3">
                  <c:v>412</c:v>
                </c:pt>
                <c:pt idx="4">
                  <c:v>396</c:v>
                </c:pt>
                <c:pt idx="5">
                  <c:v>425</c:v>
                </c:pt>
                <c:pt idx="6">
                  <c:v>449</c:v>
                </c:pt>
                <c:pt idx="7">
                  <c:v>304</c:v>
                </c:pt>
                <c:pt idx="8">
                  <c:v>89.79910000000001</c:v>
                </c:pt>
                <c:pt idx="9">
                  <c:v>108.79170000000002</c:v>
                </c:pt>
                <c:pt idx="10">
                  <c:v>104.79910000000001</c:v>
                </c:pt>
                <c:pt idx="11">
                  <c:v>115.7954</c:v>
                </c:pt>
                <c:pt idx="12">
                  <c:v>129.80810000000002</c:v>
                </c:pt>
                <c:pt idx="13">
                  <c:v>122.80439999999999</c:v>
                </c:pt>
                <c:pt idx="14">
                  <c:v>171.79860000000002</c:v>
                </c:pt>
                <c:pt idx="15">
                  <c:v>125.80300000000001</c:v>
                </c:pt>
                <c:pt idx="16">
                  <c:v>44.598399999999991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4-419C-A582-FA18AC1DC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08086"/>
        <c:axId val="98196678"/>
      </c:barChart>
      <c:lineChart>
        <c:grouping val="standard"/>
        <c:varyColors val="0"/>
        <c:ser>
          <c:idx val="1"/>
          <c:order val="1"/>
          <c:tx>
            <c:v>Flux de tresorerie avant impots (nominal)</c:v>
          </c:tx>
          <c:spPr>
            <a:ln w="25200">
              <a:solidFill>
                <a:srgbClr val="FEA7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Modèle!$G$54:$X$54</c:f>
              <c:numCache>
                <c:formatCode>#\ ##0;\-#\ ##0;\-</c:formatCode>
                <c:ptCount val="18"/>
                <c:pt idx="0">
                  <c:v>142.99</c:v>
                </c:pt>
                <c:pt idx="1">
                  <c:v>264.57045600000004</c:v>
                </c:pt>
                <c:pt idx="2">
                  <c:v>200.81384639999999</c:v>
                </c:pt>
                <c:pt idx="3">
                  <c:v>437.21769599999993</c:v>
                </c:pt>
                <c:pt idx="4">
                  <c:v>428.64313535999997</c:v>
                </c:pt>
                <c:pt idx="5">
                  <c:v>469.23434136000003</c:v>
                </c:pt>
                <c:pt idx="6">
                  <c:v>505.64692624953602</c:v>
                </c:pt>
                <c:pt idx="7">
                  <c:v>349.20044296538106</c:v>
                </c:pt>
                <c:pt idx="8">
                  <c:v>105.21395792056057</c:v>
                </c:pt>
                <c:pt idx="9">
                  <c:v>130.01615219778787</c:v>
                </c:pt>
                <c:pt idx="10">
                  <c:v>127.74951812047254</c:v>
                </c:pt>
                <c:pt idx="11">
                  <c:v>143.97702539028211</c:v>
                </c:pt>
                <c:pt idx="12">
                  <c:v>164.62805769275434</c:v>
                </c:pt>
                <c:pt idx="13">
                  <c:v>158.86058608890011</c:v>
                </c:pt>
                <c:pt idx="14">
                  <c:v>226.68460422393321</c:v>
                </c:pt>
                <c:pt idx="15">
                  <c:v>169.31427456619048</c:v>
                </c:pt>
                <c:pt idx="16">
                  <c:v>61.224045989913137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4-419C-A582-FA18AC1DC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4508086"/>
        <c:axId val="98196678"/>
      </c:lineChart>
      <c:catAx>
        <c:axId val="445080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lang="fr-SN"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96888327987427292"/>
              <c:y val="0.92841823414367908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C0C0C0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98196678"/>
        <c:crossesAt val="0"/>
        <c:auto val="1"/>
        <c:lblAlgn val="ctr"/>
        <c:lblOffset val="100"/>
        <c:noMultiLvlLbl val="0"/>
      </c:catAx>
      <c:valAx>
        <c:axId val="981966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lang="fr-SN"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rPr>
                  <a:t>USD million</a:t>
                </a:r>
              </a:p>
            </c:rich>
          </c:tx>
          <c:layout>
            <c:manualLayout>
              <c:xMode val="edge"/>
              <c:yMode val="edge"/>
              <c:x val="2.46388284187611E-2"/>
              <c:y val="0.121464430023264"/>
            </c:manualLayout>
          </c:layout>
          <c:overlay val="0"/>
          <c:spPr>
            <a:noFill/>
            <a:ln w="0">
              <a:noFill/>
            </a:ln>
          </c:spPr>
        </c:title>
        <c:numFmt formatCode="#,##0;\-#,##0;\-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44508086"/>
        <c:crossesAt val="1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7.6591808331265998E-2"/>
          <c:y val="0.94689264949018637"/>
          <c:w val="0.49244775617636188"/>
          <c:h val="4.8849785936452512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100" b="0" strike="noStrike" spc="-1">
              <a:solidFill>
                <a:srgbClr val="000000"/>
              </a:solidFill>
              <a:latin typeface="Calibri"/>
              <a:ea typeface="DejaVu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20" b="1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lang="fr-SN" sz="1320" b="1" strike="noStrike" spc="-1">
                <a:solidFill>
                  <a:srgbClr val="000000"/>
                </a:solidFill>
                <a:latin typeface="Calibri"/>
                <a:ea typeface="DejaVu Sans"/>
              </a:rPr>
              <a:t>Graphique 2d. comparaison des recettes de l'Etat</a:t>
            </a:r>
          </a:p>
        </c:rich>
      </c:tx>
      <c:layout>
        <c:manualLayout>
          <c:xMode val="edge"/>
          <c:yMode val="edge"/>
          <c:x val="0.23802518535953901"/>
          <c:y val="4.14129110840439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7.0495468989054996E-2"/>
          <c:y val="7.4964012844646197E-2"/>
          <c:w val="0.90343650700247202"/>
          <c:h val="0.77920496069095302"/>
        </c:manualLayout>
      </c:layout>
      <c:lineChart>
        <c:grouping val="standard"/>
        <c:varyColors val="0"/>
        <c:ser>
          <c:idx val="1"/>
          <c:order val="1"/>
          <c:tx>
            <c:strRef>
              <c:f>Modèle!$D$407</c:f>
              <c:strCache>
                <c:ptCount val="1"/>
                <c:pt idx="0">
                  <c:v>RDC - 2002</c:v>
                </c:pt>
              </c:strCache>
            </c:strRef>
          </c:tx>
          <c:spPr>
            <a:ln w="25200">
              <a:solidFill>
                <a:srgbClr val="993366"/>
              </a:solidFill>
              <a:round/>
            </a:ln>
          </c:spPr>
          <c:marker>
            <c:symbol val="square"/>
            <c:size val="7"/>
            <c:spPr>
              <a:solidFill>
                <a:srgbClr val="99336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Modèle!$G$407:$AJ$407</c:f>
              <c:numCache>
                <c:formatCode>0</c:formatCode>
                <c:ptCount val="30"/>
                <c:pt idx="0">
                  <c:v>36.423227500000003</c:v>
                </c:pt>
                <c:pt idx="1">
                  <c:v>131.01879832352901</c:v>
                </c:pt>
                <c:pt idx="2">
                  <c:v>105.490188442907</c:v>
                </c:pt>
                <c:pt idx="3">
                  <c:v>171.38482276613101</c:v>
                </c:pt>
                <c:pt idx="4">
                  <c:v>171.616911087631</c:v>
                </c:pt>
                <c:pt idx="5">
                  <c:v>183.94132176678099</c:v>
                </c:pt>
                <c:pt idx="6">
                  <c:v>194.67287594457301</c:v>
                </c:pt>
                <c:pt idx="7">
                  <c:v>139.052406348902</c:v>
                </c:pt>
                <c:pt idx="8">
                  <c:v>47.580363606483701</c:v>
                </c:pt>
                <c:pt idx="9">
                  <c:v>53.558567693183498</c:v>
                </c:pt>
                <c:pt idx="10">
                  <c:v>52.272077029854302</c:v>
                </c:pt>
                <c:pt idx="11">
                  <c:v>56.0578610795259</c:v>
                </c:pt>
                <c:pt idx="12">
                  <c:v>62.003325021122897</c:v>
                </c:pt>
                <c:pt idx="13">
                  <c:v>60.248877541797903</c:v>
                </c:pt>
                <c:pt idx="14">
                  <c:v>76.682531859425595</c:v>
                </c:pt>
                <c:pt idx="15">
                  <c:v>56.3233195676886</c:v>
                </c:pt>
                <c:pt idx="16">
                  <c:v>20.034258222315302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E-4AB7-A176-292C86BC966D}"/>
            </c:ext>
          </c:extLst>
        </c:ser>
        <c:ser>
          <c:idx val="2"/>
          <c:order val="2"/>
          <c:tx>
            <c:strRef>
              <c:f>Modèle!$D$408</c:f>
              <c:strCache>
                <c:ptCount val="1"/>
                <c:pt idx="0">
                  <c:v>RDC - amendement</c:v>
                </c:pt>
              </c:strCache>
            </c:strRef>
          </c:tx>
          <c:spPr>
            <a:ln w="25200">
              <a:solidFill>
                <a:srgbClr val="90713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Modèle!$G$408:$AJ$408</c:f>
              <c:numCache>
                <c:formatCode>0</c:formatCode>
                <c:ptCount val="30"/>
                <c:pt idx="0">
                  <c:v>55.625830000000001</c:v>
                </c:pt>
                <c:pt idx="1">
                  <c:v>184.29110104705899</c:v>
                </c:pt>
                <c:pt idx="2">
                  <c:v>158.65192059515601</c:v>
                </c:pt>
                <c:pt idx="3">
                  <c:v>214.25724960309401</c:v>
                </c:pt>
                <c:pt idx="4">
                  <c:v>206.77331725793499</c:v>
                </c:pt>
                <c:pt idx="5">
                  <c:v>219.52000003831401</c:v>
                </c:pt>
                <c:pt idx="6">
                  <c:v>236.97732867063399</c:v>
                </c:pt>
                <c:pt idx="7">
                  <c:v>177.35487801965999</c:v>
                </c:pt>
                <c:pt idx="8">
                  <c:v>63.519891722600299</c:v>
                </c:pt>
                <c:pt idx="9">
                  <c:v>69.555848771867005</c:v>
                </c:pt>
                <c:pt idx="10">
                  <c:v>66.787177201701397</c:v>
                </c:pt>
                <c:pt idx="11">
                  <c:v>70.126575292072701</c:v>
                </c:pt>
                <c:pt idx="12">
                  <c:v>78.477557665740406</c:v>
                </c:pt>
                <c:pt idx="13">
                  <c:v>78.387723376231094</c:v>
                </c:pt>
                <c:pt idx="14">
                  <c:v>97.438785915719393</c:v>
                </c:pt>
                <c:pt idx="15">
                  <c:v>70.802158367548301</c:v>
                </c:pt>
                <c:pt idx="16">
                  <c:v>24.243037295233499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E-4AB7-A176-292C86BC966D}"/>
            </c:ext>
          </c:extLst>
        </c:ser>
        <c:ser>
          <c:idx val="3"/>
          <c:order val="3"/>
          <c:tx>
            <c:strRef>
              <c:f>Modèle!$D$409</c:f>
              <c:strCache>
                <c:ptCount val="1"/>
                <c:pt idx="0">
                  <c:v>Chili</c:v>
                </c:pt>
              </c:strCache>
            </c:strRef>
          </c:tx>
          <c:spPr>
            <a:ln w="25200">
              <a:solidFill>
                <a:srgbClr val="66669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Modèle!$G$409:$AJ$409</c:f>
              <c:numCache>
                <c:formatCode>0</c:formatCode>
                <c:ptCount val="30"/>
                <c:pt idx="0">
                  <c:v>54.806579999999997</c:v>
                </c:pt>
                <c:pt idx="1">
                  <c:v>154.37794919689401</c:v>
                </c:pt>
                <c:pt idx="2">
                  <c:v>124.214134527151</c:v>
                </c:pt>
                <c:pt idx="3">
                  <c:v>220.530206712893</c:v>
                </c:pt>
                <c:pt idx="4">
                  <c:v>210.929464777346</c:v>
                </c:pt>
                <c:pt idx="5">
                  <c:v>226.28193707583</c:v>
                </c:pt>
                <c:pt idx="6">
                  <c:v>240.92524438806799</c:v>
                </c:pt>
                <c:pt idx="7">
                  <c:v>160.866387941244</c:v>
                </c:pt>
                <c:pt idx="8">
                  <c:v>43.630780537728903</c:v>
                </c:pt>
                <c:pt idx="9">
                  <c:v>51.983403465585198</c:v>
                </c:pt>
                <c:pt idx="10">
                  <c:v>50.135612659211198</c:v>
                </c:pt>
                <c:pt idx="11">
                  <c:v>56.845337923420303</c:v>
                </c:pt>
                <c:pt idx="12">
                  <c:v>67.694964668687305</c:v>
                </c:pt>
                <c:pt idx="13">
                  <c:v>65.400463689530298</c:v>
                </c:pt>
                <c:pt idx="14">
                  <c:v>92.352116604096295</c:v>
                </c:pt>
                <c:pt idx="15">
                  <c:v>66.2477585079113</c:v>
                </c:pt>
                <c:pt idx="16">
                  <c:v>21.858268572734701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FE-4AB7-A176-292C86BC966D}"/>
            </c:ext>
          </c:extLst>
        </c:ser>
        <c:ser>
          <c:idx val="4"/>
          <c:order val="4"/>
          <c:tx>
            <c:strRef>
              <c:f>Modèle!$D$410</c:f>
              <c:strCache>
                <c:ptCount val="1"/>
                <c:pt idx="0">
                  <c:v>Perou</c:v>
                </c:pt>
              </c:strCache>
            </c:strRef>
          </c:tx>
          <c:spPr>
            <a:ln w="25200">
              <a:solidFill>
                <a:srgbClr val="33CCC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Modèle!$G$410:$AJ$410</c:f>
              <c:numCache>
                <c:formatCode>0</c:formatCode>
                <c:ptCount val="30"/>
                <c:pt idx="0">
                  <c:v>17.244755720000001</c:v>
                </c:pt>
                <c:pt idx="1">
                  <c:v>129.104225966276</c:v>
                </c:pt>
                <c:pt idx="2">
                  <c:v>112.83806453189401</c:v>
                </c:pt>
                <c:pt idx="3">
                  <c:v>154.83090912695499</c:v>
                </c:pt>
                <c:pt idx="4">
                  <c:v>147.92963882093599</c:v>
                </c:pt>
                <c:pt idx="5">
                  <c:v>156.591343220526</c:v>
                </c:pt>
                <c:pt idx="6">
                  <c:v>166.88770938169199</c:v>
                </c:pt>
                <c:pt idx="7">
                  <c:v>112.408250879306</c:v>
                </c:pt>
                <c:pt idx="8">
                  <c:v>27.0519466962526</c:v>
                </c:pt>
                <c:pt idx="9">
                  <c:v>31.425238254663899</c:v>
                </c:pt>
                <c:pt idx="10">
                  <c:v>30.370037843156101</c:v>
                </c:pt>
                <c:pt idx="11">
                  <c:v>36.105301567818202</c:v>
                </c:pt>
                <c:pt idx="12">
                  <c:v>47.344543458347502</c:v>
                </c:pt>
                <c:pt idx="13">
                  <c:v>47.372924743172298</c:v>
                </c:pt>
                <c:pt idx="14">
                  <c:v>65.655644032822295</c:v>
                </c:pt>
                <c:pt idx="15">
                  <c:v>45.963917917287098</c:v>
                </c:pt>
                <c:pt idx="16">
                  <c:v>13.692856536936601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FE-4AB7-A176-292C86BC966D}"/>
            </c:ext>
          </c:extLst>
        </c:ser>
        <c:ser>
          <c:idx val="5"/>
          <c:order val="5"/>
          <c:tx>
            <c:strRef>
              <c:f>Modèle!$D$411</c:f>
              <c:strCache>
                <c:ptCount val="1"/>
                <c:pt idx="0">
                  <c:v>Australie Occidentale</c:v>
                </c:pt>
              </c:strCache>
            </c:strRef>
          </c:tx>
          <c:spPr>
            <a:ln w="25200">
              <a:solidFill>
                <a:srgbClr val="FEA7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Modèle!$G$411:$AJ$411</c:f>
              <c:numCache>
                <c:formatCode>0</c:formatCode>
                <c:ptCount val="30"/>
                <c:pt idx="0">
                  <c:v>49.756999999999998</c:v>
                </c:pt>
                <c:pt idx="1">
                  <c:v>167.64568682352899</c:v>
                </c:pt>
                <c:pt idx="2">
                  <c:v>144.10152159169601</c:v>
                </c:pt>
                <c:pt idx="3">
                  <c:v>218.591972148721</c:v>
                </c:pt>
                <c:pt idx="4">
                  <c:v>210.65902171443199</c:v>
                </c:pt>
                <c:pt idx="5">
                  <c:v>222.26735462199301</c:v>
                </c:pt>
                <c:pt idx="6">
                  <c:v>234.27680845293401</c:v>
                </c:pt>
                <c:pt idx="7">
                  <c:v>162.92816514993501</c:v>
                </c:pt>
                <c:pt idx="8">
                  <c:v>49.970081343073701</c:v>
                </c:pt>
                <c:pt idx="9">
                  <c:v>57.2613908657585</c:v>
                </c:pt>
                <c:pt idx="10">
                  <c:v>55.0157786750081</c:v>
                </c:pt>
                <c:pt idx="11">
                  <c:v>60.431369193716598</c:v>
                </c:pt>
                <c:pt idx="12">
                  <c:v>70.335980905399495</c:v>
                </c:pt>
                <c:pt idx="13">
                  <c:v>69.082777492834396</c:v>
                </c:pt>
                <c:pt idx="14">
                  <c:v>92.100560128146299</c:v>
                </c:pt>
                <c:pt idx="15">
                  <c:v>66.461276364359094</c:v>
                </c:pt>
                <c:pt idx="16">
                  <c:v>22.802167919183699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FE-4AB7-A176-292C86BC966D}"/>
            </c:ext>
          </c:extLst>
        </c:ser>
        <c:ser>
          <c:idx val="6"/>
          <c:order val="6"/>
          <c:tx>
            <c:strRef>
              <c:f>Modèle!$D$412</c:f>
              <c:strCache>
                <c:ptCount val="1"/>
                <c:pt idx="0">
                  <c:v>Tanzanie</c:v>
                </c:pt>
              </c:strCache>
            </c:strRef>
          </c:tx>
          <c:spPr>
            <a:ln w="25200">
              <a:solidFill>
                <a:srgbClr val="99CC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Modèle!$G$412:$AJ$412</c:f>
              <c:numCache>
                <c:formatCode>0</c:formatCode>
                <c:ptCount val="30"/>
                <c:pt idx="0">
                  <c:v>28.411000000000001</c:v>
                </c:pt>
                <c:pt idx="1">
                  <c:v>110.446516</c:v>
                </c:pt>
                <c:pt idx="2">
                  <c:v>85.931120000000007</c:v>
                </c:pt>
                <c:pt idx="3">
                  <c:v>168.56800000000001</c:v>
                </c:pt>
                <c:pt idx="4">
                  <c:v>162.648</c:v>
                </c:pt>
                <c:pt idx="5">
                  <c:v>173.37799999999999</c:v>
                </c:pt>
                <c:pt idx="6">
                  <c:v>182.25800000000001</c:v>
                </c:pt>
                <c:pt idx="7">
                  <c:v>125.3824</c:v>
                </c:pt>
                <c:pt idx="8">
                  <c:v>40.201027000000003</c:v>
                </c:pt>
                <c:pt idx="9">
                  <c:v>47.228288999999997</c:v>
                </c:pt>
                <c:pt idx="10">
                  <c:v>45.751027000000001</c:v>
                </c:pt>
                <c:pt idx="11">
                  <c:v>49.819657999999997</c:v>
                </c:pt>
                <c:pt idx="12">
                  <c:v>55.004356999999999</c:v>
                </c:pt>
                <c:pt idx="13">
                  <c:v>52.412987999999999</c:v>
                </c:pt>
                <c:pt idx="14">
                  <c:v>70.540841999999998</c:v>
                </c:pt>
                <c:pt idx="15">
                  <c:v>51.909669999999998</c:v>
                </c:pt>
                <c:pt idx="16">
                  <c:v>18.759328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FE-4AB7-A176-292C86BC966D}"/>
            </c:ext>
          </c:extLst>
        </c:ser>
        <c:ser>
          <c:idx val="7"/>
          <c:order val="7"/>
          <c:tx>
            <c:strRef>
              <c:f>Modèle!$D$413</c:f>
              <c:strCache>
                <c:ptCount val="1"/>
                <c:pt idx="0">
                  <c:v>Ghana</c:v>
                </c:pt>
              </c:strCache>
            </c:strRef>
          </c:tx>
          <c:val>
            <c:numRef>
              <c:f>Modèle!$G$413:$AJ$413</c:f>
              <c:numCache>
                <c:formatCode>0</c:formatCode>
                <c:ptCount val="30"/>
                <c:pt idx="0">
                  <c:v>40.823079999999997</c:v>
                </c:pt>
                <c:pt idx="1">
                  <c:v>164.65648574588201</c:v>
                </c:pt>
                <c:pt idx="2">
                  <c:v>139.52058478615899</c:v>
                </c:pt>
                <c:pt idx="3">
                  <c:v>189.23748626093999</c:v>
                </c:pt>
                <c:pt idx="4">
                  <c:v>181.36319986366701</c:v>
                </c:pt>
                <c:pt idx="5">
                  <c:v>194.32829781694301</c:v>
                </c:pt>
                <c:pt idx="6">
                  <c:v>212.59243375220299</c:v>
                </c:pt>
                <c:pt idx="7">
                  <c:v>157.47711797565199</c:v>
                </c:pt>
                <c:pt idx="8">
                  <c:v>51.108968456435903</c:v>
                </c:pt>
                <c:pt idx="9">
                  <c:v>57.1878937467973</c:v>
                </c:pt>
                <c:pt idx="10">
                  <c:v>54.1155269461836</c:v>
                </c:pt>
                <c:pt idx="11">
                  <c:v>57.450218480785402</c:v>
                </c:pt>
                <c:pt idx="12">
                  <c:v>66.462510687201302</c:v>
                </c:pt>
                <c:pt idx="13">
                  <c:v>66.691764677925207</c:v>
                </c:pt>
                <c:pt idx="14">
                  <c:v>86.691784042735407</c:v>
                </c:pt>
                <c:pt idx="15">
                  <c:v>62.163066042382702</c:v>
                </c:pt>
                <c:pt idx="16">
                  <c:v>20.506450461794302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5FE-4AB7-A176-292C86BC966D}"/>
            </c:ext>
          </c:extLst>
        </c:ser>
        <c:ser>
          <c:idx val="8"/>
          <c:order val="8"/>
          <c:tx>
            <c:strRef>
              <c:f>Modèle!$D$414</c:f>
              <c:strCache>
                <c:ptCount val="1"/>
                <c:pt idx="0">
                  <c:v>Zambie - 2016</c:v>
                </c:pt>
              </c:strCache>
            </c:strRef>
          </c:tx>
          <c:val>
            <c:numRef>
              <c:f>Modèle!$G$414:$AJ$414</c:f>
              <c:numCache>
                <c:formatCode>0</c:formatCode>
                <c:ptCount val="30"/>
                <c:pt idx="0">
                  <c:v>56.494149999999998</c:v>
                </c:pt>
                <c:pt idx="1">
                  <c:v>138.46847129411799</c:v>
                </c:pt>
                <c:pt idx="2">
                  <c:v>116.35010166089999</c:v>
                </c:pt>
                <c:pt idx="3">
                  <c:v>149.66267809892099</c:v>
                </c:pt>
                <c:pt idx="4">
                  <c:v>147.906328617952</c:v>
                </c:pt>
                <c:pt idx="5">
                  <c:v>163.391877671484</c:v>
                </c:pt>
                <c:pt idx="6">
                  <c:v>184.381483309587</c:v>
                </c:pt>
                <c:pt idx="7">
                  <c:v>131.864129656015</c:v>
                </c:pt>
                <c:pt idx="8">
                  <c:v>44.2227710301242</c:v>
                </c:pt>
                <c:pt idx="9">
                  <c:v>47.922212452065999</c:v>
                </c:pt>
                <c:pt idx="10">
                  <c:v>45.221786397516802</c:v>
                </c:pt>
                <c:pt idx="11">
                  <c:v>49.042111372684701</c:v>
                </c:pt>
                <c:pt idx="12">
                  <c:v>56.661735571137797</c:v>
                </c:pt>
                <c:pt idx="13">
                  <c:v>56.675563497659297</c:v>
                </c:pt>
                <c:pt idx="14">
                  <c:v>72.171329160594397</c:v>
                </c:pt>
                <c:pt idx="15">
                  <c:v>51.349520258497897</c:v>
                </c:pt>
                <c:pt idx="16">
                  <c:v>17.025368146550001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FE-4AB7-A176-292C86BC966D}"/>
            </c:ext>
          </c:extLst>
        </c:ser>
        <c:ser>
          <c:idx val="9"/>
          <c:order val="9"/>
          <c:tx>
            <c:strRef>
              <c:f>Modèle!$D$415</c:f>
              <c:strCache>
                <c:ptCount val="1"/>
                <c:pt idx="0">
                  <c:v>RDC - redevance a taux variable</c:v>
                </c:pt>
              </c:strCache>
            </c:strRef>
          </c:tx>
          <c:val>
            <c:numRef>
              <c:f>Modèle!$G$415:$AJ$415</c:f>
              <c:numCache>
                <c:formatCode>0</c:formatCode>
                <c:ptCount val="30"/>
                <c:pt idx="0">
                  <c:v>36.423227500000003</c:v>
                </c:pt>
                <c:pt idx="1">
                  <c:v>145.99839832352899</c:v>
                </c:pt>
                <c:pt idx="2">
                  <c:v>124.600178062284</c:v>
                </c:pt>
                <c:pt idx="3">
                  <c:v>167.52238535518001</c:v>
                </c:pt>
                <c:pt idx="4">
                  <c:v>161.267184661941</c:v>
                </c:pt>
                <c:pt idx="5">
                  <c:v>171.93415955847399</c:v>
                </c:pt>
                <c:pt idx="6">
                  <c:v>186.94270689247799</c:v>
                </c:pt>
                <c:pt idx="7">
                  <c:v>140.17222677969201</c:v>
                </c:pt>
                <c:pt idx="8">
                  <c:v>48.889785888304999</c:v>
                </c:pt>
                <c:pt idx="9">
                  <c:v>53.791086554308201</c:v>
                </c:pt>
                <c:pt idx="10">
                  <c:v>51.442329893206001</c:v>
                </c:pt>
                <c:pt idx="11">
                  <c:v>54.1434312618753</c:v>
                </c:pt>
                <c:pt idx="12">
                  <c:v>61.205960348765103</c:v>
                </c:pt>
                <c:pt idx="13">
                  <c:v>61.288708611828199</c:v>
                </c:pt>
                <c:pt idx="14">
                  <c:v>76.969063807079493</c:v>
                </c:pt>
                <c:pt idx="15">
                  <c:v>55.6879931539723</c:v>
                </c:pt>
                <c:pt idx="16">
                  <c:v>18.658532467116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5FE-4AB7-A176-292C86BC966D}"/>
            </c:ext>
          </c:extLst>
        </c:ser>
        <c:ser>
          <c:idx val="10"/>
          <c:order val="10"/>
          <c:tx>
            <c:strRef>
              <c:f>Modèle!$D$416</c:f>
              <c:strCache>
                <c:ptCount val="1"/>
                <c:pt idx="0">
                  <c:v>RDC - taxe sur la rente</c:v>
                </c:pt>
              </c:strCache>
            </c:strRef>
          </c:tx>
          <c:val>
            <c:numRef>
              <c:f>Modèle!$G$416:$AJ$416</c:f>
              <c:numCache>
                <c:formatCode>#\ ##0;\-#\ ##0;\-</c:formatCode>
                <c:ptCount val="30"/>
                <c:pt idx="0">
                  <c:v>44.415735437499997</c:v>
                </c:pt>
                <c:pt idx="1">
                  <c:v>161.16857397602899</c:v>
                </c:pt>
                <c:pt idx="2">
                  <c:v>135.48326786228401</c:v>
                </c:pt>
                <c:pt idx="3">
                  <c:v>192.26501660517999</c:v>
                </c:pt>
                <c:pt idx="4">
                  <c:v>184.93892841194099</c:v>
                </c:pt>
                <c:pt idx="5">
                  <c:v>197.51041580847399</c:v>
                </c:pt>
                <c:pt idx="6">
                  <c:v>214.13170689247801</c:v>
                </c:pt>
                <c:pt idx="7">
                  <c:v>158.28112677969199</c:v>
                </c:pt>
                <c:pt idx="8">
                  <c:v>53.697817790179997</c:v>
                </c:pt>
                <c:pt idx="9">
                  <c:v>59.842645204933198</c:v>
                </c:pt>
                <c:pt idx="10">
                  <c:v>57.212236795080997</c:v>
                </c:pt>
                <c:pt idx="11">
                  <c:v>60.631289038125303</c:v>
                </c:pt>
                <c:pt idx="12">
                  <c:v>68.653341981890094</c:v>
                </c:pt>
                <c:pt idx="13" formatCode="_([$€-2]* #\ ##0.00_);_([$€-2]* \(#\ ##0.00\);_([$€-2]* \-??_)">
                  <c:v>68.299791119328205</c:v>
                </c:pt>
                <c:pt idx="14" formatCode="_([$€-2]* #\ ##0.00_);_([$€-2]* \(#\ ##0.00\);_([$€-2]* \-??_)">
                  <c:v>87.246924543329499</c:v>
                </c:pt>
                <c:pt idx="15" formatCode="_([$€-2]* #\ ##0.00_);_([$€-2]* \(#\ ##0.00\);_([$€-2]* \-??_)">
                  <c:v>63.154268897722297</c:v>
                </c:pt>
                <c:pt idx="16" formatCode="_([$€-2]* #\ ##0.00_);_([$€-2]* \(#\ ##0.00\);_([$€-2]* \-??_)">
                  <c:v>21.252922237116099</c:v>
                </c:pt>
                <c:pt idx="17" formatCode="_([$€-2]* #\ ##0.00_);_([$€-2]* \(#\ ##0.00\);_([$€-2]* \-??_)">
                  <c:v>0</c:v>
                </c:pt>
                <c:pt idx="18" formatCode="_([$€-2]* #\ ##0.00_);_([$€-2]* \(#\ ##0.00\);_([$€-2]* \-??_)">
                  <c:v>0</c:v>
                </c:pt>
                <c:pt idx="19" formatCode="_([$€-2]* #\ ##0.00_);_([$€-2]* \(#\ ##0.00\);_([$€-2]* \-??_)">
                  <c:v>0</c:v>
                </c:pt>
                <c:pt idx="20" formatCode="_([$€-2]* #\ ##0.00_);_([$€-2]* \(#\ ##0.00\);_([$€-2]* \-??_)">
                  <c:v>0</c:v>
                </c:pt>
                <c:pt idx="21" formatCode="_([$€-2]* #\ ##0.00_);_([$€-2]* \(#\ ##0.00\);_([$€-2]* \-??_)">
                  <c:v>0</c:v>
                </c:pt>
                <c:pt idx="22" formatCode="_([$€-2]* #\ ##0.00_);_([$€-2]* \(#\ ##0.00\);_([$€-2]* \-??_)">
                  <c:v>0</c:v>
                </c:pt>
                <c:pt idx="23" formatCode="_([$€-2]* #\ ##0.00_);_([$€-2]* \(#\ ##0.00\);_([$€-2]* \-??_)">
                  <c:v>0</c:v>
                </c:pt>
                <c:pt idx="24" formatCode="_([$€-2]* #\ ##0.00_);_([$€-2]* \(#\ ##0.00\);_([$€-2]* \-??_)">
                  <c:v>0</c:v>
                </c:pt>
                <c:pt idx="25" formatCode="_([$€-2]* #\ ##0.00_);_([$€-2]* \(#\ ##0.00\);_([$€-2]* \-??_)">
                  <c:v>0</c:v>
                </c:pt>
                <c:pt idx="26" formatCode="_([$€-2]* #\ ##0.00_);_([$€-2]* \(#\ ##0.00\);_([$€-2]* \-??_)">
                  <c:v>0</c:v>
                </c:pt>
                <c:pt idx="27" formatCode="_([$€-2]* #\ ##0.00_);_([$€-2]* \(#\ ##0.00\);_([$€-2]* \-??_)">
                  <c:v>0</c:v>
                </c:pt>
                <c:pt idx="28" formatCode="_([$€-2]* #\ ##0.00_);_([$€-2]* \(#\ ##0.00\);_([$€-2]* \-??_)">
                  <c:v>0</c:v>
                </c:pt>
                <c:pt idx="29" formatCode="_([$€-2]* #\ ##0.00_);_([$€-2]* \(#\ ##0.00\);_([$€-2]* \-??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5FE-4AB7-A176-292C86BC966D}"/>
            </c:ext>
          </c:extLst>
        </c:ser>
        <c:ser>
          <c:idx val="11"/>
          <c:order val="11"/>
          <c:tx>
            <c:strRef>
              <c:f>Modèle!$D$417</c:f>
              <c:strCache>
                <c:ptCount val="1"/>
                <c:pt idx="0">
                  <c:v>Sénégal (SGO - Convention Sabodala)</c:v>
                </c:pt>
              </c:strCache>
            </c:strRef>
          </c:tx>
          <c:val>
            <c:numRef>
              <c:f>Modèle!$G$417:$AJ$417</c:f>
              <c:numCache>
                <c:formatCode>#\ ##0;\-#\ ##0;\-</c:formatCode>
                <c:ptCount val="30"/>
                <c:pt idx="0">
                  <c:v>43.0441</c:v>
                </c:pt>
                <c:pt idx="1">
                  <c:v>139.81009017647099</c:v>
                </c:pt>
                <c:pt idx="2">
                  <c:v>117.63138899654</c:v>
                </c:pt>
                <c:pt idx="3">
                  <c:v>168.400106859353</c:v>
                </c:pt>
                <c:pt idx="4">
                  <c:v>161.78086946995401</c:v>
                </c:pt>
                <c:pt idx="5">
                  <c:v>172.86492859879601</c:v>
                </c:pt>
                <c:pt idx="6">
                  <c:v>187.302663336167</c:v>
                </c:pt>
                <c:pt idx="7">
                  <c:v>137.18628429975701</c:v>
                </c:pt>
                <c:pt idx="8">
                  <c:v>45.184964194714503</c:v>
                </c:pt>
                <c:pt idx="9">
                  <c:v>50.758603444190697</c:v>
                </c:pt>
                <c:pt idx="10">
                  <c:v>48.333025251215297</c:v>
                </c:pt>
                <c:pt idx="11">
                  <c:v>51.430858851480501</c:v>
                </c:pt>
                <c:pt idx="12">
                  <c:v>58.706545939814497</c:v>
                </c:pt>
                <c:pt idx="13" formatCode="_([$€-2]* #\ ##0.00_);_([$€-2]* \(#\ ##0.00\);_([$€-2]* \-??_)">
                  <c:v>58.377784983022202</c:v>
                </c:pt>
                <c:pt idx="14" formatCode="_([$€-2]* #\ ##0.00_);_([$€-2]* \(#\ ##0.00\);_([$€-2]* \-??_)">
                  <c:v>75.773418439799599</c:v>
                </c:pt>
                <c:pt idx="15" formatCode="_([$€-2]* #\ ##0.00_);_([$€-2]* \(#\ ##0.00\);_([$€-2]* \-??_)">
                  <c:v>54.682093476820199</c:v>
                </c:pt>
                <c:pt idx="16" formatCode="_([$€-2]* #\ ##0.00_);_([$€-2]* \(#\ ##0.00\);_([$€-2]* \-??_)">
                  <c:v>18.479419210881101</c:v>
                </c:pt>
                <c:pt idx="17" formatCode="_([$€-2]* #\ ##0.00_);_([$€-2]* \(#\ ##0.00\);_([$€-2]* \-??_)">
                  <c:v>0</c:v>
                </c:pt>
                <c:pt idx="18" formatCode="_([$€-2]* #\ ##0.00_);_([$€-2]* \(#\ ##0.00\);_([$€-2]* \-??_)">
                  <c:v>0</c:v>
                </c:pt>
                <c:pt idx="19" formatCode="_([$€-2]* #\ ##0.00_);_([$€-2]* \(#\ ##0.00\);_([$€-2]* \-??_)">
                  <c:v>0</c:v>
                </c:pt>
                <c:pt idx="20" formatCode="_([$€-2]* #\ ##0.00_);_([$€-2]* \(#\ ##0.00\);_([$€-2]* \-??_)">
                  <c:v>0</c:v>
                </c:pt>
                <c:pt idx="21" formatCode="_([$€-2]* #\ ##0.00_);_([$€-2]* \(#\ ##0.00\);_([$€-2]* \-??_)">
                  <c:v>0</c:v>
                </c:pt>
                <c:pt idx="22" formatCode="_([$€-2]* #\ ##0.00_);_([$€-2]* \(#\ ##0.00\);_([$€-2]* \-??_)">
                  <c:v>0</c:v>
                </c:pt>
                <c:pt idx="23" formatCode="_([$€-2]* #\ ##0.00_);_([$€-2]* \(#\ ##0.00\);_([$€-2]* \-??_)">
                  <c:v>0</c:v>
                </c:pt>
                <c:pt idx="24" formatCode="_([$€-2]* #\ ##0.00_);_([$€-2]* \(#\ ##0.00\);_([$€-2]* \-??_)">
                  <c:v>0</c:v>
                </c:pt>
                <c:pt idx="25" formatCode="_([$€-2]* #\ ##0.00_);_([$€-2]* \(#\ ##0.00\);_([$€-2]* \-??_)">
                  <c:v>0</c:v>
                </c:pt>
                <c:pt idx="26" formatCode="_([$€-2]* #\ ##0.00_);_([$€-2]* \(#\ ##0.00\);_([$€-2]* \-??_)">
                  <c:v>0</c:v>
                </c:pt>
                <c:pt idx="27" formatCode="_([$€-2]* #\ ##0.00_);_([$€-2]* \(#\ ##0.00\);_([$€-2]* \-??_)">
                  <c:v>0</c:v>
                </c:pt>
                <c:pt idx="28" formatCode="_([$€-2]* #\ ##0.00_);_([$€-2]* \(#\ ##0.00\);_([$€-2]* \-??_)">
                  <c:v>0</c:v>
                </c:pt>
                <c:pt idx="29" formatCode="_([$€-2]* #\ ##0.00_);_([$€-2]* \(#\ ##0.00\);_([$€-2]* \-??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5FE-4AB7-A176-292C86BC9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013007"/>
        <c:axId val="8350662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Modèle!$D$405</c15:sqref>
                        </c15:formulaRef>
                      </c:ext>
                    </c:extLst>
                    <c:strCache>
                      <c:ptCount val="1"/>
                      <c:pt idx="0">
                        <c:v>Recettes annuelles de l'Etat - comparaison des regimes fiscaux</c:v>
                      </c:pt>
                    </c:strCache>
                  </c:strRef>
                </c:tx>
                <c:spPr>
                  <a:ln w="25200">
                    <a:solidFill>
                      <a:srgbClr val="666699"/>
                    </a:solidFill>
                    <a:round/>
                  </a:ln>
                </c:spPr>
                <c:marker>
                  <c:symbol val="diamond"/>
                  <c:size val="7"/>
                  <c:spPr>
                    <a:solidFill>
                      <a:srgbClr val="666699"/>
                    </a:solidFill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/>
                    <a:lstStyle/>
                    <a:p>
                      <a:pPr>
                        <a:defRPr sz="1000" b="0" strike="noStrike" spc="-1">
                          <a:solidFill>
                            <a:srgbClr val="000000"/>
                          </a:solidFill>
                          <a:latin typeface="Arial"/>
                          <a:ea typeface="DejaVu Sans"/>
                        </a:defRPr>
                      </a:pPr>
                      <a:endParaRPr lang="fr-FR"/>
                    </a:p>
                  </c:txPr>
                  <c:dLblPos val="r"/>
                  <c:showLegendKey val="0"/>
                  <c:showVal val="0"/>
                  <c:showCatName val="0"/>
                  <c:showSerName val="0"/>
                  <c:showPercent val="0"/>
                  <c:showBubbleSize val="1"/>
                  <c:separator>; </c:separator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Modèle!$G$405:$AJ$405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5FE-4AB7-A176-292C86BC966D}"/>
                  </c:ext>
                </c:extLst>
              </c15:ser>
            </c15:filteredLineSeries>
          </c:ext>
        </c:extLst>
      </c:lineChart>
      <c:catAx>
        <c:axId val="120130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83506629"/>
        <c:crossesAt val="0"/>
        <c:auto val="1"/>
        <c:lblAlgn val="ctr"/>
        <c:lblOffset val="100"/>
        <c:noMultiLvlLbl val="0"/>
      </c:catAx>
      <c:valAx>
        <c:axId val="83506629"/>
        <c:scaling>
          <c:orientation val="minMax"/>
        </c:scaling>
        <c:delete val="0"/>
        <c:axPos val="l"/>
        <c:majorGridlines>
          <c:spPr>
            <a:ln w="0">
              <a:solidFill>
                <a:srgbClr val="80808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lang="fr-SN" sz="1100" b="1" strike="noStrike" spc="-1">
                    <a:solidFill>
                      <a:srgbClr val="000000"/>
                    </a:solidFill>
                    <a:latin typeface="Calibri"/>
                    <a:ea typeface="DejaVu Sans"/>
                  </a:rPr>
                  <a:t>$mm constant</a:t>
                </a:r>
              </a:p>
            </c:rich>
          </c:tx>
          <c:layout>
            <c:manualLayout>
              <c:xMode val="edge"/>
              <c:yMode val="edge"/>
              <c:x val="1.4711074496881299E-2"/>
              <c:y val="2.6132211272284399E-2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12013007"/>
        <c:crossesAt val="1"/>
        <c:crossBetween val="midCat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4166067818713418"/>
          <c:y val="0.75339415104205576"/>
          <c:w val="0.85349979820458544"/>
          <c:h val="0.22288881003959066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100" b="0" strike="noStrike" spc="-1">
              <a:solidFill>
                <a:srgbClr val="000000"/>
              </a:solidFill>
              <a:latin typeface="Calibri"/>
              <a:ea typeface="DejaVu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20" b="1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lang="fr-SN" sz="1320" b="1" strike="noStrike" spc="-1">
                <a:solidFill>
                  <a:srgbClr val="000000"/>
                </a:solidFill>
                <a:latin typeface="Calibri"/>
                <a:ea typeface="DejaVu Sans"/>
              </a:rPr>
              <a:t>3b. Composition des recettes de l'Etat, sur la duree du projet</a:t>
            </a:r>
          </a:p>
        </c:rich>
      </c:tx>
      <c:layout>
        <c:manualLayout>
          <c:xMode val="edge"/>
          <c:yMode val="edge"/>
          <c:x val="0.18038179148311301"/>
          <c:y val="4.1389258766089697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5.95594713656388E-2"/>
          <c:y val="6.3249001331557905E-2"/>
          <c:w val="0.918061674008811"/>
          <c:h val="0.75022192632046203"/>
        </c:manualLayout>
      </c:layout>
      <c:areaChart>
        <c:grouping val="stacked"/>
        <c:varyColors val="1"/>
        <c:ser>
          <c:idx val="0"/>
          <c:order val="0"/>
          <c:tx>
            <c:strRef>
              <c:f>Modèle!$D$376</c:f>
              <c:strCache>
                <c:ptCount val="1"/>
                <c:pt idx="0">
                  <c:v>Redevance</c:v>
                </c:pt>
              </c:strCache>
            </c:strRef>
          </c:tx>
          <c:spPr>
            <a:solidFill>
              <a:srgbClr val="53CAEC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Modèle!$G$373:$X$373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Modèle!$G$376:$X$376</c:f>
              <c:numCache>
                <c:formatCode>#\ ##0_);[Red]\(#\ ##0\);\-</c:formatCode>
                <c:ptCount val="18"/>
                <c:pt idx="0">
                  <c:v>19.600000000000001</c:v>
                </c:pt>
                <c:pt idx="1">
                  <c:v>28.720000000000002</c:v>
                </c:pt>
                <c:pt idx="2">
                  <c:v>28.800000000000004</c:v>
                </c:pt>
                <c:pt idx="3">
                  <c:v>32</c:v>
                </c:pt>
                <c:pt idx="4">
                  <c:v>32</c:v>
                </c:pt>
                <c:pt idx="5">
                  <c:v>32.000000000000007</c:v>
                </c:pt>
                <c:pt idx="6">
                  <c:v>32</c:v>
                </c:pt>
                <c:pt idx="7">
                  <c:v>25.6</c:v>
                </c:pt>
                <c:pt idx="8">
                  <c:v>13.84</c:v>
                </c:pt>
                <c:pt idx="9">
                  <c:v>13.84</c:v>
                </c:pt>
                <c:pt idx="10">
                  <c:v>13.84</c:v>
                </c:pt>
                <c:pt idx="11">
                  <c:v>13.840000000000002</c:v>
                </c:pt>
                <c:pt idx="12">
                  <c:v>13.840000000000002</c:v>
                </c:pt>
                <c:pt idx="13">
                  <c:v>13.84</c:v>
                </c:pt>
                <c:pt idx="14">
                  <c:v>13.840000000000002</c:v>
                </c:pt>
                <c:pt idx="15">
                  <c:v>10.64</c:v>
                </c:pt>
                <c:pt idx="16">
                  <c:v>4.4800000000000004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B-40D8-A836-85D559A1CF14}"/>
            </c:ext>
          </c:extLst>
        </c:ser>
        <c:ser>
          <c:idx val="1"/>
          <c:order val="1"/>
          <c:tx>
            <c:strRef>
              <c:f>Modèle!$D$380</c:f>
              <c:strCache>
                <c:ptCount val="1"/>
                <c:pt idx="0">
                  <c:v>Impot sur les benefices et profits</c:v>
                </c:pt>
              </c:strCache>
            </c:strRef>
          </c:tx>
          <c:spPr>
            <a:solidFill>
              <a:srgbClr val="FF6F4C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Modèle!$G$373:$X$373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Modèle!$G$380:$X$380</c:f>
              <c:numCache>
                <c:formatCode>#\ ##0_);[Red]\(#\ ##0\);\-</c:formatCode>
                <c:ptCount val="18"/>
                <c:pt idx="0">
                  <c:v>0</c:v>
                </c:pt>
                <c:pt idx="1">
                  <c:v>83.042170588235294</c:v>
                </c:pt>
                <c:pt idx="2">
                  <c:v>71.14857900807381</c:v>
                </c:pt>
                <c:pt idx="3">
                  <c:v>79.259391184386089</c:v>
                </c:pt>
                <c:pt idx="4">
                  <c:v>74.840579592535377</c:v>
                </c:pt>
                <c:pt idx="5">
                  <c:v>81.722134072587053</c:v>
                </c:pt>
                <c:pt idx="6">
                  <c:v>93.916868316255517</c:v>
                </c:pt>
                <c:pt idx="7">
                  <c:v>72.457141110811051</c:v>
                </c:pt>
                <c:pt idx="8">
                  <c:v>20.879919993474697</c:v>
                </c:pt>
                <c:pt idx="9">
                  <c:v>23.305901782951466</c:v>
                </c:pt>
                <c:pt idx="10">
                  <c:v>21.247896606438598</c:v>
                </c:pt>
                <c:pt idx="11">
                  <c:v>22.493003520346257</c:v>
                </c:pt>
                <c:pt idx="12">
                  <c:v>28.188403629400668</c:v>
                </c:pt>
                <c:pt idx="13">
                  <c:v>29.425369114842255</c:v>
                </c:pt>
                <c:pt idx="14">
                  <c:v>39.408993135555036</c:v>
                </c:pt>
                <c:pt idx="15">
                  <c:v>27.359411699778029</c:v>
                </c:pt>
                <c:pt idx="16">
                  <c:v>7.8727447047914731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EB-40D8-A836-85D559A1CF14}"/>
            </c:ext>
          </c:extLst>
        </c:ser>
        <c:ser>
          <c:idx val="2"/>
          <c:order val="2"/>
          <c:tx>
            <c:strRef>
              <c:f>Modèle!$D$384</c:f>
              <c:strCache>
                <c:ptCount val="1"/>
                <c:pt idx="0">
                  <c:v>Participation de l'Etat</c:v>
                </c:pt>
              </c:strCache>
            </c:strRef>
          </c:tx>
          <c:spPr>
            <a:solidFill>
              <a:srgbClr val="3C6980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Modèle!$G$373:$X$373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Modèle!$G$384:$X$384</c:f>
              <c:numCache>
                <c:formatCode>#\ ##0_);[Red]\(#\ ##0\);\-</c:formatCode>
                <c:ptCount val="18"/>
                <c:pt idx="0">
                  <c:v>12.338999999999999</c:v>
                </c:pt>
                <c:pt idx="1">
                  <c:v>14.762062941176474</c:v>
                </c:pt>
                <c:pt idx="2">
                  <c:v>9.3067420991926166</c:v>
                </c:pt>
                <c:pt idx="3">
                  <c:v>30.07406088156139</c:v>
                </c:pt>
                <c:pt idx="4">
                  <c:v>28.915942040746465</c:v>
                </c:pt>
                <c:pt idx="5">
                  <c:v>31.127786592741302</c:v>
                </c:pt>
                <c:pt idx="6">
                  <c:v>32.308313168374461</c:v>
                </c:pt>
                <c:pt idx="7">
                  <c:v>20.5942858889189</c:v>
                </c:pt>
                <c:pt idx="8">
                  <c:v>5.5079180006525315</c:v>
                </c:pt>
                <c:pt idx="9">
                  <c:v>7.164579821704856</c:v>
                </c:pt>
                <c:pt idx="10">
                  <c:v>6.9711203393561396</c:v>
                </c:pt>
                <c:pt idx="11">
                  <c:v>7.9462396479653759</c:v>
                </c:pt>
                <c:pt idx="12">
                  <c:v>8.7779696370599325</c:v>
                </c:pt>
                <c:pt idx="13">
                  <c:v>7.9539030885157693</c:v>
                </c:pt>
                <c:pt idx="14">
                  <c:v>11.854960686444501</c:v>
                </c:pt>
                <c:pt idx="15">
                  <c:v>8.7803588300222</c:v>
                </c:pt>
                <c:pt idx="16">
                  <c:v>3.2245655295208513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EB-40D8-A836-85D559A1CF14}"/>
            </c:ext>
          </c:extLst>
        </c:ser>
        <c:ser>
          <c:idx val="3"/>
          <c:order val="3"/>
          <c:tx>
            <c:strRef>
              <c:f>Modèle!$D$385</c:f>
              <c:strCache>
                <c:ptCount val="1"/>
                <c:pt idx="0">
                  <c:v>Prelevement a la source sur les dividendes</c:v>
                </c:pt>
              </c:strCache>
            </c:strRef>
          </c:tx>
          <c:spPr>
            <a:solidFill>
              <a:srgbClr val="DD5061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Modèle!$G$373:$X$373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Modèle!$G$385:$X$385</c:f>
              <c:numCache>
                <c:formatCode>#\ ##0_);[Red]\(#\ ##0\);\-</c:formatCode>
                <c:ptCount val="18"/>
                <c:pt idx="0">
                  <c:v>11.1051</c:v>
                </c:pt>
                <c:pt idx="1">
                  <c:v>13.285856647058829</c:v>
                </c:pt>
                <c:pt idx="2">
                  <c:v>8.3760678892733562</c:v>
                </c:pt>
                <c:pt idx="3">
                  <c:v>27.066654793405252</c:v>
                </c:pt>
                <c:pt idx="4">
                  <c:v>26.024347836671815</c:v>
                </c:pt>
                <c:pt idx="5">
                  <c:v>28.015007933467174</c:v>
                </c:pt>
                <c:pt idx="6">
                  <c:v>29.077481851537012</c:v>
                </c:pt>
                <c:pt idx="7">
                  <c:v>18.534857300027006</c:v>
                </c:pt>
                <c:pt idx="8">
                  <c:v>4.957126200587278</c:v>
                </c:pt>
                <c:pt idx="9">
                  <c:v>6.4481218395343705</c:v>
                </c:pt>
                <c:pt idx="10">
                  <c:v>6.2740083054205256</c:v>
                </c:pt>
                <c:pt idx="11">
                  <c:v>7.1516156831688376</c:v>
                </c:pt>
                <c:pt idx="12">
                  <c:v>7.9001726733539384</c:v>
                </c:pt>
                <c:pt idx="13">
                  <c:v>7.1585127796641901</c:v>
                </c:pt>
                <c:pt idx="14">
                  <c:v>10.669464617800051</c:v>
                </c:pt>
                <c:pt idx="15">
                  <c:v>7.9023229470199796</c:v>
                </c:pt>
                <c:pt idx="16">
                  <c:v>2.902108976568766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EB-40D8-A836-85D559A1CF14}"/>
            </c:ext>
          </c:extLst>
        </c:ser>
        <c:ser>
          <c:idx val="4"/>
          <c:order val="4"/>
          <c:tx>
            <c:strRef>
              <c:f>Modèle!$D$382</c:f>
              <c:strCache>
                <c:ptCount val="1"/>
                <c:pt idx="0">
                  <c:v>Impot sur les benefices a taux variable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Modèle!$G$373:$X$373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Modèle!$G$382:$X$382</c:f>
              <c:numCache>
                <c:formatCode>#\ ##0_);[Red]\(#\ ##0\);\-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EB-40D8-A836-85D559A1CF14}"/>
            </c:ext>
          </c:extLst>
        </c:ser>
        <c:ser>
          <c:idx val="5"/>
          <c:order val="5"/>
          <c:tx>
            <c:strRef>
              <c:f>Modèle!$D$378</c:f>
              <c:strCache>
                <c:ptCount val="1"/>
                <c:pt idx="0">
                  <c:v>Redevance a taux variable - sur les prix</c:v>
                </c:pt>
              </c:strCache>
            </c:strRef>
          </c:tx>
          <c:spPr>
            <a:solidFill>
              <a:srgbClr val="5B5D6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Modèle!$G$373:$X$373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Modèle!$G$378:$X$378</c:f>
              <c:numCache>
                <c:formatCode>#\ ##0_);[Red]\(#\ ##0\);\-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EB-40D8-A836-85D559A1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58758"/>
        <c:axId val="5042440"/>
      </c:areaChart>
      <c:lineChart>
        <c:grouping val="stacked"/>
        <c:varyColors val="0"/>
        <c:ser>
          <c:idx val="6"/>
          <c:order val="6"/>
          <c:tx>
            <c:v>Project pre-tax cash flow</c:v>
          </c:tx>
          <c:spPr>
            <a:ln w="2520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Modèle!$G$373:$X$373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Modèle!$G$333:$X$333</c:f>
              <c:numCache>
                <c:formatCode>#\ ##0;\-#\ ##0;\-</c:formatCode>
                <c:ptCount val="18"/>
                <c:pt idx="0">
                  <c:v>142.99</c:v>
                </c:pt>
                <c:pt idx="1">
                  <c:v>259.38279999999997</c:v>
                </c:pt>
                <c:pt idx="2">
                  <c:v>193.01599999999996</c:v>
                </c:pt>
                <c:pt idx="3">
                  <c:v>412</c:v>
                </c:pt>
                <c:pt idx="4">
                  <c:v>396</c:v>
                </c:pt>
                <c:pt idx="5">
                  <c:v>425</c:v>
                </c:pt>
                <c:pt idx="6">
                  <c:v>449</c:v>
                </c:pt>
                <c:pt idx="7">
                  <c:v>304</c:v>
                </c:pt>
                <c:pt idx="8">
                  <c:v>89.79910000000001</c:v>
                </c:pt>
                <c:pt idx="9">
                  <c:v>108.79170000000002</c:v>
                </c:pt>
                <c:pt idx="10">
                  <c:v>104.79910000000001</c:v>
                </c:pt>
                <c:pt idx="11">
                  <c:v>115.7954</c:v>
                </c:pt>
                <c:pt idx="12">
                  <c:v>129.80810000000002</c:v>
                </c:pt>
                <c:pt idx="13">
                  <c:v>122.80439999999999</c:v>
                </c:pt>
                <c:pt idx="14">
                  <c:v>171.79860000000002</c:v>
                </c:pt>
                <c:pt idx="15">
                  <c:v>125.80300000000001</c:v>
                </c:pt>
                <c:pt idx="16">
                  <c:v>44.598399999999991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EB-40D8-A836-85D559A1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3789854"/>
        <c:axId val="20081762"/>
      </c:lineChart>
      <c:catAx>
        <c:axId val="850587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fr-FR"/>
          </a:p>
        </c:txPr>
        <c:crossAx val="5042440"/>
        <c:crosses val="autoZero"/>
        <c:auto val="1"/>
        <c:lblAlgn val="ctr"/>
        <c:lblOffset val="100"/>
        <c:noMultiLvlLbl val="0"/>
      </c:catAx>
      <c:valAx>
        <c:axId val="50424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\ ##0_);[Red]\(#\ 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rial"/>
                <a:ea typeface="DejaVu Sans"/>
              </a:defRPr>
            </a:pPr>
            <a:endParaRPr lang="fr-FR"/>
          </a:p>
        </c:txPr>
        <c:crossAx val="85058758"/>
        <c:crosses val="autoZero"/>
        <c:crossBetween val="midCat"/>
      </c:valAx>
      <c:catAx>
        <c:axId val="23789854"/>
        <c:scaling>
          <c:orientation val="minMax"/>
        </c:scaling>
        <c:delete val="0"/>
        <c:axPos val="t"/>
        <c:numFmt formatCode="General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20081762"/>
        <c:crossesAt val="0"/>
        <c:auto val="1"/>
        <c:lblAlgn val="ctr"/>
        <c:lblOffset val="100"/>
        <c:noMultiLvlLbl val="0"/>
      </c:catAx>
      <c:valAx>
        <c:axId val="20081762"/>
        <c:scaling>
          <c:orientation val="minMax"/>
          <c:min val="-4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100" b="1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r>
                  <a:rPr lang="fr-SN" sz="1100" b="1" strike="noStrike" spc="-1">
                    <a:solidFill>
                      <a:srgbClr val="000000"/>
                    </a:solidFill>
                    <a:latin typeface="Calibri"/>
                    <a:ea typeface="DejaVu Sans"/>
                  </a:rPr>
                  <a:t>$mm constant</a:t>
                </a:r>
              </a:p>
            </c:rich>
          </c:tx>
          <c:layout>
            <c:manualLayout>
              <c:xMode val="edge"/>
              <c:yMode val="edge"/>
              <c:x val="1.46842878120411E-2"/>
              <c:y val="3.0847758544163301E-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808080"/>
            </a:solidFill>
          </a:ln>
        </c:spPr>
        <c:txPr>
          <a:bodyPr/>
          <a:lstStyle/>
          <a:p>
            <a:pPr>
              <a:defRPr sz="8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23789854"/>
        <c:crossesAt val="1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4.5523966165413501E-2"/>
          <c:y val="0.83600770218228504"/>
          <c:w val="0.95447603383458701"/>
          <c:h val="0.147197261446298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100" b="0" strike="noStrike" spc="-1">
              <a:solidFill>
                <a:srgbClr val="000000"/>
              </a:solidFill>
              <a:latin typeface="Calibri"/>
              <a:ea typeface="DejaVu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2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lang="fr-SN" sz="1320" b="0" strike="noStrike" spc="-1">
                <a:solidFill>
                  <a:srgbClr val="000000"/>
                </a:solidFill>
                <a:latin typeface="Calibri"/>
                <a:ea typeface="DejaVu Sans"/>
              </a:rPr>
              <a:t>3a. Composition des recettes de l'Etat</a:t>
            </a:r>
          </a:p>
        </c:rich>
      </c:tx>
      <c:layout>
        <c:manualLayout>
          <c:xMode val="edge"/>
          <c:yMode val="edge"/>
          <c:x val="0.29929809826624298"/>
          <c:y val="3.9396479463537297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0377947087408"/>
          <c:y val="0.20389773679798801"/>
          <c:w val="0.407822904793329"/>
          <c:h val="0.70138306789605998"/>
        </c:manualLayout>
      </c:layout>
      <c:pieChart>
        <c:varyColors val="1"/>
        <c:ser>
          <c:idx val="0"/>
          <c:order val="0"/>
          <c:tx>
            <c:strRef>
              <c:f>Résultats!$D$200</c:f>
              <c:strCache>
                <c:ptCount val="1"/>
                <c:pt idx="0">
                  <c:v>Proportion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DD5061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B52-41E4-9795-F16CA69A66D2}"/>
              </c:ext>
            </c:extLst>
          </c:dPt>
          <c:dPt>
            <c:idx val="1"/>
            <c:bubble3D val="0"/>
            <c:spPr>
              <a:solidFill>
                <a:srgbClr val="53CAEC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B52-41E4-9795-F16CA69A66D2}"/>
              </c:ext>
            </c:extLst>
          </c:dPt>
          <c:dPt>
            <c:idx val="2"/>
            <c:bubble3D val="0"/>
            <c:spPr>
              <a:solidFill>
                <a:srgbClr val="4BACC6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B52-41E4-9795-F16CA69A66D2}"/>
              </c:ext>
            </c:extLst>
          </c:dPt>
          <c:dPt>
            <c:idx val="3"/>
            <c:bubble3D val="0"/>
            <c:spPr>
              <a:solidFill>
                <a:srgbClr val="F79646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0B52-41E4-9795-F16CA69A66D2}"/>
              </c:ext>
            </c:extLst>
          </c:dPt>
          <c:dPt>
            <c:idx val="4"/>
            <c:bubble3D val="0"/>
            <c:spPr>
              <a:solidFill>
                <a:srgbClr val="FF6F4C"/>
              </a:solidFill>
              <a:ln w="1260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0B52-41E4-9795-F16CA69A66D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100" b="0" strike="noStrike" spc="-1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B52-41E4-9795-F16CA69A66D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100" b="0" strike="noStrike" spc="-1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B52-41E4-9795-F16CA69A66D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100" b="0" strike="noStrike" spc="-1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B52-41E4-9795-F16CA69A66D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100" b="0" strike="noStrike" spc="-1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  <a:endParaRPr lang="fr-F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B52-41E4-9795-F16CA69A66D2}"/>
                </c:ext>
              </c:extLst>
            </c:dLbl>
            <c:dLbl>
              <c:idx val="4"/>
              <c:layout>
                <c:manualLayout>
                  <c:x val="-0.14520403807116716"/>
                  <c:y val="1.8702692863788728E-2"/>
                </c:manualLayout>
              </c:layout>
              <c:spPr/>
              <c:txPr>
                <a:bodyPr wrap="square"/>
                <a:lstStyle/>
                <a:p>
                  <a:pPr>
                    <a:defRPr sz="1100" b="0" strike="noStrike" spc="-1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  <a:endParaRPr lang="fr-F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B52-41E4-9795-F16CA69A66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(Résultats!$B$202:$B$203,Résultats!$B$206:$B$208)</c:f>
              <c:strCache>
                <c:ptCount val="5"/>
                <c:pt idx="0">
                  <c:v>Droits de douane</c:v>
                </c:pt>
                <c:pt idx="1">
                  <c:v>Redevance</c:v>
                </c:pt>
                <c:pt idx="2">
                  <c:v>Impot sur la marge operationnelle</c:v>
                </c:pt>
                <c:pt idx="3">
                  <c:v>Impot sur les benefices et profits</c:v>
                </c:pt>
                <c:pt idx="4">
                  <c:v>Impot sur la rente</c:v>
                </c:pt>
              </c:strCache>
            </c:strRef>
          </c:cat>
          <c:val>
            <c:numRef>
              <c:f>(Résultats!$D$202:$D$203,Résultats!$D$206:$D$208)</c:f>
              <c:numCache>
                <c:formatCode>0%</c:formatCode>
                <c:ptCount val="5"/>
                <c:pt idx="0">
                  <c:v>0</c:v>
                </c:pt>
                <c:pt idx="1">
                  <c:v>0.21558145329203451</c:v>
                </c:pt>
                <c:pt idx="2">
                  <c:v>0</c:v>
                </c:pt>
                <c:pt idx="3">
                  <c:v>0.48848554956962426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52-41E4-9795-F16CA69A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SN"/>
              <a:t>Graphique 2a: la part de l’Etat dans les bénéfices totaux par rapport aux changemetns de prix </a:t>
            </a:r>
          </a:p>
        </c:rich>
      </c:tx>
      <c:layout>
        <c:manualLayout>
          <c:xMode val="edge"/>
          <c:yMode val="edge"/>
          <c:x val="0.15535471675822601"/>
          <c:y val="2.6682905225863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xMode val="edge"/>
          <c:yMode val="edge"/>
          <c:x val="3.8513792899757801E-2"/>
          <c:y val="6.6209034543844095E-2"/>
          <c:w val="0.94441490932718997"/>
          <c:h val="0.77889725420726297"/>
        </c:manualLayout>
      </c:layout>
      <c:lineChart>
        <c:grouping val="standard"/>
        <c:varyColors val="0"/>
        <c:ser>
          <c:idx val="0"/>
          <c:order val="0"/>
          <c:tx>
            <c:strRef>
              <c:f>Modèle!$D$513</c:f>
              <c:strCache>
                <c:ptCount val="1"/>
                <c:pt idx="0">
                  <c:v>RDC - 2002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Modèle!$N$513:$AH$513</c:f>
              <c:numCache>
                <c:formatCode>0%</c:formatCode>
                <c:ptCount val="21"/>
                <c:pt idx="0">
                  <c:v>0.38007421238752997</c:v>
                </c:pt>
                <c:pt idx="1">
                  <c:v>0.38334022043636001</c:v>
                </c:pt>
                <c:pt idx="2">
                  <c:v>0.38606823841893601</c:v>
                </c:pt>
                <c:pt idx="3">
                  <c:v>0.38838108092891499</c:v>
                </c:pt>
                <c:pt idx="4">
                  <c:v>0.39036682383013199</c:v>
                </c:pt>
                <c:pt idx="5">
                  <c:v>0.39209027560634202</c:v>
                </c:pt>
                <c:pt idx="6">
                  <c:v>0.39360018466973401</c:v>
                </c:pt>
                <c:pt idx="7">
                  <c:v>0.39493392391439702</c:v>
                </c:pt>
                <c:pt idx="8">
                  <c:v>0.39612062593303299</c:v>
                </c:pt>
                <c:pt idx="9">
                  <c:v>0.39718333548505103</c:v>
                </c:pt>
                <c:pt idx="10">
                  <c:v>0.398140520761329</c:v>
                </c:pt>
                <c:pt idx="11">
                  <c:v>0.399007155749381</c:v>
                </c:pt>
                <c:pt idx="12">
                  <c:v>0.39979550929473501</c:v>
                </c:pt>
                <c:pt idx="13">
                  <c:v>0.40051572957901199</c:v>
                </c:pt>
                <c:pt idx="14">
                  <c:v>0.40117628333503502</c:v>
                </c:pt>
                <c:pt idx="15">
                  <c:v>0.40178429024366102</c:v>
                </c:pt>
                <c:pt idx="16">
                  <c:v>0.40234578057987103</c:v>
                </c:pt>
                <c:pt idx="17">
                  <c:v>0.402865895902695</c:v>
                </c:pt>
                <c:pt idx="18">
                  <c:v>0.40334904695642898</c:v>
                </c:pt>
                <c:pt idx="19">
                  <c:v>0.40379903906127201</c:v>
                </c:pt>
                <c:pt idx="20">
                  <c:v>0.40421917254358902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5-4CF1-9CFC-01F26FE35CBF}"/>
            </c:ext>
          </c:extLst>
        </c:ser>
        <c:ser>
          <c:idx val="1"/>
          <c:order val="1"/>
          <c:tx>
            <c:strRef>
              <c:f>Modèle!$D$514</c:f>
              <c:strCache>
                <c:ptCount val="1"/>
                <c:pt idx="0">
                  <c:v>RDC - amendement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Modèle!$N$514:$AH$514</c:f>
              <c:numCache>
                <c:formatCode>0%</c:formatCode>
                <c:ptCount val="21"/>
                <c:pt idx="0">
                  <c:v>0.45380282217854401</c:v>
                </c:pt>
                <c:pt idx="1">
                  <c:v>0.457224678847096</c:v>
                </c:pt>
                <c:pt idx="2">
                  <c:v>0.46008287343389498</c:v>
                </c:pt>
                <c:pt idx="3">
                  <c:v>0.502955175143602</c:v>
                </c:pt>
                <c:pt idx="4">
                  <c:v>0.51076708928900805</c:v>
                </c:pt>
                <c:pt idx="5">
                  <c:v>0.51754714994099504</c:v>
                </c:pt>
                <c:pt idx="6">
                  <c:v>0.52348713339170305</c:v>
                </c:pt>
                <c:pt idx="7">
                  <c:v>0.52873406463606898</c:v>
                </c:pt>
                <c:pt idx="8">
                  <c:v>0.53340255131684</c:v>
                </c:pt>
                <c:pt idx="9">
                  <c:v>0.53758325153577502</c:v>
                </c:pt>
                <c:pt idx="10">
                  <c:v>0.541348819170411</c:v>
                </c:pt>
                <c:pt idx="11">
                  <c:v>0.54475816189948101</c:v>
                </c:pt>
                <c:pt idx="12">
                  <c:v>0.54785954537100701</c:v>
                </c:pt>
                <c:pt idx="13">
                  <c:v>0.55069289253951903</c:v>
                </c:pt>
                <c:pt idx="14">
                  <c:v>0.55329151153864198</c:v>
                </c:pt>
                <c:pt idx="15">
                  <c:v>0.55568341119850995</c:v>
                </c:pt>
                <c:pt idx="16">
                  <c:v>0.55789231462566402</c:v>
                </c:pt>
                <c:pt idx="17">
                  <c:v>0.55993844871740595</c:v>
                </c:pt>
                <c:pt idx="18">
                  <c:v>0.561839165345283</c:v>
                </c:pt>
                <c:pt idx="19">
                  <c:v>0.563609434641973</c:v>
                </c:pt>
                <c:pt idx="20">
                  <c:v>0.56526224009400705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5-4CF1-9CFC-01F26FE35CBF}"/>
            </c:ext>
          </c:extLst>
        </c:ser>
        <c:ser>
          <c:idx val="2"/>
          <c:order val="2"/>
          <c:tx>
            <c:strRef>
              <c:f>Modèle!$D$515</c:f>
              <c:strCache>
                <c:ptCount val="1"/>
                <c:pt idx="0">
                  <c:v>Chili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Modèle!$N$515:$AH$515</c:f>
              <c:numCache>
                <c:formatCode>0%</c:formatCode>
                <c:ptCount val="21"/>
                <c:pt idx="0">
                  <c:v>0.442553478516862</c:v>
                </c:pt>
                <c:pt idx="1">
                  <c:v>0.45169944126407002</c:v>
                </c:pt>
                <c:pt idx="2">
                  <c:v>0.45954228645587097</c:v>
                </c:pt>
                <c:pt idx="3">
                  <c:v>0.46638050687229099</c:v>
                </c:pt>
                <c:pt idx="4">
                  <c:v>0.47250908549688098</c:v>
                </c:pt>
                <c:pt idx="5">
                  <c:v>0.47796081619935599</c:v>
                </c:pt>
                <c:pt idx="6">
                  <c:v>0.482932366289474</c:v>
                </c:pt>
                <c:pt idx="7">
                  <c:v>0.48740809426966902</c:v>
                </c:pt>
                <c:pt idx="8">
                  <c:v>0.49153752983763299</c:v>
                </c:pt>
                <c:pt idx="9">
                  <c:v>0.495307938628818</c:v>
                </c:pt>
                <c:pt idx="10">
                  <c:v>0.49874750343076402</c:v>
                </c:pt>
                <c:pt idx="11">
                  <c:v>0.501972787340212</c:v>
                </c:pt>
                <c:pt idx="12">
                  <c:v>0.50494822105745996</c:v>
                </c:pt>
                <c:pt idx="13">
                  <c:v>0.507702517904011</c:v>
                </c:pt>
                <c:pt idx="14">
                  <c:v>0.51028765861015801</c:v>
                </c:pt>
                <c:pt idx="15">
                  <c:v>0.51271039912271898</c:v>
                </c:pt>
                <c:pt idx="16">
                  <c:v>0.514968088015056</c:v>
                </c:pt>
                <c:pt idx="17">
                  <c:v>0.51710025542065197</c:v>
                </c:pt>
                <c:pt idx="18">
                  <c:v>0.51910506818828195</c:v>
                </c:pt>
                <c:pt idx="19">
                  <c:v>0.52098730534843296</c:v>
                </c:pt>
                <c:pt idx="20">
                  <c:v>0.52276929252814397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5-4CF1-9CFC-01F26FE35CBF}"/>
            </c:ext>
          </c:extLst>
        </c:ser>
        <c:ser>
          <c:idx val="3"/>
          <c:order val="3"/>
          <c:tx>
            <c:strRef>
              <c:f>Modèle!$D$516</c:f>
              <c:strCache>
                <c:ptCount val="1"/>
                <c:pt idx="0">
                  <c:v>Perou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Modèle!$N$516:$AH$516</c:f>
              <c:numCache>
                <c:formatCode>0%</c:formatCode>
                <c:ptCount val="21"/>
                <c:pt idx="0">
                  <c:v>0.31244389204582601</c:v>
                </c:pt>
                <c:pt idx="1">
                  <c:v>0.31955499151628503</c:v>
                </c:pt>
                <c:pt idx="2">
                  <c:v>0.32568644653544399</c:v>
                </c:pt>
                <c:pt idx="3">
                  <c:v>0.33104945888870202</c:v>
                </c:pt>
                <c:pt idx="4">
                  <c:v>0.33579735874655298</c:v>
                </c:pt>
                <c:pt idx="5">
                  <c:v>0.33998963661978199</c:v>
                </c:pt>
                <c:pt idx="6">
                  <c:v>0.34377472280868798</c:v>
                </c:pt>
                <c:pt idx="7">
                  <c:v>0.347163094406649</c:v>
                </c:pt>
                <c:pt idx="8">
                  <c:v>0.350258745624001</c:v>
                </c:pt>
                <c:pt idx="9">
                  <c:v>0.35307111459590002</c:v>
                </c:pt>
                <c:pt idx="10">
                  <c:v>0.35562748705013902</c:v>
                </c:pt>
                <c:pt idx="11">
                  <c:v>0.35800040107006098</c:v>
                </c:pt>
                <c:pt idx="12">
                  <c:v>0.36017951104211698</c:v>
                </c:pt>
                <c:pt idx="13">
                  <c:v>0.36218880879732801</c:v>
                </c:pt>
                <c:pt idx="14">
                  <c:v>0.364061281472497</c:v>
                </c:pt>
                <c:pt idx="15">
                  <c:v>0.36580603213497098</c:v>
                </c:pt>
                <c:pt idx="16">
                  <c:v>0.36742716577591999</c:v>
                </c:pt>
                <c:pt idx="17">
                  <c:v>0.36894814288214101</c:v>
                </c:pt>
                <c:pt idx="18">
                  <c:v>0.37037197657004001</c:v>
                </c:pt>
                <c:pt idx="19">
                  <c:v>0.37170456950255298</c:v>
                </c:pt>
                <c:pt idx="20">
                  <c:v>0.372958795528261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15-4CF1-9CFC-01F26FE35CBF}"/>
            </c:ext>
          </c:extLst>
        </c:ser>
        <c:ser>
          <c:idx val="4"/>
          <c:order val="4"/>
          <c:tx>
            <c:strRef>
              <c:f>Modèle!$D$517</c:f>
              <c:strCache>
                <c:ptCount val="1"/>
                <c:pt idx="0">
                  <c:v>Australie Occidentale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Modèle!$N$517:$AH$517</c:f>
              <c:numCache>
                <c:formatCode>0%</c:formatCode>
                <c:ptCount val="21"/>
                <c:pt idx="0">
                  <c:v>0.46427393060605499</c:v>
                </c:pt>
                <c:pt idx="1">
                  <c:v>0.46947753653817997</c:v>
                </c:pt>
                <c:pt idx="2">
                  <c:v>0.47382398343752802</c:v>
                </c:pt>
                <c:pt idx="3">
                  <c:v>0.47750894710726299</c:v>
                </c:pt>
                <c:pt idx="4">
                  <c:v>0.48067275545860699</c:v>
                </c:pt>
                <c:pt idx="5">
                  <c:v>0.48341866537442402</c:v>
                </c:pt>
                <c:pt idx="6">
                  <c:v>0.48582434583869899</c:v>
                </c:pt>
                <c:pt idx="7">
                  <c:v>0.48794934165673698</c:v>
                </c:pt>
                <c:pt idx="8">
                  <c:v>0.48984006867624102</c:v>
                </c:pt>
                <c:pt idx="9">
                  <c:v>0.49153324323255798</c:v>
                </c:pt>
                <c:pt idx="10">
                  <c:v>0.49305828998912299</c:v>
                </c:pt>
                <c:pt idx="11">
                  <c:v>0.49443906642855301</c:v>
                </c:pt>
                <c:pt idx="12">
                  <c:v>0.49569512003402</c:v>
                </c:pt>
                <c:pt idx="13">
                  <c:v>0.49684261951585501</c:v>
                </c:pt>
                <c:pt idx="14">
                  <c:v>0.49789505459621602</c:v>
                </c:pt>
                <c:pt idx="15">
                  <c:v>0.49886376879079303</c:v>
                </c:pt>
                <c:pt idx="16">
                  <c:v>0.49975836990648098</c:v>
                </c:pt>
                <c:pt idx="17">
                  <c:v>0.50058704979298896</c:v>
                </c:pt>
                <c:pt idx="18">
                  <c:v>0.50135683592080404</c:v>
                </c:pt>
                <c:pt idx="19">
                  <c:v>0.50207379116131901</c:v>
                </c:pt>
                <c:pt idx="20">
                  <c:v>0.50274317379852596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15-4CF1-9CFC-01F26FE35CBF}"/>
            </c:ext>
          </c:extLst>
        </c:ser>
        <c:ser>
          <c:idx val="5"/>
          <c:order val="5"/>
          <c:tx>
            <c:strRef>
              <c:f>Modèle!$D$518</c:f>
              <c:strCache>
                <c:ptCount val="1"/>
                <c:pt idx="0">
                  <c:v>Tanzanie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Modèle!$N$518:$AH$518</c:f>
              <c:numCache>
                <c:formatCode>0%</c:formatCode>
                <c:ptCount val="21"/>
                <c:pt idx="0">
                  <c:v>0.33839789303470702</c:v>
                </c:pt>
                <c:pt idx="1">
                  <c:v>0.34349613070158602</c:v>
                </c:pt>
                <c:pt idx="2">
                  <c:v>0.34775456602285798</c:v>
                </c:pt>
                <c:pt idx="3">
                  <c:v>0.35136491254547603</c:v>
                </c:pt>
                <c:pt idx="4">
                  <c:v>0.35446465666868698</c:v>
                </c:pt>
                <c:pt idx="5">
                  <c:v>0.35715496441782901</c:v>
                </c:pt>
                <c:pt idx="6">
                  <c:v>0.35951193205093201</c:v>
                </c:pt>
                <c:pt idx="7">
                  <c:v>0.36159389864540398</c:v>
                </c:pt>
                <c:pt idx="8">
                  <c:v>0.36344634017044503</c:v>
                </c:pt>
                <c:pt idx="9">
                  <c:v>0.36510522948916302</c:v>
                </c:pt>
                <c:pt idx="10">
                  <c:v>0.36659939544244402</c:v>
                </c:pt>
                <c:pt idx="11">
                  <c:v>0.36795221242068199</c:v>
                </c:pt>
                <c:pt idx="12">
                  <c:v>0.36918283208837799</c:v>
                </c:pt>
                <c:pt idx="13">
                  <c:v>0.37030709575425202</c:v>
                </c:pt>
                <c:pt idx="14">
                  <c:v>0.37133821998591598</c:v>
                </c:pt>
                <c:pt idx="15">
                  <c:v>0.37228731860323</c:v>
                </c:pt>
                <c:pt idx="16">
                  <c:v>0.37316380486378198</c:v>
                </c:pt>
                <c:pt idx="17">
                  <c:v>0.37397570473980801</c:v>
                </c:pt>
                <c:pt idx="18">
                  <c:v>0.37472990340194001</c:v>
                </c:pt>
                <c:pt idx="19">
                  <c:v>0.375432340953963</c:v>
                </c:pt>
                <c:pt idx="20">
                  <c:v>0.376088169204427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15-4CF1-9CFC-01F26FE35CBF}"/>
            </c:ext>
          </c:extLst>
        </c:ser>
        <c:ser>
          <c:idx val="6"/>
          <c:order val="6"/>
          <c:tx>
            <c:strRef>
              <c:f>Modèle!$D$519</c:f>
              <c:strCache>
                <c:ptCount val="1"/>
                <c:pt idx="0">
                  <c:v>Ghana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Modèle!$N$519:$AH$519</c:f>
              <c:numCache>
                <c:formatCode>0%</c:formatCode>
                <c:ptCount val="21"/>
                <c:pt idx="0">
                  <c:v>0.42320358486915099</c:v>
                </c:pt>
                <c:pt idx="1">
                  <c:v>0.42908307228405301</c:v>
                </c:pt>
                <c:pt idx="2">
                  <c:v>0.43399406673243801</c:v>
                </c:pt>
                <c:pt idx="3">
                  <c:v>0.438157659787557</c:v>
                </c:pt>
                <c:pt idx="4">
                  <c:v>0.441732406151429</c:v>
                </c:pt>
                <c:pt idx="5">
                  <c:v>0.44483497444793002</c:v>
                </c:pt>
                <c:pt idx="6">
                  <c:v>0.44755312186310298</c:v>
                </c:pt>
                <c:pt idx="7">
                  <c:v>0.449954127306604</c:v>
                </c:pt>
                <c:pt idx="8">
                  <c:v>0.45209043544776401</c:v>
                </c:pt>
                <c:pt idx="9">
                  <c:v>0.45400353160165202</c:v>
                </c:pt>
                <c:pt idx="10">
                  <c:v>0.45572666231702902</c:v>
                </c:pt>
                <c:pt idx="11">
                  <c:v>0.457286783856652</c:v>
                </c:pt>
                <c:pt idx="12">
                  <c:v>0.45870598267034302</c:v>
                </c:pt>
                <c:pt idx="13">
                  <c:v>0.46000252757594501</c:v>
                </c:pt>
                <c:pt idx="14">
                  <c:v>0.46119166043702098</c:v>
                </c:pt>
                <c:pt idx="15">
                  <c:v>0.46228619814605199</c:v>
                </c:pt>
                <c:pt idx="16">
                  <c:v>0.46329699644047601</c:v>
                </c:pt>
                <c:pt idx="17">
                  <c:v>0.46423331118591499</c:v>
                </c:pt>
                <c:pt idx="18">
                  <c:v>0.46510308263088801</c:v>
                </c:pt>
                <c:pt idx="19">
                  <c:v>0.465913161135801</c:v>
                </c:pt>
                <c:pt idx="20">
                  <c:v>0.46666948796810798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15-4CF1-9CFC-01F26FE35CBF}"/>
            </c:ext>
          </c:extLst>
        </c:ser>
        <c:ser>
          <c:idx val="7"/>
          <c:order val="7"/>
          <c:tx>
            <c:strRef>
              <c:f>Modèle!$D$520</c:f>
              <c:strCache>
                <c:ptCount val="1"/>
                <c:pt idx="0">
                  <c:v>Zambie - 2016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Modèle!$N$520:$AH$520</c:f>
              <c:numCache>
                <c:formatCode>0%</c:formatCode>
                <c:ptCount val="21"/>
                <c:pt idx="0">
                  <c:v>0.36645170473827698</c:v>
                </c:pt>
                <c:pt idx="1">
                  <c:v>0.36959744260980298</c:v>
                </c:pt>
                <c:pt idx="2">
                  <c:v>0.37222500180552298</c:v>
                </c:pt>
                <c:pt idx="3">
                  <c:v>0.37445267429307999</c:v>
                </c:pt>
                <c:pt idx="4">
                  <c:v>0.37636529255797002</c:v>
                </c:pt>
                <c:pt idx="5">
                  <c:v>0.37802527852282902</c:v>
                </c:pt>
                <c:pt idx="6">
                  <c:v>0.37947958544805999</c:v>
                </c:pt>
                <c:pt idx="7">
                  <c:v>0.38076420997744098</c:v>
                </c:pt>
                <c:pt idx="8">
                  <c:v>0.381907211901021</c:v>
                </c:pt>
                <c:pt idx="9">
                  <c:v>0.38293078735896002</c:v>
                </c:pt>
                <c:pt idx="10">
                  <c:v>0.38385272445422702</c:v>
                </c:pt>
                <c:pt idx="11">
                  <c:v>0.38468744575985298</c:v>
                </c:pt>
                <c:pt idx="12">
                  <c:v>0.38544676832326802</c:v>
                </c:pt>
                <c:pt idx="13">
                  <c:v>0.38614046662107399</c:v>
                </c:pt>
                <c:pt idx="14">
                  <c:v>0.386776695600131</c:v>
                </c:pt>
                <c:pt idx="15">
                  <c:v>0.38736231276029098</c:v>
                </c:pt>
                <c:pt idx="16">
                  <c:v>0.38790312631270901</c:v>
                </c:pt>
                <c:pt idx="17">
                  <c:v>0.388404088479399</c:v>
                </c:pt>
                <c:pt idx="18">
                  <c:v>0.38886944757976699</c:v>
                </c:pt>
                <c:pt idx="19">
                  <c:v>0.38930286880375897</c:v>
                </c:pt>
                <c:pt idx="20">
                  <c:v>0.38970753094379701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415-4CF1-9CFC-01F26FE35CBF}"/>
            </c:ext>
          </c:extLst>
        </c:ser>
        <c:ser>
          <c:idx val="8"/>
          <c:order val="8"/>
          <c:tx>
            <c:strRef>
              <c:f>Modèle!$D$521</c:f>
              <c:strCache>
                <c:ptCount val="1"/>
                <c:pt idx="0">
                  <c:v>RDC - redevance a taux variable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Modèle!$N$521:$AH$521</c:f>
              <c:numCache>
                <c:formatCode>0%</c:formatCode>
                <c:ptCount val="21"/>
                <c:pt idx="0">
                  <c:v>0.38411783436903602</c:v>
                </c:pt>
                <c:pt idx="1">
                  <c:v>0.38702090965008401</c:v>
                </c:pt>
                <c:pt idx="2">
                  <c:v>0.38944577861950103</c:v>
                </c:pt>
                <c:pt idx="3">
                  <c:v>0.39150160818859298</c:v>
                </c:pt>
                <c:pt idx="4">
                  <c:v>0.393266686854919</c:v>
                </c:pt>
                <c:pt idx="5">
                  <c:v>0.39479862130663801</c:v>
                </c:pt>
                <c:pt idx="6">
                  <c:v>0.39614074282410799</c:v>
                </c:pt>
                <c:pt idx="7">
                  <c:v>0.39732627126575798</c:v>
                </c:pt>
                <c:pt idx="8">
                  <c:v>0.39838110188612602</c:v>
                </c:pt>
                <c:pt idx="9">
                  <c:v>0.39932571861249999</c:v>
                </c:pt>
                <c:pt idx="10">
                  <c:v>0.40017653737148701</c:v>
                </c:pt>
                <c:pt idx="11">
                  <c:v>0.40094686817713299</c:v>
                </c:pt>
                <c:pt idx="12">
                  <c:v>0.401647616508438</c:v>
                </c:pt>
                <c:pt idx="13">
                  <c:v>0.40228780283772297</c:v>
                </c:pt>
                <c:pt idx="14">
                  <c:v>0.40287495303828702</c:v>
                </c:pt>
                <c:pt idx="15">
                  <c:v>0.40341539562163298</c:v>
                </c:pt>
                <c:pt idx="16">
                  <c:v>0.40391449075282299</c:v>
                </c:pt>
                <c:pt idx="17">
                  <c:v>0.40437680863888198</c:v>
                </c:pt>
                <c:pt idx="18">
                  <c:v>0.404806269883354</c:v>
                </c:pt>
                <c:pt idx="19">
                  <c:v>0.405206256943001</c:v>
                </c:pt>
                <c:pt idx="20">
                  <c:v>0.40557970339782301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15-4CF1-9CFC-01F26FE35CBF}"/>
            </c:ext>
          </c:extLst>
        </c:ser>
        <c:ser>
          <c:idx val="9"/>
          <c:order val="9"/>
          <c:tx>
            <c:strRef>
              <c:f>Modèle!$D$522</c:f>
              <c:strCache>
                <c:ptCount val="1"/>
                <c:pt idx="0">
                  <c:v>RDC - taxe sur la rente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Modèle!$N$522:$AH$522</c:f>
              <c:numCache>
                <c:formatCode>0%</c:formatCode>
                <c:ptCount val="21"/>
                <c:pt idx="0">
                  <c:v>0.43216369586237202</c:v>
                </c:pt>
                <c:pt idx="1">
                  <c:v>0.43636605670286299</c:v>
                </c:pt>
                <c:pt idx="2">
                  <c:v>0.43987618765500303</c:v>
                </c:pt>
                <c:pt idx="3">
                  <c:v>0.44285211381588402</c:v>
                </c:pt>
                <c:pt idx="4">
                  <c:v>0.44540716208355202</c:v>
                </c:pt>
                <c:pt idx="5">
                  <c:v>0.44762472130157499</c:v>
                </c:pt>
                <c:pt idx="6">
                  <c:v>0.44956751587704302</c:v>
                </c:pt>
                <c:pt idx="7">
                  <c:v>0.45128363337871602</c:v>
                </c:pt>
                <c:pt idx="8">
                  <c:v>0.45281055860911601</c:v>
                </c:pt>
                <c:pt idx="9">
                  <c:v>0.45417794317750798</c:v>
                </c:pt>
                <c:pt idx="10">
                  <c:v>0.45540955003884698</c:v>
                </c:pt>
                <c:pt idx="11">
                  <c:v>0.45652464616914901</c:v>
                </c:pt>
                <c:pt idx="12">
                  <c:v>0.45753901784794698</c:v>
                </c:pt>
                <c:pt idx="13">
                  <c:v>0.458465722704127</c:v>
                </c:pt>
                <c:pt idx="14">
                  <c:v>0.45931565485244003</c:v>
                </c:pt>
                <c:pt idx="15">
                  <c:v>0.460097975160707</c:v>
                </c:pt>
                <c:pt idx="16">
                  <c:v>0.46082044276210998</c:v>
                </c:pt>
                <c:pt idx="17">
                  <c:v>0.46148967328221202</c:v>
                </c:pt>
                <c:pt idx="18">
                  <c:v>0.46211134200987503</c:v>
                </c:pt>
                <c:pt idx="19">
                  <c:v>0.46269034523694902</c:v>
                </c:pt>
                <c:pt idx="20">
                  <c:v>0.463230929481528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415-4CF1-9CFC-01F26FE35CBF}"/>
            </c:ext>
          </c:extLst>
        </c:ser>
        <c:ser>
          <c:idx val="10"/>
          <c:order val="10"/>
          <c:tx>
            <c:strRef>
              <c:f>Modèle!$D$523</c:f>
              <c:strCache>
                <c:ptCount val="1"/>
                <c:pt idx="0">
                  <c:v>Sénégal (SGO - Convention Sabodala)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Modèle!$N$512:$AH$512</c:f>
              <c:numCache>
                <c:formatCode>#\ ##0_);[Red]\(#\ ##0\);\-</c:formatCode>
                <c:ptCount val="21"/>
                <c:pt idx="0">
                  <c:v>1359.9999999999998</c:v>
                </c:pt>
                <c:pt idx="1">
                  <c:v>1439.9999999999998</c:v>
                </c:pt>
                <c:pt idx="2">
                  <c:v>1520</c:v>
                </c:pt>
                <c:pt idx="3">
                  <c:v>1600</c:v>
                </c:pt>
                <c:pt idx="4">
                  <c:v>1680</c:v>
                </c:pt>
                <c:pt idx="5">
                  <c:v>1760.0000000000002</c:v>
                </c:pt>
                <c:pt idx="6">
                  <c:v>1840.0000000000002</c:v>
                </c:pt>
                <c:pt idx="7">
                  <c:v>1920.0000000000002</c:v>
                </c:pt>
                <c:pt idx="8">
                  <c:v>2000.0000000000005</c:v>
                </c:pt>
                <c:pt idx="9">
                  <c:v>2080.0000000000005</c:v>
                </c:pt>
                <c:pt idx="10">
                  <c:v>2160.0000000000005</c:v>
                </c:pt>
                <c:pt idx="11">
                  <c:v>2240.0000000000005</c:v>
                </c:pt>
                <c:pt idx="12">
                  <c:v>2320.0000000000005</c:v>
                </c:pt>
                <c:pt idx="13">
                  <c:v>2400.0000000000009</c:v>
                </c:pt>
                <c:pt idx="14">
                  <c:v>2480.0000000000009</c:v>
                </c:pt>
                <c:pt idx="15">
                  <c:v>2560.0000000000009</c:v>
                </c:pt>
                <c:pt idx="16">
                  <c:v>2640.0000000000009</c:v>
                </c:pt>
                <c:pt idx="17">
                  <c:v>2720.0000000000009</c:v>
                </c:pt>
                <c:pt idx="18">
                  <c:v>2800.0000000000009</c:v>
                </c:pt>
                <c:pt idx="19">
                  <c:v>2880.0000000000009</c:v>
                </c:pt>
                <c:pt idx="20">
                  <c:v>2960.0000000000014</c:v>
                </c:pt>
              </c:numCache>
            </c:numRef>
          </c:cat>
          <c:val>
            <c:numRef>
              <c:f>Modèle!$N$523:$AH$523</c:f>
              <c:numCache>
                <c:formatCode>0%</c:formatCode>
                <c:ptCount val="21"/>
                <c:pt idx="0">
                  <c:v>0.37587578138516903</c:v>
                </c:pt>
                <c:pt idx="1">
                  <c:v>0.38009416692503001</c:v>
                </c:pt>
                <c:pt idx="2">
                  <c:v>0.38361768292319398</c:v>
                </c:pt>
                <c:pt idx="3">
                  <c:v>0.38660495706771603</c:v>
                </c:pt>
                <c:pt idx="4">
                  <c:v>0.38916974840170399</c:v>
                </c:pt>
                <c:pt idx="5">
                  <c:v>0.39139576375216101</c:v>
                </c:pt>
                <c:pt idx="6">
                  <c:v>0.39334596671072403</c:v>
                </c:pt>
                <c:pt idx="7">
                  <c:v>0.39506862821660998</c:v>
                </c:pt>
                <c:pt idx="8">
                  <c:v>0.39660137601168399</c:v>
                </c:pt>
                <c:pt idx="9">
                  <c:v>0.397973974774541</c:v>
                </c:pt>
                <c:pt idx="10">
                  <c:v>0.399210278074487</c:v>
                </c:pt>
                <c:pt idx="11">
                  <c:v>0.40032962635755198</c:v>
                </c:pt>
                <c:pt idx="12">
                  <c:v>0.40134786610047402</c:v>
                </c:pt>
                <c:pt idx="13">
                  <c:v>0.40227810472428799</c:v>
                </c:pt>
                <c:pt idx="14">
                  <c:v>0.40313127788585001</c:v>
                </c:pt>
                <c:pt idx="15">
                  <c:v>0.40391658138576197</c:v>
                </c:pt>
                <c:pt idx="16">
                  <c:v>0.40464180394480798</c:v>
                </c:pt>
                <c:pt idx="17">
                  <c:v>0.40531358641565901</c:v>
                </c:pt>
                <c:pt idx="18">
                  <c:v>0.40593762572853498</c:v>
                </c:pt>
                <c:pt idx="19">
                  <c:v>0.406518836846126</c:v>
                </c:pt>
                <c:pt idx="20">
                  <c:v>0.40706148247960899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15-4CF1-9CFC-01F26FE35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smooth val="0"/>
        <c:axId val="11278100"/>
        <c:axId val="61352961"/>
      </c:lineChart>
      <c:catAx>
        <c:axId val="11278100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SN"/>
                  <a:t>Price $/ounce </a:t>
                </a:r>
              </a:p>
            </c:rich>
          </c:tx>
          <c:layout>
            <c:manualLayout>
              <c:xMode val="edge"/>
              <c:yMode val="edge"/>
              <c:x val="0.39831059129304702"/>
              <c:y val="0.88518600531443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_);[Red]\(#,##0\);\-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352961"/>
        <c:crossesAt val="0"/>
        <c:auto val="1"/>
        <c:lblAlgn val="ctr"/>
        <c:lblOffset val="100"/>
        <c:noMultiLvlLbl val="0"/>
      </c:catAx>
      <c:valAx>
        <c:axId val="613529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278100"/>
        <c:crossesAt val="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2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lang="fr-SN" sz="1320" b="0" strike="noStrike" spc="-1">
                <a:solidFill>
                  <a:srgbClr val="000000"/>
                </a:solidFill>
                <a:latin typeface="Calibri"/>
                <a:ea typeface="DejaVu Sans"/>
              </a:rPr>
              <a:t>Graphique 2c. Coefficient de variation </a:t>
            </a:r>
          </a:p>
        </c:rich>
      </c:tx>
      <c:layout>
        <c:manualLayout>
          <c:xMode val="edge"/>
          <c:yMode val="edge"/>
          <c:x val="0.270797672030127"/>
          <c:y val="4.1389258766089697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1.90345771995892E-2"/>
          <c:y val="0.155459387483356"/>
          <c:w val="0.96761383087983599"/>
          <c:h val="0.844429649356413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Modèle!$E$484</c:f>
              <c:strCache>
                <c:ptCount val="1"/>
                <c:pt idx="0">
                  <c:v>Coefficient de variation</c:v>
                </c:pt>
              </c:strCache>
            </c:strRef>
          </c:tx>
          <c:spPr>
            <a:solidFill>
              <a:srgbClr val="53CAE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Modèle!$D$485:$D$495</c:f>
              <c:strCache>
                <c:ptCount val="11"/>
                <c:pt idx="0">
                  <c:v>RDC - 2002</c:v>
                </c:pt>
                <c:pt idx="1">
                  <c:v>RDC - amendement</c:v>
                </c:pt>
                <c:pt idx="2">
                  <c:v>Chili</c:v>
                </c:pt>
                <c:pt idx="3">
                  <c:v>Perou</c:v>
                </c:pt>
                <c:pt idx="4">
                  <c:v>Australie Occidentale</c:v>
                </c:pt>
                <c:pt idx="5">
                  <c:v>Tanzanie</c:v>
                </c:pt>
                <c:pt idx="6">
                  <c:v>Ghana</c:v>
                </c:pt>
                <c:pt idx="7">
                  <c:v>Zambie - 2016</c:v>
                </c:pt>
                <c:pt idx="8">
                  <c:v>RDC - redevance a taux variable</c:v>
                </c:pt>
                <c:pt idx="9">
                  <c:v>RDC - taxe sur la rente</c:v>
                </c:pt>
                <c:pt idx="10">
                  <c:v>Sénégal (SGO - Convention Sabodala)</c:v>
                </c:pt>
              </c:strCache>
            </c:strRef>
          </c:cat>
          <c:val>
            <c:numRef>
              <c:f>Modèle!$E$485:$E$495</c:f>
              <c:numCache>
                <c:formatCode>_(* #\ ##0.00_);_(* \(#\ ##0.00\);_(* \-??_);_(@_)</c:formatCode>
                <c:ptCount val="11"/>
                <c:pt idx="0">
                  <c:v>0.5180421075789593</c:v>
                </c:pt>
                <c:pt idx="1">
                  <c:v>0.55690168838574161</c:v>
                </c:pt>
                <c:pt idx="2">
                  <c:v>0.55492360292916698</c:v>
                </c:pt>
                <c:pt idx="3">
                  <c:v>0.56038881225670267</c:v>
                </c:pt>
                <c:pt idx="4">
                  <c:v>0.52260797023753347</c:v>
                </c:pt>
                <c:pt idx="5">
                  <c:v>0.53787219251248874</c:v>
                </c:pt>
                <c:pt idx="6">
                  <c:v>0.53256614457812834</c:v>
                </c:pt>
                <c:pt idx="7">
                  <c:v>0.51853742561070371</c:v>
                </c:pt>
                <c:pt idx="8">
                  <c:v>0.51423364770907498</c:v>
                </c:pt>
                <c:pt idx="9">
                  <c:v>0.52142610470942818</c:v>
                </c:pt>
                <c:pt idx="10">
                  <c:v>0.52449933094816537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E-4070-896B-83DBB90F7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73730"/>
        <c:axId val="50633136"/>
      </c:barChart>
      <c:catAx>
        <c:axId val="376737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C0C0C0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50633136"/>
        <c:crossesAt val="0"/>
        <c:auto val="1"/>
        <c:lblAlgn val="ctr"/>
        <c:lblOffset val="100"/>
        <c:noMultiLvlLbl val="0"/>
      </c:catAx>
      <c:valAx>
        <c:axId val="50633136"/>
        <c:scaling>
          <c:orientation val="minMax"/>
        </c:scaling>
        <c:delete val="0"/>
        <c:axPos val="l"/>
        <c:majorGridlines>
          <c:spPr>
            <a:ln w="0">
              <a:solidFill>
                <a:srgbClr val="C0C0C0"/>
              </a:solidFill>
            </a:ln>
          </c:spPr>
        </c:majorGridlines>
        <c:numFmt formatCode="_(* #,##0.00_);_(* \(#,##0.00\);_(* \-??_);_(@_)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37673730"/>
        <c:crossesAt val="1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2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lang="fr-SN" sz="1320" b="0" strike="noStrike" spc="-1">
                <a:solidFill>
                  <a:srgbClr val="000000"/>
                </a:solidFill>
                <a:latin typeface="Calibri"/>
                <a:ea typeface="DejaVu Sans"/>
              </a:rPr>
              <a:t>Graphique 2b: changement dans la somme des recettes de l’Etat (USD million)</a:t>
            </a:r>
          </a:p>
        </c:rich>
      </c:tx>
      <c:layout>
        <c:manualLayout>
          <c:xMode val="edge"/>
          <c:yMode val="edge"/>
          <c:x val="0.126436781609195"/>
          <c:y val="4.1389258766089697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2.9065926806711599E-2"/>
          <c:y val="0.215157567687528"/>
          <c:w val="0.95587263839344705"/>
          <c:h val="0.677208166888592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Modèle!$F$484</c:f>
              <c:strCache>
                <c:ptCount val="1"/>
                <c:pt idx="0">
                  <c:v>Moins 20% ($mm)</c:v>
                </c:pt>
              </c:strCache>
            </c:strRef>
          </c:tx>
          <c:spPr>
            <a:solidFill>
              <a:srgbClr val="53CAE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Modèle!$D$485:$D$495</c:f>
              <c:strCache>
                <c:ptCount val="11"/>
                <c:pt idx="0">
                  <c:v>RDC - 2002</c:v>
                </c:pt>
                <c:pt idx="1">
                  <c:v>RDC - amendement</c:v>
                </c:pt>
                <c:pt idx="2">
                  <c:v>Chili</c:v>
                </c:pt>
                <c:pt idx="3">
                  <c:v>Perou</c:v>
                </c:pt>
                <c:pt idx="4">
                  <c:v>Australie Occidentale</c:v>
                </c:pt>
                <c:pt idx="5">
                  <c:v>Tanzanie</c:v>
                </c:pt>
                <c:pt idx="6">
                  <c:v>Ghana</c:v>
                </c:pt>
                <c:pt idx="7">
                  <c:v>Zambie - 2016</c:v>
                </c:pt>
                <c:pt idx="8">
                  <c:v>RDC - redevance a taux variable</c:v>
                </c:pt>
                <c:pt idx="9">
                  <c:v>RDC - taxe sur la rente</c:v>
                </c:pt>
                <c:pt idx="10">
                  <c:v>Sénégal (SGO - Convention Sabodala)</c:v>
                </c:pt>
              </c:strCache>
            </c:strRef>
          </c:cat>
          <c:val>
            <c:numRef>
              <c:f>Modèle!$F$485:$F$495</c:f>
              <c:numCache>
                <c:formatCode>0</c:formatCode>
                <c:ptCount val="11"/>
                <c:pt idx="0">
                  <c:v>-308.14375525384298</c:v>
                </c:pt>
                <c:pt idx="1">
                  <c:v>-460.59068531738797</c:v>
                </c:pt>
                <c:pt idx="2">
                  <c:v>-403.54896084346001</c:v>
                </c:pt>
                <c:pt idx="3">
                  <c:v>-290.47133668153401</c:v>
                </c:pt>
                <c:pt idx="4">
                  <c:v>-384.24825421263188</c:v>
                </c:pt>
                <c:pt idx="5">
                  <c:v>-292.41147060375999</c:v>
                </c:pt>
                <c:pt idx="6">
                  <c:v>-360.67227860777189</c:v>
                </c:pt>
                <c:pt idx="7">
                  <c:v>-297.07288827785806</c:v>
                </c:pt>
                <c:pt idx="8">
                  <c:v>-308.14375525384196</c:v>
                </c:pt>
                <c:pt idx="9">
                  <c:v>-354.05541414589595</c:v>
                </c:pt>
                <c:pt idx="10">
                  <c:v>-312.88841252926397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7-4064-9DB8-58F0B5DDDF77}"/>
            </c:ext>
          </c:extLst>
        </c:ser>
        <c:ser>
          <c:idx val="1"/>
          <c:order val="1"/>
          <c:tx>
            <c:strRef>
              <c:f>Modèle!$G$484</c:f>
              <c:strCache>
                <c:ptCount val="1"/>
                <c:pt idx="0">
                  <c:v>Plus 20% ($mm)</c:v>
                </c:pt>
              </c:strCache>
            </c:strRef>
          </c:tx>
          <c:spPr>
            <a:solidFill>
              <a:srgbClr val="FF6F4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Modèle!$D$485:$D$495</c:f>
              <c:strCache>
                <c:ptCount val="11"/>
                <c:pt idx="0">
                  <c:v>RDC - 2002</c:v>
                </c:pt>
                <c:pt idx="1">
                  <c:v>RDC - amendement</c:v>
                </c:pt>
                <c:pt idx="2">
                  <c:v>Chili</c:v>
                </c:pt>
                <c:pt idx="3">
                  <c:v>Perou</c:v>
                </c:pt>
                <c:pt idx="4">
                  <c:v>Australie Occidentale</c:v>
                </c:pt>
                <c:pt idx="5">
                  <c:v>Tanzanie</c:v>
                </c:pt>
                <c:pt idx="6">
                  <c:v>Ghana</c:v>
                </c:pt>
                <c:pt idx="7">
                  <c:v>Zambie - 2016</c:v>
                </c:pt>
                <c:pt idx="8">
                  <c:v>RDC - redevance a taux variable</c:v>
                </c:pt>
                <c:pt idx="9">
                  <c:v>RDC - taxe sur la rente</c:v>
                </c:pt>
                <c:pt idx="10">
                  <c:v>Sénégal (SGO - Convention Sabodala)</c:v>
                </c:pt>
              </c:strCache>
            </c:strRef>
          </c:cat>
          <c:val>
            <c:numRef>
              <c:f>Modèle!$G$485:$G$495</c:f>
              <c:numCache>
                <c:formatCode>0</c:formatCode>
                <c:ptCount val="11"/>
                <c:pt idx="0">
                  <c:v>308.14375525383798</c:v>
                </c:pt>
                <c:pt idx="1">
                  <c:v>453.87964925047004</c:v>
                </c:pt>
                <c:pt idx="2">
                  <c:v>411.75241929713002</c:v>
                </c:pt>
                <c:pt idx="3">
                  <c:v>296.0388692214201</c:v>
                </c:pt>
                <c:pt idx="4">
                  <c:v>386.41672703141012</c:v>
                </c:pt>
                <c:pt idx="5">
                  <c:v>292.41147060376204</c:v>
                </c:pt>
                <c:pt idx="6">
                  <c:v>361.60022722359008</c:v>
                </c:pt>
                <c:pt idx="7">
                  <c:v>297.07288827785806</c:v>
                </c:pt>
                <c:pt idx="8">
                  <c:v>308.14375525384207</c:v>
                </c:pt>
                <c:pt idx="9">
                  <c:v>354.4041636892</c:v>
                </c:pt>
                <c:pt idx="10">
                  <c:v>312.88841252926602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D7-4064-9DB8-58F0B5DDD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407359"/>
        <c:axId val="26086562"/>
      </c:barChart>
      <c:catAx>
        <c:axId val="894073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0">
            <a:solidFill>
              <a:srgbClr val="C0C0C0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26086562"/>
        <c:crossesAt val="0"/>
        <c:auto val="1"/>
        <c:lblAlgn val="ctr"/>
        <c:lblOffset val="100"/>
        <c:noMultiLvlLbl val="0"/>
      </c:catAx>
      <c:valAx>
        <c:axId val="26086562"/>
        <c:scaling>
          <c:orientation val="minMax"/>
        </c:scaling>
        <c:delete val="0"/>
        <c:axPos val="l"/>
        <c:majorGridlines>
          <c:spPr>
            <a:ln w="0">
              <a:solidFill>
                <a:srgbClr val="C0C0C0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89407359"/>
        <c:crossesAt val="1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27297350862125902"/>
          <c:y val="0.868207103123663"/>
          <c:w val="0.49639955076963699"/>
          <c:h val="7.552417629439449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100" b="0" strike="noStrike" spc="-1">
              <a:solidFill>
                <a:srgbClr val="000000"/>
              </a:solidFill>
              <a:latin typeface="Calibri"/>
              <a:ea typeface="DejaVu San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320" b="1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lang="fr-SN" sz="1320" b="1" strike="noStrike" spc="-1">
                <a:solidFill>
                  <a:srgbClr val="000000"/>
                </a:solidFill>
                <a:latin typeface="Calibri"/>
                <a:ea typeface="DejaVu Sans"/>
              </a:rPr>
              <a:t>Graphique 1. Taux Effectif Moyen d'Imposition</a:t>
            </a:r>
          </a:p>
        </c:rich>
      </c:tx>
      <c:layout>
        <c:manualLayout>
          <c:xMode val="edge"/>
          <c:yMode val="edge"/>
          <c:x val="0.249985232441373"/>
          <c:y val="4.1384666592699397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1.6716876365999198E-2"/>
          <c:y val="0.15544213913236399"/>
          <c:w val="0.96822021383424905"/>
          <c:h val="0.844446910018861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Résultats!$C$183</c:f>
              <c:strCache>
                <c:ptCount val="1"/>
                <c:pt idx="0">
                  <c:v>TEMI</c:v>
                </c:pt>
              </c:strCache>
            </c:strRef>
          </c:tx>
          <c:spPr>
            <a:solidFill>
              <a:srgbClr val="53CAE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100" b="0" strike="noStrike" spc="-1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Résultats!$B$184:$B$194</c:f>
              <c:strCache>
                <c:ptCount val="11"/>
                <c:pt idx="0">
                  <c:v>RDC - 2002</c:v>
                </c:pt>
                <c:pt idx="1">
                  <c:v>RDC - amendement</c:v>
                </c:pt>
                <c:pt idx="2">
                  <c:v>Chili</c:v>
                </c:pt>
                <c:pt idx="3">
                  <c:v>Perou</c:v>
                </c:pt>
                <c:pt idx="4">
                  <c:v>Australie Occidentale</c:v>
                </c:pt>
                <c:pt idx="5">
                  <c:v>Tanzanie</c:v>
                </c:pt>
                <c:pt idx="6">
                  <c:v>Ghana</c:v>
                </c:pt>
                <c:pt idx="7">
                  <c:v>Zambie - 2016</c:v>
                </c:pt>
                <c:pt idx="8">
                  <c:v>RDC - redevance a taux variable</c:v>
                </c:pt>
                <c:pt idx="9">
                  <c:v>RDC - taxe sur la rente</c:v>
                </c:pt>
                <c:pt idx="10">
                  <c:v>Sénégal (SGO - Convention Sabodala)</c:v>
                </c:pt>
              </c:strCache>
            </c:strRef>
          </c:cat>
          <c:val>
            <c:numRef>
              <c:f>Résultats!$C$184:$C$194</c:f>
              <c:numCache>
                <c:formatCode>0%</c:formatCode>
                <c:ptCount val="11"/>
                <c:pt idx="0">
                  <c:v>0.44477092809132601</c:v>
                </c:pt>
                <c:pt idx="1">
                  <c:v>0.57598027046507605</c:v>
                </c:pt>
                <c:pt idx="2">
                  <c:v>0.53409525095600097</c:v>
                </c:pt>
                <c:pt idx="3">
                  <c:v>0.37911521004548698</c:v>
                </c:pt>
                <c:pt idx="4">
                  <c:v>0.54683945229474495</c:v>
                </c:pt>
                <c:pt idx="5">
                  <c:v>0.40238030616167397</c:v>
                </c:pt>
                <c:pt idx="6">
                  <c:v>0.501774670712407</c:v>
                </c:pt>
                <c:pt idx="7">
                  <c:v>0.42882022747677201</c:v>
                </c:pt>
                <c:pt idx="8">
                  <c:v>0.44834453111570999</c:v>
                </c:pt>
                <c:pt idx="9">
                  <c:v>0.50715072216699097</c:v>
                </c:pt>
                <c:pt idx="10">
                  <c:v>0.442736925157245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B2-4E35-AE57-88330D5A3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334307"/>
        <c:axId val="64167688"/>
      </c:barChart>
      <c:catAx>
        <c:axId val="73334307"/>
        <c:scaling>
          <c:orientation val="minMax"/>
        </c:scaling>
        <c:delete val="0"/>
        <c:axPos val="b"/>
        <c:numFmt formatCode="#,##0_);[Red]\(#,##0\);\-" sourceLinked="0"/>
        <c:majorTickMark val="none"/>
        <c:minorTickMark val="none"/>
        <c:tickLblPos val="nextTo"/>
        <c:spPr>
          <a:ln w="0">
            <a:solidFill>
              <a:srgbClr val="C0C0C0"/>
            </a:solidFill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64167688"/>
        <c:crossesAt val="0"/>
        <c:auto val="1"/>
        <c:lblAlgn val="ctr"/>
        <c:lblOffset val="100"/>
        <c:noMultiLvlLbl val="0"/>
      </c:catAx>
      <c:valAx>
        <c:axId val="64167688"/>
        <c:scaling>
          <c:orientation val="minMax"/>
        </c:scaling>
        <c:delete val="0"/>
        <c:axPos val="l"/>
        <c:majorGridlines>
          <c:spPr>
            <a:ln w="0">
              <a:solidFill>
                <a:srgbClr val="C0C0C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100" b="0" strike="noStrike" spc="-1">
                <a:solidFill>
                  <a:srgbClr val="000000"/>
                </a:solidFill>
                <a:latin typeface="Calibri"/>
                <a:ea typeface="DejaVu Sans"/>
              </a:defRPr>
            </a:pPr>
            <a:endParaRPr lang="fr-FR"/>
          </a:p>
        </c:txPr>
        <c:crossAx val="73334307"/>
        <c:crossesAt val="1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0">
      <a:solidFill>
        <a:srgbClr val="808080"/>
      </a:solidFill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480600</xdr:colOff>
      <xdr:row>73</xdr:row>
      <xdr:rowOff>151920</xdr:rowOff>
    </xdr:from>
    <xdr:to>
      <xdr:col>10</xdr:col>
      <xdr:colOff>129240</xdr:colOff>
      <xdr:row>75</xdr:row>
      <xdr:rowOff>63000</xdr:rowOff>
    </xdr:to>
    <xdr:pic>
      <xdr:nvPicPr>
        <xdr:cNvPr id="2" name="Picture 27" descr="https://licensebuttons.net/l/by/4.0/88x3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807520" y="14934600"/>
          <a:ext cx="938880" cy="254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35280</xdr:colOff>
      <xdr:row>1</xdr:row>
      <xdr:rowOff>101520</xdr:rowOff>
    </xdr:from>
    <xdr:to>
      <xdr:col>6</xdr:col>
      <xdr:colOff>387360</xdr:colOff>
      <xdr:row>7</xdr:row>
      <xdr:rowOff>75960</xdr:rowOff>
    </xdr:to>
    <xdr:pic>
      <xdr:nvPicPr>
        <xdr:cNvPr id="3" name="Picture 2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80400" y="272880"/>
          <a:ext cx="3743640" cy="136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23400</xdr:colOff>
      <xdr:row>31</xdr:row>
      <xdr:rowOff>139680</xdr:rowOff>
    </xdr:from>
    <xdr:to>
      <xdr:col>10</xdr:col>
      <xdr:colOff>129240</xdr:colOff>
      <xdr:row>34</xdr:row>
      <xdr:rowOff>6120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13640" y="5854680"/>
          <a:ext cx="5432760" cy="3808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696856</xdr:colOff>
      <xdr:row>1</xdr:row>
      <xdr:rowOff>42332</xdr:rowOff>
    </xdr:from>
    <xdr:to>
      <xdr:col>17</xdr:col>
      <xdr:colOff>116416</xdr:colOff>
      <xdr:row>30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87490</xdr:colOff>
      <xdr:row>104</xdr:row>
      <xdr:rowOff>158750</xdr:rowOff>
    </xdr:from>
    <xdr:to>
      <xdr:col>19</xdr:col>
      <xdr:colOff>190500</xdr:colOff>
      <xdr:row>123</xdr:row>
      <xdr:rowOff>154296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235080</xdr:colOff>
      <xdr:row>147</xdr:row>
      <xdr:rowOff>42333</xdr:rowOff>
    </xdr:from>
    <xdr:to>
      <xdr:col>16</xdr:col>
      <xdr:colOff>349250</xdr:colOff>
      <xdr:row>176</xdr:row>
      <xdr:rowOff>158750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246240</xdr:colOff>
      <xdr:row>127</xdr:row>
      <xdr:rowOff>139320</xdr:rowOff>
    </xdr:from>
    <xdr:to>
      <xdr:col>7</xdr:col>
      <xdr:colOff>13067</xdr:colOff>
      <xdr:row>146</xdr:row>
      <xdr:rowOff>126720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246239</xdr:colOff>
      <xdr:row>52</xdr:row>
      <xdr:rowOff>0</xdr:rowOff>
    </xdr:from>
    <xdr:to>
      <xdr:col>14</xdr:col>
      <xdr:colOff>349250</xdr:colOff>
      <xdr:row>70</xdr:row>
      <xdr:rowOff>164880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2222506</xdr:colOff>
      <xdr:row>78</xdr:row>
      <xdr:rowOff>76320</xdr:rowOff>
    </xdr:from>
    <xdr:to>
      <xdr:col>16</xdr:col>
      <xdr:colOff>201084</xdr:colOff>
      <xdr:row>97</xdr:row>
      <xdr:rowOff>62640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246240</xdr:colOff>
      <xdr:row>77</xdr:row>
      <xdr:rowOff>116417</xdr:rowOff>
    </xdr:from>
    <xdr:to>
      <xdr:col>9</xdr:col>
      <xdr:colOff>1418167</xdr:colOff>
      <xdr:row>97</xdr:row>
      <xdr:rowOff>116416</xdr:rowOff>
    </xdr:to>
    <xdr:graphicFrame macro="">
      <xdr:nvGraphicFramePr>
        <xdr:cNvPr id="9" name="Chart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246240</xdr:colOff>
      <xdr:row>32</xdr:row>
      <xdr:rowOff>76320</xdr:rowOff>
    </xdr:from>
    <xdr:to>
      <xdr:col>7</xdr:col>
      <xdr:colOff>107130</xdr:colOff>
      <xdr:row>51</xdr:row>
      <xdr:rowOff>63000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258</xdr:col>
      <xdr:colOff>427684</xdr:colOff>
      <xdr:row>1</xdr:row>
      <xdr:rowOff>6630</xdr:rowOff>
    </xdr:from>
    <xdr:to>
      <xdr:col>262</xdr:col>
      <xdr:colOff>208598</xdr:colOff>
      <xdr:row>5</xdr:row>
      <xdr:rowOff>107710</xdr:rowOff>
    </xdr:to>
    <xdr:pic>
      <xdr:nvPicPr>
        <xdr:cNvPr id="11" name="Picture 1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17943101" y="355880"/>
          <a:ext cx="2363247" cy="841913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s/David/Box%20Sync/Global%20Shared/Programs%20(Shared)/Thematic%20Groups/Tax%20Policy/Fiscal%20Analysis%20Toolkit/Fiscal%20models/Other%20models/IMF%20model%20-%20Econ%20mod%20v0.30%20-%20mfa%20update%202010%20(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ontent"/>
      <sheetName val="ControlPanel"/>
      <sheetName val="InputMine"/>
      <sheetName val="InputTax"/>
      <sheetName val="InputPrice"/>
      <sheetName val="CFModel"/>
      <sheetName val="ModelResults"/>
      <sheetName val="Sensitivity"/>
      <sheetName val="Scenarios"/>
      <sheetName val="Sim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D2D32"/>
  </sheetPr>
  <dimension ref="B1:IW189"/>
  <sheetViews>
    <sheetView topLeftCell="A54" zoomScaleNormal="100" workbookViewId="0"/>
  </sheetViews>
  <sheetFormatPr baseColWidth="10" defaultColWidth="9.1796875" defaultRowHeight="14.5" zeroHeight="1"/>
  <cols>
    <col min="5" max="5" width="11.453125" style="2" customWidth="1"/>
    <col min="19" max="257" width="9.1796875" style="2" hidden="1"/>
  </cols>
  <sheetData>
    <row r="1" spans="2:17" ht="13.5" customHeight="1"/>
    <row r="2" spans="2:17" ht="13.5" customHeight="1"/>
    <row r="3" spans="2:17" ht="13.5" customHeight="1"/>
    <row r="4" spans="2:17" ht="13.5" customHeight="1"/>
    <row r="5" spans="2:17" ht="33" customHeight="1">
      <c r="I5" s="3" t="s">
        <v>0</v>
      </c>
    </row>
    <row r="6" spans="2:17" ht="22.5" customHeight="1">
      <c r="I6" s="4"/>
    </row>
    <row r="7" spans="2:17" ht="13.5" customHeight="1"/>
    <row r="8" spans="2:17" ht="13.5" customHeight="1"/>
    <row r="9" spans="2:17" ht="13.5" customHeight="1"/>
    <row r="10" spans="2:17" ht="15" customHeight="1">
      <c r="B10" s="5" t="s">
        <v>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2:17" ht="13.5" customHeight="1"/>
    <row r="12" spans="2:17" ht="13.5" customHeight="1"/>
    <row r="13" spans="2:17" ht="13.5" customHeight="1"/>
    <row r="14" spans="2:17" ht="13.5" customHeight="1"/>
    <row r="15" spans="2:17" ht="13.5" customHeight="1"/>
    <row r="16" spans="2:17" ht="13.5" customHeight="1"/>
    <row r="17" spans="2:17" ht="13.5" customHeight="1"/>
    <row r="18" spans="2:17" ht="13.5" customHeight="1"/>
    <row r="19" spans="2:17" ht="13.5" customHeight="1"/>
    <row r="20" spans="2:17" ht="13.5" customHeight="1"/>
    <row r="21" spans="2:17" ht="13.5" customHeight="1"/>
    <row r="22" spans="2:17" ht="13.5" customHeight="1"/>
    <row r="23" spans="2:17" ht="15" customHeight="1">
      <c r="B23" s="5" t="s">
        <v>2</v>
      </c>
      <c r="C23" s="5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2:17" ht="13.5" customHeight="1"/>
    <row r="25" spans="2:17" ht="13.5" customHeight="1"/>
    <row r="26" spans="2:17" ht="13.5" customHeight="1"/>
    <row r="27" spans="2:17" ht="13.5" customHeight="1"/>
    <row r="28" spans="2:17" ht="13.5" customHeight="1"/>
    <row r="29" spans="2:17" ht="13.5" customHeight="1"/>
    <row r="30" spans="2:17" ht="13.5" customHeight="1"/>
    <row r="31" spans="2:17" ht="13.5" customHeight="1"/>
    <row r="32" spans="2:17" ht="13.5" customHeight="1"/>
    <row r="33" spans="2:17" ht="13.5" customHeight="1">
      <c r="B33" s="7"/>
    </row>
    <row r="34" spans="2:17" ht="13.5" customHeight="1"/>
    <row r="35" spans="2:17" ht="13.5" customHeight="1"/>
    <row r="36" spans="2:17" ht="13.5" customHeight="1"/>
    <row r="37" spans="2:17" ht="13.5" customHeight="1"/>
    <row r="38" spans="2:17" ht="13.5" customHeight="1"/>
    <row r="39" spans="2:17" ht="13.5" customHeight="1"/>
    <row r="40" spans="2:17" ht="13.5" customHeight="1"/>
    <row r="41" spans="2:17" ht="13.5" customHeight="1"/>
    <row r="42" spans="2:17" ht="13.5" customHeight="1"/>
    <row r="43" spans="2:17" ht="22.5" customHeight="1"/>
    <row r="44" spans="2:17" ht="15" customHeight="1">
      <c r="B44" s="5" t="s">
        <v>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2:17" ht="22.5" customHeight="1"/>
    <row r="46" spans="2:17" ht="22.5" customHeight="1"/>
    <row r="47" spans="2:17" ht="22.5" customHeight="1"/>
    <row r="48" spans="2:17" ht="22.5" customHeight="1"/>
    <row r="49" spans="2:17" ht="22.5" customHeight="1"/>
    <row r="50" spans="2:17" ht="22.5" customHeight="1"/>
    <row r="51" spans="2:17" ht="22.5" customHeight="1"/>
    <row r="52" spans="2:17" ht="22.5" customHeight="1"/>
    <row r="53" spans="2:17" ht="22.5" customHeight="1"/>
    <row r="54" spans="2:17" ht="22.5" customHeight="1"/>
    <row r="55" spans="2:17" ht="22.5" customHeight="1"/>
    <row r="56" spans="2:17" ht="22.5" customHeight="1"/>
    <row r="57" spans="2:17" ht="22.5" customHeight="1"/>
    <row r="58" spans="2:17" ht="22.5" customHeight="1"/>
    <row r="59" spans="2:17" ht="22.5" customHeight="1"/>
    <row r="60" spans="2:17" ht="15" customHeight="1">
      <c r="B60" s="5" t="s">
        <v>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2:17" ht="13.5" customHeight="1"/>
    <row r="62" spans="2:17" ht="13.5" customHeight="1"/>
    <row r="63" spans="2:17" ht="13.5" customHeight="1"/>
    <row r="64" spans="2:17" ht="13.5" customHeight="1"/>
    <row r="65" spans="10:10" ht="13.5" customHeight="1"/>
    <row r="66" spans="10:10" ht="13.5" customHeight="1"/>
    <row r="67" spans="10:10" ht="13.5" customHeight="1"/>
    <row r="68" spans="10:10" ht="13.5" customHeight="1"/>
    <row r="69" spans="10:10" ht="13.5" customHeight="1"/>
    <row r="70" spans="10:10" ht="13.5" customHeight="1"/>
    <row r="71" spans="10:10" ht="13.5" customHeight="1"/>
    <row r="72" spans="10:10" ht="13.5" customHeight="1">
      <c r="J72" s="8" t="s">
        <v>5</v>
      </c>
    </row>
    <row r="73" spans="10:10" ht="13.5" customHeight="1">
      <c r="J73" s="8" t="s">
        <v>6</v>
      </c>
    </row>
    <row r="74" spans="10:10" ht="13.5" customHeight="1"/>
    <row r="75" spans="10:10" ht="13.5" customHeight="1"/>
    <row r="76" spans="10:10" ht="13.5" customHeight="1"/>
    <row r="77" spans="10:10" ht="13.5" customHeight="1"/>
    <row r="78" spans="10:10" ht="13.5" hidden="1" customHeight="1"/>
    <row r="79" spans="10:10" ht="13.5" hidden="1" customHeight="1"/>
    <row r="80" spans="10:1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6699"/>
    <pageSetUpPr fitToPage="1"/>
  </sheetPr>
  <dimension ref="A1:IW353"/>
  <sheetViews>
    <sheetView showGridLines="0" tabSelected="1" topLeftCell="A43" zoomScale="60" zoomScaleNormal="60" workbookViewId="0">
      <selection activeCell="D201" sqref="D201"/>
    </sheetView>
  </sheetViews>
  <sheetFormatPr baseColWidth="10" defaultColWidth="9.1796875" defaultRowHeight="14.5" zeroHeight="1"/>
  <cols>
    <col min="1" max="1" width="4.36328125" style="2" customWidth="1"/>
    <col min="2" max="2" width="26.453125" style="2" customWidth="1"/>
    <col min="3" max="3" width="9.90625" style="2" bestFit="1" customWidth="1"/>
    <col min="4" max="4" width="15" style="2" customWidth="1"/>
    <col min="5" max="6" width="14" style="2" customWidth="1"/>
    <col min="8" max="8" width="4.6328125" style="2" customWidth="1"/>
    <col min="10" max="10" width="46.453125" bestFit="1" customWidth="1"/>
    <col min="12" max="12" width="28" style="2" customWidth="1"/>
    <col min="14" max="14" width="13.453125" style="2" customWidth="1"/>
    <col min="15" max="15" width="6.81640625" style="2" customWidth="1"/>
    <col min="16" max="16" width="10" style="2" customWidth="1"/>
    <col min="17" max="17" width="10.26953125" style="2" customWidth="1"/>
    <col min="22" max="257" width="9.1796875" style="2" hidden="1"/>
  </cols>
  <sheetData>
    <row r="1" spans="2:11" s="9" customFormat="1" ht="27.75" customHeight="1">
      <c r="B1" s="10" t="s">
        <v>7</v>
      </c>
    </row>
    <row r="2" spans="2:11" s="11" customFormat="1" ht="15" customHeight="1"/>
    <row r="3" spans="2:11" ht="15" customHeight="1"/>
    <row r="4" spans="2:11" ht="15" customHeight="1">
      <c r="B4" s="12" t="s">
        <v>8</v>
      </c>
      <c r="C4" s="13" t="s">
        <v>9</v>
      </c>
      <c r="D4" s="14"/>
    </row>
    <row r="5" spans="2:11" ht="13.5" customHeight="1">
      <c r="B5" s="15" t="s">
        <v>10</v>
      </c>
      <c r="C5" s="16" t="s">
        <v>11</v>
      </c>
      <c r="D5" s="17">
        <f>SUM(Modèle!G8:BD8)</f>
        <v>4284000</v>
      </c>
    </row>
    <row r="6" spans="2:11" ht="13.5" customHeight="1">
      <c r="B6" s="15" t="s">
        <v>12</v>
      </c>
      <c r="C6" s="16" t="s">
        <v>13</v>
      </c>
      <c r="D6" s="17">
        <f>Modèle!$C$31</f>
        <v>1</v>
      </c>
    </row>
    <row r="7" spans="2:11" ht="13.5" customHeight="1">
      <c r="B7" s="15" t="s">
        <v>14</v>
      </c>
      <c r="C7" s="16" t="s">
        <v>15</v>
      </c>
      <c r="D7" s="17">
        <f>Paramètres!C118</f>
        <v>0</v>
      </c>
    </row>
    <row r="8" spans="2:11" ht="13.5" customHeight="1">
      <c r="B8" s="15" t="s">
        <v>16</v>
      </c>
      <c r="C8" s="16" t="s">
        <v>15</v>
      </c>
      <c r="D8" s="17">
        <f>Paramètres!C120</f>
        <v>407</v>
      </c>
    </row>
    <row r="9" spans="2:11" ht="13.5" customHeight="1">
      <c r="B9" s="15" t="s">
        <v>17</v>
      </c>
      <c r="C9" s="16" t="s">
        <v>18</v>
      </c>
      <c r="D9" s="18">
        <f>D5/D8</f>
        <v>10525.798525798526</v>
      </c>
    </row>
    <row r="10" spans="2:11" ht="13.5" customHeight="1">
      <c r="B10" s="15" t="s">
        <v>19</v>
      </c>
      <c r="C10" s="16" t="s">
        <v>20</v>
      </c>
      <c r="D10" s="19">
        <f>Paramètres!$G$108</f>
        <v>1600</v>
      </c>
    </row>
    <row r="11" spans="2:11" ht="13.5" customHeight="1">
      <c r="B11" s="15" t="s">
        <v>19</v>
      </c>
      <c r="C11" s="16" t="s">
        <v>21</v>
      </c>
      <c r="D11" s="20"/>
    </row>
    <row r="12" spans="2:11" ht="13.5" customHeight="1">
      <c r="B12" s="15" t="s">
        <v>22</v>
      </c>
      <c r="C12" s="16" t="s">
        <v>20</v>
      </c>
      <c r="D12" s="17">
        <f>Paramètres!J122</f>
        <v>507.5</v>
      </c>
    </row>
    <row r="13" spans="2:11" ht="13.5" customHeight="1">
      <c r="B13" s="15" t="s">
        <v>22</v>
      </c>
      <c r="C13" s="16" t="s">
        <v>21</v>
      </c>
      <c r="D13" s="21"/>
    </row>
    <row r="14" spans="2:11" ht="13.5" customHeight="1">
      <c r="B14" s="15" t="s">
        <v>23</v>
      </c>
      <c r="C14" s="16" t="s">
        <v>21</v>
      </c>
      <c r="D14" s="21">
        <f>Paramètres!F104</f>
        <v>0</v>
      </c>
      <c r="K14" s="22"/>
    </row>
    <row r="15" spans="2:11" ht="13.5" customHeight="1">
      <c r="B15" s="15" t="s">
        <v>24</v>
      </c>
      <c r="C15" s="16" t="s">
        <v>21</v>
      </c>
      <c r="D15" s="21">
        <f>D12+Paramètres!F101+Paramètres!F103+(Modèle!C376*1000000/Modèle!C8)</f>
        <v>587.5</v>
      </c>
      <c r="K15" s="22"/>
    </row>
    <row r="16" spans="2:11" ht="13.5" customHeight="1">
      <c r="B16" s="15" t="s">
        <v>25</v>
      </c>
      <c r="C16" s="16" t="s">
        <v>26</v>
      </c>
      <c r="D16" s="23">
        <f>Paramètres!F93</f>
        <v>0.1</v>
      </c>
      <c r="K16" s="22"/>
    </row>
    <row r="17" spans="2:9" ht="13.5" customHeight="1">
      <c r="B17" s="15" t="s">
        <v>27</v>
      </c>
      <c r="C17" s="16" t="s">
        <v>26</v>
      </c>
      <c r="D17" s="24">
        <f>Paramètres!F94</f>
        <v>0.125</v>
      </c>
    </row>
    <row r="18" spans="2:9" ht="13.5" customHeight="1">
      <c r="B18" s="15" t="s">
        <v>28</v>
      </c>
      <c r="C18" s="16" t="s">
        <v>26</v>
      </c>
      <c r="D18" s="23">
        <f>Paramètres!F95</f>
        <v>0.02</v>
      </c>
    </row>
    <row r="19" spans="2:9" ht="13.5" customHeight="1">
      <c r="B19" s="15" t="s">
        <v>29</v>
      </c>
      <c r="C19" s="16" t="s">
        <v>26</v>
      </c>
      <c r="D19" s="23">
        <f>Paramètres!F92</f>
        <v>0.125</v>
      </c>
    </row>
    <row r="20" spans="2:9" ht="15" customHeight="1">
      <c r="B20" s="25" t="s">
        <v>30</v>
      </c>
      <c r="C20" s="26" t="s">
        <v>26</v>
      </c>
      <c r="D20" s="27">
        <f>Paramètres!F90</f>
        <v>0.5</v>
      </c>
    </row>
    <row r="21" spans="2:9" ht="15" customHeight="1"/>
    <row r="22" spans="2:9" ht="15" customHeight="1">
      <c r="B22" s="12" t="s">
        <v>31</v>
      </c>
      <c r="C22" s="13" t="s">
        <v>9</v>
      </c>
      <c r="D22" s="14"/>
    </row>
    <row r="23" spans="2:9" ht="13.5" customHeight="1">
      <c r="B23" s="15" t="s">
        <v>32</v>
      </c>
      <c r="C23" s="16" t="s">
        <v>15</v>
      </c>
      <c r="D23" s="17">
        <f>Modèle!C25</f>
        <v>2122.6807782108372</v>
      </c>
    </row>
    <row r="24" spans="2:9" ht="13.5" customHeight="1">
      <c r="B24" s="15" t="s">
        <v>33</v>
      </c>
      <c r="C24" s="16" t="s">
        <v>26</v>
      </c>
      <c r="D24" s="28">
        <f>Modèle!C24</f>
        <v>0</v>
      </c>
      <c r="G24" s="29"/>
    </row>
    <row r="25" spans="2:9" ht="13.5" customHeight="1">
      <c r="B25" s="15" t="s">
        <v>34</v>
      </c>
      <c r="C25" s="16" t="s">
        <v>26</v>
      </c>
      <c r="D25" s="28">
        <f>Modèle!C351</f>
        <v>0</v>
      </c>
      <c r="I25" s="30"/>
    </row>
    <row r="26" spans="2:9" ht="13.5" customHeight="1">
      <c r="B26" s="15" t="s">
        <v>35</v>
      </c>
      <c r="C26" s="16" t="s">
        <v>26</v>
      </c>
      <c r="D26" s="28">
        <f>D17</f>
        <v>0.125</v>
      </c>
      <c r="I26" s="30"/>
    </row>
    <row r="27" spans="2:9" ht="13.5" customHeight="1">
      <c r="B27" s="1" t="s">
        <v>36</v>
      </c>
      <c r="C27" s="1"/>
      <c r="D27" s="28" t="b">
        <f>D25&gt;D26</f>
        <v>0</v>
      </c>
      <c r="I27" s="30"/>
    </row>
    <row r="28" spans="2:9" ht="13.5" customHeight="1">
      <c r="B28" s="15" t="s">
        <v>37</v>
      </c>
      <c r="C28" s="16" t="s">
        <v>38</v>
      </c>
      <c r="D28" s="17">
        <f>Modèle!C283</f>
        <v>0</v>
      </c>
    </row>
    <row r="29" spans="2:9" ht="15" customHeight="1">
      <c r="B29" s="25" t="s">
        <v>39</v>
      </c>
      <c r="C29" s="26" t="s">
        <v>38</v>
      </c>
      <c r="D29" s="31">
        <f>Modèle!C288</f>
        <v>0</v>
      </c>
    </row>
    <row r="30" spans="2:9" ht="13.5" customHeight="1"/>
    <row r="31" spans="2:9" ht="13.5" customHeight="1"/>
    <row r="32" spans="2:9" ht="13.5" customHeight="1">
      <c r="B32" s="32" t="s">
        <v>40</v>
      </c>
    </row>
    <row r="33" spans="2:2" ht="13.5" customHeight="1">
      <c r="B33" s="32"/>
    </row>
    <row r="34" spans="2:2" ht="13.5" customHeight="1"/>
    <row r="35" spans="2:2" ht="13.5" customHeight="1"/>
    <row r="36" spans="2:2" ht="13.5" customHeight="1"/>
    <row r="37" spans="2:2" ht="13.5" customHeight="1"/>
    <row r="38" spans="2:2" ht="13.5" customHeight="1"/>
    <row r="39" spans="2:2" ht="13.5" customHeight="1"/>
    <row r="40" spans="2:2" ht="13.5" customHeight="1"/>
    <row r="41" spans="2:2" ht="13.5" customHeight="1"/>
    <row r="42" spans="2:2" ht="13.5" customHeight="1"/>
    <row r="43" spans="2:2" ht="13.5" customHeight="1"/>
    <row r="44" spans="2:2" ht="13.5" customHeight="1"/>
    <row r="45" spans="2:2" ht="13.5" customHeight="1"/>
    <row r="46" spans="2:2" ht="13.5" customHeight="1"/>
    <row r="47" spans="2:2" ht="13.5" customHeight="1"/>
    <row r="48" spans="2:2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spans="2:2" ht="13.5" customHeight="1"/>
    <row r="66" spans="2:2" ht="13.5" customHeight="1">
      <c r="B66" s="33"/>
    </row>
    <row r="67" spans="2:2" ht="13.5" customHeight="1"/>
    <row r="68" spans="2:2" ht="13.5" customHeight="1"/>
    <row r="69" spans="2:2" ht="13.5" customHeight="1"/>
    <row r="70" spans="2:2" ht="13.5" customHeight="1"/>
    <row r="71" spans="2:2" ht="13.5" customHeight="1"/>
    <row r="72" spans="2:2" ht="13.5" customHeight="1"/>
    <row r="73" spans="2:2" ht="13.5" customHeight="1"/>
    <row r="74" spans="2:2" ht="13.5" customHeight="1"/>
    <row r="75" spans="2:2"/>
    <row r="76" spans="2:2" ht="13.5" customHeight="1"/>
    <row r="77" spans="2:2" ht="13.5" customHeight="1"/>
    <row r="78" spans="2:2" ht="13.5" customHeight="1"/>
    <row r="79" spans="2:2" ht="13.5" customHeight="1"/>
    <row r="80" spans="2:2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spans="2:2" ht="13.5" customHeight="1"/>
    <row r="98" spans="2:2" ht="13.5" customHeight="1"/>
    <row r="99" spans="2:2" ht="13.5" customHeight="1"/>
    <row r="100" spans="2:2" ht="13.5" customHeight="1"/>
    <row r="101" spans="2:2" ht="13.5" customHeight="1"/>
    <row r="102" spans="2:2" ht="13.5" customHeight="1"/>
    <row r="103" spans="2:2" ht="13.5" customHeight="1"/>
    <row r="104" spans="2:2" ht="13.5" customHeight="1"/>
    <row r="105" spans="2:2" ht="13.5" customHeight="1"/>
    <row r="106" spans="2:2" ht="13.5" customHeight="1"/>
    <row r="107" spans="2:2" ht="13.5" customHeight="1"/>
    <row r="108" spans="2:2" ht="13.5" customHeight="1"/>
    <row r="109" spans="2:2" ht="13.5" customHeight="1"/>
    <row r="110" spans="2:2" ht="13.5" customHeight="1">
      <c r="B110" s="7"/>
    </row>
    <row r="111" spans="2:2" ht="13.5" customHeight="1"/>
    <row r="112" spans="2: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5" customHeight="1"/>
    <row r="145" spans="9:11" ht="19.5" customHeight="1">
      <c r="I145" s="34"/>
      <c r="J145" s="35" t="s">
        <v>41</v>
      </c>
      <c r="K145" s="36"/>
    </row>
    <row r="146" spans="9:11" ht="21" customHeight="1">
      <c r="I146" s="37"/>
      <c r="J146" s="38" t="str">
        <f>Paramètres!$F$7</f>
        <v>Sénégal (SGO - Convention Sabodala)</v>
      </c>
      <c r="K146" s="39"/>
    </row>
    <row r="147" spans="9:11" ht="13.5" customHeight="1"/>
    <row r="148" spans="9:11" ht="13.5" customHeight="1"/>
    <row r="149" spans="9:11" ht="13.5" customHeight="1"/>
    <row r="150" spans="9:11" ht="13.5" customHeight="1"/>
    <row r="151" spans="9:11" ht="13.5" customHeight="1"/>
    <row r="152" spans="9:11" ht="13.5" customHeight="1"/>
    <row r="153" spans="9:11" ht="13.5" customHeight="1"/>
    <row r="154" spans="9:11" ht="13.5" customHeight="1"/>
    <row r="155" spans="9:11" ht="13.5" customHeight="1"/>
    <row r="156" spans="9:11" ht="13.5" customHeight="1"/>
    <row r="157" spans="9:11" ht="13.5" customHeight="1"/>
    <row r="158" spans="9:11" ht="13.5" customHeight="1"/>
    <row r="159" spans="9:11" ht="13.5" customHeight="1"/>
    <row r="160" spans="9:11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spans="2:20" ht="13.5" customHeight="1"/>
    <row r="178" spans="2:20" ht="13.5" customHeight="1"/>
    <row r="179" spans="2:20" ht="13.5" customHeight="1"/>
    <row r="180" spans="2:20" ht="13.5" customHeight="1">
      <c r="B180" s="40" t="s">
        <v>42</v>
      </c>
      <c r="C180" s="40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</row>
    <row r="181" spans="2:20" ht="13.5" customHeight="1"/>
    <row r="182" spans="2:20" ht="13.5" customHeight="1">
      <c r="B182" s="42" t="s">
        <v>43</v>
      </c>
      <c r="C182" s="7"/>
      <c r="D182" s="30"/>
    </row>
    <row r="183" spans="2:20" ht="13.5" customHeight="1">
      <c r="B183" s="43"/>
      <c r="C183" s="44" t="s">
        <v>44</v>
      </c>
    </row>
    <row r="184" spans="2:20" ht="13.5" customHeight="1">
      <c r="B184" s="45" t="str">
        <f t="array" ref="B184:B194">TRANSPOSE(Modèle!G426:Q426)</f>
        <v>RDC - 2002</v>
      </c>
      <c r="C184" s="46">
        <f t="array" ref="C184:C194">TRANSPOSE(Modèle!G430:Q430)</f>
        <v>0.44477092809132601</v>
      </c>
    </row>
    <row r="185" spans="2:20" ht="13.5" customHeight="1">
      <c r="B185" s="45" t="str">
        <v>RDC - amendement</v>
      </c>
      <c r="C185" s="46">
        <v>0.57598027046507605</v>
      </c>
    </row>
    <row r="186" spans="2:20" ht="13.5" customHeight="1">
      <c r="B186" s="45" t="str">
        <v>Chili</v>
      </c>
      <c r="C186" s="46">
        <v>0.53409525095600097</v>
      </c>
    </row>
    <row r="187" spans="2:20" ht="13.5" customHeight="1">
      <c r="B187" s="45" t="str">
        <v>Perou</v>
      </c>
      <c r="C187" s="46">
        <v>0.37911521004548698</v>
      </c>
    </row>
    <row r="188" spans="2:20" ht="13.5" customHeight="1">
      <c r="B188" s="45" t="str">
        <v>Australie Occidentale</v>
      </c>
      <c r="C188" s="46">
        <v>0.54683945229474495</v>
      </c>
    </row>
    <row r="189" spans="2:20" ht="13.5" customHeight="1">
      <c r="B189" s="45" t="str">
        <v>Tanzanie</v>
      </c>
      <c r="C189" s="46">
        <v>0.40238030616167397</v>
      </c>
    </row>
    <row r="190" spans="2:20" ht="13.5" customHeight="1">
      <c r="B190" s="45" t="str">
        <v>Ghana</v>
      </c>
      <c r="C190" s="46">
        <v>0.501774670712407</v>
      </c>
    </row>
    <row r="191" spans="2:20" ht="13.5" customHeight="1">
      <c r="B191" s="45" t="str">
        <v>Zambie - 2016</v>
      </c>
      <c r="C191" s="46">
        <v>0.42882022747677201</v>
      </c>
    </row>
    <row r="192" spans="2:20" ht="13.5" customHeight="1">
      <c r="B192" s="45" t="str">
        <v>RDC - redevance a taux variable</v>
      </c>
      <c r="C192" s="46">
        <v>0.44834453111570999</v>
      </c>
    </row>
    <row r="193" spans="2:4" ht="13.5" customHeight="1">
      <c r="B193" s="45" t="str">
        <v>RDC - taxe sur la rente</v>
      </c>
      <c r="C193" s="46">
        <v>0.50715072216699097</v>
      </c>
    </row>
    <row r="194" spans="2:4" ht="13.5" customHeight="1">
      <c r="B194" s="47" t="str">
        <v>Sénégal (SGO - Convention Sabodala)</v>
      </c>
      <c r="C194" s="48">
        <v>0.442736925157245</v>
      </c>
    </row>
    <row r="195" spans="2:4" ht="13.5" customHeight="1"/>
    <row r="196" spans="2:4" ht="13.5" customHeight="1"/>
    <row r="197" spans="2:4" ht="13.5" customHeight="1"/>
    <row r="198" spans="2:4" ht="13.5" customHeight="1">
      <c r="B198" s="33" t="s">
        <v>45</v>
      </c>
    </row>
    <row r="199" spans="2:4" ht="13.5" customHeight="1"/>
    <row r="200" spans="2:4" ht="13.5" customHeight="1">
      <c r="B200" s="43"/>
      <c r="C200" s="49" t="s">
        <v>46</v>
      </c>
      <c r="D200" s="44" t="s">
        <v>47</v>
      </c>
    </row>
    <row r="201" spans="2:4" ht="13.5" customHeight="1">
      <c r="B201" s="45" t="str">
        <f>Modèle!D374</f>
        <v>Bonus de signature</v>
      </c>
      <c r="C201" s="2">
        <f>Modèle!C374</f>
        <v>0</v>
      </c>
      <c r="D201" s="46">
        <f t="shared" ref="D201:D213" si="0">C201/$C$213</f>
        <v>0</v>
      </c>
    </row>
    <row r="202" spans="2:4" ht="13.5" customHeight="1">
      <c r="B202" s="45" t="str">
        <f>Modèle!D375</f>
        <v>Droits de douane</v>
      </c>
      <c r="C202" s="2">
        <f>Modèle!C375</f>
        <v>0</v>
      </c>
      <c r="D202" s="46">
        <f t="shared" si="0"/>
        <v>0</v>
      </c>
    </row>
    <row r="203" spans="2:4" ht="13.5" customHeight="1">
      <c r="B203" s="45" t="str">
        <f>Modèle!D376</f>
        <v>Redevance</v>
      </c>
      <c r="C203" s="2">
        <f>Modèle!C376</f>
        <v>342.71999999999986</v>
      </c>
      <c r="D203" s="46">
        <f t="shared" si="0"/>
        <v>0.21558145329203451</v>
      </c>
    </row>
    <row r="204" spans="2:4" ht="13.5" customHeight="1">
      <c r="B204" s="45" t="str">
        <f>Modèle!D377</f>
        <v>Taxe provinciale</v>
      </c>
      <c r="C204" s="2">
        <f>Modèle!C377</f>
        <v>0</v>
      </c>
      <c r="D204" s="46">
        <f t="shared" si="0"/>
        <v>0</v>
      </c>
    </row>
    <row r="205" spans="2:4" ht="13.5" customHeight="1">
      <c r="B205" s="45" t="str">
        <f>Modèle!D378</f>
        <v>Redevance a taux variable - sur les prix</v>
      </c>
      <c r="C205" s="2">
        <f>Modèle!C378</f>
        <v>0</v>
      </c>
      <c r="D205" s="46">
        <f t="shared" si="0"/>
        <v>0</v>
      </c>
    </row>
    <row r="206" spans="2:4" ht="13.5" customHeight="1">
      <c r="B206" s="45" t="str">
        <f>Modèle!D379</f>
        <v>Impot sur la marge operationnelle</v>
      </c>
      <c r="C206" s="2">
        <f>Modèle!C379</f>
        <v>0</v>
      </c>
      <c r="D206" s="46">
        <f t="shared" si="0"/>
        <v>0</v>
      </c>
    </row>
    <row r="207" spans="2:4" ht="13.5" customHeight="1">
      <c r="B207" s="45" t="str">
        <f>Modèle!D380</f>
        <v>Impot sur les benefices et profits</v>
      </c>
      <c r="C207" s="2">
        <f>Modèle!C380</f>
        <v>776.56850806046259</v>
      </c>
      <c r="D207" s="46">
        <f t="shared" si="0"/>
        <v>0.48848554956962426</v>
      </c>
    </row>
    <row r="208" spans="2:4" ht="13.5" customHeight="1">
      <c r="B208" s="45" t="str">
        <f>Modèle!D381</f>
        <v>Impot sur la rente</v>
      </c>
      <c r="C208" s="2">
        <f>Modèle!C381</f>
        <v>0</v>
      </c>
      <c r="D208" s="46">
        <f t="shared" si="0"/>
        <v>0</v>
      </c>
    </row>
    <row r="209" spans="2:4" ht="13.5" customHeight="1">
      <c r="B209" s="45" t="str">
        <f>Modèle!D382</f>
        <v>Impot sur les benefices a taux variable</v>
      </c>
      <c r="C209" s="2">
        <f>Modèle!C382</f>
        <v>0</v>
      </c>
      <c r="D209" s="46">
        <f t="shared" si="0"/>
        <v>0</v>
      </c>
    </row>
    <row r="210" spans="2:4" ht="13.5" customHeight="1">
      <c r="B210" s="45" t="str">
        <f>Modèle!D383</f>
        <v>Impot sur les profits excedentaires</v>
      </c>
      <c r="C210" s="2">
        <f>Modèle!C383</f>
        <v>0</v>
      </c>
      <c r="D210" s="46">
        <f t="shared" si="0"/>
        <v>0</v>
      </c>
    </row>
    <row r="211" spans="2:4" ht="13.5" customHeight="1">
      <c r="B211" s="45" t="str">
        <f>Modèle!D384</f>
        <v>Participation de l'Etat</v>
      </c>
      <c r="C211" s="2">
        <f>Modèle!C384</f>
        <v>247.60980919395377</v>
      </c>
      <c r="D211" s="46">
        <f t="shared" si="0"/>
        <v>0.15575420902017958</v>
      </c>
    </row>
    <row r="212" spans="2:4" ht="13.5" customHeight="1">
      <c r="B212" s="45" t="str">
        <f>Modèle!D385</f>
        <v>Prelevement a la source sur les dividendes</v>
      </c>
      <c r="C212" s="2">
        <f>Modèle!C385</f>
        <v>222.84882827455837</v>
      </c>
      <c r="D212" s="46">
        <f t="shared" si="0"/>
        <v>0.14017878811816162</v>
      </c>
    </row>
    <row r="213" spans="2:4" ht="13.5" customHeight="1">
      <c r="B213" s="50" t="str">
        <f>Modèle!D386</f>
        <v>Recettes totales de l'Etat</v>
      </c>
      <c r="C213" s="51">
        <f>Modèle!C386</f>
        <v>1589.7471455289747</v>
      </c>
      <c r="D213" s="48">
        <f t="shared" si="0"/>
        <v>1</v>
      </c>
    </row>
    <row r="214" spans="2:4" ht="13.5" customHeight="1">
      <c r="B214" s="42"/>
      <c r="C214" s="7"/>
      <c r="D214" s="30"/>
    </row>
    <row r="215" spans="2:4" ht="13.5" customHeight="1"/>
    <row r="216" spans="2:4" ht="13.5" customHeight="1"/>
    <row r="217" spans="2:4" ht="13.5" customHeight="1"/>
    <row r="218" spans="2:4" ht="13.5" customHeight="1"/>
    <row r="219" spans="2:4" ht="13.5" customHeight="1"/>
    <row r="220" spans="2:4" ht="13.5" customHeight="1"/>
    <row r="221" spans="2:4" ht="13.5" customHeight="1"/>
    <row r="222" spans="2:4" ht="13.5" customHeight="1"/>
    <row r="223" spans="2:4" ht="13.5" customHeight="1"/>
    <row r="224" spans="2: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</sheetData>
  <mergeCells count="1">
    <mergeCell ref="B27:C27"/>
  </mergeCells>
  <conditionalFormatting sqref="D27">
    <cfRule type="expression" dxfId="4" priority="2">
      <formula>NOT(ISERROR(SEARCH("TRUE",D27)))</formula>
    </cfRule>
    <cfRule type="expression" dxfId="3" priority="3">
      <formula>NOT(ISERROR(SEARCH("FALSE",D27)))</formula>
    </cfRule>
  </conditionalFormatting>
  <pageMargins left="0.7" right="0.7" top="0.75" bottom="0.75" header="0.511811023622047" footer="0.511811023622047"/>
  <pageSetup paperSize="9" orientation="portrait" horizontalDpi="300" verticalDpi="300"/>
  <rowBreaks count="1" manualBreakCount="1">
    <brk id="150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EA746"/>
  </sheetPr>
  <dimension ref="A1:IV411"/>
  <sheetViews>
    <sheetView showGridLines="0" zoomScale="70" zoomScaleNormal="70" workbookViewId="0">
      <pane xSplit="4" ySplit="6" topLeftCell="F7" activePane="bottomRight" state="frozen"/>
      <selection pane="topRight" activeCell="K1" sqref="K1"/>
      <selection pane="bottomLeft" activeCell="A7" sqref="A7"/>
      <selection pane="bottomRight" activeCell="F81" sqref="F81"/>
    </sheetView>
  </sheetViews>
  <sheetFormatPr baseColWidth="10" defaultColWidth="9.1796875" defaultRowHeight="14.5" zeroHeight="1"/>
  <cols>
    <col min="1" max="1" width="5.54296875" style="2" customWidth="1"/>
    <col min="2" max="2" width="3.453125" style="2" customWidth="1"/>
    <col min="3" max="3" width="9.81640625" style="2" customWidth="1"/>
    <col min="4" max="4" width="70.453125" style="2" customWidth="1"/>
    <col min="5" max="5" width="16.6328125" style="2" customWidth="1"/>
    <col min="6" max="6" width="13" style="2" bestFit="1" customWidth="1"/>
    <col min="7" max="7" width="7.1796875" style="2" customWidth="1"/>
    <col min="8" max="8" width="17.453125" style="2" customWidth="1"/>
    <col min="9" max="9" width="13" style="2" customWidth="1"/>
    <col min="10" max="17" width="13.1796875" style="2" customWidth="1"/>
    <col min="18" max="19" width="8.1796875" style="2" customWidth="1"/>
    <col min="20" max="56" width="6" style="2" customWidth="1"/>
  </cols>
  <sheetData>
    <row r="1" spans="1:256" s="53" customFormat="1" ht="30" customHeight="1">
      <c r="A1" s="52" t="s">
        <v>48</v>
      </c>
    </row>
    <row r="2" spans="1:256" s="55" customFormat="1" ht="15" customHeight="1">
      <c r="A2" s="54"/>
    </row>
    <row r="3" spans="1:256" s="55" customFormat="1" ht="12" customHeight="1">
      <c r="A3" s="54"/>
      <c r="C3" s="56"/>
      <c r="D3" s="41" t="s">
        <v>49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</row>
    <row r="4" spans="1:256" s="55" customFormat="1" ht="12" customHeight="1">
      <c r="A4" s="54"/>
      <c r="C4" s="56"/>
      <c r="D4" s="57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</row>
    <row r="5" spans="1:256" s="55" customFormat="1" ht="12" customHeight="1">
      <c r="A5" s="54"/>
      <c r="C5" s="56"/>
      <c r="D5" s="57"/>
      <c r="E5" s="56"/>
      <c r="F5" s="56"/>
      <c r="G5" s="56"/>
      <c r="I5" s="56"/>
      <c r="J5" s="56"/>
      <c r="L5" s="58" t="s">
        <v>50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6"/>
      <c r="DW5" s="56"/>
      <c r="DX5" s="56"/>
      <c r="DY5" s="56"/>
      <c r="DZ5" s="56"/>
      <c r="EA5" s="56"/>
      <c r="EB5" s="56"/>
      <c r="EC5" s="56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  <c r="FS5" s="56"/>
      <c r="FT5" s="56"/>
      <c r="FU5" s="56"/>
      <c r="FV5" s="56"/>
      <c r="FW5" s="56"/>
      <c r="FX5" s="56"/>
      <c r="FY5" s="56"/>
      <c r="FZ5" s="56"/>
      <c r="GA5" s="56"/>
      <c r="GB5" s="56"/>
      <c r="GC5" s="56"/>
      <c r="GD5" s="56"/>
      <c r="GE5" s="56"/>
      <c r="GF5" s="56"/>
      <c r="GG5" s="56"/>
      <c r="GH5" s="56"/>
      <c r="GI5" s="56"/>
      <c r="GJ5" s="56"/>
      <c r="GK5" s="56"/>
      <c r="GL5" s="56"/>
      <c r="GM5" s="56"/>
      <c r="GN5" s="56"/>
      <c r="GO5" s="56"/>
      <c r="GP5" s="56"/>
      <c r="GQ5" s="56"/>
      <c r="GR5" s="56"/>
      <c r="GS5" s="56"/>
      <c r="GT5" s="56"/>
      <c r="GU5" s="56"/>
      <c r="GV5" s="56"/>
      <c r="GW5" s="56"/>
      <c r="GX5" s="56"/>
      <c r="GY5" s="56"/>
      <c r="GZ5" s="56"/>
      <c r="HA5" s="56"/>
      <c r="HB5" s="56"/>
      <c r="HC5" s="56"/>
      <c r="HD5" s="56"/>
      <c r="HE5" s="56"/>
      <c r="HF5" s="56"/>
      <c r="HG5" s="56"/>
      <c r="HH5" s="56"/>
      <c r="HI5" s="56"/>
      <c r="HJ5" s="56"/>
      <c r="HK5" s="56"/>
      <c r="HL5" s="56"/>
      <c r="HM5" s="56"/>
      <c r="HN5" s="56"/>
      <c r="HO5" s="56"/>
      <c r="HP5" s="56"/>
      <c r="HQ5" s="56"/>
      <c r="HR5" s="56"/>
      <c r="HS5" s="56"/>
      <c r="HT5" s="56"/>
      <c r="HU5" s="56"/>
      <c r="HV5" s="56"/>
      <c r="HW5" s="56"/>
      <c r="HX5" s="56"/>
      <c r="HY5" s="56"/>
      <c r="HZ5" s="56"/>
      <c r="IA5" s="56"/>
      <c r="IB5" s="56"/>
      <c r="IC5" s="56"/>
      <c r="ID5" s="56"/>
      <c r="IE5" s="56"/>
      <c r="IF5" s="56"/>
      <c r="IG5" s="56"/>
      <c r="IH5" s="56"/>
      <c r="II5" s="56"/>
      <c r="IJ5" s="56"/>
      <c r="IK5" s="56"/>
      <c r="IL5" s="56"/>
      <c r="IM5" s="56"/>
      <c r="IN5" s="56"/>
      <c r="IO5" s="56"/>
      <c r="IP5" s="56"/>
      <c r="IQ5" s="56"/>
      <c r="IR5" s="56"/>
      <c r="IS5" s="56"/>
      <c r="IT5" s="56"/>
      <c r="IU5" s="56"/>
      <c r="IV5" s="56"/>
    </row>
    <row r="6" spans="1:256" s="55" customFormat="1" ht="15" customHeight="1">
      <c r="A6" s="54"/>
      <c r="D6" s="59" t="s">
        <v>51</v>
      </c>
      <c r="E6" s="60"/>
      <c r="F6" s="61">
        <v>11</v>
      </c>
      <c r="H6" s="62">
        <v>1</v>
      </c>
      <c r="I6" s="62">
        <v>2</v>
      </c>
      <c r="J6" s="62">
        <v>3</v>
      </c>
      <c r="K6" s="62">
        <v>4</v>
      </c>
      <c r="L6" s="62">
        <v>5</v>
      </c>
      <c r="M6" s="62">
        <v>6</v>
      </c>
      <c r="N6" s="62">
        <v>7</v>
      </c>
      <c r="O6" s="62">
        <v>8</v>
      </c>
      <c r="P6" s="62">
        <v>9</v>
      </c>
      <c r="Q6" s="62">
        <v>10</v>
      </c>
      <c r="R6" s="62">
        <v>11</v>
      </c>
    </row>
    <row r="7" spans="1:256" s="55" customFormat="1" ht="36" customHeight="1">
      <c r="A7" s="54"/>
      <c r="D7" s="63" t="s">
        <v>52</v>
      </c>
      <c r="E7" s="64"/>
      <c r="F7" s="65" t="str">
        <f>INDEX(H7:R7,$F$6)</f>
        <v>Sénégal (SGO - Convention Sabodala)</v>
      </c>
      <c r="G7" s="60"/>
      <c r="H7" s="66" t="s">
        <v>53</v>
      </c>
      <c r="I7" s="66" t="s">
        <v>54</v>
      </c>
      <c r="J7" s="66" t="s">
        <v>55</v>
      </c>
      <c r="K7" s="66" t="s">
        <v>56</v>
      </c>
      <c r="L7" s="66" t="s">
        <v>57</v>
      </c>
      <c r="M7" s="66" t="s">
        <v>58</v>
      </c>
      <c r="N7" s="66" t="s">
        <v>59</v>
      </c>
      <c r="O7" s="66" t="s">
        <v>60</v>
      </c>
      <c r="P7" s="66" t="s">
        <v>61</v>
      </c>
      <c r="Q7" s="66" t="s">
        <v>62</v>
      </c>
      <c r="R7" s="66" t="s">
        <v>63</v>
      </c>
    </row>
    <row r="8" spans="1:256" s="55" customFormat="1" ht="15" customHeight="1">
      <c r="A8" s="54"/>
      <c r="D8" s="67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1:256" s="55" customFormat="1" ht="15" customHeight="1">
      <c r="A9" s="54"/>
      <c r="D9" s="68" t="s">
        <v>64</v>
      </c>
      <c r="E9" s="64" t="s">
        <v>65</v>
      </c>
      <c r="F9" s="69">
        <f>INDEX(H9:R9,$F$138)</f>
        <v>0</v>
      </c>
      <c r="G9" s="70"/>
      <c r="H9" s="71">
        <v>0</v>
      </c>
      <c r="I9" s="72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2">
        <v>0</v>
      </c>
      <c r="Q9" s="72">
        <v>0</v>
      </c>
      <c r="R9" s="71">
        <v>0</v>
      </c>
    </row>
    <row r="10" spans="1:256" s="55" customFormat="1" ht="15" customHeight="1">
      <c r="A10" s="54"/>
      <c r="D10" s="67" t="s">
        <v>66</v>
      </c>
      <c r="I10" s="73"/>
      <c r="P10" s="73"/>
      <c r="Q10" s="73"/>
    </row>
    <row r="11" spans="1:256" s="55" customFormat="1" ht="15" customHeight="1">
      <c r="A11" s="54"/>
      <c r="D11" s="74" t="s">
        <v>67</v>
      </c>
      <c r="E11" s="55" t="s">
        <v>26</v>
      </c>
      <c r="F11" s="75">
        <f>INDEX(H11:R11,$F$138)</f>
        <v>0.05</v>
      </c>
      <c r="G11" s="76"/>
      <c r="H11" s="77">
        <v>2.5000000000000001E-2</v>
      </c>
      <c r="I11" s="77">
        <v>3.5000000000000003E-2</v>
      </c>
      <c r="J11" s="77">
        <v>0</v>
      </c>
      <c r="K11" s="77">
        <v>0</v>
      </c>
      <c r="L11" s="77">
        <v>2.5000000000000001E-2</v>
      </c>
      <c r="M11" s="77">
        <v>0.04</v>
      </c>
      <c r="N11" s="77">
        <v>0.05</v>
      </c>
      <c r="O11" s="78">
        <v>0.05</v>
      </c>
      <c r="P11" s="77">
        <v>2.5000000000000001E-2</v>
      </c>
      <c r="Q11" s="77">
        <v>2.5000000000000001E-2</v>
      </c>
      <c r="R11" s="78">
        <v>0.05</v>
      </c>
    </row>
    <row r="12" spans="1:256" s="55" customFormat="1" ht="15" customHeight="1">
      <c r="A12" s="54"/>
      <c r="D12" s="79" t="s">
        <v>68</v>
      </c>
      <c r="E12" s="80" t="s">
        <v>69</v>
      </c>
      <c r="F12" s="81" t="str">
        <f>INDEX(H12:R12,$F$138)</f>
        <v>gross</v>
      </c>
      <c r="G12" s="82"/>
      <c r="H12" s="83" t="s">
        <v>70</v>
      </c>
      <c r="I12" s="83" t="s">
        <v>71</v>
      </c>
      <c r="J12" s="83" t="s">
        <v>71</v>
      </c>
      <c r="K12" s="83" t="s">
        <v>71</v>
      </c>
      <c r="L12" s="83" t="s">
        <v>71</v>
      </c>
      <c r="M12" s="83" t="s">
        <v>71</v>
      </c>
      <c r="N12" s="83" t="s">
        <v>71</v>
      </c>
      <c r="O12" s="84" t="s">
        <v>71</v>
      </c>
      <c r="P12" s="83" t="s">
        <v>71</v>
      </c>
      <c r="Q12" s="83" t="s">
        <v>71</v>
      </c>
      <c r="R12" s="84" t="s">
        <v>71</v>
      </c>
    </row>
    <row r="13" spans="1:256" s="55" customFormat="1" ht="15" customHeight="1">
      <c r="A13" s="54"/>
      <c r="D13" s="33" t="s">
        <v>72</v>
      </c>
      <c r="I13" s="73"/>
      <c r="P13" s="73"/>
      <c r="Q13" s="73"/>
    </row>
    <row r="14" spans="1:256" s="55" customFormat="1" ht="15" customHeight="1">
      <c r="A14" s="54"/>
      <c r="D14" s="85" t="s">
        <v>73</v>
      </c>
      <c r="E14" s="60" t="s">
        <v>26</v>
      </c>
      <c r="F14" s="86">
        <f t="shared" ref="F14:F21" si="0">INDEX(H14:R14,$F$138)</f>
        <v>0.25</v>
      </c>
      <c r="G14" s="60"/>
      <c r="H14" s="87">
        <v>0.3</v>
      </c>
      <c r="I14" s="87">
        <v>0.35</v>
      </c>
      <c r="J14" s="87">
        <v>0.224</v>
      </c>
      <c r="K14" s="87">
        <v>0.28000000000000003</v>
      </c>
      <c r="L14" s="87">
        <v>0.3</v>
      </c>
      <c r="M14" s="87">
        <v>0.3</v>
      </c>
      <c r="N14" s="87">
        <v>0.35</v>
      </c>
      <c r="O14" s="87">
        <v>0.3</v>
      </c>
      <c r="P14" s="87">
        <v>0.3</v>
      </c>
      <c r="Q14" s="87">
        <v>0.3</v>
      </c>
      <c r="R14" s="87">
        <v>0.25</v>
      </c>
    </row>
    <row r="15" spans="1:256" s="55" customFormat="1" ht="15" customHeight="1">
      <c r="A15" s="54"/>
      <c r="D15" s="73" t="s">
        <v>74</v>
      </c>
      <c r="E15" s="55" t="s">
        <v>69</v>
      </c>
      <c r="F15" s="88" t="str">
        <f t="shared" si="0"/>
        <v>deferred</v>
      </c>
      <c r="H15" s="83" t="s">
        <v>75</v>
      </c>
      <c r="I15" s="83" t="s">
        <v>75</v>
      </c>
      <c r="J15" s="83" t="s">
        <v>75</v>
      </c>
      <c r="K15" s="83" t="s">
        <v>75</v>
      </c>
      <c r="L15" s="83" t="s">
        <v>75</v>
      </c>
      <c r="M15" s="83" t="s">
        <v>75</v>
      </c>
      <c r="N15" s="83" t="s">
        <v>75</v>
      </c>
      <c r="O15" s="83" t="s">
        <v>75</v>
      </c>
      <c r="P15" s="83" t="s">
        <v>75</v>
      </c>
      <c r="Q15" s="83" t="s">
        <v>75</v>
      </c>
      <c r="R15" s="83" t="s">
        <v>75</v>
      </c>
    </row>
    <row r="16" spans="1:256" s="55" customFormat="1" ht="15" customHeight="1">
      <c r="A16" s="54"/>
      <c r="D16" s="73" t="s">
        <v>76</v>
      </c>
      <c r="E16" s="55" t="s">
        <v>69</v>
      </c>
      <c r="F16" s="88" t="str">
        <f t="shared" si="0"/>
        <v>deferred</v>
      </c>
      <c r="H16" s="83" t="s">
        <v>75</v>
      </c>
      <c r="I16" s="83" t="s">
        <v>75</v>
      </c>
      <c r="J16" s="83" t="s">
        <v>75</v>
      </c>
      <c r="K16" s="83" t="s">
        <v>75</v>
      </c>
      <c r="L16" s="83" t="s">
        <v>75</v>
      </c>
      <c r="M16" s="83" t="s">
        <v>75</v>
      </c>
      <c r="N16" s="83" t="s">
        <v>75</v>
      </c>
      <c r="O16" s="83" t="s">
        <v>75</v>
      </c>
      <c r="P16" s="83" t="s">
        <v>75</v>
      </c>
      <c r="Q16" s="83" t="s">
        <v>75</v>
      </c>
      <c r="R16" s="83" t="s">
        <v>75</v>
      </c>
    </row>
    <row r="17" spans="1:18" s="55" customFormat="1" ht="15" customHeight="1">
      <c r="A17" s="54"/>
      <c r="D17" s="73" t="s">
        <v>77</v>
      </c>
      <c r="E17" s="55" t="s">
        <v>69</v>
      </c>
      <c r="F17" s="88" t="str">
        <f t="shared" si="0"/>
        <v>deferred</v>
      </c>
      <c r="H17" s="83" t="s">
        <v>75</v>
      </c>
      <c r="I17" s="83" t="s">
        <v>75</v>
      </c>
      <c r="J17" s="83" t="s">
        <v>75</v>
      </c>
      <c r="K17" s="83" t="s">
        <v>75</v>
      </c>
      <c r="L17" s="83" t="s">
        <v>75</v>
      </c>
      <c r="M17" s="83" t="s">
        <v>75</v>
      </c>
      <c r="N17" s="83" t="s">
        <v>75</v>
      </c>
      <c r="O17" s="83" t="s">
        <v>75</v>
      </c>
      <c r="P17" s="83" t="s">
        <v>75</v>
      </c>
      <c r="Q17" s="83" t="s">
        <v>75</v>
      </c>
      <c r="R17" s="83" t="s">
        <v>75</v>
      </c>
    </row>
    <row r="18" spans="1:18" s="55" customFormat="1" ht="15" customHeight="1">
      <c r="A18" s="54"/>
      <c r="D18" s="89" t="s">
        <v>78</v>
      </c>
      <c r="E18" s="55" t="s">
        <v>79</v>
      </c>
      <c r="F18" s="88">
        <f t="shared" si="0"/>
        <v>5</v>
      </c>
      <c r="H18" s="90">
        <v>5</v>
      </c>
      <c r="I18" s="90">
        <v>5</v>
      </c>
      <c r="J18" s="90">
        <v>100</v>
      </c>
      <c r="K18" s="90">
        <v>4</v>
      </c>
      <c r="L18" s="90">
        <v>100</v>
      </c>
      <c r="M18" s="90">
        <v>100</v>
      </c>
      <c r="N18" s="90">
        <v>5</v>
      </c>
      <c r="O18" s="90">
        <v>10</v>
      </c>
      <c r="P18" s="90">
        <v>5</v>
      </c>
      <c r="Q18" s="90">
        <v>5</v>
      </c>
      <c r="R18" s="90">
        <v>5</v>
      </c>
    </row>
    <row r="19" spans="1:18" s="55" customFormat="1" ht="15" customHeight="1">
      <c r="A19" s="54"/>
      <c r="D19" s="89" t="s">
        <v>80</v>
      </c>
      <c r="E19" s="55" t="s">
        <v>26</v>
      </c>
      <c r="F19" s="91">
        <f t="shared" si="0"/>
        <v>1</v>
      </c>
      <c r="H19" s="87">
        <v>1</v>
      </c>
      <c r="I19" s="87">
        <v>1</v>
      </c>
      <c r="J19" s="87">
        <v>1</v>
      </c>
      <c r="K19" s="87">
        <v>1</v>
      </c>
      <c r="L19" s="87">
        <v>1</v>
      </c>
      <c r="M19" s="87">
        <v>1</v>
      </c>
      <c r="N19" s="87">
        <v>1</v>
      </c>
      <c r="O19" s="87">
        <v>0.5</v>
      </c>
      <c r="P19" s="87">
        <v>1</v>
      </c>
      <c r="Q19" s="87">
        <v>1</v>
      </c>
      <c r="R19" s="87">
        <v>1</v>
      </c>
    </row>
    <row r="20" spans="1:18" s="55" customFormat="1" ht="15" customHeight="1">
      <c r="A20" s="54"/>
      <c r="D20" s="73" t="s">
        <v>81</v>
      </c>
      <c r="E20" s="55" t="s">
        <v>79</v>
      </c>
      <c r="F20" s="88">
        <f t="shared" si="0"/>
        <v>5</v>
      </c>
      <c r="H20" s="90">
        <v>2</v>
      </c>
      <c r="I20" s="90">
        <v>5</v>
      </c>
      <c r="J20" s="90">
        <v>10</v>
      </c>
      <c r="K20" s="90">
        <v>10</v>
      </c>
      <c r="L20" s="90">
        <v>20</v>
      </c>
      <c r="M20" s="90">
        <v>1</v>
      </c>
      <c r="N20" s="90">
        <v>5</v>
      </c>
      <c r="O20" s="90">
        <v>4</v>
      </c>
      <c r="P20" s="90">
        <v>5</v>
      </c>
      <c r="Q20" s="90">
        <v>5</v>
      </c>
      <c r="R20" s="92">
        <v>5</v>
      </c>
    </row>
    <row r="21" spans="1:18" s="55" customFormat="1" ht="15" customHeight="1">
      <c r="A21" s="54"/>
      <c r="D21" s="79" t="s">
        <v>82</v>
      </c>
      <c r="E21" s="80"/>
      <c r="F21" s="93">
        <f t="shared" si="0"/>
        <v>0</v>
      </c>
      <c r="G21" s="80"/>
      <c r="H21" s="90">
        <v>1</v>
      </c>
      <c r="I21" s="90"/>
      <c r="J21" s="90"/>
      <c r="K21" s="90"/>
      <c r="L21" s="90"/>
      <c r="M21" s="90"/>
      <c r="N21" s="90"/>
      <c r="O21" s="90"/>
      <c r="P21" s="90"/>
      <c r="Q21" s="90"/>
      <c r="R21" s="92"/>
    </row>
    <row r="22" spans="1:18" s="55" customFormat="1" ht="15" customHeight="1">
      <c r="A22" s="54"/>
      <c r="D22" s="33" t="s">
        <v>83</v>
      </c>
      <c r="I22" s="73"/>
      <c r="P22" s="73"/>
      <c r="Q22" s="73"/>
    </row>
    <row r="23" spans="1:18" s="55" customFormat="1" ht="15" customHeight="1">
      <c r="A23" s="54"/>
      <c r="D23" s="73" t="s">
        <v>84</v>
      </c>
      <c r="E23" s="55" t="s">
        <v>69</v>
      </c>
      <c r="F23" s="88">
        <f t="shared" ref="F23:F33" si="1">INDEX(H23:R23,$F$138)</f>
        <v>1</v>
      </c>
      <c r="G23" s="76"/>
      <c r="H23" s="72">
        <v>1</v>
      </c>
      <c r="I23" s="72">
        <v>1</v>
      </c>
      <c r="J23" s="72">
        <v>1</v>
      </c>
      <c r="K23" s="72">
        <v>1</v>
      </c>
      <c r="L23" s="72">
        <v>1</v>
      </c>
      <c r="M23" s="72">
        <v>1</v>
      </c>
      <c r="N23" s="72">
        <v>1</v>
      </c>
      <c r="O23" s="71">
        <v>1</v>
      </c>
      <c r="P23" s="72">
        <v>4</v>
      </c>
      <c r="Q23" s="72">
        <v>1</v>
      </c>
      <c r="R23" s="71">
        <v>1</v>
      </c>
    </row>
    <row r="24" spans="1:18" s="55" customFormat="1" ht="15" customHeight="1">
      <c r="A24" s="54"/>
      <c r="D24" s="73" t="s">
        <v>85</v>
      </c>
      <c r="F24" s="88">
        <f t="shared" si="1"/>
        <v>1</v>
      </c>
      <c r="G24" s="76"/>
      <c r="H24" s="72">
        <v>1</v>
      </c>
      <c r="I24" s="72">
        <v>1</v>
      </c>
      <c r="J24" s="72">
        <v>1</v>
      </c>
      <c r="K24" s="72">
        <v>1</v>
      </c>
      <c r="L24" s="72">
        <v>1</v>
      </c>
      <c r="M24" s="72">
        <v>1</v>
      </c>
      <c r="N24" s="72">
        <v>1</v>
      </c>
      <c r="O24" s="71">
        <v>1</v>
      </c>
      <c r="P24" s="72">
        <v>1</v>
      </c>
      <c r="Q24" s="72">
        <v>1</v>
      </c>
      <c r="R24" s="71">
        <v>1</v>
      </c>
    </row>
    <row r="25" spans="1:18" s="55" customFormat="1" ht="15" customHeight="1">
      <c r="A25" s="54"/>
      <c r="D25" s="73" t="s">
        <v>86</v>
      </c>
      <c r="E25" s="55" t="s">
        <v>26</v>
      </c>
      <c r="F25" s="75">
        <f t="shared" si="1"/>
        <v>0</v>
      </c>
      <c r="G25" s="76"/>
      <c r="H25" s="87"/>
      <c r="I25" s="77"/>
      <c r="J25" s="87"/>
      <c r="K25" s="87"/>
      <c r="L25" s="87"/>
      <c r="M25" s="87"/>
      <c r="N25" s="87"/>
      <c r="O25" s="94"/>
      <c r="P25" s="87"/>
      <c r="Q25" s="77">
        <v>7.4999999999999997E-2</v>
      </c>
      <c r="R25" s="94"/>
    </row>
    <row r="26" spans="1:18" s="55" customFormat="1" ht="15" customHeight="1">
      <c r="A26" s="54"/>
      <c r="D26" s="73" t="s">
        <v>87</v>
      </c>
      <c r="E26" s="55" t="s">
        <v>26</v>
      </c>
      <c r="F26" s="75">
        <f t="shared" si="1"/>
        <v>0</v>
      </c>
      <c r="G26" s="76"/>
      <c r="H26" s="87"/>
      <c r="I26" s="87"/>
      <c r="J26" s="87"/>
      <c r="K26" s="87"/>
      <c r="L26" s="87"/>
      <c r="M26" s="87"/>
      <c r="N26" s="87"/>
      <c r="O26" s="94"/>
      <c r="P26" s="87"/>
      <c r="Q26" s="87">
        <v>0.25</v>
      </c>
      <c r="R26" s="94"/>
    </row>
    <row r="27" spans="1:18" s="55" customFormat="1" ht="15" customHeight="1">
      <c r="A27" s="54"/>
      <c r="D27" s="73" t="s">
        <v>88</v>
      </c>
      <c r="E27" s="55" t="s">
        <v>69</v>
      </c>
      <c r="F27" s="95">
        <f t="shared" si="1"/>
        <v>0</v>
      </c>
      <c r="G27" s="76"/>
      <c r="H27" s="83"/>
      <c r="I27" s="83"/>
      <c r="J27" s="83"/>
      <c r="K27" s="83"/>
      <c r="L27" s="83"/>
      <c r="M27" s="83"/>
      <c r="N27" s="83"/>
      <c r="O27" s="84"/>
      <c r="P27" s="83"/>
      <c r="Q27" s="83"/>
      <c r="R27" s="84"/>
    </row>
    <row r="28" spans="1:18" s="55" customFormat="1" ht="15" customHeight="1">
      <c r="A28" s="54"/>
      <c r="D28" s="73" t="s">
        <v>89</v>
      </c>
      <c r="E28" s="55" t="s">
        <v>69</v>
      </c>
      <c r="F28" s="88">
        <f t="shared" si="1"/>
        <v>1</v>
      </c>
      <c r="G28" s="76"/>
      <c r="H28" s="72">
        <v>1</v>
      </c>
      <c r="I28" s="72">
        <v>1</v>
      </c>
      <c r="J28" s="72">
        <v>3</v>
      </c>
      <c r="K28" s="72">
        <v>2</v>
      </c>
      <c r="L28" s="72">
        <v>1</v>
      </c>
      <c r="M28" s="72">
        <v>1</v>
      </c>
      <c r="N28" s="72">
        <v>1</v>
      </c>
      <c r="O28" s="71">
        <v>1</v>
      </c>
      <c r="P28" s="72">
        <v>1</v>
      </c>
      <c r="Q28" s="72">
        <v>1</v>
      </c>
      <c r="R28" s="71">
        <v>1</v>
      </c>
    </row>
    <row r="29" spans="1:18" s="55" customFormat="1" ht="15" customHeight="1">
      <c r="A29" s="54"/>
      <c r="D29" s="73" t="s">
        <v>90</v>
      </c>
      <c r="E29" s="55" t="s">
        <v>69</v>
      </c>
      <c r="F29" s="88">
        <f t="shared" si="1"/>
        <v>1</v>
      </c>
      <c r="G29" s="76"/>
      <c r="H29" s="72">
        <v>1</v>
      </c>
      <c r="I29" s="72">
        <v>1</v>
      </c>
      <c r="J29" s="72">
        <v>1</v>
      </c>
      <c r="K29" s="72">
        <v>1</v>
      </c>
      <c r="L29" s="72">
        <v>1</v>
      </c>
      <c r="M29" s="72">
        <v>1</v>
      </c>
      <c r="N29" s="72">
        <v>1</v>
      </c>
      <c r="O29" s="71">
        <v>1</v>
      </c>
      <c r="P29" s="72">
        <v>1</v>
      </c>
      <c r="Q29" s="72">
        <v>1</v>
      </c>
      <c r="R29" s="71">
        <v>1</v>
      </c>
    </row>
    <row r="30" spans="1:18" s="55" customFormat="1" ht="15" customHeight="1">
      <c r="A30" s="54"/>
      <c r="D30" s="73" t="s">
        <v>91</v>
      </c>
      <c r="E30" s="55" t="s">
        <v>26</v>
      </c>
      <c r="F30" s="75">
        <f t="shared" si="1"/>
        <v>0</v>
      </c>
      <c r="G30" s="76"/>
      <c r="H30" s="87">
        <v>0</v>
      </c>
      <c r="I30" s="87">
        <v>0.5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94">
        <v>0</v>
      </c>
      <c r="P30" s="87">
        <v>0</v>
      </c>
      <c r="Q30" s="87">
        <v>0</v>
      </c>
      <c r="R30" s="94">
        <v>0</v>
      </c>
    </row>
    <row r="31" spans="1:18" s="55" customFormat="1" ht="15" customHeight="1">
      <c r="A31" s="54"/>
      <c r="D31" s="73" t="s">
        <v>92</v>
      </c>
      <c r="E31" s="55" t="s">
        <v>26</v>
      </c>
      <c r="F31" s="75">
        <f t="shared" si="1"/>
        <v>0</v>
      </c>
      <c r="G31" s="76"/>
      <c r="H31" s="87">
        <v>0</v>
      </c>
      <c r="I31" s="87">
        <v>0.25</v>
      </c>
      <c r="J31" s="87">
        <v>0</v>
      </c>
      <c r="K31" s="87">
        <v>0</v>
      </c>
      <c r="L31" s="87">
        <v>0</v>
      </c>
      <c r="M31" s="87">
        <v>0</v>
      </c>
      <c r="N31" s="87">
        <v>0</v>
      </c>
      <c r="O31" s="94">
        <v>0</v>
      </c>
      <c r="P31" s="87">
        <v>0</v>
      </c>
      <c r="Q31" s="87">
        <v>0</v>
      </c>
      <c r="R31" s="94">
        <v>0</v>
      </c>
    </row>
    <row r="32" spans="1:18" s="55" customFormat="1" ht="15" customHeight="1">
      <c r="A32" s="54"/>
      <c r="D32" s="73" t="s">
        <v>93</v>
      </c>
      <c r="E32" s="55" t="s">
        <v>26</v>
      </c>
      <c r="F32" s="75">
        <f t="shared" si="1"/>
        <v>0</v>
      </c>
      <c r="G32" s="76"/>
      <c r="H32" s="87">
        <v>0</v>
      </c>
      <c r="I32" s="87">
        <v>0</v>
      </c>
      <c r="J32" s="87">
        <v>0</v>
      </c>
      <c r="K32" s="87">
        <v>0</v>
      </c>
      <c r="L32" s="87">
        <v>0</v>
      </c>
      <c r="M32" s="87">
        <v>0</v>
      </c>
      <c r="N32" s="87">
        <v>0</v>
      </c>
      <c r="O32" s="94">
        <v>0</v>
      </c>
      <c r="P32" s="87">
        <v>0</v>
      </c>
      <c r="Q32" s="87">
        <v>0</v>
      </c>
      <c r="R32" s="94">
        <v>0</v>
      </c>
    </row>
    <row r="33" spans="1:256" s="55" customFormat="1" ht="15" customHeight="1">
      <c r="A33" s="54"/>
      <c r="D33" s="79" t="s">
        <v>88</v>
      </c>
      <c r="E33" s="80" t="s">
        <v>69</v>
      </c>
      <c r="F33" s="96">
        <f t="shared" si="1"/>
        <v>0</v>
      </c>
      <c r="G33" s="82"/>
      <c r="H33" s="83"/>
      <c r="I33" s="83"/>
      <c r="J33" s="83"/>
      <c r="K33" s="83"/>
      <c r="L33" s="83"/>
      <c r="M33" s="83"/>
      <c r="N33" s="83"/>
      <c r="O33" s="84"/>
      <c r="P33" s="83"/>
      <c r="Q33" s="83"/>
      <c r="R33" s="84"/>
    </row>
    <row r="34" spans="1:256" s="55" customFormat="1" ht="15" customHeight="1">
      <c r="A34" s="54"/>
      <c r="D34" s="33" t="s">
        <v>94</v>
      </c>
      <c r="F34" s="95"/>
      <c r="I34" s="73"/>
      <c r="P34" s="73"/>
      <c r="Q34" s="73"/>
    </row>
    <row r="35" spans="1:256" s="55" customFormat="1" ht="15" customHeight="1">
      <c r="A35" s="54"/>
      <c r="D35" s="85" t="s">
        <v>95</v>
      </c>
      <c r="E35" s="60" t="s">
        <v>26</v>
      </c>
      <c r="F35" s="86">
        <f t="shared" ref="F35:F40" si="2">INDEX(H35:R35,$F$138)</f>
        <v>0.1</v>
      </c>
      <c r="G35" s="97"/>
      <c r="H35" s="87">
        <v>0.1</v>
      </c>
      <c r="I35" s="87">
        <v>0.1</v>
      </c>
      <c r="J35" s="87">
        <v>0.35</v>
      </c>
      <c r="K35" s="87">
        <v>6.8000000000000005E-2</v>
      </c>
      <c r="L35" s="87">
        <v>0.3</v>
      </c>
      <c r="M35" s="87">
        <v>0.1</v>
      </c>
      <c r="N35" s="87">
        <v>0.08</v>
      </c>
      <c r="O35" s="87">
        <v>0.1</v>
      </c>
      <c r="P35" s="87">
        <v>0.1</v>
      </c>
      <c r="Q35" s="87">
        <v>0.1</v>
      </c>
      <c r="R35" s="87">
        <v>0.1</v>
      </c>
    </row>
    <row r="36" spans="1:256" s="55" customFormat="1" ht="15" customHeight="1">
      <c r="A36" s="54"/>
      <c r="D36" s="73" t="s">
        <v>96</v>
      </c>
      <c r="E36" s="55" t="s">
        <v>26</v>
      </c>
      <c r="F36" s="75">
        <f t="shared" si="2"/>
        <v>0.1</v>
      </c>
      <c r="G36" s="76"/>
      <c r="H36" s="87">
        <v>0.05</v>
      </c>
      <c r="I36" s="87">
        <v>0.1</v>
      </c>
      <c r="J36" s="87">
        <v>0</v>
      </c>
      <c r="K36" s="87">
        <v>0</v>
      </c>
      <c r="L36" s="87">
        <v>0</v>
      </c>
      <c r="M36" s="87">
        <v>0</v>
      </c>
      <c r="N36" s="87">
        <v>0.1</v>
      </c>
      <c r="O36" s="87">
        <v>0</v>
      </c>
      <c r="P36" s="87">
        <v>0.05</v>
      </c>
      <c r="Q36" s="87">
        <v>0.05</v>
      </c>
      <c r="R36" s="87">
        <v>0.1</v>
      </c>
    </row>
    <row r="37" spans="1:256" s="55" customFormat="1" ht="15" customHeight="1">
      <c r="A37" s="54"/>
      <c r="D37" s="73" t="s">
        <v>97</v>
      </c>
      <c r="E37" s="55" t="s">
        <v>98</v>
      </c>
      <c r="F37" s="98">
        <f t="shared" si="2"/>
        <v>0</v>
      </c>
      <c r="G37" s="99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  <c r="CU37" s="101"/>
      <c r="CV37" s="101"/>
      <c r="CW37" s="101"/>
      <c r="CX37" s="101"/>
      <c r="CY37" s="101"/>
      <c r="CZ37" s="101"/>
      <c r="DA37" s="101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01"/>
      <c r="DN37" s="101"/>
      <c r="DO37" s="101"/>
      <c r="DP37" s="101"/>
      <c r="DQ37" s="101"/>
      <c r="DR37" s="101"/>
      <c r="DS37" s="101"/>
      <c r="DT37" s="101"/>
      <c r="DU37" s="101"/>
      <c r="DV37" s="101"/>
      <c r="DW37" s="101"/>
      <c r="DX37" s="101"/>
      <c r="DY37" s="101"/>
      <c r="DZ37" s="101"/>
      <c r="EA37" s="101"/>
      <c r="EB37" s="101"/>
      <c r="EC37" s="101"/>
      <c r="ED37" s="101"/>
      <c r="EE37" s="101"/>
      <c r="EF37" s="101"/>
      <c r="EG37" s="101"/>
      <c r="EH37" s="101"/>
      <c r="EI37" s="101"/>
      <c r="EJ37" s="101"/>
      <c r="EK37" s="101"/>
      <c r="EL37" s="101"/>
      <c r="EM37" s="101"/>
      <c r="EN37" s="101"/>
      <c r="EO37" s="101"/>
      <c r="EP37" s="101"/>
      <c r="EQ37" s="101"/>
      <c r="ER37" s="101"/>
      <c r="ES37" s="101"/>
      <c r="ET37" s="101"/>
      <c r="EU37" s="101"/>
      <c r="EV37" s="101"/>
      <c r="EW37" s="101"/>
      <c r="EX37" s="101"/>
      <c r="EY37" s="101"/>
      <c r="EZ37" s="101"/>
      <c r="FA37" s="101"/>
      <c r="FB37" s="101"/>
      <c r="FC37" s="101"/>
      <c r="FD37" s="101"/>
      <c r="FE37" s="101"/>
      <c r="FF37" s="101"/>
      <c r="FG37" s="101"/>
      <c r="FH37" s="101"/>
      <c r="FI37" s="101"/>
      <c r="FJ37" s="101"/>
      <c r="FK37" s="101"/>
      <c r="FL37" s="101"/>
      <c r="FM37" s="101"/>
      <c r="FN37" s="101"/>
      <c r="FO37" s="101"/>
      <c r="FP37" s="101"/>
      <c r="FQ37" s="101"/>
      <c r="FR37" s="101"/>
      <c r="FS37" s="101"/>
      <c r="FT37" s="101"/>
      <c r="FU37" s="101"/>
      <c r="FV37" s="101"/>
      <c r="FW37" s="101"/>
      <c r="FX37" s="101"/>
      <c r="FY37" s="101"/>
      <c r="FZ37" s="101"/>
      <c r="GA37" s="101"/>
      <c r="GB37" s="101"/>
      <c r="GC37" s="101"/>
      <c r="GD37" s="101"/>
      <c r="GE37" s="101"/>
      <c r="GF37" s="101"/>
      <c r="GG37" s="101"/>
      <c r="GH37" s="101"/>
      <c r="GI37" s="101"/>
      <c r="GJ37" s="101"/>
      <c r="GK37" s="101"/>
      <c r="GL37" s="101"/>
      <c r="GM37" s="101"/>
      <c r="GN37" s="101"/>
      <c r="GO37" s="101"/>
      <c r="GP37" s="101"/>
      <c r="GQ37" s="101"/>
      <c r="GR37" s="101"/>
      <c r="GS37" s="101"/>
      <c r="GT37" s="101"/>
      <c r="GU37" s="101"/>
      <c r="GV37" s="101"/>
      <c r="GW37" s="101"/>
      <c r="GX37" s="101"/>
      <c r="GY37" s="101"/>
      <c r="GZ37" s="101"/>
      <c r="HA37" s="101"/>
      <c r="HB37" s="101"/>
      <c r="HC37" s="101"/>
      <c r="HD37" s="101"/>
      <c r="HE37" s="101"/>
      <c r="HF37" s="101"/>
      <c r="HG37" s="101"/>
      <c r="HH37" s="101"/>
      <c r="HI37" s="101"/>
      <c r="HJ37" s="101"/>
      <c r="HK37" s="101"/>
      <c r="HL37" s="101"/>
      <c r="HM37" s="101"/>
      <c r="HN37" s="101"/>
      <c r="HO37" s="101"/>
      <c r="HP37" s="101"/>
      <c r="HQ37" s="101"/>
      <c r="HR37" s="101"/>
      <c r="HS37" s="101"/>
      <c r="HT37" s="101"/>
      <c r="HU37" s="101"/>
      <c r="HV37" s="101"/>
      <c r="HW37" s="101"/>
      <c r="HX37" s="101"/>
      <c r="HY37" s="101"/>
      <c r="HZ37" s="101"/>
      <c r="IA37" s="101"/>
      <c r="IB37" s="101"/>
      <c r="IC37" s="101"/>
      <c r="ID37" s="101"/>
      <c r="IE37" s="101"/>
      <c r="IF37" s="101"/>
      <c r="IG37" s="101"/>
      <c r="IH37" s="101"/>
      <c r="II37" s="101"/>
      <c r="IJ37" s="101"/>
      <c r="IK37" s="101"/>
      <c r="IL37" s="101"/>
      <c r="IM37" s="101"/>
      <c r="IN37" s="101"/>
      <c r="IO37" s="101"/>
      <c r="IP37" s="101"/>
      <c r="IQ37" s="101"/>
      <c r="IR37" s="101"/>
      <c r="IS37" s="101"/>
      <c r="IT37" s="101"/>
      <c r="IU37" s="101"/>
      <c r="IV37" s="101"/>
    </row>
    <row r="38" spans="1:256" s="55" customFormat="1" ht="15" customHeight="1">
      <c r="A38" s="54"/>
      <c r="D38" s="73" t="s">
        <v>99</v>
      </c>
      <c r="E38" s="55" t="s">
        <v>26</v>
      </c>
      <c r="F38" s="75">
        <f t="shared" si="2"/>
        <v>0</v>
      </c>
      <c r="G38" s="76"/>
      <c r="H38" s="87">
        <v>0.05</v>
      </c>
      <c r="I38" s="87">
        <v>0.05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0.05</v>
      </c>
      <c r="Q38" s="87">
        <v>0.05</v>
      </c>
      <c r="R38" s="87">
        <v>0</v>
      </c>
    </row>
    <row r="39" spans="1:256" s="55" customFormat="1" ht="15" customHeight="1">
      <c r="A39" s="54"/>
      <c r="D39" s="73" t="s">
        <v>100</v>
      </c>
      <c r="E39" s="55" t="s">
        <v>69</v>
      </c>
      <c r="F39" s="75">
        <f t="shared" si="2"/>
        <v>0</v>
      </c>
      <c r="G39" s="76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</row>
    <row r="40" spans="1:256" s="55" customFormat="1" ht="15" customHeight="1">
      <c r="A40" s="54"/>
      <c r="D40" s="79" t="s">
        <v>101</v>
      </c>
      <c r="E40" s="80" t="s">
        <v>102</v>
      </c>
      <c r="F40" s="81">
        <f t="shared" si="2"/>
        <v>0</v>
      </c>
      <c r="G40" s="82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</row>
    <row r="41" spans="1:256" s="103" customFormat="1" ht="15" customHeight="1">
      <c r="A41" s="102"/>
      <c r="F41" s="91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T41" s="55"/>
      <c r="AU41" s="55"/>
      <c r="AV41" s="55"/>
      <c r="AW41" s="55"/>
      <c r="AX41" s="55"/>
    </row>
    <row r="42" spans="1:256" s="55" customFormat="1" ht="15" customHeight="1">
      <c r="A42" s="54"/>
      <c r="D42" s="41" t="s">
        <v>82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</row>
    <row r="43" spans="1:256" s="103" customFormat="1" ht="15" customHeight="1">
      <c r="A43" s="102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</row>
    <row r="44" spans="1:256" s="103" customFormat="1" ht="15" customHeight="1">
      <c r="A44" s="102"/>
      <c r="D44" s="106" t="s">
        <v>103</v>
      </c>
      <c r="F44" s="91"/>
      <c r="H44" s="87">
        <v>0.6</v>
      </c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T44" s="55"/>
      <c r="AU44" s="55"/>
      <c r="AV44" s="55"/>
      <c r="AW44" s="55"/>
      <c r="AX44" s="55"/>
    </row>
    <row r="45" spans="1:256" s="103" customFormat="1" ht="15" customHeight="1">
      <c r="A45" s="102"/>
      <c r="D45" s="106" t="s">
        <v>104</v>
      </c>
      <c r="F45" s="91"/>
      <c r="H45" s="87">
        <v>0.2</v>
      </c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T45" s="55"/>
      <c r="AU45" s="55"/>
      <c r="AV45" s="55"/>
      <c r="AW45" s="55"/>
      <c r="AX45" s="55"/>
    </row>
    <row r="46" spans="1:256" s="103" customFormat="1" ht="15" customHeight="1">
      <c r="A46" s="102"/>
      <c r="D46" s="106" t="s">
        <v>105</v>
      </c>
      <c r="F46" s="91"/>
      <c r="H46" s="87">
        <v>0.1</v>
      </c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T46" s="55"/>
      <c r="AU46" s="55"/>
      <c r="AV46" s="55"/>
      <c r="AW46" s="55"/>
      <c r="AX46" s="55"/>
    </row>
    <row r="47" spans="1:256" s="103" customFormat="1" ht="15" customHeight="1">
      <c r="A47" s="102"/>
      <c r="D47" s="106" t="s">
        <v>106</v>
      </c>
      <c r="F47" s="91"/>
      <c r="H47" s="87">
        <v>0.05</v>
      </c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T47" s="55"/>
      <c r="AU47" s="55"/>
      <c r="AV47" s="55"/>
      <c r="AW47" s="55"/>
      <c r="AX47" s="55"/>
    </row>
    <row r="48" spans="1:256" s="103" customFormat="1" ht="15" customHeight="1">
      <c r="A48" s="102"/>
      <c r="D48" s="106" t="s">
        <v>107</v>
      </c>
      <c r="F48" s="91"/>
      <c r="H48" s="87">
        <v>0.05</v>
      </c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T48" s="55"/>
      <c r="AU48" s="55"/>
      <c r="AV48" s="55"/>
      <c r="AW48" s="55"/>
      <c r="AX48" s="55"/>
    </row>
    <row r="49" spans="1:50" s="103" customFormat="1" ht="15" customHeight="1">
      <c r="A49" s="102"/>
      <c r="D49" s="106" t="s">
        <v>108</v>
      </c>
      <c r="F49" s="91"/>
      <c r="H49" s="87">
        <v>0</v>
      </c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T49" s="55"/>
      <c r="AU49" s="55"/>
      <c r="AV49" s="55"/>
      <c r="AW49" s="55"/>
      <c r="AX49" s="55"/>
    </row>
    <row r="50" spans="1:50" s="103" customFormat="1" ht="15" customHeight="1">
      <c r="A50" s="102"/>
      <c r="D50" s="106" t="s">
        <v>109</v>
      </c>
      <c r="F50" s="91"/>
      <c r="H50" s="87">
        <v>0</v>
      </c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T50" s="55"/>
      <c r="AU50" s="55"/>
      <c r="AV50" s="55"/>
      <c r="AW50" s="55"/>
      <c r="AX50" s="55"/>
    </row>
    <row r="51" spans="1:50" s="103" customFormat="1" ht="15" customHeight="1">
      <c r="A51" s="102"/>
      <c r="D51" s="106" t="s">
        <v>110</v>
      </c>
      <c r="F51" s="91"/>
      <c r="H51" s="87">
        <v>0</v>
      </c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T51" s="55"/>
      <c r="AU51" s="55"/>
      <c r="AV51" s="55"/>
      <c r="AW51" s="55"/>
      <c r="AX51" s="55"/>
    </row>
    <row r="52" spans="1:50" s="103" customFormat="1" ht="15" customHeight="1">
      <c r="A52" s="102"/>
      <c r="D52" s="106" t="s">
        <v>111</v>
      </c>
      <c r="F52" s="91"/>
      <c r="H52" s="87">
        <v>0</v>
      </c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T52" s="55"/>
      <c r="AU52" s="55"/>
      <c r="AV52" s="55"/>
      <c r="AW52" s="55"/>
      <c r="AX52" s="55"/>
    </row>
    <row r="53" spans="1:50" s="103" customFormat="1" ht="15" customHeight="1">
      <c r="A53" s="102"/>
      <c r="D53" s="106" t="s">
        <v>112</v>
      </c>
      <c r="F53" s="91"/>
      <c r="H53" s="87">
        <v>0</v>
      </c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T53" s="55"/>
      <c r="AU53" s="55"/>
      <c r="AV53" s="55"/>
      <c r="AW53" s="55"/>
      <c r="AX53" s="55"/>
    </row>
    <row r="54" spans="1:50" s="103" customFormat="1" ht="15" customHeight="1">
      <c r="A54" s="102"/>
      <c r="E54" s="107"/>
      <c r="F54" s="91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T54" s="55"/>
      <c r="AU54" s="55"/>
      <c r="AV54" s="55"/>
      <c r="AW54" s="55"/>
      <c r="AX54" s="55"/>
    </row>
    <row r="55" spans="1:50" s="55" customFormat="1" ht="15" customHeight="1">
      <c r="A55" s="54"/>
      <c r="D55" s="41" t="s">
        <v>113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</row>
    <row r="56" spans="1:50" s="55" customFormat="1" ht="15" customHeight="1">
      <c r="A56" s="54"/>
      <c r="D56" s="108" t="s">
        <v>114</v>
      </c>
      <c r="K56" s="109"/>
      <c r="L56" s="110"/>
      <c r="M56" s="109"/>
      <c r="N56" s="110"/>
      <c r="O56" s="109"/>
      <c r="P56" s="109"/>
      <c r="Q56" s="110"/>
      <c r="T56" s="110"/>
    </row>
    <row r="57" spans="1:50" s="55" customFormat="1" ht="15" customHeight="1">
      <c r="A57" s="54"/>
      <c r="F57" s="111"/>
      <c r="H57" s="112"/>
      <c r="I57" s="112"/>
      <c r="J57" s="112"/>
      <c r="K57" s="112"/>
      <c r="L57" s="112"/>
      <c r="M57" s="112"/>
      <c r="N57" s="112"/>
      <c r="O57" s="112"/>
    </row>
    <row r="58" spans="1:50" s="55" customFormat="1" ht="15" customHeight="1">
      <c r="A58" s="54"/>
      <c r="D58" s="33" t="s">
        <v>115</v>
      </c>
      <c r="F58" s="113" t="s">
        <v>116</v>
      </c>
      <c r="H58" s="110" t="s">
        <v>117</v>
      </c>
      <c r="I58" s="109"/>
      <c r="J58" s="110" t="s">
        <v>118</v>
      </c>
      <c r="K58" s="109"/>
      <c r="L58" s="110" t="s">
        <v>119</v>
      </c>
      <c r="M58" s="109"/>
      <c r="N58" s="110" t="s">
        <v>120</v>
      </c>
      <c r="O58" s="109"/>
    </row>
    <row r="59" spans="1:50" s="55" customFormat="1" ht="15" customHeight="1">
      <c r="A59" s="54"/>
      <c r="D59" s="108" t="s">
        <v>121</v>
      </c>
      <c r="E59" s="108" t="s">
        <v>122</v>
      </c>
      <c r="F59" s="108" t="s">
        <v>123</v>
      </c>
      <c r="H59" s="108" t="s">
        <v>122</v>
      </c>
      <c r="I59" s="108" t="s">
        <v>123</v>
      </c>
      <c r="J59" s="108" t="s">
        <v>122</v>
      </c>
      <c r="K59" s="108" t="s">
        <v>123</v>
      </c>
      <c r="L59" s="108" t="s">
        <v>122</v>
      </c>
      <c r="M59" s="108" t="s">
        <v>123</v>
      </c>
      <c r="N59" s="108" t="s">
        <v>122</v>
      </c>
      <c r="O59" s="108" t="s">
        <v>123</v>
      </c>
    </row>
    <row r="60" spans="1:50" s="55" customFormat="1" ht="15" customHeight="1">
      <c r="A60" s="54"/>
      <c r="D60" s="114">
        <v>1</v>
      </c>
      <c r="E60" s="115">
        <f t="shared" ref="E60:F63" si="3">CHOOSE($F$23,H60,J60,L60,N60)</f>
        <v>0</v>
      </c>
      <c r="F60" s="116">
        <f t="shared" si="3"/>
        <v>0</v>
      </c>
      <c r="H60" s="72">
        <v>0</v>
      </c>
      <c r="I60" s="87">
        <v>0</v>
      </c>
      <c r="J60" s="100">
        <v>4000</v>
      </c>
      <c r="K60" s="117">
        <v>0.04</v>
      </c>
      <c r="L60" s="72">
        <v>0</v>
      </c>
      <c r="M60" s="87">
        <v>0</v>
      </c>
      <c r="N60" s="100">
        <v>4000</v>
      </c>
      <c r="O60" s="87">
        <v>0</v>
      </c>
    </row>
    <row r="61" spans="1:50" s="55" customFormat="1" ht="15" customHeight="1">
      <c r="A61" s="54"/>
      <c r="D61" s="114">
        <v>2</v>
      </c>
      <c r="E61" s="118">
        <f t="shared" si="3"/>
        <v>0</v>
      </c>
      <c r="F61" s="116">
        <f t="shared" si="3"/>
        <v>0</v>
      </c>
      <c r="H61" s="72">
        <v>0</v>
      </c>
      <c r="I61" s="87">
        <v>0</v>
      </c>
      <c r="J61" s="100">
        <v>5000</v>
      </c>
      <c r="K61" s="117">
        <v>0.05</v>
      </c>
      <c r="L61" s="100">
        <v>5511.5565546224998</v>
      </c>
      <c r="M61" s="87">
        <v>0.25</v>
      </c>
      <c r="N61" s="100">
        <v>6000</v>
      </c>
      <c r="O61" s="77">
        <v>0.05</v>
      </c>
    </row>
    <row r="62" spans="1:50" s="55" customFormat="1" ht="15" customHeight="1">
      <c r="A62" s="54"/>
      <c r="D62" s="114">
        <v>3</v>
      </c>
      <c r="E62" s="118">
        <f t="shared" si="3"/>
        <v>0</v>
      </c>
      <c r="F62" s="116">
        <f t="shared" si="3"/>
        <v>0</v>
      </c>
      <c r="H62" s="72">
        <v>0</v>
      </c>
      <c r="I62" s="87">
        <v>0</v>
      </c>
      <c r="J62" s="100">
        <v>6000</v>
      </c>
      <c r="K62" s="117">
        <v>0.06</v>
      </c>
      <c r="L62" s="100">
        <v>6613.8678655470003</v>
      </c>
      <c r="M62" s="87">
        <v>0.5</v>
      </c>
      <c r="N62" s="100">
        <v>8000</v>
      </c>
      <c r="O62" s="87">
        <v>0.15</v>
      </c>
    </row>
    <row r="63" spans="1:50" s="55" customFormat="1" ht="15" customHeight="1">
      <c r="A63" s="54"/>
      <c r="D63" s="114">
        <v>4</v>
      </c>
      <c r="E63" s="118">
        <f t="shared" si="3"/>
        <v>0</v>
      </c>
      <c r="F63" s="116">
        <f t="shared" si="3"/>
        <v>0</v>
      </c>
      <c r="H63" s="72">
        <v>0</v>
      </c>
      <c r="I63" s="87">
        <v>0</v>
      </c>
      <c r="J63" s="100"/>
      <c r="K63" s="117"/>
      <c r="L63" s="100">
        <v>7716.1791764714999</v>
      </c>
      <c r="M63" s="87">
        <v>0.75</v>
      </c>
      <c r="N63" s="100">
        <v>10000</v>
      </c>
      <c r="O63" s="87">
        <v>0.2</v>
      </c>
    </row>
    <row r="64" spans="1:50" s="55" customFormat="1" ht="15" customHeight="1">
      <c r="A64" s="54"/>
      <c r="F64" s="111"/>
    </row>
    <row r="65" spans="1:17" s="55" customFormat="1" ht="15" customHeight="1">
      <c r="A65" s="54"/>
      <c r="D65" s="33" t="s">
        <v>124</v>
      </c>
      <c r="F65" s="113" t="s">
        <v>116</v>
      </c>
      <c r="H65" s="110" t="s">
        <v>125</v>
      </c>
      <c r="J65" s="119" t="s">
        <v>126</v>
      </c>
      <c r="L65" s="119" t="s">
        <v>127</v>
      </c>
      <c r="M65" s="119"/>
      <c r="N65" s="119" t="s">
        <v>120</v>
      </c>
    </row>
    <row r="66" spans="1:17" s="55" customFormat="1" ht="15" customHeight="1">
      <c r="A66" s="54"/>
      <c r="D66" s="108" t="s">
        <v>121</v>
      </c>
      <c r="E66" s="108" t="s">
        <v>128</v>
      </c>
      <c r="F66" s="108" t="s">
        <v>123</v>
      </c>
      <c r="H66" s="108" t="s">
        <v>128</v>
      </c>
      <c r="I66" s="108" t="s">
        <v>123</v>
      </c>
      <c r="J66" s="108" t="s">
        <v>128</v>
      </c>
      <c r="K66" s="108" t="s">
        <v>123</v>
      </c>
      <c r="L66" s="108" t="s">
        <v>128</v>
      </c>
      <c r="M66" s="108" t="s">
        <v>123</v>
      </c>
      <c r="N66" s="108" t="s">
        <v>128</v>
      </c>
      <c r="O66" s="108" t="s">
        <v>123</v>
      </c>
    </row>
    <row r="67" spans="1:17" s="55" customFormat="1" ht="15" customHeight="1">
      <c r="A67" s="54"/>
      <c r="D67" s="114">
        <v>1</v>
      </c>
      <c r="E67" s="112">
        <f t="shared" ref="E67:E83" si="4">CHOOSE($F$28,H67,J67,L67,N67)</f>
        <v>0</v>
      </c>
      <c r="F67" s="116">
        <f t="shared" ref="F67:F83" si="5">CHOOSE($F$28,I67,K67,M67,O67)</f>
        <v>0</v>
      </c>
      <c r="H67" s="87">
        <v>0</v>
      </c>
      <c r="I67" s="87">
        <v>0</v>
      </c>
      <c r="J67" s="87">
        <v>0</v>
      </c>
      <c r="K67" s="117">
        <v>0.03</v>
      </c>
      <c r="L67" s="87">
        <v>0</v>
      </c>
      <c r="M67" s="87">
        <v>0.05</v>
      </c>
      <c r="N67" s="87"/>
      <c r="O67" s="87"/>
    </row>
    <row r="68" spans="1:17" s="55" customFormat="1" ht="15" customHeight="1">
      <c r="A68" s="54"/>
      <c r="D68" s="114">
        <v>2</v>
      </c>
      <c r="E68" s="112">
        <f t="shared" si="4"/>
        <v>0</v>
      </c>
      <c r="F68" s="116">
        <f t="shared" si="5"/>
        <v>0</v>
      </c>
      <c r="H68" s="87">
        <v>0</v>
      </c>
      <c r="I68" s="87">
        <v>0</v>
      </c>
      <c r="J68" s="87">
        <v>0.1</v>
      </c>
      <c r="K68" s="117">
        <v>4.1500000000000002E-2</v>
      </c>
      <c r="L68" s="87">
        <v>0.35</v>
      </c>
      <c r="M68" s="87">
        <v>0.08</v>
      </c>
      <c r="N68" s="87"/>
      <c r="O68" s="87"/>
    </row>
    <row r="69" spans="1:17" s="55" customFormat="1" ht="15" customHeight="1">
      <c r="A69" s="54"/>
      <c r="D69" s="114">
        <v>3</v>
      </c>
      <c r="E69" s="112">
        <f t="shared" si="4"/>
        <v>0</v>
      </c>
      <c r="F69" s="116">
        <f t="shared" si="5"/>
        <v>0</v>
      </c>
      <c r="H69" s="87">
        <v>0</v>
      </c>
      <c r="I69" s="87">
        <v>0</v>
      </c>
      <c r="J69" s="87">
        <v>0.15</v>
      </c>
      <c r="K69" s="117">
        <v>5.2999999999999999E-2</v>
      </c>
      <c r="L69" s="87">
        <v>0.4</v>
      </c>
      <c r="M69" s="87">
        <v>0.105</v>
      </c>
      <c r="N69" s="87"/>
      <c r="O69" s="87"/>
      <c r="Q69" s="112"/>
    </row>
    <row r="70" spans="1:17" s="55" customFormat="1" ht="15" customHeight="1">
      <c r="A70" s="54"/>
      <c r="D70" s="114">
        <v>4</v>
      </c>
      <c r="E70" s="112">
        <f t="shared" si="4"/>
        <v>0</v>
      </c>
      <c r="F70" s="116">
        <f t="shared" si="5"/>
        <v>0</v>
      </c>
      <c r="H70" s="87">
        <v>0</v>
      </c>
      <c r="I70" s="87">
        <v>0</v>
      </c>
      <c r="J70" s="87">
        <v>0.2</v>
      </c>
      <c r="K70" s="117">
        <v>6.4500000000000002E-2</v>
      </c>
      <c r="L70" s="87">
        <v>0.45</v>
      </c>
      <c r="M70" s="87">
        <v>0.13</v>
      </c>
      <c r="N70" s="87"/>
      <c r="O70" s="87"/>
    </row>
    <row r="71" spans="1:17" s="55" customFormat="1" ht="15" customHeight="1">
      <c r="A71" s="54"/>
      <c r="D71" s="114">
        <v>5</v>
      </c>
      <c r="E71" s="112">
        <f t="shared" si="4"/>
        <v>0</v>
      </c>
      <c r="F71" s="116">
        <f t="shared" si="5"/>
        <v>0</v>
      </c>
      <c r="H71" s="87">
        <v>0</v>
      </c>
      <c r="I71" s="87">
        <v>0</v>
      </c>
      <c r="J71" s="87">
        <v>0.25</v>
      </c>
      <c r="K71" s="117">
        <v>7.5999999999999998E-2</v>
      </c>
      <c r="L71" s="87">
        <v>0.5</v>
      </c>
      <c r="M71" s="87">
        <v>0.155</v>
      </c>
      <c r="N71" s="87"/>
      <c r="O71" s="87"/>
      <c r="Q71" s="55" t="s">
        <v>129</v>
      </c>
    </row>
    <row r="72" spans="1:17" s="55" customFormat="1" ht="15" customHeight="1">
      <c r="A72" s="54"/>
      <c r="D72" s="114">
        <v>6</v>
      </c>
      <c r="E72" s="112">
        <f t="shared" si="4"/>
        <v>0</v>
      </c>
      <c r="F72" s="116">
        <f t="shared" si="5"/>
        <v>0</v>
      </c>
      <c r="H72" s="87">
        <v>0</v>
      </c>
      <c r="I72" s="87">
        <v>0</v>
      </c>
      <c r="J72" s="87">
        <v>0.3</v>
      </c>
      <c r="K72" s="117">
        <v>8.7499999999999994E-2</v>
      </c>
      <c r="L72" s="87">
        <v>0.55000000000000004</v>
      </c>
      <c r="M72" s="87">
        <v>0.18</v>
      </c>
      <c r="N72" s="87"/>
      <c r="O72" s="87"/>
    </row>
    <row r="73" spans="1:17" s="55" customFormat="1" ht="15" customHeight="1">
      <c r="A73" s="54"/>
      <c r="D73" s="114">
        <v>7</v>
      </c>
      <c r="E73" s="112">
        <f t="shared" si="4"/>
        <v>0</v>
      </c>
      <c r="F73" s="116">
        <f t="shared" si="5"/>
        <v>0</v>
      </c>
      <c r="H73" s="87">
        <v>0</v>
      </c>
      <c r="I73" s="87">
        <v>0</v>
      </c>
      <c r="J73" s="87">
        <v>0.35</v>
      </c>
      <c r="K73" s="117">
        <v>9.9000000000000005E-2</v>
      </c>
      <c r="L73" s="87">
        <v>0.6</v>
      </c>
      <c r="M73" s="87">
        <v>0.21</v>
      </c>
      <c r="N73" s="87"/>
      <c r="O73" s="87"/>
    </row>
    <row r="74" spans="1:17" s="55" customFormat="1" ht="15" customHeight="1">
      <c r="A74" s="54"/>
      <c r="D74" s="114">
        <v>8</v>
      </c>
      <c r="E74" s="112">
        <f t="shared" si="4"/>
        <v>0</v>
      </c>
      <c r="F74" s="116">
        <f t="shared" si="5"/>
        <v>0</v>
      </c>
      <c r="H74" s="87">
        <v>0</v>
      </c>
      <c r="I74" s="87">
        <v>0</v>
      </c>
      <c r="J74" s="87">
        <v>0.4</v>
      </c>
      <c r="K74" s="117">
        <v>0.1105</v>
      </c>
      <c r="L74" s="87">
        <v>0.65</v>
      </c>
      <c r="M74" s="87">
        <v>0.24</v>
      </c>
      <c r="N74" s="87"/>
      <c r="O74" s="87"/>
    </row>
    <row r="75" spans="1:17" s="55" customFormat="1" ht="15" customHeight="1">
      <c r="A75" s="54"/>
      <c r="D75" s="114">
        <v>9</v>
      </c>
      <c r="E75" s="112">
        <f t="shared" si="4"/>
        <v>0</v>
      </c>
      <c r="F75" s="116">
        <f t="shared" si="5"/>
        <v>0</v>
      </c>
      <c r="H75" s="87">
        <v>0</v>
      </c>
      <c r="I75" s="87">
        <v>0</v>
      </c>
      <c r="J75" s="87">
        <v>0.45</v>
      </c>
      <c r="K75" s="117">
        <v>0.122</v>
      </c>
      <c r="L75" s="87">
        <v>0.7</v>
      </c>
      <c r="M75" s="87">
        <v>0.27500000000000002</v>
      </c>
      <c r="N75" s="87"/>
      <c r="O75" s="87"/>
    </row>
    <row r="76" spans="1:17" s="55" customFormat="1" ht="15" customHeight="1">
      <c r="A76" s="54"/>
      <c r="D76" s="114">
        <v>10</v>
      </c>
      <c r="E76" s="112">
        <f t="shared" si="4"/>
        <v>0</v>
      </c>
      <c r="F76" s="116">
        <f t="shared" si="5"/>
        <v>0</v>
      </c>
      <c r="H76" s="87">
        <v>0</v>
      </c>
      <c r="I76" s="87">
        <v>0</v>
      </c>
      <c r="J76" s="87">
        <v>0.5</v>
      </c>
      <c r="K76" s="117">
        <v>0.13350000000000001</v>
      </c>
      <c r="L76" s="87">
        <v>0.75</v>
      </c>
      <c r="M76" s="87">
        <v>0.31</v>
      </c>
      <c r="N76" s="87"/>
      <c r="O76" s="87"/>
    </row>
    <row r="77" spans="1:17" s="55" customFormat="1" ht="15" customHeight="1">
      <c r="A77" s="54"/>
      <c r="D77" s="114">
        <v>11</v>
      </c>
      <c r="E77" s="112">
        <f t="shared" si="4"/>
        <v>0</v>
      </c>
      <c r="F77" s="116">
        <f t="shared" si="5"/>
        <v>0</v>
      </c>
      <c r="H77" s="87">
        <v>0</v>
      </c>
      <c r="I77" s="87">
        <v>0</v>
      </c>
      <c r="J77" s="87">
        <v>0.55000000000000004</v>
      </c>
      <c r="K77" s="117">
        <v>0.14499999999999999</v>
      </c>
      <c r="L77" s="87">
        <v>0.8</v>
      </c>
      <c r="M77" s="87">
        <v>0.34499999999999997</v>
      </c>
      <c r="N77" s="87"/>
      <c r="O77" s="87"/>
    </row>
    <row r="78" spans="1:17" s="55" customFormat="1" ht="15" customHeight="1">
      <c r="A78" s="54"/>
      <c r="D78" s="114">
        <v>12</v>
      </c>
      <c r="E78" s="112">
        <f t="shared" si="4"/>
        <v>0</v>
      </c>
      <c r="F78" s="116">
        <f t="shared" si="5"/>
        <v>0</v>
      </c>
      <c r="H78" s="87">
        <v>0</v>
      </c>
      <c r="I78" s="87">
        <v>0</v>
      </c>
      <c r="J78" s="87">
        <v>0.6</v>
      </c>
      <c r="K78" s="117">
        <v>0.1565</v>
      </c>
      <c r="L78" s="87">
        <v>0.85</v>
      </c>
      <c r="M78" s="87">
        <v>0.34499999999999997</v>
      </c>
      <c r="N78" s="87"/>
      <c r="O78" s="87"/>
    </row>
    <row r="79" spans="1:17" s="55" customFormat="1" ht="15" customHeight="1">
      <c r="A79" s="54"/>
      <c r="D79" s="114">
        <v>13</v>
      </c>
      <c r="E79" s="112">
        <f t="shared" si="4"/>
        <v>0</v>
      </c>
      <c r="F79" s="116">
        <f t="shared" si="5"/>
        <v>0</v>
      </c>
      <c r="H79" s="87">
        <v>0</v>
      </c>
      <c r="I79" s="87">
        <v>0</v>
      </c>
      <c r="J79" s="87">
        <v>0.65</v>
      </c>
      <c r="K79" s="117">
        <v>0.16800000000000001</v>
      </c>
      <c r="L79" s="87">
        <v>0.85</v>
      </c>
      <c r="M79" s="87">
        <v>0.34499999999999997</v>
      </c>
      <c r="N79" s="87"/>
      <c r="O79" s="87"/>
    </row>
    <row r="80" spans="1:17" s="55" customFormat="1" ht="15" customHeight="1">
      <c r="A80" s="54"/>
      <c r="D80" s="114">
        <v>14</v>
      </c>
      <c r="E80" s="112">
        <f t="shared" si="4"/>
        <v>0</v>
      </c>
      <c r="F80" s="116">
        <f t="shared" si="5"/>
        <v>0</v>
      </c>
      <c r="H80" s="87">
        <v>0</v>
      </c>
      <c r="I80" s="87">
        <v>0</v>
      </c>
      <c r="J80" s="87">
        <v>0.7</v>
      </c>
      <c r="K80" s="117">
        <v>0.17949999999999999</v>
      </c>
      <c r="L80" s="87">
        <v>0.85</v>
      </c>
      <c r="M80" s="87">
        <v>0.34499999999999997</v>
      </c>
      <c r="N80" s="87"/>
      <c r="O80" s="87"/>
    </row>
    <row r="81" spans="1:21" s="55" customFormat="1" ht="15" customHeight="1">
      <c r="A81" s="54"/>
      <c r="D81" s="114">
        <v>15</v>
      </c>
      <c r="E81" s="112">
        <f t="shared" si="4"/>
        <v>0</v>
      </c>
      <c r="F81" s="116">
        <f t="shared" si="5"/>
        <v>0</v>
      </c>
      <c r="H81" s="87">
        <v>0</v>
      </c>
      <c r="I81" s="87">
        <v>0</v>
      </c>
      <c r="J81" s="87">
        <v>0.75</v>
      </c>
      <c r="K81" s="117">
        <v>0.191</v>
      </c>
      <c r="L81" s="87">
        <v>0.85</v>
      </c>
      <c r="M81" s="87">
        <v>0.34499999999999997</v>
      </c>
      <c r="N81" s="87"/>
      <c r="O81" s="87"/>
    </row>
    <row r="82" spans="1:21" s="55" customFormat="1" ht="15" customHeight="1">
      <c r="A82" s="54"/>
      <c r="D82" s="114">
        <v>16</v>
      </c>
      <c r="E82" s="112">
        <f t="shared" si="4"/>
        <v>0</v>
      </c>
      <c r="F82" s="116">
        <f t="shared" si="5"/>
        <v>0</v>
      </c>
      <c r="H82" s="87">
        <v>0</v>
      </c>
      <c r="I82" s="87">
        <v>0</v>
      </c>
      <c r="J82" s="87">
        <v>0.8</v>
      </c>
      <c r="K82" s="117">
        <v>0.2</v>
      </c>
      <c r="L82" s="87">
        <v>0.85</v>
      </c>
      <c r="M82" s="87">
        <v>0.34499999999999997</v>
      </c>
      <c r="N82" s="87"/>
      <c r="O82" s="87"/>
    </row>
    <row r="83" spans="1:21" s="55" customFormat="1" ht="15" customHeight="1">
      <c r="A83" s="54"/>
      <c r="D83" s="114">
        <v>17</v>
      </c>
      <c r="E83" s="112">
        <f t="shared" si="4"/>
        <v>0</v>
      </c>
      <c r="F83" s="116">
        <f t="shared" si="5"/>
        <v>0</v>
      </c>
      <c r="H83" s="87">
        <v>0</v>
      </c>
      <c r="I83" s="87">
        <v>0</v>
      </c>
      <c r="J83" s="87">
        <v>0.85</v>
      </c>
      <c r="K83" s="117">
        <v>0.20399999999999999</v>
      </c>
      <c r="L83" s="87">
        <v>0.85</v>
      </c>
      <c r="M83" s="87">
        <v>0.34499999999999997</v>
      </c>
      <c r="N83" s="87"/>
      <c r="O83" s="87"/>
    </row>
    <row r="84" spans="1:21" s="55" customFormat="1" ht="15" customHeight="1">
      <c r="A84" s="54"/>
      <c r="D84" s="119" t="s">
        <v>130</v>
      </c>
      <c r="E84" s="112"/>
      <c r="F84" s="75"/>
      <c r="G84" s="112"/>
    </row>
    <row r="85" spans="1:21" s="55" customFormat="1" ht="15" customHeight="1">
      <c r="A85" s="54"/>
      <c r="D85" s="114" t="s">
        <v>131</v>
      </c>
      <c r="E85" s="112"/>
      <c r="F85" s="87">
        <v>0.15</v>
      </c>
      <c r="G85" s="112"/>
    </row>
    <row r="86" spans="1:21" s="55" customFormat="1" ht="15" customHeight="1">
      <c r="A86" s="54"/>
      <c r="D86" s="114" t="s">
        <v>132</v>
      </c>
      <c r="E86" s="112"/>
      <c r="F86" s="87">
        <v>0.08</v>
      </c>
      <c r="G86" s="112"/>
    </row>
    <row r="87" spans="1:21" s="55" customFormat="1" ht="15" customHeight="1">
      <c r="A87" s="54"/>
      <c r="D87" s="114"/>
      <c r="E87" s="112"/>
      <c r="F87" s="75"/>
      <c r="G87" s="112"/>
    </row>
    <row r="88" spans="1:21" s="55" customFormat="1" ht="15" customHeight="1">
      <c r="A88" s="54"/>
      <c r="D88" s="41" t="s">
        <v>133</v>
      </c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</row>
    <row r="89" spans="1:21" s="55" customFormat="1" ht="15" customHeight="1">
      <c r="A89" s="54"/>
      <c r="D89" s="114"/>
      <c r="E89" s="112"/>
      <c r="F89" s="75"/>
      <c r="G89" s="112"/>
    </row>
    <row r="90" spans="1:21" s="55" customFormat="1" ht="15" customHeight="1">
      <c r="A90" s="54"/>
      <c r="D90" s="85" t="s">
        <v>134</v>
      </c>
      <c r="E90" s="97" t="s">
        <v>26</v>
      </c>
      <c r="F90" s="94">
        <v>0.5</v>
      </c>
    </row>
    <row r="91" spans="1:21" s="55" customFormat="1" ht="15" customHeight="1">
      <c r="A91" s="54"/>
      <c r="D91" s="73" t="s">
        <v>135</v>
      </c>
      <c r="E91" s="76" t="s">
        <v>136</v>
      </c>
      <c r="F91" s="71">
        <v>5</v>
      </c>
    </row>
    <row r="92" spans="1:21" s="55" customFormat="1" ht="15" customHeight="1">
      <c r="A92" s="54"/>
      <c r="D92" s="73" t="s">
        <v>137</v>
      </c>
      <c r="E92" s="76" t="s">
        <v>26</v>
      </c>
      <c r="F92" s="78">
        <v>0.125</v>
      </c>
    </row>
    <row r="93" spans="1:21" s="55" customFormat="1" ht="15" customHeight="1">
      <c r="A93" s="54"/>
      <c r="D93" s="73" t="s">
        <v>138</v>
      </c>
      <c r="E93" s="76" t="s">
        <v>26</v>
      </c>
      <c r="F93" s="78">
        <v>0.1</v>
      </c>
    </row>
    <row r="94" spans="1:21" s="55" customFormat="1" ht="15" customHeight="1">
      <c r="A94" s="54"/>
      <c r="D94" s="73" t="s">
        <v>139</v>
      </c>
      <c r="E94" s="76" t="s">
        <v>26</v>
      </c>
      <c r="F94" s="78">
        <v>0.125</v>
      </c>
      <c r="H94" s="112"/>
    </row>
    <row r="95" spans="1:21" s="55" customFormat="1" ht="15" customHeight="1">
      <c r="A95" s="54"/>
      <c r="D95" s="79" t="s">
        <v>140</v>
      </c>
      <c r="E95" s="82" t="s">
        <v>26</v>
      </c>
      <c r="F95" s="78">
        <v>0.02</v>
      </c>
      <c r="H95" s="112"/>
    </row>
    <row r="96" spans="1:21" s="55" customFormat="1" ht="15" customHeight="1">
      <c r="A96" s="54"/>
      <c r="F96" s="112"/>
      <c r="H96" s="112"/>
    </row>
    <row r="97" spans="1:256" s="55" customFormat="1" ht="15" customHeight="1">
      <c r="A97" s="54"/>
      <c r="D97" s="33" t="s">
        <v>141</v>
      </c>
      <c r="H97" s="112"/>
    </row>
    <row r="98" spans="1:256" s="55" customFormat="1" ht="15" customHeight="1">
      <c r="A98" s="54"/>
      <c r="D98" s="120" t="s">
        <v>19</v>
      </c>
      <c r="E98" s="60" t="s">
        <v>142</v>
      </c>
      <c r="F98" s="121">
        <v>1600</v>
      </c>
    </row>
    <row r="99" spans="1:256" s="55" customFormat="1" ht="15" customHeight="1">
      <c r="A99" s="54"/>
      <c r="D99" s="74"/>
      <c r="F99" s="122"/>
    </row>
    <row r="100" spans="1:256" s="55" customFormat="1" ht="15" customHeight="1">
      <c r="A100" s="54"/>
      <c r="D100" s="74" t="s">
        <v>143</v>
      </c>
      <c r="E100" s="60" t="s">
        <v>142</v>
      </c>
      <c r="F100" s="121">
        <v>1250</v>
      </c>
    </row>
    <row r="101" spans="1:256" s="55" customFormat="1" ht="15" customHeight="1">
      <c r="A101" s="54"/>
      <c r="D101" s="74" t="s">
        <v>144</v>
      </c>
      <c r="E101" s="60" t="s">
        <v>142</v>
      </c>
      <c r="F101" s="121">
        <v>0</v>
      </c>
    </row>
    <row r="102" spans="1:256" s="55" customFormat="1" ht="15" customHeight="1">
      <c r="A102" s="54"/>
      <c r="D102" s="74"/>
      <c r="F102" s="122"/>
    </row>
    <row r="103" spans="1:256" s="55" customFormat="1" ht="15" customHeight="1">
      <c r="A103" s="54"/>
      <c r="D103" s="74" t="s">
        <v>23</v>
      </c>
      <c r="E103" s="60" t="s">
        <v>142</v>
      </c>
      <c r="F103" s="121">
        <v>0</v>
      </c>
    </row>
    <row r="104" spans="1:256" s="55" customFormat="1" ht="15" customHeight="1">
      <c r="A104" s="54"/>
      <c r="D104" s="123"/>
      <c r="E104" s="80"/>
      <c r="F104" s="122"/>
    </row>
    <row r="105" spans="1:256" s="55" customFormat="1" ht="15" customHeight="1">
      <c r="A105" s="54"/>
      <c r="D105" s="124"/>
    </row>
    <row r="106" spans="1:256" s="55" customFormat="1" ht="12" customHeight="1">
      <c r="A106" s="54"/>
      <c r="C106" s="125"/>
      <c r="D106" s="41" t="s">
        <v>145</v>
      </c>
      <c r="E106" s="41" t="s">
        <v>146</v>
      </c>
      <c r="F106" s="41"/>
      <c r="G106" s="126">
        <v>1</v>
      </c>
      <c r="H106" s="126">
        <v>2</v>
      </c>
      <c r="I106" s="126">
        <v>3</v>
      </c>
      <c r="J106" s="126">
        <v>4</v>
      </c>
      <c r="K106" s="126">
        <v>5</v>
      </c>
      <c r="L106" s="126">
        <v>6</v>
      </c>
      <c r="M106" s="126">
        <v>7</v>
      </c>
      <c r="N106" s="126">
        <v>8</v>
      </c>
      <c r="O106" s="126">
        <v>9</v>
      </c>
      <c r="P106" s="126">
        <v>10</v>
      </c>
      <c r="Q106" s="126">
        <v>11</v>
      </c>
      <c r="R106" s="126">
        <v>12</v>
      </c>
      <c r="S106" s="126">
        <v>13</v>
      </c>
      <c r="T106" s="126">
        <v>14</v>
      </c>
      <c r="U106" s="126">
        <v>15</v>
      </c>
      <c r="V106" s="126">
        <v>16</v>
      </c>
      <c r="W106" s="126">
        <v>17</v>
      </c>
      <c r="X106" s="126">
        <v>18</v>
      </c>
      <c r="Y106" s="126">
        <v>19</v>
      </c>
      <c r="Z106" s="126">
        <v>20</v>
      </c>
      <c r="AA106" s="126">
        <v>21</v>
      </c>
      <c r="AB106" s="126">
        <v>22</v>
      </c>
      <c r="AC106" s="126">
        <v>23</v>
      </c>
      <c r="AD106" s="126">
        <v>24</v>
      </c>
      <c r="AE106" s="126">
        <v>25</v>
      </c>
      <c r="AF106" s="126">
        <v>26</v>
      </c>
      <c r="AG106" s="126">
        <v>27</v>
      </c>
      <c r="AH106" s="126">
        <v>28</v>
      </c>
      <c r="AI106" s="126">
        <v>29</v>
      </c>
      <c r="AJ106" s="126">
        <v>30</v>
      </c>
      <c r="AK106" s="126">
        <v>31</v>
      </c>
      <c r="AL106" s="126">
        <v>32</v>
      </c>
      <c r="AM106" s="126">
        <v>33</v>
      </c>
      <c r="AN106" s="126">
        <v>34</v>
      </c>
      <c r="AO106" s="126">
        <v>35</v>
      </c>
      <c r="AP106" s="126">
        <v>36</v>
      </c>
      <c r="AQ106" s="126">
        <v>37</v>
      </c>
      <c r="AR106" s="126">
        <v>38</v>
      </c>
      <c r="AS106" s="126">
        <v>39</v>
      </c>
      <c r="AT106" s="126">
        <v>40</v>
      </c>
      <c r="AU106" s="126">
        <v>41</v>
      </c>
      <c r="AV106" s="126">
        <v>42</v>
      </c>
      <c r="AW106" s="126">
        <v>43</v>
      </c>
      <c r="AX106" s="126">
        <v>44</v>
      </c>
      <c r="AY106" s="126">
        <v>45</v>
      </c>
      <c r="AZ106" s="126">
        <v>46</v>
      </c>
      <c r="BA106" s="126">
        <v>47</v>
      </c>
      <c r="BB106" s="126">
        <v>48</v>
      </c>
      <c r="BC106" s="126">
        <v>49</v>
      </c>
      <c r="BD106" s="126">
        <v>50</v>
      </c>
    </row>
    <row r="107" spans="1:256" s="55" customFormat="1" ht="12" customHeight="1">
      <c r="A107" s="54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  <c r="BI107" s="125"/>
      <c r="BJ107" s="125"/>
      <c r="BK107" s="125"/>
      <c r="BL107" s="125"/>
      <c r="BM107" s="125"/>
      <c r="BN107" s="125"/>
      <c r="BO107" s="125"/>
      <c r="BP107" s="125"/>
      <c r="BQ107" s="125"/>
      <c r="BR107" s="125"/>
      <c r="BS107" s="125"/>
      <c r="BT107" s="125"/>
      <c r="BU107" s="125"/>
      <c r="BV107" s="125"/>
      <c r="BW107" s="125"/>
      <c r="BX107" s="125"/>
      <c r="BY107" s="125"/>
      <c r="BZ107" s="125"/>
      <c r="CA107" s="125"/>
      <c r="CB107" s="125"/>
      <c r="CC107" s="125"/>
      <c r="CD107" s="125"/>
      <c r="CE107" s="125"/>
      <c r="CF107" s="125"/>
      <c r="CG107" s="125"/>
      <c r="CH107" s="125"/>
      <c r="CI107" s="125"/>
      <c r="CJ107" s="125"/>
      <c r="CK107" s="125"/>
      <c r="CL107" s="125"/>
      <c r="CM107" s="125"/>
      <c r="CN107" s="125"/>
      <c r="CO107" s="125"/>
      <c r="CP107" s="125"/>
      <c r="CQ107" s="125"/>
      <c r="CR107" s="125"/>
      <c r="CS107" s="125"/>
      <c r="CT107" s="125"/>
      <c r="CU107" s="125"/>
      <c r="CV107" s="125"/>
      <c r="CW107" s="125"/>
      <c r="CX107" s="125"/>
      <c r="CY107" s="125"/>
      <c r="CZ107" s="125"/>
      <c r="DA107" s="125"/>
      <c r="DB107" s="125"/>
      <c r="DC107" s="125"/>
      <c r="DD107" s="125"/>
      <c r="DE107" s="125"/>
      <c r="DF107" s="125"/>
      <c r="DG107" s="125"/>
      <c r="DH107" s="125"/>
      <c r="DI107" s="125"/>
      <c r="DJ107" s="125"/>
      <c r="DK107" s="125"/>
      <c r="DL107" s="125"/>
      <c r="DM107" s="125"/>
      <c r="DN107" s="125"/>
      <c r="DO107" s="125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25"/>
      <c r="FV107" s="125"/>
      <c r="FW107" s="125"/>
      <c r="FX107" s="125"/>
      <c r="FY107" s="125"/>
      <c r="FZ107" s="125"/>
      <c r="GA107" s="125"/>
      <c r="GB107" s="125"/>
      <c r="GC107" s="125"/>
      <c r="GD107" s="125"/>
      <c r="GE107" s="125"/>
      <c r="GF107" s="125"/>
      <c r="GG107" s="125"/>
      <c r="GH107" s="125"/>
      <c r="GI107" s="125"/>
      <c r="GJ107" s="125"/>
      <c r="GK107" s="125"/>
      <c r="GL107" s="125"/>
      <c r="GM107" s="125"/>
      <c r="GN107" s="125"/>
      <c r="GO107" s="125"/>
      <c r="GP107" s="125"/>
      <c r="GQ107" s="125"/>
      <c r="GR107" s="125"/>
      <c r="GS107" s="125"/>
      <c r="GT107" s="125"/>
      <c r="GU107" s="125"/>
      <c r="GV107" s="125"/>
      <c r="GW107" s="125"/>
      <c r="GX107" s="125"/>
      <c r="GY107" s="125"/>
      <c r="GZ107" s="125"/>
      <c r="HA107" s="125"/>
      <c r="HB107" s="125"/>
      <c r="HC107" s="125"/>
      <c r="HD107" s="125"/>
      <c r="HE107" s="125"/>
      <c r="HF107" s="125"/>
      <c r="HG107" s="125"/>
      <c r="HH107" s="125"/>
      <c r="HI107" s="125"/>
      <c r="HJ107" s="125"/>
      <c r="HK107" s="125"/>
      <c r="HL107" s="125"/>
      <c r="HM107" s="125"/>
      <c r="HN107" s="125"/>
      <c r="HO107" s="125"/>
      <c r="HP107" s="125"/>
      <c r="HQ107" s="125"/>
      <c r="HR107" s="125"/>
      <c r="HS107" s="125"/>
      <c r="HT107" s="125"/>
      <c r="HU107" s="125"/>
      <c r="HV107" s="125"/>
      <c r="HW107" s="125"/>
      <c r="HX107" s="125"/>
      <c r="HY107" s="125"/>
      <c r="HZ107" s="125"/>
      <c r="IA107" s="125"/>
      <c r="IB107" s="125"/>
      <c r="IC107" s="125"/>
      <c r="ID107" s="125"/>
      <c r="IE107" s="125"/>
      <c r="IF107" s="125"/>
      <c r="IG107" s="125"/>
      <c r="IH107" s="125"/>
      <c r="II107" s="125"/>
      <c r="IJ107" s="125"/>
      <c r="IK107" s="125"/>
      <c r="IL107" s="125"/>
      <c r="IM107" s="125"/>
      <c r="IN107" s="125"/>
      <c r="IO107" s="125"/>
      <c r="IP107" s="125"/>
      <c r="IQ107" s="125"/>
      <c r="IR107" s="125"/>
      <c r="IS107" s="125"/>
      <c r="IT107" s="125"/>
      <c r="IU107" s="125"/>
      <c r="IV107" s="125"/>
    </row>
    <row r="108" spans="1:256" s="55" customFormat="1" ht="12" customHeight="1">
      <c r="A108" s="54"/>
      <c r="C108" s="125"/>
      <c r="D108" s="55" t="s">
        <v>147</v>
      </c>
      <c r="G108" s="127">
        <f>F98</f>
        <v>1600</v>
      </c>
      <c r="H108" s="127">
        <f t="shared" ref="H108:AM108" si="6">$F$137</f>
        <v>1600</v>
      </c>
      <c r="I108" s="127">
        <f t="shared" si="6"/>
        <v>1600</v>
      </c>
      <c r="J108" s="127">
        <f t="shared" si="6"/>
        <v>1600</v>
      </c>
      <c r="K108" s="127">
        <f t="shared" si="6"/>
        <v>1600</v>
      </c>
      <c r="L108" s="127">
        <f t="shared" si="6"/>
        <v>1600</v>
      </c>
      <c r="M108" s="127">
        <f t="shared" si="6"/>
        <v>1600</v>
      </c>
      <c r="N108" s="127">
        <f t="shared" si="6"/>
        <v>1600</v>
      </c>
      <c r="O108" s="127">
        <f t="shared" si="6"/>
        <v>1600</v>
      </c>
      <c r="P108" s="127">
        <f t="shared" si="6"/>
        <v>1600</v>
      </c>
      <c r="Q108" s="127">
        <f t="shared" si="6"/>
        <v>1600</v>
      </c>
      <c r="R108" s="127">
        <f t="shared" si="6"/>
        <v>1600</v>
      </c>
      <c r="S108" s="127">
        <f t="shared" si="6"/>
        <v>1600</v>
      </c>
      <c r="T108" s="127">
        <f t="shared" si="6"/>
        <v>1600</v>
      </c>
      <c r="U108" s="127">
        <f t="shared" si="6"/>
        <v>1600</v>
      </c>
      <c r="V108" s="127">
        <f t="shared" si="6"/>
        <v>1600</v>
      </c>
      <c r="W108" s="127">
        <f t="shared" si="6"/>
        <v>1600</v>
      </c>
      <c r="X108" s="127">
        <f t="shared" si="6"/>
        <v>1600</v>
      </c>
      <c r="Y108" s="127">
        <f t="shared" si="6"/>
        <v>1600</v>
      </c>
      <c r="Z108" s="127">
        <f t="shared" si="6"/>
        <v>1600</v>
      </c>
      <c r="AA108" s="127">
        <f t="shared" si="6"/>
        <v>1600</v>
      </c>
      <c r="AB108" s="127">
        <f t="shared" si="6"/>
        <v>1600</v>
      </c>
      <c r="AC108" s="127">
        <f t="shared" si="6"/>
        <v>1600</v>
      </c>
      <c r="AD108" s="127">
        <f t="shared" si="6"/>
        <v>1600</v>
      </c>
      <c r="AE108" s="127">
        <f t="shared" si="6"/>
        <v>1600</v>
      </c>
      <c r="AF108" s="127">
        <f t="shared" si="6"/>
        <v>1600</v>
      </c>
      <c r="AG108" s="127">
        <f t="shared" si="6"/>
        <v>1600</v>
      </c>
      <c r="AH108" s="127">
        <f t="shared" si="6"/>
        <v>1600</v>
      </c>
      <c r="AI108" s="127">
        <f t="shared" si="6"/>
        <v>1600</v>
      </c>
      <c r="AJ108" s="127">
        <f t="shared" si="6"/>
        <v>1600</v>
      </c>
      <c r="AK108" s="127">
        <f t="shared" si="6"/>
        <v>1600</v>
      </c>
      <c r="AL108" s="127">
        <f t="shared" si="6"/>
        <v>1600</v>
      </c>
      <c r="AM108" s="127">
        <f t="shared" si="6"/>
        <v>1600</v>
      </c>
      <c r="AN108" s="127">
        <f t="shared" ref="AN108:BD108" si="7">$F$137</f>
        <v>1600</v>
      </c>
      <c r="AO108" s="127">
        <f t="shared" si="7"/>
        <v>1600</v>
      </c>
      <c r="AP108" s="127">
        <f t="shared" si="7"/>
        <v>1600</v>
      </c>
      <c r="AQ108" s="127">
        <f t="shared" si="7"/>
        <v>1600</v>
      </c>
      <c r="AR108" s="127">
        <f t="shared" si="7"/>
        <v>1600</v>
      </c>
      <c r="AS108" s="127">
        <f t="shared" si="7"/>
        <v>1600</v>
      </c>
      <c r="AT108" s="127">
        <f t="shared" si="7"/>
        <v>1600</v>
      </c>
      <c r="AU108" s="127">
        <f t="shared" si="7"/>
        <v>1600</v>
      </c>
      <c r="AV108" s="127">
        <f t="shared" si="7"/>
        <v>1600</v>
      </c>
      <c r="AW108" s="127">
        <f t="shared" si="7"/>
        <v>1600</v>
      </c>
      <c r="AX108" s="127">
        <f t="shared" si="7"/>
        <v>1600</v>
      </c>
      <c r="AY108" s="127">
        <f t="shared" si="7"/>
        <v>1600</v>
      </c>
      <c r="AZ108" s="127">
        <f t="shared" si="7"/>
        <v>1600</v>
      </c>
      <c r="BA108" s="127">
        <f t="shared" si="7"/>
        <v>1600</v>
      </c>
      <c r="BB108" s="127">
        <f t="shared" si="7"/>
        <v>1600</v>
      </c>
      <c r="BC108" s="127">
        <f t="shared" si="7"/>
        <v>1600</v>
      </c>
      <c r="BD108" s="127">
        <f t="shared" si="7"/>
        <v>1600</v>
      </c>
    </row>
    <row r="109" spans="1:256" s="55" customFormat="1" ht="12" customHeight="1">
      <c r="A109" s="54"/>
      <c r="C109" s="125"/>
      <c r="D109" s="124" t="s">
        <v>143</v>
      </c>
      <c r="F109" s="127">
        <f>F100</f>
        <v>1250</v>
      </c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127"/>
      <c r="AO109" s="127"/>
      <c r="AP109" s="127"/>
      <c r="AQ109" s="127"/>
      <c r="AR109" s="127"/>
      <c r="AS109" s="127"/>
      <c r="AT109" s="127"/>
      <c r="AU109" s="127"/>
      <c r="AV109" s="127"/>
      <c r="AW109" s="127"/>
      <c r="AX109" s="127"/>
      <c r="AY109" s="127"/>
      <c r="AZ109" s="127"/>
      <c r="BA109" s="127"/>
      <c r="BB109" s="127"/>
      <c r="BC109" s="127"/>
      <c r="BD109" s="127"/>
    </row>
    <row r="110" spans="1:256" s="55" customFormat="1" ht="12" customHeight="1">
      <c r="A110" s="54"/>
      <c r="C110" s="125"/>
      <c r="E110" s="128"/>
      <c r="G110" s="129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127"/>
      <c r="AO110" s="127"/>
      <c r="AP110" s="127"/>
      <c r="AQ110" s="127"/>
      <c r="AR110" s="127"/>
      <c r="AS110" s="127"/>
      <c r="AT110" s="127"/>
      <c r="AU110" s="127"/>
      <c r="AV110" s="127"/>
      <c r="AW110" s="127"/>
      <c r="AX110" s="127"/>
      <c r="AY110" s="127"/>
      <c r="AZ110" s="127"/>
      <c r="BA110" s="127"/>
      <c r="BB110" s="127"/>
      <c r="BC110" s="127"/>
      <c r="BD110" s="127"/>
    </row>
    <row r="111" spans="1:256" s="55" customFormat="1" ht="15" customHeight="1">
      <c r="A111" s="54"/>
      <c r="D111" s="41" t="s">
        <v>148</v>
      </c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</row>
    <row r="112" spans="1:256" s="55" customFormat="1" ht="15" customHeight="1">
      <c r="A112" s="54"/>
    </row>
    <row r="113" spans="1:56" s="55" customFormat="1" ht="12" customHeight="1">
      <c r="A113" s="54"/>
      <c r="C113" s="130" t="s">
        <v>149</v>
      </c>
      <c r="D113" s="131" t="s">
        <v>150</v>
      </c>
      <c r="E113" s="131" t="s">
        <v>146</v>
      </c>
      <c r="F113" s="131"/>
      <c r="G113" s="132">
        <v>1</v>
      </c>
      <c r="H113" s="132">
        <f t="shared" ref="H113:AM113" si="8">G113+1</f>
        <v>2</v>
      </c>
      <c r="I113" s="132">
        <f t="shared" si="8"/>
        <v>3</v>
      </c>
      <c r="J113" s="132">
        <f t="shared" si="8"/>
        <v>4</v>
      </c>
      <c r="K113" s="132">
        <f t="shared" si="8"/>
        <v>5</v>
      </c>
      <c r="L113" s="132">
        <f t="shared" si="8"/>
        <v>6</v>
      </c>
      <c r="M113" s="132">
        <f t="shared" si="8"/>
        <v>7</v>
      </c>
      <c r="N113" s="132">
        <f t="shared" si="8"/>
        <v>8</v>
      </c>
      <c r="O113" s="132">
        <f t="shared" si="8"/>
        <v>9</v>
      </c>
      <c r="P113" s="132">
        <f t="shared" si="8"/>
        <v>10</v>
      </c>
      <c r="Q113" s="132">
        <f t="shared" si="8"/>
        <v>11</v>
      </c>
      <c r="R113" s="132">
        <f t="shared" si="8"/>
        <v>12</v>
      </c>
      <c r="S113" s="132">
        <f t="shared" si="8"/>
        <v>13</v>
      </c>
      <c r="T113" s="132">
        <f t="shared" si="8"/>
        <v>14</v>
      </c>
      <c r="U113" s="132">
        <f t="shared" si="8"/>
        <v>15</v>
      </c>
      <c r="V113" s="132">
        <f t="shared" si="8"/>
        <v>16</v>
      </c>
      <c r="W113" s="132">
        <f t="shared" si="8"/>
        <v>17</v>
      </c>
      <c r="X113" s="132">
        <f t="shared" si="8"/>
        <v>18</v>
      </c>
      <c r="Y113" s="132">
        <f t="shared" si="8"/>
        <v>19</v>
      </c>
      <c r="Z113" s="132">
        <f t="shared" si="8"/>
        <v>20</v>
      </c>
      <c r="AA113" s="132">
        <f t="shared" si="8"/>
        <v>21</v>
      </c>
      <c r="AB113" s="132">
        <f t="shared" si="8"/>
        <v>22</v>
      </c>
      <c r="AC113" s="132">
        <f t="shared" si="8"/>
        <v>23</v>
      </c>
      <c r="AD113" s="132">
        <f t="shared" si="8"/>
        <v>24</v>
      </c>
      <c r="AE113" s="132">
        <f t="shared" si="8"/>
        <v>25</v>
      </c>
      <c r="AF113" s="132">
        <f t="shared" si="8"/>
        <v>26</v>
      </c>
      <c r="AG113" s="132">
        <f t="shared" si="8"/>
        <v>27</v>
      </c>
      <c r="AH113" s="132">
        <f t="shared" si="8"/>
        <v>28</v>
      </c>
      <c r="AI113" s="132">
        <f t="shared" si="8"/>
        <v>29</v>
      </c>
      <c r="AJ113" s="132">
        <f t="shared" si="8"/>
        <v>30</v>
      </c>
      <c r="AK113" s="132">
        <f t="shared" si="8"/>
        <v>31</v>
      </c>
      <c r="AL113" s="132">
        <f t="shared" si="8"/>
        <v>32</v>
      </c>
      <c r="AM113" s="132">
        <f t="shared" si="8"/>
        <v>33</v>
      </c>
      <c r="AN113" s="132">
        <f t="shared" ref="AN113:BD113" si="9">AM113+1</f>
        <v>34</v>
      </c>
      <c r="AO113" s="132">
        <f t="shared" si="9"/>
        <v>35</v>
      </c>
      <c r="AP113" s="132">
        <f t="shared" si="9"/>
        <v>36</v>
      </c>
      <c r="AQ113" s="132">
        <f t="shared" si="9"/>
        <v>37</v>
      </c>
      <c r="AR113" s="132">
        <f t="shared" si="9"/>
        <v>38</v>
      </c>
      <c r="AS113" s="132">
        <f t="shared" si="9"/>
        <v>39</v>
      </c>
      <c r="AT113" s="132">
        <f t="shared" si="9"/>
        <v>40</v>
      </c>
      <c r="AU113" s="132">
        <f t="shared" si="9"/>
        <v>41</v>
      </c>
      <c r="AV113" s="132">
        <f t="shared" si="9"/>
        <v>42</v>
      </c>
      <c r="AW113" s="132">
        <f t="shared" si="9"/>
        <v>43</v>
      </c>
      <c r="AX113" s="132">
        <f t="shared" si="9"/>
        <v>44</v>
      </c>
      <c r="AY113" s="132">
        <f t="shared" si="9"/>
        <v>45</v>
      </c>
      <c r="AZ113" s="132">
        <f t="shared" si="9"/>
        <v>46</v>
      </c>
      <c r="BA113" s="132">
        <f t="shared" si="9"/>
        <v>47</v>
      </c>
      <c r="BB113" s="132">
        <f t="shared" si="9"/>
        <v>48</v>
      </c>
      <c r="BC113" s="132">
        <f t="shared" si="9"/>
        <v>49</v>
      </c>
      <c r="BD113" s="132">
        <f t="shared" si="9"/>
        <v>50</v>
      </c>
    </row>
    <row r="114" spans="1:56" s="55" customFormat="1" ht="13.5" customHeight="1">
      <c r="A114" s="54"/>
      <c r="C114" s="125"/>
      <c r="E114" s="128"/>
      <c r="F114" s="2"/>
      <c r="G114" s="133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  <c r="AN114" s="134"/>
      <c r="AO114" s="134"/>
      <c r="AP114" s="134"/>
      <c r="AQ114" s="134"/>
      <c r="AR114" s="134"/>
      <c r="AS114" s="134"/>
      <c r="AT114" s="134"/>
      <c r="AU114" s="134"/>
      <c r="AV114" s="134"/>
      <c r="AW114" s="134"/>
      <c r="AX114" s="134"/>
      <c r="AY114" s="134"/>
      <c r="AZ114" s="134"/>
      <c r="BA114" s="134"/>
      <c r="BB114" s="134"/>
      <c r="BC114" s="134"/>
      <c r="BD114" s="135"/>
    </row>
    <row r="115" spans="1:56" s="55" customFormat="1" ht="12" customHeight="1">
      <c r="A115" s="54"/>
      <c r="C115" s="125">
        <f t="shared" ref="C115:C122" si="10">SUM(G115:BD115)</f>
        <v>4284000</v>
      </c>
      <c r="D115" s="55" t="s">
        <v>151</v>
      </c>
      <c r="E115" s="128" t="s">
        <v>152</v>
      </c>
      <c r="G115" s="136">
        <v>245000</v>
      </c>
      <c r="H115" s="137">
        <v>359000</v>
      </c>
      <c r="I115" s="137">
        <v>360000</v>
      </c>
      <c r="J115" s="137">
        <v>400000</v>
      </c>
      <c r="K115" s="137">
        <v>400000</v>
      </c>
      <c r="L115" s="137">
        <v>400000</v>
      </c>
      <c r="M115" s="137">
        <v>400000</v>
      </c>
      <c r="N115" s="137">
        <v>320000</v>
      </c>
      <c r="O115" s="137">
        <v>173000</v>
      </c>
      <c r="P115" s="137">
        <v>173000</v>
      </c>
      <c r="Q115" s="137">
        <v>173000</v>
      </c>
      <c r="R115" s="137">
        <v>173000</v>
      </c>
      <c r="S115" s="137">
        <v>173000</v>
      </c>
      <c r="T115" s="137">
        <v>173000</v>
      </c>
      <c r="U115" s="137">
        <v>173000</v>
      </c>
      <c r="V115" s="137">
        <v>133000</v>
      </c>
      <c r="W115" s="137">
        <v>56000</v>
      </c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8"/>
    </row>
    <row r="116" spans="1:56" s="55" customFormat="1" ht="12" customHeight="1">
      <c r="A116" s="54"/>
      <c r="C116" s="125">
        <f t="shared" si="10"/>
        <v>0</v>
      </c>
      <c r="D116" s="74" t="s">
        <v>144</v>
      </c>
      <c r="E116" s="128" t="s">
        <v>153</v>
      </c>
      <c r="G116" s="136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8"/>
    </row>
    <row r="117" spans="1:56" s="55" customFormat="1" ht="12" customHeight="1">
      <c r="A117" s="54"/>
      <c r="C117" s="125">
        <f t="shared" si="10"/>
        <v>0</v>
      </c>
      <c r="D117" s="55" t="s">
        <v>154</v>
      </c>
      <c r="E117" s="128" t="s">
        <v>153</v>
      </c>
      <c r="G117" s="136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8"/>
    </row>
    <row r="118" spans="1:56" s="55" customFormat="1" ht="12" customHeight="1">
      <c r="A118" s="54"/>
      <c r="C118" s="125">
        <f t="shared" si="10"/>
        <v>0</v>
      </c>
      <c r="D118" s="55" t="s">
        <v>155</v>
      </c>
      <c r="E118" s="128" t="s">
        <v>153</v>
      </c>
      <c r="G118" s="136">
        <v>0</v>
      </c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8"/>
    </row>
    <row r="119" spans="1:56" s="55" customFormat="1" ht="12" customHeight="1">
      <c r="A119" s="54"/>
      <c r="C119" s="125">
        <f t="shared" si="10"/>
        <v>0</v>
      </c>
      <c r="D119" s="55" t="s">
        <v>156</v>
      </c>
      <c r="E119" s="128" t="s">
        <v>153</v>
      </c>
      <c r="G119" s="136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8"/>
    </row>
    <row r="120" spans="1:56" s="55" customFormat="1" ht="12" customHeight="1">
      <c r="A120" s="54"/>
      <c r="C120" s="125">
        <f t="shared" si="10"/>
        <v>407</v>
      </c>
      <c r="D120" s="55" t="s">
        <v>157</v>
      </c>
      <c r="E120" s="128" t="s">
        <v>153</v>
      </c>
      <c r="G120" s="136">
        <v>37</v>
      </c>
      <c r="H120" s="137">
        <v>109</v>
      </c>
      <c r="I120" s="137">
        <v>160</v>
      </c>
      <c r="J120" s="137">
        <v>0</v>
      </c>
      <c r="K120" s="139">
        <v>0</v>
      </c>
      <c r="L120" s="137">
        <v>0</v>
      </c>
      <c r="M120" s="137">
        <v>0</v>
      </c>
      <c r="N120" s="137">
        <v>24</v>
      </c>
      <c r="O120" s="137">
        <v>23</v>
      </c>
      <c r="P120" s="137">
        <v>9</v>
      </c>
      <c r="Q120" s="137">
        <v>2</v>
      </c>
      <c r="R120" s="137">
        <v>1</v>
      </c>
      <c r="S120" s="137">
        <v>9</v>
      </c>
      <c r="T120" s="137">
        <v>18</v>
      </c>
      <c r="U120" s="137">
        <v>10</v>
      </c>
      <c r="V120" s="137">
        <v>4</v>
      </c>
      <c r="W120" s="137">
        <v>1</v>
      </c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8"/>
    </row>
    <row r="121" spans="1:56" s="55" customFormat="1" ht="12" customHeight="1">
      <c r="A121" s="54"/>
      <c r="C121" s="125">
        <f t="shared" si="10"/>
        <v>253</v>
      </c>
      <c r="D121" s="55" t="s">
        <v>158</v>
      </c>
      <c r="E121" s="128" t="s">
        <v>153</v>
      </c>
      <c r="G121" s="136">
        <v>41</v>
      </c>
      <c r="H121" s="137">
        <v>37</v>
      </c>
      <c r="I121" s="137">
        <v>45</v>
      </c>
      <c r="J121" s="137">
        <v>25</v>
      </c>
      <c r="K121" s="137">
        <v>27</v>
      </c>
      <c r="L121" s="137">
        <v>12</v>
      </c>
      <c r="M121" s="137">
        <v>11</v>
      </c>
      <c r="N121" s="137">
        <v>8</v>
      </c>
      <c r="O121" s="137">
        <v>6</v>
      </c>
      <c r="P121" s="137">
        <v>9</v>
      </c>
      <c r="Q121" s="137">
        <v>12</v>
      </c>
      <c r="R121" s="137">
        <v>6</v>
      </c>
      <c r="S121" s="137">
        <v>3</v>
      </c>
      <c r="T121" s="137">
        <v>5</v>
      </c>
      <c r="U121" s="137">
        <v>3</v>
      </c>
      <c r="V121" s="137">
        <v>2</v>
      </c>
      <c r="W121" s="137">
        <v>1</v>
      </c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8"/>
    </row>
    <row r="122" spans="1:56" s="55" customFormat="1" ht="12" customHeight="1">
      <c r="A122" s="54"/>
      <c r="C122" s="125">
        <f t="shared" si="10"/>
        <v>11161.5</v>
      </c>
      <c r="D122" s="55" t="s">
        <v>159</v>
      </c>
      <c r="E122" s="55" t="s">
        <v>142</v>
      </c>
      <c r="G122" s="136">
        <v>698</v>
      </c>
      <c r="H122" s="137">
        <v>470.8</v>
      </c>
      <c r="I122" s="137">
        <v>494.4</v>
      </c>
      <c r="J122" s="137">
        <v>507.5</v>
      </c>
      <c r="K122" s="137">
        <v>542.5</v>
      </c>
      <c r="L122" s="137">
        <v>507.5</v>
      </c>
      <c r="M122" s="137">
        <v>450</v>
      </c>
      <c r="N122" s="137">
        <v>550</v>
      </c>
      <c r="O122" s="137">
        <v>913.3</v>
      </c>
      <c r="P122" s="137">
        <v>867.1</v>
      </c>
      <c r="Q122" s="137">
        <v>913.3</v>
      </c>
      <c r="R122" s="137">
        <v>890.2</v>
      </c>
      <c r="S122" s="137">
        <v>780.3</v>
      </c>
      <c r="T122" s="137">
        <v>757.2</v>
      </c>
      <c r="U122" s="137">
        <v>531.79999999999995</v>
      </c>
      <c r="V122" s="137">
        <v>609</v>
      </c>
      <c r="W122" s="137">
        <v>678.6</v>
      </c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8"/>
    </row>
    <row r="123" spans="1:56" s="55" customFormat="1" ht="12" customHeight="1">
      <c r="A123" s="54"/>
      <c r="C123" s="125"/>
      <c r="D123" s="55" t="s">
        <v>160</v>
      </c>
      <c r="E123" s="55" t="s">
        <v>142</v>
      </c>
      <c r="G123" s="136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8"/>
    </row>
    <row r="124" spans="1:56" s="55" customFormat="1" ht="12" customHeight="1">
      <c r="A124" s="54"/>
      <c r="C124" s="125"/>
      <c r="D124" s="55" t="s">
        <v>161</v>
      </c>
      <c r="E124" s="55" t="s">
        <v>142</v>
      </c>
      <c r="G124" s="136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8"/>
    </row>
    <row r="125" spans="1:56" s="55" customFormat="1" ht="12" customHeight="1">
      <c r="A125" s="54"/>
      <c r="C125" s="125"/>
      <c r="D125" s="55" t="s">
        <v>162</v>
      </c>
      <c r="E125" s="55" t="s">
        <v>142</v>
      </c>
      <c r="G125" s="136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8"/>
    </row>
    <row r="126" spans="1:56" s="55" customFormat="1" ht="12" customHeight="1">
      <c r="A126" s="54"/>
      <c r="C126" s="125"/>
      <c r="D126" s="55" t="s">
        <v>163</v>
      </c>
      <c r="E126" s="55" t="s">
        <v>142</v>
      </c>
      <c r="G126" s="136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8"/>
    </row>
    <row r="127" spans="1:56" s="55" customFormat="1" ht="12" customHeight="1">
      <c r="A127" s="54"/>
      <c r="C127" s="125">
        <f>SUM(G127:BD127)</f>
        <v>0</v>
      </c>
      <c r="D127" s="55" t="s">
        <v>164</v>
      </c>
      <c r="E127" s="55" t="s">
        <v>142</v>
      </c>
      <c r="G127" s="136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8"/>
    </row>
    <row r="128" spans="1:56" s="55" customFormat="1" ht="13.5" customHeight="1">
      <c r="A128" s="54"/>
      <c r="C128" s="125">
        <f>SUM(G128:BD128)</f>
        <v>5</v>
      </c>
      <c r="D128" s="55" t="s">
        <v>165</v>
      </c>
      <c r="E128" s="128" t="s">
        <v>153</v>
      </c>
      <c r="G128" s="140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>
        <v>5</v>
      </c>
      <c r="X128" s="141"/>
      <c r="Y128" s="141"/>
      <c r="Z128" s="141"/>
      <c r="AA128" s="141"/>
      <c r="AB128" s="141"/>
      <c r="AC128" s="141"/>
      <c r="AD128" s="141"/>
      <c r="AE128" s="141"/>
      <c r="AF128" s="141"/>
      <c r="AG128" s="141"/>
      <c r="AH128" s="141"/>
      <c r="AI128" s="141"/>
      <c r="AJ128" s="141"/>
      <c r="AK128" s="141"/>
      <c r="AL128" s="141"/>
      <c r="AM128" s="141"/>
      <c r="AN128" s="141"/>
      <c r="AO128" s="141"/>
      <c r="AP128" s="141"/>
      <c r="AQ128" s="141"/>
      <c r="AR128" s="141"/>
      <c r="AS128" s="141"/>
      <c r="AT128" s="141"/>
      <c r="AU128" s="141"/>
      <c r="AV128" s="141"/>
      <c r="AW128" s="141"/>
      <c r="AX128" s="141"/>
      <c r="AY128" s="141"/>
      <c r="AZ128" s="141"/>
      <c r="BA128" s="141"/>
      <c r="BB128" s="141"/>
      <c r="BC128" s="141"/>
      <c r="BD128" s="142"/>
    </row>
    <row r="129" spans="1:56" s="55" customFormat="1" ht="12" customHeight="1">
      <c r="A129" s="54"/>
      <c r="C129" s="125"/>
      <c r="E129" s="128"/>
      <c r="K129" s="118"/>
    </row>
    <row r="130" spans="1:56" s="55" customFormat="1" ht="12" customHeight="1">
      <c r="A130" s="54"/>
      <c r="C130" s="125"/>
      <c r="E130" s="128"/>
    </row>
    <row r="131" spans="1:56" s="55" customFormat="1" ht="15" customHeight="1">
      <c r="A131" s="54"/>
      <c r="D131" s="41" t="s">
        <v>166</v>
      </c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</row>
    <row r="132" spans="1:56" ht="13.5" customHeight="1">
      <c r="D132" s="143"/>
      <c r="E132" s="144"/>
    </row>
    <row r="133" spans="1:56" ht="13.5" customHeight="1">
      <c r="D133" s="144" t="s">
        <v>167</v>
      </c>
      <c r="E133" s="144">
        <v>2204.6226218490001</v>
      </c>
    </row>
    <row r="134" spans="1:56" ht="13.5" customHeight="1">
      <c r="D134" s="144"/>
      <c r="E134" s="144"/>
    </row>
    <row r="135" spans="1:56" s="55" customFormat="1" ht="15" customHeight="1">
      <c r="A135" s="54"/>
      <c r="D135" s="41" t="s">
        <v>168</v>
      </c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1"/>
    </row>
    <row r="136" spans="1:56" ht="13.5" customHeight="1"/>
    <row r="137" spans="1:56" ht="13.5" customHeight="1">
      <c r="D137" s="2" t="s">
        <v>141</v>
      </c>
      <c r="F137" s="145">
        <f>Modèle!E542</f>
        <v>1600</v>
      </c>
    </row>
    <row r="138" spans="1:56" ht="13.5" customHeight="1">
      <c r="D138" s="2" t="s">
        <v>169</v>
      </c>
      <c r="F138" s="145">
        <f>Modèle!F390</f>
        <v>11</v>
      </c>
    </row>
    <row r="139" spans="1:56" ht="13.5" customHeight="1"/>
    <row r="140" spans="1:56" ht="13.5" customHeight="1"/>
    <row r="141" spans="1:56" ht="13.5" customHeight="1"/>
    <row r="142" spans="1:56" ht="13.5" customHeight="1"/>
    <row r="143" spans="1:56" ht="13.5" customHeight="1"/>
    <row r="144" spans="1:56" ht="13.5" customHeight="1"/>
    <row r="145" spans="9:9" ht="13.5" customHeight="1"/>
    <row r="146" spans="9:9" ht="13.5" customHeight="1"/>
    <row r="147" spans="9:9" ht="13.5" customHeight="1">
      <c r="I147" s="29"/>
    </row>
    <row r="148" spans="9:9" ht="13.5" customHeight="1">
      <c r="I148" s="29"/>
    </row>
    <row r="149" spans="9:9" ht="13.5" customHeight="1"/>
    <row r="150" spans="9:9" ht="13.5" customHeight="1"/>
    <row r="151" spans="9:9" ht="13.5" customHeight="1"/>
    <row r="152" spans="9:9" ht="13.5" customHeight="1"/>
    <row r="153" spans="9:9" ht="13.5" customHeight="1"/>
    <row r="154" spans="9:9" ht="13.5" customHeight="1"/>
    <row r="155" spans="9:9" ht="13.5" customHeight="1"/>
    <row r="156" spans="9:9" ht="13.5" customHeight="1"/>
    <row r="157" spans="9:9" ht="13.5" customHeight="1"/>
    <row r="158" spans="9:9" ht="13.5" customHeight="1"/>
    <row r="159" spans="9:9" ht="13.5" customHeight="1"/>
    <row r="160" spans="9:9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spans="4:4" ht="12.75" customHeight="1"/>
    <row r="402" spans="4:4" ht="12.75" customHeight="1"/>
    <row r="403" spans="4:4" ht="12.75" customHeight="1"/>
    <row r="404" spans="4:4" ht="12.75" customHeight="1"/>
    <row r="405" spans="4:4" ht="12.75" customHeight="1"/>
    <row r="406" spans="4:4" ht="12.75" customHeight="1"/>
    <row r="407" spans="4:4" ht="12.75" customHeight="1"/>
    <row r="408" spans="4:4" ht="12.75" customHeight="1"/>
    <row r="409" spans="4:4" ht="12.75" customHeight="1"/>
    <row r="410" spans="4:4" ht="12.75" customHeight="1"/>
    <row r="411" spans="4:4" ht="13.5" hidden="1" customHeight="1">
      <c r="D411" s="2" t="str">
        <f>Paramètres!L7</f>
        <v>Australie Occidentale</v>
      </c>
    </row>
  </sheetData>
  <dataValidations count="4">
    <dataValidation type="list" allowBlank="1" showErrorMessage="1" sqref="H27:L27 O27:R27 H33:R33 H39:M39 P39:R39" xr:uid="{00000000-0002-0000-0200-000000000000}">
      <formula1>"yes,no"</formula1>
      <formula2>0</formula2>
    </dataValidation>
    <dataValidation type="list" allowBlank="1" showErrorMessage="1" sqref="H12:R12" xr:uid="{00000000-0002-0000-0200-000001000000}">
      <formula1>"gross,net"</formula1>
      <formula2>0</formula2>
    </dataValidation>
    <dataValidation type="list" allowBlank="1" showErrorMessage="1" sqref="H15:R17" xr:uid="{00000000-0002-0000-0200-000002000000}">
      <formula1>"immediate,deferred"</formula1>
      <formula2>0</formula2>
    </dataValidation>
    <dataValidation type="list" allowBlank="1" showErrorMessage="1" sqref="F6" xr:uid="{00000000-0002-0000-0200-000003000000}">
      <formula1>$H$6:$R$6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3AAFE"/>
    <pageSetUpPr fitToPage="1"/>
  </sheetPr>
  <dimension ref="A1:IW1306"/>
  <sheetViews>
    <sheetView showGridLines="0" topLeftCell="A395" zoomScale="60" zoomScaleNormal="60" workbookViewId="0">
      <selection activeCell="D518" sqref="D518"/>
    </sheetView>
  </sheetViews>
  <sheetFormatPr baseColWidth="10" defaultColWidth="10.81640625" defaultRowHeight="14.5" zeroHeight="1"/>
  <cols>
    <col min="1" max="1" width="9.1796875" style="54" customWidth="1"/>
    <col min="2" max="2" width="5.6328125" style="55" customWidth="1"/>
    <col min="3" max="3" width="11" style="55" customWidth="1"/>
    <col min="4" max="4" width="46.6328125" style="55" customWidth="1"/>
    <col min="5" max="5" width="14.6328125" style="55" customWidth="1"/>
    <col min="6" max="6" width="13.81640625" style="55" customWidth="1"/>
    <col min="7" max="12" width="14.6328125" style="55" customWidth="1"/>
    <col min="13" max="13" width="21.1796875" style="55" customWidth="1"/>
    <col min="14" max="14" width="13.81640625" style="55" customWidth="1"/>
    <col min="15" max="15" width="21.81640625" style="55" customWidth="1"/>
    <col min="16" max="20" width="13.81640625" style="55" customWidth="1"/>
    <col min="21" max="21" width="16.453125" style="55" customWidth="1"/>
    <col min="22" max="22" width="13.81640625" style="55" customWidth="1"/>
    <col min="23" max="23" width="16.453125" style="55" customWidth="1"/>
    <col min="24" max="56" width="13.81640625" style="55" customWidth="1"/>
    <col min="57" max="257" width="10.81640625" style="55"/>
  </cols>
  <sheetData>
    <row r="1" spans="1:256" ht="12" customHeight="1"/>
    <row r="2" spans="1:256" s="33" customFormat="1" ht="13.5" customHeight="1">
      <c r="A2" s="146" t="s">
        <v>170</v>
      </c>
      <c r="C2" s="147" t="b">
        <f>AND(A:A)</f>
        <v>1</v>
      </c>
      <c r="D2" s="41"/>
      <c r="E2" s="41" t="s">
        <v>171</v>
      </c>
      <c r="F2" s="41"/>
      <c r="G2" s="126">
        <v>1</v>
      </c>
      <c r="H2" s="126">
        <f t="shared" ref="H2:AM2" si="0">G2+1</f>
        <v>2</v>
      </c>
      <c r="I2" s="126">
        <f t="shared" si="0"/>
        <v>3</v>
      </c>
      <c r="J2" s="126">
        <f t="shared" si="0"/>
        <v>4</v>
      </c>
      <c r="K2" s="126">
        <f t="shared" si="0"/>
        <v>5</v>
      </c>
      <c r="L2" s="126">
        <f t="shared" si="0"/>
        <v>6</v>
      </c>
      <c r="M2" s="126">
        <f t="shared" si="0"/>
        <v>7</v>
      </c>
      <c r="N2" s="126">
        <f t="shared" si="0"/>
        <v>8</v>
      </c>
      <c r="O2" s="126">
        <f t="shared" si="0"/>
        <v>9</v>
      </c>
      <c r="P2" s="126">
        <f t="shared" si="0"/>
        <v>10</v>
      </c>
      <c r="Q2" s="126">
        <f t="shared" si="0"/>
        <v>11</v>
      </c>
      <c r="R2" s="126">
        <f t="shared" si="0"/>
        <v>12</v>
      </c>
      <c r="S2" s="126">
        <f t="shared" si="0"/>
        <v>13</v>
      </c>
      <c r="T2" s="126">
        <f t="shared" si="0"/>
        <v>14</v>
      </c>
      <c r="U2" s="126">
        <f t="shared" si="0"/>
        <v>15</v>
      </c>
      <c r="V2" s="126">
        <f t="shared" si="0"/>
        <v>16</v>
      </c>
      <c r="W2" s="126">
        <f t="shared" si="0"/>
        <v>17</v>
      </c>
      <c r="X2" s="126">
        <f t="shared" si="0"/>
        <v>18</v>
      </c>
      <c r="Y2" s="126">
        <f t="shared" si="0"/>
        <v>19</v>
      </c>
      <c r="Z2" s="126">
        <f t="shared" si="0"/>
        <v>20</v>
      </c>
      <c r="AA2" s="126">
        <f t="shared" si="0"/>
        <v>21</v>
      </c>
      <c r="AB2" s="126">
        <f t="shared" si="0"/>
        <v>22</v>
      </c>
      <c r="AC2" s="126">
        <f t="shared" si="0"/>
        <v>23</v>
      </c>
      <c r="AD2" s="126">
        <f t="shared" si="0"/>
        <v>24</v>
      </c>
      <c r="AE2" s="126">
        <f t="shared" si="0"/>
        <v>25</v>
      </c>
      <c r="AF2" s="126">
        <f t="shared" si="0"/>
        <v>26</v>
      </c>
      <c r="AG2" s="126">
        <f t="shared" si="0"/>
        <v>27</v>
      </c>
      <c r="AH2" s="126">
        <f t="shared" si="0"/>
        <v>28</v>
      </c>
      <c r="AI2" s="126">
        <f t="shared" si="0"/>
        <v>29</v>
      </c>
      <c r="AJ2" s="126">
        <f t="shared" si="0"/>
        <v>30</v>
      </c>
      <c r="AK2" s="126">
        <f t="shared" si="0"/>
        <v>31</v>
      </c>
      <c r="AL2" s="126">
        <f t="shared" si="0"/>
        <v>32</v>
      </c>
      <c r="AM2" s="126">
        <f t="shared" si="0"/>
        <v>33</v>
      </c>
      <c r="AN2" s="126">
        <f t="shared" ref="AN2:BD2" si="1">AM2+1</f>
        <v>34</v>
      </c>
      <c r="AO2" s="126">
        <f t="shared" si="1"/>
        <v>35</v>
      </c>
      <c r="AP2" s="126">
        <f t="shared" si="1"/>
        <v>36</v>
      </c>
      <c r="AQ2" s="126">
        <f t="shared" si="1"/>
        <v>37</v>
      </c>
      <c r="AR2" s="126">
        <f t="shared" si="1"/>
        <v>38</v>
      </c>
      <c r="AS2" s="126">
        <f t="shared" si="1"/>
        <v>39</v>
      </c>
      <c r="AT2" s="126">
        <f t="shared" si="1"/>
        <v>40</v>
      </c>
      <c r="AU2" s="126">
        <f t="shared" si="1"/>
        <v>41</v>
      </c>
      <c r="AV2" s="126">
        <f t="shared" si="1"/>
        <v>42</v>
      </c>
      <c r="AW2" s="126">
        <f t="shared" si="1"/>
        <v>43</v>
      </c>
      <c r="AX2" s="126">
        <f t="shared" si="1"/>
        <v>44</v>
      </c>
      <c r="AY2" s="126">
        <f t="shared" si="1"/>
        <v>45</v>
      </c>
      <c r="AZ2" s="126">
        <f t="shared" si="1"/>
        <v>46</v>
      </c>
      <c r="BA2" s="126">
        <f t="shared" si="1"/>
        <v>47</v>
      </c>
      <c r="BB2" s="126">
        <f t="shared" si="1"/>
        <v>48</v>
      </c>
      <c r="BC2" s="126">
        <f t="shared" si="1"/>
        <v>49</v>
      </c>
      <c r="BD2" s="126">
        <f t="shared" si="1"/>
        <v>50</v>
      </c>
    </row>
    <row r="3" spans="1:256" ht="15" customHeight="1"/>
    <row r="4" spans="1:256" s="150" customFormat="1" ht="30" customHeight="1">
      <c r="A4" s="148" t="s">
        <v>172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49"/>
      <c r="AO4" s="149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  <c r="IN4" s="55"/>
      <c r="IO4" s="55"/>
      <c r="IP4" s="55"/>
      <c r="IQ4" s="55"/>
      <c r="IR4" s="55"/>
      <c r="IS4" s="55"/>
      <c r="IT4" s="55"/>
      <c r="IU4" s="55"/>
      <c r="IV4" s="55"/>
    </row>
    <row r="5" spans="1:256" ht="12" customHeight="1">
      <c r="C5" s="125"/>
      <c r="E5" s="128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27"/>
      <c r="AQ5" s="127"/>
      <c r="AR5" s="127"/>
      <c r="AS5" s="127"/>
      <c r="AT5" s="127"/>
      <c r="AU5" s="127"/>
      <c r="AV5" s="127"/>
      <c r="AW5" s="127"/>
      <c r="AX5" s="127"/>
      <c r="AY5" s="127"/>
      <c r="AZ5" s="127"/>
      <c r="BA5" s="127"/>
      <c r="BB5" s="127"/>
      <c r="BC5" s="127"/>
      <c r="BD5" s="127"/>
    </row>
    <row r="6" spans="1:256" ht="12" customHeight="1">
      <c r="C6" s="125"/>
      <c r="E6" s="128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</row>
    <row r="7" spans="1:256" ht="12" customHeight="1">
      <c r="C7" s="151"/>
      <c r="D7" s="41" t="s">
        <v>173</v>
      </c>
      <c r="E7" s="41" t="s">
        <v>171</v>
      </c>
      <c r="F7" s="41"/>
      <c r="G7" s="126">
        <f t="shared" ref="G7:AL7" si="2">G$2</f>
        <v>1</v>
      </c>
      <c r="H7" s="126">
        <f t="shared" si="2"/>
        <v>2</v>
      </c>
      <c r="I7" s="126">
        <f t="shared" si="2"/>
        <v>3</v>
      </c>
      <c r="J7" s="126">
        <f t="shared" si="2"/>
        <v>4</v>
      </c>
      <c r="K7" s="126">
        <f t="shared" si="2"/>
        <v>5</v>
      </c>
      <c r="L7" s="126">
        <f t="shared" si="2"/>
        <v>6</v>
      </c>
      <c r="M7" s="126">
        <f t="shared" si="2"/>
        <v>7</v>
      </c>
      <c r="N7" s="126">
        <f t="shared" si="2"/>
        <v>8</v>
      </c>
      <c r="O7" s="126">
        <f t="shared" si="2"/>
        <v>9</v>
      </c>
      <c r="P7" s="126">
        <f t="shared" si="2"/>
        <v>10</v>
      </c>
      <c r="Q7" s="126">
        <f t="shared" si="2"/>
        <v>11</v>
      </c>
      <c r="R7" s="126">
        <f t="shared" si="2"/>
        <v>12</v>
      </c>
      <c r="S7" s="126">
        <f t="shared" si="2"/>
        <v>13</v>
      </c>
      <c r="T7" s="126">
        <f t="shared" si="2"/>
        <v>14</v>
      </c>
      <c r="U7" s="126">
        <f t="shared" si="2"/>
        <v>15</v>
      </c>
      <c r="V7" s="126">
        <f t="shared" si="2"/>
        <v>16</v>
      </c>
      <c r="W7" s="126">
        <f t="shared" si="2"/>
        <v>17</v>
      </c>
      <c r="X7" s="126">
        <f t="shared" si="2"/>
        <v>18</v>
      </c>
      <c r="Y7" s="126">
        <f t="shared" si="2"/>
        <v>19</v>
      </c>
      <c r="Z7" s="126">
        <f t="shared" si="2"/>
        <v>20</v>
      </c>
      <c r="AA7" s="126">
        <f t="shared" si="2"/>
        <v>21</v>
      </c>
      <c r="AB7" s="126">
        <f t="shared" si="2"/>
        <v>22</v>
      </c>
      <c r="AC7" s="126">
        <f t="shared" si="2"/>
        <v>23</v>
      </c>
      <c r="AD7" s="126">
        <f t="shared" si="2"/>
        <v>24</v>
      </c>
      <c r="AE7" s="126">
        <f t="shared" si="2"/>
        <v>25</v>
      </c>
      <c r="AF7" s="126">
        <f t="shared" si="2"/>
        <v>26</v>
      </c>
      <c r="AG7" s="126">
        <f t="shared" si="2"/>
        <v>27</v>
      </c>
      <c r="AH7" s="126">
        <f t="shared" si="2"/>
        <v>28</v>
      </c>
      <c r="AI7" s="126">
        <f t="shared" si="2"/>
        <v>29</v>
      </c>
      <c r="AJ7" s="126">
        <f t="shared" si="2"/>
        <v>30</v>
      </c>
      <c r="AK7" s="126">
        <f t="shared" si="2"/>
        <v>31</v>
      </c>
      <c r="AL7" s="126">
        <f t="shared" si="2"/>
        <v>32</v>
      </c>
      <c r="AM7" s="126">
        <f t="shared" ref="AM7:BD7" si="3">AM$2</f>
        <v>33</v>
      </c>
      <c r="AN7" s="126">
        <f t="shared" si="3"/>
        <v>34</v>
      </c>
      <c r="AO7" s="126">
        <f t="shared" si="3"/>
        <v>35</v>
      </c>
      <c r="AP7" s="126">
        <f t="shared" si="3"/>
        <v>36</v>
      </c>
      <c r="AQ7" s="126">
        <f t="shared" si="3"/>
        <v>37</v>
      </c>
      <c r="AR7" s="126">
        <f t="shared" si="3"/>
        <v>38</v>
      </c>
      <c r="AS7" s="126">
        <f t="shared" si="3"/>
        <v>39</v>
      </c>
      <c r="AT7" s="126">
        <f t="shared" si="3"/>
        <v>40</v>
      </c>
      <c r="AU7" s="126">
        <f t="shared" si="3"/>
        <v>41</v>
      </c>
      <c r="AV7" s="126">
        <f t="shared" si="3"/>
        <v>42</v>
      </c>
      <c r="AW7" s="126">
        <f t="shared" si="3"/>
        <v>43</v>
      </c>
      <c r="AX7" s="126">
        <f t="shared" si="3"/>
        <v>44</v>
      </c>
      <c r="AY7" s="126">
        <f t="shared" si="3"/>
        <v>45</v>
      </c>
      <c r="AZ7" s="126">
        <f t="shared" si="3"/>
        <v>46</v>
      </c>
      <c r="BA7" s="126">
        <f t="shared" si="3"/>
        <v>47</v>
      </c>
      <c r="BB7" s="126">
        <f t="shared" si="3"/>
        <v>48</v>
      </c>
      <c r="BC7" s="126">
        <f t="shared" si="3"/>
        <v>49</v>
      </c>
      <c r="BD7" s="126">
        <f t="shared" si="3"/>
        <v>50</v>
      </c>
    </row>
    <row r="8" spans="1:256" ht="12" customHeight="1">
      <c r="B8" s="152"/>
      <c r="C8" s="125">
        <f t="shared" ref="C8:C15" si="4">SUM(G8:BD8)</f>
        <v>4284000</v>
      </c>
      <c r="D8" s="153" t="s">
        <v>151</v>
      </c>
      <c r="E8" s="128" t="s">
        <v>11</v>
      </c>
      <c r="F8" s="154"/>
      <c r="G8" s="127">
        <f>Paramètres!G115</f>
        <v>245000</v>
      </c>
      <c r="H8" s="127">
        <f>Paramètres!H115</f>
        <v>359000</v>
      </c>
      <c r="I8" s="127">
        <f>Paramètres!I115</f>
        <v>360000</v>
      </c>
      <c r="J8" s="127">
        <f>Paramètres!J115</f>
        <v>400000</v>
      </c>
      <c r="K8" s="127">
        <f>Paramètres!K115</f>
        <v>400000</v>
      </c>
      <c r="L8" s="127">
        <f>Paramètres!L115</f>
        <v>400000</v>
      </c>
      <c r="M8" s="127">
        <f>Paramètres!M115</f>
        <v>400000</v>
      </c>
      <c r="N8" s="127">
        <f>Paramètres!N115</f>
        <v>320000</v>
      </c>
      <c r="O8" s="127">
        <f>Paramètres!O115</f>
        <v>173000</v>
      </c>
      <c r="P8" s="127">
        <f>Paramètres!P115</f>
        <v>173000</v>
      </c>
      <c r="Q8" s="127">
        <f>Paramètres!Q115</f>
        <v>173000</v>
      </c>
      <c r="R8" s="127">
        <f>Paramètres!R115</f>
        <v>173000</v>
      </c>
      <c r="S8" s="127">
        <f>Paramètres!S115</f>
        <v>173000</v>
      </c>
      <c r="T8" s="127">
        <f>Paramètres!T115</f>
        <v>173000</v>
      </c>
      <c r="U8" s="127">
        <f>Paramètres!U115</f>
        <v>173000</v>
      </c>
      <c r="V8" s="127">
        <f>Paramètres!V115</f>
        <v>133000</v>
      </c>
      <c r="W8" s="127">
        <f>Paramètres!W115</f>
        <v>56000</v>
      </c>
      <c r="X8" s="127">
        <f>Paramètres!X115</f>
        <v>0</v>
      </c>
      <c r="Y8" s="127">
        <f>Paramètres!Y115</f>
        <v>0</v>
      </c>
      <c r="Z8" s="127">
        <f>Paramètres!Z115</f>
        <v>0</v>
      </c>
      <c r="AA8" s="127">
        <f>Paramètres!AA115</f>
        <v>0</v>
      </c>
      <c r="AB8" s="127">
        <f>Paramètres!AB115</f>
        <v>0</v>
      </c>
      <c r="AC8" s="127">
        <f>Paramètres!AC115</f>
        <v>0</v>
      </c>
      <c r="AD8" s="127">
        <f>Paramètres!AD115</f>
        <v>0</v>
      </c>
      <c r="AE8" s="127">
        <f>Paramètres!AE115</f>
        <v>0</v>
      </c>
      <c r="AF8" s="127">
        <f>Paramètres!AF115</f>
        <v>0</v>
      </c>
      <c r="AG8" s="127">
        <f>Paramètres!AG115</f>
        <v>0</v>
      </c>
      <c r="AH8" s="127">
        <f>Paramètres!AH115</f>
        <v>0</v>
      </c>
      <c r="AI8" s="127">
        <f>Paramètres!AI115</f>
        <v>0</v>
      </c>
      <c r="AJ8" s="127">
        <f>Paramètres!AJ115</f>
        <v>0</v>
      </c>
      <c r="AK8" s="127">
        <f>Paramètres!AK115</f>
        <v>0</v>
      </c>
      <c r="AL8" s="127">
        <f>Paramètres!AL115</f>
        <v>0</v>
      </c>
      <c r="AM8" s="127">
        <f>Paramètres!AM115</f>
        <v>0</v>
      </c>
      <c r="AN8" s="127">
        <f>Paramètres!AN115</f>
        <v>0</v>
      </c>
      <c r="AO8" s="127">
        <f>Paramètres!AO115</f>
        <v>0</v>
      </c>
      <c r="AP8" s="127">
        <f>Paramètres!AP115</f>
        <v>0</v>
      </c>
      <c r="AQ8" s="127">
        <f>Paramètres!AQ115</f>
        <v>0</v>
      </c>
      <c r="AR8" s="127">
        <f>Paramètres!AR115</f>
        <v>0</v>
      </c>
      <c r="AS8" s="127">
        <f>Paramètres!AS115</f>
        <v>0</v>
      </c>
      <c r="AT8" s="127">
        <f>Paramètres!AT115</f>
        <v>0</v>
      </c>
      <c r="AU8" s="127">
        <f>Paramètres!AU115</f>
        <v>0</v>
      </c>
      <c r="AV8" s="127">
        <f>Paramètres!AV115</f>
        <v>0</v>
      </c>
      <c r="AW8" s="127">
        <f>Paramètres!AW115</f>
        <v>0</v>
      </c>
      <c r="AX8" s="127">
        <f>Paramètres!AX115</f>
        <v>0</v>
      </c>
      <c r="AY8" s="127">
        <f>Paramètres!AY115</f>
        <v>0</v>
      </c>
      <c r="AZ8" s="127">
        <f>Paramètres!AZ115</f>
        <v>0</v>
      </c>
      <c r="BA8" s="127">
        <f>Paramètres!BA115</f>
        <v>0</v>
      </c>
      <c r="BB8" s="127">
        <f>Paramètres!BB115</f>
        <v>0</v>
      </c>
      <c r="BC8" s="127">
        <f>Paramètres!BC115</f>
        <v>0</v>
      </c>
      <c r="BD8" s="127">
        <f>Paramètres!BD115</f>
        <v>0</v>
      </c>
    </row>
    <row r="9" spans="1:256" ht="12" customHeight="1">
      <c r="B9" s="152"/>
      <c r="C9" s="125">
        <f t="shared" si="4"/>
        <v>6854.4000000000015</v>
      </c>
      <c r="D9" s="153" t="s">
        <v>174</v>
      </c>
      <c r="E9" s="128" t="s">
        <v>153</v>
      </c>
      <c r="F9" s="154"/>
      <c r="G9" s="127">
        <f>G8*Paramètres!G108/1000000</f>
        <v>392</v>
      </c>
      <c r="H9" s="127">
        <f>H8*Paramètres!H108/1000000</f>
        <v>574.4</v>
      </c>
      <c r="I9" s="127">
        <f>I8*Paramètres!I108/1000000</f>
        <v>576</v>
      </c>
      <c r="J9" s="127">
        <f>J8*Paramètres!J108/1000000</f>
        <v>640</v>
      </c>
      <c r="K9" s="127">
        <f>K8*Paramètres!K108/1000000</f>
        <v>640</v>
      </c>
      <c r="L9" s="127">
        <f>L8*Paramètres!L108/1000000</f>
        <v>640</v>
      </c>
      <c r="M9" s="127">
        <f>M8*Paramètres!M108/1000000</f>
        <v>640</v>
      </c>
      <c r="N9" s="127">
        <f>N8*Paramètres!N108/1000000</f>
        <v>512</v>
      </c>
      <c r="O9" s="127">
        <f>O8*Paramètres!O108/1000000</f>
        <v>276.8</v>
      </c>
      <c r="P9" s="127">
        <f>P8*Paramètres!P108/1000000</f>
        <v>276.8</v>
      </c>
      <c r="Q9" s="127">
        <f>Q8*Paramètres!Q108/1000000</f>
        <v>276.8</v>
      </c>
      <c r="R9" s="127">
        <f>R8*Paramètres!R108/1000000</f>
        <v>276.8</v>
      </c>
      <c r="S9" s="127">
        <f>S8*Paramètres!S108/1000000</f>
        <v>276.8</v>
      </c>
      <c r="T9" s="127">
        <f>T8*Paramètres!T108/1000000</f>
        <v>276.8</v>
      </c>
      <c r="U9" s="127">
        <f>U8*Paramètres!U108/1000000</f>
        <v>276.8</v>
      </c>
      <c r="V9" s="127">
        <f>V8*Paramètres!V108/1000000</f>
        <v>212.8</v>
      </c>
      <c r="W9" s="127">
        <f>W8*Paramètres!W108/1000000</f>
        <v>89.6</v>
      </c>
      <c r="X9" s="127">
        <f>X8*Paramètres!X108/1000000</f>
        <v>0</v>
      </c>
      <c r="Y9" s="127">
        <f>Y8*Paramètres!Y108/1000000</f>
        <v>0</v>
      </c>
      <c r="Z9" s="127">
        <f>Z8*Paramètres!Z108/1000000</f>
        <v>0</v>
      </c>
      <c r="AA9" s="127">
        <f>AA8*Paramètres!AA108/1000000</f>
        <v>0</v>
      </c>
      <c r="AB9" s="127">
        <f>AB8*Paramètres!AB108/1000000</f>
        <v>0</v>
      </c>
      <c r="AC9" s="127">
        <f>AC8*Paramètres!AC108/1000000</f>
        <v>0</v>
      </c>
      <c r="AD9" s="127">
        <f>AD8*Paramètres!AD108/1000000</f>
        <v>0</v>
      </c>
      <c r="AE9" s="127">
        <f>AE8*Paramètres!AE108/1000000</f>
        <v>0</v>
      </c>
      <c r="AF9" s="127">
        <f>AF8*Paramètres!AF108/1000000</f>
        <v>0</v>
      </c>
      <c r="AG9" s="127">
        <f>AG8*Paramètres!AG108/1000000</f>
        <v>0</v>
      </c>
      <c r="AH9" s="127">
        <f>AH8*Paramètres!AH108/1000000</f>
        <v>0</v>
      </c>
      <c r="AI9" s="127">
        <f>AI8*Paramètres!AI108/1000000</f>
        <v>0</v>
      </c>
      <c r="AJ9" s="127">
        <f>AJ8*Paramètres!AJ108/1000000</f>
        <v>0</v>
      </c>
      <c r="AK9" s="127">
        <f>AK8*Paramètres!AK108/1000000</f>
        <v>0</v>
      </c>
      <c r="AL9" s="127">
        <f>AL8*Paramètres!AL108/1000000</f>
        <v>0</v>
      </c>
      <c r="AM9" s="127">
        <f>AM8*Paramètres!AM108/1000000</f>
        <v>0</v>
      </c>
      <c r="AN9" s="127">
        <f>AN8*Paramètres!AN108/1000000</f>
        <v>0</v>
      </c>
      <c r="AO9" s="127">
        <f>AO8*Paramètres!AO108/1000000</f>
        <v>0</v>
      </c>
      <c r="AP9" s="127">
        <f>AP8*Paramètres!AP108/1000000</f>
        <v>0</v>
      </c>
      <c r="AQ9" s="127">
        <f>AQ8*Paramètres!AQ108/1000000</f>
        <v>0</v>
      </c>
      <c r="AR9" s="127">
        <f>AR8*Paramètres!AR108/1000000</f>
        <v>0</v>
      </c>
      <c r="AS9" s="127">
        <f>AS8*Paramètres!AS108/1000000</f>
        <v>0</v>
      </c>
      <c r="AT9" s="127">
        <f>AT8*Paramètres!AT108/1000000</f>
        <v>0</v>
      </c>
      <c r="AU9" s="127">
        <f>AU8*Paramètres!AU108/1000000</f>
        <v>0</v>
      </c>
      <c r="AV9" s="127">
        <f>AV8*Paramètres!AV108/1000000</f>
        <v>0</v>
      </c>
      <c r="AW9" s="127">
        <f>AW8*Paramètres!AW108/1000000</f>
        <v>0</v>
      </c>
      <c r="AX9" s="127">
        <f>AX8*Paramètres!AX108/1000000</f>
        <v>0</v>
      </c>
      <c r="AY9" s="127">
        <f>AY8*Paramètres!AY108/1000000</f>
        <v>0</v>
      </c>
      <c r="AZ9" s="127">
        <f>AZ8*Paramètres!AZ108/1000000</f>
        <v>0</v>
      </c>
      <c r="BA9" s="127">
        <f>BA8*Paramètres!BA108/1000000</f>
        <v>0</v>
      </c>
      <c r="BB9" s="127">
        <f>BB8*Paramètres!BB108/1000000</f>
        <v>0</v>
      </c>
      <c r="BC9" s="127">
        <f>BC8*Paramètres!BC108/1000000</f>
        <v>0</v>
      </c>
      <c r="BD9" s="127">
        <f>BD8*Paramètres!BD108/1000000</f>
        <v>0</v>
      </c>
    </row>
    <row r="10" spans="1:256" ht="12" customHeight="1">
      <c r="B10" s="152"/>
      <c r="C10" s="125">
        <f t="shared" si="4"/>
        <v>0</v>
      </c>
      <c r="D10" s="155" t="s">
        <v>175</v>
      </c>
      <c r="E10" s="128" t="s">
        <v>153</v>
      </c>
      <c r="F10" s="154"/>
      <c r="G10" s="127">
        <f>Paramètres!G116+Paramètres!G117</f>
        <v>0</v>
      </c>
      <c r="H10" s="127">
        <f>Paramètres!H116+Paramètres!H117</f>
        <v>0</v>
      </c>
      <c r="I10" s="127">
        <f>Paramètres!I116+Paramètres!I117</f>
        <v>0</v>
      </c>
      <c r="J10" s="127">
        <f>Paramètres!J116+Paramètres!J117</f>
        <v>0</v>
      </c>
      <c r="K10" s="127">
        <f>Paramètres!K116+Paramètres!K117</f>
        <v>0</v>
      </c>
      <c r="L10" s="127">
        <f>Paramètres!L116+Paramètres!L117</f>
        <v>0</v>
      </c>
      <c r="M10" s="127">
        <f>Paramètres!M116+Paramètres!M117</f>
        <v>0</v>
      </c>
      <c r="N10" s="127">
        <f>Paramètres!N116+Paramètres!N117</f>
        <v>0</v>
      </c>
      <c r="O10" s="127">
        <f>Paramètres!O116+Paramètres!O117</f>
        <v>0</v>
      </c>
      <c r="P10" s="127">
        <f>Paramètres!P116+Paramètres!P117</f>
        <v>0</v>
      </c>
      <c r="Q10" s="127">
        <f>Paramètres!Q116+Paramètres!Q117</f>
        <v>0</v>
      </c>
      <c r="R10" s="127">
        <f>Paramètres!R116+Paramètres!R117</f>
        <v>0</v>
      </c>
      <c r="S10" s="127">
        <f>Paramètres!S116+Paramètres!S117</f>
        <v>0</v>
      </c>
      <c r="T10" s="127">
        <f>Paramètres!T116+Paramètres!T117</f>
        <v>0</v>
      </c>
      <c r="U10" s="127">
        <f>Paramètres!U116+Paramètres!U117</f>
        <v>0</v>
      </c>
      <c r="V10" s="127">
        <f>Paramètres!V116+Paramètres!V117</f>
        <v>0</v>
      </c>
      <c r="W10" s="127">
        <f>Paramètres!W116+Paramètres!W117</f>
        <v>0</v>
      </c>
      <c r="X10" s="127">
        <f>Paramètres!X116+Paramètres!X117</f>
        <v>0</v>
      </c>
      <c r="Y10" s="127">
        <f>Paramètres!Y116+Paramètres!Y117</f>
        <v>0</v>
      </c>
      <c r="Z10" s="127">
        <f>Paramètres!Z116+Paramètres!Z117</f>
        <v>0</v>
      </c>
      <c r="AA10" s="127">
        <f>Paramètres!AA116+Paramètres!AA117</f>
        <v>0</v>
      </c>
      <c r="AB10" s="127">
        <f>Paramètres!AB116+Paramètres!AB117</f>
        <v>0</v>
      </c>
      <c r="AC10" s="127">
        <f>Paramètres!AC116+Paramètres!AC117</f>
        <v>0</v>
      </c>
      <c r="AD10" s="127">
        <f>Paramètres!AD116+Paramètres!AD117</f>
        <v>0</v>
      </c>
      <c r="AE10" s="127">
        <f>Paramètres!AE116+Paramètres!AE117</f>
        <v>0</v>
      </c>
      <c r="AF10" s="127">
        <f>Paramètres!AF116+Paramètres!AF117</f>
        <v>0</v>
      </c>
      <c r="AG10" s="127">
        <f>Paramètres!AG116+Paramètres!AG117</f>
        <v>0</v>
      </c>
      <c r="AH10" s="127">
        <f>Paramètres!AH116+Paramètres!AH117</f>
        <v>0</v>
      </c>
      <c r="AI10" s="127">
        <f>Paramètres!AI116+Paramètres!AI117</f>
        <v>0</v>
      </c>
      <c r="AJ10" s="127">
        <f>Paramètres!AJ116+Paramètres!AJ117</f>
        <v>0</v>
      </c>
      <c r="AK10" s="127">
        <f>Paramètres!AK116+Paramètres!AK117</f>
        <v>0</v>
      </c>
      <c r="AL10" s="127">
        <f>Paramètres!AL116+Paramètres!AL117</f>
        <v>0</v>
      </c>
      <c r="AM10" s="127">
        <f>Paramètres!AM116+Paramètres!AM117</f>
        <v>0</v>
      </c>
      <c r="AN10" s="127">
        <f>Paramètres!AN116+Paramètres!AN117</f>
        <v>0</v>
      </c>
      <c r="AO10" s="127">
        <f>Paramètres!AO116+Paramètres!AO117</f>
        <v>0</v>
      </c>
      <c r="AP10" s="127">
        <f>Paramètres!AP116+Paramètres!AP117</f>
        <v>0</v>
      </c>
      <c r="AQ10" s="127">
        <f>Paramètres!AQ116+Paramètres!AQ117</f>
        <v>0</v>
      </c>
      <c r="AR10" s="127">
        <f>Paramètres!AR116+Paramètres!AR117</f>
        <v>0</v>
      </c>
      <c r="AS10" s="127">
        <f>Paramètres!AS116+Paramètres!AS117</f>
        <v>0</v>
      </c>
      <c r="AT10" s="127">
        <f>Paramètres!AT116+Paramètres!AT117</f>
        <v>0</v>
      </c>
      <c r="AU10" s="127">
        <f>Paramètres!AU116+Paramètres!AU117</f>
        <v>0</v>
      </c>
      <c r="AV10" s="127">
        <f>Paramètres!AV116+Paramètres!AV117</f>
        <v>0</v>
      </c>
      <c r="AW10" s="127">
        <f>Paramètres!AW116+Paramètres!AW117</f>
        <v>0</v>
      </c>
      <c r="AX10" s="127">
        <f>Paramètres!AX116+Paramètres!AX117</f>
        <v>0</v>
      </c>
      <c r="AY10" s="127">
        <f>Paramètres!AY116+Paramètres!AY117</f>
        <v>0</v>
      </c>
      <c r="AZ10" s="127">
        <f>Paramètres!AZ116+Paramètres!AZ117</f>
        <v>0</v>
      </c>
      <c r="BA10" s="127">
        <f>Paramètres!BA116+Paramètres!BA117</f>
        <v>0</v>
      </c>
      <c r="BB10" s="127">
        <f>Paramètres!BB116+Paramètres!BB117</f>
        <v>0</v>
      </c>
      <c r="BC10" s="127">
        <f>Paramètres!BC116+Paramètres!BC117</f>
        <v>0</v>
      </c>
      <c r="BD10" s="127">
        <f>Paramètres!BD116+Paramètres!BD117</f>
        <v>0</v>
      </c>
    </row>
    <row r="11" spans="1:256" ht="12" customHeight="1">
      <c r="A11" s="156" t="b">
        <f>ROUND(C11-(C9-C10),5)=0</f>
        <v>1</v>
      </c>
      <c r="B11" s="152"/>
      <c r="C11" s="125">
        <f t="shared" si="4"/>
        <v>6854.4000000000015</v>
      </c>
      <c r="D11" s="153" t="s">
        <v>176</v>
      </c>
      <c r="E11" s="128" t="s">
        <v>153</v>
      </c>
      <c r="F11" s="154"/>
      <c r="G11" s="127">
        <f t="shared" ref="G11:AL11" si="5">G9-G10</f>
        <v>392</v>
      </c>
      <c r="H11" s="127">
        <f t="shared" si="5"/>
        <v>574.4</v>
      </c>
      <c r="I11" s="127">
        <f t="shared" si="5"/>
        <v>576</v>
      </c>
      <c r="J11" s="127">
        <f t="shared" si="5"/>
        <v>640</v>
      </c>
      <c r="K11" s="127">
        <f t="shared" si="5"/>
        <v>640</v>
      </c>
      <c r="L11" s="127">
        <f t="shared" si="5"/>
        <v>640</v>
      </c>
      <c r="M11" s="127">
        <f t="shared" si="5"/>
        <v>640</v>
      </c>
      <c r="N11" s="127">
        <f t="shared" si="5"/>
        <v>512</v>
      </c>
      <c r="O11" s="127">
        <f t="shared" si="5"/>
        <v>276.8</v>
      </c>
      <c r="P11" s="127">
        <f t="shared" si="5"/>
        <v>276.8</v>
      </c>
      <c r="Q11" s="127">
        <f t="shared" si="5"/>
        <v>276.8</v>
      </c>
      <c r="R11" s="127">
        <f t="shared" si="5"/>
        <v>276.8</v>
      </c>
      <c r="S11" s="127">
        <f t="shared" si="5"/>
        <v>276.8</v>
      </c>
      <c r="T11" s="127">
        <f t="shared" si="5"/>
        <v>276.8</v>
      </c>
      <c r="U11" s="127">
        <f t="shared" si="5"/>
        <v>276.8</v>
      </c>
      <c r="V11" s="127">
        <f t="shared" si="5"/>
        <v>212.8</v>
      </c>
      <c r="W11" s="127">
        <f t="shared" si="5"/>
        <v>89.6</v>
      </c>
      <c r="X11" s="127">
        <f t="shared" si="5"/>
        <v>0</v>
      </c>
      <c r="Y11" s="127">
        <f t="shared" si="5"/>
        <v>0</v>
      </c>
      <c r="Z11" s="127">
        <f t="shared" si="5"/>
        <v>0</v>
      </c>
      <c r="AA11" s="127">
        <f t="shared" si="5"/>
        <v>0</v>
      </c>
      <c r="AB11" s="127">
        <f t="shared" si="5"/>
        <v>0</v>
      </c>
      <c r="AC11" s="127">
        <f t="shared" si="5"/>
        <v>0</v>
      </c>
      <c r="AD11" s="127">
        <f t="shared" si="5"/>
        <v>0</v>
      </c>
      <c r="AE11" s="127">
        <f t="shared" si="5"/>
        <v>0</v>
      </c>
      <c r="AF11" s="127">
        <f t="shared" si="5"/>
        <v>0</v>
      </c>
      <c r="AG11" s="127">
        <f t="shared" si="5"/>
        <v>0</v>
      </c>
      <c r="AH11" s="127">
        <f t="shared" si="5"/>
        <v>0</v>
      </c>
      <c r="AI11" s="127">
        <f t="shared" si="5"/>
        <v>0</v>
      </c>
      <c r="AJ11" s="127">
        <f t="shared" si="5"/>
        <v>0</v>
      </c>
      <c r="AK11" s="127">
        <f t="shared" si="5"/>
        <v>0</v>
      </c>
      <c r="AL11" s="127">
        <f t="shared" si="5"/>
        <v>0</v>
      </c>
      <c r="AM11" s="127">
        <f t="shared" ref="AM11:BR11" si="6">AM9-AM10</f>
        <v>0</v>
      </c>
      <c r="AN11" s="127">
        <f t="shared" si="6"/>
        <v>0</v>
      </c>
      <c r="AO11" s="127">
        <f t="shared" si="6"/>
        <v>0</v>
      </c>
      <c r="AP11" s="127">
        <f t="shared" si="6"/>
        <v>0</v>
      </c>
      <c r="AQ11" s="127">
        <f t="shared" si="6"/>
        <v>0</v>
      </c>
      <c r="AR11" s="127">
        <f t="shared" si="6"/>
        <v>0</v>
      </c>
      <c r="AS11" s="127">
        <f t="shared" si="6"/>
        <v>0</v>
      </c>
      <c r="AT11" s="127">
        <f t="shared" si="6"/>
        <v>0</v>
      </c>
      <c r="AU11" s="127">
        <f t="shared" si="6"/>
        <v>0</v>
      </c>
      <c r="AV11" s="127">
        <f t="shared" si="6"/>
        <v>0</v>
      </c>
      <c r="AW11" s="127">
        <f t="shared" si="6"/>
        <v>0</v>
      </c>
      <c r="AX11" s="127">
        <f t="shared" si="6"/>
        <v>0</v>
      </c>
      <c r="AY11" s="127">
        <f t="shared" si="6"/>
        <v>0</v>
      </c>
      <c r="AZ11" s="127">
        <f t="shared" si="6"/>
        <v>0</v>
      </c>
      <c r="BA11" s="127">
        <f t="shared" si="6"/>
        <v>0</v>
      </c>
      <c r="BB11" s="127">
        <f t="shared" si="6"/>
        <v>0</v>
      </c>
      <c r="BC11" s="127">
        <f t="shared" si="6"/>
        <v>0</v>
      </c>
      <c r="BD11" s="127">
        <f t="shared" si="6"/>
        <v>0</v>
      </c>
    </row>
    <row r="12" spans="1:256" ht="12" customHeight="1">
      <c r="B12" s="152"/>
      <c r="C12" s="125">
        <f t="shared" si="4"/>
        <v>0</v>
      </c>
      <c r="D12" s="55" t="s">
        <v>155</v>
      </c>
      <c r="E12" s="128" t="s">
        <v>153</v>
      </c>
      <c r="F12" s="154"/>
      <c r="G12" s="127">
        <f>Paramètres!G118</f>
        <v>0</v>
      </c>
      <c r="H12" s="127">
        <f>Paramètres!H118</f>
        <v>0</v>
      </c>
      <c r="I12" s="127">
        <f>Paramètres!I118</f>
        <v>0</v>
      </c>
      <c r="J12" s="127">
        <f>Paramètres!J118</f>
        <v>0</v>
      </c>
      <c r="K12" s="127">
        <f>Paramètres!K118</f>
        <v>0</v>
      </c>
      <c r="L12" s="127">
        <f>Paramètres!L118</f>
        <v>0</v>
      </c>
      <c r="M12" s="127">
        <f>Paramètres!M118</f>
        <v>0</v>
      </c>
      <c r="N12" s="127">
        <f>Paramètres!N118</f>
        <v>0</v>
      </c>
      <c r="O12" s="127">
        <f>Paramètres!O118</f>
        <v>0</v>
      </c>
      <c r="P12" s="127">
        <f>Paramètres!P118</f>
        <v>0</v>
      </c>
      <c r="Q12" s="127">
        <f>Paramètres!Q118</f>
        <v>0</v>
      </c>
      <c r="R12" s="127">
        <f>Paramètres!R118</f>
        <v>0</v>
      </c>
      <c r="S12" s="127">
        <f>Paramètres!S118</f>
        <v>0</v>
      </c>
      <c r="T12" s="127">
        <f>Paramètres!T118</f>
        <v>0</v>
      </c>
      <c r="U12" s="127">
        <f>Paramètres!U118</f>
        <v>0</v>
      </c>
      <c r="V12" s="127">
        <f>Paramètres!V118</f>
        <v>0</v>
      </c>
      <c r="W12" s="127">
        <f>Paramètres!W118</f>
        <v>0</v>
      </c>
      <c r="X12" s="127">
        <f>Paramètres!X118</f>
        <v>0</v>
      </c>
      <c r="Y12" s="127">
        <f>Paramètres!Y118</f>
        <v>0</v>
      </c>
      <c r="Z12" s="127">
        <f>Paramètres!Z118</f>
        <v>0</v>
      </c>
      <c r="AA12" s="127">
        <f>Paramètres!AA118</f>
        <v>0</v>
      </c>
      <c r="AB12" s="127">
        <f>Paramètres!AB118</f>
        <v>0</v>
      </c>
      <c r="AC12" s="127">
        <f>Paramètres!AC118</f>
        <v>0</v>
      </c>
      <c r="AD12" s="127">
        <f>Paramètres!AD118</f>
        <v>0</v>
      </c>
      <c r="AE12" s="127">
        <f>Paramètres!AE118</f>
        <v>0</v>
      </c>
      <c r="AF12" s="127">
        <f>Paramètres!AF118</f>
        <v>0</v>
      </c>
      <c r="AG12" s="127">
        <f>Paramètres!AG118</f>
        <v>0</v>
      </c>
      <c r="AH12" s="127">
        <f>Paramètres!AH118</f>
        <v>0</v>
      </c>
      <c r="AI12" s="127">
        <f>Paramètres!AI118</f>
        <v>0</v>
      </c>
      <c r="AJ12" s="127">
        <f>Paramètres!AJ118</f>
        <v>0</v>
      </c>
      <c r="AK12" s="127">
        <f>Paramètres!AK118</f>
        <v>0</v>
      </c>
      <c r="AL12" s="127">
        <f>Paramètres!AL118</f>
        <v>0</v>
      </c>
      <c r="AM12" s="127">
        <f>Paramètres!AM118</f>
        <v>0</v>
      </c>
      <c r="AN12" s="127">
        <f>Paramètres!AN118</f>
        <v>0</v>
      </c>
      <c r="AO12" s="127">
        <f>Paramètres!AO118</f>
        <v>0</v>
      </c>
      <c r="AP12" s="127">
        <f>Paramètres!AP118</f>
        <v>0</v>
      </c>
      <c r="AQ12" s="127">
        <f>Paramètres!AQ118</f>
        <v>0</v>
      </c>
      <c r="AR12" s="127">
        <f>Paramètres!AR118</f>
        <v>0</v>
      </c>
      <c r="AS12" s="127">
        <f>Paramètres!AS118</f>
        <v>0</v>
      </c>
      <c r="AT12" s="127">
        <f>Paramètres!AT118</f>
        <v>0</v>
      </c>
      <c r="AU12" s="127">
        <f>Paramètres!AU118</f>
        <v>0</v>
      </c>
      <c r="AV12" s="127">
        <f>Paramètres!AV118</f>
        <v>0</v>
      </c>
      <c r="AW12" s="127">
        <f>Paramètres!AW118</f>
        <v>0</v>
      </c>
      <c r="AX12" s="127">
        <f>Paramètres!AX118</f>
        <v>0</v>
      </c>
      <c r="AY12" s="127">
        <f>Paramètres!AY118</f>
        <v>0</v>
      </c>
      <c r="AZ12" s="127">
        <f>Paramètres!AZ118</f>
        <v>0</v>
      </c>
      <c r="BA12" s="127">
        <f>Paramètres!BA118</f>
        <v>0</v>
      </c>
      <c r="BB12" s="127">
        <f>Paramètres!BB118</f>
        <v>0</v>
      </c>
      <c r="BC12" s="127">
        <f>Paramètres!BC118</f>
        <v>0</v>
      </c>
      <c r="BD12" s="127">
        <f>Paramètres!BD118</f>
        <v>0</v>
      </c>
    </row>
    <row r="13" spans="1:256" ht="12" customHeight="1">
      <c r="B13" s="152"/>
      <c r="C13" s="125">
        <f t="shared" si="4"/>
        <v>0</v>
      </c>
      <c r="D13" s="55" t="s">
        <v>156</v>
      </c>
      <c r="E13" s="128" t="s">
        <v>153</v>
      </c>
      <c r="F13" s="154"/>
      <c r="G13" s="127">
        <f>Paramètres!G119</f>
        <v>0</v>
      </c>
      <c r="H13" s="127">
        <f>Paramètres!H119</f>
        <v>0</v>
      </c>
      <c r="I13" s="127">
        <f>Paramètres!I119</f>
        <v>0</v>
      </c>
      <c r="J13" s="127">
        <f>Paramètres!J119</f>
        <v>0</v>
      </c>
      <c r="K13" s="127">
        <f>Paramètres!K119</f>
        <v>0</v>
      </c>
      <c r="L13" s="127">
        <f>Paramètres!L119</f>
        <v>0</v>
      </c>
      <c r="M13" s="127">
        <f>Paramètres!M119</f>
        <v>0</v>
      </c>
      <c r="N13" s="127">
        <f>Paramètres!N119</f>
        <v>0</v>
      </c>
      <c r="O13" s="127">
        <f>Paramètres!O119</f>
        <v>0</v>
      </c>
      <c r="P13" s="127">
        <f>Paramètres!P119</f>
        <v>0</v>
      </c>
      <c r="Q13" s="127">
        <f>Paramètres!Q119</f>
        <v>0</v>
      </c>
      <c r="R13" s="127">
        <f>Paramètres!R119</f>
        <v>0</v>
      </c>
      <c r="S13" s="127">
        <f>Paramètres!S119</f>
        <v>0</v>
      </c>
      <c r="T13" s="127">
        <f>Paramètres!T119</f>
        <v>0</v>
      </c>
      <c r="U13" s="127">
        <f>Paramètres!U119</f>
        <v>0</v>
      </c>
      <c r="V13" s="127">
        <f>Paramètres!V119</f>
        <v>0</v>
      </c>
      <c r="W13" s="127">
        <f>Paramètres!W119</f>
        <v>0</v>
      </c>
      <c r="X13" s="127">
        <f>Paramètres!X119</f>
        <v>0</v>
      </c>
      <c r="Y13" s="127">
        <f>Paramètres!Y119</f>
        <v>0</v>
      </c>
      <c r="Z13" s="127">
        <f>Paramètres!Z119</f>
        <v>0</v>
      </c>
      <c r="AA13" s="127">
        <f>Paramètres!AA119</f>
        <v>0</v>
      </c>
      <c r="AB13" s="127">
        <f>Paramètres!AB119</f>
        <v>0</v>
      </c>
      <c r="AC13" s="127">
        <f>Paramètres!AC119</f>
        <v>0</v>
      </c>
      <c r="AD13" s="127">
        <f>Paramètres!AD119</f>
        <v>0</v>
      </c>
      <c r="AE13" s="127">
        <f>Paramètres!AE119</f>
        <v>0</v>
      </c>
      <c r="AF13" s="127">
        <f>Paramètres!AF119</f>
        <v>0</v>
      </c>
      <c r="AG13" s="127">
        <f>Paramètres!AG119</f>
        <v>0</v>
      </c>
      <c r="AH13" s="127">
        <f>Paramètres!AH119</f>
        <v>0</v>
      </c>
      <c r="AI13" s="127">
        <f>Paramètres!AI119</f>
        <v>0</v>
      </c>
      <c r="AJ13" s="127">
        <f>Paramètres!AJ119</f>
        <v>0</v>
      </c>
      <c r="AK13" s="127">
        <f>Paramètres!AK119</f>
        <v>0</v>
      </c>
      <c r="AL13" s="127">
        <f>Paramètres!AL119</f>
        <v>0</v>
      </c>
      <c r="AM13" s="127">
        <f>Paramètres!AM119</f>
        <v>0</v>
      </c>
      <c r="AN13" s="127">
        <f>Paramètres!AN119</f>
        <v>0</v>
      </c>
      <c r="AO13" s="127">
        <f>Paramètres!AO119</f>
        <v>0</v>
      </c>
      <c r="AP13" s="127">
        <f>Paramètres!AP119</f>
        <v>0</v>
      </c>
      <c r="AQ13" s="127">
        <f>Paramètres!AQ119</f>
        <v>0</v>
      </c>
      <c r="AR13" s="127">
        <f>Paramètres!AR119</f>
        <v>0</v>
      </c>
      <c r="AS13" s="127">
        <f>Paramètres!AS119</f>
        <v>0</v>
      </c>
      <c r="AT13" s="127">
        <f>Paramètres!AT119</f>
        <v>0</v>
      </c>
      <c r="AU13" s="127">
        <f>Paramètres!AU119</f>
        <v>0</v>
      </c>
      <c r="AV13" s="127">
        <f>Paramètres!AV119</f>
        <v>0</v>
      </c>
      <c r="AW13" s="127">
        <f>Paramètres!AW119</f>
        <v>0</v>
      </c>
      <c r="AX13" s="127">
        <f>Paramètres!AX119</f>
        <v>0</v>
      </c>
      <c r="AY13" s="127">
        <f>Paramètres!AY119</f>
        <v>0</v>
      </c>
      <c r="AZ13" s="127">
        <f>Paramètres!AZ119</f>
        <v>0</v>
      </c>
      <c r="BA13" s="127">
        <f>Paramètres!BA119</f>
        <v>0</v>
      </c>
      <c r="BB13" s="127">
        <f>Paramètres!BB119</f>
        <v>0</v>
      </c>
      <c r="BC13" s="127">
        <f>Paramètres!BC119</f>
        <v>0</v>
      </c>
      <c r="BD13" s="127">
        <f>Paramètres!BD119</f>
        <v>0</v>
      </c>
    </row>
    <row r="14" spans="1:256" ht="12" customHeight="1">
      <c r="B14" s="152"/>
      <c r="C14" s="125">
        <f t="shared" si="4"/>
        <v>407</v>
      </c>
      <c r="D14" s="55" t="s">
        <v>157</v>
      </c>
      <c r="E14" s="128" t="s">
        <v>153</v>
      </c>
      <c r="F14" s="154"/>
      <c r="G14" s="127">
        <f>Paramètres!G120</f>
        <v>37</v>
      </c>
      <c r="H14" s="127">
        <f>Paramètres!H120</f>
        <v>109</v>
      </c>
      <c r="I14" s="127">
        <f>Paramètres!I120</f>
        <v>160</v>
      </c>
      <c r="J14" s="127">
        <f>Paramètres!J120</f>
        <v>0</v>
      </c>
      <c r="K14" s="127">
        <f>Paramètres!K120</f>
        <v>0</v>
      </c>
      <c r="L14" s="127">
        <f>Paramètres!L120</f>
        <v>0</v>
      </c>
      <c r="M14" s="127">
        <f>Paramètres!M120</f>
        <v>0</v>
      </c>
      <c r="N14" s="127">
        <f>Paramètres!N120</f>
        <v>24</v>
      </c>
      <c r="O14" s="127">
        <f>Paramètres!O120</f>
        <v>23</v>
      </c>
      <c r="P14" s="127">
        <f>Paramètres!P120</f>
        <v>9</v>
      </c>
      <c r="Q14" s="127">
        <f>Paramètres!Q120</f>
        <v>2</v>
      </c>
      <c r="R14" s="127">
        <f>Paramètres!R120</f>
        <v>1</v>
      </c>
      <c r="S14" s="127">
        <f>Paramètres!S120</f>
        <v>9</v>
      </c>
      <c r="T14" s="127">
        <f>Paramètres!T120</f>
        <v>18</v>
      </c>
      <c r="U14" s="127">
        <f>Paramètres!U120</f>
        <v>10</v>
      </c>
      <c r="V14" s="127">
        <f>Paramètres!V120</f>
        <v>4</v>
      </c>
      <c r="W14" s="127">
        <f>Paramètres!W120</f>
        <v>1</v>
      </c>
      <c r="X14" s="127">
        <f>Paramètres!X120</f>
        <v>0</v>
      </c>
      <c r="Y14" s="127">
        <f>Paramètres!Y120</f>
        <v>0</v>
      </c>
      <c r="Z14" s="127">
        <f>Paramètres!Z120</f>
        <v>0</v>
      </c>
      <c r="AA14" s="127">
        <f>Paramètres!AA120</f>
        <v>0</v>
      </c>
      <c r="AB14" s="127">
        <f>Paramètres!AB120</f>
        <v>0</v>
      </c>
      <c r="AC14" s="127">
        <f>Paramètres!AC120</f>
        <v>0</v>
      </c>
      <c r="AD14" s="127">
        <f>Paramètres!AD120</f>
        <v>0</v>
      </c>
      <c r="AE14" s="127">
        <f>Paramètres!AE120</f>
        <v>0</v>
      </c>
      <c r="AF14" s="127">
        <f>Paramètres!AF120</f>
        <v>0</v>
      </c>
      <c r="AG14" s="127">
        <f>Paramètres!AG120</f>
        <v>0</v>
      </c>
      <c r="AH14" s="127">
        <f>Paramètres!AH120</f>
        <v>0</v>
      </c>
      <c r="AI14" s="127">
        <f>Paramètres!AI120</f>
        <v>0</v>
      </c>
      <c r="AJ14" s="127">
        <f>Paramètres!AJ120</f>
        <v>0</v>
      </c>
      <c r="AK14" s="127">
        <f>Paramètres!AK120</f>
        <v>0</v>
      </c>
      <c r="AL14" s="127">
        <f>Paramètres!AL120</f>
        <v>0</v>
      </c>
      <c r="AM14" s="127">
        <f>Paramètres!AM120</f>
        <v>0</v>
      </c>
      <c r="AN14" s="127">
        <f>Paramètres!AN120</f>
        <v>0</v>
      </c>
      <c r="AO14" s="127">
        <f>Paramètres!AO120</f>
        <v>0</v>
      </c>
      <c r="AP14" s="127">
        <f>Paramètres!AP120</f>
        <v>0</v>
      </c>
      <c r="AQ14" s="127">
        <f>Paramètres!AQ120</f>
        <v>0</v>
      </c>
      <c r="AR14" s="127">
        <f>Paramètres!AR120</f>
        <v>0</v>
      </c>
      <c r="AS14" s="127">
        <f>Paramètres!AS120</f>
        <v>0</v>
      </c>
      <c r="AT14" s="127">
        <f>Paramètres!AT120</f>
        <v>0</v>
      </c>
      <c r="AU14" s="127">
        <f>Paramètres!AU120</f>
        <v>0</v>
      </c>
      <c r="AV14" s="127">
        <f>Paramètres!AV120</f>
        <v>0</v>
      </c>
      <c r="AW14" s="127">
        <f>Paramètres!AW120</f>
        <v>0</v>
      </c>
      <c r="AX14" s="127">
        <f>Paramètres!AX120</f>
        <v>0</v>
      </c>
      <c r="AY14" s="127">
        <f>Paramètres!AY120</f>
        <v>0</v>
      </c>
      <c r="AZ14" s="127">
        <f>Paramètres!AZ120</f>
        <v>0</v>
      </c>
      <c r="BA14" s="127">
        <f>Paramètres!BA120</f>
        <v>0</v>
      </c>
      <c r="BB14" s="127">
        <f>Paramètres!BB120</f>
        <v>0</v>
      </c>
      <c r="BC14" s="127">
        <f>Paramètres!BC120</f>
        <v>0</v>
      </c>
      <c r="BD14" s="127">
        <f>Paramètres!BD120</f>
        <v>0</v>
      </c>
    </row>
    <row r="15" spans="1:256" ht="12" customHeight="1">
      <c r="B15" s="152"/>
      <c r="C15" s="125">
        <f t="shared" si="4"/>
        <v>253</v>
      </c>
      <c r="D15" s="55" t="s">
        <v>158</v>
      </c>
      <c r="E15" s="128" t="s">
        <v>153</v>
      </c>
      <c r="F15" s="154"/>
      <c r="G15" s="127">
        <f>Paramètres!G121</f>
        <v>41</v>
      </c>
      <c r="H15" s="127">
        <f>Paramètres!H121</f>
        <v>37</v>
      </c>
      <c r="I15" s="127">
        <f>Paramètres!I121</f>
        <v>45</v>
      </c>
      <c r="J15" s="127">
        <f>Paramètres!J121</f>
        <v>25</v>
      </c>
      <c r="K15" s="127">
        <f>Paramètres!K121</f>
        <v>27</v>
      </c>
      <c r="L15" s="127">
        <f>Paramètres!L121</f>
        <v>12</v>
      </c>
      <c r="M15" s="127">
        <f>Paramètres!M121</f>
        <v>11</v>
      </c>
      <c r="N15" s="127">
        <f>Paramètres!N121</f>
        <v>8</v>
      </c>
      <c r="O15" s="127">
        <f>Paramètres!O121</f>
        <v>6</v>
      </c>
      <c r="P15" s="127">
        <f>Paramètres!P121</f>
        <v>9</v>
      </c>
      <c r="Q15" s="127">
        <f>Paramètres!Q121</f>
        <v>12</v>
      </c>
      <c r="R15" s="127">
        <f>Paramètres!R121</f>
        <v>6</v>
      </c>
      <c r="S15" s="127">
        <f>Paramètres!S121</f>
        <v>3</v>
      </c>
      <c r="T15" s="127">
        <f>Paramètres!T121</f>
        <v>5</v>
      </c>
      <c r="U15" s="127">
        <f>Paramètres!U121</f>
        <v>3</v>
      </c>
      <c r="V15" s="127">
        <f>Paramètres!V121</f>
        <v>2</v>
      </c>
      <c r="W15" s="127">
        <f>Paramètres!W121</f>
        <v>1</v>
      </c>
      <c r="X15" s="127">
        <f>Paramètres!X121</f>
        <v>0</v>
      </c>
      <c r="Y15" s="127">
        <f>Paramètres!Y121</f>
        <v>0</v>
      </c>
      <c r="Z15" s="127">
        <f>Paramètres!Z121</f>
        <v>0</v>
      </c>
      <c r="AA15" s="127">
        <f>Paramètres!AA121</f>
        <v>0</v>
      </c>
      <c r="AB15" s="127">
        <f>Paramètres!AB121</f>
        <v>0</v>
      </c>
      <c r="AC15" s="127">
        <f>Paramètres!AC121</f>
        <v>0</v>
      </c>
      <c r="AD15" s="127">
        <f>Paramètres!AD121</f>
        <v>0</v>
      </c>
      <c r="AE15" s="127">
        <f>Paramètres!AE121</f>
        <v>0</v>
      </c>
      <c r="AF15" s="127">
        <f>Paramètres!AF121</f>
        <v>0</v>
      </c>
      <c r="AG15" s="127">
        <f>Paramètres!AG121</f>
        <v>0</v>
      </c>
      <c r="AH15" s="127">
        <f>Paramètres!AH121</f>
        <v>0</v>
      </c>
      <c r="AI15" s="127">
        <f>Paramètres!AI121</f>
        <v>0</v>
      </c>
      <c r="AJ15" s="127">
        <f>Paramètres!AJ121</f>
        <v>0</v>
      </c>
      <c r="AK15" s="127">
        <f>Paramètres!AK121</f>
        <v>0</v>
      </c>
      <c r="AL15" s="127">
        <f>Paramètres!AL121</f>
        <v>0</v>
      </c>
      <c r="AM15" s="127">
        <f>Paramètres!AM121</f>
        <v>0</v>
      </c>
      <c r="AN15" s="127">
        <f>Paramètres!AN121</f>
        <v>0</v>
      </c>
      <c r="AO15" s="127">
        <f>Paramètres!AO121</f>
        <v>0</v>
      </c>
      <c r="AP15" s="127">
        <f>Paramètres!AP121</f>
        <v>0</v>
      </c>
      <c r="AQ15" s="127">
        <f>Paramètres!AQ121</f>
        <v>0</v>
      </c>
      <c r="AR15" s="127">
        <f>Paramètres!AR121</f>
        <v>0</v>
      </c>
      <c r="AS15" s="127">
        <f>Paramètres!AS121</f>
        <v>0</v>
      </c>
      <c r="AT15" s="127">
        <f>Paramètres!AT121</f>
        <v>0</v>
      </c>
      <c r="AU15" s="127">
        <f>Paramètres!AU121</f>
        <v>0</v>
      </c>
      <c r="AV15" s="127">
        <f>Paramètres!AV121</f>
        <v>0</v>
      </c>
      <c r="AW15" s="127">
        <f>Paramètres!AW121</f>
        <v>0</v>
      </c>
      <c r="AX15" s="127">
        <f>Paramètres!AX121</f>
        <v>0</v>
      </c>
      <c r="AY15" s="127">
        <f>Paramètres!AY121</f>
        <v>0</v>
      </c>
      <c r="AZ15" s="127">
        <f>Paramètres!AZ121</f>
        <v>0</v>
      </c>
      <c r="BA15" s="127">
        <f>Paramètres!BA121</f>
        <v>0</v>
      </c>
      <c r="BB15" s="127">
        <f>Paramètres!BB121</f>
        <v>0</v>
      </c>
      <c r="BC15" s="127">
        <f>Paramètres!BC121</f>
        <v>0</v>
      </c>
      <c r="BD15" s="127">
        <f>Paramètres!BD121</f>
        <v>0</v>
      </c>
    </row>
    <row r="16" spans="1:256" ht="12" customHeight="1">
      <c r="B16" s="152"/>
      <c r="C16" s="125"/>
      <c r="D16" s="55" t="s">
        <v>159</v>
      </c>
      <c r="E16" s="128" t="s">
        <v>153</v>
      </c>
      <c r="F16" s="154"/>
      <c r="G16" s="127">
        <f>Paramètres!G122*G$8/1000000</f>
        <v>171.01</v>
      </c>
      <c r="H16" s="127">
        <f>Paramètres!H122*H$8/1000000</f>
        <v>169.0172</v>
      </c>
      <c r="I16" s="127">
        <f>Paramètres!I122*I$8/1000000</f>
        <v>177.98400000000001</v>
      </c>
      <c r="J16" s="127">
        <f>Paramètres!J122*J$8/1000000</f>
        <v>203</v>
      </c>
      <c r="K16" s="127">
        <f>Paramètres!K122*K$8/1000000</f>
        <v>217</v>
      </c>
      <c r="L16" s="127">
        <f>Paramètres!L122*L$8/1000000</f>
        <v>203</v>
      </c>
      <c r="M16" s="127">
        <f>Paramètres!M122*M$8/1000000</f>
        <v>180</v>
      </c>
      <c r="N16" s="127">
        <f>Paramètres!N122*N$8/1000000</f>
        <v>176</v>
      </c>
      <c r="O16" s="127">
        <f>Paramètres!O122*O$8/1000000</f>
        <v>158.0009</v>
      </c>
      <c r="P16" s="127">
        <f>Paramètres!P122*P$8/1000000</f>
        <v>150.00829999999999</v>
      </c>
      <c r="Q16" s="127">
        <f>Paramètres!Q122*Q$8/1000000</f>
        <v>158.0009</v>
      </c>
      <c r="R16" s="127">
        <f>Paramètres!R122*R$8/1000000</f>
        <v>154.00460000000001</v>
      </c>
      <c r="S16" s="127">
        <f>Paramètres!S122*S$8/1000000</f>
        <v>134.99189999999999</v>
      </c>
      <c r="T16" s="127">
        <f>Paramètres!T122*T$8/1000000</f>
        <v>130.99560000000002</v>
      </c>
      <c r="U16" s="127">
        <f>Paramètres!U122*U$8/1000000</f>
        <v>92.00139999999999</v>
      </c>
      <c r="V16" s="127">
        <f>Paramètres!V122*V$8/1000000</f>
        <v>80.997</v>
      </c>
      <c r="W16" s="127">
        <f>Paramètres!W122*W$8/1000000</f>
        <v>38.001600000000003</v>
      </c>
      <c r="X16" s="127">
        <f>Paramètres!X122*X$8/1000000</f>
        <v>0</v>
      </c>
      <c r="Y16" s="127">
        <f>Paramètres!Y122*Y$8/1000000</f>
        <v>0</v>
      </c>
      <c r="Z16" s="127">
        <f>Paramètres!Z122*Z$8/1000000</f>
        <v>0</v>
      </c>
      <c r="AA16" s="127">
        <f>Paramètres!AA122*AA$8/1000000</f>
        <v>0</v>
      </c>
      <c r="AB16" s="127">
        <f>Paramètres!AB122*AB$8/1000000</f>
        <v>0</v>
      </c>
      <c r="AC16" s="127">
        <f>Paramètres!AC122*AC$8/1000000</f>
        <v>0</v>
      </c>
      <c r="AD16" s="127">
        <f>Paramètres!AD122*AD$8/1000000</f>
        <v>0</v>
      </c>
      <c r="AE16" s="127">
        <f>Paramètres!AE122*AE$8/1000000</f>
        <v>0</v>
      </c>
      <c r="AF16" s="127">
        <f>Paramètres!AF122*AF$8/1000000</f>
        <v>0</v>
      </c>
      <c r="AG16" s="127">
        <f>Paramètres!AG122*AG$8/1000000</f>
        <v>0</v>
      </c>
      <c r="AH16" s="127">
        <f>Paramètres!AH122*AH$8/1000000</f>
        <v>0</v>
      </c>
      <c r="AI16" s="127">
        <f>Paramètres!AI122*AI$8/1000000</f>
        <v>0</v>
      </c>
      <c r="AJ16" s="127">
        <f>Paramètres!AJ122*AJ$8/1000000</f>
        <v>0</v>
      </c>
      <c r="AK16" s="127">
        <f>Paramètres!AK122*AK$8/1000000</f>
        <v>0</v>
      </c>
      <c r="AL16" s="127">
        <f>Paramètres!AL122*AL$8/1000000</f>
        <v>0</v>
      </c>
      <c r="AM16" s="127">
        <f>Paramètres!AM122*AM$8/1000000</f>
        <v>0</v>
      </c>
      <c r="AN16" s="127">
        <f>Paramètres!AN122*AN$8/1000000</f>
        <v>0</v>
      </c>
      <c r="AO16" s="127">
        <f>Paramètres!AO122*AO$8/1000000</f>
        <v>0</v>
      </c>
      <c r="AP16" s="127">
        <f>Paramètres!AP122*AP$8/1000000</f>
        <v>0</v>
      </c>
      <c r="AQ16" s="127">
        <f>Paramètres!AQ122*AQ$8/1000000</f>
        <v>0</v>
      </c>
      <c r="AR16" s="127">
        <f>Paramètres!AR122*AR$8/1000000</f>
        <v>0</v>
      </c>
      <c r="AS16" s="127">
        <f>Paramètres!AS122*AS$8/1000000</f>
        <v>0</v>
      </c>
      <c r="AT16" s="127">
        <f>Paramètres!AT122*AT$8/1000000</f>
        <v>0</v>
      </c>
      <c r="AU16" s="127">
        <f>Paramètres!AU122*AU$8/1000000</f>
        <v>0</v>
      </c>
      <c r="AV16" s="127">
        <f>Paramètres!AV122*AV$8/1000000</f>
        <v>0</v>
      </c>
      <c r="AW16" s="127">
        <f>Paramètres!AW122*AW$8/1000000</f>
        <v>0</v>
      </c>
      <c r="AX16" s="127">
        <f>Paramètres!AX122*AX$8/1000000</f>
        <v>0</v>
      </c>
      <c r="AY16" s="127">
        <f>Paramètres!AY122*AY$8/1000000</f>
        <v>0</v>
      </c>
      <c r="AZ16" s="127">
        <f>Paramètres!AZ122*AZ$8/1000000</f>
        <v>0</v>
      </c>
      <c r="BA16" s="127">
        <f>Paramètres!BA122*BA$8/1000000</f>
        <v>0</v>
      </c>
      <c r="BB16" s="127">
        <f>Paramètres!BB122*BB$8/1000000</f>
        <v>0</v>
      </c>
      <c r="BC16" s="127">
        <f>Paramètres!BC122*BC$8/1000000</f>
        <v>0</v>
      </c>
      <c r="BD16" s="127">
        <f>Paramètres!BD122*BD$8/1000000</f>
        <v>0</v>
      </c>
    </row>
    <row r="17" spans="1:56" ht="12" customHeight="1">
      <c r="B17" s="152"/>
      <c r="C17" s="125">
        <f>SUM(G17:BD17)</f>
        <v>2594.0134000000003</v>
      </c>
      <c r="D17" s="157" t="s">
        <v>177</v>
      </c>
      <c r="E17" s="128" t="s">
        <v>153</v>
      </c>
      <c r="F17" s="154"/>
      <c r="G17" s="127">
        <f t="shared" ref="G17:AL17" si="7">SUM(G16:G16)</f>
        <v>171.01</v>
      </c>
      <c r="H17" s="127">
        <f t="shared" si="7"/>
        <v>169.0172</v>
      </c>
      <c r="I17" s="127">
        <f t="shared" si="7"/>
        <v>177.98400000000001</v>
      </c>
      <c r="J17" s="127">
        <f t="shared" si="7"/>
        <v>203</v>
      </c>
      <c r="K17" s="127">
        <f t="shared" si="7"/>
        <v>217</v>
      </c>
      <c r="L17" s="127">
        <f t="shared" si="7"/>
        <v>203</v>
      </c>
      <c r="M17" s="127">
        <f t="shared" si="7"/>
        <v>180</v>
      </c>
      <c r="N17" s="127">
        <f t="shared" si="7"/>
        <v>176</v>
      </c>
      <c r="O17" s="127">
        <f t="shared" si="7"/>
        <v>158.0009</v>
      </c>
      <c r="P17" s="127">
        <f t="shared" si="7"/>
        <v>150.00829999999999</v>
      </c>
      <c r="Q17" s="127">
        <f t="shared" si="7"/>
        <v>158.0009</v>
      </c>
      <c r="R17" s="127">
        <f t="shared" si="7"/>
        <v>154.00460000000001</v>
      </c>
      <c r="S17" s="127">
        <f t="shared" si="7"/>
        <v>134.99189999999999</v>
      </c>
      <c r="T17" s="127">
        <f t="shared" si="7"/>
        <v>130.99560000000002</v>
      </c>
      <c r="U17" s="127">
        <f t="shared" si="7"/>
        <v>92.00139999999999</v>
      </c>
      <c r="V17" s="127">
        <f t="shared" si="7"/>
        <v>80.997</v>
      </c>
      <c r="W17" s="127">
        <f t="shared" si="7"/>
        <v>38.001600000000003</v>
      </c>
      <c r="X17" s="127">
        <f t="shared" si="7"/>
        <v>0</v>
      </c>
      <c r="Y17" s="127">
        <f t="shared" si="7"/>
        <v>0</v>
      </c>
      <c r="Z17" s="127">
        <f t="shared" si="7"/>
        <v>0</v>
      </c>
      <c r="AA17" s="127">
        <f t="shared" si="7"/>
        <v>0</v>
      </c>
      <c r="AB17" s="127">
        <f t="shared" si="7"/>
        <v>0</v>
      </c>
      <c r="AC17" s="127">
        <f t="shared" si="7"/>
        <v>0</v>
      </c>
      <c r="AD17" s="127">
        <f t="shared" si="7"/>
        <v>0</v>
      </c>
      <c r="AE17" s="127">
        <f t="shared" si="7"/>
        <v>0</v>
      </c>
      <c r="AF17" s="127">
        <f t="shared" si="7"/>
        <v>0</v>
      </c>
      <c r="AG17" s="127">
        <f t="shared" si="7"/>
        <v>0</v>
      </c>
      <c r="AH17" s="127">
        <f t="shared" si="7"/>
        <v>0</v>
      </c>
      <c r="AI17" s="127">
        <f t="shared" si="7"/>
        <v>0</v>
      </c>
      <c r="AJ17" s="127">
        <f t="shared" si="7"/>
        <v>0</v>
      </c>
      <c r="AK17" s="127">
        <f t="shared" si="7"/>
        <v>0</v>
      </c>
      <c r="AL17" s="127">
        <f t="shared" si="7"/>
        <v>0</v>
      </c>
      <c r="AM17" s="127">
        <f t="shared" ref="AM17:BR17" si="8">SUM(AM16:AM16)</f>
        <v>0</v>
      </c>
      <c r="AN17" s="127">
        <f t="shared" si="8"/>
        <v>0</v>
      </c>
      <c r="AO17" s="127">
        <f t="shared" si="8"/>
        <v>0</v>
      </c>
      <c r="AP17" s="127">
        <f t="shared" si="8"/>
        <v>0</v>
      </c>
      <c r="AQ17" s="127">
        <f t="shared" si="8"/>
        <v>0</v>
      </c>
      <c r="AR17" s="127">
        <f t="shared" si="8"/>
        <v>0</v>
      </c>
      <c r="AS17" s="127">
        <f t="shared" si="8"/>
        <v>0</v>
      </c>
      <c r="AT17" s="127">
        <f t="shared" si="8"/>
        <v>0</v>
      </c>
      <c r="AU17" s="127">
        <f t="shared" si="8"/>
        <v>0</v>
      </c>
      <c r="AV17" s="127">
        <f t="shared" si="8"/>
        <v>0</v>
      </c>
      <c r="AW17" s="127">
        <f t="shared" si="8"/>
        <v>0</v>
      </c>
      <c r="AX17" s="127">
        <f t="shared" si="8"/>
        <v>0</v>
      </c>
      <c r="AY17" s="127">
        <f t="shared" si="8"/>
        <v>0</v>
      </c>
      <c r="AZ17" s="127">
        <f t="shared" si="8"/>
        <v>0</v>
      </c>
      <c r="BA17" s="127">
        <f t="shared" si="8"/>
        <v>0</v>
      </c>
      <c r="BB17" s="127">
        <f t="shared" si="8"/>
        <v>0</v>
      </c>
      <c r="BC17" s="127">
        <f t="shared" si="8"/>
        <v>0</v>
      </c>
      <c r="BD17" s="127">
        <f t="shared" si="8"/>
        <v>0</v>
      </c>
    </row>
    <row r="18" spans="1:56" ht="12" customHeight="1">
      <c r="B18" s="152"/>
      <c r="C18" s="125">
        <f>SUM(G18:BD18)</f>
        <v>0</v>
      </c>
      <c r="D18" s="55" t="s">
        <v>164</v>
      </c>
      <c r="E18" s="128" t="s">
        <v>153</v>
      </c>
      <c r="F18" s="154"/>
      <c r="G18" s="127">
        <f>Paramètres!G127</f>
        <v>0</v>
      </c>
      <c r="H18" s="127">
        <f>Paramètres!H127</f>
        <v>0</v>
      </c>
      <c r="I18" s="127">
        <f>Paramètres!I127</f>
        <v>0</v>
      </c>
      <c r="J18" s="127">
        <f>Paramètres!J127</f>
        <v>0</v>
      </c>
      <c r="K18" s="127">
        <f>Paramètres!K127</f>
        <v>0</v>
      </c>
      <c r="L18" s="127">
        <f>Paramètres!L127</f>
        <v>0</v>
      </c>
      <c r="M18" s="127">
        <f>Paramètres!M127</f>
        <v>0</v>
      </c>
      <c r="N18" s="127">
        <f>Paramètres!N127</f>
        <v>0</v>
      </c>
      <c r="O18" s="127">
        <f>Paramètres!O127</f>
        <v>0</v>
      </c>
      <c r="P18" s="127">
        <f>Paramètres!P127</f>
        <v>0</v>
      </c>
      <c r="Q18" s="127">
        <f>Paramètres!Q127</f>
        <v>0</v>
      </c>
      <c r="R18" s="127">
        <f>Paramètres!R127</f>
        <v>0</v>
      </c>
      <c r="S18" s="127">
        <f>Paramètres!S127</f>
        <v>0</v>
      </c>
      <c r="T18" s="127">
        <f>Paramètres!T127</f>
        <v>0</v>
      </c>
      <c r="U18" s="127">
        <f>Paramètres!U127</f>
        <v>0</v>
      </c>
      <c r="V18" s="127">
        <f>Paramètres!V127</f>
        <v>0</v>
      </c>
      <c r="W18" s="127">
        <f>Paramètres!W127</f>
        <v>0</v>
      </c>
      <c r="X18" s="127">
        <f>Paramètres!X127</f>
        <v>0</v>
      </c>
      <c r="Y18" s="127">
        <f>Paramètres!Y127</f>
        <v>0</v>
      </c>
      <c r="Z18" s="127">
        <f>Paramètres!Z127</f>
        <v>0</v>
      </c>
      <c r="AA18" s="127">
        <f>Paramètres!AA127</f>
        <v>0</v>
      </c>
      <c r="AB18" s="127">
        <f>Paramètres!AB127</f>
        <v>0</v>
      </c>
      <c r="AC18" s="127">
        <f>Paramètres!AC127</f>
        <v>0</v>
      </c>
      <c r="AD18" s="127">
        <f>Paramètres!AD127</f>
        <v>0</v>
      </c>
      <c r="AE18" s="127">
        <f>Paramètres!AE127</f>
        <v>0</v>
      </c>
      <c r="AF18" s="127">
        <f>Paramètres!AF127</f>
        <v>0</v>
      </c>
      <c r="AG18" s="127">
        <f>Paramètres!AG127</f>
        <v>0</v>
      </c>
      <c r="AH18" s="127">
        <f>Paramètres!AH127</f>
        <v>0</v>
      </c>
      <c r="AI18" s="127">
        <f>Paramètres!AI127</f>
        <v>0</v>
      </c>
      <c r="AJ18" s="127">
        <f>Paramètres!AJ127</f>
        <v>0</v>
      </c>
      <c r="AK18" s="127">
        <f>Paramètres!AK127</f>
        <v>0</v>
      </c>
      <c r="AL18" s="127">
        <f>Paramètres!AL127</f>
        <v>0</v>
      </c>
      <c r="AM18" s="127">
        <f>Paramètres!AM127</f>
        <v>0</v>
      </c>
      <c r="AN18" s="127">
        <f>Paramètres!AN127</f>
        <v>0</v>
      </c>
      <c r="AO18" s="127">
        <f>Paramètres!AO127</f>
        <v>0</v>
      </c>
      <c r="AP18" s="127">
        <f>Paramètres!AP127</f>
        <v>0</v>
      </c>
      <c r="AQ18" s="127">
        <f>Paramètres!AQ127</f>
        <v>0</v>
      </c>
      <c r="AR18" s="127">
        <f>Paramètres!AR127</f>
        <v>0</v>
      </c>
      <c r="AS18" s="127">
        <f>Paramètres!AS127</f>
        <v>0</v>
      </c>
      <c r="AT18" s="127">
        <f>Paramètres!AT127</f>
        <v>0</v>
      </c>
      <c r="AU18" s="127">
        <f>Paramètres!AU127</f>
        <v>0</v>
      </c>
      <c r="AV18" s="127">
        <f>Paramètres!AV127</f>
        <v>0</v>
      </c>
      <c r="AW18" s="127">
        <f>Paramètres!AW127</f>
        <v>0</v>
      </c>
      <c r="AX18" s="127">
        <f>Paramètres!AX127</f>
        <v>0</v>
      </c>
      <c r="AY18" s="127">
        <f>Paramètres!AY127</f>
        <v>0</v>
      </c>
      <c r="AZ18" s="127">
        <f>Paramètres!AZ127</f>
        <v>0</v>
      </c>
      <c r="BA18" s="127">
        <f>Paramètres!BA127</f>
        <v>0</v>
      </c>
      <c r="BB18" s="127">
        <f>Paramètres!BB127</f>
        <v>0</v>
      </c>
      <c r="BC18" s="127">
        <f>Paramètres!BC127</f>
        <v>0</v>
      </c>
      <c r="BD18" s="127">
        <f>Paramètres!BD127</f>
        <v>0</v>
      </c>
    </row>
    <row r="19" spans="1:56" ht="12" customHeight="1">
      <c r="B19" s="152"/>
      <c r="C19" s="125">
        <f>SUM(G19:BD19)</f>
        <v>5</v>
      </c>
      <c r="D19" s="55" t="s">
        <v>165</v>
      </c>
      <c r="E19" s="128" t="s">
        <v>153</v>
      </c>
      <c r="F19" s="154"/>
      <c r="G19" s="127">
        <f>Paramètres!G128</f>
        <v>0</v>
      </c>
      <c r="H19" s="127">
        <f>Paramètres!H128</f>
        <v>0</v>
      </c>
      <c r="I19" s="127">
        <f>Paramètres!I128</f>
        <v>0</v>
      </c>
      <c r="J19" s="127">
        <f>Paramètres!J128</f>
        <v>0</v>
      </c>
      <c r="K19" s="127">
        <f>Paramètres!K128</f>
        <v>0</v>
      </c>
      <c r="L19" s="127">
        <f>Paramètres!L128</f>
        <v>0</v>
      </c>
      <c r="M19" s="127">
        <f>Paramètres!M128</f>
        <v>0</v>
      </c>
      <c r="N19" s="127">
        <f>Paramètres!N128</f>
        <v>0</v>
      </c>
      <c r="O19" s="127">
        <f>Paramètres!O128</f>
        <v>0</v>
      </c>
      <c r="P19" s="127">
        <f>Paramètres!P128</f>
        <v>0</v>
      </c>
      <c r="Q19" s="127">
        <f>Paramètres!Q128</f>
        <v>0</v>
      </c>
      <c r="R19" s="127">
        <f>Paramètres!R128</f>
        <v>0</v>
      </c>
      <c r="S19" s="127">
        <f>Paramètres!S128</f>
        <v>0</v>
      </c>
      <c r="T19" s="127">
        <f>Paramètres!T128</f>
        <v>0</v>
      </c>
      <c r="U19" s="127">
        <f>Paramètres!U128</f>
        <v>0</v>
      </c>
      <c r="V19" s="127">
        <f>Paramètres!V128</f>
        <v>0</v>
      </c>
      <c r="W19" s="127">
        <f>Paramètres!W128</f>
        <v>5</v>
      </c>
      <c r="X19" s="127">
        <f>Paramètres!X128</f>
        <v>0</v>
      </c>
      <c r="Y19" s="127">
        <f>Paramètres!Y128</f>
        <v>0</v>
      </c>
      <c r="Z19" s="127">
        <f>Paramètres!Z128</f>
        <v>0</v>
      </c>
      <c r="AA19" s="127">
        <f>Paramètres!AA128</f>
        <v>0</v>
      </c>
      <c r="AB19" s="127">
        <f>Paramètres!AB128</f>
        <v>0</v>
      </c>
      <c r="AC19" s="127">
        <f>Paramètres!AC128</f>
        <v>0</v>
      </c>
      <c r="AD19" s="127">
        <f>Paramètres!AD128</f>
        <v>0</v>
      </c>
      <c r="AE19" s="127">
        <f>Paramètres!AE128</f>
        <v>0</v>
      </c>
      <c r="AF19" s="127">
        <f>Paramètres!AF128</f>
        <v>0</v>
      </c>
      <c r="AG19" s="127">
        <f>Paramètres!AG128</f>
        <v>0</v>
      </c>
      <c r="AH19" s="127">
        <f>Paramètres!AH128</f>
        <v>0</v>
      </c>
      <c r="AI19" s="127">
        <f>Paramètres!AI128</f>
        <v>0</v>
      </c>
      <c r="AJ19" s="127">
        <f>Paramètres!AJ128</f>
        <v>0</v>
      </c>
      <c r="AK19" s="127">
        <f>Paramètres!AK128</f>
        <v>0</v>
      </c>
      <c r="AL19" s="127">
        <f>Paramètres!AL128</f>
        <v>0</v>
      </c>
      <c r="AM19" s="127">
        <f>Paramètres!AM128</f>
        <v>0</v>
      </c>
      <c r="AN19" s="127">
        <f>Paramètres!AN128</f>
        <v>0</v>
      </c>
      <c r="AO19" s="127">
        <f>Paramètres!AO128</f>
        <v>0</v>
      </c>
      <c r="AP19" s="127">
        <f>Paramètres!AP128</f>
        <v>0</v>
      </c>
      <c r="AQ19" s="127">
        <f>Paramètres!AQ128</f>
        <v>0</v>
      </c>
      <c r="AR19" s="127">
        <f>Paramètres!AR128</f>
        <v>0</v>
      </c>
      <c r="AS19" s="127">
        <f>Paramètres!AS128</f>
        <v>0</v>
      </c>
      <c r="AT19" s="127">
        <f>Paramètres!AT128</f>
        <v>0</v>
      </c>
      <c r="AU19" s="127">
        <f>Paramètres!AU128</f>
        <v>0</v>
      </c>
      <c r="AV19" s="127">
        <f>Paramètres!AV128</f>
        <v>0</v>
      </c>
      <c r="AW19" s="127">
        <f>Paramètres!AW128</f>
        <v>0</v>
      </c>
      <c r="AX19" s="127">
        <f>Paramètres!AX128</f>
        <v>0</v>
      </c>
      <c r="AY19" s="127">
        <f>Paramètres!AY128</f>
        <v>0</v>
      </c>
      <c r="AZ19" s="127">
        <f>Paramètres!AZ128</f>
        <v>0</v>
      </c>
      <c r="BA19" s="127">
        <f>Paramètres!BA128</f>
        <v>0</v>
      </c>
      <c r="BB19" s="127">
        <f>Paramètres!BB128</f>
        <v>0</v>
      </c>
      <c r="BC19" s="127">
        <f>Paramètres!BC128</f>
        <v>0</v>
      </c>
      <c r="BD19" s="127">
        <f>Paramètres!BD128</f>
        <v>0</v>
      </c>
    </row>
    <row r="20" spans="1:56" ht="12" customHeight="1">
      <c r="B20" s="152"/>
      <c r="C20" s="125">
        <f>SUM(G20:BD20)</f>
        <v>3259.0134000000003</v>
      </c>
      <c r="D20" s="153" t="s">
        <v>178</v>
      </c>
      <c r="E20" s="128" t="s">
        <v>153</v>
      </c>
      <c r="F20" s="154"/>
      <c r="G20" s="127">
        <f t="shared" ref="G20:AL20" si="9">SUM(G12:G15)+G17+G18+G19</f>
        <v>249.01</v>
      </c>
      <c r="H20" s="127">
        <f t="shared" si="9"/>
        <v>315.0172</v>
      </c>
      <c r="I20" s="127">
        <f t="shared" si="9"/>
        <v>382.98400000000004</v>
      </c>
      <c r="J20" s="127">
        <f t="shared" si="9"/>
        <v>228</v>
      </c>
      <c r="K20" s="127">
        <f t="shared" si="9"/>
        <v>244</v>
      </c>
      <c r="L20" s="127">
        <f t="shared" si="9"/>
        <v>215</v>
      </c>
      <c r="M20" s="127">
        <f t="shared" si="9"/>
        <v>191</v>
      </c>
      <c r="N20" s="127">
        <f t="shared" si="9"/>
        <v>208</v>
      </c>
      <c r="O20" s="127">
        <f t="shared" si="9"/>
        <v>187.0009</v>
      </c>
      <c r="P20" s="127">
        <f t="shared" si="9"/>
        <v>168.00829999999999</v>
      </c>
      <c r="Q20" s="127">
        <f t="shared" si="9"/>
        <v>172.0009</v>
      </c>
      <c r="R20" s="127">
        <f t="shared" si="9"/>
        <v>161.00460000000001</v>
      </c>
      <c r="S20" s="127">
        <f t="shared" si="9"/>
        <v>146.99189999999999</v>
      </c>
      <c r="T20" s="127">
        <f t="shared" si="9"/>
        <v>153.99560000000002</v>
      </c>
      <c r="U20" s="127">
        <f t="shared" si="9"/>
        <v>105.00139999999999</v>
      </c>
      <c r="V20" s="127">
        <f t="shared" si="9"/>
        <v>86.997</v>
      </c>
      <c r="W20" s="127">
        <f t="shared" si="9"/>
        <v>45.001600000000003</v>
      </c>
      <c r="X20" s="127">
        <f t="shared" si="9"/>
        <v>0</v>
      </c>
      <c r="Y20" s="127">
        <f t="shared" si="9"/>
        <v>0</v>
      </c>
      <c r="Z20" s="127">
        <f t="shared" si="9"/>
        <v>0</v>
      </c>
      <c r="AA20" s="127">
        <f t="shared" si="9"/>
        <v>0</v>
      </c>
      <c r="AB20" s="127">
        <f t="shared" si="9"/>
        <v>0</v>
      </c>
      <c r="AC20" s="127">
        <f t="shared" si="9"/>
        <v>0</v>
      </c>
      <c r="AD20" s="127">
        <f t="shared" si="9"/>
        <v>0</v>
      </c>
      <c r="AE20" s="127">
        <f t="shared" si="9"/>
        <v>0</v>
      </c>
      <c r="AF20" s="127">
        <f t="shared" si="9"/>
        <v>0</v>
      </c>
      <c r="AG20" s="127">
        <f t="shared" si="9"/>
        <v>0</v>
      </c>
      <c r="AH20" s="127">
        <f t="shared" si="9"/>
        <v>0</v>
      </c>
      <c r="AI20" s="127">
        <f t="shared" si="9"/>
        <v>0</v>
      </c>
      <c r="AJ20" s="127">
        <f t="shared" si="9"/>
        <v>0</v>
      </c>
      <c r="AK20" s="127">
        <f t="shared" si="9"/>
        <v>0</v>
      </c>
      <c r="AL20" s="127">
        <f t="shared" si="9"/>
        <v>0</v>
      </c>
      <c r="AM20" s="127">
        <f t="shared" ref="AM20:BR20" si="10">SUM(AM12:AM15)+AM17+AM18+AM19</f>
        <v>0</v>
      </c>
      <c r="AN20" s="127">
        <f t="shared" si="10"/>
        <v>0</v>
      </c>
      <c r="AO20" s="127">
        <f t="shared" si="10"/>
        <v>0</v>
      </c>
      <c r="AP20" s="127">
        <f t="shared" si="10"/>
        <v>0</v>
      </c>
      <c r="AQ20" s="127">
        <f t="shared" si="10"/>
        <v>0</v>
      </c>
      <c r="AR20" s="127">
        <f t="shared" si="10"/>
        <v>0</v>
      </c>
      <c r="AS20" s="127">
        <f t="shared" si="10"/>
        <v>0</v>
      </c>
      <c r="AT20" s="127">
        <f t="shared" si="10"/>
        <v>0</v>
      </c>
      <c r="AU20" s="127">
        <f t="shared" si="10"/>
        <v>0</v>
      </c>
      <c r="AV20" s="127">
        <f t="shared" si="10"/>
        <v>0</v>
      </c>
      <c r="AW20" s="127">
        <f t="shared" si="10"/>
        <v>0</v>
      </c>
      <c r="AX20" s="127">
        <f t="shared" si="10"/>
        <v>0</v>
      </c>
      <c r="AY20" s="127">
        <f t="shared" si="10"/>
        <v>0</v>
      </c>
      <c r="AZ20" s="127">
        <f t="shared" si="10"/>
        <v>0</v>
      </c>
      <c r="BA20" s="127">
        <f t="shared" si="10"/>
        <v>0</v>
      </c>
      <c r="BB20" s="127">
        <f t="shared" si="10"/>
        <v>0</v>
      </c>
      <c r="BC20" s="127">
        <f t="shared" si="10"/>
        <v>0</v>
      </c>
      <c r="BD20" s="127">
        <f t="shared" si="10"/>
        <v>0</v>
      </c>
    </row>
    <row r="21" spans="1:56" ht="12.75" customHeight="1">
      <c r="A21" s="158" t="b">
        <f>ROUND(C21-(C11-SUM(C12:C19)),5)=0</f>
        <v>1</v>
      </c>
      <c r="B21" s="152"/>
      <c r="C21" s="125">
        <f>SUM(G21:BD21)</f>
        <v>3595.3866000000003</v>
      </c>
      <c r="D21" s="159" t="s">
        <v>179</v>
      </c>
      <c r="E21" s="160" t="s">
        <v>153</v>
      </c>
      <c r="F21" s="161"/>
      <c r="G21" s="162">
        <f t="shared" ref="G21:AL21" si="11">G11-G20</f>
        <v>142.99</v>
      </c>
      <c r="H21" s="162">
        <f t="shared" si="11"/>
        <v>259.38279999999997</v>
      </c>
      <c r="I21" s="162">
        <f t="shared" si="11"/>
        <v>193.01599999999996</v>
      </c>
      <c r="J21" s="162">
        <f t="shared" si="11"/>
        <v>412</v>
      </c>
      <c r="K21" s="162">
        <f t="shared" si="11"/>
        <v>396</v>
      </c>
      <c r="L21" s="162">
        <f t="shared" si="11"/>
        <v>425</v>
      </c>
      <c r="M21" s="162">
        <f t="shared" si="11"/>
        <v>449</v>
      </c>
      <c r="N21" s="162">
        <f t="shared" si="11"/>
        <v>304</v>
      </c>
      <c r="O21" s="162">
        <f t="shared" si="11"/>
        <v>89.79910000000001</v>
      </c>
      <c r="P21" s="162">
        <f t="shared" si="11"/>
        <v>108.79170000000002</v>
      </c>
      <c r="Q21" s="162">
        <f t="shared" si="11"/>
        <v>104.79910000000001</v>
      </c>
      <c r="R21" s="162">
        <f t="shared" si="11"/>
        <v>115.7954</v>
      </c>
      <c r="S21" s="162">
        <f t="shared" si="11"/>
        <v>129.80810000000002</v>
      </c>
      <c r="T21" s="162">
        <f t="shared" si="11"/>
        <v>122.80439999999999</v>
      </c>
      <c r="U21" s="162">
        <f t="shared" si="11"/>
        <v>171.79860000000002</v>
      </c>
      <c r="V21" s="162">
        <f t="shared" si="11"/>
        <v>125.80300000000001</v>
      </c>
      <c r="W21" s="162">
        <f t="shared" si="11"/>
        <v>44.598399999999991</v>
      </c>
      <c r="X21" s="162">
        <f t="shared" si="11"/>
        <v>0</v>
      </c>
      <c r="Y21" s="162">
        <f t="shared" si="11"/>
        <v>0</v>
      </c>
      <c r="Z21" s="162">
        <f t="shared" si="11"/>
        <v>0</v>
      </c>
      <c r="AA21" s="162">
        <f t="shared" si="11"/>
        <v>0</v>
      </c>
      <c r="AB21" s="162">
        <f t="shared" si="11"/>
        <v>0</v>
      </c>
      <c r="AC21" s="162">
        <f t="shared" si="11"/>
        <v>0</v>
      </c>
      <c r="AD21" s="162">
        <f t="shared" si="11"/>
        <v>0</v>
      </c>
      <c r="AE21" s="162">
        <f t="shared" si="11"/>
        <v>0</v>
      </c>
      <c r="AF21" s="162">
        <f t="shared" si="11"/>
        <v>0</v>
      </c>
      <c r="AG21" s="162">
        <f t="shared" si="11"/>
        <v>0</v>
      </c>
      <c r="AH21" s="162">
        <f t="shared" si="11"/>
        <v>0</v>
      </c>
      <c r="AI21" s="162">
        <f t="shared" si="11"/>
        <v>0</v>
      </c>
      <c r="AJ21" s="162">
        <f t="shared" si="11"/>
        <v>0</v>
      </c>
      <c r="AK21" s="162">
        <f t="shared" si="11"/>
        <v>0</v>
      </c>
      <c r="AL21" s="162">
        <f t="shared" si="11"/>
        <v>0</v>
      </c>
      <c r="AM21" s="162">
        <f t="shared" ref="AM21:BR21" si="12">AM11-AM20</f>
        <v>0</v>
      </c>
      <c r="AN21" s="162">
        <f t="shared" si="12"/>
        <v>0</v>
      </c>
      <c r="AO21" s="162">
        <f t="shared" si="12"/>
        <v>0</v>
      </c>
      <c r="AP21" s="162">
        <f t="shared" si="12"/>
        <v>0</v>
      </c>
      <c r="AQ21" s="162">
        <f t="shared" si="12"/>
        <v>0</v>
      </c>
      <c r="AR21" s="162">
        <f t="shared" si="12"/>
        <v>0</v>
      </c>
      <c r="AS21" s="162">
        <f t="shared" si="12"/>
        <v>0</v>
      </c>
      <c r="AT21" s="162">
        <f t="shared" si="12"/>
        <v>0</v>
      </c>
      <c r="AU21" s="162">
        <f t="shared" si="12"/>
        <v>0</v>
      </c>
      <c r="AV21" s="162">
        <f t="shared" si="12"/>
        <v>0</v>
      </c>
      <c r="AW21" s="162">
        <f t="shared" si="12"/>
        <v>0</v>
      </c>
      <c r="AX21" s="162">
        <f t="shared" si="12"/>
        <v>0</v>
      </c>
      <c r="AY21" s="162">
        <f t="shared" si="12"/>
        <v>0</v>
      </c>
      <c r="AZ21" s="162">
        <f t="shared" si="12"/>
        <v>0</v>
      </c>
      <c r="BA21" s="162">
        <f t="shared" si="12"/>
        <v>0</v>
      </c>
      <c r="BB21" s="162">
        <f t="shared" si="12"/>
        <v>0</v>
      </c>
      <c r="BC21" s="162">
        <f t="shared" si="12"/>
        <v>0</v>
      </c>
      <c r="BD21" s="162">
        <f t="shared" si="12"/>
        <v>0</v>
      </c>
    </row>
    <row r="22" spans="1:56" ht="12.75" customHeight="1">
      <c r="A22" s="163"/>
      <c r="C22" s="151"/>
      <c r="D22" s="153"/>
      <c r="E22" s="128"/>
      <c r="F22" s="154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</row>
    <row r="23" spans="1:56" ht="12" customHeight="1">
      <c r="A23" s="163"/>
      <c r="C23" s="164">
        <f>AVERAGE(G23:BD23)</f>
        <v>0.5005834543632065</v>
      </c>
      <c r="D23" s="153" t="s">
        <v>180</v>
      </c>
      <c r="E23" s="128" t="s">
        <v>26</v>
      </c>
      <c r="F23" s="154"/>
      <c r="G23" s="112">
        <f t="shared" ref="G23:AL23" si="13">IFERROR(G21/G11,"")</f>
        <v>0.36477040816326534</v>
      </c>
      <c r="H23" s="112">
        <f t="shared" si="13"/>
        <v>0.4515717270194986</v>
      </c>
      <c r="I23" s="112">
        <f t="shared" si="13"/>
        <v>0.33509722222222216</v>
      </c>
      <c r="J23" s="112">
        <f t="shared" si="13"/>
        <v>0.64375000000000004</v>
      </c>
      <c r="K23" s="112">
        <f t="shared" si="13"/>
        <v>0.61875000000000002</v>
      </c>
      <c r="L23" s="112">
        <f t="shared" si="13"/>
        <v>0.6640625</v>
      </c>
      <c r="M23" s="112">
        <f t="shared" si="13"/>
        <v>0.70156249999999998</v>
      </c>
      <c r="N23" s="112">
        <f t="shared" si="13"/>
        <v>0.59375</v>
      </c>
      <c r="O23" s="112">
        <f t="shared" si="13"/>
        <v>0.32441871387283239</v>
      </c>
      <c r="P23" s="112">
        <f t="shared" si="13"/>
        <v>0.39303359826589601</v>
      </c>
      <c r="Q23" s="112">
        <f t="shared" si="13"/>
        <v>0.37860946531791911</v>
      </c>
      <c r="R23" s="112">
        <f t="shared" si="13"/>
        <v>0.41833598265895955</v>
      </c>
      <c r="S23" s="112">
        <f t="shared" si="13"/>
        <v>0.46895989884393069</v>
      </c>
      <c r="T23" s="112">
        <f t="shared" si="13"/>
        <v>0.44365751445086699</v>
      </c>
      <c r="U23" s="112">
        <f t="shared" si="13"/>
        <v>0.62065968208092492</v>
      </c>
      <c r="V23" s="112">
        <f t="shared" si="13"/>
        <v>0.59117951127819546</v>
      </c>
      <c r="W23" s="112">
        <f t="shared" si="13"/>
        <v>0.49774999999999991</v>
      </c>
      <c r="X23" s="112" t="str">
        <f t="shared" si="13"/>
        <v/>
      </c>
      <c r="Y23" s="112" t="str">
        <f t="shared" si="13"/>
        <v/>
      </c>
      <c r="Z23" s="112" t="str">
        <f t="shared" si="13"/>
        <v/>
      </c>
      <c r="AA23" s="112" t="str">
        <f t="shared" si="13"/>
        <v/>
      </c>
      <c r="AB23" s="112" t="str">
        <f t="shared" si="13"/>
        <v/>
      </c>
      <c r="AC23" s="112" t="str">
        <f t="shared" si="13"/>
        <v/>
      </c>
      <c r="AD23" s="112" t="str">
        <f t="shared" si="13"/>
        <v/>
      </c>
      <c r="AE23" s="112" t="str">
        <f t="shared" si="13"/>
        <v/>
      </c>
      <c r="AF23" s="112" t="str">
        <f t="shared" si="13"/>
        <v/>
      </c>
      <c r="AG23" s="112" t="str">
        <f t="shared" si="13"/>
        <v/>
      </c>
      <c r="AH23" s="112" t="str">
        <f t="shared" si="13"/>
        <v/>
      </c>
      <c r="AI23" s="112" t="str">
        <f t="shared" si="13"/>
        <v/>
      </c>
      <c r="AJ23" s="112" t="str">
        <f t="shared" si="13"/>
        <v/>
      </c>
      <c r="AK23" s="112" t="str">
        <f t="shared" si="13"/>
        <v/>
      </c>
      <c r="AL23" s="112" t="str">
        <f t="shared" si="13"/>
        <v/>
      </c>
      <c r="AM23" s="112" t="str">
        <f t="shared" ref="AM23:BD23" si="14">IFERROR(AM21/AM11,"")</f>
        <v/>
      </c>
      <c r="AN23" s="112" t="str">
        <f t="shared" si="14"/>
        <v/>
      </c>
      <c r="AO23" s="112" t="str">
        <f t="shared" si="14"/>
        <v/>
      </c>
      <c r="AP23" s="112" t="str">
        <f t="shared" si="14"/>
        <v/>
      </c>
      <c r="AQ23" s="112" t="str">
        <f t="shared" si="14"/>
        <v/>
      </c>
      <c r="AR23" s="112" t="str">
        <f t="shared" si="14"/>
        <v/>
      </c>
      <c r="AS23" s="112" t="str">
        <f t="shared" si="14"/>
        <v/>
      </c>
      <c r="AT23" s="112" t="str">
        <f t="shared" si="14"/>
        <v/>
      </c>
      <c r="AU23" s="112" t="str">
        <f t="shared" si="14"/>
        <v/>
      </c>
      <c r="AV23" s="112" t="str">
        <f t="shared" si="14"/>
        <v/>
      </c>
      <c r="AW23" s="112" t="str">
        <f t="shared" si="14"/>
        <v/>
      </c>
      <c r="AX23" s="112" t="str">
        <f t="shared" si="14"/>
        <v/>
      </c>
      <c r="AY23" s="112" t="str">
        <f t="shared" si="14"/>
        <v/>
      </c>
      <c r="AZ23" s="112" t="str">
        <f t="shared" si="14"/>
        <v/>
      </c>
      <c r="BA23" s="112" t="str">
        <f t="shared" si="14"/>
        <v/>
      </c>
      <c r="BB23" s="112" t="str">
        <f t="shared" si="14"/>
        <v/>
      </c>
      <c r="BC23" s="112" t="str">
        <f t="shared" si="14"/>
        <v/>
      </c>
      <c r="BD23" s="112" t="str">
        <f t="shared" si="14"/>
        <v/>
      </c>
    </row>
    <row r="24" spans="1:56" ht="12" customHeight="1">
      <c r="A24" s="163"/>
      <c r="C24" s="164">
        <f>IFERROR(IRR($G21:BD21),0)</f>
        <v>0</v>
      </c>
      <c r="D24" s="153" t="s">
        <v>181</v>
      </c>
      <c r="E24" s="128" t="s">
        <v>26</v>
      </c>
      <c r="F24" s="154"/>
      <c r="G24" s="165" t="str">
        <f>IFERROR(IRR($G21:G21),"--")</f>
        <v>--</v>
      </c>
      <c r="H24" s="165" t="str">
        <f>IFERROR(IRR($G21:H21),"--")</f>
        <v>--</v>
      </c>
      <c r="I24" s="165" t="str">
        <f>IFERROR(IRR($G21:I21),"--")</f>
        <v>--</v>
      </c>
      <c r="J24" s="165" t="str">
        <f>IFERROR(IRR($G21:J21),"--")</f>
        <v>--</v>
      </c>
      <c r="K24" s="165" t="str">
        <f>IFERROR(IRR($G21:K21),"--")</f>
        <v>--</v>
      </c>
      <c r="L24" s="165" t="str">
        <f>IFERROR(IRR($G21:L21),"--")</f>
        <v>--</v>
      </c>
      <c r="M24" s="165" t="str">
        <f>IFERROR(IRR($G21:M21),"--")</f>
        <v>--</v>
      </c>
      <c r="N24" s="165" t="str">
        <f>IFERROR(IRR($G21:N21),"--")</f>
        <v>--</v>
      </c>
      <c r="O24" s="165" t="str">
        <f>IFERROR(IRR($G21:O21),"--")</f>
        <v>--</v>
      </c>
      <c r="P24" s="165" t="str">
        <f>IFERROR(IRR($G21:P21),"--")</f>
        <v>--</v>
      </c>
      <c r="Q24" s="165" t="str">
        <f>IFERROR(IRR($G21:Q21),"--")</f>
        <v>--</v>
      </c>
      <c r="R24" s="165" t="str">
        <f>IFERROR(IRR($G21:R21),"--")</f>
        <v>--</v>
      </c>
      <c r="S24" s="165" t="str">
        <f>IFERROR(IRR($G21:S21),"--")</f>
        <v>--</v>
      </c>
      <c r="T24" s="165" t="str">
        <f>IFERROR(IRR($G21:T21),"--")</f>
        <v>--</v>
      </c>
      <c r="U24" s="165" t="str">
        <f>IFERROR(IRR($G21:U21),"--")</f>
        <v>--</v>
      </c>
      <c r="V24" s="165" t="str">
        <f>IFERROR(IRR($G21:V21),"--")</f>
        <v>--</v>
      </c>
      <c r="W24" s="165" t="str">
        <f>IFERROR(IRR($G21:W21),"--")</f>
        <v>--</v>
      </c>
      <c r="X24" s="165" t="str">
        <f>IFERROR(IRR($G21:X21),"--")</f>
        <v>--</v>
      </c>
      <c r="Y24" s="165" t="str">
        <f>IFERROR(IRR($G21:Y21),"--")</f>
        <v>--</v>
      </c>
      <c r="Z24" s="165" t="str">
        <f>IFERROR(IRR($G21:Z21),"--")</f>
        <v>--</v>
      </c>
      <c r="AA24" s="165" t="str">
        <f>IFERROR(IRR($G21:AA21),"--")</f>
        <v>--</v>
      </c>
      <c r="AB24" s="165" t="str">
        <f>IFERROR(IRR($G21:AB21),"--")</f>
        <v>--</v>
      </c>
      <c r="AC24" s="165" t="str">
        <f>IFERROR(IRR($G21:AC21),"--")</f>
        <v>--</v>
      </c>
      <c r="AD24" s="165" t="str">
        <f>IFERROR(IRR($G21:AD21),"--")</f>
        <v>--</v>
      </c>
      <c r="AE24" s="165" t="str">
        <f>IFERROR(IRR($G21:AE21),"--")</f>
        <v>--</v>
      </c>
      <c r="AF24" s="165" t="str">
        <f>IFERROR(IRR($G21:AF21),"--")</f>
        <v>--</v>
      </c>
      <c r="AG24" s="165" t="str">
        <f>IFERROR(IRR($G21:AG21),"--")</f>
        <v>--</v>
      </c>
      <c r="AH24" s="165" t="str">
        <f>IFERROR(IRR($G21:AH21),"--")</f>
        <v>--</v>
      </c>
      <c r="AI24" s="165" t="str">
        <f>IFERROR(IRR($G21:AI21),"--")</f>
        <v>--</v>
      </c>
      <c r="AJ24" s="165" t="str">
        <f>IFERROR(IRR($G21:AJ21),"--")</f>
        <v>--</v>
      </c>
      <c r="AK24" s="165" t="str">
        <f>IFERROR(IRR($G21:AK21),"--")</f>
        <v>--</v>
      </c>
      <c r="AL24" s="165" t="str">
        <f>IFERROR(IRR($G21:AL21),"--")</f>
        <v>--</v>
      </c>
      <c r="AM24" s="165" t="str">
        <f>IFERROR(IRR($G21:AM21),"--")</f>
        <v>--</v>
      </c>
      <c r="AN24" s="165" t="str">
        <f>IFERROR(IRR($G21:AN21),"--")</f>
        <v>--</v>
      </c>
      <c r="AO24" s="165" t="str">
        <f>IFERROR(IRR($G21:AO21),"--")</f>
        <v>--</v>
      </c>
      <c r="AP24" s="165" t="str">
        <f>IFERROR(IRR($G21:AP21),"--")</f>
        <v>--</v>
      </c>
      <c r="AQ24" s="165" t="str">
        <f>IFERROR(IRR($G21:AQ21),"--")</f>
        <v>--</v>
      </c>
      <c r="AR24" s="165" t="str">
        <f>IFERROR(IRR($G21:AR21),"--")</f>
        <v>--</v>
      </c>
      <c r="AS24" s="165" t="str">
        <f>IFERROR(IRR($G21:AS21),"--")</f>
        <v>--</v>
      </c>
      <c r="AT24" s="165" t="str">
        <f>IFERROR(IRR($G21:AT21),"--")</f>
        <v>--</v>
      </c>
      <c r="AU24" s="165" t="str">
        <f>IFERROR(IRR($G21:AU21),"--")</f>
        <v>--</v>
      </c>
      <c r="AV24" s="165" t="str">
        <f>IFERROR(IRR($G21:AV21),"--")</f>
        <v>--</v>
      </c>
      <c r="AW24" s="165" t="str">
        <f>IFERROR(IRR($G21:AW21),"--")</f>
        <v>--</v>
      </c>
      <c r="AX24" s="165" t="str">
        <f>IFERROR(IRR($G21:AX21),"--")</f>
        <v>--</v>
      </c>
      <c r="AY24" s="165" t="str">
        <f>IFERROR(IRR($G21:AY21),"--")</f>
        <v>--</v>
      </c>
      <c r="AZ24" s="165" t="str">
        <f>IFERROR(IRR($G21:AZ21),"--")</f>
        <v>--</v>
      </c>
      <c r="BA24" s="165" t="str">
        <f>IFERROR(IRR($G21:BA21),"--")</f>
        <v>--</v>
      </c>
      <c r="BB24" s="165" t="str">
        <f>IFERROR(IRR($G21:BB21),"--")</f>
        <v>--</v>
      </c>
      <c r="BC24" s="165" t="str">
        <f>IFERROR(IRR($G21:BC21),"--")</f>
        <v>--</v>
      </c>
      <c r="BD24" s="165" t="str">
        <f>IFERROR(IRR($G21:BD21),"--")</f>
        <v>--</v>
      </c>
    </row>
    <row r="25" spans="1:56" ht="12" customHeight="1">
      <c r="A25" s="163"/>
      <c r="C25" s="166">
        <f>NPV(Paramètres!$F$93,$H$21:$BD$21)+$G$21</f>
        <v>2122.6807782108372</v>
      </c>
      <c r="D25" s="153" t="s">
        <v>182</v>
      </c>
      <c r="E25" s="128" t="s">
        <v>153</v>
      </c>
      <c r="F25" s="154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</row>
    <row r="26" spans="1:56" ht="15" customHeight="1"/>
    <row r="27" spans="1:56" ht="12" customHeight="1">
      <c r="C27" s="151"/>
      <c r="D27" s="41" t="s">
        <v>183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</row>
    <row r="28" spans="1:56" ht="12" customHeight="1">
      <c r="A28" s="163"/>
      <c r="C28" s="152">
        <f>MAX(G28:BD28)</f>
        <v>50</v>
      </c>
      <c r="D28" s="153" t="s">
        <v>184</v>
      </c>
      <c r="E28" s="128" t="s">
        <v>171</v>
      </c>
      <c r="F28" s="154"/>
      <c r="G28" s="127">
        <f>(SUM($G$8:G20)&gt;0)*1+F28</f>
        <v>1</v>
      </c>
      <c r="H28" s="127">
        <f>(SUM($G$8:H20)&gt;0)*1+G28</f>
        <v>2</v>
      </c>
      <c r="I28" s="127">
        <f>(SUM($G$8:I20)&gt;0)*1+H28</f>
        <v>3</v>
      </c>
      <c r="J28" s="127">
        <f>(SUM($G$8:J20)&gt;0)*1+I28</f>
        <v>4</v>
      </c>
      <c r="K28" s="127">
        <f>(SUM($G$8:K20)&gt;0)*1+J28</f>
        <v>5</v>
      </c>
      <c r="L28" s="127">
        <f>(SUM($G$8:L20)&gt;0)*1+K28</f>
        <v>6</v>
      </c>
      <c r="M28" s="127">
        <f>(SUM($G$8:M20)&gt;0)*1+L28</f>
        <v>7</v>
      </c>
      <c r="N28" s="127">
        <f>(SUM($G$8:N20)&gt;0)*1+M28</f>
        <v>8</v>
      </c>
      <c r="O28" s="127">
        <f>(SUM($G$8:O20)&gt;0)*1+N28</f>
        <v>9</v>
      </c>
      <c r="P28" s="127">
        <f>(SUM($G$8:P20)&gt;0)*1+O28</f>
        <v>10</v>
      </c>
      <c r="Q28" s="127">
        <f>(SUM($G$8:Q20)&gt;0)*1+P28</f>
        <v>11</v>
      </c>
      <c r="R28" s="127">
        <f>(SUM($G$8:R20)&gt;0)*1+Q28</f>
        <v>12</v>
      </c>
      <c r="S28" s="127">
        <f>(SUM($G$8:S20)&gt;0)*1+R28</f>
        <v>13</v>
      </c>
      <c r="T28" s="127">
        <f>(SUM($G$8:T20)&gt;0)*1+S28</f>
        <v>14</v>
      </c>
      <c r="U28" s="127">
        <f>(SUM($G$8:U20)&gt;0)*1+T28</f>
        <v>15</v>
      </c>
      <c r="V28" s="127">
        <f>(SUM($G$8:V20)&gt;0)*1+U28</f>
        <v>16</v>
      </c>
      <c r="W28" s="127">
        <f>(SUM($G$8:W20)&gt;0)*1+V28</f>
        <v>17</v>
      </c>
      <c r="X28" s="127">
        <f>(SUM($G$8:X20)&gt;0)*1+W28</f>
        <v>18</v>
      </c>
      <c r="Y28" s="127">
        <f>(SUM($G$8:Y20)&gt;0)*1+X28</f>
        <v>19</v>
      </c>
      <c r="Z28" s="127">
        <f>(SUM($G$8:Z20)&gt;0)*1+Y28</f>
        <v>20</v>
      </c>
      <c r="AA28" s="127">
        <f>(SUM($G$8:AA20)&gt;0)*1+Z28</f>
        <v>21</v>
      </c>
      <c r="AB28" s="127">
        <f>(SUM($G$8:AB20)&gt;0)*1+AA28</f>
        <v>22</v>
      </c>
      <c r="AC28" s="127">
        <f>(SUM($G$8:AC20)&gt;0)*1+AB28</f>
        <v>23</v>
      </c>
      <c r="AD28" s="127">
        <f>(SUM($G$8:AD20)&gt;0)*1+AC28</f>
        <v>24</v>
      </c>
      <c r="AE28" s="127">
        <f>(SUM($G$8:AE20)&gt;0)*1+AD28</f>
        <v>25</v>
      </c>
      <c r="AF28" s="127">
        <f>(SUM($G$8:AF20)&gt;0)*1+AE28</f>
        <v>26</v>
      </c>
      <c r="AG28" s="127">
        <f>(SUM($G$8:AG20)&gt;0)*1+AF28</f>
        <v>27</v>
      </c>
      <c r="AH28" s="127">
        <f>(SUM($G$8:AH20)&gt;0)*1+AG28</f>
        <v>28</v>
      </c>
      <c r="AI28" s="127">
        <f>(SUM($G$8:AI20)&gt;0)*1+AH28</f>
        <v>29</v>
      </c>
      <c r="AJ28" s="127">
        <f>(SUM($G$8:AJ20)&gt;0)*1+AI28</f>
        <v>30</v>
      </c>
      <c r="AK28" s="127">
        <f>(SUM($G$8:AK20)&gt;0)*1+AJ28</f>
        <v>31</v>
      </c>
      <c r="AL28" s="127">
        <f>(SUM($G$8:AL20)&gt;0)*1+AK28</f>
        <v>32</v>
      </c>
      <c r="AM28" s="127">
        <f>(SUM($G$8:AM20)&gt;0)*1+AL28</f>
        <v>33</v>
      </c>
      <c r="AN28" s="127">
        <f>(SUM($G$8:AN20)&gt;0)*1+AM28</f>
        <v>34</v>
      </c>
      <c r="AO28" s="127">
        <f>(SUM($G$8:AO20)&gt;0)*1+AN28</f>
        <v>35</v>
      </c>
      <c r="AP28" s="127">
        <f>(SUM($G$8:AP20)&gt;0)*1+AO28</f>
        <v>36</v>
      </c>
      <c r="AQ28" s="127">
        <f>(SUM($G$8:AQ20)&gt;0)*1+AP28</f>
        <v>37</v>
      </c>
      <c r="AR28" s="127">
        <f>(SUM($G$8:AR20)&gt;0)*1+AQ28</f>
        <v>38</v>
      </c>
      <c r="AS28" s="127">
        <f>(SUM($G$8:AS20)&gt;0)*1+AR28</f>
        <v>39</v>
      </c>
      <c r="AT28" s="127">
        <f>(SUM($G$8:AT20)&gt;0)*1+AS28</f>
        <v>40</v>
      </c>
      <c r="AU28" s="127">
        <f>(SUM($G$8:AU20)&gt;0)*1+AT28</f>
        <v>41</v>
      </c>
      <c r="AV28" s="127">
        <f>(SUM($G$8:AV20)&gt;0)*1+AU28</f>
        <v>42</v>
      </c>
      <c r="AW28" s="127">
        <f>(SUM($G$8:AW20)&gt;0)*1+AV28</f>
        <v>43</v>
      </c>
      <c r="AX28" s="127">
        <f>(SUM($G$8:AX20)&gt;0)*1+AW28</f>
        <v>44</v>
      </c>
      <c r="AY28" s="127">
        <f>(SUM($G$8:AY20)&gt;0)*1+AX28</f>
        <v>45</v>
      </c>
      <c r="AZ28" s="127">
        <f>(SUM($G$8:AZ20)&gt;0)*1+AY28</f>
        <v>46</v>
      </c>
      <c r="BA28" s="127">
        <f>(SUM($G$8:BA20)&gt;0)*1+AZ28</f>
        <v>47</v>
      </c>
      <c r="BB28" s="127">
        <f>(SUM($G$8:BB20)&gt;0)*1+BA28</f>
        <v>48</v>
      </c>
      <c r="BC28" s="127">
        <f>(SUM($G$8:BC20)&gt;0)*1+BB28</f>
        <v>49</v>
      </c>
      <c r="BD28" s="127">
        <f>(SUM($G$8:BD20)&gt;0)*1+BC28</f>
        <v>50</v>
      </c>
    </row>
    <row r="29" spans="1:56" ht="12" customHeight="1">
      <c r="B29" s="152"/>
      <c r="C29" s="152">
        <f>MAX(G29:BD29)</f>
        <v>17</v>
      </c>
      <c r="D29" s="153" t="s">
        <v>185</v>
      </c>
      <c r="E29" s="128" t="s">
        <v>171</v>
      </c>
      <c r="F29" s="154"/>
      <c r="G29" s="127">
        <f t="shared" ref="G29:AL29" si="15">((G8&gt;0)*1+F29)*(G8&gt;0)</f>
        <v>1</v>
      </c>
      <c r="H29" s="127">
        <f t="shared" si="15"/>
        <v>2</v>
      </c>
      <c r="I29" s="127">
        <f t="shared" si="15"/>
        <v>3</v>
      </c>
      <c r="J29" s="127">
        <f t="shared" si="15"/>
        <v>4</v>
      </c>
      <c r="K29" s="127">
        <f t="shared" si="15"/>
        <v>5</v>
      </c>
      <c r="L29" s="127">
        <f t="shared" si="15"/>
        <v>6</v>
      </c>
      <c r="M29" s="127">
        <f t="shared" si="15"/>
        <v>7</v>
      </c>
      <c r="N29" s="127">
        <f t="shared" si="15"/>
        <v>8</v>
      </c>
      <c r="O29" s="127">
        <f t="shared" si="15"/>
        <v>9</v>
      </c>
      <c r="P29" s="127">
        <f t="shared" si="15"/>
        <v>10</v>
      </c>
      <c r="Q29" s="127">
        <f t="shared" si="15"/>
        <v>11</v>
      </c>
      <c r="R29" s="127">
        <f t="shared" si="15"/>
        <v>12</v>
      </c>
      <c r="S29" s="127">
        <f t="shared" si="15"/>
        <v>13</v>
      </c>
      <c r="T29" s="127">
        <f t="shared" si="15"/>
        <v>14</v>
      </c>
      <c r="U29" s="127">
        <f t="shared" si="15"/>
        <v>15</v>
      </c>
      <c r="V29" s="127">
        <f t="shared" si="15"/>
        <v>16</v>
      </c>
      <c r="W29" s="127">
        <f t="shared" si="15"/>
        <v>17</v>
      </c>
      <c r="X29" s="127">
        <f t="shared" si="15"/>
        <v>0</v>
      </c>
      <c r="Y29" s="127">
        <f t="shared" si="15"/>
        <v>0</v>
      </c>
      <c r="Z29" s="127">
        <f t="shared" si="15"/>
        <v>0</v>
      </c>
      <c r="AA29" s="127">
        <f t="shared" si="15"/>
        <v>0</v>
      </c>
      <c r="AB29" s="127">
        <f t="shared" si="15"/>
        <v>0</v>
      </c>
      <c r="AC29" s="127">
        <f t="shared" si="15"/>
        <v>0</v>
      </c>
      <c r="AD29" s="127">
        <f t="shared" si="15"/>
        <v>0</v>
      </c>
      <c r="AE29" s="127">
        <f t="shared" si="15"/>
        <v>0</v>
      </c>
      <c r="AF29" s="127">
        <f t="shared" si="15"/>
        <v>0</v>
      </c>
      <c r="AG29" s="127">
        <f t="shared" si="15"/>
        <v>0</v>
      </c>
      <c r="AH29" s="127">
        <f t="shared" si="15"/>
        <v>0</v>
      </c>
      <c r="AI29" s="127">
        <f t="shared" si="15"/>
        <v>0</v>
      </c>
      <c r="AJ29" s="127">
        <f t="shared" si="15"/>
        <v>0</v>
      </c>
      <c r="AK29" s="127">
        <f t="shared" si="15"/>
        <v>0</v>
      </c>
      <c r="AL29" s="127">
        <f t="shared" si="15"/>
        <v>0</v>
      </c>
      <c r="AM29" s="127">
        <f t="shared" ref="AM29:BD29" si="16">((AM8&gt;0)*1+AL29)*(AM8&gt;0)</f>
        <v>0</v>
      </c>
      <c r="AN29" s="127">
        <f t="shared" si="16"/>
        <v>0</v>
      </c>
      <c r="AO29" s="127">
        <f t="shared" si="16"/>
        <v>0</v>
      </c>
      <c r="AP29" s="127">
        <f t="shared" si="16"/>
        <v>0</v>
      </c>
      <c r="AQ29" s="127">
        <f t="shared" si="16"/>
        <v>0</v>
      </c>
      <c r="AR29" s="127">
        <f t="shared" si="16"/>
        <v>0</v>
      </c>
      <c r="AS29" s="127">
        <f t="shared" si="16"/>
        <v>0</v>
      </c>
      <c r="AT29" s="127">
        <f t="shared" si="16"/>
        <v>0</v>
      </c>
      <c r="AU29" s="127">
        <f t="shared" si="16"/>
        <v>0</v>
      </c>
      <c r="AV29" s="127">
        <f t="shared" si="16"/>
        <v>0</v>
      </c>
      <c r="AW29" s="127">
        <f t="shared" si="16"/>
        <v>0</v>
      </c>
      <c r="AX29" s="127">
        <f t="shared" si="16"/>
        <v>0</v>
      </c>
      <c r="AY29" s="127">
        <f t="shared" si="16"/>
        <v>0</v>
      </c>
      <c r="AZ29" s="127">
        <f t="shared" si="16"/>
        <v>0</v>
      </c>
      <c r="BA29" s="127">
        <f t="shared" si="16"/>
        <v>0</v>
      </c>
      <c r="BB29" s="127">
        <f t="shared" si="16"/>
        <v>0</v>
      </c>
      <c r="BC29" s="127">
        <f t="shared" si="16"/>
        <v>0</v>
      </c>
      <c r="BD29" s="127">
        <f t="shared" si="16"/>
        <v>0</v>
      </c>
    </row>
    <row r="30" spans="1:56" ht="12" customHeight="1">
      <c r="B30" s="152"/>
      <c r="C30" s="152">
        <f>MAX(G30:BD30)</f>
        <v>17</v>
      </c>
      <c r="D30" s="153" t="s">
        <v>186</v>
      </c>
      <c r="E30" s="128" t="s">
        <v>171</v>
      </c>
      <c r="F30" s="154"/>
      <c r="G30" s="127">
        <f t="shared" ref="G30:AL30" si="17">($C$29-G29+1)*(G8&gt;0)</f>
        <v>17</v>
      </c>
      <c r="H30" s="127">
        <f t="shared" si="17"/>
        <v>16</v>
      </c>
      <c r="I30" s="127">
        <f t="shared" si="17"/>
        <v>15</v>
      </c>
      <c r="J30" s="127">
        <f t="shared" si="17"/>
        <v>14</v>
      </c>
      <c r="K30" s="127">
        <f t="shared" si="17"/>
        <v>13</v>
      </c>
      <c r="L30" s="127">
        <f t="shared" si="17"/>
        <v>12</v>
      </c>
      <c r="M30" s="127">
        <f t="shared" si="17"/>
        <v>11</v>
      </c>
      <c r="N30" s="127">
        <f t="shared" si="17"/>
        <v>10</v>
      </c>
      <c r="O30" s="127">
        <f t="shared" si="17"/>
        <v>9</v>
      </c>
      <c r="P30" s="127">
        <f t="shared" si="17"/>
        <v>8</v>
      </c>
      <c r="Q30" s="127">
        <f t="shared" si="17"/>
        <v>7</v>
      </c>
      <c r="R30" s="127">
        <f t="shared" si="17"/>
        <v>6</v>
      </c>
      <c r="S30" s="127">
        <f t="shared" si="17"/>
        <v>5</v>
      </c>
      <c r="T30" s="127">
        <f t="shared" si="17"/>
        <v>4</v>
      </c>
      <c r="U30" s="127">
        <f t="shared" si="17"/>
        <v>3</v>
      </c>
      <c r="V30" s="127">
        <f t="shared" si="17"/>
        <v>2</v>
      </c>
      <c r="W30" s="127">
        <f t="shared" si="17"/>
        <v>1</v>
      </c>
      <c r="X30" s="127">
        <f t="shared" si="17"/>
        <v>0</v>
      </c>
      <c r="Y30" s="127">
        <f t="shared" si="17"/>
        <v>0</v>
      </c>
      <c r="Z30" s="127">
        <f t="shared" si="17"/>
        <v>0</v>
      </c>
      <c r="AA30" s="127">
        <f t="shared" si="17"/>
        <v>0</v>
      </c>
      <c r="AB30" s="127">
        <f t="shared" si="17"/>
        <v>0</v>
      </c>
      <c r="AC30" s="127">
        <f t="shared" si="17"/>
        <v>0</v>
      </c>
      <c r="AD30" s="127">
        <f t="shared" si="17"/>
        <v>0</v>
      </c>
      <c r="AE30" s="127">
        <f t="shared" si="17"/>
        <v>0</v>
      </c>
      <c r="AF30" s="127">
        <f t="shared" si="17"/>
        <v>0</v>
      </c>
      <c r="AG30" s="127">
        <f t="shared" si="17"/>
        <v>0</v>
      </c>
      <c r="AH30" s="127">
        <f t="shared" si="17"/>
        <v>0</v>
      </c>
      <c r="AI30" s="127">
        <f t="shared" si="17"/>
        <v>0</v>
      </c>
      <c r="AJ30" s="127">
        <f t="shared" si="17"/>
        <v>0</v>
      </c>
      <c r="AK30" s="127">
        <f t="shared" si="17"/>
        <v>0</v>
      </c>
      <c r="AL30" s="127">
        <f t="shared" si="17"/>
        <v>0</v>
      </c>
      <c r="AM30" s="127">
        <f t="shared" ref="AM30:BR30" si="18">($C$29-AM29+1)*(AM8&gt;0)</f>
        <v>0</v>
      </c>
      <c r="AN30" s="127">
        <f t="shared" si="18"/>
        <v>0</v>
      </c>
      <c r="AO30" s="127">
        <f t="shared" si="18"/>
        <v>0</v>
      </c>
      <c r="AP30" s="127">
        <f t="shared" si="18"/>
        <v>0</v>
      </c>
      <c r="AQ30" s="127">
        <f t="shared" si="18"/>
        <v>0</v>
      </c>
      <c r="AR30" s="127">
        <f t="shared" si="18"/>
        <v>0</v>
      </c>
      <c r="AS30" s="127">
        <f t="shared" si="18"/>
        <v>0</v>
      </c>
      <c r="AT30" s="127">
        <f t="shared" si="18"/>
        <v>0</v>
      </c>
      <c r="AU30" s="127">
        <f t="shared" si="18"/>
        <v>0</v>
      </c>
      <c r="AV30" s="127">
        <f t="shared" si="18"/>
        <v>0</v>
      </c>
      <c r="AW30" s="127">
        <f t="shared" si="18"/>
        <v>0</v>
      </c>
      <c r="AX30" s="127">
        <f t="shared" si="18"/>
        <v>0</v>
      </c>
      <c r="AY30" s="127">
        <f t="shared" si="18"/>
        <v>0</v>
      </c>
      <c r="AZ30" s="127">
        <f t="shared" si="18"/>
        <v>0</v>
      </c>
      <c r="BA30" s="127">
        <f t="shared" si="18"/>
        <v>0</v>
      </c>
      <c r="BB30" s="127">
        <f t="shared" si="18"/>
        <v>0</v>
      </c>
      <c r="BC30" s="127">
        <f t="shared" si="18"/>
        <v>0</v>
      </c>
      <c r="BD30" s="127">
        <f t="shared" si="18"/>
        <v>0</v>
      </c>
    </row>
    <row r="31" spans="1:56" ht="12" customHeight="1">
      <c r="B31" s="152"/>
      <c r="C31" s="152">
        <f>SUM(G31:BD31)</f>
        <v>1</v>
      </c>
      <c r="D31" s="153" t="s">
        <v>187</v>
      </c>
      <c r="E31" s="128" t="s">
        <v>171</v>
      </c>
      <c r="F31" s="154"/>
      <c r="G31" s="127">
        <f t="shared" ref="G31:AL31" si="19">IF(G29=1,G28,0)</f>
        <v>1</v>
      </c>
      <c r="H31" s="127">
        <f t="shared" si="19"/>
        <v>0</v>
      </c>
      <c r="I31" s="127">
        <f t="shared" si="19"/>
        <v>0</v>
      </c>
      <c r="J31" s="127">
        <f t="shared" si="19"/>
        <v>0</v>
      </c>
      <c r="K31" s="127">
        <f t="shared" si="19"/>
        <v>0</v>
      </c>
      <c r="L31" s="127">
        <f t="shared" si="19"/>
        <v>0</v>
      </c>
      <c r="M31" s="127">
        <f t="shared" si="19"/>
        <v>0</v>
      </c>
      <c r="N31" s="127">
        <f t="shared" si="19"/>
        <v>0</v>
      </c>
      <c r="O31" s="127">
        <f t="shared" si="19"/>
        <v>0</v>
      </c>
      <c r="P31" s="127">
        <f t="shared" si="19"/>
        <v>0</v>
      </c>
      <c r="Q31" s="127">
        <f t="shared" si="19"/>
        <v>0</v>
      </c>
      <c r="R31" s="127">
        <f t="shared" si="19"/>
        <v>0</v>
      </c>
      <c r="S31" s="127">
        <f t="shared" si="19"/>
        <v>0</v>
      </c>
      <c r="T31" s="127">
        <f t="shared" si="19"/>
        <v>0</v>
      </c>
      <c r="U31" s="127">
        <f t="shared" si="19"/>
        <v>0</v>
      </c>
      <c r="V31" s="127">
        <f t="shared" si="19"/>
        <v>0</v>
      </c>
      <c r="W31" s="127">
        <f t="shared" si="19"/>
        <v>0</v>
      </c>
      <c r="X31" s="127">
        <f t="shared" si="19"/>
        <v>0</v>
      </c>
      <c r="Y31" s="127">
        <f t="shared" si="19"/>
        <v>0</v>
      </c>
      <c r="Z31" s="127">
        <f t="shared" si="19"/>
        <v>0</v>
      </c>
      <c r="AA31" s="127">
        <f t="shared" si="19"/>
        <v>0</v>
      </c>
      <c r="AB31" s="127">
        <f t="shared" si="19"/>
        <v>0</v>
      </c>
      <c r="AC31" s="127">
        <f t="shared" si="19"/>
        <v>0</v>
      </c>
      <c r="AD31" s="127">
        <f t="shared" si="19"/>
        <v>0</v>
      </c>
      <c r="AE31" s="127">
        <f t="shared" si="19"/>
        <v>0</v>
      </c>
      <c r="AF31" s="127">
        <f t="shared" si="19"/>
        <v>0</v>
      </c>
      <c r="AG31" s="127">
        <f t="shared" si="19"/>
        <v>0</v>
      </c>
      <c r="AH31" s="127">
        <f t="shared" si="19"/>
        <v>0</v>
      </c>
      <c r="AI31" s="127">
        <f t="shared" si="19"/>
        <v>0</v>
      </c>
      <c r="AJ31" s="127">
        <f t="shared" si="19"/>
        <v>0</v>
      </c>
      <c r="AK31" s="127">
        <f t="shared" si="19"/>
        <v>0</v>
      </c>
      <c r="AL31" s="127">
        <f t="shared" si="19"/>
        <v>0</v>
      </c>
      <c r="AM31" s="127">
        <f t="shared" ref="AM31:BD31" si="20">IF(AM29=1,AM28,0)</f>
        <v>0</v>
      </c>
      <c r="AN31" s="127">
        <f t="shared" si="20"/>
        <v>0</v>
      </c>
      <c r="AO31" s="127">
        <f t="shared" si="20"/>
        <v>0</v>
      </c>
      <c r="AP31" s="127">
        <f t="shared" si="20"/>
        <v>0</v>
      </c>
      <c r="AQ31" s="127">
        <f t="shared" si="20"/>
        <v>0</v>
      </c>
      <c r="AR31" s="127">
        <f t="shared" si="20"/>
        <v>0</v>
      </c>
      <c r="AS31" s="127">
        <f t="shared" si="20"/>
        <v>0</v>
      </c>
      <c r="AT31" s="127">
        <f t="shared" si="20"/>
        <v>0</v>
      </c>
      <c r="AU31" s="127">
        <f t="shared" si="20"/>
        <v>0</v>
      </c>
      <c r="AV31" s="127">
        <f t="shared" si="20"/>
        <v>0</v>
      </c>
      <c r="AW31" s="127">
        <f t="shared" si="20"/>
        <v>0</v>
      </c>
      <c r="AX31" s="127">
        <f t="shared" si="20"/>
        <v>0</v>
      </c>
      <c r="AY31" s="127">
        <f t="shared" si="20"/>
        <v>0</v>
      </c>
      <c r="AZ31" s="127">
        <f t="shared" si="20"/>
        <v>0</v>
      </c>
      <c r="BA31" s="127">
        <f t="shared" si="20"/>
        <v>0</v>
      </c>
      <c r="BB31" s="127">
        <f t="shared" si="20"/>
        <v>0</v>
      </c>
      <c r="BC31" s="127">
        <f t="shared" si="20"/>
        <v>0</v>
      </c>
      <c r="BD31" s="127">
        <f t="shared" si="20"/>
        <v>0</v>
      </c>
    </row>
    <row r="32" spans="1:56" ht="12" customHeight="1">
      <c r="B32" s="152"/>
      <c r="C32" s="152"/>
      <c r="D32" s="153"/>
      <c r="E32" s="128"/>
      <c r="F32" s="154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</row>
    <row r="33" spans="1:56" ht="12" customHeight="1">
      <c r="A33" s="163"/>
      <c r="C33" s="167"/>
      <c r="D33" s="153"/>
      <c r="E33" s="128"/>
      <c r="F33" s="154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2"/>
      <c r="AX33" s="112"/>
      <c r="AY33" s="112"/>
      <c r="AZ33" s="112"/>
      <c r="BA33" s="112"/>
      <c r="BB33" s="112"/>
      <c r="BC33" s="112"/>
      <c r="BD33" s="112"/>
    </row>
    <row r="34" spans="1:56" ht="12" customHeight="1">
      <c r="C34" s="151"/>
      <c r="D34" s="41" t="s">
        <v>188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</row>
    <row r="35" spans="1:56" ht="12" customHeight="1">
      <c r="A35" s="163"/>
      <c r="C35" s="152">
        <f>MAX(G35:BD35)</f>
        <v>449</v>
      </c>
      <c r="D35" s="153" t="s">
        <v>189</v>
      </c>
      <c r="E35" s="128" t="s">
        <v>153</v>
      </c>
      <c r="F35" s="154"/>
      <c r="G35" s="127">
        <f t="shared" ref="G35:AL35" si="21">G21</f>
        <v>142.99</v>
      </c>
      <c r="H35" s="127">
        <f t="shared" si="21"/>
        <v>259.38279999999997</v>
      </c>
      <c r="I35" s="127">
        <f t="shared" si="21"/>
        <v>193.01599999999996</v>
      </c>
      <c r="J35" s="127">
        <f t="shared" si="21"/>
        <v>412</v>
      </c>
      <c r="K35" s="127">
        <f t="shared" si="21"/>
        <v>396</v>
      </c>
      <c r="L35" s="127">
        <f t="shared" si="21"/>
        <v>425</v>
      </c>
      <c r="M35" s="127">
        <f t="shared" si="21"/>
        <v>449</v>
      </c>
      <c r="N35" s="127">
        <f t="shared" si="21"/>
        <v>304</v>
      </c>
      <c r="O35" s="127">
        <f t="shared" si="21"/>
        <v>89.79910000000001</v>
      </c>
      <c r="P35" s="127">
        <f t="shared" si="21"/>
        <v>108.79170000000002</v>
      </c>
      <c r="Q35" s="127">
        <f t="shared" si="21"/>
        <v>104.79910000000001</v>
      </c>
      <c r="R35" s="127">
        <f t="shared" si="21"/>
        <v>115.7954</v>
      </c>
      <c r="S35" s="127">
        <f t="shared" si="21"/>
        <v>129.80810000000002</v>
      </c>
      <c r="T35" s="127">
        <f t="shared" si="21"/>
        <v>122.80439999999999</v>
      </c>
      <c r="U35" s="127">
        <f t="shared" si="21"/>
        <v>171.79860000000002</v>
      </c>
      <c r="V35" s="127">
        <f t="shared" si="21"/>
        <v>125.80300000000001</v>
      </c>
      <c r="W35" s="127">
        <f t="shared" si="21"/>
        <v>44.598399999999991</v>
      </c>
      <c r="X35" s="127">
        <f t="shared" si="21"/>
        <v>0</v>
      </c>
      <c r="Y35" s="127">
        <f t="shared" si="21"/>
        <v>0</v>
      </c>
      <c r="Z35" s="127">
        <f t="shared" si="21"/>
        <v>0</v>
      </c>
      <c r="AA35" s="127">
        <f t="shared" si="21"/>
        <v>0</v>
      </c>
      <c r="AB35" s="127">
        <f t="shared" si="21"/>
        <v>0</v>
      </c>
      <c r="AC35" s="127">
        <f t="shared" si="21"/>
        <v>0</v>
      </c>
      <c r="AD35" s="127">
        <f t="shared" si="21"/>
        <v>0</v>
      </c>
      <c r="AE35" s="127">
        <f t="shared" si="21"/>
        <v>0</v>
      </c>
      <c r="AF35" s="127">
        <f t="shared" si="21"/>
        <v>0</v>
      </c>
      <c r="AG35" s="127">
        <f t="shared" si="21"/>
        <v>0</v>
      </c>
      <c r="AH35" s="127">
        <f t="shared" si="21"/>
        <v>0</v>
      </c>
      <c r="AI35" s="127">
        <f t="shared" si="21"/>
        <v>0</v>
      </c>
      <c r="AJ35" s="127">
        <f t="shared" si="21"/>
        <v>0</v>
      </c>
      <c r="AK35" s="127">
        <f t="shared" si="21"/>
        <v>0</v>
      </c>
      <c r="AL35" s="127">
        <f t="shared" si="21"/>
        <v>0</v>
      </c>
      <c r="AM35" s="127">
        <f t="shared" ref="AM35:BD35" si="22">AM21</f>
        <v>0</v>
      </c>
      <c r="AN35" s="127">
        <f t="shared" si="22"/>
        <v>0</v>
      </c>
      <c r="AO35" s="127">
        <f t="shared" si="22"/>
        <v>0</v>
      </c>
      <c r="AP35" s="127">
        <f t="shared" si="22"/>
        <v>0</v>
      </c>
      <c r="AQ35" s="127">
        <f t="shared" si="22"/>
        <v>0</v>
      </c>
      <c r="AR35" s="127">
        <f t="shared" si="22"/>
        <v>0</v>
      </c>
      <c r="AS35" s="127">
        <f t="shared" si="22"/>
        <v>0</v>
      </c>
      <c r="AT35" s="127">
        <f t="shared" si="22"/>
        <v>0</v>
      </c>
      <c r="AU35" s="127">
        <f t="shared" si="22"/>
        <v>0</v>
      </c>
      <c r="AV35" s="127">
        <f t="shared" si="22"/>
        <v>0</v>
      </c>
      <c r="AW35" s="127">
        <f t="shared" si="22"/>
        <v>0</v>
      </c>
      <c r="AX35" s="127">
        <f t="shared" si="22"/>
        <v>0</v>
      </c>
      <c r="AY35" s="127">
        <f t="shared" si="22"/>
        <v>0</v>
      </c>
      <c r="AZ35" s="127">
        <f t="shared" si="22"/>
        <v>0</v>
      </c>
      <c r="BA35" s="127">
        <f t="shared" si="22"/>
        <v>0</v>
      </c>
      <c r="BB35" s="127">
        <f t="shared" si="22"/>
        <v>0</v>
      </c>
      <c r="BC35" s="127">
        <f t="shared" si="22"/>
        <v>0</v>
      </c>
      <c r="BD35" s="127">
        <f t="shared" si="22"/>
        <v>0</v>
      </c>
    </row>
    <row r="36" spans="1:56" ht="12" customHeight="1">
      <c r="A36" s="163"/>
      <c r="C36" s="152">
        <f>MAX(G36:BD36)</f>
        <v>3595.3866000000003</v>
      </c>
      <c r="D36" s="153" t="s">
        <v>190</v>
      </c>
      <c r="E36" s="128" t="s">
        <v>153</v>
      </c>
      <c r="F36" s="154"/>
      <c r="G36" s="127">
        <f t="shared" ref="G36:AL36" si="23">G35+F36</f>
        <v>142.99</v>
      </c>
      <c r="H36" s="127">
        <f t="shared" si="23"/>
        <v>402.37279999999998</v>
      </c>
      <c r="I36" s="127">
        <f t="shared" si="23"/>
        <v>595.38879999999995</v>
      </c>
      <c r="J36" s="127">
        <f t="shared" si="23"/>
        <v>1007.3887999999999</v>
      </c>
      <c r="K36" s="127">
        <f t="shared" si="23"/>
        <v>1403.3887999999999</v>
      </c>
      <c r="L36" s="127">
        <f t="shared" si="23"/>
        <v>1828.3887999999999</v>
      </c>
      <c r="M36" s="127">
        <f t="shared" si="23"/>
        <v>2277.3887999999997</v>
      </c>
      <c r="N36" s="127">
        <f t="shared" si="23"/>
        <v>2581.3887999999997</v>
      </c>
      <c r="O36" s="127">
        <f t="shared" si="23"/>
        <v>2671.1878999999999</v>
      </c>
      <c r="P36" s="127">
        <f t="shared" si="23"/>
        <v>2779.9796000000001</v>
      </c>
      <c r="Q36" s="127">
        <f t="shared" si="23"/>
        <v>2884.7787000000003</v>
      </c>
      <c r="R36" s="127">
        <f t="shared" si="23"/>
        <v>3000.5741000000003</v>
      </c>
      <c r="S36" s="127">
        <f t="shared" si="23"/>
        <v>3130.3822000000005</v>
      </c>
      <c r="T36" s="127">
        <f t="shared" si="23"/>
        <v>3253.1866000000005</v>
      </c>
      <c r="U36" s="127">
        <f t="shared" si="23"/>
        <v>3424.9852000000005</v>
      </c>
      <c r="V36" s="127">
        <f t="shared" si="23"/>
        <v>3550.7882000000004</v>
      </c>
      <c r="W36" s="127">
        <f t="shared" si="23"/>
        <v>3595.3866000000003</v>
      </c>
      <c r="X36" s="127">
        <f t="shared" si="23"/>
        <v>3595.3866000000003</v>
      </c>
      <c r="Y36" s="127">
        <f t="shared" si="23"/>
        <v>3595.3866000000003</v>
      </c>
      <c r="Z36" s="127">
        <f t="shared" si="23"/>
        <v>3595.3866000000003</v>
      </c>
      <c r="AA36" s="127">
        <f t="shared" si="23"/>
        <v>3595.3866000000003</v>
      </c>
      <c r="AB36" s="127">
        <f t="shared" si="23"/>
        <v>3595.3866000000003</v>
      </c>
      <c r="AC36" s="127">
        <f t="shared" si="23"/>
        <v>3595.3866000000003</v>
      </c>
      <c r="AD36" s="127">
        <f t="shared" si="23"/>
        <v>3595.3866000000003</v>
      </c>
      <c r="AE36" s="127">
        <f t="shared" si="23"/>
        <v>3595.3866000000003</v>
      </c>
      <c r="AF36" s="127">
        <f t="shared" si="23"/>
        <v>3595.3866000000003</v>
      </c>
      <c r="AG36" s="127">
        <f t="shared" si="23"/>
        <v>3595.3866000000003</v>
      </c>
      <c r="AH36" s="127">
        <f t="shared" si="23"/>
        <v>3595.3866000000003</v>
      </c>
      <c r="AI36" s="127">
        <f t="shared" si="23"/>
        <v>3595.3866000000003</v>
      </c>
      <c r="AJ36" s="127">
        <f t="shared" si="23"/>
        <v>3595.3866000000003</v>
      </c>
      <c r="AK36" s="127">
        <f t="shared" si="23"/>
        <v>3595.3866000000003</v>
      </c>
      <c r="AL36" s="127">
        <f t="shared" si="23"/>
        <v>3595.3866000000003</v>
      </c>
      <c r="AM36" s="127">
        <f t="shared" ref="AM36:BR36" si="24">AM35+AL36</f>
        <v>3595.3866000000003</v>
      </c>
      <c r="AN36" s="127">
        <f t="shared" si="24"/>
        <v>3595.3866000000003</v>
      </c>
      <c r="AO36" s="127">
        <f t="shared" si="24"/>
        <v>3595.3866000000003</v>
      </c>
      <c r="AP36" s="127">
        <f t="shared" si="24"/>
        <v>3595.3866000000003</v>
      </c>
      <c r="AQ36" s="127">
        <f t="shared" si="24"/>
        <v>3595.3866000000003</v>
      </c>
      <c r="AR36" s="127">
        <f t="shared" si="24"/>
        <v>3595.3866000000003</v>
      </c>
      <c r="AS36" s="127">
        <f t="shared" si="24"/>
        <v>3595.3866000000003</v>
      </c>
      <c r="AT36" s="127">
        <f t="shared" si="24"/>
        <v>3595.3866000000003</v>
      </c>
      <c r="AU36" s="127">
        <f t="shared" si="24"/>
        <v>3595.3866000000003</v>
      </c>
      <c r="AV36" s="127">
        <f t="shared" si="24"/>
        <v>3595.3866000000003</v>
      </c>
      <c r="AW36" s="127">
        <f t="shared" si="24"/>
        <v>3595.3866000000003</v>
      </c>
      <c r="AX36" s="127">
        <f t="shared" si="24"/>
        <v>3595.3866000000003</v>
      </c>
      <c r="AY36" s="127">
        <f t="shared" si="24"/>
        <v>3595.3866000000003</v>
      </c>
      <c r="AZ36" s="127">
        <f t="shared" si="24"/>
        <v>3595.3866000000003</v>
      </c>
      <c r="BA36" s="127">
        <f t="shared" si="24"/>
        <v>3595.3866000000003</v>
      </c>
      <c r="BB36" s="127">
        <f t="shared" si="24"/>
        <v>3595.3866000000003</v>
      </c>
      <c r="BC36" s="127">
        <f t="shared" si="24"/>
        <v>3595.3866000000003</v>
      </c>
      <c r="BD36" s="127">
        <f t="shared" si="24"/>
        <v>3595.3866000000003</v>
      </c>
    </row>
    <row r="37" spans="1:56" ht="12" customHeight="1">
      <c r="A37" s="163"/>
      <c r="C37" s="152">
        <f>MAX(G37:BD37)</f>
        <v>0</v>
      </c>
      <c r="D37" s="153" t="s">
        <v>188</v>
      </c>
      <c r="E37" s="128" t="s">
        <v>171</v>
      </c>
      <c r="F37" s="154"/>
      <c r="G37" s="168">
        <f t="shared" ref="G37:AL37" si="25">IF(AND(G36&lt;=0,H36&gt;0),G28+(-G36/H35),0)</f>
        <v>0</v>
      </c>
      <c r="H37" s="168">
        <f t="shared" si="25"/>
        <v>0</v>
      </c>
      <c r="I37" s="168">
        <f t="shared" si="25"/>
        <v>0</v>
      </c>
      <c r="J37" s="168">
        <f t="shared" si="25"/>
        <v>0</v>
      </c>
      <c r="K37" s="168">
        <f t="shared" si="25"/>
        <v>0</v>
      </c>
      <c r="L37" s="168">
        <f t="shared" si="25"/>
        <v>0</v>
      </c>
      <c r="M37" s="168">
        <f t="shared" si="25"/>
        <v>0</v>
      </c>
      <c r="N37" s="168">
        <f t="shared" si="25"/>
        <v>0</v>
      </c>
      <c r="O37" s="168">
        <f t="shared" si="25"/>
        <v>0</v>
      </c>
      <c r="P37" s="168">
        <f t="shared" si="25"/>
        <v>0</v>
      </c>
      <c r="Q37" s="168">
        <f t="shared" si="25"/>
        <v>0</v>
      </c>
      <c r="R37" s="168">
        <f t="shared" si="25"/>
        <v>0</v>
      </c>
      <c r="S37" s="168">
        <f t="shared" si="25"/>
        <v>0</v>
      </c>
      <c r="T37" s="168">
        <f t="shared" si="25"/>
        <v>0</v>
      </c>
      <c r="U37" s="168">
        <f t="shared" si="25"/>
        <v>0</v>
      </c>
      <c r="V37" s="168">
        <f t="shared" si="25"/>
        <v>0</v>
      </c>
      <c r="W37" s="168">
        <f t="shared" si="25"/>
        <v>0</v>
      </c>
      <c r="X37" s="168">
        <f t="shared" si="25"/>
        <v>0</v>
      </c>
      <c r="Y37" s="168">
        <f t="shared" si="25"/>
        <v>0</v>
      </c>
      <c r="Z37" s="168">
        <f t="shared" si="25"/>
        <v>0</v>
      </c>
      <c r="AA37" s="168">
        <f t="shared" si="25"/>
        <v>0</v>
      </c>
      <c r="AB37" s="168">
        <f t="shared" si="25"/>
        <v>0</v>
      </c>
      <c r="AC37" s="168">
        <f t="shared" si="25"/>
        <v>0</v>
      </c>
      <c r="AD37" s="168">
        <f t="shared" si="25"/>
        <v>0</v>
      </c>
      <c r="AE37" s="168">
        <f t="shared" si="25"/>
        <v>0</v>
      </c>
      <c r="AF37" s="168">
        <f t="shared" si="25"/>
        <v>0</v>
      </c>
      <c r="AG37" s="168">
        <f t="shared" si="25"/>
        <v>0</v>
      </c>
      <c r="AH37" s="168">
        <f t="shared" si="25"/>
        <v>0</v>
      </c>
      <c r="AI37" s="168">
        <f t="shared" si="25"/>
        <v>0</v>
      </c>
      <c r="AJ37" s="168">
        <f t="shared" si="25"/>
        <v>0</v>
      </c>
      <c r="AK37" s="168">
        <f t="shared" si="25"/>
        <v>0</v>
      </c>
      <c r="AL37" s="168">
        <f t="shared" si="25"/>
        <v>0</v>
      </c>
      <c r="AM37" s="168">
        <f t="shared" ref="AM37:BR37" si="26">IF(AND(AM36&lt;=0,AN36&gt;0),AM28+(-AM36/AN35),0)</f>
        <v>0</v>
      </c>
      <c r="AN37" s="168">
        <f t="shared" si="26"/>
        <v>0</v>
      </c>
      <c r="AO37" s="168">
        <f t="shared" si="26"/>
        <v>0</v>
      </c>
      <c r="AP37" s="168">
        <f t="shared" si="26"/>
        <v>0</v>
      </c>
      <c r="AQ37" s="168">
        <f t="shared" si="26"/>
        <v>0</v>
      </c>
      <c r="AR37" s="168">
        <f t="shared" si="26"/>
        <v>0</v>
      </c>
      <c r="AS37" s="168">
        <f t="shared" si="26"/>
        <v>0</v>
      </c>
      <c r="AT37" s="168">
        <f t="shared" si="26"/>
        <v>0</v>
      </c>
      <c r="AU37" s="168">
        <f t="shared" si="26"/>
        <v>0</v>
      </c>
      <c r="AV37" s="168">
        <f t="shared" si="26"/>
        <v>0</v>
      </c>
      <c r="AW37" s="168">
        <f t="shared" si="26"/>
        <v>0</v>
      </c>
      <c r="AX37" s="168">
        <f t="shared" si="26"/>
        <v>0</v>
      </c>
      <c r="AY37" s="168">
        <f t="shared" si="26"/>
        <v>0</v>
      </c>
      <c r="AZ37" s="168">
        <f t="shared" si="26"/>
        <v>0</v>
      </c>
      <c r="BA37" s="168">
        <f t="shared" si="26"/>
        <v>0</v>
      </c>
      <c r="BB37" s="168">
        <f t="shared" si="26"/>
        <v>0</v>
      </c>
      <c r="BC37" s="168">
        <f t="shared" si="26"/>
        <v>0</v>
      </c>
      <c r="BD37" s="168">
        <f t="shared" si="26"/>
        <v>0</v>
      </c>
    </row>
    <row r="38" spans="1:56" ht="12" customHeight="1">
      <c r="C38" s="125"/>
      <c r="E38" s="128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</row>
    <row r="39" spans="1:56" ht="12" customHeight="1">
      <c r="A39" s="163"/>
      <c r="C39" s="151"/>
      <c r="D39" s="41" t="s">
        <v>28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</row>
    <row r="40" spans="1:56" ht="12" customHeight="1">
      <c r="A40" s="163"/>
      <c r="C40" s="167"/>
      <c r="D40" s="153" t="s">
        <v>191</v>
      </c>
      <c r="E40" s="128" t="s">
        <v>192</v>
      </c>
      <c r="F40" s="154"/>
      <c r="G40" s="168">
        <f>IF(Paramètres!G$113=1,1,(1+Paramètres!$F$95)^(Paramètres!G$113-1))</f>
        <v>1</v>
      </c>
      <c r="H40" s="168">
        <f>IF(Paramètres!H$113=1,1,(1+Paramètres!$F$95)^(Paramètres!H$113-1))</f>
        <v>1.02</v>
      </c>
      <c r="I40" s="168">
        <f>IF(Paramètres!I$113=1,1,(1+Paramètres!$F$95)^(Paramètres!I$113-1))</f>
        <v>1.0404</v>
      </c>
      <c r="J40" s="168">
        <f>IF(Paramètres!J$113=1,1,(1+Paramètres!$F$95)^(Paramètres!J$113-1))</f>
        <v>1.0612079999999999</v>
      </c>
      <c r="K40" s="168">
        <f>IF(Paramètres!K$113=1,1,(1+Paramètres!$F$95)^(Paramètres!K$113-1))</f>
        <v>1.08243216</v>
      </c>
      <c r="L40" s="168">
        <f>IF(Paramètres!L$113=1,1,(1+Paramètres!$F$95)^(Paramètres!L$113-1))</f>
        <v>1.1040808032</v>
      </c>
      <c r="M40" s="168">
        <f>IF(Paramètres!M$113=1,1,(1+Paramètres!$F$95)^(Paramètres!M$113-1))</f>
        <v>1.1261624192640001</v>
      </c>
      <c r="N40" s="168">
        <f>IF(Paramètres!N$113=1,1,(1+Paramètres!$F$95)^(Paramètres!N$113-1))</f>
        <v>1.1486856676492798</v>
      </c>
      <c r="O40" s="168">
        <f>IF(Paramètres!O$113=1,1,(1+Paramètres!$F$95)^(Paramètres!O$113-1))</f>
        <v>1.1716593810022655</v>
      </c>
      <c r="P40" s="168">
        <f>IF(Paramètres!P$113=1,1,(1+Paramètres!$F$95)^(Paramètres!P$113-1))</f>
        <v>1.1950925686223108</v>
      </c>
      <c r="Q40" s="168">
        <f>IF(Paramètres!Q$113=1,1,(1+Paramètres!$F$95)^(Paramètres!Q$113-1))</f>
        <v>1.2189944199947571</v>
      </c>
      <c r="R40" s="168">
        <f>IF(Paramètres!R$113=1,1,(1+Paramètres!$F$95)^(Paramètres!R$113-1))</f>
        <v>1.243374308394652</v>
      </c>
      <c r="S40" s="168">
        <f>IF(Paramètres!S$113=1,1,(1+Paramètres!$F$95)^(Paramètres!S$113-1))</f>
        <v>1.2682417945625453</v>
      </c>
      <c r="T40" s="168">
        <f>IF(Paramètres!T$113=1,1,(1+Paramètres!$F$95)^(Paramètres!T$113-1))</f>
        <v>1.2936066304537961</v>
      </c>
      <c r="U40" s="168">
        <f>IF(Paramètres!U$113=1,1,(1+Paramètres!$F$95)^(Paramètres!U$113-1))</f>
        <v>1.3194787630628722</v>
      </c>
      <c r="V40" s="168">
        <f>IF(Paramètres!V$113=1,1,(1+Paramètres!$F$95)^(Paramètres!V$113-1))</f>
        <v>1.3458683383241292</v>
      </c>
      <c r="W40" s="168">
        <f>IF(Paramètres!W$113=1,1,(1+Paramètres!$F$95)^(Paramètres!W$113-1))</f>
        <v>1.372785705090612</v>
      </c>
      <c r="X40" s="168">
        <f>IF(Paramètres!X$113=1,1,(1+Paramètres!$F$95)^(Paramètres!X$113-1))</f>
        <v>1.4002414191924244</v>
      </c>
      <c r="Y40" s="168">
        <f>IF(Paramètres!Y$113=1,1,(1+Paramètres!$F$95)^(Paramètres!Y$113-1))</f>
        <v>1.4282462475762727</v>
      </c>
      <c r="Z40" s="168">
        <f>IF(Paramètres!Z$113=1,1,(1+Paramètres!$F$95)^(Paramètres!Z$113-1))</f>
        <v>1.4568111725277981</v>
      </c>
      <c r="AA40" s="168">
        <f>IF(Paramètres!AA$113=1,1,(1+Paramètres!$F$95)^(Paramètres!AA$113-1))</f>
        <v>1.4859473959783542</v>
      </c>
      <c r="AB40" s="168">
        <f>IF(Paramètres!AB$113=1,1,(1+Paramètres!$F$95)^(Paramètres!AB$113-1))</f>
        <v>1.5156663438979212</v>
      </c>
      <c r="AC40" s="168">
        <f>IF(Paramètres!AC$113=1,1,(1+Paramètres!$F$95)^(Paramètres!AC$113-1))</f>
        <v>1.5459796707758797</v>
      </c>
      <c r="AD40" s="168">
        <f>IF(Paramètres!AD$113=1,1,(1+Paramètres!$F$95)^(Paramètres!AD$113-1))</f>
        <v>1.576899264191397</v>
      </c>
      <c r="AE40" s="168">
        <f>IF(Paramètres!AE$113=1,1,(1+Paramètres!$F$95)^(Paramètres!AE$113-1))</f>
        <v>1.608437249475225</v>
      </c>
      <c r="AF40" s="168">
        <f>IF(Paramètres!AF$113=1,1,(1+Paramètres!$F$95)^(Paramètres!AF$113-1))</f>
        <v>1.6406059944647295</v>
      </c>
      <c r="AG40" s="168">
        <f>IF(Paramètres!AG$113=1,1,(1+Paramètres!$F$95)^(Paramètres!AG$113-1))</f>
        <v>1.6734181143540243</v>
      </c>
      <c r="AH40" s="168">
        <f>IF(Paramètres!AH$113=1,1,(1+Paramètres!$F$95)^(Paramètres!AH$113-1))</f>
        <v>1.7068864766411045</v>
      </c>
      <c r="AI40" s="168">
        <f>IF(Paramètres!AI$113=1,1,(1+Paramètres!$F$95)^(Paramètres!AI$113-1))</f>
        <v>1.7410242061739269</v>
      </c>
      <c r="AJ40" s="168">
        <f>IF(Paramètres!AJ$113=1,1,(1+Paramètres!$F$95)^(Paramètres!AJ$113-1))</f>
        <v>1.7758446902974052</v>
      </c>
      <c r="AK40" s="168">
        <f>IF(Paramètres!AK$113=1,1,(1+Paramètres!$F$95)^(Paramètres!AK$113-1))</f>
        <v>1.8113615841033535</v>
      </c>
      <c r="AL40" s="168">
        <f>IF(Paramètres!AL$113=1,1,(1+Paramètres!$F$95)^(Paramètres!AL$113-1))</f>
        <v>1.8475888157854201</v>
      </c>
      <c r="AM40" s="168">
        <f>IF(Paramètres!AM$113=1,1,(1+Paramètres!$F$95)^(Paramètres!AM$113-1))</f>
        <v>1.8845405921011289</v>
      </c>
      <c r="AN40" s="168">
        <f>IF(Paramètres!AN$113=1,1,(1+Paramètres!$F$95)^(Paramètres!AN$113-1))</f>
        <v>1.9222314039431516</v>
      </c>
      <c r="AO40" s="168">
        <f>IF(Paramètres!AO$113=1,1,(1+Paramètres!$F$95)^(Paramètres!AO$113-1))</f>
        <v>1.9606760320220145</v>
      </c>
      <c r="AP40" s="168">
        <f>IF(Paramètres!AP$113=1,1,(1+Paramètres!$F$95)^(Paramètres!AP$113-1))</f>
        <v>1.9998895526624547</v>
      </c>
      <c r="AQ40" s="168">
        <f>IF(Paramètres!AQ$113=1,1,(1+Paramètres!$F$95)^(Paramètres!AQ$113-1))</f>
        <v>2.0398873437157037</v>
      </c>
      <c r="AR40" s="168">
        <f>IF(Paramètres!AR$113=1,1,(1+Paramètres!$F$95)^(Paramètres!AR$113-1))</f>
        <v>2.080685090590018</v>
      </c>
      <c r="AS40" s="168">
        <f>IF(Paramètres!AS$113=1,1,(1+Paramètres!$F$95)^(Paramètres!AS$113-1))</f>
        <v>2.1222987924018186</v>
      </c>
      <c r="AT40" s="168">
        <f>IF(Paramètres!AT$113=1,1,(1+Paramètres!$F$95)^(Paramètres!AT$113-1))</f>
        <v>2.1647447682498542</v>
      </c>
      <c r="AU40" s="168">
        <f>IF(Paramètres!AU$113=1,1,(1+Paramètres!$F$95)^(Paramètres!AU$113-1))</f>
        <v>2.2080396636148518</v>
      </c>
      <c r="AV40" s="168">
        <f>IF(Paramètres!AV$113=1,1,(1+Paramètres!$F$95)^(Paramètres!AV$113-1))</f>
        <v>2.2522004568871488</v>
      </c>
      <c r="AW40" s="168">
        <f>IF(Paramètres!AW$113=1,1,(1+Paramètres!$F$95)^(Paramètres!AW$113-1))</f>
        <v>2.2972444660248916</v>
      </c>
      <c r="AX40" s="168">
        <f>IF(Paramètres!AX$113=1,1,(1+Paramètres!$F$95)^(Paramètres!AX$113-1))</f>
        <v>2.3431893553453893</v>
      </c>
      <c r="AY40" s="168">
        <f>IF(Paramètres!AY$113=1,1,(1+Paramètres!$F$95)^(Paramètres!AY$113-1))</f>
        <v>2.3900531424522975</v>
      </c>
      <c r="AZ40" s="168">
        <f>IF(Paramètres!AZ$113=1,1,(1+Paramètres!$F$95)^(Paramètres!AZ$113-1))</f>
        <v>2.4378542053013432</v>
      </c>
      <c r="BA40" s="168">
        <f>IF(Paramètres!BA$113=1,1,(1+Paramètres!$F$95)^(Paramètres!BA$113-1))</f>
        <v>2.4866112894073704</v>
      </c>
      <c r="BB40" s="168">
        <f>IF(Paramètres!BB$113=1,1,(1+Paramètres!$F$95)^(Paramètres!BB$113-1))</f>
        <v>2.5363435151955169</v>
      </c>
      <c r="BC40" s="168">
        <f>IF(Paramètres!BC$113=1,1,(1+Paramètres!$F$95)^(Paramètres!BC$113-1))</f>
        <v>2.5870703854994277</v>
      </c>
      <c r="BD40" s="168">
        <f>IF(Paramètres!BD$113=1,1,(1+Paramètres!$F$95)^(Paramètres!BD$113-1))</f>
        <v>2.6388117932094164</v>
      </c>
    </row>
    <row r="41" spans="1:56" ht="12" customHeight="1">
      <c r="A41" s="163"/>
      <c r="C41" s="151"/>
      <c r="D41" s="153"/>
      <c r="E41" s="128"/>
      <c r="F41" s="154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</row>
    <row r="42" spans="1:56" ht="12" customHeight="1">
      <c r="A42" s="163"/>
      <c r="C42" s="152"/>
      <c r="D42" s="41" t="s">
        <v>193</v>
      </c>
      <c r="E42" s="41" t="s">
        <v>146</v>
      </c>
      <c r="F42" s="41"/>
      <c r="G42" s="126">
        <f t="shared" ref="G42:AL42" si="27">G$2</f>
        <v>1</v>
      </c>
      <c r="H42" s="126">
        <f t="shared" si="27"/>
        <v>2</v>
      </c>
      <c r="I42" s="126">
        <f t="shared" si="27"/>
        <v>3</v>
      </c>
      <c r="J42" s="126">
        <f t="shared" si="27"/>
        <v>4</v>
      </c>
      <c r="K42" s="126">
        <f t="shared" si="27"/>
        <v>5</v>
      </c>
      <c r="L42" s="126">
        <f t="shared" si="27"/>
        <v>6</v>
      </c>
      <c r="M42" s="126">
        <f t="shared" si="27"/>
        <v>7</v>
      </c>
      <c r="N42" s="126">
        <f t="shared" si="27"/>
        <v>8</v>
      </c>
      <c r="O42" s="126">
        <f t="shared" si="27"/>
        <v>9</v>
      </c>
      <c r="P42" s="126">
        <f t="shared" si="27"/>
        <v>10</v>
      </c>
      <c r="Q42" s="126">
        <f t="shared" si="27"/>
        <v>11</v>
      </c>
      <c r="R42" s="126">
        <f t="shared" si="27"/>
        <v>12</v>
      </c>
      <c r="S42" s="126">
        <f t="shared" si="27"/>
        <v>13</v>
      </c>
      <c r="T42" s="126">
        <f t="shared" si="27"/>
        <v>14</v>
      </c>
      <c r="U42" s="126">
        <f t="shared" si="27"/>
        <v>15</v>
      </c>
      <c r="V42" s="126">
        <f t="shared" si="27"/>
        <v>16</v>
      </c>
      <c r="W42" s="126">
        <f t="shared" si="27"/>
        <v>17</v>
      </c>
      <c r="X42" s="126">
        <f t="shared" si="27"/>
        <v>18</v>
      </c>
      <c r="Y42" s="126">
        <f t="shared" si="27"/>
        <v>19</v>
      </c>
      <c r="Z42" s="126">
        <f t="shared" si="27"/>
        <v>20</v>
      </c>
      <c r="AA42" s="126">
        <f t="shared" si="27"/>
        <v>21</v>
      </c>
      <c r="AB42" s="126">
        <f t="shared" si="27"/>
        <v>22</v>
      </c>
      <c r="AC42" s="126">
        <f t="shared" si="27"/>
        <v>23</v>
      </c>
      <c r="AD42" s="126">
        <f t="shared" si="27"/>
        <v>24</v>
      </c>
      <c r="AE42" s="126">
        <f t="shared" si="27"/>
        <v>25</v>
      </c>
      <c r="AF42" s="126">
        <f t="shared" si="27"/>
        <v>26</v>
      </c>
      <c r="AG42" s="126">
        <f t="shared" si="27"/>
        <v>27</v>
      </c>
      <c r="AH42" s="126">
        <f t="shared" si="27"/>
        <v>28</v>
      </c>
      <c r="AI42" s="126">
        <f t="shared" si="27"/>
        <v>29</v>
      </c>
      <c r="AJ42" s="126">
        <f t="shared" si="27"/>
        <v>30</v>
      </c>
      <c r="AK42" s="126">
        <f t="shared" si="27"/>
        <v>31</v>
      </c>
      <c r="AL42" s="126">
        <f t="shared" si="27"/>
        <v>32</v>
      </c>
      <c r="AM42" s="126">
        <f t="shared" ref="AM42:BD42" si="28">AM$2</f>
        <v>33</v>
      </c>
      <c r="AN42" s="126">
        <f t="shared" si="28"/>
        <v>34</v>
      </c>
      <c r="AO42" s="126">
        <f t="shared" si="28"/>
        <v>35</v>
      </c>
      <c r="AP42" s="126">
        <f t="shared" si="28"/>
        <v>36</v>
      </c>
      <c r="AQ42" s="126">
        <f t="shared" si="28"/>
        <v>37</v>
      </c>
      <c r="AR42" s="126">
        <f t="shared" si="28"/>
        <v>38</v>
      </c>
      <c r="AS42" s="126">
        <f t="shared" si="28"/>
        <v>39</v>
      </c>
      <c r="AT42" s="126">
        <f t="shared" si="28"/>
        <v>40</v>
      </c>
      <c r="AU42" s="126">
        <f t="shared" si="28"/>
        <v>41</v>
      </c>
      <c r="AV42" s="126">
        <f t="shared" si="28"/>
        <v>42</v>
      </c>
      <c r="AW42" s="126">
        <f t="shared" si="28"/>
        <v>43</v>
      </c>
      <c r="AX42" s="126">
        <f t="shared" si="28"/>
        <v>44</v>
      </c>
      <c r="AY42" s="126">
        <f t="shared" si="28"/>
        <v>45</v>
      </c>
      <c r="AZ42" s="126">
        <f t="shared" si="28"/>
        <v>46</v>
      </c>
      <c r="BA42" s="126">
        <f t="shared" si="28"/>
        <v>47</v>
      </c>
      <c r="BB42" s="126">
        <f t="shared" si="28"/>
        <v>48</v>
      </c>
      <c r="BC42" s="126">
        <f t="shared" si="28"/>
        <v>49</v>
      </c>
      <c r="BD42" s="126">
        <f t="shared" si="28"/>
        <v>50</v>
      </c>
    </row>
    <row r="43" spans="1:56" ht="12" customHeight="1">
      <c r="C43" s="152">
        <f t="shared" ref="C43:C54" si="29">SUM(G43:BD43)</f>
        <v>7785.0251775194829</v>
      </c>
      <c r="D43" s="153" t="s">
        <v>174</v>
      </c>
      <c r="E43" s="128" t="s">
        <v>153</v>
      </c>
      <c r="F43" s="154"/>
      <c r="G43" s="127">
        <f t="shared" ref="G43:AL43" si="30">G9*G$40</f>
        <v>392</v>
      </c>
      <c r="H43" s="127">
        <f t="shared" si="30"/>
        <v>585.88800000000003</v>
      </c>
      <c r="I43" s="127">
        <f t="shared" si="30"/>
        <v>599.2704</v>
      </c>
      <c r="J43" s="127">
        <f t="shared" si="30"/>
        <v>679.17311999999993</v>
      </c>
      <c r="K43" s="127">
        <f t="shared" si="30"/>
        <v>692.75658239999996</v>
      </c>
      <c r="L43" s="127">
        <f t="shared" si="30"/>
        <v>706.61171404800007</v>
      </c>
      <c r="M43" s="127">
        <f t="shared" si="30"/>
        <v>720.74394832896007</v>
      </c>
      <c r="N43" s="127">
        <f t="shared" si="30"/>
        <v>588.12706183643127</v>
      </c>
      <c r="O43" s="127">
        <f t="shared" si="30"/>
        <v>324.31531666142712</v>
      </c>
      <c r="P43" s="127">
        <f t="shared" si="30"/>
        <v>330.80162299465565</v>
      </c>
      <c r="Q43" s="127">
        <f t="shared" si="30"/>
        <v>337.41765545454876</v>
      </c>
      <c r="R43" s="127">
        <f t="shared" si="30"/>
        <v>344.16600856363971</v>
      </c>
      <c r="S43" s="127">
        <f t="shared" si="30"/>
        <v>351.04932873491254</v>
      </c>
      <c r="T43" s="127">
        <f t="shared" si="30"/>
        <v>358.07031530961075</v>
      </c>
      <c r="U43" s="127">
        <f t="shared" si="30"/>
        <v>365.23172161580305</v>
      </c>
      <c r="V43" s="127">
        <f t="shared" si="30"/>
        <v>286.40078239537473</v>
      </c>
      <c r="W43" s="127">
        <f t="shared" si="30"/>
        <v>123.00159917611883</v>
      </c>
      <c r="X43" s="127">
        <f t="shared" si="30"/>
        <v>0</v>
      </c>
      <c r="Y43" s="127">
        <f t="shared" si="30"/>
        <v>0</v>
      </c>
      <c r="Z43" s="127">
        <f t="shared" si="30"/>
        <v>0</v>
      </c>
      <c r="AA43" s="127">
        <f t="shared" si="30"/>
        <v>0</v>
      </c>
      <c r="AB43" s="127">
        <f t="shared" si="30"/>
        <v>0</v>
      </c>
      <c r="AC43" s="127">
        <f t="shared" si="30"/>
        <v>0</v>
      </c>
      <c r="AD43" s="127">
        <f t="shared" si="30"/>
        <v>0</v>
      </c>
      <c r="AE43" s="127">
        <f t="shared" si="30"/>
        <v>0</v>
      </c>
      <c r="AF43" s="127">
        <f t="shared" si="30"/>
        <v>0</v>
      </c>
      <c r="AG43" s="127">
        <f t="shared" si="30"/>
        <v>0</v>
      </c>
      <c r="AH43" s="127">
        <f t="shared" si="30"/>
        <v>0</v>
      </c>
      <c r="AI43" s="127">
        <f t="shared" si="30"/>
        <v>0</v>
      </c>
      <c r="AJ43" s="127">
        <f t="shared" si="30"/>
        <v>0</v>
      </c>
      <c r="AK43" s="127">
        <f t="shared" si="30"/>
        <v>0</v>
      </c>
      <c r="AL43" s="127">
        <f t="shared" si="30"/>
        <v>0</v>
      </c>
      <c r="AM43" s="127">
        <f t="shared" ref="AM43:BD43" si="31">AM9*AM$40</f>
        <v>0</v>
      </c>
      <c r="AN43" s="127">
        <f t="shared" si="31"/>
        <v>0</v>
      </c>
      <c r="AO43" s="127">
        <f t="shared" si="31"/>
        <v>0</v>
      </c>
      <c r="AP43" s="127">
        <f t="shared" si="31"/>
        <v>0</v>
      </c>
      <c r="AQ43" s="127">
        <f t="shared" si="31"/>
        <v>0</v>
      </c>
      <c r="AR43" s="127">
        <f t="shared" si="31"/>
        <v>0</v>
      </c>
      <c r="AS43" s="127">
        <f t="shared" si="31"/>
        <v>0</v>
      </c>
      <c r="AT43" s="127">
        <f t="shared" si="31"/>
        <v>0</v>
      </c>
      <c r="AU43" s="127">
        <f t="shared" si="31"/>
        <v>0</v>
      </c>
      <c r="AV43" s="127">
        <f t="shared" si="31"/>
        <v>0</v>
      </c>
      <c r="AW43" s="127">
        <f t="shared" si="31"/>
        <v>0</v>
      </c>
      <c r="AX43" s="127">
        <f t="shared" si="31"/>
        <v>0</v>
      </c>
      <c r="AY43" s="127">
        <f t="shared" si="31"/>
        <v>0</v>
      </c>
      <c r="AZ43" s="127">
        <f t="shared" si="31"/>
        <v>0</v>
      </c>
      <c r="BA43" s="127">
        <f t="shared" si="31"/>
        <v>0</v>
      </c>
      <c r="BB43" s="127">
        <f t="shared" si="31"/>
        <v>0</v>
      </c>
      <c r="BC43" s="127">
        <f t="shared" si="31"/>
        <v>0</v>
      </c>
      <c r="BD43" s="127">
        <f t="shared" si="31"/>
        <v>0</v>
      </c>
    </row>
    <row r="44" spans="1:56" ht="12" customHeight="1">
      <c r="C44" s="152">
        <f t="shared" si="29"/>
        <v>0</v>
      </c>
      <c r="D44" s="155" t="s">
        <v>175</v>
      </c>
      <c r="E44" s="128" t="s">
        <v>153</v>
      </c>
      <c r="F44" s="154"/>
      <c r="G44" s="127">
        <f t="shared" ref="G44:AL44" si="32">G10*G$40</f>
        <v>0</v>
      </c>
      <c r="H44" s="127">
        <f t="shared" si="32"/>
        <v>0</v>
      </c>
      <c r="I44" s="127">
        <f t="shared" si="32"/>
        <v>0</v>
      </c>
      <c r="J44" s="127">
        <f t="shared" si="32"/>
        <v>0</v>
      </c>
      <c r="K44" s="127">
        <f t="shared" si="32"/>
        <v>0</v>
      </c>
      <c r="L44" s="127">
        <f t="shared" si="32"/>
        <v>0</v>
      </c>
      <c r="M44" s="127">
        <f t="shared" si="32"/>
        <v>0</v>
      </c>
      <c r="N44" s="127">
        <f t="shared" si="32"/>
        <v>0</v>
      </c>
      <c r="O44" s="127">
        <f t="shared" si="32"/>
        <v>0</v>
      </c>
      <c r="P44" s="127">
        <f t="shared" si="32"/>
        <v>0</v>
      </c>
      <c r="Q44" s="127">
        <f t="shared" si="32"/>
        <v>0</v>
      </c>
      <c r="R44" s="127">
        <f t="shared" si="32"/>
        <v>0</v>
      </c>
      <c r="S44" s="127">
        <f t="shared" si="32"/>
        <v>0</v>
      </c>
      <c r="T44" s="127">
        <f t="shared" si="32"/>
        <v>0</v>
      </c>
      <c r="U44" s="127">
        <f t="shared" si="32"/>
        <v>0</v>
      </c>
      <c r="V44" s="127">
        <f t="shared" si="32"/>
        <v>0</v>
      </c>
      <c r="W44" s="127">
        <f t="shared" si="32"/>
        <v>0</v>
      </c>
      <c r="X44" s="127">
        <f t="shared" si="32"/>
        <v>0</v>
      </c>
      <c r="Y44" s="127">
        <f t="shared" si="32"/>
        <v>0</v>
      </c>
      <c r="Z44" s="127">
        <f t="shared" si="32"/>
        <v>0</v>
      </c>
      <c r="AA44" s="127">
        <f t="shared" si="32"/>
        <v>0</v>
      </c>
      <c r="AB44" s="127">
        <f t="shared" si="32"/>
        <v>0</v>
      </c>
      <c r="AC44" s="127">
        <f t="shared" si="32"/>
        <v>0</v>
      </c>
      <c r="AD44" s="127">
        <f t="shared" si="32"/>
        <v>0</v>
      </c>
      <c r="AE44" s="127">
        <f t="shared" si="32"/>
        <v>0</v>
      </c>
      <c r="AF44" s="127">
        <f t="shared" si="32"/>
        <v>0</v>
      </c>
      <c r="AG44" s="127">
        <f t="shared" si="32"/>
        <v>0</v>
      </c>
      <c r="AH44" s="127">
        <f t="shared" si="32"/>
        <v>0</v>
      </c>
      <c r="AI44" s="127">
        <f t="shared" si="32"/>
        <v>0</v>
      </c>
      <c r="AJ44" s="127">
        <f t="shared" si="32"/>
        <v>0</v>
      </c>
      <c r="AK44" s="127">
        <f t="shared" si="32"/>
        <v>0</v>
      </c>
      <c r="AL44" s="127">
        <f t="shared" si="32"/>
        <v>0</v>
      </c>
      <c r="AM44" s="127">
        <f t="shared" ref="AM44:BD44" si="33">AM10*AM$40</f>
        <v>0</v>
      </c>
      <c r="AN44" s="127">
        <f t="shared" si="33"/>
        <v>0</v>
      </c>
      <c r="AO44" s="127">
        <f t="shared" si="33"/>
        <v>0</v>
      </c>
      <c r="AP44" s="127">
        <f t="shared" si="33"/>
        <v>0</v>
      </c>
      <c r="AQ44" s="127">
        <f t="shared" si="33"/>
        <v>0</v>
      </c>
      <c r="AR44" s="127">
        <f t="shared" si="33"/>
        <v>0</v>
      </c>
      <c r="AS44" s="127">
        <f t="shared" si="33"/>
        <v>0</v>
      </c>
      <c r="AT44" s="127">
        <f t="shared" si="33"/>
        <v>0</v>
      </c>
      <c r="AU44" s="127">
        <f t="shared" si="33"/>
        <v>0</v>
      </c>
      <c r="AV44" s="127">
        <f t="shared" si="33"/>
        <v>0</v>
      </c>
      <c r="AW44" s="127">
        <f t="shared" si="33"/>
        <v>0</v>
      </c>
      <c r="AX44" s="127">
        <f t="shared" si="33"/>
        <v>0</v>
      </c>
      <c r="AY44" s="127">
        <f t="shared" si="33"/>
        <v>0</v>
      </c>
      <c r="AZ44" s="127">
        <f t="shared" si="33"/>
        <v>0</v>
      </c>
      <c r="BA44" s="127">
        <f t="shared" si="33"/>
        <v>0</v>
      </c>
      <c r="BB44" s="127">
        <f t="shared" si="33"/>
        <v>0</v>
      </c>
      <c r="BC44" s="127">
        <f t="shared" si="33"/>
        <v>0</v>
      </c>
      <c r="BD44" s="127">
        <f t="shared" si="33"/>
        <v>0</v>
      </c>
    </row>
    <row r="45" spans="1:56" ht="12" customHeight="1">
      <c r="A45" s="158" t="b">
        <f>ROUND(C45-(C43-C44),5)=0</f>
        <v>1</v>
      </c>
      <c r="C45" s="152">
        <f t="shared" si="29"/>
        <v>7785.0251775194829</v>
      </c>
      <c r="D45" s="153" t="s">
        <v>176</v>
      </c>
      <c r="E45" s="128" t="s">
        <v>153</v>
      </c>
      <c r="F45" s="154"/>
      <c r="G45" s="127">
        <f t="shared" ref="G45:AL45" si="34">G11*G$40</f>
        <v>392</v>
      </c>
      <c r="H45" s="127">
        <f t="shared" si="34"/>
        <v>585.88800000000003</v>
      </c>
      <c r="I45" s="127">
        <f t="shared" si="34"/>
        <v>599.2704</v>
      </c>
      <c r="J45" s="127">
        <f t="shared" si="34"/>
        <v>679.17311999999993</v>
      </c>
      <c r="K45" s="127">
        <f t="shared" si="34"/>
        <v>692.75658239999996</v>
      </c>
      <c r="L45" s="127">
        <f t="shared" si="34"/>
        <v>706.61171404800007</v>
      </c>
      <c r="M45" s="127">
        <f t="shared" si="34"/>
        <v>720.74394832896007</v>
      </c>
      <c r="N45" s="127">
        <f t="shared" si="34"/>
        <v>588.12706183643127</v>
      </c>
      <c r="O45" s="127">
        <f t="shared" si="34"/>
        <v>324.31531666142712</v>
      </c>
      <c r="P45" s="127">
        <f t="shared" si="34"/>
        <v>330.80162299465565</v>
      </c>
      <c r="Q45" s="127">
        <f t="shared" si="34"/>
        <v>337.41765545454876</v>
      </c>
      <c r="R45" s="127">
        <f t="shared" si="34"/>
        <v>344.16600856363971</v>
      </c>
      <c r="S45" s="127">
        <f t="shared" si="34"/>
        <v>351.04932873491254</v>
      </c>
      <c r="T45" s="127">
        <f t="shared" si="34"/>
        <v>358.07031530961075</v>
      </c>
      <c r="U45" s="127">
        <f t="shared" si="34"/>
        <v>365.23172161580305</v>
      </c>
      <c r="V45" s="127">
        <f t="shared" si="34"/>
        <v>286.40078239537473</v>
      </c>
      <c r="W45" s="127">
        <f t="shared" si="34"/>
        <v>123.00159917611883</v>
      </c>
      <c r="X45" s="127">
        <f t="shared" si="34"/>
        <v>0</v>
      </c>
      <c r="Y45" s="127">
        <f t="shared" si="34"/>
        <v>0</v>
      </c>
      <c r="Z45" s="127">
        <f t="shared" si="34"/>
        <v>0</v>
      </c>
      <c r="AA45" s="127">
        <f t="shared" si="34"/>
        <v>0</v>
      </c>
      <c r="AB45" s="127">
        <f t="shared" si="34"/>
        <v>0</v>
      </c>
      <c r="AC45" s="127">
        <f t="shared" si="34"/>
        <v>0</v>
      </c>
      <c r="AD45" s="127">
        <f t="shared" si="34"/>
        <v>0</v>
      </c>
      <c r="AE45" s="127">
        <f t="shared" si="34"/>
        <v>0</v>
      </c>
      <c r="AF45" s="127">
        <f t="shared" si="34"/>
        <v>0</v>
      </c>
      <c r="AG45" s="127">
        <f t="shared" si="34"/>
        <v>0</v>
      </c>
      <c r="AH45" s="127">
        <f t="shared" si="34"/>
        <v>0</v>
      </c>
      <c r="AI45" s="127">
        <f t="shared" si="34"/>
        <v>0</v>
      </c>
      <c r="AJ45" s="127">
        <f t="shared" si="34"/>
        <v>0</v>
      </c>
      <c r="AK45" s="127">
        <f t="shared" si="34"/>
        <v>0</v>
      </c>
      <c r="AL45" s="127">
        <f t="shared" si="34"/>
        <v>0</v>
      </c>
      <c r="AM45" s="127">
        <f t="shared" ref="AM45:BD45" si="35">AM11*AM$40</f>
        <v>0</v>
      </c>
      <c r="AN45" s="127">
        <f t="shared" si="35"/>
        <v>0</v>
      </c>
      <c r="AO45" s="127">
        <f t="shared" si="35"/>
        <v>0</v>
      </c>
      <c r="AP45" s="127">
        <f t="shared" si="35"/>
        <v>0</v>
      </c>
      <c r="AQ45" s="127">
        <f t="shared" si="35"/>
        <v>0</v>
      </c>
      <c r="AR45" s="127">
        <f t="shared" si="35"/>
        <v>0</v>
      </c>
      <c r="AS45" s="127">
        <f t="shared" si="35"/>
        <v>0</v>
      </c>
      <c r="AT45" s="127">
        <f t="shared" si="35"/>
        <v>0</v>
      </c>
      <c r="AU45" s="127">
        <f t="shared" si="35"/>
        <v>0</v>
      </c>
      <c r="AV45" s="127">
        <f t="shared" si="35"/>
        <v>0</v>
      </c>
      <c r="AW45" s="127">
        <f t="shared" si="35"/>
        <v>0</v>
      </c>
      <c r="AX45" s="127">
        <f t="shared" si="35"/>
        <v>0</v>
      </c>
      <c r="AY45" s="127">
        <f t="shared" si="35"/>
        <v>0</v>
      </c>
      <c r="AZ45" s="127">
        <f t="shared" si="35"/>
        <v>0</v>
      </c>
      <c r="BA45" s="127">
        <f t="shared" si="35"/>
        <v>0</v>
      </c>
      <c r="BB45" s="127">
        <f t="shared" si="35"/>
        <v>0</v>
      </c>
      <c r="BC45" s="127">
        <f t="shared" si="35"/>
        <v>0</v>
      </c>
      <c r="BD45" s="127">
        <f t="shared" si="35"/>
        <v>0</v>
      </c>
    </row>
    <row r="46" spans="1:56" ht="12" customHeight="1">
      <c r="C46" s="152">
        <f t="shared" si="29"/>
        <v>0</v>
      </c>
      <c r="D46" s="55" t="s">
        <v>155</v>
      </c>
      <c r="E46" s="128" t="s">
        <v>153</v>
      </c>
      <c r="F46" s="154"/>
      <c r="G46" s="127">
        <f t="shared" ref="G46:AL46" si="36">G12*G$40</f>
        <v>0</v>
      </c>
      <c r="H46" s="127">
        <f t="shared" si="36"/>
        <v>0</v>
      </c>
      <c r="I46" s="127">
        <f t="shared" si="36"/>
        <v>0</v>
      </c>
      <c r="J46" s="127">
        <f t="shared" si="36"/>
        <v>0</v>
      </c>
      <c r="K46" s="127">
        <f t="shared" si="36"/>
        <v>0</v>
      </c>
      <c r="L46" s="127">
        <f t="shared" si="36"/>
        <v>0</v>
      </c>
      <c r="M46" s="127">
        <f t="shared" si="36"/>
        <v>0</v>
      </c>
      <c r="N46" s="127">
        <f t="shared" si="36"/>
        <v>0</v>
      </c>
      <c r="O46" s="127">
        <f t="shared" si="36"/>
        <v>0</v>
      </c>
      <c r="P46" s="127">
        <f t="shared" si="36"/>
        <v>0</v>
      </c>
      <c r="Q46" s="127">
        <f t="shared" si="36"/>
        <v>0</v>
      </c>
      <c r="R46" s="127">
        <f t="shared" si="36"/>
        <v>0</v>
      </c>
      <c r="S46" s="127">
        <f t="shared" si="36"/>
        <v>0</v>
      </c>
      <c r="T46" s="127">
        <f t="shared" si="36"/>
        <v>0</v>
      </c>
      <c r="U46" s="127">
        <f t="shared" si="36"/>
        <v>0</v>
      </c>
      <c r="V46" s="127">
        <f t="shared" si="36"/>
        <v>0</v>
      </c>
      <c r="W46" s="127">
        <f t="shared" si="36"/>
        <v>0</v>
      </c>
      <c r="X46" s="127">
        <f t="shared" si="36"/>
        <v>0</v>
      </c>
      <c r="Y46" s="127">
        <f t="shared" si="36"/>
        <v>0</v>
      </c>
      <c r="Z46" s="127">
        <f t="shared" si="36"/>
        <v>0</v>
      </c>
      <c r="AA46" s="127">
        <f t="shared" si="36"/>
        <v>0</v>
      </c>
      <c r="AB46" s="127">
        <f t="shared" si="36"/>
        <v>0</v>
      </c>
      <c r="AC46" s="127">
        <f t="shared" si="36"/>
        <v>0</v>
      </c>
      <c r="AD46" s="127">
        <f t="shared" si="36"/>
        <v>0</v>
      </c>
      <c r="AE46" s="127">
        <f t="shared" si="36"/>
        <v>0</v>
      </c>
      <c r="AF46" s="127">
        <f t="shared" si="36"/>
        <v>0</v>
      </c>
      <c r="AG46" s="127">
        <f t="shared" si="36"/>
        <v>0</v>
      </c>
      <c r="AH46" s="127">
        <f t="shared" si="36"/>
        <v>0</v>
      </c>
      <c r="AI46" s="127">
        <f t="shared" si="36"/>
        <v>0</v>
      </c>
      <c r="AJ46" s="127">
        <f t="shared" si="36"/>
        <v>0</v>
      </c>
      <c r="AK46" s="127">
        <f t="shared" si="36"/>
        <v>0</v>
      </c>
      <c r="AL46" s="127">
        <f t="shared" si="36"/>
        <v>0</v>
      </c>
      <c r="AM46" s="127">
        <f t="shared" ref="AM46:BD46" si="37">AM12*AM$40</f>
        <v>0</v>
      </c>
      <c r="AN46" s="127">
        <f t="shared" si="37"/>
        <v>0</v>
      </c>
      <c r="AO46" s="127">
        <f t="shared" si="37"/>
        <v>0</v>
      </c>
      <c r="AP46" s="127">
        <f t="shared" si="37"/>
        <v>0</v>
      </c>
      <c r="AQ46" s="127">
        <f t="shared" si="37"/>
        <v>0</v>
      </c>
      <c r="AR46" s="127">
        <f t="shared" si="37"/>
        <v>0</v>
      </c>
      <c r="AS46" s="127">
        <f t="shared" si="37"/>
        <v>0</v>
      </c>
      <c r="AT46" s="127">
        <f t="shared" si="37"/>
        <v>0</v>
      </c>
      <c r="AU46" s="127">
        <f t="shared" si="37"/>
        <v>0</v>
      </c>
      <c r="AV46" s="127">
        <f t="shared" si="37"/>
        <v>0</v>
      </c>
      <c r="AW46" s="127">
        <f t="shared" si="37"/>
        <v>0</v>
      </c>
      <c r="AX46" s="127">
        <f t="shared" si="37"/>
        <v>0</v>
      </c>
      <c r="AY46" s="127">
        <f t="shared" si="37"/>
        <v>0</v>
      </c>
      <c r="AZ46" s="127">
        <f t="shared" si="37"/>
        <v>0</v>
      </c>
      <c r="BA46" s="127">
        <f t="shared" si="37"/>
        <v>0</v>
      </c>
      <c r="BB46" s="127">
        <f t="shared" si="37"/>
        <v>0</v>
      </c>
      <c r="BC46" s="127">
        <f t="shared" si="37"/>
        <v>0</v>
      </c>
      <c r="BD46" s="127">
        <f t="shared" si="37"/>
        <v>0</v>
      </c>
    </row>
    <row r="47" spans="1:56" ht="12" customHeight="1">
      <c r="C47" s="152">
        <f t="shared" si="29"/>
        <v>0</v>
      </c>
      <c r="D47" s="55" t="s">
        <v>156</v>
      </c>
      <c r="E47" s="128" t="s">
        <v>153</v>
      </c>
      <c r="F47" s="154"/>
      <c r="G47" s="127">
        <f t="shared" ref="G47:AL47" si="38">G13*G$40</f>
        <v>0</v>
      </c>
      <c r="H47" s="127">
        <f t="shared" si="38"/>
        <v>0</v>
      </c>
      <c r="I47" s="127">
        <f t="shared" si="38"/>
        <v>0</v>
      </c>
      <c r="J47" s="127">
        <f t="shared" si="38"/>
        <v>0</v>
      </c>
      <c r="K47" s="127">
        <f t="shared" si="38"/>
        <v>0</v>
      </c>
      <c r="L47" s="127">
        <f t="shared" si="38"/>
        <v>0</v>
      </c>
      <c r="M47" s="127">
        <f t="shared" si="38"/>
        <v>0</v>
      </c>
      <c r="N47" s="127">
        <f t="shared" si="38"/>
        <v>0</v>
      </c>
      <c r="O47" s="127">
        <f t="shared" si="38"/>
        <v>0</v>
      </c>
      <c r="P47" s="127">
        <f t="shared" si="38"/>
        <v>0</v>
      </c>
      <c r="Q47" s="127">
        <f t="shared" si="38"/>
        <v>0</v>
      </c>
      <c r="R47" s="127">
        <f t="shared" si="38"/>
        <v>0</v>
      </c>
      <c r="S47" s="127">
        <f t="shared" si="38"/>
        <v>0</v>
      </c>
      <c r="T47" s="127">
        <f t="shared" si="38"/>
        <v>0</v>
      </c>
      <c r="U47" s="127">
        <f t="shared" si="38"/>
        <v>0</v>
      </c>
      <c r="V47" s="127">
        <f t="shared" si="38"/>
        <v>0</v>
      </c>
      <c r="W47" s="127">
        <f t="shared" si="38"/>
        <v>0</v>
      </c>
      <c r="X47" s="127">
        <f t="shared" si="38"/>
        <v>0</v>
      </c>
      <c r="Y47" s="127">
        <f t="shared" si="38"/>
        <v>0</v>
      </c>
      <c r="Z47" s="127">
        <f t="shared" si="38"/>
        <v>0</v>
      </c>
      <c r="AA47" s="127">
        <f t="shared" si="38"/>
        <v>0</v>
      </c>
      <c r="AB47" s="127">
        <f t="shared" si="38"/>
        <v>0</v>
      </c>
      <c r="AC47" s="127">
        <f t="shared" si="38"/>
        <v>0</v>
      </c>
      <c r="AD47" s="127">
        <f t="shared" si="38"/>
        <v>0</v>
      </c>
      <c r="AE47" s="127">
        <f t="shared" si="38"/>
        <v>0</v>
      </c>
      <c r="AF47" s="127">
        <f t="shared" si="38"/>
        <v>0</v>
      </c>
      <c r="AG47" s="127">
        <f t="shared" si="38"/>
        <v>0</v>
      </c>
      <c r="AH47" s="127">
        <f t="shared" si="38"/>
        <v>0</v>
      </c>
      <c r="AI47" s="127">
        <f t="shared" si="38"/>
        <v>0</v>
      </c>
      <c r="AJ47" s="127">
        <f t="shared" si="38"/>
        <v>0</v>
      </c>
      <c r="AK47" s="127">
        <f t="shared" si="38"/>
        <v>0</v>
      </c>
      <c r="AL47" s="127">
        <f t="shared" si="38"/>
        <v>0</v>
      </c>
      <c r="AM47" s="127">
        <f t="shared" ref="AM47:BD47" si="39">AM13*AM$40</f>
        <v>0</v>
      </c>
      <c r="AN47" s="127">
        <f t="shared" si="39"/>
        <v>0</v>
      </c>
      <c r="AO47" s="127">
        <f t="shared" si="39"/>
        <v>0</v>
      </c>
      <c r="AP47" s="127">
        <f t="shared" si="39"/>
        <v>0</v>
      </c>
      <c r="AQ47" s="127">
        <f t="shared" si="39"/>
        <v>0</v>
      </c>
      <c r="AR47" s="127">
        <f t="shared" si="39"/>
        <v>0</v>
      </c>
      <c r="AS47" s="127">
        <f t="shared" si="39"/>
        <v>0</v>
      </c>
      <c r="AT47" s="127">
        <f t="shared" si="39"/>
        <v>0</v>
      </c>
      <c r="AU47" s="127">
        <f t="shared" si="39"/>
        <v>0</v>
      </c>
      <c r="AV47" s="127">
        <f t="shared" si="39"/>
        <v>0</v>
      </c>
      <c r="AW47" s="127">
        <f t="shared" si="39"/>
        <v>0</v>
      </c>
      <c r="AX47" s="127">
        <f t="shared" si="39"/>
        <v>0</v>
      </c>
      <c r="AY47" s="127">
        <f t="shared" si="39"/>
        <v>0</v>
      </c>
      <c r="AZ47" s="127">
        <f t="shared" si="39"/>
        <v>0</v>
      </c>
      <c r="BA47" s="127">
        <f t="shared" si="39"/>
        <v>0</v>
      </c>
      <c r="BB47" s="127">
        <f t="shared" si="39"/>
        <v>0</v>
      </c>
      <c r="BC47" s="127">
        <f t="shared" si="39"/>
        <v>0</v>
      </c>
      <c r="BD47" s="127">
        <f t="shared" si="39"/>
        <v>0</v>
      </c>
    </row>
    <row r="48" spans="1:56" ht="12" customHeight="1">
      <c r="C48" s="152">
        <f t="shared" si="29"/>
        <v>438.2479602408668</v>
      </c>
      <c r="D48" s="55" t="s">
        <v>157</v>
      </c>
      <c r="E48" s="128" t="s">
        <v>153</v>
      </c>
      <c r="F48" s="154"/>
      <c r="G48" s="127">
        <f t="shared" ref="G48:AL48" si="40">G14*G$40</f>
        <v>37</v>
      </c>
      <c r="H48" s="127">
        <f t="shared" si="40"/>
        <v>111.18</v>
      </c>
      <c r="I48" s="127">
        <f t="shared" si="40"/>
        <v>166.464</v>
      </c>
      <c r="J48" s="127">
        <f t="shared" si="40"/>
        <v>0</v>
      </c>
      <c r="K48" s="127">
        <f t="shared" si="40"/>
        <v>0</v>
      </c>
      <c r="L48" s="127">
        <f t="shared" si="40"/>
        <v>0</v>
      </c>
      <c r="M48" s="127">
        <f t="shared" si="40"/>
        <v>0</v>
      </c>
      <c r="N48" s="127">
        <f t="shared" si="40"/>
        <v>27.568456023582716</v>
      </c>
      <c r="O48" s="127">
        <f t="shared" si="40"/>
        <v>26.948165763052106</v>
      </c>
      <c r="P48" s="127">
        <f t="shared" si="40"/>
        <v>10.755833117600798</v>
      </c>
      <c r="Q48" s="127">
        <f t="shared" si="40"/>
        <v>2.4379888399895142</v>
      </c>
      <c r="R48" s="127">
        <f t="shared" si="40"/>
        <v>1.243374308394652</v>
      </c>
      <c r="S48" s="127">
        <f t="shared" si="40"/>
        <v>11.414176151062907</v>
      </c>
      <c r="T48" s="127">
        <f t="shared" si="40"/>
        <v>23.28491934816833</v>
      </c>
      <c r="U48" s="127">
        <f t="shared" si="40"/>
        <v>13.194787630628721</v>
      </c>
      <c r="V48" s="127">
        <f t="shared" si="40"/>
        <v>5.3834733532965169</v>
      </c>
      <c r="W48" s="127">
        <f t="shared" si="40"/>
        <v>1.372785705090612</v>
      </c>
      <c r="X48" s="127">
        <f t="shared" si="40"/>
        <v>0</v>
      </c>
      <c r="Y48" s="127">
        <f t="shared" si="40"/>
        <v>0</v>
      </c>
      <c r="Z48" s="127">
        <f t="shared" si="40"/>
        <v>0</v>
      </c>
      <c r="AA48" s="127">
        <f t="shared" si="40"/>
        <v>0</v>
      </c>
      <c r="AB48" s="127">
        <f t="shared" si="40"/>
        <v>0</v>
      </c>
      <c r="AC48" s="127">
        <f t="shared" si="40"/>
        <v>0</v>
      </c>
      <c r="AD48" s="127">
        <f t="shared" si="40"/>
        <v>0</v>
      </c>
      <c r="AE48" s="127">
        <f t="shared" si="40"/>
        <v>0</v>
      </c>
      <c r="AF48" s="127">
        <f t="shared" si="40"/>
        <v>0</v>
      </c>
      <c r="AG48" s="127">
        <f t="shared" si="40"/>
        <v>0</v>
      </c>
      <c r="AH48" s="127">
        <f t="shared" si="40"/>
        <v>0</v>
      </c>
      <c r="AI48" s="127">
        <f t="shared" si="40"/>
        <v>0</v>
      </c>
      <c r="AJ48" s="127">
        <f t="shared" si="40"/>
        <v>0</v>
      </c>
      <c r="AK48" s="127">
        <f t="shared" si="40"/>
        <v>0</v>
      </c>
      <c r="AL48" s="127">
        <f t="shared" si="40"/>
        <v>0</v>
      </c>
      <c r="AM48" s="127">
        <f t="shared" ref="AM48:BD48" si="41">AM14*AM$40</f>
        <v>0</v>
      </c>
      <c r="AN48" s="127">
        <f t="shared" si="41"/>
        <v>0</v>
      </c>
      <c r="AO48" s="127">
        <f t="shared" si="41"/>
        <v>0</v>
      </c>
      <c r="AP48" s="127">
        <f t="shared" si="41"/>
        <v>0</v>
      </c>
      <c r="AQ48" s="127">
        <f t="shared" si="41"/>
        <v>0</v>
      </c>
      <c r="AR48" s="127">
        <f t="shared" si="41"/>
        <v>0</v>
      </c>
      <c r="AS48" s="127">
        <f t="shared" si="41"/>
        <v>0</v>
      </c>
      <c r="AT48" s="127">
        <f t="shared" si="41"/>
        <v>0</v>
      </c>
      <c r="AU48" s="127">
        <f t="shared" si="41"/>
        <v>0</v>
      </c>
      <c r="AV48" s="127">
        <f t="shared" si="41"/>
        <v>0</v>
      </c>
      <c r="AW48" s="127">
        <f t="shared" si="41"/>
        <v>0</v>
      </c>
      <c r="AX48" s="127">
        <f t="shared" si="41"/>
        <v>0</v>
      </c>
      <c r="AY48" s="127">
        <f t="shared" si="41"/>
        <v>0</v>
      </c>
      <c r="AZ48" s="127">
        <f t="shared" si="41"/>
        <v>0</v>
      </c>
      <c r="BA48" s="127">
        <f t="shared" si="41"/>
        <v>0</v>
      </c>
      <c r="BB48" s="127">
        <f t="shared" si="41"/>
        <v>0</v>
      </c>
      <c r="BC48" s="127">
        <f t="shared" si="41"/>
        <v>0</v>
      </c>
      <c r="BD48" s="127">
        <f t="shared" si="41"/>
        <v>0</v>
      </c>
    </row>
    <row r="49" spans="1:256" ht="12" customHeight="1">
      <c r="C49" s="152">
        <f t="shared" si="29"/>
        <v>274.30979541230175</v>
      </c>
      <c r="D49" s="55" t="s">
        <v>158</v>
      </c>
      <c r="E49" s="128" t="s">
        <v>153</v>
      </c>
      <c r="F49" s="154"/>
      <c r="G49" s="127">
        <f t="shared" ref="G49:AL49" si="42">G15*G$40</f>
        <v>41</v>
      </c>
      <c r="H49" s="127">
        <f t="shared" si="42"/>
        <v>37.74</v>
      </c>
      <c r="I49" s="127">
        <f t="shared" si="42"/>
        <v>46.817999999999998</v>
      </c>
      <c r="J49" s="127">
        <f t="shared" si="42"/>
        <v>26.530199999999997</v>
      </c>
      <c r="K49" s="127">
        <f t="shared" si="42"/>
        <v>29.22566832</v>
      </c>
      <c r="L49" s="127">
        <f t="shared" si="42"/>
        <v>13.2489696384</v>
      </c>
      <c r="M49" s="127">
        <f t="shared" si="42"/>
        <v>12.387786611904001</v>
      </c>
      <c r="N49" s="127">
        <f t="shared" si="42"/>
        <v>9.1894853411942385</v>
      </c>
      <c r="O49" s="127">
        <f t="shared" si="42"/>
        <v>7.0299562860135936</v>
      </c>
      <c r="P49" s="127">
        <f t="shared" si="42"/>
        <v>10.755833117600798</v>
      </c>
      <c r="Q49" s="127">
        <f t="shared" si="42"/>
        <v>14.627933039937085</v>
      </c>
      <c r="R49" s="127">
        <f t="shared" si="42"/>
        <v>7.4602458503679117</v>
      </c>
      <c r="S49" s="127">
        <f t="shared" si="42"/>
        <v>3.8047253836876358</v>
      </c>
      <c r="T49" s="127">
        <f t="shared" si="42"/>
        <v>6.4680331522689807</v>
      </c>
      <c r="U49" s="127">
        <f t="shared" si="42"/>
        <v>3.9584362891886165</v>
      </c>
      <c r="V49" s="127">
        <f t="shared" si="42"/>
        <v>2.6917366766482584</v>
      </c>
      <c r="W49" s="127">
        <f t="shared" si="42"/>
        <v>1.372785705090612</v>
      </c>
      <c r="X49" s="127">
        <f t="shared" si="42"/>
        <v>0</v>
      </c>
      <c r="Y49" s="127">
        <f t="shared" si="42"/>
        <v>0</v>
      </c>
      <c r="Z49" s="127">
        <f t="shared" si="42"/>
        <v>0</v>
      </c>
      <c r="AA49" s="127">
        <f t="shared" si="42"/>
        <v>0</v>
      </c>
      <c r="AB49" s="127">
        <f t="shared" si="42"/>
        <v>0</v>
      </c>
      <c r="AC49" s="127">
        <f t="shared" si="42"/>
        <v>0</v>
      </c>
      <c r="AD49" s="127">
        <f t="shared" si="42"/>
        <v>0</v>
      </c>
      <c r="AE49" s="127">
        <f t="shared" si="42"/>
        <v>0</v>
      </c>
      <c r="AF49" s="127">
        <f t="shared" si="42"/>
        <v>0</v>
      </c>
      <c r="AG49" s="127">
        <f t="shared" si="42"/>
        <v>0</v>
      </c>
      <c r="AH49" s="127">
        <f t="shared" si="42"/>
        <v>0</v>
      </c>
      <c r="AI49" s="127">
        <f t="shared" si="42"/>
        <v>0</v>
      </c>
      <c r="AJ49" s="127">
        <f t="shared" si="42"/>
        <v>0</v>
      </c>
      <c r="AK49" s="127">
        <f t="shared" si="42"/>
        <v>0</v>
      </c>
      <c r="AL49" s="127">
        <f t="shared" si="42"/>
        <v>0</v>
      </c>
      <c r="AM49" s="127">
        <f t="shared" ref="AM49:BD49" si="43">AM15*AM$40</f>
        <v>0</v>
      </c>
      <c r="AN49" s="127">
        <f t="shared" si="43"/>
        <v>0</v>
      </c>
      <c r="AO49" s="127">
        <f t="shared" si="43"/>
        <v>0</v>
      </c>
      <c r="AP49" s="127">
        <f t="shared" si="43"/>
        <v>0</v>
      </c>
      <c r="AQ49" s="127">
        <f t="shared" si="43"/>
        <v>0</v>
      </c>
      <c r="AR49" s="127">
        <f t="shared" si="43"/>
        <v>0</v>
      </c>
      <c r="AS49" s="127">
        <f t="shared" si="43"/>
        <v>0</v>
      </c>
      <c r="AT49" s="127">
        <f t="shared" si="43"/>
        <v>0</v>
      </c>
      <c r="AU49" s="127">
        <f t="shared" si="43"/>
        <v>0</v>
      </c>
      <c r="AV49" s="127">
        <f t="shared" si="43"/>
        <v>0</v>
      </c>
      <c r="AW49" s="127">
        <f t="shared" si="43"/>
        <v>0</v>
      </c>
      <c r="AX49" s="127">
        <f t="shared" si="43"/>
        <v>0</v>
      </c>
      <c r="AY49" s="127">
        <f t="shared" si="43"/>
        <v>0</v>
      </c>
      <c r="AZ49" s="127">
        <f t="shared" si="43"/>
        <v>0</v>
      </c>
      <c r="BA49" s="127">
        <f t="shared" si="43"/>
        <v>0</v>
      </c>
      <c r="BB49" s="127">
        <f t="shared" si="43"/>
        <v>0</v>
      </c>
      <c r="BC49" s="127">
        <f t="shared" si="43"/>
        <v>0</v>
      </c>
      <c r="BD49" s="127">
        <f t="shared" si="43"/>
        <v>0</v>
      </c>
    </row>
    <row r="50" spans="1:256" ht="12" customHeight="1">
      <c r="C50" s="152">
        <f t="shared" si="29"/>
        <v>2979.6184268151496</v>
      </c>
      <c r="D50" s="55" t="s">
        <v>159</v>
      </c>
      <c r="E50" s="128" t="s">
        <v>153</v>
      </c>
      <c r="F50" s="154"/>
      <c r="G50" s="127">
        <f t="shared" ref="G50:AL50" si="44">G17*G$40</f>
        <v>171.01</v>
      </c>
      <c r="H50" s="127">
        <f t="shared" si="44"/>
        <v>172.39754400000001</v>
      </c>
      <c r="I50" s="127">
        <f t="shared" si="44"/>
        <v>185.1745536</v>
      </c>
      <c r="J50" s="127">
        <f t="shared" si="44"/>
        <v>215.42522399999999</v>
      </c>
      <c r="K50" s="127">
        <f t="shared" si="44"/>
        <v>234.88777872</v>
      </c>
      <c r="L50" s="127">
        <f t="shared" si="44"/>
        <v>224.1284030496</v>
      </c>
      <c r="M50" s="127">
        <f t="shared" si="44"/>
        <v>202.70923546752002</v>
      </c>
      <c r="N50" s="127">
        <f t="shared" si="44"/>
        <v>202.16867750627324</v>
      </c>
      <c r="O50" s="127">
        <f t="shared" si="44"/>
        <v>185.12323669180086</v>
      </c>
      <c r="P50" s="127">
        <f t="shared" si="44"/>
        <v>179.27380456166617</v>
      </c>
      <c r="Q50" s="127">
        <f t="shared" si="44"/>
        <v>192.60221545414961</v>
      </c>
      <c r="R50" s="127">
        <f t="shared" si="44"/>
        <v>191.48536301459504</v>
      </c>
      <c r="S50" s="127">
        <f t="shared" si="44"/>
        <v>171.20236950740764</v>
      </c>
      <c r="T50" s="127">
        <f t="shared" si="44"/>
        <v>169.45677672027333</v>
      </c>
      <c r="U50" s="127">
        <f t="shared" si="44"/>
        <v>121.39389347205251</v>
      </c>
      <c r="V50" s="127">
        <f t="shared" si="44"/>
        <v>109.0112977992395</v>
      </c>
      <c r="W50" s="127">
        <f t="shared" si="44"/>
        <v>52.168053250571404</v>
      </c>
      <c r="X50" s="127">
        <f t="shared" si="44"/>
        <v>0</v>
      </c>
      <c r="Y50" s="127">
        <f t="shared" si="44"/>
        <v>0</v>
      </c>
      <c r="Z50" s="127">
        <f t="shared" si="44"/>
        <v>0</v>
      </c>
      <c r="AA50" s="127">
        <f t="shared" si="44"/>
        <v>0</v>
      </c>
      <c r="AB50" s="127">
        <f t="shared" si="44"/>
        <v>0</v>
      </c>
      <c r="AC50" s="127">
        <f t="shared" si="44"/>
        <v>0</v>
      </c>
      <c r="AD50" s="127">
        <f t="shared" si="44"/>
        <v>0</v>
      </c>
      <c r="AE50" s="127">
        <f t="shared" si="44"/>
        <v>0</v>
      </c>
      <c r="AF50" s="127">
        <f t="shared" si="44"/>
        <v>0</v>
      </c>
      <c r="AG50" s="127">
        <f t="shared" si="44"/>
        <v>0</v>
      </c>
      <c r="AH50" s="127">
        <f t="shared" si="44"/>
        <v>0</v>
      </c>
      <c r="AI50" s="127">
        <f t="shared" si="44"/>
        <v>0</v>
      </c>
      <c r="AJ50" s="127">
        <f t="shared" si="44"/>
        <v>0</v>
      </c>
      <c r="AK50" s="127">
        <f t="shared" si="44"/>
        <v>0</v>
      </c>
      <c r="AL50" s="127">
        <f t="shared" si="44"/>
        <v>0</v>
      </c>
      <c r="AM50" s="127">
        <f t="shared" ref="AM50:BD50" si="45">AM17*AM$40</f>
        <v>0</v>
      </c>
      <c r="AN50" s="127">
        <f t="shared" si="45"/>
        <v>0</v>
      </c>
      <c r="AO50" s="127">
        <f t="shared" si="45"/>
        <v>0</v>
      </c>
      <c r="AP50" s="127">
        <f t="shared" si="45"/>
        <v>0</v>
      </c>
      <c r="AQ50" s="127">
        <f t="shared" si="45"/>
        <v>0</v>
      </c>
      <c r="AR50" s="127">
        <f t="shared" si="45"/>
        <v>0</v>
      </c>
      <c r="AS50" s="127">
        <f t="shared" si="45"/>
        <v>0</v>
      </c>
      <c r="AT50" s="127">
        <f t="shared" si="45"/>
        <v>0</v>
      </c>
      <c r="AU50" s="127">
        <f t="shared" si="45"/>
        <v>0</v>
      </c>
      <c r="AV50" s="127">
        <f t="shared" si="45"/>
        <v>0</v>
      </c>
      <c r="AW50" s="127">
        <f t="shared" si="45"/>
        <v>0</v>
      </c>
      <c r="AX50" s="127">
        <f t="shared" si="45"/>
        <v>0</v>
      </c>
      <c r="AY50" s="127">
        <f t="shared" si="45"/>
        <v>0</v>
      </c>
      <c r="AZ50" s="127">
        <f t="shared" si="45"/>
        <v>0</v>
      </c>
      <c r="BA50" s="127">
        <f t="shared" si="45"/>
        <v>0</v>
      </c>
      <c r="BB50" s="127">
        <f t="shared" si="45"/>
        <v>0</v>
      </c>
      <c r="BC50" s="127">
        <f t="shared" si="45"/>
        <v>0</v>
      </c>
      <c r="BD50" s="127">
        <f t="shared" si="45"/>
        <v>0</v>
      </c>
    </row>
    <row r="51" spans="1:256" ht="12" customHeight="1">
      <c r="C51" s="152">
        <f t="shared" si="29"/>
        <v>0</v>
      </c>
      <c r="D51" s="55" t="s">
        <v>164</v>
      </c>
      <c r="E51" s="128" t="s">
        <v>153</v>
      </c>
      <c r="F51" s="154"/>
      <c r="G51" s="127">
        <f t="shared" ref="G51:AL51" si="46">G18*G$40</f>
        <v>0</v>
      </c>
      <c r="H51" s="127">
        <f t="shared" si="46"/>
        <v>0</v>
      </c>
      <c r="I51" s="127">
        <f t="shared" si="46"/>
        <v>0</v>
      </c>
      <c r="J51" s="127">
        <f t="shared" si="46"/>
        <v>0</v>
      </c>
      <c r="K51" s="127">
        <f t="shared" si="46"/>
        <v>0</v>
      </c>
      <c r="L51" s="127">
        <f t="shared" si="46"/>
        <v>0</v>
      </c>
      <c r="M51" s="127">
        <f t="shared" si="46"/>
        <v>0</v>
      </c>
      <c r="N51" s="127">
        <f t="shared" si="46"/>
        <v>0</v>
      </c>
      <c r="O51" s="127">
        <f t="shared" si="46"/>
        <v>0</v>
      </c>
      <c r="P51" s="127">
        <f t="shared" si="46"/>
        <v>0</v>
      </c>
      <c r="Q51" s="127">
        <f t="shared" si="46"/>
        <v>0</v>
      </c>
      <c r="R51" s="127">
        <f t="shared" si="46"/>
        <v>0</v>
      </c>
      <c r="S51" s="127">
        <f t="shared" si="46"/>
        <v>0</v>
      </c>
      <c r="T51" s="127">
        <f t="shared" si="46"/>
        <v>0</v>
      </c>
      <c r="U51" s="127">
        <f t="shared" si="46"/>
        <v>0</v>
      </c>
      <c r="V51" s="127">
        <f t="shared" si="46"/>
        <v>0</v>
      </c>
      <c r="W51" s="127">
        <f t="shared" si="46"/>
        <v>0</v>
      </c>
      <c r="X51" s="127">
        <f t="shared" si="46"/>
        <v>0</v>
      </c>
      <c r="Y51" s="127">
        <f t="shared" si="46"/>
        <v>0</v>
      </c>
      <c r="Z51" s="127">
        <f t="shared" si="46"/>
        <v>0</v>
      </c>
      <c r="AA51" s="127">
        <f t="shared" si="46"/>
        <v>0</v>
      </c>
      <c r="AB51" s="127">
        <f t="shared" si="46"/>
        <v>0</v>
      </c>
      <c r="AC51" s="127">
        <f t="shared" si="46"/>
        <v>0</v>
      </c>
      <c r="AD51" s="127">
        <f t="shared" si="46"/>
        <v>0</v>
      </c>
      <c r="AE51" s="127">
        <f t="shared" si="46"/>
        <v>0</v>
      </c>
      <c r="AF51" s="127">
        <f t="shared" si="46"/>
        <v>0</v>
      </c>
      <c r="AG51" s="127">
        <f t="shared" si="46"/>
        <v>0</v>
      </c>
      <c r="AH51" s="127">
        <f t="shared" si="46"/>
        <v>0</v>
      </c>
      <c r="AI51" s="127">
        <f t="shared" si="46"/>
        <v>0</v>
      </c>
      <c r="AJ51" s="127">
        <f t="shared" si="46"/>
        <v>0</v>
      </c>
      <c r="AK51" s="127">
        <f t="shared" si="46"/>
        <v>0</v>
      </c>
      <c r="AL51" s="127">
        <f t="shared" si="46"/>
        <v>0</v>
      </c>
      <c r="AM51" s="127">
        <f t="shared" ref="AM51:BD51" si="47">AM18*AM$40</f>
        <v>0</v>
      </c>
      <c r="AN51" s="127">
        <f t="shared" si="47"/>
        <v>0</v>
      </c>
      <c r="AO51" s="127">
        <f t="shared" si="47"/>
        <v>0</v>
      </c>
      <c r="AP51" s="127">
        <f t="shared" si="47"/>
        <v>0</v>
      </c>
      <c r="AQ51" s="127">
        <f t="shared" si="47"/>
        <v>0</v>
      </c>
      <c r="AR51" s="127">
        <f t="shared" si="47"/>
        <v>0</v>
      </c>
      <c r="AS51" s="127">
        <f t="shared" si="47"/>
        <v>0</v>
      </c>
      <c r="AT51" s="127">
        <f t="shared" si="47"/>
        <v>0</v>
      </c>
      <c r="AU51" s="127">
        <f t="shared" si="47"/>
        <v>0</v>
      </c>
      <c r="AV51" s="127">
        <f t="shared" si="47"/>
        <v>0</v>
      </c>
      <c r="AW51" s="127">
        <f t="shared" si="47"/>
        <v>0</v>
      </c>
      <c r="AX51" s="127">
        <f t="shared" si="47"/>
        <v>0</v>
      </c>
      <c r="AY51" s="127">
        <f t="shared" si="47"/>
        <v>0</v>
      </c>
      <c r="AZ51" s="127">
        <f t="shared" si="47"/>
        <v>0</v>
      </c>
      <c r="BA51" s="127">
        <f t="shared" si="47"/>
        <v>0</v>
      </c>
      <c r="BB51" s="127">
        <f t="shared" si="47"/>
        <v>0</v>
      </c>
      <c r="BC51" s="127">
        <f t="shared" si="47"/>
        <v>0</v>
      </c>
      <c r="BD51" s="127">
        <f t="shared" si="47"/>
        <v>0</v>
      </c>
    </row>
    <row r="52" spans="1:256" ht="12" customHeight="1">
      <c r="C52" s="152">
        <f t="shared" si="29"/>
        <v>6.8639285254530602</v>
      </c>
      <c r="D52" s="55" t="s">
        <v>165</v>
      </c>
      <c r="E52" s="128" t="s">
        <v>153</v>
      </c>
      <c r="F52" s="154"/>
      <c r="G52" s="127">
        <f t="shared" ref="G52:AL52" si="48">G19*G$40</f>
        <v>0</v>
      </c>
      <c r="H52" s="127">
        <f t="shared" si="48"/>
        <v>0</v>
      </c>
      <c r="I52" s="127">
        <f t="shared" si="48"/>
        <v>0</v>
      </c>
      <c r="J52" s="127">
        <f t="shared" si="48"/>
        <v>0</v>
      </c>
      <c r="K52" s="127">
        <f t="shared" si="48"/>
        <v>0</v>
      </c>
      <c r="L52" s="127">
        <f t="shared" si="48"/>
        <v>0</v>
      </c>
      <c r="M52" s="127">
        <f t="shared" si="48"/>
        <v>0</v>
      </c>
      <c r="N52" s="127">
        <f t="shared" si="48"/>
        <v>0</v>
      </c>
      <c r="O52" s="127">
        <f t="shared" si="48"/>
        <v>0</v>
      </c>
      <c r="P52" s="127">
        <f t="shared" si="48"/>
        <v>0</v>
      </c>
      <c r="Q52" s="127">
        <f t="shared" si="48"/>
        <v>0</v>
      </c>
      <c r="R52" s="127">
        <f t="shared" si="48"/>
        <v>0</v>
      </c>
      <c r="S52" s="127">
        <f t="shared" si="48"/>
        <v>0</v>
      </c>
      <c r="T52" s="127">
        <f t="shared" si="48"/>
        <v>0</v>
      </c>
      <c r="U52" s="127">
        <f t="shared" si="48"/>
        <v>0</v>
      </c>
      <c r="V52" s="127">
        <f t="shared" si="48"/>
        <v>0</v>
      </c>
      <c r="W52" s="127">
        <f t="shared" si="48"/>
        <v>6.8639285254530602</v>
      </c>
      <c r="X52" s="127">
        <f t="shared" si="48"/>
        <v>0</v>
      </c>
      <c r="Y52" s="127">
        <f t="shared" si="48"/>
        <v>0</v>
      </c>
      <c r="Z52" s="127">
        <f t="shared" si="48"/>
        <v>0</v>
      </c>
      <c r="AA52" s="127">
        <f t="shared" si="48"/>
        <v>0</v>
      </c>
      <c r="AB52" s="127">
        <f t="shared" si="48"/>
        <v>0</v>
      </c>
      <c r="AC52" s="127">
        <f t="shared" si="48"/>
        <v>0</v>
      </c>
      <c r="AD52" s="127">
        <f t="shared" si="48"/>
        <v>0</v>
      </c>
      <c r="AE52" s="127">
        <f t="shared" si="48"/>
        <v>0</v>
      </c>
      <c r="AF52" s="127">
        <f t="shared" si="48"/>
        <v>0</v>
      </c>
      <c r="AG52" s="127">
        <f t="shared" si="48"/>
        <v>0</v>
      </c>
      <c r="AH52" s="127">
        <f t="shared" si="48"/>
        <v>0</v>
      </c>
      <c r="AI52" s="127">
        <f t="shared" si="48"/>
        <v>0</v>
      </c>
      <c r="AJ52" s="127">
        <f t="shared" si="48"/>
        <v>0</v>
      </c>
      <c r="AK52" s="127">
        <f t="shared" si="48"/>
        <v>0</v>
      </c>
      <c r="AL52" s="127">
        <f t="shared" si="48"/>
        <v>0</v>
      </c>
      <c r="AM52" s="127">
        <f t="shared" ref="AM52:BD52" si="49">AM19*AM$40</f>
        <v>0</v>
      </c>
      <c r="AN52" s="127">
        <f t="shared" si="49"/>
        <v>0</v>
      </c>
      <c r="AO52" s="127">
        <f t="shared" si="49"/>
        <v>0</v>
      </c>
      <c r="AP52" s="127">
        <f t="shared" si="49"/>
        <v>0</v>
      </c>
      <c r="AQ52" s="127">
        <f t="shared" si="49"/>
        <v>0</v>
      </c>
      <c r="AR52" s="127">
        <f t="shared" si="49"/>
        <v>0</v>
      </c>
      <c r="AS52" s="127">
        <f t="shared" si="49"/>
        <v>0</v>
      </c>
      <c r="AT52" s="127">
        <f t="shared" si="49"/>
        <v>0</v>
      </c>
      <c r="AU52" s="127">
        <f t="shared" si="49"/>
        <v>0</v>
      </c>
      <c r="AV52" s="127">
        <f t="shared" si="49"/>
        <v>0</v>
      </c>
      <c r="AW52" s="127">
        <f t="shared" si="49"/>
        <v>0</v>
      </c>
      <c r="AX52" s="127">
        <f t="shared" si="49"/>
        <v>0</v>
      </c>
      <c r="AY52" s="127">
        <f t="shared" si="49"/>
        <v>0</v>
      </c>
      <c r="AZ52" s="127">
        <f t="shared" si="49"/>
        <v>0</v>
      </c>
      <c r="BA52" s="127">
        <f t="shared" si="49"/>
        <v>0</v>
      </c>
      <c r="BB52" s="127">
        <f t="shared" si="49"/>
        <v>0</v>
      </c>
      <c r="BC52" s="127">
        <f t="shared" si="49"/>
        <v>0</v>
      </c>
      <c r="BD52" s="127">
        <f t="shared" si="49"/>
        <v>0</v>
      </c>
    </row>
    <row r="53" spans="1:256" ht="12" customHeight="1">
      <c r="C53" s="152">
        <f t="shared" si="29"/>
        <v>3699.0401109937711</v>
      </c>
      <c r="D53" s="153" t="s">
        <v>178</v>
      </c>
      <c r="E53" s="128" t="s">
        <v>153</v>
      </c>
      <c r="F53" s="154"/>
      <c r="G53" s="127">
        <f t="shared" ref="G53:AL53" si="50">SUM(G46:G52)</f>
        <v>249.01</v>
      </c>
      <c r="H53" s="127">
        <f t="shared" si="50"/>
        <v>321.317544</v>
      </c>
      <c r="I53" s="127">
        <f t="shared" si="50"/>
        <v>398.45655360000001</v>
      </c>
      <c r="J53" s="127">
        <f t="shared" si="50"/>
        <v>241.95542399999999</v>
      </c>
      <c r="K53" s="127">
        <f t="shared" si="50"/>
        <v>264.11344703999998</v>
      </c>
      <c r="L53" s="127">
        <f t="shared" si="50"/>
        <v>237.37737268800001</v>
      </c>
      <c r="M53" s="127">
        <f t="shared" si="50"/>
        <v>215.09702207942402</v>
      </c>
      <c r="N53" s="127">
        <f t="shared" si="50"/>
        <v>238.92661887105021</v>
      </c>
      <c r="O53" s="127">
        <f t="shared" si="50"/>
        <v>219.10135874086654</v>
      </c>
      <c r="P53" s="127">
        <f t="shared" si="50"/>
        <v>200.78547079686777</v>
      </c>
      <c r="Q53" s="127">
        <f t="shared" si="50"/>
        <v>209.66813733407622</v>
      </c>
      <c r="R53" s="127">
        <f t="shared" si="50"/>
        <v>200.1889831733576</v>
      </c>
      <c r="S53" s="127">
        <f t="shared" si="50"/>
        <v>186.4212710421582</v>
      </c>
      <c r="T53" s="127">
        <f t="shared" si="50"/>
        <v>199.20972922071064</v>
      </c>
      <c r="U53" s="127">
        <f t="shared" si="50"/>
        <v>138.54711739186985</v>
      </c>
      <c r="V53" s="127">
        <f t="shared" si="50"/>
        <v>117.08650782918427</v>
      </c>
      <c r="W53" s="127">
        <f t="shared" si="50"/>
        <v>61.777553186205694</v>
      </c>
      <c r="X53" s="127">
        <f t="shared" si="50"/>
        <v>0</v>
      </c>
      <c r="Y53" s="127">
        <f t="shared" si="50"/>
        <v>0</v>
      </c>
      <c r="Z53" s="127">
        <f t="shared" si="50"/>
        <v>0</v>
      </c>
      <c r="AA53" s="127">
        <f t="shared" si="50"/>
        <v>0</v>
      </c>
      <c r="AB53" s="127">
        <f t="shared" si="50"/>
        <v>0</v>
      </c>
      <c r="AC53" s="127">
        <f t="shared" si="50"/>
        <v>0</v>
      </c>
      <c r="AD53" s="127">
        <f t="shared" si="50"/>
        <v>0</v>
      </c>
      <c r="AE53" s="127">
        <f t="shared" si="50"/>
        <v>0</v>
      </c>
      <c r="AF53" s="127">
        <f t="shared" si="50"/>
        <v>0</v>
      </c>
      <c r="AG53" s="127">
        <f t="shared" si="50"/>
        <v>0</v>
      </c>
      <c r="AH53" s="127">
        <f t="shared" si="50"/>
        <v>0</v>
      </c>
      <c r="AI53" s="127">
        <f t="shared" si="50"/>
        <v>0</v>
      </c>
      <c r="AJ53" s="127">
        <f t="shared" si="50"/>
        <v>0</v>
      </c>
      <c r="AK53" s="127">
        <f t="shared" si="50"/>
        <v>0</v>
      </c>
      <c r="AL53" s="127">
        <f t="shared" si="50"/>
        <v>0</v>
      </c>
      <c r="AM53" s="127">
        <f t="shared" ref="AM53:BR53" si="51">SUM(AM46:AM52)</f>
        <v>0</v>
      </c>
      <c r="AN53" s="127">
        <f t="shared" si="51"/>
        <v>0</v>
      </c>
      <c r="AO53" s="127">
        <f t="shared" si="51"/>
        <v>0</v>
      </c>
      <c r="AP53" s="127">
        <f t="shared" si="51"/>
        <v>0</v>
      </c>
      <c r="AQ53" s="127">
        <f t="shared" si="51"/>
        <v>0</v>
      </c>
      <c r="AR53" s="127">
        <f t="shared" si="51"/>
        <v>0</v>
      </c>
      <c r="AS53" s="127">
        <f t="shared" si="51"/>
        <v>0</v>
      </c>
      <c r="AT53" s="127">
        <f t="shared" si="51"/>
        <v>0</v>
      </c>
      <c r="AU53" s="127">
        <f t="shared" si="51"/>
        <v>0</v>
      </c>
      <c r="AV53" s="127">
        <f t="shared" si="51"/>
        <v>0</v>
      </c>
      <c r="AW53" s="127">
        <f t="shared" si="51"/>
        <v>0</v>
      </c>
      <c r="AX53" s="127">
        <f t="shared" si="51"/>
        <v>0</v>
      </c>
      <c r="AY53" s="127">
        <f t="shared" si="51"/>
        <v>0</v>
      </c>
      <c r="AZ53" s="127">
        <f t="shared" si="51"/>
        <v>0</v>
      </c>
      <c r="BA53" s="127">
        <f t="shared" si="51"/>
        <v>0</v>
      </c>
      <c r="BB53" s="127">
        <f t="shared" si="51"/>
        <v>0</v>
      </c>
      <c r="BC53" s="127">
        <f t="shared" si="51"/>
        <v>0</v>
      </c>
      <c r="BD53" s="127">
        <f t="shared" si="51"/>
        <v>0</v>
      </c>
    </row>
    <row r="54" spans="1:256" ht="12.75" customHeight="1">
      <c r="A54" s="158" t="b">
        <f>ROUND(C54-(C45-SUM(C46:C52)),5)=0</f>
        <v>1</v>
      </c>
      <c r="C54" s="152">
        <f t="shared" si="29"/>
        <v>4085.9850665257113</v>
      </c>
      <c r="D54" s="159" t="s">
        <v>179</v>
      </c>
      <c r="E54" s="160" t="s">
        <v>153</v>
      </c>
      <c r="F54" s="161"/>
      <c r="G54" s="162">
        <f t="shared" ref="G54:AL54" si="52">G45-G53</f>
        <v>142.99</v>
      </c>
      <c r="H54" s="162">
        <f t="shared" si="52"/>
        <v>264.57045600000004</v>
      </c>
      <c r="I54" s="162">
        <f t="shared" si="52"/>
        <v>200.81384639999999</v>
      </c>
      <c r="J54" s="162">
        <f t="shared" si="52"/>
        <v>437.21769599999993</v>
      </c>
      <c r="K54" s="162">
        <f t="shared" si="52"/>
        <v>428.64313535999997</v>
      </c>
      <c r="L54" s="162">
        <f t="shared" si="52"/>
        <v>469.23434136000003</v>
      </c>
      <c r="M54" s="162">
        <f t="shared" si="52"/>
        <v>505.64692624953602</v>
      </c>
      <c r="N54" s="162">
        <f t="shared" si="52"/>
        <v>349.20044296538106</v>
      </c>
      <c r="O54" s="162">
        <f t="shared" si="52"/>
        <v>105.21395792056057</v>
      </c>
      <c r="P54" s="162">
        <f t="shared" si="52"/>
        <v>130.01615219778787</v>
      </c>
      <c r="Q54" s="162">
        <f t="shared" si="52"/>
        <v>127.74951812047254</v>
      </c>
      <c r="R54" s="162">
        <f t="shared" si="52"/>
        <v>143.97702539028211</v>
      </c>
      <c r="S54" s="162">
        <f t="shared" si="52"/>
        <v>164.62805769275434</v>
      </c>
      <c r="T54" s="162">
        <f t="shared" si="52"/>
        <v>158.86058608890011</v>
      </c>
      <c r="U54" s="162">
        <f t="shared" si="52"/>
        <v>226.68460422393321</v>
      </c>
      <c r="V54" s="162">
        <f t="shared" si="52"/>
        <v>169.31427456619048</v>
      </c>
      <c r="W54" s="162">
        <f t="shared" si="52"/>
        <v>61.224045989913137</v>
      </c>
      <c r="X54" s="162">
        <f t="shared" si="52"/>
        <v>0</v>
      </c>
      <c r="Y54" s="162">
        <f t="shared" si="52"/>
        <v>0</v>
      </c>
      <c r="Z54" s="162">
        <f t="shared" si="52"/>
        <v>0</v>
      </c>
      <c r="AA54" s="162">
        <f t="shared" si="52"/>
        <v>0</v>
      </c>
      <c r="AB54" s="162">
        <f t="shared" si="52"/>
        <v>0</v>
      </c>
      <c r="AC54" s="162">
        <f t="shared" si="52"/>
        <v>0</v>
      </c>
      <c r="AD54" s="162">
        <f t="shared" si="52"/>
        <v>0</v>
      </c>
      <c r="AE54" s="162">
        <f t="shared" si="52"/>
        <v>0</v>
      </c>
      <c r="AF54" s="162">
        <f t="shared" si="52"/>
        <v>0</v>
      </c>
      <c r="AG54" s="162">
        <f t="shared" si="52"/>
        <v>0</v>
      </c>
      <c r="AH54" s="162">
        <f t="shared" si="52"/>
        <v>0</v>
      </c>
      <c r="AI54" s="162">
        <f t="shared" si="52"/>
        <v>0</v>
      </c>
      <c r="AJ54" s="162">
        <f t="shared" si="52"/>
        <v>0</v>
      </c>
      <c r="AK54" s="162">
        <f t="shared" si="52"/>
        <v>0</v>
      </c>
      <c r="AL54" s="162">
        <f t="shared" si="52"/>
        <v>0</v>
      </c>
      <c r="AM54" s="162">
        <f t="shared" ref="AM54:BR54" si="53">AM45-AM53</f>
        <v>0</v>
      </c>
      <c r="AN54" s="162">
        <f t="shared" si="53"/>
        <v>0</v>
      </c>
      <c r="AO54" s="162">
        <f t="shared" si="53"/>
        <v>0</v>
      </c>
      <c r="AP54" s="162">
        <f t="shared" si="53"/>
        <v>0</v>
      </c>
      <c r="AQ54" s="162">
        <f t="shared" si="53"/>
        <v>0</v>
      </c>
      <c r="AR54" s="162">
        <f t="shared" si="53"/>
        <v>0</v>
      </c>
      <c r="AS54" s="162">
        <f t="shared" si="53"/>
        <v>0</v>
      </c>
      <c r="AT54" s="162">
        <f t="shared" si="53"/>
        <v>0</v>
      </c>
      <c r="AU54" s="162">
        <f t="shared" si="53"/>
        <v>0</v>
      </c>
      <c r="AV54" s="162">
        <f t="shared" si="53"/>
        <v>0</v>
      </c>
      <c r="AW54" s="162">
        <f t="shared" si="53"/>
        <v>0</v>
      </c>
      <c r="AX54" s="162">
        <f t="shared" si="53"/>
        <v>0</v>
      </c>
      <c r="AY54" s="162">
        <f t="shared" si="53"/>
        <v>0</v>
      </c>
      <c r="AZ54" s="162">
        <f t="shared" si="53"/>
        <v>0</v>
      </c>
      <c r="BA54" s="162">
        <f t="shared" si="53"/>
        <v>0</v>
      </c>
      <c r="BB54" s="162">
        <f t="shared" si="53"/>
        <v>0</v>
      </c>
      <c r="BC54" s="162">
        <f t="shared" si="53"/>
        <v>0</v>
      </c>
      <c r="BD54" s="162">
        <f t="shared" si="53"/>
        <v>0</v>
      </c>
    </row>
    <row r="55" spans="1:256" ht="12.75" customHeight="1">
      <c r="C55" s="169"/>
      <c r="D55" s="153"/>
      <c r="E55" s="128"/>
      <c r="F55" s="154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  <c r="AN55" s="127"/>
      <c r="AO55" s="127"/>
      <c r="AP55" s="127"/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7"/>
      <c r="BD55" s="127"/>
    </row>
    <row r="56" spans="1:256" ht="12" customHeight="1">
      <c r="C56" s="169"/>
      <c r="F56" s="154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27"/>
      <c r="AD56" s="127"/>
      <c r="AE56" s="127"/>
      <c r="AF56" s="127"/>
      <c r="AG56" s="127"/>
      <c r="AH56" s="127"/>
      <c r="AI56" s="127"/>
      <c r="AJ56" s="127"/>
      <c r="AK56" s="127"/>
      <c r="AL56" s="127"/>
      <c r="AM56" s="127"/>
      <c r="AN56" s="127"/>
      <c r="AO56" s="127"/>
      <c r="AP56" s="127"/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7"/>
      <c r="BD56" s="127"/>
    </row>
    <row r="57" spans="1:256" ht="12" customHeight="1">
      <c r="C57" s="164">
        <f>IFERROR(IRR($G54:BD54),0)</f>
        <v>0</v>
      </c>
      <c r="D57" s="153" t="s">
        <v>194</v>
      </c>
      <c r="E57" s="128" t="s">
        <v>26</v>
      </c>
      <c r="F57" s="154"/>
      <c r="G57" s="165" t="str">
        <f>IFERROR(IRR($G54:G54),"--")</f>
        <v>--</v>
      </c>
      <c r="H57" s="165" t="str">
        <f>IFERROR(IRR($G54:H54),"--")</f>
        <v>--</v>
      </c>
      <c r="I57" s="165" t="str">
        <f>IFERROR(IRR($G54:I54),"--")</f>
        <v>--</v>
      </c>
      <c r="J57" s="165" t="str">
        <f>IFERROR(IRR($G54:J54),"--")</f>
        <v>--</v>
      </c>
      <c r="K57" s="165" t="str">
        <f>IFERROR(IRR($G54:K54),"--")</f>
        <v>--</v>
      </c>
      <c r="L57" s="165" t="str">
        <f>IFERROR(IRR($G54:L54),"--")</f>
        <v>--</v>
      </c>
      <c r="M57" s="165" t="str">
        <f>IFERROR(IRR($G54:M54),"--")</f>
        <v>--</v>
      </c>
      <c r="N57" s="165" t="str">
        <f>IFERROR(IRR($G54:N54),"--")</f>
        <v>--</v>
      </c>
      <c r="O57" s="165" t="str">
        <f>IFERROR(IRR($G54:O54),"--")</f>
        <v>--</v>
      </c>
      <c r="P57" s="165" t="str">
        <f>IFERROR(IRR($G54:P54),"--")</f>
        <v>--</v>
      </c>
      <c r="Q57" s="165" t="str">
        <f>IFERROR(IRR($G54:Q54),"--")</f>
        <v>--</v>
      </c>
      <c r="R57" s="165" t="str">
        <f>IFERROR(IRR($G54:R54),"--")</f>
        <v>--</v>
      </c>
      <c r="S57" s="165" t="str">
        <f>IFERROR(IRR($G54:S54),"--")</f>
        <v>--</v>
      </c>
      <c r="T57" s="165" t="str">
        <f>IFERROR(IRR($G54:T54),"--")</f>
        <v>--</v>
      </c>
      <c r="U57" s="165" t="str">
        <f>IFERROR(IRR($G54:U54),"--")</f>
        <v>--</v>
      </c>
      <c r="V57" s="165" t="str">
        <f>IFERROR(IRR($G54:V54),"--")</f>
        <v>--</v>
      </c>
      <c r="W57" s="165" t="str">
        <f>IFERROR(IRR($G54:W54),"--")</f>
        <v>--</v>
      </c>
      <c r="X57" s="165" t="str">
        <f>IFERROR(IRR($G54:X54),"--")</f>
        <v>--</v>
      </c>
      <c r="Y57" s="165" t="str">
        <f>IFERROR(IRR($G54:Y54),"--")</f>
        <v>--</v>
      </c>
      <c r="Z57" s="165" t="str">
        <f>IFERROR(IRR($G54:Z54),"--")</f>
        <v>--</v>
      </c>
      <c r="AA57" s="165" t="str">
        <f>IFERROR(IRR($G54:AA54),"--")</f>
        <v>--</v>
      </c>
      <c r="AB57" s="165" t="str">
        <f>IFERROR(IRR($G54:AB54),"--")</f>
        <v>--</v>
      </c>
      <c r="AC57" s="165" t="str">
        <f>IFERROR(IRR($G54:AC54),"--")</f>
        <v>--</v>
      </c>
      <c r="AD57" s="165" t="str">
        <f>IFERROR(IRR($G54:AD54),"--")</f>
        <v>--</v>
      </c>
      <c r="AE57" s="165" t="str">
        <f>IFERROR(IRR($G54:AE54),"--")</f>
        <v>--</v>
      </c>
      <c r="AF57" s="165" t="str">
        <f>IFERROR(IRR($G54:AF54),"--")</f>
        <v>--</v>
      </c>
      <c r="AG57" s="165" t="str">
        <f>IFERROR(IRR($G54:AG54),"--")</f>
        <v>--</v>
      </c>
      <c r="AH57" s="165" t="str">
        <f>IFERROR(IRR($G54:AH54),"--")</f>
        <v>--</v>
      </c>
      <c r="AI57" s="165" t="str">
        <f>IFERROR(IRR($G54:AI54),"--")</f>
        <v>--</v>
      </c>
      <c r="AJ57" s="165" t="str">
        <f>IFERROR(IRR($G54:AJ54),"--")</f>
        <v>--</v>
      </c>
      <c r="AK57" s="165" t="str">
        <f>IFERROR(IRR($G54:AK54),"--")</f>
        <v>--</v>
      </c>
      <c r="AL57" s="165" t="str">
        <f>IFERROR(IRR($G54:AL54),"--")</f>
        <v>--</v>
      </c>
      <c r="AM57" s="165" t="str">
        <f>IFERROR(IRR($G54:AM54),"--")</f>
        <v>--</v>
      </c>
      <c r="AN57" s="165" t="str">
        <f>IFERROR(IRR($G54:AN54),"--")</f>
        <v>--</v>
      </c>
      <c r="AO57" s="165" t="str">
        <f>IFERROR(IRR($G54:AO54),"--")</f>
        <v>--</v>
      </c>
      <c r="AP57" s="165" t="str">
        <f>IFERROR(IRR($G54:AP54),"--")</f>
        <v>--</v>
      </c>
      <c r="AQ57" s="165" t="str">
        <f>IFERROR(IRR($G54:AQ54),"--")</f>
        <v>--</v>
      </c>
      <c r="AR57" s="165" t="str">
        <f>IFERROR(IRR($G54:AR54),"--")</f>
        <v>--</v>
      </c>
      <c r="AS57" s="165" t="str">
        <f>IFERROR(IRR($G54:AS54),"--")</f>
        <v>--</v>
      </c>
      <c r="AT57" s="165" t="str">
        <f>IFERROR(IRR($G54:AT54),"--")</f>
        <v>--</v>
      </c>
      <c r="AU57" s="165" t="str">
        <f>IFERROR(IRR($G54:AU54),"--")</f>
        <v>--</v>
      </c>
      <c r="AV57" s="165" t="str">
        <f>IFERROR(IRR($G54:AV54),"--")</f>
        <v>--</v>
      </c>
      <c r="AW57" s="165" t="str">
        <f>IFERROR(IRR($G54:AW54),"--")</f>
        <v>--</v>
      </c>
      <c r="AX57" s="165" t="str">
        <f>IFERROR(IRR($G54:AX54),"--")</f>
        <v>--</v>
      </c>
      <c r="AY57" s="165" t="str">
        <f>IFERROR(IRR($G54:AY54),"--")</f>
        <v>--</v>
      </c>
      <c r="AZ57" s="165" t="str">
        <f>IFERROR(IRR($G54:AZ54),"--")</f>
        <v>--</v>
      </c>
      <c r="BA57" s="165" t="str">
        <f>IFERROR(IRR($G54:BA54),"--")</f>
        <v>--</v>
      </c>
      <c r="BB57" s="165" t="str">
        <f>IFERROR(IRR($G54:BB54),"--")</f>
        <v>--</v>
      </c>
      <c r="BC57" s="165" t="str">
        <f>IFERROR(IRR($G54:BC54),"--")</f>
        <v>--</v>
      </c>
      <c r="BD57" s="165" t="str">
        <f>IFERROR(IRR($G54:BD54),"--")</f>
        <v>--</v>
      </c>
    </row>
    <row r="58" spans="1:256" ht="12" customHeight="1">
      <c r="C58" s="166">
        <f>NPV(Paramètres!$F$93,$H$54:$BD$54)+$G$54</f>
        <v>2342.665027256543</v>
      </c>
      <c r="D58" s="153" t="s">
        <v>182</v>
      </c>
      <c r="E58" s="128" t="s">
        <v>195</v>
      </c>
      <c r="F58" s="154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</row>
    <row r="59" spans="1:256" ht="15" customHeight="1"/>
    <row r="60" spans="1:256" ht="15" customHeight="1"/>
    <row r="61" spans="1:256" s="150" customFormat="1" ht="30" customHeight="1">
      <c r="A61" s="148" t="s">
        <v>196</v>
      </c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  <c r="CP61" s="55"/>
      <c r="CQ61" s="55"/>
      <c r="CR61" s="55"/>
      <c r="CS61" s="55"/>
      <c r="CT61" s="55"/>
      <c r="CU61" s="55"/>
      <c r="CV61" s="55"/>
      <c r="CW61" s="55"/>
      <c r="CX61" s="55"/>
      <c r="CY61" s="55"/>
      <c r="CZ61" s="55"/>
      <c r="DA61" s="55"/>
      <c r="DB61" s="55"/>
      <c r="DC61" s="55"/>
      <c r="DD61" s="55"/>
      <c r="DE61" s="55"/>
      <c r="DF61" s="55"/>
      <c r="DG61" s="55"/>
      <c r="DH61" s="55"/>
      <c r="DI61" s="55"/>
      <c r="DJ61" s="55"/>
      <c r="DK61" s="55"/>
      <c r="DL61" s="55"/>
      <c r="DM61" s="55"/>
      <c r="DN61" s="55"/>
      <c r="DO61" s="55"/>
      <c r="DP61" s="55"/>
      <c r="DQ61" s="55"/>
      <c r="DR61" s="55"/>
      <c r="DS61" s="55"/>
      <c r="DT61" s="55"/>
      <c r="DU61" s="55"/>
      <c r="DV61" s="55"/>
      <c r="DW61" s="55"/>
      <c r="DX61" s="55"/>
      <c r="DY61" s="55"/>
      <c r="DZ61" s="55"/>
      <c r="EA61" s="55"/>
      <c r="EB61" s="55"/>
      <c r="EC61" s="55"/>
      <c r="ED61" s="55"/>
      <c r="EE61" s="55"/>
      <c r="EF61" s="55"/>
      <c r="EG61" s="55"/>
      <c r="EH61" s="55"/>
      <c r="EI61" s="55"/>
      <c r="EJ61" s="55"/>
      <c r="EK61" s="55"/>
      <c r="EL61" s="55"/>
      <c r="EM61" s="55"/>
      <c r="EN61" s="55"/>
      <c r="EO61" s="55"/>
      <c r="EP61" s="55"/>
      <c r="EQ61" s="55"/>
      <c r="ER61" s="55"/>
      <c r="ES61" s="55"/>
      <c r="ET61" s="55"/>
      <c r="EU61" s="55"/>
      <c r="EV61" s="55"/>
      <c r="EW61" s="55"/>
      <c r="EX61" s="55"/>
      <c r="EY61" s="55"/>
      <c r="EZ61" s="55"/>
      <c r="FA61" s="55"/>
      <c r="FB61" s="55"/>
      <c r="FC61" s="55"/>
      <c r="FD61" s="55"/>
      <c r="FE61" s="55"/>
      <c r="FF61" s="55"/>
      <c r="FG61" s="55"/>
      <c r="FH61" s="55"/>
      <c r="FI61" s="55"/>
      <c r="FJ61" s="55"/>
      <c r="FK61" s="55"/>
      <c r="FL61" s="55"/>
      <c r="FM61" s="55"/>
      <c r="FN61" s="55"/>
      <c r="FO61" s="55"/>
      <c r="FP61" s="55"/>
      <c r="FQ61" s="55"/>
      <c r="FR61" s="55"/>
      <c r="FS61" s="55"/>
      <c r="FT61" s="55"/>
      <c r="FU61" s="55"/>
      <c r="FV61" s="55"/>
      <c r="FW61" s="55"/>
      <c r="FX61" s="55"/>
      <c r="FY61" s="55"/>
      <c r="FZ61" s="55"/>
      <c r="GA61" s="55"/>
      <c r="GB61" s="55"/>
      <c r="GC61" s="55"/>
      <c r="GD61" s="55"/>
      <c r="GE61" s="55"/>
      <c r="GF61" s="55"/>
      <c r="GG61" s="55"/>
      <c r="GH61" s="55"/>
      <c r="GI61" s="55"/>
      <c r="GJ61" s="55"/>
      <c r="GK61" s="55"/>
      <c r="GL61" s="55"/>
      <c r="GM61" s="55"/>
      <c r="GN61" s="55"/>
      <c r="GO61" s="55"/>
      <c r="GP61" s="55"/>
      <c r="GQ61" s="55"/>
      <c r="GR61" s="55"/>
      <c r="GS61" s="55"/>
      <c r="GT61" s="55"/>
      <c r="GU61" s="55"/>
      <c r="GV61" s="55"/>
      <c r="GW61" s="55"/>
      <c r="GX61" s="55"/>
      <c r="GY61" s="55"/>
      <c r="GZ61" s="55"/>
      <c r="HA61" s="55"/>
      <c r="HB61" s="55"/>
      <c r="HC61" s="55"/>
      <c r="HD61" s="55"/>
      <c r="HE61" s="55"/>
      <c r="HF61" s="55"/>
      <c r="HG61" s="55"/>
      <c r="HH61" s="55"/>
      <c r="HI61" s="55"/>
      <c r="HJ61" s="55"/>
      <c r="HK61" s="55"/>
      <c r="HL61" s="55"/>
      <c r="HM61" s="55"/>
      <c r="HN61" s="55"/>
      <c r="HO61" s="55"/>
      <c r="HP61" s="55"/>
      <c r="HQ61" s="55"/>
      <c r="HR61" s="55"/>
      <c r="HS61" s="55"/>
      <c r="HT61" s="55"/>
      <c r="HU61" s="55"/>
      <c r="HV61" s="55"/>
      <c r="HW61" s="55"/>
      <c r="HX61" s="55"/>
      <c r="HY61" s="55"/>
      <c r="HZ61" s="55"/>
      <c r="IA61" s="55"/>
      <c r="IB61" s="55"/>
      <c r="IC61" s="55"/>
      <c r="ID61" s="55"/>
      <c r="IE61" s="55"/>
      <c r="IF61" s="55"/>
      <c r="IG61" s="55"/>
      <c r="IH61" s="55"/>
      <c r="II61" s="55"/>
      <c r="IJ61" s="55"/>
      <c r="IK61" s="55"/>
      <c r="IL61" s="55"/>
      <c r="IM61" s="55"/>
      <c r="IN61" s="55"/>
      <c r="IO61" s="55"/>
      <c r="IP61" s="55"/>
      <c r="IQ61" s="55"/>
      <c r="IR61" s="55"/>
      <c r="IS61" s="55"/>
      <c r="IT61" s="55"/>
      <c r="IU61" s="55"/>
      <c r="IV61" s="55"/>
    </row>
    <row r="62" spans="1:256" ht="11.25" customHeight="1">
      <c r="C62" s="152"/>
      <c r="E62" s="128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</row>
    <row r="63" spans="1:256" ht="15" customHeight="1">
      <c r="C63" s="170" t="s">
        <v>197</v>
      </c>
      <c r="D63" s="33" t="s">
        <v>198</v>
      </c>
    </row>
    <row r="64" spans="1:256" ht="15" customHeight="1">
      <c r="C64" s="171">
        <f>SUM(G64:BD64)</f>
        <v>17</v>
      </c>
      <c r="D64" s="55" t="s">
        <v>199</v>
      </c>
      <c r="E64" s="128" t="s">
        <v>79</v>
      </c>
      <c r="G64" s="127">
        <f>Paramètres!G113*(G65&gt;0)</f>
        <v>0</v>
      </c>
      <c r="H64" s="127">
        <f>Paramètres!H113*(H65&gt;0)</f>
        <v>0</v>
      </c>
      <c r="I64" s="127">
        <f>Paramètres!I113*(I65&gt;0)</f>
        <v>0</v>
      </c>
      <c r="J64" s="127">
        <f>Paramètres!J113*(J65&gt;0)</f>
        <v>0</v>
      </c>
      <c r="K64" s="127">
        <f>Paramètres!K113*(K65&gt;0)</f>
        <v>0</v>
      </c>
      <c r="L64" s="127">
        <f>Paramètres!L113*(L65&gt;0)</f>
        <v>0</v>
      </c>
      <c r="M64" s="127">
        <f>Paramètres!M113*(M65&gt;0)</f>
        <v>0</v>
      </c>
      <c r="N64" s="127">
        <f>Paramètres!N113*(N65&gt;0)</f>
        <v>0</v>
      </c>
      <c r="O64" s="127">
        <f>Paramètres!O113*(O65&gt;0)</f>
        <v>0</v>
      </c>
      <c r="P64" s="127">
        <f>Paramètres!P113*(P65&gt;0)</f>
        <v>0</v>
      </c>
      <c r="Q64" s="127">
        <f>Paramètres!Q113*(Q65&gt;0)</f>
        <v>0</v>
      </c>
      <c r="R64" s="127">
        <f>Paramètres!R113*(R65&gt;0)</f>
        <v>0</v>
      </c>
      <c r="S64" s="127">
        <f>Paramètres!S113*(S65&gt;0)</f>
        <v>0</v>
      </c>
      <c r="T64" s="127">
        <f>Paramètres!T113*(T65&gt;0)</f>
        <v>0</v>
      </c>
      <c r="U64" s="127">
        <f>Paramètres!U113*(U65&gt;0)</f>
        <v>0</v>
      </c>
      <c r="V64" s="127">
        <f>Paramètres!V113*(V65&gt;0)</f>
        <v>0</v>
      </c>
      <c r="W64" s="127">
        <f>Paramètres!W113*(W65&gt;0)</f>
        <v>17</v>
      </c>
      <c r="X64" s="127">
        <f>Paramètres!X113*(X65&gt;0)</f>
        <v>0</v>
      </c>
      <c r="Y64" s="127">
        <f>Paramètres!Y113*(Y65&gt;0)</f>
        <v>0</v>
      </c>
      <c r="Z64" s="127">
        <f>Paramètres!Z113*(Z65&gt;0)</f>
        <v>0</v>
      </c>
      <c r="AA64" s="127">
        <f>Paramètres!AA113*(AA65&gt;0)</f>
        <v>0</v>
      </c>
      <c r="AB64" s="127">
        <f>Paramètres!AB113*(AB65&gt;0)</f>
        <v>0</v>
      </c>
      <c r="AC64" s="127">
        <f>Paramètres!AC113*(AC65&gt;0)</f>
        <v>0</v>
      </c>
      <c r="AD64" s="127">
        <f>Paramètres!AD113*(AD65&gt;0)</f>
        <v>0</v>
      </c>
      <c r="AE64" s="127">
        <f>Paramètres!AE113*(AE65&gt;0)</f>
        <v>0</v>
      </c>
      <c r="AF64" s="127">
        <f>Paramètres!AF113*(AF65&gt;0)</f>
        <v>0</v>
      </c>
      <c r="AG64" s="127">
        <f>Paramètres!AG113*(AG65&gt;0)</f>
        <v>0</v>
      </c>
      <c r="AH64" s="127">
        <f>Paramètres!AH113*(AH65&gt;0)</f>
        <v>0</v>
      </c>
      <c r="AI64" s="127">
        <f>Paramètres!AI113*(AI65&gt;0)</f>
        <v>0</v>
      </c>
      <c r="AJ64" s="127">
        <f>Paramètres!AJ113*(AJ65&gt;0)</f>
        <v>0</v>
      </c>
      <c r="AK64" s="127">
        <f>Paramètres!AK113*(AK65&gt;0)</f>
        <v>0</v>
      </c>
      <c r="AL64" s="127">
        <f>Paramètres!AL113*(AL65&gt;0)</f>
        <v>0</v>
      </c>
      <c r="AM64" s="127">
        <f>Paramètres!AM113*(AM65&gt;0)</f>
        <v>0</v>
      </c>
      <c r="AN64" s="127">
        <f>Paramètres!AN113*(AN65&gt;0)</f>
        <v>0</v>
      </c>
      <c r="AO64" s="127">
        <f>Paramètres!AO113*(AO65&gt;0)</f>
        <v>0</v>
      </c>
      <c r="AP64" s="127">
        <f>Paramètres!AP113*(AP65&gt;0)</f>
        <v>0</v>
      </c>
      <c r="AQ64" s="127">
        <f>Paramètres!AQ113*(AQ65&gt;0)</f>
        <v>0</v>
      </c>
      <c r="AR64" s="127">
        <f>Paramètres!AR113*(AR65&gt;0)</f>
        <v>0</v>
      </c>
      <c r="AS64" s="127">
        <f>Paramètres!AS113*(AS65&gt;0)</f>
        <v>0</v>
      </c>
      <c r="AT64" s="127">
        <f>Paramètres!AT113*(AT65&gt;0)</f>
        <v>0</v>
      </c>
      <c r="AU64" s="127">
        <f>Paramètres!AU113*(AU65&gt;0)</f>
        <v>0</v>
      </c>
      <c r="AV64" s="127">
        <f>Paramètres!AV113*(AV65&gt;0)</f>
        <v>0</v>
      </c>
      <c r="AW64" s="127">
        <f>Paramètres!AW113*(AW65&gt;0)</f>
        <v>0</v>
      </c>
      <c r="AX64" s="127">
        <f>Paramètres!AX113*(AX65&gt;0)</f>
        <v>0</v>
      </c>
      <c r="AY64" s="127">
        <f>Paramètres!AY113*(AY65&gt;0)</f>
        <v>0</v>
      </c>
      <c r="AZ64" s="127">
        <f>Paramètres!AZ113*(AZ65&gt;0)</f>
        <v>0</v>
      </c>
      <c r="BA64" s="127">
        <f>Paramètres!BA113*(BA65&gt;0)</f>
        <v>0</v>
      </c>
      <c r="BB64" s="127">
        <f>Paramètres!BB113*(BB65&gt;0)</f>
        <v>0</v>
      </c>
      <c r="BC64" s="127">
        <f>Paramètres!BC113*(BC65&gt;0)</f>
        <v>0</v>
      </c>
      <c r="BD64" s="127">
        <f>Paramètres!BD113*(BD65&gt;0)</f>
        <v>0</v>
      </c>
    </row>
    <row r="65" spans="1:56" ht="15" customHeight="1">
      <c r="C65" s="171">
        <f>SUM(G65:BD65)</f>
        <v>6.8639285254530602</v>
      </c>
      <c r="D65" s="55" t="s">
        <v>200</v>
      </c>
      <c r="E65" s="128" t="s">
        <v>195</v>
      </c>
      <c r="G65" s="127">
        <f t="shared" ref="G65:AL65" si="54">G52</f>
        <v>0</v>
      </c>
      <c r="H65" s="127">
        <f t="shared" si="54"/>
        <v>0</v>
      </c>
      <c r="I65" s="127">
        <f t="shared" si="54"/>
        <v>0</v>
      </c>
      <c r="J65" s="127">
        <f t="shared" si="54"/>
        <v>0</v>
      </c>
      <c r="K65" s="127">
        <f t="shared" si="54"/>
        <v>0</v>
      </c>
      <c r="L65" s="127">
        <f t="shared" si="54"/>
        <v>0</v>
      </c>
      <c r="M65" s="127">
        <f t="shared" si="54"/>
        <v>0</v>
      </c>
      <c r="N65" s="127">
        <f t="shared" si="54"/>
        <v>0</v>
      </c>
      <c r="O65" s="127">
        <f t="shared" si="54"/>
        <v>0</v>
      </c>
      <c r="P65" s="127">
        <f t="shared" si="54"/>
        <v>0</v>
      </c>
      <c r="Q65" s="127">
        <f t="shared" si="54"/>
        <v>0</v>
      </c>
      <c r="R65" s="127">
        <f t="shared" si="54"/>
        <v>0</v>
      </c>
      <c r="S65" s="127">
        <f t="shared" si="54"/>
        <v>0</v>
      </c>
      <c r="T65" s="127">
        <f t="shared" si="54"/>
        <v>0</v>
      </c>
      <c r="U65" s="127">
        <f t="shared" si="54"/>
        <v>0</v>
      </c>
      <c r="V65" s="127">
        <f t="shared" si="54"/>
        <v>0</v>
      </c>
      <c r="W65" s="127">
        <f t="shared" si="54"/>
        <v>6.8639285254530602</v>
      </c>
      <c r="X65" s="127">
        <f t="shared" si="54"/>
        <v>0</v>
      </c>
      <c r="Y65" s="127">
        <f t="shared" si="54"/>
        <v>0</v>
      </c>
      <c r="Z65" s="127">
        <f t="shared" si="54"/>
        <v>0</v>
      </c>
      <c r="AA65" s="127">
        <f t="shared" si="54"/>
        <v>0</v>
      </c>
      <c r="AB65" s="127">
        <f t="shared" si="54"/>
        <v>0</v>
      </c>
      <c r="AC65" s="127">
        <f t="shared" si="54"/>
        <v>0</v>
      </c>
      <c r="AD65" s="127">
        <f t="shared" si="54"/>
        <v>0</v>
      </c>
      <c r="AE65" s="127">
        <f t="shared" si="54"/>
        <v>0</v>
      </c>
      <c r="AF65" s="127">
        <f t="shared" si="54"/>
        <v>0</v>
      </c>
      <c r="AG65" s="127">
        <f t="shared" si="54"/>
        <v>0</v>
      </c>
      <c r="AH65" s="127">
        <f t="shared" si="54"/>
        <v>0</v>
      </c>
      <c r="AI65" s="127">
        <f t="shared" si="54"/>
        <v>0</v>
      </c>
      <c r="AJ65" s="127">
        <f t="shared" si="54"/>
        <v>0</v>
      </c>
      <c r="AK65" s="127">
        <f t="shared" si="54"/>
        <v>0</v>
      </c>
      <c r="AL65" s="127">
        <f t="shared" si="54"/>
        <v>0</v>
      </c>
      <c r="AM65" s="127">
        <f t="shared" ref="AM65:BD65" si="55">AM52</f>
        <v>0</v>
      </c>
      <c r="AN65" s="127">
        <f t="shared" si="55"/>
        <v>0</v>
      </c>
      <c r="AO65" s="127">
        <f t="shared" si="55"/>
        <v>0</v>
      </c>
      <c r="AP65" s="127">
        <f t="shared" si="55"/>
        <v>0</v>
      </c>
      <c r="AQ65" s="127">
        <f t="shared" si="55"/>
        <v>0</v>
      </c>
      <c r="AR65" s="127">
        <f t="shared" si="55"/>
        <v>0</v>
      </c>
      <c r="AS65" s="127">
        <f t="shared" si="55"/>
        <v>0</v>
      </c>
      <c r="AT65" s="127">
        <f t="shared" si="55"/>
        <v>0</v>
      </c>
      <c r="AU65" s="127">
        <f t="shared" si="55"/>
        <v>0</v>
      </c>
      <c r="AV65" s="127">
        <f t="shared" si="55"/>
        <v>0</v>
      </c>
      <c r="AW65" s="127">
        <f t="shared" si="55"/>
        <v>0</v>
      </c>
      <c r="AX65" s="127">
        <f t="shared" si="55"/>
        <v>0</v>
      </c>
      <c r="AY65" s="127">
        <f t="shared" si="55"/>
        <v>0</v>
      </c>
      <c r="AZ65" s="127">
        <f t="shared" si="55"/>
        <v>0</v>
      </c>
      <c r="BA65" s="127">
        <f t="shared" si="55"/>
        <v>0</v>
      </c>
      <c r="BB65" s="127">
        <f t="shared" si="55"/>
        <v>0</v>
      </c>
      <c r="BC65" s="127">
        <f t="shared" si="55"/>
        <v>0</v>
      </c>
      <c r="BD65" s="127">
        <f t="shared" si="55"/>
        <v>0</v>
      </c>
    </row>
    <row r="66" spans="1:56" ht="15" customHeight="1">
      <c r="C66" s="171">
        <f>SUM(G66:BD66)</f>
        <v>5</v>
      </c>
      <c r="D66" s="55" t="s">
        <v>201</v>
      </c>
      <c r="E66" s="128" t="s">
        <v>202</v>
      </c>
      <c r="G66" s="127">
        <f t="shared" ref="G66:AL66" si="56">G65/G40</f>
        <v>0</v>
      </c>
      <c r="H66" s="127">
        <f t="shared" si="56"/>
        <v>0</v>
      </c>
      <c r="I66" s="127">
        <f t="shared" si="56"/>
        <v>0</v>
      </c>
      <c r="J66" s="127">
        <f t="shared" si="56"/>
        <v>0</v>
      </c>
      <c r="K66" s="127">
        <f t="shared" si="56"/>
        <v>0</v>
      </c>
      <c r="L66" s="127">
        <f t="shared" si="56"/>
        <v>0</v>
      </c>
      <c r="M66" s="127">
        <f t="shared" si="56"/>
        <v>0</v>
      </c>
      <c r="N66" s="127">
        <f t="shared" si="56"/>
        <v>0</v>
      </c>
      <c r="O66" s="127">
        <f t="shared" si="56"/>
        <v>0</v>
      </c>
      <c r="P66" s="127">
        <f t="shared" si="56"/>
        <v>0</v>
      </c>
      <c r="Q66" s="127">
        <f t="shared" si="56"/>
        <v>0</v>
      </c>
      <c r="R66" s="127">
        <f t="shared" si="56"/>
        <v>0</v>
      </c>
      <c r="S66" s="127">
        <f t="shared" si="56"/>
        <v>0</v>
      </c>
      <c r="T66" s="127">
        <f t="shared" si="56"/>
        <v>0</v>
      </c>
      <c r="U66" s="127">
        <f t="shared" si="56"/>
        <v>0</v>
      </c>
      <c r="V66" s="127">
        <f t="shared" si="56"/>
        <v>0</v>
      </c>
      <c r="W66" s="127">
        <f t="shared" si="56"/>
        <v>5</v>
      </c>
      <c r="X66" s="127">
        <f t="shared" si="56"/>
        <v>0</v>
      </c>
      <c r="Y66" s="127">
        <f t="shared" si="56"/>
        <v>0</v>
      </c>
      <c r="Z66" s="127">
        <f t="shared" si="56"/>
        <v>0</v>
      </c>
      <c r="AA66" s="127">
        <f t="shared" si="56"/>
        <v>0</v>
      </c>
      <c r="AB66" s="127">
        <f t="shared" si="56"/>
        <v>0</v>
      </c>
      <c r="AC66" s="127">
        <f t="shared" si="56"/>
        <v>0</v>
      </c>
      <c r="AD66" s="127">
        <f t="shared" si="56"/>
        <v>0</v>
      </c>
      <c r="AE66" s="127">
        <f t="shared" si="56"/>
        <v>0</v>
      </c>
      <c r="AF66" s="127">
        <f t="shared" si="56"/>
        <v>0</v>
      </c>
      <c r="AG66" s="127">
        <f t="shared" si="56"/>
        <v>0</v>
      </c>
      <c r="AH66" s="127">
        <f t="shared" si="56"/>
        <v>0</v>
      </c>
      <c r="AI66" s="127">
        <f t="shared" si="56"/>
        <v>0</v>
      </c>
      <c r="AJ66" s="127">
        <f t="shared" si="56"/>
        <v>0</v>
      </c>
      <c r="AK66" s="127">
        <f t="shared" si="56"/>
        <v>0</v>
      </c>
      <c r="AL66" s="127">
        <f t="shared" si="56"/>
        <v>0</v>
      </c>
      <c r="AM66" s="127">
        <f t="shared" ref="AM66:BR66" si="57">AM65/AM40</f>
        <v>0</v>
      </c>
      <c r="AN66" s="127">
        <f t="shared" si="57"/>
        <v>0</v>
      </c>
      <c r="AO66" s="127">
        <f t="shared" si="57"/>
        <v>0</v>
      </c>
      <c r="AP66" s="127">
        <f t="shared" si="57"/>
        <v>0</v>
      </c>
      <c r="AQ66" s="127">
        <f t="shared" si="57"/>
        <v>0</v>
      </c>
      <c r="AR66" s="127">
        <f t="shared" si="57"/>
        <v>0</v>
      </c>
      <c r="AS66" s="127">
        <f t="shared" si="57"/>
        <v>0</v>
      </c>
      <c r="AT66" s="127">
        <f t="shared" si="57"/>
        <v>0</v>
      </c>
      <c r="AU66" s="127">
        <f t="shared" si="57"/>
        <v>0</v>
      </c>
      <c r="AV66" s="127">
        <f t="shared" si="57"/>
        <v>0</v>
      </c>
      <c r="AW66" s="127">
        <f t="shared" si="57"/>
        <v>0</v>
      </c>
      <c r="AX66" s="127">
        <f t="shared" si="57"/>
        <v>0</v>
      </c>
      <c r="AY66" s="127">
        <f t="shared" si="57"/>
        <v>0</v>
      </c>
      <c r="AZ66" s="127">
        <f t="shared" si="57"/>
        <v>0</v>
      </c>
      <c r="BA66" s="127">
        <f t="shared" si="57"/>
        <v>0</v>
      </c>
      <c r="BB66" s="127">
        <f t="shared" si="57"/>
        <v>0</v>
      </c>
      <c r="BC66" s="127">
        <f t="shared" si="57"/>
        <v>0</v>
      </c>
      <c r="BD66" s="127">
        <f t="shared" si="57"/>
        <v>0</v>
      </c>
    </row>
    <row r="67" spans="1:56" ht="15" customHeight="1">
      <c r="C67" s="171"/>
      <c r="D67" s="55" t="s">
        <v>203</v>
      </c>
      <c r="E67" s="128" t="s">
        <v>195</v>
      </c>
      <c r="G67" s="127">
        <f>$C$66*G40*(Paramètres!G113&lt;=$C$64)*(1+Paramètres!$F$95)</f>
        <v>5.0999999999999996</v>
      </c>
      <c r="H67" s="127">
        <f>$C$66*H40*(Paramètres!H113&lt;=$C$64)*(1+Paramètres!$F$95)</f>
        <v>5.202</v>
      </c>
      <c r="I67" s="127">
        <f>$C$66*I40*(Paramètres!I113&lt;=$C$64)*(1+Paramètres!$F$95)</f>
        <v>5.3060400000000003</v>
      </c>
      <c r="J67" s="127">
        <f>$C$66*J40*(Paramètres!J113&lt;=$C$64)*(1+Paramètres!$F$95)</f>
        <v>5.4121607999999997</v>
      </c>
      <c r="K67" s="127">
        <f>$C$66*K40*(Paramètres!K113&lt;=$C$64)*(1+Paramètres!$F$95)</f>
        <v>5.5204040159999996</v>
      </c>
      <c r="L67" s="127">
        <f>$C$66*L40*(Paramètres!L113&lt;=$C$64)*(1+Paramètres!$F$95)</f>
        <v>5.6308120963200006</v>
      </c>
      <c r="M67" s="127">
        <f>$C$66*M40*(Paramètres!M113&lt;=$C$64)*(1+Paramètres!$F$95)</f>
        <v>5.7434283382464004</v>
      </c>
      <c r="N67" s="127">
        <f>$C$66*N40*(Paramètres!N113&lt;=$C$64)*(1+Paramètres!$F$95)</f>
        <v>5.8582969050113274</v>
      </c>
      <c r="O67" s="127">
        <f>$C$66*O40*(Paramètres!O113&lt;=$C$64)*(1+Paramètres!$F$95)</f>
        <v>5.9754628431115542</v>
      </c>
      <c r="P67" s="127">
        <f>$C$66*P40*(Paramètres!P113&lt;=$C$64)*(1+Paramètres!$F$95)</f>
        <v>6.0949720999737851</v>
      </c>
      <c r="Q67" s="127">
        <f>$C$66*Q40*(Paramètres!Q113&lt;=$C$64)*(1+Paramètres!$F$95)</f>
        <v>6.2168715419732621</v>
      </c>
      <c r="R67" s="127">
        <f>$C$66*R40*(Paramètres!R113&lt;=$C$64)*(1+Paramètres!$F$95)</f>
        <v>6.3412089728127254</v>
      </c>
      <c r="S67" s="127">
        <f>$C$66*S40*(Paramètres!S113&lt;=$C$64)*(1+Paramètres!$F$95)</f>
        <v>6.4680331522689807</v>
      </c>
      <c r="T67" s="127">
        <f>$C$66*T40*(Paramètres!T113&lt;=$C$64)*(1+Paramètres!$F$95)</f>
        <v>6.5973938153143603</v>
      </c>
      <c r="U67" s="127">
        <f>$C$66*U40*(Paramètres!U113&lt;=$C$64)*(1+Paramètres!$F$95)</f>
        <v>6.7293416916206477</v>
      </c>
      <c r="V67" s="127">
        <f>$C$66*V40*(Paramètres!V113&lt;=$C$64)*(1+Paramètres!$F$95)</f>
        <v>6.8639285254530593</v>
      </c>
      <c r="W67" s="127">
        <f>$C$66*W40*(Paramètres!W113&lt;=$C$64)*(1+Paramètres!$F$95)</f>
        <v>7.0012070959621218</v>
      </c>
      <c r="X67" s="127">
        <f>$C$66*X40*(Paramètres!X113&lt;=$C$64)*(1+Paramètres!$F$95)</f>
        <v>0</v>
      </c>
      <c r="Y67" s="127">
        <f>$C$66*Y40*(Paramètres!Y113&lt;=$C$64)*(1+Paramètres!$F$95)</f>
        <v>0</v>
      </c>
      <c r="Z67" s="127">
        <f>$C$66*Z40*(Paramètres!Z113&lt;=$C$64)*(1+Paramètres!$F$95)</f>
        <v>0</v>
      </c>
      <c r="AA67" s="127">
        <f>$C$66*AA40*(Paramètres!AA113&lt;=$C$64)*(1+Paramètres!$F$95)</f>
        <v>0</v>
      </c>
      <c r="AB67" s="127">
        <f>$C$66*AB40*(Paramètres!AB113&lt;=$C$64)*(1+Paramètres!$F$95)</f>
        <v>0</v>
      </c>
      <c r="AC67" s="127">
        <f>$C$66*AC40*(Paramètres!AC113&lt;=$C$64)*(1+Paramètres!$F$95)</f>
        <v>0</v>
      </c>
      <c r="AD67" s="127">
        <f>$C$66*AD40*(Paramètres!AD113&lt;=$C$64)*(1+Paramètres!$F$95)</f>
        <v>0</v>
      </c>
      <c r="AE67" s="127">
        <f>$C$66*AE40*(Paramètres!AE113&lt;=$C$64)*(1+Paramètres!$F$95)</f>
        <v>0</v>
      </c>
      <c r="AF67" s="127">
        <f>$C$66*AF40*(Paramètres!AF113&lt;=$C$64)*(1+Paramètres!$F$95)</f>
        <v>0</v>
      </c>
      <c r="AG67" s="127">
        <f>$C$66*AG40*(Paramètres!AG113&lt;=$C$64)*(1+Paramètres!$F$95)</f>
        <v>0</v>
      </c>
      <c r="AH67" s="127">
        <f>$C$66*AH40*(Paramètres!AH113&lt;=$C$64)*(1+Paramètres!$F$95)</f>
        <v>0</v>
      </c>
      <c r="AI67" s="127">
        <f>$C$66*AI40*(Paramètres!AI113&lt;=$C$64)*(1+Paramètres!$F$95)</f>
        <v>0</v>
      </c>
      <c r="AJ67" s="127">
        <f>$C$66*AJ40*(Paramètres!AJ113&lt;=$C$64)*(1+Paramètres!$F$95)</f>
        <v>0</v>
      </c>
      <c r="AK67" s="127">
        <f>$C$66*AK40*(Paramètres!AK113&lt;=$C$64)*(1+Paramètres!$F$95)</f>
        <v>0</v>
      </c>
      <c r="AL67" s="127">
        <f>$C$66*AL40*(Paramètres!AL113&lt;=$C$64)*(1+Paramètres!$F$95)</f>
        <v>0</v>
      </c>
      <c r="AM67" s="127">
        <f>$C$66*AM40*(Paramètres!AM113&lt;=$C$64)*(1+Paramètres!$F$95)</f>
        <v>0</v>
      </c>
      <c r="AN67" s="127">
        <f>$C$66*AN40*(Paramètres!AN113&lt;=$C$64)*(1+Paramètres!$F$95)</f>
        <v>0</v>
      </c>
      <c r="AO67" s="127">
        <f>$C$66*AO40*(Paramètres!AO113&lt;=$C$64)*(1+Paramètres!$F$95)</f>
        <v>0</v>
      </c>
      <c r="AP67" s="127">
        <f>$C$66*AP40*(Paramètres!AP113&lt;=$C$64)*(1+Paramètres!$F$95)</f>
        <v>0</v>
      </c>
      <c r="AQ67" s="127">
        <f>$C$66*AQ40*(Paramètres!AQ113&lt;=$C$64)*(1+Paramètres!$F$95)</f>
        <v>0</v>
      </c>
      <c r="AR67" s="127">
        <f>$C$66*AR40*(Paramètres!AR113&lt;=$C$64)*(1+Paramètres!$F$95)</f>
        <v>0</v>
      </c>
      <c r="AS67" s="127">
        <f>$C$66*AS40*(Paramètres!AS113&lt;=$C$64)*(1+Paramètres!$F$95)</f>
        <v>0</v>
      </c>
      <c r="AT67" s="127">
        <f>$C$66*AT40*(Paramètres!AT113&lt;=$C$64)*(1+Paramètres!$F$95)</f>
        <v>0</v>
      </c>
      <c r="AU67" s="127">
        <f>$C$66*AU40*(Paramètres!AU113&lt;=$C$64)*(1+Paramètres!$F$95)</f>
        <v>0</v>
      </c>
      <c r="AV67" s="127">
        <f>$C$66*AV40*(Paramètres!AV113&lt;=$C$64)*(1+Paramètres!$F$95)</f>
        <v>0</v>
      </c>
      <c r="AW67" s="127">
        <f>$C$66*AW40*(Paramètres!AW113&lt;=$C$64)*(1+Paramètres!$F$95)</f>
        <v>0</v>
      </c>
      <c r="AX67" s="127">
        <f>$C$66*AX40*(Paramètres!AX113&lt;=$C$64)*(1+Paramètres!$F$95)</f>
        <v>0</v>
      </c>
      <c r="AY67" s="127">
        <f>$C$66*AY40*(Paramètres!AY113&lt;=$C$64)*(1+Paramètres!$F$95)</f>
        <v>0</v>
      </c>
      <c r="AZ67" s="127">
        <f>$C$66*AZ40*(Paramètres!AZ113&lt;=$C$64)*(1+Paramètres!$F$95)</f>
        <v>0</v>
      </c>
      <c r="BA67" s="127">
        <f>$C$66*BA40*(Paramètres!BA113&lt;=$C$64)*(1+Paramètres!$F$95)</f>
        <v>0</v>
      </c>
      <c r="BB67" s="127">
        <f>$C$66*BB40*(Paramètres!BB113&lt;=$C$64)*(1+Paramètres!$F$95)</f>
        <v>0</v>
      </c>
      <c r="BC67" s="127">
        <f>$C$66*BC40*(Paramètres!BC113&lt;=$C$64)*(1+Paramètres!$F$95)</f>
        <v>0</v>
      </c>
      <c r="BD67" s="127">
        <f>$C$66*BD40*(Paramètres!BD113&lt;=$C$64)*(1+Paramètres!$F$95)</f>
        <v>0</v>
      </c>
    </row>
    <row r="68" spans="1:56" ht="15" customHeight="1">
      <c r="C68" s="152"/>
      <c r="E68" s="128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</row>
    <row r="69" spans="1:56" ht="15" customHeight="1">
      <c r="C69" s="152"/>
      <c r="D69" s="55" t="s">
        <v>204</v>
      </c>
      <c r="E69" s="128" t="s">
        <v>26</v>
      </c>
      <c r="G69" s="112">
        <f>SUM(Paramètres!$G$115:G115)/Paramètres!$C$115</f>
        <v>5.7189542483660129E-2</v>
      </c>
      <c r="H69" s="112">
        <f>SUM(Paramètres!$G$115:H115)/Paramètres!$C$115</f>
        <v>0.14098972922502334</v>
      </c>
      <c r="I69" s="112">
        <f>SUM(Paramètres!$G$115:I115)/Paramètres!$C$115</f>
        <v>0.2250233426704015</v>
      </c>
      <c r="J69" s="112">
        <f>SUM(Paramètres!$G$115:J115)/Paramètres!$C$115</f>
        <v>0.3183940242763772</v>
      </c>
      <c r="K69" s="112">
        <f>SUM(Paramètres!$G$115:K115)/Paramètres!$C$115</f>
        <v>0.41176470588235292</v>
      </c>
      <c r="L69" s="112">
        <f>SUM(Paramètres!$G$115:L115)/Paramètres!$C$115</f>
        <v>0.50513538748832865</v>
      </c>
      <c r="M69" s="112">
        <f>SUM(Paramètres!$G$115:M115)/Paramètres!$C$115</f>
        <v>0.59850606909430437</v>
      </c>
      <c r="N69" s="112">
        <f>SUM(Paramètres!$G$115:N115)/Paramètres!$C$115</f>
        <v>0.67320261437908502</v>
      </c>
      <c r="O69" s="112">
        <f>SUM(Paramètres!$G$115:O115)/Paramètres!$C$115</f>
        <v>0.71358543417366949</v>
      </c>
      <c r="P69" s="112">
        <f>SUM(Paramètres!$G$115:P115)/Paramètres!$C$115</f>
        <v>0.75396825396825395</v>
      </c>
      <c r="Q69" s="112">
        <f>SUM(Paramètres!$G$115:Q115)/Paramètres!$C$115</f>
        <v>0.79435107376283842</v>
      </c>
      <c r="R69" s="112">
        <f>SUM(Paramètres!$G$115:R115)/Paramètres!$C$115</f>
        <v>0.834733893557423</v>
      </c>
      <c r="S69" s="112">
        <f>SUM(Paramètres!$G$115:S115)/Paramètres!$C$115</f>
        <v>0.87511671335200747</v>
      </c>
      <c r="T69" s="112">
        <f>SUM(Paramètres!$G$115:T115)/Paramètres!$C$115</f>
        <v>0.91549953314659194</v>
      </c>
      <c r="U69" s="112">
        <f>SUM(Paramètres!$G$115:U115)/Paramètres!$C$115</f>
        <v>0.95588235294117652</v>
      </c>
      <c r="V69" s="112">
        <f>SUM(Paramètres!$G$115:V115)/Paramètres!$C$115</f>
        <v>0.98692810457516345</v>
      </c>
      <c r="W69" s="112">
        <f>SUM(Paramètres!$G$115:W115)/Paramètres!$C$115</f>
        <v>1</v>
      </c>
      <c r="X69" s="112">
        <f>SUM(Paramètres!$G$115:X115)/Paramètres!$C$115</f>
        <v>1</v>
      </c>
      <c r="Y69" s="112">
        <f>SUM(Paramètres!$G$115:Y115)/Paramètres!$C$115</f>
        <v>1</v>
      </c>
      <c r="Z69" s="112">
        <f>SUM(Paramètres!$G$115:Z115)/Paramètres!$C$115</f>
        <v>1</v>
      </c>
      <c r="AA69" s="112">
        <f>SUM(Paramètres!$G$115:AA115)/Paramètres!$C$115</f>
        <v>1</v>
      </c>
      <c r="AB69" s="112">
        <f>SUM(Paramètres!$G$115:AB115)/Paramètres!$C$115</f>
        <v>1</v>
      </c>
      <c r="AC69" s="112">
        <f>SUM(Paramètres!$G$115:AC115)/Paramètres!$C$115</f>
        <v>1</v>
      </c>
      <c r="AD69" s="112">
        <f>SUM(Paramètres!$G$115:AD115)/Paramètres!$C$115</f>
        <v>1</v>
      </c>
      <c r="AE69" s="112">
        <f>SUM(Paramètres!$G$115:AE115)/Paramètres!$C$115</f>
        <v>1</v>
      </c>
      <c r="AF69" s="112">
        <f>SUM(Paramètres!$G$115:AF115)/Paramètres!$C$115</f>
        <v>1</v>
      </c>
      <c r="AG69" s="112">
        <f>SUM(Paramètres!$G$115:AG115)/Paramètres!$C$115</f>
        <v>1</v>
      </c>
      <c r="AH69" s="112">
        <f>SUM(Paramètres!$G$115:AH115)/Paramètres!$C$115</f>
        <v>1</v>
      </c>
      <c r="AI69" s="112">
        <f>SUM(Paramètres!$G$115:AI115)/Paramètres!$C$115</f>
        <v>1</v>
      </c>
      <c r="AJ69" s="112">
        <f>SUM(Paramètres!$G$115:AJ115)/Paramètres!$C$115</f>
        <v>1</v>
      </c>
      <c r="AK69" s="112">
        <f>SUM(Paramètres!$G$115:AK115)/Paramètres!$C$115</f>
        <v>1</v>
      </c>
      <c r="AL69" s="112">
        <f>SUM(Paramètres!$G$115:AL115)/Paramètres!$C$115</f>
        <v>1</v>
      </c>
      <c r="AM69" s="112">
        <f>SUM(Paramètres!$G$115:AM115)/Paramètres!$C$115</f>
        <v>1</v>
      </c>
      <c r="AN69" s="112">
        <f>SUM(Paramètres!$G$115:AN115)/Paramètres!$C$115</f>
        <v>1</v>
      </c>
      <c r="AO69" s="112">
        <f>SUM(Paramètres!$G$115:AO115)/Paramètres!$C$115</f>
        <v>1</v>
      </c>
      <c r="AP69" s="112">
        <f>SUM(Paramètres!$G$115:AP115)/Paramètres!$C$115</f>
        <v>1</v>
      </c>
      <c r="AQ69" s="112">
        <f>SUM(Paramètres!$G$115:AQ115)/Paramètres!$C$115</f>
        <v>1</v>
      </c>
      <c r="AR69" s="112">
        <f>SUM(Paramètres!$G$115:AR115)/Paramètres!$C$115</f>
        <v>1</v>
      </c>
      <c r="AS69" s="112">
        <f>SUM(Paramètres!$G$115:AS115)/Paramètres!$C$115</f>
        <v>1</v>
      </c>
      <c r="AT69" s="112">
        <f>SUM(Paramètres!$G$115:AT115)/Paramètres!$C$115</f>
        <v>1</v>
      </c>
      <c r="AU69" s="112">
        <f>SUM(Paramètres!$G$115:AU115)/Paramètres!$C$115</f>
        <v>1</v>
      </c>
      <c r="AV69" s="112">
        <f>SUM(Paramètres!$G$115:AV115)/Paramètres!$C$115</f>
        <v>1</v>
      </c>
      <c r="AW69" s="112">
        <f>SUM(Paramètres!$G$115:AW115)/Paramètres!$C$115</f>
        <v>1</v>
      </c>
      <c r="AX69" s="112">
        <f>SUM(Paramètres!$G$115:AX115)/Paramètres!$C$115</f>
        <v>1</v>
      </c>
      <c r="AY69" s="112">
        <f>SUM(Paramètres!$G$115:AY115)/Paramètres!$C$115</f>
        <v>1</v>
      </c>
      <c r="AZ69" s="112">
        <f>SUM(Paramètres!$G$115:AZ115)/Paramètres!$C$115</f>
        <v>1</v>
      </c>
      <c r="BA69" s="112">
        <f>SUM(Paramètres!$G$115:BA115)/Paramètres!$C$115</f>
        <v>1</v>
      </c>
      <c r="BB69" s="112">
        <f>SUM(Paramètres!$G$115:BB115)/Paramètres!$C$115</f>
        <v>1</v>
      </c>
      <c r="BC69" s="112">
        <f>SUM(Paramètres!$G$115:BC115)/Paramètres!$C$115</f>
        <v>1</v>
      </c>
      <c r="BD69" s="112">
        <f>SUM(Paramètres!$G$115:BD115)/Paramètres!$C$115</f>
        <v>1</v>
      </c>
    </row>
    <row r="70" spans="1:56" ht="15" customHeight="1">
      <c r="C70" s="152"/>
      <c r="D70" s="55" t="s">
        <v>205</v>
      </c>
      <c r="E70" s="128" t="s">
        <v>206</v>
      </c>
      <c r="G70" s="127">
        <f>Paramètres!$C$115-SUM(Paramètres!$G$115:G115)</f>
        <v>4039000</v>
      </c>
      <c r="H70" s="127">
        <f>Paramètres!$C$115-SUM(Paramètres!$G$115:H115)</f>
        <v>3680000</v>
      </c>
      <c r="I70" s="127">
        <f>Paramètres!$C$115-SUM(Paramètres!$G$115:I115)</f>
        <v>3320000</v>
      </c>
      <c r="J70" s="127">
        <f>Paramètres!$C$115-SUM(Paramètres!$G$115:J115)</f>
        <v>2920000</v>
      </c>
      <c r="K70" s="127">
        <f>Paramètres!$C$115-SUM(Paramètres!$G$115:K115)</f>
        <v>2520000</v>
      </c>
      <c r="L70" s="127">
        <f>Paramètres!$C$115-SUM(Paramètres!$G$115:L115)</f>
        <v>2120000</v>
      </c>
      <c r="M70" s="127">
        <f>Paramètres!$C$115-SUM(Paramètres!$G$115:M115)</f>
        <v>1720000</v>
      </c>
      <c r="N70" s="127">
        <f>Paramètres!$C$115-SUM(Paramètres!$G$115:N115)</f>
        <v>1400000</v>
      </c>
      <c r="O70" s="127">
        <f>Paramètres!$C$115-SUM(Paramètres!$G$115:O115)</f>
        <v>1227000</v>
      </c>
      <c r="P70" s="127">
        <f>Paramètres!$C$115-SUM(Paramètres!$G$115:P115)</f>
        <v>1054000</v>
      </c>
      <c r="Q70" s="127">
        <f>Paramètres!$C$115-SUM(Paramètres!$G$115:Q115)</f>
        <v>881000</v>
      </c>
      <c r="R70" s="127">
        <f>Paramètres!$C$115-SUM(Paramètres!$G$115:R115)</f>
        <v>708000</v>
      </c>
      <c r="S70" s="127">
        <f>Paramètres!$C$115-SUM(Paramètres!$G$115:S115)</f>
        <v>535000</v>
      </c>
      <c r="T70" s="127">
        <f>Paramètres!$C$115-SUM(Paramètres!$G$115:T115)</f>
        <v>362000</v>
      </c>
      <c r="U70" s="127">
        <f>Paramètres!$C$115-SUM(Paramètres!$G$115:U115)</f>
        <v>189000</v>
      </c>
      <c r="V70" s="127">
        <f>Paramètres!$C$115-SUM(Paramètres!$G$115:V115)</f>
        <v>56000</v>
      </c>
      <c r="W70" s="127">
        <f>Paramètres!$C$115-SUM(Paramètres!$G$115:W115)</f>
        <v>0</v>
      </c>
      <c r="X70" s="127">
        <f>Paramètres!$C$115-SUM(Paramètres!$G$115:X115)</f>
        <v>0</v>
      </c>
      <c r="Y70" s="127">
        <f>Paramètres!$C$115-SUM(Paramètres!$G$115:Y115)</f>
        <v>0</v>
      </c>
      <c r="Z70" s="127">
        <f>Paramètres!$C$115-SUM(Paramètres!$G$115:Z115)</f>
        <v>0</v>
      </c>
      <c r="AA70" s="127">
        <f>Paramètres!$C$115-SUM(Paramètres!$G$115:AA115)</f>
        <v>0</v>
      </c>
      <c r="AB70" s="127">
        <f>Paramètres!$C$115-SUM(Paramètres!$G$115:AB115)</f>
        <v>0</v>
      </c>
      <c r="AC70" s="127">
        <f>Paramètres!$C$115-SUM(Paramètres!$G$115:AC115)</f>
        <v>0</v>
      </c>
      <c r="AD70" s="127">
        <f>Paramètres!$C$115-SUM(Paramètres!$G$115:AD115)</f>
        <v>0</v>
      </c>
      <c r="AE70" s="127">
        <f>Paramètres!$C$115-SUM(Paramètres!$G$115:AE115)</f>
        <v>0</v>
      </c>
      <c r="AF70" s="127">
        <f>Paramètres!$C$115-SUM(Paramètres!$G$115:AF115)</f>
        <v>0</v>
      </c>
      <c r="AG70" s="127">
        <f>Paramètres!$C$115-SUM(Paramètres!$G$115:AG115)</f>
        <v>0</v>
      </c>
      <c r="AH70" s="127">
        <f>Paramètres!$C$115-SUM(Paramètres!$G$115:AH115)</f>
        <v>0</v>
      </c>
      <c r="AI70" s="127">
        <f>Paramètres!$C$115-SUM(Paramètres!$G$115:AI115)</f>
        <v>0</v>
      </c>
      <c r="AJ70" s="127">
        <f>Paramètres!$C$115-SUM(Paramètres!$G$115:AJ115)</f>
        <v>0</v>
      </c>
      <c r="AK70" s="127">
        <f>Paramètres!$C$115-SUM(Paramètres!$G$115:AK115)</f>
        <v>0</v>
      </c>
      <c r="AL70" s="127">
        <f>Paramètres!$C$115-SUM(Paramètres!$G$115:AL115)</f>
        <v>0</v>
      </c>
      <c r="AM70" s="127">
        <f>Paramètres!$C$115-SUM(Paramètres!$G$115:AM115)</f>
        <v>0</v>
      </c>
      <c r="AN70" s="127">
        <f>Paramètres!$C$115-SUM(Paramètres!$G$115:AN115)</f>
        <v>0</v>
      </c>
      <c r="AO70" s="127">
        <f>Paramètres!$C$115-SUM(Paramètres!$G$115:AO115)</f>
        <v>0</v>
      </c>
      <c r="AP70" s="127">
        <f>Paramètres!$C$115-SUM(Paramètres!$G$115:AP115)</f>
        <v>0</v>
      </c>
      <c r="AQ70" s="127">
        <f>Paramètres!$C$115-SUM(Paramètres!$G$115:AQ115)</f>
        <v>0</v>
      </c>
      <c r="AR70" s="127">
        <f>Paramètres!$C$115-SUM(Paramètres!$G$115:AR115)</f>
        <v>0</v>
      </c>
      <c r="AS70" s="127">
        <f>Paramètres!$C$115-SUM(Paramètres!$G$115:AS115)</f>
        <v>0</v>
      </c>
      <c r="AT70" s="127">
        <f>Paramètres!$C$115-SUM(Paramètres!$G$115:AT115)</f>
        <v>0</v>
      </c>
      <c r="AU70" s="127">
        <f>Paramètres!$C$115-SUM(Paramètres!$G$115:AU115)</f>
        <v>0</v>
      </c>
      <c r="AV70" s="127">
        <f>Paramètres!$C$115-SUM(Paramètres!$G$115:AV115)</f>
        <v>0</v>
      </c>
      <c r="AW70" s="127">
        <f>Paramètres!$C$115-SUM(Paramètres!$G$115:AW115)</f>
        <v>0</v>
      </c>
      <c r="AX70" s="127">
        <f>Paramètres!$C$115-SUM(Paramètres!$G$115:AX115)</f>
        <v>0</v>
      </c>
      <c r="AY70" s="127">
        <f>Paramètres!$C$115-SUM(Paramètres!$G$115:AY115)</f>
        <v>0</v>
      </c>
      <c r="AZ70" s="127">
        <f>Paramètres!$C$115-SUM(Paramètres!$G$115:AZ115)</f>
        <v>0</v>
      </c>
      <c r="BA70" s="127">
        <f>Paramètres!$C$115-SUM(Paramètres!$G$115:BA115)</f>
        <v>0</v>
      </c>
      <c r="BB70" s="127">
        <f>Paramètres!$C$115-SUM(Paramètres!$G$115:BB115)</f>
        <v>0</v>
      </c>
      <c r="BC70" s="127">
        <f>Paramètres!$C$115-SUM(Paramètres!$G$115:BC115)</f>
        <v>0</v>
      </c>
      <c r="BD70" s="127">
        <f>Paramètres!$C$115-SUM(Paramètres!$G$115:BD115)</f>
        <v>0</v>
      </c>
    </row>
    <row r="71" spans="1:56" ht="15" customHeight="1">
      <c r="C71" s="152"/>
      <c r="D71" s="55" t="s">
        <v>207</v>
      </c>
      <c r="E71" s="128" t="s">
        <v>208</v>
      </c>
      <c r="G71" s="127">
        <f>1*(G69&gt;Paramètres!$F$40)*(Paramètres!G115&gt;0)</f>
        <v>1</v>
      </c>
      <c r="H71" s="127">
        <f>1*(H69&gt;Paramètres!$F$40)*(Paramètres!H115&gt;0)</f>
        <v>1</v>
      </c>
      <c r="I71" s="127">
        <f>1*(I69&gt;Paramètres!$F$40)*(Paramètres!I115&gt;0)</f>
        <v>1</v>
      </c>
      <c r="J71" s="127">
        <f>1*(J69&gt;Paramètres!$F$40)*(Paramètres!J115&gt;0)</f>
        <v>1</v>
      </c>
      <c r="K71" s="127">
        <f>1*(K69&gt;Paramètres!$F$40)*(Paramètres!K115&gt;0)</f>
        <v>1</v>
      </c>
      <c r="L71" s="127">
        <f>1*(L69&gt;Paramètres!$F$40)*(Paramètres!L115&gt;0)</f>
        <v>1</v>
      </c>
      <c r="M71" s="127">
        <f>1*(M69&gt;Paramètres!$F$40)*(Paramètres!M115&gt;0)</f>
        <v>1</v>
      </c>
      <c r="N71" s="127">
        <f>1*(N69&gt;Paramètres!$F$40)*(Paramètres!N115&gt;0)</f>
        <v>1</v>
      </c>
      <c r="O71" s="127">
        <f>1*(O69&gt;Paramètres!$F$40)*(Paramètres!O115&gt;0)</f>
        <v>1</v>
      </c>
      <c r="P71" s="127">
        <f>1*(P69&gt;Paramètres!$F$40)*(Paramètres!P115&gt;0)</f>
        <v>1</v>
      </c>
      <c r="Q71" s="127">
        <f>1*(Q69&gt;Paramètres!$F$40)*(Paramètres!Q115&gt;0)</f>
        <v>1</v>
      </c>
      <c r="R71" s="127">
        <f>1*(R69&gt;Paramètres!$F$40)*(Paramètres!R115&gt;0)</f>
        <v>1</v>
      </c>
      <c r="S71" s="127">
        <f>1*(S69&gt;Paramètres!$F$40)*(Paramètres!S115&gt;0)</f>
        <v>1</v>
      </c>
      <c r="T71" s="127">
        <f>1*(T69&gt;Paramètres!$F$40)*(Paramètres!T115&gt;0)</f>
        <v>1</v>
      </c>
      <c r="U71" s="127">
        <f>1*(U69&gt;Paramètres!$F$40)*(Paramètres!U115&gt;0)</f>
        <v>1</v>
      </c>
      <c r="V71" s="127">
        <f>1*(V69&gt;Paramètres!$F$40)*(Paramètres!V115&gt;0)</f>
        <v>1</v>
      </c>
      <c r="W71" s="127">
        <f>1*(W69&gt;Paramètres!$F$40)*(Paramètres!W115&gt;0)</f>
        <v>1</v>
      </c>
      <c r="X71" s="127">
        <f>1*(X69&gt;Paramètres!$F$40)*(Paramètres!X115&gt;0)</f>
        <v>0</v>
      </c>
      <c r="Y71" s="127">
        <f>1*(Y69&gt;Paramètres!$F$40)*(Paramètres!Y115&gt;0)</f>
        <v>0</v>
      </c>
      <c r="Z71" s="127">
        <f>1*(Z69&gt;Paramètres!$F$40)*(Paramètres!Z115&gt;0)</f>
        <v>0</v>
      </c>
      <c r="AA71" s="127">
        <f>1*(AA69&gt;Paramètres!$F$40)*(Paramètres!AA115&gt;0)</f>
        <v>0</v>
      </c>
      <c r="AB71" s="127">
        <f>1*(AB69&gt;Paramètres!$F$40)*(Paramètres!AB115&gt;0)</f>
        <v>0</v>
      </c>
      <c r="AC71" s="127">
        <f>1*(AC69&gt;Paramètres!$F$40)*(Paramètres!AC115&gt;0)</f>
        <v>0</v>
      </c>
      <c r="AD71" s="127">
        <f>1*(AD69&gt;Paramètres!$F$40)*(Paramètres!AD115&gt;0)</f>
        <v>0</v>
      </c>
      <c r="AE71" s="127">
        <f>1*(AE69&gt;Paramètres!$F$40)*(Paramètres!AE115&gt;0)</f>
        <v>0</v>
      </c>
      <c r="AF71" s="127">
        <f>1*(AF69&gt;Paramètres!$F$40)*(Paramètres!AF115&gt;0)</f>
        <v>0</v>
      </c>
      <c r="AG71" s="127">
        <f>1*(AG69&gt;Paramètres!$F$40)*(Paramètres!AG115&gt;0)</f>
        <v>0</v>
      </c>
      <c r="AH71" s="127">
        <f>1*(AH69&gt;Paramètres!$F$40)*(Paramètres!AH115&gt;0)</f>
        <v>0</v>
      </c>
      <c r="AI71" s="127">
        <f>1*(AI69&gt;Paramètres!$F$40)*(Paramètres!AI115&gt;0)</f>
        <v>0</v>
      </c>
      <c r="AJ71" s="127">
        <f>1*(AJ69&gt;Paramètres!$F$40)*(Paramètres!AJ115&gt;0)</f>
        <v>0</v>
      </c>
      <c r="AK71" s="127">
        <f>1*(AK69&gt;Paramètres!$F$40)*(Paramètres!AK115&gt;0)</f>
        <v>0</v>
      </c>
      <c r="AL71" s="127">
        <f>1*(AL69&gt;Paramètres!$F$40)*(Paramètres!AL115&gt;0)</f>
        <v>0</v>
      </c>
      <c r="AM71" s="127">
        <f>1*(AM69&gt;Paramètres!$F$40)*(Paramètres!AM115&gt;0)</f>
        <v>0</v>
      </c>
      <c r="AN71" s="127">
        <f>1*(AN69&gt;Paramètres!$F$40)*(Paramètres!AN115&gt;0)</f>
        <v>0</v>
      </c>
      <c r="AO71" s="127">
        <f>1*(AO69&gt;Paramètres!$F$40)*(Paramètres!AO115&gt;0)</f>
        <v>0</v>
      </c>
      <c r="AP71" s="127">
        <f>1*(AP69&gt;Paramètres!$F$40)*(Paramètres!AP115&gt;0)</f>
        <v>0</v>
      </c>
      <c r="AQ71" s="127">
        <f>1*(AQ69&gt;Paramètres!$F$40)*(Paramètres!AQ115&gt;0)</f>
        <v>0</v>
      </c>
      <c r="AR71" s="127">
        <f>1*(AR69&gt;Paramètres!$F$40)*(Paramètres!AR115&gt;0)</f>
        <v>0</v>
      </c>
      <c r="AS71" s="127">
        <f>1*(AS69&gt;Paramètres!$F$40)*(Paramètres!AS115&gt;0)</f>
        <v>0</v>
      </c>
      <c r="AT71" s="127">
        <f>1*(AT69&gt;Paramètres!$F$40)*(Paramètres!AT115&gt;0)</f>
        <v>0</v>
      </c>
      <c r="AU71" s="127">
        <f>1*(AU69&gt;Paramètres!$F$40)*(Paramètres!AU115&gt;0)</f>
        <v>0</v>
      </c>
      <c r="AV71" s="127">
        <f>1*(AV69&gt;Paramètres!$F$40)*(Paramètres!AV115&gt;0)</f>
        <v>0</v>
      </c>
      <c r="AW71" s="127">
        <f>1*(AW69&gt;Paramètres!$F$40)*(Paramètres!AW115&gt;0)</f>
        <v>0</v>
      </c>
      <c r="AX71" s="127">
        <f>1*(AX69&gt;Paramètres!$F$40)*(Paramètres!AX115&gt;0)</f>
        <v>0</v>
      </c>
      <c r="AY71" s="127">
        <f>1*(AY69&gt;Paramètres!$F$40)*(Paramètres!AY115&gt;0)</f>
        <v>0</v>
      </c>
      <c r="AZ71" s="127">
        <f>1*(AZ69&gt;Paramètres!$F$40)*(Paramètres!AZ115&gt;0)</f>
        <v>0</v>
      </c>
      <c r="BA71" s="127">
        <f>1*(BA69&gt;Paramètres!$F$40)*(Paramètres!BA115&gt;0)</f>
        <v>0</v>
      </c>
      <c r="BB71" s="127">
        <f>1*(BB69&gt;Paramètres!$F$40)*(Paramètres!BB115&gt;0)</f>
        <v>0</v>
      </c>
      <c r="BC71" s="127">
        <f>1*(BC69&gt;Paramètres!$F$40)*(Paramètres!BC115&gt;0)</f>
        <v>0</v>
      </c>
      <c r="BD71" s="127">
        <f>1*(BD69&gt;Paramètres!$F$40)*(Paramètres!BD115&gt;0)</f>
        <v>0</v>
      </c>
    </row>
    <row r="72" spans="1:56" ht="15" customHeight="1">
      <c r="C72" s="171">
        <f t="shared" ref="C72:C77" si="58">SUM(G72:BD72)</f>
        <v>4284000</v>
      </c>
      <c r="D72" s="55" t="s">
        <v>209</v>
      </c>
      <c r="E72" s="128" t="s">
        <v>11</v>
      </c>
      <c r="G72" s="127">
        <f>G71*Paramètres!G115</f>
        <v>245000</v>
      </c>
      <c r="H72" s="127">
        <f>H71*Paramètres!H115</f>
        <v>359000</v>
      </c>
      <c r="I72" s="127">
        <f>I71*Paramètres!I115</f>
        <v>360000</v>
      </c>
      <c r="J72" s="127">
        <f>J71*Paramètres!J115</f>
        <v>400000</v>
      </c>
      <c r="K72" s="127">
        <f>K71*Paramètres!K115</f>
        <v>400000</v>
      </c>
      <c r="L72" s="127">
        <f>L71*Paramètres!L115</f>
        <v>400000</v>
      </c>
      <c r="M72" s="127">
        <f>M71*Paramètres!M115</f>
        <v>400000</v>
      </c>
      <c r="N72" s="127">
        <f>N71*Paramètres!N115</f>
        <v>320000</v>
      </c>
      <c r="O72" s="127">
        <f>O71*Paramètres!O115</f>
        <v>173000</v>
      </c>
      <c r="P72" s="127">
        <f>P71*Paramètres!P115</f>
        <v>173000</v>
      </c>
      <c r="Q72" s="127">
        <f>Q71*Paramètres!Q115</f>
        <v>173000</v>
      </c>
      <c r="R72" s="127">
        <f>R71*Paramètres!R115</f>
        <v>173000</v>
      </c>
      <c r="S72" s="127">
        <f>S71*Paramètres!S115</f>
        <v>173000</v>
      </c>
      <c r="T72" s="127">
        <f>T71*Paramètres!T115</f>
        <v>173000</v>
      </c>
      <c r="U72" s="127">
        <f>U71*Paramètres!U115</f>
        <v>173000</v>
      </c>
      <c r="V72" s="127">
        <f>V71*Paramètres!V115</f>
        <v>133000</v>
      </c>
      <c r="W72" s="127">
        <f>W71*Paramètres!W115</f>
        <v>56000</v>
      </c>
      <c r="X72" s="127">
        <f>X71*Paramètres!X115</f>
        <v>0</v>
      </c>
      <c r="Y72" s="127">
        <f>Y71*Paramètres!Y115</f>
        <v>0</v>
      </c>
      <c r="Z72" s="127">
        <f>Z71*Paramètres!Z115</f>
        <v>0</v>
      </c>
      <c r="AA72" s="127">
        <f>AA71*Paramètres!AA115</f>
        <v>0</v>
      </c>
      <c r="AB72" s="127">
        <f>AB71*Paramètres!AB115</f>
        <v>0</v>
      </c>
      <c r="AC72" s="127">
        <f>AC71*Paramètres!AC115</f>
        <v>0</v>
      </c>
      <c r="AD72" s="127">
        <f>AD71*Paramètres!AD115</f>
        <v>0</v>
      </c>
      <c r="AE72" s="127">
        <f>AE71*Paramètres!AE115</f>
        <v>0</v>
      </c>
      <c r="AF72" s="127">
        <f>AF71*Paramètres!AF115</f>
        <v>0</v>
      </c>
      <c r="AG72" s="127">
        <f>AG71*Paramètres!AG115</f>
        <v>0</v>
      </c>
      <c r="AH72" s="127">
        <f>AH71*Paramètres!AH115</f>
        <v>0</v>
      </c>
      <c r="AI72" s="127">
        <f>AI71*Paramètres!AI115</f>
        <v>0</v>
      </c>
      <c r="AJ72" s="127">
        <f>AJ71*Paramètres!AJ115</f>
        <v>0</v>
      </c>
      <c r="AK72" s="127">
        <f>AK71*Paramètres!AK115</f>
        <v>0</v>
      </c>
      <c r="AL72" s="127">
        <f>AL71*Paramètres!AL115</f>
        <v>0</v>
      </c>
      <c r="AM72" s="127">
        <f>AM71*Paramètres!AM115</f>
        <v>0</v>
      </c>
      <c r="AN72" s="127">
        <f>AN71*Paramètres!AN115</f>
        <v>0</v>
      </c>
      <c r="AO72" s="127">
        <f>AO71*Paramètres!AO115</f>
        <v>0</v>
      </c>
      <c r="AP72" s="127">
        <f>AP71*Paramètres!AP115</f>
        <v>0</v>
      </c>
      <c r="AQ72" s="127">
        <f>AQ71*Paramètres!AQ115</f>
        <v>0</v>
      </c>
      <c r="AR72" s="127">
        <f>AR71*Paramètres!AR115</f>
        <v>0</v>
      </c>
      <c r="AS72" s="127">
        <f>AS71*Paramètres!AS115</f>
        <v>0</v>
      </c>
      <c r="AT72" s="127">
        <f>AT71*Paramètres!AT115</f>
        <v>0</v>
      </c>
      <c r="AU72" s="127">
        <f>AU71*Paramètres!AU115</f>
        <v>0</v>
      </c>
      <c r="AV72" s="127">
        <f>AV71*Paramètres!AV115</f>
        <v>0</v>
      </c>
      <c r="AW72" s="127">
        <f>AW71*Paramètres!AW115</f>
        <v>0</v>
      </c>
      <c r="AX72" s="127">
        <f>AX71*Paramètres!AX115</f>
        <v>0</v>
      </c>
      <c r="AY72" s="127">
        <f>AY71*Paramètres!AY115</f>
        <v>0</v>
      </c>
      <c r="AZ72" s="127">
        <f>AZ71*Paramètres!AZ115</f>
        <v>0</v>
      </c>
      <c r="BA72" s="127">
        <f>BA71*Paramètres!BA115</f>
        <v>0</v>
      </c>
      <c r="BB72" s="127">
        <f>BB71*Paramètres!BB115</f>
        <v>0</v>
      </c>
      <c r="BC72" s="127">
        <f>BC71*Paramètres!BC115</f>
        <v>0</v>
      </c>
      <c r="BD72" s="127">
        <f>BD71*Paramètres!BD115</f>
        <v>0</v>
      </c>
    </row>
    <row r="73" spans="1:56" ht="15" customHeight="1">
      <c r="C73" s="171">
        <f t="shared" si="58"/>
        <v>46097000</v>
      </c>
      <c r="D73" s="55" t="s">
        <v>210</v>
      </c>
      <c r="E73" s="128" t="s">
        <v>11</v>
      </c>
      <c r="G73" s="127">
        <f t="shared" ref="G73:AL73" si="59">(G72+F73)*G71</f>
        <v>245000</v>
      </c>
      <c r="H73" s="127">
        <f t="shared" si="59"/>
        <v>604000</v>
      </c>
      <c r="I73" s="127">
        <f t="shared" si="59"/>
        <v>964000</v>
      </c>
      <c r="J73" s="127">
        <f t="shared" si="59"/>
        <v>1364000</v>
      </c>
      <c r="K73" s="127">
        <f t="shared" si="59"/>
        <v>1764000</v>
      </c>
      <c r="L73" s="127">
        <f t="shared" si="59"/>
        <v>2164000</v>
      </c>
      <c r="M73" s="127">
        <f t="shared" si="59"/>
        <v>2564000</v>
      </c>
      <c r="N73" s="127">
        <f t="shared" si="59"/>
        <v>2884000</v>
      </c>
      <c r="O73" s="127">
        <f t="shared" si="59"/>
        <v>3057000</v>
      </c>
      <c r="P73" s="127">
        <f t="shared" si="59"/>
        <v>3230000</v>
      </c>
      <c r="Q73" s="127">
        <f t="shared" si="59"/>
        <v>3403000</v>
      </c>
      <c r="R73" s="127">
        <f t="shared" si="59"/>
        <v>3576000</v>
      </c>
      <c r="S73" s="127">
        <f t="shared" si="59"/>
        <v>3749000</v>
      </c>
      <c r="T73" s="127">
        <f t="shared" si="59"/>
        <v>3922000</v>
      </c>
      <c r="U73" s="127">
        <f t="shared" si="59"/>
        <v>4095000</v>
      </c>
      <c r="V73" s="127">
        <f t="shared" si="59"/>
        <v>4228000</v>
      </c>
      <c r="W73" s="127">
        <f t="shared" si="59"/>
        <v>4284000</v>
      </c>
      <c r="X73" s="127">
        <f t="shared" si="59"/>
        <v>0</v>
      </c>
      <c r="Y73" s="127">
        <f t="shared" si="59"/>
        <v>0</v>
      </c>
      <c r="Z73" s="127">
        <f t="shared" si="59"/>
        <v>0</v>
      </c>
      <c r="AA73" s="127">
        <f t="shared" si="59"/>
        <v>0</v>
      </c>
      <c r="AB73" s="127">
        <f t="shared" si="59"/>
        <v>0</v>
      </c>
      <c r="AC73" s="127">
        <f t="shared" si="59"/>
        <v>0</v>
      </c>
      <c r="AD73" s="127">
        <f t="shared" si="59"/>
        <v>0</v>
      </c>
      <c r="AE73" s="127">
        <f t="shared" si="59"/>
        <v>0</v>
      </c>
      <c r="AF73" s="127">
        <f t="shared" si="59"/>
        <v>0</v>
      </c>
      <c r="AG73" s="127">
        <f t="shared" si="59"/>
        <v>0</v>
      </c>
      <c r="AH73" s="127">
        <f t="shared" si="59"/>
        <v>0</v>
      </c>
      <c r="AI73" s="127">
        <f t="shared" si="59"/>
        <v>0</v>
      </c>
      <c r="AJ73" s="127">
        <f t="shared" si="59"/>
        <v>0</v>
      </c>
      <c r="AK73" s="127">
        <f t="shared" si="59"/>
        <v>0</v>
      </c>
      <c r="AL73" s="127">
        <f t="shared" si="59"/>
        <v>0</v>
      </c>
      <c r="AM73" s="127">
        <f t="shared" ref="AM73:BR73" si="60">(AM72+AL73)*AM71</f>
        <v>0</v>
      </c>
      <c r="AN73" s="127">
        <f t="shared" si="60"/>
        <v>0</v>
      </c>
      <c r="AO73" s="127">
        <f t="shared" si="60"/>
        <v>0</v>
      </c>
      <c r="AP73" s="127">
        <f t="shared" si="60"/>
        <v>0</v>
      </c>
      <c r="AQ73" s="127">
        <f t="shared" si="60"/>
        <v>0</v>
      </c>
      <c r="AR73" s="127">
        <f t="shared" si="60"/>
        <v>0</v>
      </c>
      <c r="AS73" s="127">
        <f t="shared" si="60"/>
        <v>0</v>
      </c>
      <c r="AT73" s="127">
        <f t="shared" si="60"/>
        <v>0</v>
      </c>
      <c r="AU73" s="127">
        <f t="shared" si="60"/>
        <v>0</v>
      </c>
      <c r="AV73" s="127">
        <f t="shared" si="60"/>
        <v>0</v>
      </c>
      <c r="AW73" s="127">
        <f t="shared" si="60"/>
        <v>0</v>
      </c>
      <c r="AX73" s="127">
        <f t="shared" si="60"/>
        <v>0</v>
      </c>
      <c r="AY73" s="127">
        <f t="shared" si="60"/>
        <v>0</v>
      </c>
      <c r="AZ73" s="127">
        <f t="shared" si="60"/>
        <v>0</v>
      </c>
      <c r="BA73" s="127">
        <f t="shared" si="60"/>
        <v>0</v>
      </c>
      <c r="BB73" s="127">
        <f t="shared" si="60"/>
        <v>0</v>
      </c>
      <c r="BC73" s="127">
        <f t="shared" si="60"/>
        <v>0</v>
      </c>
      <c r="BD73" s="127">
        <f t="shared" si="60"/>
        <v>0</v>
      </c>
    </row>
    <row r="74" spans="1:56" ht="15" customHeight="1">
      <c r="C74" s="171">
        <f t="shared" si="58"/>
        <v>0</v>
      </c>
      <c r="D74" s="55" t="s">
        <v>211</v>
      </c>
      <c r="E74" s="128" t="s">
        <v>195</v>
      </c>
      <c r="G74" s="127">
        <f t="shared" ref="G74:AL74" si="61">F78</f>
        <v>0</v>
      </c>
      <c r="H74" s="127">
        <f t="shared" si="61"/>
        <v>0</v>
      </c>
      <c r="I74" s="127">
        <f t="shared" si="61"/>
        <v>0</v>
      </c>
      <c r="J74" s="127">
        <f t="shared" si="61"/>
        <v>0</v>
      </c>
      <c r="K74" s="127">
        <f t="shared" si="61"/>
        <v>0</v>
      </c>
      <c r="L74" s="127">
        <f t="shared" si="61"/>
        <v>0</v>
      </c>
      <c r="M74" s="127">
        <f t="shared" si="61"/>
        <v>0</v>
      </c>
      <c r="N74" s="127">
        <f t="shared" si="61"/>
        <v>0</v>
      </c>
      <c r="O74" s="127">
        <f t="shared" si="61"/>
        <v>0</v>
      </c>
      <c r="P74" s="127">
        <f t="shared" si="61"/>
        <v>0</v>
      </c>
      <c r="Q74" s="127">
        <f t="shared" si="61"/>
        <v>0</v>
      </c>
      <c r="R74" s="127">
        <f t="shared" si="61"/>
        <v>0</v>
      </c>
      <c r="S74" s="127">
        <f t="shared" si="61"/>
        <v>0</v>
      </c>
      <c r="T74" s="127">
        <f t="shared" si="61"/>
        <v>0</v>
      </c>
      <c r="U74" s="127">
        <f t="shared" si="61"/>
        <v>0</v>
      </c>
      <c r="V74" s="127">
        <f t="shared" si="61"/>
        <v>0</v>
      </c>
      <c r="W74" s="127">
        <f t="shared" si="61"/>
        <v>0</v>
      </c>
      <c r="X74" s="127">
        <f t="shared" si="61"/>
        <v>0</v>
      </c>
      <c r="Y74" s="127">
        <f t="shared" si="61"/>
        <v>0</v>
      </c>
      <c r="Z74" s="127">
        <f t="shared" si="61"/>
        <v>0</v>
      </c>
      <c r="AA74" s="127">
        <f t="shared" si="61"/>
        <v>0</v>
      </c>
      <c r="AB74" s="127">
        <f t="shared" si="61"/>
        <v>0</v>
      </c>
      <c r="AC74" s="127">
        <f t="shared" si="61"/>
        <v>0</v>
      </c>
      <c r="AD74" s="127">
        <f t="shared" si="61"/>
        <v>0</v>
      </c>
      <c r="AE74" s="127">
        <f t="shared" si="61"/>
        <v>0</v>
      </c>
      <c r="AF74" s="127">
        <f t="shared" si="61"/>
        <v>0</v>
      </c>
      <c r="AG74" s="127">
        <f t="shared" si="61"/>
        <v>0</v>
      </c>
      <c r="AH74" s="127">
        <f t="shared" si="61"/>
        <v>0</v>
      </c>
      <c r="AI74" s="127">
        <f t="shared" si="61"/>
        <v>0</v>
      </c>
      <c r="AJ74" s="127">
        <f t="shared" si="61"/>
        <v>0</v>
      </c>
      <c r="AK74" s="127">
        <f t="shared" si="61"/>
        <v>0</v>
      </c>
      <c r="AL74" s="127">
        <f t="shared" si="61"/>
        <v>0</v>
      </c>
      <c r="AM74" s="127">
        <f t="shared" ref="AM74:BD74" si="62">AL78</f>
        <v>0</v>
      </c>
      <c r="AN74" s="127">
        <f t="shared" si="62"/>
        <v>0</v>
      </c>
      <c r="AO74" s="127">
        <f t="shared" si="62"/>
        <v>0</v>
      </c>
      <c r="AP74" s="127">
        <f t="shared" si="62"/>
        <v>0</v>
      </c>
      <c r="AQ74" s="127">
        <f t="shared" si="62"/>
        <v>0</v>
      </c>
      <c r="AR74" s="127">
        <f t="shared" si="62"/>
        <v>0</v>
      </c>
      <c r="AS74" s="127">
        <f t="shared" si="62"/>
        <v>0</v>
      </c>
      <c r="AT74" s="127">
        <f t="shared" si="62"/>
        <v>0</v>
      </c>
      <c r="AU74" s="127">
        <f t="shared" si="62"/>
        <v>0</v>
      </c>
      <c r="AV74" s="127">
        <f t="shared" si="62"/>
        <v>0</v>
      </c>
      <c r="AW74" s="127">
        <f t="shared" si="62"/>
        <v>0</v>
      </c>
      <c r="AX74" s="127">
        <f t="shared" si="62"/>
        <v>0</v>
      </c>
      <c r="AY74" s="127">
        <f t="shared" si="62"/>
        <v>0</v>
      </c>
      <c r="AZ74" s="127">
        <f t="shared" si="62"/>
        <v>0</v>
      </c>
      <c r="BA74" s="127">
        <f t="shared" si="62"/>
        <v>0</v>
      </c>
      <c r="BB74" s="127">
        <f t="shared" si="62"/>
        <v>0</v>
      </c>
      <c r="BC74" s="127">
        <f t="shared" si="62"/>
        <v>0</v>
      </c>
      <c r="BD74" s="127">
        <f t="shared" si="62"/>
        <v>0</v>
      </c>
    </row>
    <row r="75" spans="1:56" ht="15" customHeight="1">
      <c r="C75" s="171">
        <f t="shared" si="58"/>
        <v>0</v>
      </c>
      <c r="D75" s="55" t="s">
        <v>212</v>
      </c>
      <c r="E75" s="128" t="s">
        <v>195</v>
      </c>
      <c r="G75" s="127">
        <f>IF(G71&lt;&gt;0,(G67-G74)*IFERROR(G72/F70,1)*(Paramètres!$F$39="yes"),0)</f>
        <v>0</v>
      </c>
      <c r="H75" s="127">
        <f>IF(H71&lt;&gt;0,(H67-H74)*IFERROR(H72/G70,1)*(Paramètres!$F$39="yes"),0)</f>
        <v>0</v>
      </c>
      <c r="I75" s="127">
        <f>IF(I71&lt;&gt;0,(I67-I74)*IFERROR(I72/H70,1)*(Paramètres!$F$39="yes"),0)</f>
        <v>0</v>
      </c>
      <c r="J75" s="127">
        <f>IF(J71&lt;&gt;0,(J67-J74)*IFERROR(J72/I70,1)*(Paramètres!$F$39="yes"),0)</f>
        <v>0</v>
      </c>
      <c r="K75" s="127">
        <f>IF(K71&lt;&gt;0,(K67-K74)*IFERROR(K72/J70,1)*(Paramètres!$F$39="yes"),0)</f>
        <v>0</v>
      </c>
      <c r="L75" s="127">
        <f>IF(L71&lt;&gt;0,(L67-L74)*IFERROR(L72/K70,1)*(Paramètres!$F$39="yes"),0)</f>
        <v>0</v>
      </c>
      <c r="M75" s="127">
        <f>IF(M71&lt;&gt;0,(M67-M74)*IFERROR(M72/L70,1)*(Paramètres!$F$39="yes"),0)</f>
        <v>0</v>
      </c>
      <c r="N75" s="127">
        <f>IF(N71&lt;&gt;0,(N67-N74)*IFERROR(N72/M70,1)*(Paramètres!$F$39="yes"),0)</f>
        <v>0</v>
      </c>
      <c r="O75" s="127">
        <f>IF(O71&lt;&gt;0,(O67-O74)*IFERROR(O72/N70,1)*(Paramètres!$F$39="yes"),0)</f>
        <v>0</v>
      </c>
      <c r="P75" s="127">
        <f>IF(P71&lt;&gt;0,(P67-P74)*IFERROR(P72/O70,1)*(Paramètres!$F$39="yes"),0)</f>
        <v>0</v>
      </c>
      <c r="Q75" s="127">
        <f>IF(Q71&lt;&gt;0,(Q67-Q74)*IFERROR(Q72/P70,1)*(Paramètres!$F$39="yes"),0)</f>
        <v>0</v>
      </c>
      <c r="R75" s="127">
        <f>IF(R71&lt;&gt;0,(R67-R74)*IFERROR(R72/Q70,1)*(Paramètres!$F$39="yes"),0)</f>
        <v>0</v>
      </c>
      <c r="S75" s="127">
        <f>IF(S71&lt;&gt;0,(S67-S74)*IFERROR(S72/R70,1)*(Paramètres!$F$39="yes"),0)</f>
        <v>0</v>
      </c>
      <c r="T75" s="127">
        <f>IF(T71&lt;&gt;0,(T67-T74)*IFERROR(T72/S70,1)*(Paramètres!$F$39="yes"),0)</f>
        <v>0</v>
      </c>
      <c r="U75" s="127">
        <f>IF(U71&lt;&gt;0,(U67-U74)*IFERROR(U72/T70,1)*(Paramètres!$F$39="yes"),0)</f>
        <v>0</v>
      </c>
      <c r="V75" s="127">
        <f>IF(V71&lt;&gt;0,(V67-V74)*IFERROR(V72/U70,1)*(Paramètres!$F$39="yes"),0)</f>
        <v>0</v>
      </c>
      <c r="W75" s="127">
        <f>IF(W71&lt;&gt;0,(W67-W74)*IFERROR(W72/V70,1)*(Paramètres!$F$39="yes"),0)</f>
        <v>0</v>
      </c>
      <c r="X75" s="127">
        <f>IF(X71&lt;&gt;0,(X67-X74)*IFERROR(X72/W70,1)*(Paramètres!$F$39="yes"),0)</f>
        <v>0</v>
      </c>
      <c r="Y75" s="127">
        <f>IF(Y71&lt;&gt;0,(Y67-Y74)*IFERROR(Y72/X70,1)*(Paramètres!$F$39="yes"),0)</f>
        <v>0</v>
      </c>
      <c r="Z75" s="127">
        <f>IF(Z71&lt;&gt;0,(Z67-Z74)*IFERROR(Z72/Y70,1)*(Paramètres!$F$39="yes"),0)</f>
        <v>0</v>
      </c>
      <c r="AA75" s="127">
        <f>IF(AA71&lt;&gt;0,(AA67-AA74)*IFERROR(AA72/Z70,1)*(Paramètres!$F$39="yes"),0)</f>
        <v>0</v>
      </c>
      <c r="AB75" s="127">
        <f>IF(AB71&lt;&gt;0,(AB67-AB74)*IFERROR(AB72/AA70,1)*(Paramètres!$F$39="yes"),0)</f>
        <v>0</v>
      </c>
      <c r="AC75" s="127">
        <f>IF(AC71&lt;&gt;0,(AC67-AC74)*IFERROR(AC72/AB70,1)*(Paramètres!$F$39="yes"),0)</f>
        <v>0</v>
      </c>
      <c r="AD75" s="127">
        <f>IF(AD71&lt;&gt;0,(AD67-AD74)*IFERROR(AD72/AC70,1)*(Paramètres!$F$39="yes"),0)</f>
        <v>0</v>
      </c>
      <c r="AE75" s="127">
        <f>IF(AE71&lt;&gt;0,(AE67-AE74)*IFERROR(AE72/AD70,1)*(Paramètres!$F$39="yes"),0)</f>
        <v>0</v>
      </c>
      <c r="AF75" s="127">
        <f>IF(AF71&lt;&gt;0,(AF67-AF74)*IFERROR(AF72/AE70,1)*(Paramètres!$F$39="yes"),0)</f>
        <v>0</v>
      </c>
      <c r="AG75" s="127">
        <f>IF(AG71&lt;&gt;0,(AG67-AG74)*IFERROR(AG72/AF70,1)*(Paramètres!$F$39="yes"),0)</f>
        <v>0</v>
      </c>
      <c r="AH75" s="127">
        <f>IF(AH71&lt;&gt;0,(AH67-AH74)*IFERROR(AH72/AG70,1)*(Paramètres!$F$39="yes"),0)</f>
        <v>0</v>
      </c>
      <c r="AI75" s="127">
        <f>IF(AI71&lt;&gt;0,(AI67-AI74)*IFERROR(AI72/AH70,1)*(Paramètres!$F$39="yes"),0)</f>
        <v>0</v>
      </c>
      <c r="AJ75" s="127">
        <f>IF(AJ71&lt;&gt;0,(AJ67-AJ74)*IFERROR(AJ72/AI70,1)*(Paramètres!$F$39="yes"),0)</f>
        <v>0</v>
      </c>
      <c r="AK75" s="127">
        <f>IF(AK71&lt;&gt;0,(AK67-AK74)*IFERROR(AK72/AJ70,1)*(Paramètres!$F$39="yes"),0)</f>
        <v>0</v>
      </c>
      <c r="AL75" s="127">
        <f>IF(AL71&lt;&gt;0,(AL67-AL74)*IFERROR(AL72/AK70,1)*(Paramètres!$F$39="yes"),0)</f>
        <v>0</v>
      </c>
      <c r="AM75" s="127">
        <f>IF(AM71&lt;&gt;0,(AM67-AM74)*IFERROR(AM72/AL70,1)*(Paramètres!$F$39="yes"),0)</f>
        <v>0</v>
      </c>
      <c r="AN75" s="127">
        <f>IF(AN71&lt;&gt;0,(AN67-AN74)*IFERROR(AN72/AM70,1)*(Paramètres!$F$39="yes"),0)</f>
        <v>0</v>
      </c>
      <c r="AO75" s="127">
        <f>IF(AO71&lt;&gt;0,(AO67-AO74)*IFERROR(AO72/AN70,1)*(Paramètres!$F$39="yes"),0)</f>
        <v>0</v>
      </c>
      <c r="AP75" s="127">
        <f>IF(AP71&lt;&gt;0,(AP67-AP74)*IFERROR(AP72/AO70,1)*(Paramètres!$F$39="yes"),0)</f>
        <v>0</v>
      </c>
      <c r="AQ75" s="127">
        <f>IF(AQ71&lt;&gt;0,(AQ67-AQ74)*IFERROR(AQ72/AP70,1)*(Paramètres!$F$39="yes"),0)</f>
        <v>0</v>
      </c>
      <c r="AR75" s="127">
        <f>IF(AR71&lt;&gt;0,(AR67-AR74)*IFERROR(AR72/AQ70,1)*(Paramètres!$F$39="yes"),0)</f>
        <v>0</v>
      </c>
      <c r="AS75" s="127">
        <f>IF(AS71&lt;&gt;0,(AS67-AS74)*IFERROR(AS72/AR70,1)*(Paramètres!$F$39="yes"),0)</f>
        <v>0</v>
      </c>
      <c r="AT75" s="127">
        <f>IF(AT71&lt;&gt;0,(AT67-AT74)*IFERROR(AT72/AS70,1)*(Paramètres!$F$39="yes"),0)</f>
        <v>0</v>
      </c>
      <c r="AU75" s="127">
        <f>IF(AU71&lt;&gt;0,(AU67-AU74)*IFERROR(AU72/AT70,1)*(Paramètres!$F$39="yes"),0)</f>
        <v>0</v>
      </c>
      <c r="AV75" s="127">
        <f>IF(AV71&lt;&gt;0,(AV67-AV74)*IFERROR(AV72/AU70,1)*(Paramètres!$F$39="yes"),0)</f>
        <v>0</v>
      </c>
      <c r="AW75" s="127">
        <f>IF(AW71&lt;&gt;0,(AW67-AW74)*IFERROR(AW72/AV70,1)*(Paramètres!$F$39="yes"),0)</f>
        <v>0</v>
      </c>
      <c r="AX75" s="127">
        <f>IF(AX71&lt;&gt;0,(AX67-AX74)*IFERROR(AX72/AW70,1)*(Paramètres!$F$39="yes"),0)</f>
        <v>0</v>
      </c>
      <c r="AY75" s="127">
        <f>IF(AY71&lt;&gt;0,(AY67-AY74)*IFERROR(AY72/AX70,1)*(Paramètres!$F$39="yes"),0)</f>
        <v>0</v>
      </c>
      <c r="AZ75" s="127">
        <f>IF(AZ71&lt;&gt;0,(AZ67-AZ74)*IFERROR(AZ72/AY70,1)*(Paramètres!$F$39="yes"),0)</f>
        <v>0</v>
      </c>
      <c r="BA75" s="127">
        <f>IF(BA71&lt;&gt;0,(BA67-BA74)*IFERROR(BA72/AZ70,1)*(Paramètres!$F$39="yes"),0)</f>
        <v>0</v>
      </c>
      <c r="BB75" s="127">
        <f>IF(BB71&lt;&gt;0,(BB67-BB74)*IFERROR(BB72/BA70,1)*(Paramètres!$F$39="yes"),0)</f>
        <v>0</v>
      </c>
      <c r="BC75" s="127">
        <f>IF(BC71&lt;&gt;0,(BC67-BC74)*IFERROR(BC72/BB70,1)*(Paramètres!$F$39="yes"),0)</f>
        <v>0</v>
      </c>
      <c r="BD75" s="127">
        <f>IF(BD71&lt;&gt;0,(BD67-BD74)*IFERROR(BD72/BC70,1)*(Paramètres!$F$39="yes"),0)</f>
        <v>0</v>
      </c>
    </row>
    <row r="76" spans="1:56" ht="15" customHeight="1">
      <c r="C76" s="171">
        <f t="shared" si="58"/>
        <v>0</v>
      </c>
      <c r="D76" s="55" t="s">
        <v>213</v>
      </c>
      <c r="E76" s="128" t="s">
        <v>195</v>
      </c>
      <c r="G76" s="127">
        <f t="shared" ref="G76:AL76" si="63">MIN(G65,F78)*-1</f>
        <v>0</v>
      </c>
      <c r="H76" s="127">
        <f t="shared" si="63"/>
        <v>0</v>
      </c>
      <c r="I76" s="127">
        <f t="shared" si="63"/>
        <v>0</v>
      </c>
      <c r="J76" s="127">
        <f t="shared" si="63"/>
        <v>0</v>
      </c>
      <c r="K76" s="127">
        <f t="shared" si="63"/>
        <v>0</v>
      </c>
      <c r="L76" s="127">
        <f t="shared" si="63"/>
        <v>0</v>
      </c>
      <c r="M76" s="127">
        <f t="shared" si="63"/>
        <v>0</v>
      </c>
      <c r="N76" s="127">
        <f t="shared" si="63"/>
        <v>0</v>
      </c>
      <c r="O76" s="127">
        <f t="shared" si="63"/>
        <v>0</v>
      </c>
      <c r="P76" s="127">
        <f t="shared" si="63"/>
        <v>0</v>
      </c>
      <c r="Q76" s="127">
        <f t="shared" si="63"/>
        <v>0</v>
      </c>
      <c r="R76" s="127">
        <f t="shared" si="63"/>
        <v>0</v>
      </c>
      <c r="S76" s="127">
        <f t="shared" si="63"/>
        <v>0</v>
      </c>
      <c r="T76" s="127">
        <f t="shared" si="63"/>
        <v>0</v>
      </c>
      <c r="U76" s="127">
        <f t="shared" si="63"/>
        <v>0</v>
      </c>
      <c r="V76" s="127">
        <f t="shared" si="63"/>
        <v>0</v>
      </c>
      <c r="W76" s="127">
        <f t="shared" si="63"/>
        <v>0</v>
      </c>
      <c r="X76" s="127">
        <f t="shared" si="63"/>
        <v>0</v>
      </c>
      <c r="Y76" s="127">
        <f t="shared" si="63"/>
        <v>0</v>
      </c>
      <c r="Z76" s="127">
        <f t="shared" si="63"/>
        <v>0</v>
      </c>
      <c r="AA76" s="127">
        <f t="shared" si="63"/>
        <v>0</v>
      </c>
      <c r="AB76" s="127">
        <f t="shared" si="63"/>
        <v>0</v>
      </c>
      <c r="AC76" s="127">
        <f t="shared" si="63"/>
        <v>0</v>
      </c>
      <c r="AD76" s="127">
        <f t="shared" si="63"/>
        <v>0</v>
      </c>
      <c r="AE76" s="127">
        <f t="shared" si="63"/>
        <v>0</v>
      </c>
      <c r="AF76" s="127">
        <f t="shared" si="63"/>
        <v>0</v>
      </c>
      <c r="AG76" s="127">
        <f t="shared" si="63"/>
        <v>0</v>
      </c>
      <c r="AH76" s="127">
        <f t="shared" si="63"/>
        <v>0</v>
      </c>
      <c r="AI76" s="127">
        <f t="shared" si="63"/>
        <v>0</v>
      </c>
      <c r="AJ76" s="127">
        <f t="shared" si="63"/>
        <v>0</v>
      </c>
      <c r="AK76" s="127">
        <f t="shared" si="63"/>
        <v>0</v>
      </c>
      <c r="AL76" s="127">
        <f t="shared" si="63"/>
        <v>0</v>
      </c>
      <c r="AM76" s="127">
        <f t="shared" ref="AM76:BD76" si="64">MIN(AM65,AL78)*-1</f>
        <v>0</v>
      </c>
      <c r="AN76" s="127">
        <f t="shared" si="64"/>
        <v>0</v>
      </c>
      <c r="AO76" s="127">
        <f t="shared" si="64"/>
        <v>0</v>
      </c>
      <c r="AP76" s="127">
        <f t="shared" si="64"/>
        <v>0</v>
      </c>
      <c r="AQ76" s="127">
        <f t="shared" si="64"/>
        <v>0</v>
      </c>
      <c r="AR76" s="127">
        <f t="shared" si="64"/>
        <v>0</v>
      </c>
      <c r="AS76" s="127">
        <f t="shared" si="64"/>
        <v>0</v>
      </c>
      <c r="AT76" s="127">
        <f t="shared" si="64"/>
        <v>0</v>
      </c>
      <c r="AU76" s="127">
        <f t="shared" si="64"/>
        <v>0</v>
      </c>
      <c r="AV76" s="127">
        <f t="shared" si="64"/>
        <v>0</v>
      </c>
      <c r="AW76" s="127">
        <f t="shared" si="64"/>
        <v>0</v>
      </c>
      <c r="AX76" s="127">
        <f t="shared" si="64"/>
        <v>0</v>
      </c>
      <c r="AY76" s="127">
        <f t="shared" si="64"/>
        <v>0</v>
      </c>
      <c r="AZ76" s="127">
        <f t="shared" si="64"/>
        <v>0</v>
      </c>
      <c r="BA76" s="127">
        <f t="shared" si="64"/>
        <v>0</v>
      </c>
      <c r="BB76" s="127">
        <f t="shared" si="64"/>
        <v>0</v>
      </c>
      <c r="BC76" s="127">
        <f t="shared" si="64"/>
        <v>0</v>
      </c>
      <c r="BD76" s="127">
        <f t="shared" si="64"/>
        <v>0</v>
      </c>
    </row>
    <row r="77" spans="1:56" ht="15" customHeight="1">
      <c r="C77" s="171">
        <f t="shared" si="58"/>
        <v>0</v>
      </c>
      <c r="D77" s="55" t="s">
        <v>214</v>
      </c>
      <c r="E77" s="128" t="s">
        <v>195</v>
      </c>
      <c r="G77" s="127">
        <f t="shared" ref="G77:AL77" si="65">(G76&lt;&gt;0)*(G74+G76)*-1</f>
        <v>0</v>
      </c>
      <c r="H77" s="127">
        <f t="shared" si="65"/>
        <v>0</v>
      </c>
      <c r="I77" s="127">
        <f t="shared" si="65"/>
        <v>0</v>
      </c>
      <c r="J77" s="127">
        <f t="shared" si="65"/>
        <v>0</v>
      </c>
      <c r="K77" s="127">
        <f t="shared" si="65"/>
        <v>0</v>
      </c>
      <c r="L77" s="127">
        <f t="shared" si="65"/>
        <v>0</v>
      </c>
      <c r="M77" s="127">
        <f t="shared" si="65"/>
        <v>0</v>
      </c>
      <c r="N77" s="127">
        <f t="shared" si="65"/>
        <v>0</v>
      </c>
      <c r="O77" s="127">
        <f t="shared" si="65"/>
        <v>0</v>
      </c>
      <c r="P77" s="127">
        <f t="shared" si="65"/>
        <v>0</v>
      </c>
      <c r="Q77" s="127">
        <f t="shared" si="65"/>
        <v>0</v>
      </c>
      <c r="R77" s="127">
        <f t="shared" si="65"/>
        <v>0</v>
      </c>
      <c r="S77" s="127">
        <f t="shared" si="65"/>
        <v>0</v>
      </c>
      <c r="T77" s="127">
        <f t="shared" si="65"/>
        <v>0</v>
      </c>
      <c r="U77" s="127">
        <f t="shared" si="65"/>
        <v>0</v>
      </c>
      <c r="V77" s="127">
        <f t="shared" si="65"/>
        <v>0</v>
      </c>
      <c r="W77" s="127">
        <f t="shared" si="65"/>
        <v>0</v>
      </c>
      <c r="X77" s="127">
        <f t="shared" si="65"/>
        <v>0</v>
      </c>
      <c r="Y77" s="127">
        <f t="shared" si="65"/>
        <v>0</v>
      </c>
      <c r="Z77" s="127">
        <f t="shared" si="65"/>
        <v>0</v>
      </c>
      <c r="AA77" s="127">
        <f t="shared" si="65"/>
        <v>0</v>
      </c>
      <c r="AB77" s="127">
        <f t="shared" si="65"/>
        <v>0</v>
      </c>
      <c r="AC77" s="127">
        <f t="shared" si="65"/>
        <v>0</v>
      </c>
      <c r="AD77" s="127">
        <f t="shared" si="65"/>
        <v>0</v>
      </c>
      <c r="AE77" s="127">
        <f t="shared" si="65"/>
        <v>0</v>
      </c>
      <c r="AF77" s="127">
        <f t="shared" si="65"/>
        <v>0</v>
      </c>
      <c r="AG77" s="127">
        <f t="shared" si="65"/>
        <v>0</v>
      </c>
      <c r="AH77" s="127">
        <f t="shared" si="65"/>
        <v>0</v>
      </c>
      <c r="AI77" s="127">
        <f t="shared" si="65"/>
        <v>0</v>
      </c>
      <c r="AJ77" s="127">
        <f t="shared" si="65"/>
        <v>0</v>
      </c>
      <c r="AK77" s="127">
        <f t="shared" si="65"/>
        <v>0</v>
      </c>
      <c r="AL77" s="127">
        <f t="shared" si="65"/>
        <v>0</v>
      </c>
      <c r="AM77" s="127">
        <f t="shared" ref="AM77:BR77" si="66">(AM76&lt;&gt;0)*(AM74+AM76)*-1</f>
        <v>0</v>
      </c>
      <c r="AN77" s="127">
        <f t="shared" si="66"/>
        <v>0</v>
      </c>
      <c r="AO77" s="127">
        <f t="shared" si="66"/>
        <v>0</v>
      </c>
      <c r="AP77" s="127">
        <f t="shared" si="66"/>
        <v>0</v>
      </c>
      <c r="AQ77" s="127">
        <f t="shared" si="66"/>
        <v>0</v>
      </c>
      <c r="AR77" s="127">
        <f t="shared" si="66"/>
        <v>0</v>
      </c>
      <c r="AS77" s="127">
        <f t="shared" si="66"/>
        <v>0</v>
      </c>
      <c r="AT77" s="127">
        <f t="shared" si="66"/>
        <v>0</v>
      </c>
      <c r="AU77" s="127">
        <f t="shared" si="66"/>
        <v>0</v>
      </c>
      <c r="AV77" s="127">
        <f t="shared" si="66"/>
        <v>0</v>
      </c>
      <c r="AW77" s="127">
        <f t="shared" si="66"/>
        <v>0</v>
      </c>
      <c r="AX77" s="127">
        <f t="shared" si="66"/>
        <v>0</v>
      </c>
      <c r="AY77" s="127">
        <f t="shared" si="66"/>
        <v>0</v>
      </c>
      <c r="AZ77" s="127">
        <f t="shared" si="66"/>
        <v>0</v>
      </c>
      <c r="BA77" s="127">
        <f t="shared" si="66"/>
        <v>0</v>
      </c>
      <c r="BB77" s="127">
        <f t="shared" si="66"/>
        <v>0</v>
      </c>
      <c r="BC77" s="127">
        <f t="shared" si="66"/>
        <v>0</v>
      </c>
      <c r="BD77" s="127">
        <f t="shared" si="66"/>
        <v>0</v>
      </c>
    </row>
    <row r="78" spans="1:56" s="55" customFormat="1" ht="15" customHeight="1">
      <c r="A78" s="54"/>
      <c r="C78" s="152"/>
      <c r="D78" s="55" t="s">
        <v>215</v>
      </c>
      <c r="E78" s="128" t="s">
        <v>195</v>
      </c>
      <c r="G78" s="127">
        <f t="shared" ref="G78:AL78" si="67">SUM(G74:G77)</f>
        <v>0</v>
      </c>
      <c r="H78" s="127">
        <f t="shared" si="67"/>
        <v>0</v>
      </c>
      <c r="I78" s="127">
        <f t="shared" si="67"/>
        <v>0</v>
      </c>
      <c r="J78" s="127">
        <f t="shared" si="67"/>
        <v>0</v>
      </c>
      <c r="K78" s="127">
        <f t="shared" si="67"/>
        <v>0</v>
      </c>
      <c r="L78" s="127">
        <f t="shared" si="67"/>
        <v>0</v>
      </c>
      <c r="M78" s="127">
        <f t="shared" si="67"/>
        <v>0</v>
      </c>
      <c r="N78" s="127">
        <f t="shared" si="67"/>
        <v>0</v>
      </c>
      <c r="O78" s="127">
        <f t="shared" si="67"/>
        <v>0</v>
      </c>
      <c r="P78" s="127">
        <f t="shared" si="67"/>
        <v>0</v>
      </c>
      <c r="Q78" s="127">
        <f t="shared" si="67"/>
        <v>0</v>
      </c>
      <c r="R78" s="127">
        <f t="shared" si="67"/>
        <v>0</v>
      </c>
      <c r="S78" s="127">
        <f t="shared" si="67"/>
        <v>0</v>
      </c>
      <c r="T78" s="127">
        <f t="shared" si="67"/>
        <v>0</v>
      </c>
      <c r="U78" s="127">
        <f t="shared" si="67"/>
        <v>0</v>
      </c>
      <c r="V78" s="127">
        <f t="shared" si="67"/>
        <v>0</v>
      </c>
      <c r="W78" s="127">
        <f t="shared" si="67"/>
        <v>0</v>
      </c>
      <c r="X78" s="127">
        <f t="shared" si="67"/>
        <v>0</v>
      </c>
      <c r="Y78" s="127">
        <f t="shared" si="67"/>
        <v>0</v>
      </c>
      <c r="Z78" s="127">
        <f t="shared" si="67"/>
        <v>0</v>
      </c>
      <c r="AA78" s="127">
        <f t="shared" si="67"/>
        <v>0</v>
      </c>
      <c r="AB78" s="127">
        <f t="shared" si="67"/>
        <v>0</v>
      </c>
      <c r="AC78" s="127">
        <f t="shared" si="67"/>
        <v>0</v>
      </c>
      <c r="AD78" s="127">
        <f t="shared" si="67"/>
        <v>0</v>
      </c>
      <c r="AE78" s="127">
        <f t="shared" si="67"/>
        <v>0</v>
      </c>
      <c r="AF78" s="127">
        <f t="shared" si="67"/>
        <v>0</v>
      </c>
      <c r="AG78" s="127">
        <f t="shared" si="67"/>
        <v>0</v>
      </c>
      <c r="AH78" s="127">
        <f t="shared" si="67"/>
        <v>0</v>
      </c>
      <c r="AI78" s="127">
        <f t="shared" si="67"/>
        <v>0</v>
      </c>
      <c r="AJ78" s="127">
        <f t="shared" si="67"/>
        <v>0</v>
      </c>
      <c r="AK78" s="127">
        <f t="shared" si="67"/>
        <v>0</v>
      </c>
      <c r="AL78" s="127">
        <f t="shared" si="67"/>
        <v>0</v>
      </c>
      <c r="AM78" s="127">
        <f t="shared" ref="AM78:BR78" si="68">SUM(AM74:AM77)</f>
        <v>0</v>
      </c>
      <c r="AN78" s="127">
        <f t="shared" si="68"/>
        <v>0</v>
      </c>
      <c r="AO78" s="127">
        <f t="shared" si="68"/>
        <v>0</v>
      </c>
      <c r="AP78" s="127">
        <f t="shared" si="68"/>
        <v>0</v>
      </c>
      <c r="AQ78" s="127">
        <f t="shared" si="68"/>
        <v>0</v>
      </c>
      <c r="AR78" s="127">
        <f t="shared" si="68"/>
        <v>0</v>
      </c>
      <c r="AS78" s="127">
        <f t="shared" si="68"/>
        <v>0</v>
      </c>
      <c r="AT78" s="127">
        <f t="shared" si="68"/>
        <v>0</v>
      </c>
      <c r="AU78" s="127">
        <f t="shared" si="68"/>
        <v>0</v>
      </c>
      <c r="AV78" s="127">
        <f t="shared" si="68"/>
        <v>0</v>
      </c>
      <c r="AW78" s="127">
        <f t="shared" si="68"/>
        <v>0</v>
      </c>
      <c r="AX78" s="127">
        <f t="shared" si="68"/>
        <v>0</v>
      </c>
      <c r="AY78" s="127">
        <f t="shared" si="68"/>
        <v>0</v>
      </c>
      <c r="AZ78" s="127">
        <f t="shared" si="68"/>
        <v>0</v>
      </c>
      <c r="BA78" s="127">
        <f t="shared" si="68"/>
        <v>0</v>
      </c>
      <c r="BB78" s="127">
        <f t="shared" si="68"/>
        <v>0</v>
      </c>
      <c r="BC78" s="127">
        <f t="shared" si="68"/>
        <v>0</v>
      </c>
      <c r="BD78" s="127">
        <f t="shared" si="68"/>
        <v>0</v>
      </c>
    </row>
    <row r="79" spans="1:56" s="55" customFormat="1" ht="15" customHeight="1">
      <c r="A79" s="54"/>
      <c r="C79" s="152"/>
      <c r="E79" s="128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127"/>
      <c r="AO79" s="127"/>
      <c r="AP79" s="127"/>
      <c r="AQ79" s="127"/>
      <c r="AR79" s="127"/>
      <c r="AS79" s="127"/>
      <c r="AT79" s="127"/>
      <c r="AU79" s="127"/>
      <c r="AV79" s="127"/>
      <c r="AW79" s="127"/>
      <c r="AX79" s="127"/>
      <c r="AY79" s="127"/>
      <c r="AZ79" s="127"/>
      <c r="BA79" s="127"/>
      <c r="BB79" s="127"/>
      <c r="BC79" s="127"/>
      <c r="BD79" s="127"/>
    </row>
    <row r="80" spans="1:56" ht="15" customHeight="1">
      <c r="C80" s="60"/>
      <c r="D80" s="172" t="s">
        <v>66</v>
      </c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</row>
    <row r="81" spans="3:56" ht="15" customHeight="1">
      <c r="C81" s="152">
        <f>SUM(G81:BD81)</f>
        <v>7785.0251775194829</v>
      </c>
      <c r="D81" s="153" t="s">
        <v>174</v>
      </c>
      <c r="E81" s="128" t="s">
        <v>195</v>
      </c>
      <c r="G81" s="127">
        <f t="shared" ref="G81:AL81" si="69">G43</f>
        <v>392</v>
      </c>
      <c r="H81" s="127">
        <f t="shared" si="69"/>
        <v>585.88800000000003</v>
      </c>
      <c r="I81" s="127">
        <f t="shared" si="69"/>
        <v>599.2704</v>
      </c>
      <c r="J81" s="127">
        <f t="shared" si="69"/>
        <v>679.17311999999993</v>
      </c>
      <c r="K81" s="127">
        <f t="shared" si="69"/>
        <v>692.75658239999996</v>
      </c>
      <c r="L81" s="127">
        <f t="shared" si="69"/>
        <v>706.61171404800007</v>
      </c>
      <c r="M81" s="127">
        <f t="shared" si="69"/>
        <v>720.74394832896007</v>
      </c>
      <c r="N81" s="127">
        <f t="shared" si="69"/>
        <v>588.12706183643127</v>
      </c>
      <c r="O81" s="127">
        <f t="shared" si="69"/>
        <v>324.31531666142712</v>
      </c>
      <c r="P81" s="127">
        <f t="shared" si="69"/>
        <v>330.80162299465565</v>
      </c>
      <c r="Q81" s="127">
        <f t="shared" si="69"/>
        <v>337.41765545454876</v>
      </c>
      <c r="R81" s="127">
        <f t="shared" si="69"/>
        <v>344.16600856363971</v>
      </c>
      <c r="S81" s="127">
        <f t="shared" si="69"/>
        <v>351.04932873491254</v>
      </c>
      <c r="T81" s="127">
        <f t="shared" si="69"/>
        <v>358.07031530961075</v>
      </c>
      <c r="U81" s="127">
        <f t="shared" si="69"/>
        <v>365.23172161580305</v>
      </c>
      <c r="V81" s="127">
        <f t="shared" si="69"/>
        <v>286.40078239537473</v>
      </c>
      <c r="W81" s="127">
        <f t="shared" si="69"/>
        <v>123.00159917611883</v>
      </c>
      <c r="X81" s="127">
        <f t="shared" si="69"/>
        <v>0</v>
      </c>
      <c r="Y81" s="127">
        <f t="shared" si="69"/>
        <v>0</v>
      </c>
      <c r="Z81" s="127">
        <f t="shared" si="69"/>
        <v>0</v>
      </c>
      <c r="AA81" s="127">
        <f t="shared" si="69"/>
        <v>0</v>
      </c>
      <c r="AB81" s="127">
        <f t="shared" si="69"/>
        <v>0</v>
      </c>
      <c r="AC81" s="127">
        <f t="shared" si="69"/>
        <v>0</v>
      </c>
      <c r="AD81" s="127">
        <f t="shared" si="69"/>
        <v>0</v>
      </c>
      <c r="AE81" s="127">
        <f t="shared" si="69"/>
        <v>0</v>
      </c>
      <c r="AF81" s="127">
        <f t="shared" si="69"/>
        <v>0</v>
      </c>
      <c r="AG81" s="127">
        <f t="shared" si="69"/>
        <v>0</v>
      </c>
      <c r="AH81" s="127">
        <f t="shared" si="69"/>
        <v>0</v>
      </c>
      <c r="AI81" s="127">
        <f t="shared" si="69"/>
        <v>0</v>
      </c>
      <c r="AJ81" s="127">
        <f t="shared" si="69"/>
        <v>0</v>
      </c>
      <c r="AK81" s="127">
        <f t="shared" si="69"/>
        <v>0</v>
      </c>
      <c r="AL81" s="127">
        <f t="shared" si="69"/>
        <v>0</v>
      </c>
      <c r="AM81" s="127">
        <f t="shared" ref="AM81:BD81" si="70">AM43</f>
        <v>0</v>
      </c>
      <c r="AN81" s="127">
        <f t="shared" si="70"/>
        <v>0</v>
      </c>
      <c r="AO81" s="127">
        <f t="shared" si="70"/>
        <v>0</v>
      </c>
      <c r="AP81" s="127">
        <f t="shared" si="70"/>
        <v>0</v>
      </c>
      <c r="AQ81" s="127">
        <f t="shared" si="70"/>
        <v>0</v>
      </c>
      <c r="AR81" s="127">
        <f t="shared" si="70"/>
        <v>0</v>
      </c>
      <c r="AS81" s="127">
        <f t="shared" si="70"/>
        <v>0</v>
      </c>
      <c r="AT81" s="127">
        <f t="shared" si="70"/>
        <v>0</v>
      </c>
      <c r="AU81" s="127">
        <f t="shared" si="70"/>
        <v>0</v>
      </c>
      <c r="AV81" s="127">
        <f t="shared" si="70"/>
        <v>0</v>
      </c>
      <c r="AW81" s="127">
        <f t="shared" si="70"/>
        <v>0</v>
      </c>
      <c r="AX81" s="127">
        <f t="shared" si="70"/>
        <v>0</v>
      </c>
      <c r="AY81" s="127">
        <f t="shared" si="70"/>
        <v>0</v>
      </c>
      <c r="AZ81" s="127">
        <f t="shared" si="70"/>
        <v>0</v>
      </c>
      <c r="BA81" s="127">
        <f t="shared" si="70"/>
        <v>0</v>
      </c>
      <c r="BB81" s="127">
        <f t="shared" si="70"/>
        <v>0</v>
      </c>
      <c r="BC81" s="127">
        <f t="shared" si="70"/>
        <v>0</v>
      </c>
      <c r="BD81" s="127">
        <f t="shared" si="70"/>
        <v>0</v>
      </c>
    </row>
    <row r="82" spans="3:56" ht="15" customHeight="1">
      <c r="C82" s="152">
        <f>SUM(G82:BD82)</f>
        <v>7785.0251775194829</v>
      </c>
      <c r="D82" s="153" t="s">
        <v>176</v>
      </c>
      <c r="E82" s="128" t="s">
        <v>195</v>
      </c>
      <c r="G82" s="127">
        <f t="shared" ref="G82:AL82" si="71">G45</f>
        <v>392</v>
      </c>
      <c r="H82" s="127">
        <f t="shared" si="71"/>
        <v>585.88800000000003</v>
      </c>
      <c r="I82" s="127">
        <f t="shared" si="71"/>
        <v>599.2704</v>
      </c>
      <c r="J82" s="127">
        <f t="shared" si="71"/>
        <v>679.17311999999993</v>
      </c>
      <c r="K82" s="127">
        <f t="shared" si="71"/>
        <v>692.75658239999996</v>
      </c>
      <c r="L82" s="127">
        <f t="shared" si="71"/>
        <v>706.61171404800007</v>
      </c>
      <c r="M82" s="127">
        <f t="shared" si="71"/>
        <v>720.74394832896007</v>
      </c>
      <c r="N82" s="127">
        <f t="shared" si="71"/>
        <v>588.12706183643127</v>
      </c>
      <c r="O82" s="127">
        <f t="shared" si="71"/>
        <v>324.31531666142712</v>
      </c>
      <c r="P82" s="127">
        <f t="shared" si="71"/>
        <v>330.80162299465565</v>
      </c>
      <c r="Q82" s="127">
        <f t="shared" si="71"/>
        <v>337.41765545454876</v>
      </c>
      <c r="R82" s="127">
        <f t="shared" si="71"/>
        <v>344.16600856363971</v>
      </c>
      <c r="S82" s="127">
        <f t="shared" si="71"/>
        <v>351.04932873491254</v>
      </c>
      <c r="T82" s="127">
        <f t="shared" si="71"/>
        <v>358.07031530961075</v>
      </c>
      <c r="U82" s="127">
        <f t="shared" si="71"/>
        <v>365.23172161580305</v>
      </c>
      <c r="V82" s="127">
        <f t="shared" si="71"/>
        <v>286.40078239537473</v>
      </c>
      <c r="W82" s="127">
        <f t="shared" si="71"/>
        <v>123.00159917611883</v>
      </c>
      <c r="X82" s="127">
        <f t="shared" si="71"/>
        <v>0</v>
      </c>
      <c r="Y82" s="127">
        <f t="shared" si="71"/>
        <v>0</v>
      </c>
      <c r="Z82" s="127">
        <f t="shared" si="71"/>
        <v>0</v>
      </c>
      <c r="AA82" s="127">
        <f t="shared" si="71"/>
        <v>0</v>
      </c>
      <c r="AB82" s="127">
        <f t="shared" si="71"/>
        <v>0</v>
      </c>
      <c r="AC82" s="127">
        <f t="shared" si="71"/>
        <v>0</v>
      </c>
      <c r="AD82" s="127">
        <f t="shared" si="71"/>
        <v>0</v>
      </c>
      <c r="AE82" s="127">
        <f t="shared" si="71"/>
        <v>0</v>
      </c>
      <c r="AF82" s="127">
        <f t="shared" si="71"/>
        <v>0</v>
      </c>
      <c r="AG82" s="127">
        <f t="shared" si="71"/>
        <v>0</v>
      </c>
      <c r="AH82" s="127">
        <f t="shared" si="71"/>
        <v>0</v>
      </c>
      <c r="AI82" s="127">
        <f t="shared" si="71"/>
        <v>0</v>
      </c>
      <c r="AJ82" s="127">
        <f t="shared" si="71"/>
        <v>0</v>
      </c>
      <c r="AK82" s="127">
        <f t="shared" si="71"/>
        <v>0</v>
      </c>
      <c r="AL82" s="127">
        <f t="shared" si="71"/>
        <v>0</v>
      </c>
      <c r="AM82" s="127">
        <f t="shared" ref="AM82:BD82" si="72">AM45</f>
        <v>0</v>
      </c>
      <c r="AN82" s="127">
        <f t="shared" si="72"/>
        <v>0</v>
      </c>
      <c r="AO82" s="127">
        <f t="shared" si="72"/>
        <v>0</v>
      </c>
      <c r="AP82" s="127">
        <f t="shared" si="72"/>
        <v>0</v>
      </c>
      <c r="AQ82" s="127">
        <f t="shared" si="72"/>
        <v>0</v>
      </c>
      <c r="AR82" s="127">
        <f t="shared" si="72"/>
        <v>0</v>
      </c>
      <c r="AS82" s="127">
        <f t="shared" si="72"/>
        <v>0</v>
      </c>
      <c r="AT82" s="127">
        <f t="shared" si="72"/>
        <v>0</v>
      </c>
      <c r="AU82" s="127">
        <f t="shared" si="72"/>
        <v>0</v>
      </c>
      <c r="AV82" s="127">
        <f t="shared" si="72"/>
        <v>0</v>
      </c>
      <c r="AW82" s="127">
        <f t="shared" si="72"/>
        <v>0</v>
      </c>
      <c r="AX82" s="127">
        <f t="shared" si="72"/>
        <v>0</v>
      </c>
      <c r="AY82" s="127">
        <f t="shared" si="72"/>
        <v>0</v>
      </c>
      <c r="AZ82" s="127">
        <f t="shared" si="72"/>
        <v>0</v>
      </c>
      <c r="BA82" s="127">
        <f t="shared" si="72"/>
        <v>0</v>
      </c>
      <c r="BB82" s="127">
        <f t="shared" si="72"/>
        <v>0</v>
      </c>
      <c r="BC82" s="127">
        <f t="shared" si="72"/>
        <v>0</v>
      </c>
      <c r="BD82" s="127">
        <f t="shared" si="72"/>
        <v>0</v>
      </c>
    </row>
    <row r="83" spans="3:56" ht="15" customHeight="1">
      <c r="C83" s="152">
        <f>SUM(G83:BD83)</f>
        <v>7785.0251775194829</v>
      </c>
      <c r="D83" s="55" t="s">
        <v>216</v>
      </c>
      <c r="E83" s="128" t="s">
        <v>195</v>
      </c>
      <c r="G83" s="127">
        <f>IF(G29=0,0,IF(Paramètres!$F$12="gross",G81,G82))</f>
        <v>392</v>
      </c>
      <c r="H83" s="127">
        <f>IF(H29=0,0,IF(Paramètres!$F$12="gross",H81,H82))</f>
        <v>585.88800000000003</v>
      </c>
      <c r="I83" s="127">
        <f>IF(I29=0,0,IF(Paramètres!$F$12="gross",I81,I82))</f>
        <v>599.2704</v>
      </c>
      <c r="J83" s="127">
        <f>IF(J29=0,0,IF(Paramètres!$F$12="gross",J81,J82))</f>
        <v>679.17311999999993</v>
      </c>
      <c r="K83" s="127">
        <f>IF(K29=0,0,IF(Paramètres!$F$12="gross",K81,K82))</f>
        <v>692.75658239999996</v>
      </c>
      <c r="L83" s="127">
        <f>IF(L29=0,0,IF(Paramètres!$F$12="gross",L81,L82))</f>
        <v>706.61171404800007</v>
      </c>
      <c r="M83" s="127">
        <f>IF(M29=0,0,IF(Paramètres!$F$12="gross",M81,M82))</f>
        <v>720.74394832896007</v>
      </c>
      <c r="N83" s="127">
        <f>IF(N29=0,0,IF(Paramètres!$F$12="gross",N81,N82))</f>
        <v>588.12706183643127</v>
      </c>
      <c r="O83" s="127">
        <f>IF(O29=0,0,IF(Paramètres!$F$12="gross",O81,O82))</f>
        <v>324.31531666142712</v>
      </c>
      <c r="P83" s="127">
        <f>IF(P29=0,0,IF(Paramètres!$F$12="gross",P81,P82))</f>
        <v>330.80162299465565</v>
      </c>
      <c r="Q83" s="127">
        <f>IF(Q29=0,0,IF(Paramètres!$F$12="gross",Q81,Q82))</f>
        <v>337.41765545454876</v>
      </c>
      <c r="R83" s="127">
        <f>IF(R29=0,0,IF(Paramètres!$F$12="gross",R81,R82))</f>
        <v>344.16600856363971</v>
      </c>
      <c r="S83" s="127">
        <f>IF(S29=0,0,IF(Paramètres!$F$12="gross",S81,S82))</f>
        <v>351.04932873491254</v>
      </c>
      <c r="T83" s="127">
        <f>IF(T29=0,0,IF(Paramètres!$F$12="gross",T81,T82))</f>
        <v>358.07031530961075</v>
      </c>
      <c r="U83" s="127">
        <f>IF(U29=0,0,IF(Paramètres!$F$12="gross",U81,U82))</f>
        <v>365.23172161580305</v>
      </c>
      <c r="V83" s="127">
        <f>IF(V29=0,0,IF(Paramètres!$F$12="gross",V81,V82))</f>
        <v>286.40078239537473</v>
      </c>
      <c r="W83" s="127">
        <f>IF(W29=0,0,IF(Paramètres!$F$12="gross",W81,W82))</f>
        <v>123.00159917611883</v>
      </c>
      <c r="X83" s="127">
        <f>IF(X29=0,0,IF(Paramètres!$F$12="gross",X81,X82))</f>
        <v>0</v>
      </c>
      <c r="Y83" s="127">
        <f>IF(Y29=0,0,IF(Paramètres!$F$12="gross",Y81,Y82))</f>
        <v>0</v>
      </c>
      <c r="Z83" s="127">
        <f>IF(Z29=0,0,IF(Paramètres!$F$12="gross",Z81,Z82))</f>
        <v>0</v>
      </c>
      <c r="AA83" s="127">
        <f>IF(AA29=0,0,IF(Paramètres!$F$12="gross",AA81,AA82))</f>
        <v>0</v>
      </c>
      <c r="AB83" s="127">
        <f>IF(AB29=0,0,IF(Paramètres!$F$12="gross",AB81,AB82))</f>
        <v>0</v>
      </c>
      <c r="AC83" s="127">
        <f>IF(AC29=0,0,IF(Paramètres!$F$12="gross",AC81,AC82))</f>
        <v>0</v>
      </c>
      <c r="AD83" s="127">
        <f>IF(AD29=0,0,IF(Paramètres!$F$12="gross",AD81,AD82))</f>
        <v>0</v>
      </c>
      <c r="AE83" s="127">
        <f>IF(AE29=0,0,IF(Paramètres!$F$12="gross",AE81,AE82))</f>
        <v>0</v>
      </c>
      <c r="AF83" s="127">
        <f>IF(AF29=0,0,IF(Paramètres!$F$12="gross",AF81,AF82))</f>
        <v>0</v>
      </c>
      <c r="AG83" s="127">
        <f>IF(AG29=0,0,IF(Paramètres!$F$12="gross",AG81,AG82))</f>
        <v>0</v>
      </c>
      <c r="AH83" s="127">
        <f>IF(AH29=0,0,IF(Paramètres!$F$12="gross",AH81,AH82))</f>
        <v>0</v>
      </c>
      <c r="AI83" s="127">
        <f>IF(AI29=0,0,IF(Paramètres!$F$12="gross",AI81,AI82))</f>
        <v>0</v>
      </c>
      <c r="AJ83" s="127">
        <f>IF(AJ29=0,0,IF(Paramètres!$F$12="gross",AJ81,AJ82))</f>
        <v>0</v>
      </c>
      <c r="AK83" s="127">
        <f>IF(AK29=0,0,IF(Paramètres!$F$12="gross",AK81,AK82))</f>
        <v>0</v>
      </c>
      <c r="AL83" s="127">
        <f>IF(AL29=0,0,IF(Paramètres!$F$12="gross",AL81,AL82))</f>
        <v>0</v>
      </c>
      <c r="AM83" s="127">
        <f>IF(AM29=0,0,IF(Paramètres!$F$12="gross",AM81,AM82))</f>
        <v>0</v>
      </c>
      <c r="AN83" s="127">
        <f>IF(AN29=0,0,IF(Paramètres!$F$12="gross",AN81,AN82))</f>
        <v>0</v>
      </c>
      <c r="AO83" s="127">
        <f>IF(AO29=0,0,IF(Paramètres!$F$12="gross",AO81,AO82))</f>
        <v>0</v>
      </c>
      <c r="AP83" s="127">
        <f>IF(AP29=0,0,IF(Paramètres!$F$12="gross",AP81,AP82))</f>
        <v>0</v>
      </c>
      <c r="AQ83" s="127">
        <f>IF(AQ29=0,0,IF(Paramètres!$F$12="gross",AQ81,AQ82))</f>
        <v>0</v>
      </c>
      <c r="AR83" s="127">
        <f>IF(AR29=0,0,IF(Paramètres!$F$12="gross",AR81,AR82))</f>
        <v>0</v>
      </c>
      <c r="AS83" s="127">
        <f>IF(AS29=0,0,IF(Paramètres!$F$12="gross",AS81,AS82))</f>
        <v>0</v>
      </c>
      <c r="AT83" s="127">
        <f>IF(AT29=0,0,IF(Paramètres!$F$12="gross",AT81,AT82))</f>
        <v>0</v>
      </c>
      <c r="AU83" s="127">
        <f>IF(AU29=0,0,IF(Paramètres!$F$12="gross",AU81,AU82))</f>
        <v>0</v>
      </c>
      <c r="AV83" s="127">
        <f>IF(AV29=0,0,IF(Paramètres!$F$12="gross",AV81,AV82))</f>
        <v>0</v>
      </c>
      <c r="AW83" s="127">
        <f>IF(AW29=0,0,IF(Paramètres!$F$12="gross",AW81,AW82))</f>
        <v>0</v>
      </c>
      <c r="AX83" s="127">
        <f>IF(AX29=0,0,IF(Paramètres!$F$12="gross",AX81,AX82))</f>
        <v>0</v>
      </c>
      <c r="AY83" s="127">
        <f>IF(AY29=0,0,IF(Paramètres!$F$12="gross",AY81,AY82))</f>
        <v>0</v>
      </c>
      <c r="AZ83" s="127">
        <f>IF(AZ29=0,0,IF(Paramètres!$F$12="gross",AZ81,AZ82))</f>
        <v>0</v>
      </c>
      <c r="BA83" s="127">
        <f>IF(BA29=0,0,IF(Paramètres!$F$12="gross",BA81,BA82))</f>
        <v>0</v>
      </c>
      <c r="BB83" s="127">
        <f>IF(BB29=0,0,IF(Paramètres!$F$12="gross",BB81,BB82))</f>
        <v>0</v>
      </c>
      <c r="BC83" s="127">
        <f>IF(BC29=0,0,IF(Paramètres!$F$12="gross",BC81,BC82))</f>
        <v>0</v>
      </c>
      <c r="BD83" s="127">
        <f>IF(BD29=0,0,IF(Paramètres!$F$12="gross",BD81,BD82))</f>
        <v>0</v>
      </c>
    </row>
    <row r="84" spans="3:56" ht="15" customHeight="1">
      <c r="C84" s="152"/>
      <c r="D84" s="55" t="s">
        <v>217</v>
      </c>
      <c r="E84" s="128" t="s">
        <v>26</v>
      </c>
      <c r="G84" s="173">
        <f>Paramètres!$F$11</f>
        <v>0.05</v>
      </c>
      <c r="H84" s="173">
        <f>Paramètres!$F$11</f>
        <v>0.05</v>
      </c>
      <c r="I84" s="173">
        <f>Paramètres!$F$11</f>
        <v>0.05</v>
      </c>
      <c r="J84" s="173">
        <f>Paramètres!$F$11</f>
        <v>0.05</v>
      </c>
      <c r="K84" s="173">
        <f>Paramètres!$F$11</f>
        <v>0.05</v>
      </c>
      <c r="L84" s="173">
        <f>Paramètres!$F$11</f>
        <v>0.05</v>
      </c>
      <c r="M84" s="173">
        <f>Paramètres!$F$11</f>
        <v>0.05</v>
      </c>
      <c r="N84" s="173">
        <f>Paramètres!$F$11</f>
        <v>0.05</v>
      </c>
      <c r="O84" s="173">
        <f>Paramètres!$F$11</f>
        <v>0.05</v>
      </c>
      <c r="P84" s="173">
        <f>Paramètres!$F$11</f>
        <v>0.05</v>
      </c>
      <c r="Q84" s="173">
        <f>Paramètres!$F$11</f>
        <v>0.05</v>
      </c>
      <c r="R84" s="173">
        <f>Paramètres!$F$11</f>
        <v>0.05</v>
      </c>
      <c r="S84" s="173">
        <f>Paramètres!$F$11</f>
        <v>0.05</v>
      </c>
      <c r="T84" s="173">
        <f>Paramètres!$F$11</f>
        <v>0.05</v>
      </c>
      <c r="U84" s="173">
        <f>Paramètres!$F$11</f>
        <v>0.05</v>
      </c>
      <c r="V84" s="173">
        <f>Paramètres!$F$11</f>
        <v>0.05</v>
      </c>
      <c r="W84" s="173">
        <f>Paramètres!$F$11</f>
        <v>0.05</v>
      </c>
      <c r="X84" s="173">
        <f>Paramètres!$F$11</f>
        <v>0.05</v>
      </c>
      <c r="Y84" s="173">
        <f>Paramètres!$F$11</f>
        <v>0.05</v>
      </c>
      <c r="Z84" s="173">
        <f>Paramètres!$F$11</f>
        <v>0.05</v>
      </c>
      <c r="AA84" s="173">
        <f>Paramètres!$F$11</f>
        <v>0.05</v>
      </c>
      <c r="AB84" s="173">
        <f>Paramètres!$F$11</f>
        <v>0.05</v>
      </c>
      <c r="AC84" s="173">
        <f>Paramètres!$F$11</f>
        <v>0.05</v>
      </c>
      <c r="AD84" s="173">
        <f>Paramètres!$F$11</f>
        <v>0.05</v>
      </c>
      <c r="AE84" s="173">
        <f>Paramètres!$F$11</f>
        <v>0.05</v>
      </c>
      <c r="AF84" s="173">
        <f>Paramètres!$F$11</f>
        <v>0.05</v>
      </c>
      <c r="AG84" s="173">
        <f>Paramètres!$F$11</f>
        <v>0.05</v>
      </c>
      <c r="AH84" s="173">
        <f>Paramètres!$F$11</f>
        <v>0.05</v>
      </c>
      <c r="AI84" s="173">
        <f>Paramètres!$F$11</f>
        <v>0.05</v>
      </c>
      <c r="AJ84" s="173">
        <f>Paramètres!$F$11</f>
        <v>0.05</v>
      </c>
      <c r="AK84" s="173">
        <f>Paramètres!$F$11</f>
        <v>0.05</v>
      </c>
      <c r="AL84" s="173">
        <f>Paramètres!$F$11</f>
        <v>0.05</v>
      </c>
      <c r="AM84" s="173">
        <f>Paramètres!$F$11</f>
        <v>0.05</v>
      </c>
      <c r="AN84" s="173">
        <f>Paramètres!$F$11</f>
        <v>0.05</v>
      </c>
      <c r="AO84" s="173">
        <f>Paramètres!$F$11</f>
        <v>0.05</v>
      </c>
      <c r="AP84" s="173">
        <f>Paramètres!$F$11</f>
        <v>0.05</v>
      </c>
      <c r="AQ84" s="173">
        <f>Paramètres!$F$11</f>
        <v>0.05</v>
      </c>
      <c r="AR84" s="173">
        <f>Paramètres!$F$11</f>
        <v>0.05</v>
      </c>
      <c r="AS84" s="173">
        <f>Paramètres!$F$11</f>
        <v>0.05</v>
      </c>
      <c r="AT84" s="173">
        <f>Paramètres!$F$11</f>
        <v>0.05</v>
      </c>
      <c r="AU84" s="173">
        <f>Paramètres!$F$11</f>
        <v>0.05</v>
      </c>
      <c r="AV84" s="173">
        <f>Paramètres!$F$11</f>
        <v>0.05</v>
      </c>
      <c r="AW84" s="173">
        <f>Paramètres!$F$11</f>
        <v>0.05</v>
      </c>
      <c r="AX84" s="173">
        <f>Paramètres!$F$11</f>
        <v>0.05</v>
      </c>
      <c r="AY84" s="173">
        <f>Paramètres!$F$11</f>
        <v>0.05</v>
      </c>
      <c r="AZ84" s="173">
        <f>Paramètres!$F$11</f>
        <v>0.05</v>
      </c>
      <c r="BA84" s="173">
        <f>Paramètres!$F$11</f>
        <v>0.05</v>
      </c>
      <c r="BB84" s="173">
        <f>Paramètres!$F$11</f>
        <v>0.05</v>
      </c>
      <c r="BC84" s="173">
        <f>Paramètres!$F$11</f>
        <v>0.05</v>
      </c>
      <c r="BD84" s="173">
        <f>Paramètres!$F$11</f>
        <v>0.05</v>
      </c>
    </row>
    <row r="85" spans="3:56" ht="15" customHeight="1">
      <c r="C85" s="152"/>
      <c r="D85" s="55" t="s">
        <v>218</v>
      </c>
      <c r="E85" s="128" t="s">
        <v>26</v>
      </c>
      <c r="G85" s="112">
        <f>IF(Paramètres!G$108&lt;Paramètres!$J$60,Paramètres!$K$60,IF(Paramètres!G$108&lt;Paramètres!$J$61,Paramètres!$K$61,IF(Paramètres!G$108&gt;Paramètres!$J$61,Paramètres!$K$62,Paramètres!$K$62)))</f>
        <v>0.04</v>
      </c>
      <c r="H85" s="112">
        <f>IF(Paramètres!H$108&lt;Paramètres!$J$60,Paramètres!$K$60,IF(Paramètres!H$108&lt;Paramètres!$J$61,Paramètres!$K$61,IF(Paramètres!H$108&gt;Paramètres!$J$61,Paramètres!$K$62,Paramètres!$K$62)))</f>
        <v>0.04</v>
      </c>
      <c r="I85" s="112">
        <f>IF(Paramètres!I$108&lt;Paramètres!$J$60,Paramètres!$K$60,IF(Paramètres!I$108&lt;Paramètres!$J$61,Paramètres!$K$61,IF(Paramètres!I$108&gt;Paramètres!$J$61,Paramètres!$K$62,Paramètres!$K$62)))</f>
        <v>0.04</v>
      </c>
      <c r="J85" s="112">
        <f>IF(Paramètres!J$108&lt;Paramètres!$J$60,Paramètres!$K$60,IF(Paramètres!J$108&lt;Paramètres!$J$61,Paramètres!$K$61,IF(Paramètres!J$108&gt;Paramètres!$J$61,Paramètres!$K$62,Paramètres!$K$62)))</f>
        <v>0.04</v>
      </c>
      <c r="K85" s="112">
        <f>IF(Paramètres!K$108&lt;Paramètres!$J$60,Paramètres!$K$60,IF(Paramètres!K$108&lt;Paramètres!$J$61,Paramètres!$K$61,IF(Paramètres!K$108&gt;Paramètres!$J$61,Paramètres!$K$62,Paramètres!$K$62)))</f>
        <v>0.04</v>
      </c>
      <c r="L85" s="112">
        <f>IF(Paramètres!L$108&lt;Paramètres!$J$60,Paramètres!$K$60,IF(Paramètres!L$108&lt;Paramètres!$J$61,Paramètres!$K$61,IF(Paramètres!L$108&gt;Paramètres!$J$61,Paramètres!$K$62,Paramètres!$K$62)))</f>
        <v>0.04</v>
      </c>
      <c r="M85" s="112">
        <f>IF(Paramètres!M$108&lt;Paramètres!$J$60,Paramètres!$K$60,IF(Paramètres!M$108&lt;Paramètres!$J$61,Paramètres!$K$61,IF(Paramètres!M$108&gt;Paramètres!$J$61,Paramètres!$K$62,Paramètres!$K$62)))</f>
        <v>0.04</v>
      </c>
      <c r="N85" s="112">
        <f>IF(Paramètres!N$108&lt;Paramètres!$J$60,Paramètres!$K$60,IF(Paramètres!N$108&lt;Paramètres!$J$61,Paramètres!$K$61,IF(Paramètres!N$108&gt;Paramètres!$J$61,Paramètres!$K$62,Paramètres!$K$62)))</f>
        <v>0.04</v>
      </c>
      <c r="O85" s="112">
        <f>IF(Paramètres!O$108&lt;Paramètres!$J$60,Paramètres!$K$60,IF(Paramètres!O$108&lt;Paramètres!$J$61,Paramètres!$K$61,IF(Paramètres!O$108&gt;Paramètres!$J$61,Paramètres!$K$62,Paramètres!$K$62)))</f>
        <v>0.04</v>
      </c>
      <c r="P85" s="112">
        <f>IF(Paramètres!P$108&lt;Paramètres!$J$60,Paramètres!$K$60,IF(Paramètres!P$108&lt;Paramètres!$J$61,Paramètres!$K$61,IF(Paramètres!P$108&gt;Paramètres!$J$61,Paramètres!$K$62,Paramètres!$K$62)))</f>
        <v>0.04</v>
      </c>
      <c r="Q85" s="112">
        <f>IF(Paramètres!Q$108&lt;Paramètres!$J$60,Paramètres!$K$60,IF(Paramètres!Q$108&lt;Paramètres!$J$61,Paramètres!$K$61,IF(Paramètres!Q$108&gt;Paramètres!$J$61,Paramètres!$K$62,Paramètres!$K$62)))</f>
        <v>0.04</v>
      </c>
      <c r="R85" s="112">
        <f>IF(Paramètres!R$108&lt;Paramètres!$J$60,Paramètres!$K$60,IF(Paramètres!R$108&lt;Paramètres!$J$61,Paramètres!$K$61,IF(Paramètres!R$108&gt;Paramètres!$J$61,Paramètres!$K$62,Paramètres!$K$62)))</f>
        <v>0.04</v>
      </c>
      <c r="S85" s="112">
        <f>IF(Paramètres!S$108&lt;Paramètres!$J$60,Paramètres!$K$60,IF(Paramètres!S$108&lt;Paramètres!$J$61,Paramètres!$K$61,IF(Paramètres!S$108&gt;Paramètres!$J$61,Paramètres!$K$62,Paramètres!$K$62)))</f>
        <v>0.04</v>
      </c>
      <c r="T85" s="112">
        <f>IF(Paramètres!T$108&lt;Paramètres!$J$60,Paramètres!$K$60,IF(Paramètres!T$108&lt;Paramètres!$J$61,Paramètres!$K$61,IF(Paramètres!T$108&gt;Paramètres!$J$61,Paramètres!$K$62,Paramètres!$K$62)))</f>
        <v>0.04</v>
      </c>
      <c r="U85" s="112">
        <f>IF(Paramètres!U$108&lt;Paramètres!$J$60,Paramètres!$K$60,IF(Paramètres!U$108&lt;Paramètres!$J$61,Paramètres!$K$61,IF(Paramètres!U$108&gt;Paramètres!$J$61,Paramètres!$K$62,Paramètres!$K$62)))</f>
        <v>0.04</v>
      </c>
      <c r="V85" s="112">
        <f>IF(Paramètres!V$108&lt;Paramètres!$J$60,Paramètres!$K$60,IF(Paramètres!V$108&lt;Paramètres!$J$61,Paramètres!$K$61,IF(Paramètres!V$108&gt;Paramètres!$J$61,Paramètres!$K$62,Paramètres!$K$62)))</f>
        <v>0.04</v>
      </c>
      <c r="W85" s="112">
        <f>IF(Paramètres!W$108&lt;Paramètres!$J$60,Paramètres!$K$60,IF(Paramètres!W$108&lt;Paramètres!$J$61,Paramètres!$K$61,IF(Paramètres!W$108&gt;Paramètres!$J$61,Paramètres!$K$62,Paramètres!$K$62)))</f>
        <v>0.04</v>
      </c>
      <c r="X85" s="112">
        <f>IF(Paramètres!X$108&lt;Paramètres!$J$60,Paramètres!$K$60,IF(Paramètres!X$108&lt;Paramètres!$J$61,Paramètres!$K$61,IF(Paramètres!X$108&gt;Paramètres!$J$61,Paramètres!$K$62,Paramètres!$K$62)))</f>
        <v>0.04</v>
      </c>
      <c r="Y85" s="112">
        <f>IF(Paramètres!Y$108&lt;Paramètres!$J$60,Paramètres!$K$60,IF(Paramètres!Y$108&lt;Paramètres!$J$61,Paramètres!$K$61,IF(Paramètres!Y$108&gt;Paramètres!$J$61,Paramètres!$K$62,Paramètres!$K$62)))</f>
        <v>0.04</v>
      </c>
      <c r="Z85" s="112">
        <f>IF(Paramètres!Z$108&lt;Paramètres!$J$60,Paramètres!$K$60,IF(Paramètres!Z$108&lt;Paramètres!$J$61,Paramètres!$K$61,IF(Paramètres!Z$108&gt;Paramètres!$J$61,Paramètres!$K$62,Paramètres!$K$62)))</f>
        <v>0.04</v>
      </c>
      <c r="AA85" s="112">
        <f>IF(Paramètres!AA$108&lt;Paramètres!$J$60,Paramètres!$K$60,IF(Paramètres!AA$108&lt;Paramètres!$J$61,Paramètres!$K$61,IF(Paramètres!AA$108&gt;Paramètres!$J$61,Paramètres!$K$62,Paramètres!$K$62)))</f>
        <v>0.04</v>
      </c>
      <c r="AB85" s="112">
        <f>IF(Paramètres!AB$108&lt;Paramètres!$J$60,Paramètres!$K$60,IF(Paramètres!AB$108&lt;Paramètres!$J$61,Paramètres!$K$61,IF(Paramètres!AB$108&gt;Paramètres!$J$61,Paramètres!$K$62,Paramètres!$K$62)))</f>
        <v>0.04</v>
      </c>
      <c r="AC85" s="112">
        <f>IF(Paramètres!AC$108&lt;Paramètres!$J$60,Paramètres!$K$60,IF(Paramètres!AC$108&lt;Paramètres!$J$61,Paramètres!$K$61,IF(Paramètres!AC$108&gt;Paramètres!$J$61,Paramètres!$K$62,Paramètres!$K$62)))</f>
        <v>0.04</v>
      </c>
      <c r="AD85" s="112">
        <f>IF(Paramètres!AD$108&lt;Paramètres!$J$60,Paramètres!$K$60,IF(Paramètres!AD$108&lt;Paramètres!$J$61,Paramètres!$K$61,IF(Paramètres!AD$108&gt;Paramètres!$J$61,Paramètres!$K$62,Paramètres!$K$62)))</f>
        <v>0.04</v>
      </c>
      <c r="AE85" s="112">
        <f>IF(Paramètres!AE$108&lt;Paramètres!$J$60,Paramètres!$K$60,IF(Paramètres!AE$108&lt;Paramètres!$J$61,Paramètres!$K$61,IF(Paramètres!AE$108&gt;Paramètres!$J$61,Paramètres!$K$62,Paramètres!$K$62)))</f>
        <v>0.04</v>
      </c>
      <c r="AF85" s="112">
        <f>IF(Paramètres!AF$108&lt;Paramètres!$J$60,Paramètres!$K$60,IF(Paramètres!AF$108&lt;Paramètres!$J$61,Paramètres!$K$61,IF(Paramètres!AF$108&gt;Paramètres!$J$61,Paramètres!$K$62,Paramètres!$K$62)))</f>
        <v>0.04</v>
      </c>
      <c r="AG85" s="112">
        <f>IF(Paramètres!AG$108&lt;Paramètres!$J$60,Paramètres!$K$60,IF(Paramètres!AG$108&lt;Paramètres!$J$61,Paramètres!$K$61,IF(Paramètres!AG$108&gt;Paramètres!$J$61,Paramètres!$K$62,Paramètres!$K$62)))</f>
        <v>0.04</v>
      </c>
      <c r="AH85" s="112">
        <f>IF(Paramètres!AH$108&lt;Paramètres!$J$60,Paramètres!$K$60,IF(Paramètres!AH$108&lt;Paramètres!$J$61,Paramètres!$K$61,IF(Paramètres!AH$108&gt;Paramètres!$J$61,Paramètres!$K$62,Paramètres!$K$62)))</f>
        <v>0.04</v>
      </c>
      <c r="AI85" s="112">
        <f>IF(Paramètres!AI$108&lt;Paramètres!$J$60,Paramètres!$K$60,IF(Paramètres!AI$108&lt;Paramètres!$J$61,Paramètres!$K$61,IF(Paramètres!AI$108&gt;Paramètres!$J$61,Paramètres!$K$62,Paramètres!$K$62)))</f>
        <v>0.04</v>
      </c>
      <c r="AJ85" s="112">
        <f>IF(Paramètres!AJ$108&lt;Paramètres!$J$60,Paramètres!$K$60,IF(Paramètres!AJ$108&lt;Paramètres!$J$61,Paramètres!$K$61,IF(Paramètres!AJ$108&gt;Paramètres!$J$61,Paramètres!$K$62,Paramètres!$K$62)))</f>
        <v>0.04</v>
      </c>
      <c r="AK85" s="112">
        <f>IF(Paramètres!AK$108&lt;Paramètres!$J$60,Paramètres!$K$60,IF(Paramètres!AK$108&lt;Paramètres!$J$61,Paramètres!$K$61,IF(Paramètres!AK$108&gt;Paramètres!$J$61,Paramètres!$K$62,Paramètres!$K$62)))</f>
        <v>0.04</v>
      </c>
      <c r="AL85" s="112">
        <f>IF(Paramètres!AL$108&lt;Paramètres!$J$60,Paramètres!$K$60,IF(Paramètres!AL$108&lt;Paramètres!$J$61,Paramètres!$K$61,IF(Paramètres!AL$108&gt;Paramètres!$J$61,Paramètres!$K$62,Paramètres!$K$62)))</f>
        <v>0.04</v>
      </c>
      <c r="AM85" s="112">
        <f>IF(Paramètres!AM$108&lt;Paramètres!$J$60,Paramètres!$K$60,IF(Paramètres!AM$108&lt;Paramètres!$J$61,Paramètres!$K$61,IF(Paramètres!AM$108&gt;Paramètres!$J$61,Paramètres!$K$62,Paramètres!$K$62)))</f>
        <v>0.04</v>
      </c>
      <c r="AN85" s="112">
        <f>IF(Paramètres!AN$108&lt;Paramètres!$J$60,Paramètres!$K$60,IF(Paramètres!AN$108&lt;Paramètres!$J$61,Paramètres!$K$61,IF(Paramètres!AN$108&gt;Paramètres!$J$61,Paramètres!$K$62,Paramètres!$K$62)))</f>
        <v>0.04</v>
      </c>
      <c r="AO85" s="112">
        <f>IF(Paramètres!AO$108&lt;Paramètres!$J$60,Paramètres!$K$60,IF(Paramètres!AO$108&lt;Paramètres!$J$61,Paramètres!$K$61,IF(Paramètres!AO$108&gt;Paramètres!$J$61,Paramètres!$K$62,Paramètres!$K$62)))</f>
        <v>0.04</v>
      </c>
      <c r="AP85" s="112">
        <f>IF(Paramètres!AP$108&lt;Paramètres!$J$60,Paramètres!$K$60,IF(Paramètres!AP$108&lt;Paramètres!$J$61,Paramètres!$K$61,IF(Paramètres!AP$108&gt;Paramètres!$J$61,Paramètres!$K$62,Paramètres!$K$62)))</f>
        <v>0.04</v>
      </c>
      <c r="AQ85" s="112">
        <f>IF(Paramètres!AQ$108&lt;Paramètres!$J$60,Paramètres!$K$60,IF(Paramètres!AQ$108&lt;Paramètres!$J$61,Paramètres!$K$61,IF(Paramètres!AQ$108&gt;Paramètres!$J$61,Paramètres!$K$62,Paramètres!$K$62)))</f>
        <v>0.04</v>
      </c>
      <c r="AR85" s="112">
        <f>IF(Paramètres!AR$108&lt;Paramètres!$J$60,Paramètres!$K$60,IF(Paramètres!AR$108&lt;Paramètres!$J$61,Paramètres!$K$61,IF(Paramètres!AR$108&gt;Paramètres!$J$61,Paramètres!$K$62,Paramètres!$K$62)))</f>
        <v>0.04</v>
      </c>
      <c r="AS85" s="112">
        <f>IF(Paramètres!AS$108&lt;Paramètres!$J$60,Paramètres!$K$60,IF(Paramètres!AS$108&lt;Paramètres!$J$61,Paramètres!$K$61,IF(Paramètres!AS$108&gt;Paramètres!$J$61,Paramètres!$K$62,Paramètres!$K$62)))</f>
        <v>0.04</v>
      </c>
      <c r="AT85" s="112">
        <f>IF(Paramètres!AT$108&lt;Paramètres!$J$60,Paramètres!$K$60,IF(Paramètres!AT$108&lt;Paramètres!$J$61,Paramètres!$K$61,IF(Paramètres!AT$108&gt;Paramètres!$J$61,Paramètres!$K$62,Paramètres!$K$62)))</f>
        <v>0.04</v>
      </c>
      <c r="AU85" s="112">
        <f>IF(Paramètres!AU$108&lt;Paramètres!$J$60,Paramètres!$K$60,IF(Paramètres!AU$108&lt;Paramètres!$J$61,Paramètres!$K$61,IF(Paramètres!AU$108&gt;Paramètres!$J$61,Paramètres!$K$62,Paramètres!$K$62)))</f>
        <v>0.04</v>
      </c>
      <c r="AV85" s="112">
        <f>IF(Paramètres!AV$108&lt;Paramètres!$J$60,Paramètres!$K$60,IF(Paramètres!AV$108&lt;Paramètres!$J$61,Paramètres!$K$61,IF(Paramètres!AV$108&gt;Paramètres!$J$61,Paramètres!$K$62,Paramètres!$K$62)))</f>
        <v>0.04</v>
      </c>
      <c r="AW85" s="112">
        <f>IF(Paramètres!AW$108&lt;Paramètres!$J$60,Paramètres!$K$60,IF(Paramètres!AW$108&lt;Paramètres!$J$61,Paramètres!$K$61,IF(Paramètres!AW$108&gt;Paramètres!$J$61,Paramètres!$K$62,Paramètres!$K$62)))</f>
        <v>0.04</v>
      </c>
      <c r="AX85" s="112">
        <f>IF(Paramètres!AX$108&lt;Paramètres!$J$60,Paramètres!$K$60,IF(Paramètres!AX$108&lt;Paramètres!$J$61,Paramètres!$K$61,IF(Paramètres!AX$108&gt;Paramètres!$J$61,Paramètres!$K$62,Paramètres!$K$62)))</f>
        <v>0.04</v>
      </c>
      <c r="AY85" s="112">
        <f>IF(Paramètres!AY$108&lt;Paramètres!$J$60,Paramètres!$K$60,IF(Paramètres!AY$108&lt;Paramètres!$J$61,Paramètres!$K$61,IF(Paramètres!AY$108&gt;Paramètres!$J$61,Paramètres!$K$62,Paramètres!$K$62)))</f>
        <v>0.04</v>
      </c>
      <c r="AZ85" s="112">
        <f>IF(Paramètres!AZ$108&lt;Paramètres!$J$60,Paramètres!$K$60,IF(Paramètres!AZ$108&lt;Paramètres!$J$61,Paramètres!$K$61,IF(Paramètres!AZ$108&gt;Paramètres!$J$61,Paramètres!$K$62,Paramètres!$K$62)))</f>
        <v>0.04</v>
      </c>
      <c r="BA85" s="112">
        <f>IF(Paramètres!BA$108&lt;Paramètres!$J$60,Paramètres!$K$60,IF(Paramètres!BA$108&lt;Paramètres!$J$61,Paramètres!$K$61,IF(Paramètres!BA$108&gt;Paramètres!$J$61,Paramètres!$K$62,Paramètres!$K$62)))</f>
        <v>0.04</v>
      </c>
      <c r="BB85" s="112">
        <f>IF(Paramètres!BB$108&lt;Paramètres!$J$60,Paramètres!$K$60,IF(Paramètres!BB$108&lt;Paramètres!$J$61,Paramètres!$K$61,IF(Paramètres!BB$108&gt;Paramètres!$J$61,Paramètres!$K$62,Paramètres!$K$62)))</f>
        <v>0.04</v>
      </c>
      <c r="BC85" s="112">
        <f>IF(Paramètres!BC$108&lt;Paramètres!$J$60,Paramètres!$K$60,IF(Paramètres!BC$108&lt;Paramètres!$J$61,Paramètres!$K$61,IF(Paramètres!BC$108&gt;Paramètres!$J$61,Paramètres!$K$62,Paramètres!$K$62)))</f>
        <v>0.04</v>
      </c>
      <c r="BD85" s="112">
        <f>IF(Paramètres!BD$108&lt;Paramètres!$J$60,Paramètres!$K$60,IF(Paramètres!BD$108&lt;Paramètres!$J$61,Paramètres!$K$61,IF(Paramètres!BD$108&gt;Paramètres!$J$61,Paramètres!$K$62,Paramètres!$K$62)))</f>
        <v>0.04</v>
      </c>
    </row>
    <row r="86" spans="3:56" ht="15" customHeight="1">
      <c r="C86" s="152">
        <f>SUM(G86:BD86)</f>
        <v>389.25125887597414</v>
      </c>
      <c r="D86" s="55" t="s">
        <v>219</v>
      </c>
      <c r="E86" s="128" t="s">
        <v>195</v>
      </c>
      <c r="G86" s="127">
        <f>G83*CHOOSE(Paramètres!$F$24,G84,G85)</f>
        <v>19.600000000000001</v>
      </c>
      <c r="H86" s="127">
        <f>H83*CHOOSE(Paramètres!$F$24,H84,H85)</f>
        <v>29.294400000000003</v>
      </c>
      <c r="I86" s="127">
        <f>I83*CHOOSE(Paramètres!$F$24,I84,I85)</f>
        <v>29.963520000000003</v>
      </c>
      <c r="J86" s="127">
        <f>J83*CHOOSE(Paramètres!$F$24,J84,J85)</f>
        <v>33.958655999999998</v>
      </c>
      <c r="K86" s="127">
        <f>K83*CHOOSE(Paramètres!$F$24,K84,K85)</f>
        <v>34.637829119999999</v>
      </c>
      <c r="L86" s="127">
        <f>L83*CHOOSE(Paramètres!$F$24,L84,L85)</f>
        <v>35.330585702400008</v>
      </c>
      <c r="M86" s="127">
        <f>M83*CHOOSE(Paramètres!$F$24,M84,M85)</f>
        <v>36.037197416448002</v>
      </c>
      <c r="N86" s="127">
        <f>N83*CHOOSE(Paramètres!$F$24,N84,N85)</f>
        <v>29.406353091821565</v>
      </c>
      <c r="O86" s="127">
        <f>O83*CHOOSE(Paramètres!$F$24,O84,O85)</f>
        <v>16.215765833071355</v>
      </c>
      <c r="P86" s="127">
        <f>P83*CHOOSE(Paramètres!$F$24,P84,P85)</f>
        <v>16.540081149732782</v>
      </c>
      <c r="Q86" s="127">
        <f>Q83*CHOOSE(Paramètres!$F$24,Q84,Q85)</f>
        <v>16.870882772727438</v>
      </c>
      <c r="R86" s="127">
        <f>R83*CHOOSE(Paramètres!$F$24,R84,R85)</f>
        <v>17.208300428181985</v>
      </c>
      <c r="S86" s="127">
        <f>S83*CHOOSE(Paramètres!$F$24,S84,S85)</f>
        <v>17.552466436745629</v>
      </c>
      <c r="T86" s="127">
        <f>T83*CHOOSE(Paramètres!$F$24,T84,T85)</f>
        <v>17.903515765480538</v>
      </c>
      <c r="U86" s="127">
        <f>U83*CHOOSE(Paramètres!$F$24,U84,U85)</f>
        <v>18.261586080790153</v>
      </c>
      <c r="V86" s="127">
        <f>V83*CHOOSE(Paramètres!$F$24,V84,V85)</f>
        <v>14.320039119768737</v>
      </c>
      <c r="W86" s="127">
        <f>W83*CHOOSE(Paramètres!$F$24,W84,W85)</f>
        <v>6.150079958805942</v>
      </c>
      <c r="X86" s="127">
        <f>X83*CHOOSE(Paramètres!$F$24,X84,X85)</f>
        <v>0</v>
      </c>
      <c r="Y86" s="127">
        <f>Y83*CHOOSE(Paramètres!$F$24,Y84,Y85)</f>
        <v>0</v>
      </c>
      <c r="Z86" s="127">
        <f>Z83*CHOOSE(Paramètres!$F$24,Z84,Z85)</f>
        <v>0</v>
      </c>
      <c r="AA86" s="127">
        <f>AA83*CHOOSE(Paramètres!$F$24,AA84,AA85)</f>
        <v>0</v>
      </c>
      <c r="AB86" s="127">
        <f>AB83*CHOOSE(Paramètres!$F$24,AB84,AB85)</f>
        <v>0</v>
      </c>
      <c r="AC86" s="127">
        <f>AC83*CHOOSE(Paramètres!$F$24,AC84,AC85)</f>
        <v>0</v>
      </c>
      <c r="AD86" s="127">
        <f>AD83*CHOOSE(Paramètres!$F$24,AD84,AD85)</f>
        <v>0</v>
      </c>
      <c r="AE86" s="127">
        <f>AE83*CHOOSE(Paramètres!$F$24,AE84,AE85)</f>
        <v>0</v>
      </c>
      <c r="AF86" s="127">
        <f>AF83*CHOOSE(Paramètres!$F$24,AF84,AF85)</f>
        <v>0</v>
      </c>
      <c r="AG86" s="127">
        <f>AG83*CHOOSE(Paramètres!$F$24,AG84,AG85)</f>
        <v>0</v>
      </c>
      <c r="AH86" s="127">
        <f>AH83*CHOOSE(Paramètres!$F$24,AH84,AH85)</f>
        <v>0</v>
      </c>
      <c r="AI86" s="127">
        <f>AI83*CHOOSE(Paramètres!$F$24,AI84,AI85)</f>
        <v>0</v>
      </c>
      <c r="AJ86" s="127">
        <f>AJ83*CHOOSE(Paramètres!$F$24,AJ84,AJ85)</f>
        <v>0</v>
      </c>
      <c r="AK86" s="127">
        <f>AK83*CHOOSE(Paramètres!$F$24,AK84,AK85)</f>
        <v>0</v>
      </c>
      <c r="AL86" s="127">
        <f>AL83*CHOOSE(Paramètres!$F$24,AL84,AL85)</f>
        <v>0</v>
      </c>
      <c r="AM86" s="127">
        <f>AM83*CHOOSE(Paramètres!$F$24,AM84,AM85)</f>
        <v>0</v>
      </c>
      <c r="AN86" s="127">
        <f>AN83*CHOOSE(Paramètres!$F$24,AN84,AN85)</f>
        <v>0</v>
      </c>
      <c r="AO86" s="127">
        <f>AO83*CHOOSE(Paramètres!$F$24,AO84,AO85)</f>
        <v>0</v>
      </c>
      <c r="AP86" s="127">
        <f>AP83*CHOOSE(Paramètres!$F$24,AP84,AP85)</f>
        <v>0</v>
      </c>
      <c r="AQ86" s="127">
        <f>AQ83*CHOOSE(Paramètres!$F$24,AQ84,AQ85)</f>
        <v>0</v>
      </c>
      <c r="AR86" s="127">
        <f>AR83*CHOOSE(Paramètres!$F$24,AR84,AR85)</f>
        <v>0</v>
      </c>
      <c r="AS86" s="127">
        <f>AS83*CHOOSE(Paramètres!$F$24,AS84,AS85)</f>
        <v>0</v>
      </c>
      <c r="AT86" s="127">
        <f>AT83*CHOOSE(Paramètres!$F$24,AT84,AT85)</f>
        <v>0</v>
      </c>
      <c r="AU86" s="127">
        <f>AU83*CHOOSE(Paramètres!$F$24,AU84,AU85)</f>
        <v>0</v>
      </c>
      <c r="AV86" s="127">
        <f>AV83*CHOOSE(Paramètres!$F$24,AV84,AV85)</f>
        <v>0</v>
      </c>
      <c r="AW86" s="127">
        <f>AW83*CHOOSE(Paramètres!$F$24,AW84,AW85)</f>
        <v>0</v>
      </c>
      <c r="AX86" s="127">
        <f>AX83*CHOOSE(Paramètres!$F$24,AX84,AX85)</f>
        <v>0</v>
      </c>
      <c r="AY86" s="127">
        <f>AY83*CHOOSE(Paramètres!$F$24,AY84,AY85)</f>
        <v>0</v>
      </c>
      <c r="AZ86" s="127">
        <f>AZ83*CHOOSE(Paramètres!$F$24,AZ84,AZ85)</f>
        <v>0</v>
      </c>
      <c r="BA86" s="127">
        <f>BA83*CHOOSE(Paramètres!$F$24,BA84,BA85)</f>
        <v>0</v>
      </c>
      <c r="BB86" s="127">
        <f>BB83*CHOOSE(Paramètres!$F$24,BB84,BB85)</f>
        <v>0</v>
      </c>
      <c r="BC86" s="127">
        <f>BC83*CHOOSE(Paramètres!$F$24,BC84,BC85)</f>
        <v>0</v>
      </c>
      <c r="BD86" s="127">
        <f>BD83*CHOOSE(Paramètres!$F$24,BD84,BD85)</f>
        <v>0</v>
      </c>
    </row>
    <row r="87" spans="3:56" ht="15" customHeight="1"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80"/>
    </row>
    <row r="88" spans="3:56" ht="15" customHeight="1">
      <c r="D88" s="33" t="s">
        <v>220</v>
      </c>
    </row>
    <row r="89" spans="3:56" ht="15" customHeight="1">
      <c r="D89" s="55" t="s">
        <v>151</v>
      </c>
      <c r="E89" s="128" t="s">
        <v>11</v>
      </c>
      <c r="G89" s="118">
        <f t="shared" ref="G89:AL89" si="73">G8</f>
        <v>245000</v>
      </c>
      <c r="H89" s="118">
        <f t="shared" si="73"/>
        <v>359000</v>
      </c>
      <c r="I89" s="118">
        <f t="shared" si="73"/>
        <v>360000</v>
      </c>
      <c r="J89" s="118">
        <f t="shared" si="73"/>
        <v>400000</v>
      </c>
      <c r="K89" s="118">
        <f t="shared" si="73"/>
        <v>400000</v>
      </c>
      <c r="L89" s="118">
        <f t="shared" si="73"/>
        <v>400000</v>
      </c>
      <c r="M89" s="118">
        <f t="shared" si="73"/>
        <v>400000</v>
      </c>
      <c r="N89" s="118">
        <f t="shared" si="73"/>
        <v>320000</v>
      </c>
      <c r="O89" s="118">
        <f t="shared" si="73"/>
        <v>173000</v>
      </c>
      <c r="P89" s="118">
        <f t="shared" si="73"/>
        <v>173000</v>
      </c>
      <c r="Q89" s="118">
        <f t="shared" si="73"/>
        <v>173000</v>
      </c>
      <c r="R89" s="118">
        <f t="shared" si="73"/>
        <v>173000</v>
      </c>
      <c r="S89" s="118">
        <f t="shared" si="73"/>
        <v>173000</v>
      </c>
      <c r="T89" s="118">
        <f t="shared" si="73"/>
        <v>173000</v>
      </c>
      <c r="U89" s="118">
        <f t="shared" si="73"/>
        <v>173000</v>
      </c>
      <c r="V89" s="118">
        <f t="shared" si="73"/>
        <v>133000</v>
      </c>
      <c r="W89" s="118">
        <f t="shared" si="73"/>
        <v>56000</v>
      </c>
      <c r="X89" s="118">
        <f t="shared" si="73"/>
        <v>0</v>
      </c>
      <c r="Y89" s="118">
        <f t="shared" si="73"/>
        <v>0</v>
      </c>
      <c r="Z89" s="118">
        <f t="shared" si="73"/>
        <v>0</v>
      </c>
      <c r="AA89" s="118">
        <f t="shared" si="73"/>
        <v>0</v>
      </c>
      <c r="AB89" s="118">
        <f t="shared" si="73"/>
        <v>0</v>
      </c>
      <c r="AC89" s="118">
        <f t="shared" si="73"/>
        <v>0</v>
      </c>
      <c r="AD89" s="118">
        <f t="shared" si="73"/>
        <v>0</v>
      </c>
      <c r="AE89" s="118">
        <f t="shared" si="73"/>
        <v>0</v>
      </c>
      <c r="AF89" s="118">
        <f t="shared" si="73"/>
        <v>0</v>
      </c>
      <c r="AG89" s="118">
        <f t="shared" si="73"/>
        <v>0</v>
      </c>
      <c r="AH89" s="118">
        <f t="shared" si="73"/>
        <v>0</v>
      </c>
      <c r="AI89" s="118">
        <f t="shared" si="73"/>
        <v>0</v>
      </c>
      <c r="AJ89" s="118">
        <f t="shared" si="73"/>
        <v>0</v>
      </c>
      <c r="AK89" s="118">
        <f t="shared" si="73"/>
        <v>0</v>
      </c>
      <c r="AL89" s="118">
        <f t="shared" si="73"/>
        <v>0</v>
      </c>
      <c r="AM89" s="118">
        <f t="shared" ref="AM89:BD89" si="74">AM8</f>
        <v>0</v>
      </c>
      <c r="AN89" s="118">
        <f t="shared" si="74"/>
        <v>0</v>
      </c>
      <c r="AO89" s="118">
        <f t="shared" si="74"/>
        <v>0</v>
      </c>
      <c r="AP89" s="118">
        <f t="shared" si="74"/>
        <v>0</v>
      </c>
      <c r="AQ89" s="118">
        <f t="shared" si="74"/>
        <v>0</v>
      </c>
      <c r="AR89" s="118">
        <f t="shared" si="74"/>
        <v>0</v>
      </c>
      <c r="AS89" s="118">
        <f t="shared" si="74"/>
        <v>0</v>
      </c>
      <c r="AT89" s="118">
        <f t="shared" si="74"/>
        <v>0</v>
      </c>
      <c r="AU89" s="118">
        <f t="shared" si="74"/>
        <v>0</v>
      </c>
      <c r="AV89" s="118">
        <f t="shared" si="74"/>
        <v>0</v>
      </c>
      <c r="AW89" s="118">
        <f t="shared" si="74"/>
        <v>0</v>
      </c>
      <c r="AX89" s="118">
        <f t="shared" si="74"/>
        <v>0</v>
      </c>
      <c r="AY89" s="118">
        <f t="shared" si="74"/>
        <v>0</v>
      </c>
      <c r="AZ89" s="118">
        <f t="shared" si="74"/>
        <v>0</v>
      </c>
      <c r="BA89" s="118">
        <f t="shared" si="74"/>
        <v>0</v>
      </c>
      <c r="BB89" s="118">
        <f t="shared" si="74"/>
        <v>0</v>
      </c>
      <c r="BC89" s="118">
        <f t="shared" si="74"/>
        <v>0</v>
      </c>
      <c r="BD89" s="118">
        <f t="shared" si="74"/>
        <v>0</v>
      </c>
    </row>
    <row r="90" spans="3:56" ht="15" customHeight="1">
      <c r="D90" s="55" t="s">
        <v>221</v>
      </c>
      <c r="E90" s="128" t="s">
        <v>195</v>
      </c>
      <c r="G90" s="118">
        <f>(Paramètres!$F$37*Modèle!G89)/1000000</f>
        <v>0</v>
      </c>
      <c r="H90" s="118">
        <f>(Paramètres!$F$37*Modèle!H89)/1000000</f>
        <v>0</v>
      </c>
      <c r="I90" s="118">
        <f>(Paramètres!$F$37*Modèle!I89)/1000000</f>
        <v>0</v>
      </c>
      <c r="J90" s="118">
        <f>(Paramètres!$F$37*Modèle!J89)/1000000</f>
        <v>0</v>
      </c>
      <c r="K90" s="118">
        <f>(Paramètres!$F$37*Modèle!K89)/1000000</f>
        <v>0</v>
      </c>
      <c r="L90" s="118">
        <f>(Paramètres!$F$37*Modèle!L89)/1000000</f>
        <v>0</v>
      </c>
      <c r="M90" s="118">
        <f>(Paramètres!$F$37*Modèle!M89)/1000000</f>
        <v>0</v>
      </c>
      <c r="N90" s="118">
        <f>(Paramètres!$F$37*Modèle!N89)/1000000</f>
        <v>0</v>
      </c>
      <c r="O90" s="118">
        <f>(Paramètres!$F$37*Modèle!O89)/1000000</f>
        <v>0</v>
      </c>
      <c r="P90" s="118">
        <f>(Paramètres!$F$37*Modèle!P89)/1000000</f>
        <v>0</v>
      </c>
      <c r="Q90" s="118">
        <f>(Paramètres!$F$37*Modèle!Q89)/1000000</f>
        <v>0</v>
      </c>
      <c r="R90" s="118">
        <f>(Paramètres!$F$37*Modèle!R89)/1000000</f>
        <v>0</v>
      </c>
      <c r="S90" s="118">
        <f>(Paramètres!$F$37*Modèle!S89)/1000000</f>
        <v>0</v>
      </c>
      <c r="T90" s="118">
        <f>(Paramètres!$F$37*Modèle!T89)/1000000</f>
        <v>0</v>
      </c>
      <c r="U90" s="118">
        <f>(Paramètres!$F$37*Modèle!U89)/1000000</f>
        <v>0</v>
      </c>
      <c r="V90" s="118">
        <f>(Paramètres!$F$37*Modèle!V89)/1000000</f>
        <v>0</v>
      </c>
      <c r="W90" s="118">
        <f>(Paramètres!$F$37*Modèle!W89)/1000000</f>
        <v>0</v>
      </c>
      <c r="X90" s="118">
        <f>(Paramètres!$F$37*Modèle!X89)/1000000</f>
        <v>0</v>
      </c>
      <c r="Y90" s="118">
        <f>(Paramètres!$F$37*Modèle!Y89)/1000000</f>
        <v>0</v>
      </c>
      <c r="Z90" s="118">
        <f>(Paramètres!$F$37*Modèle!Z89)/1000000</f>
        <v>0</v>
      </c>
      <c r="AA90" s="118">
        <f>(Paramètres!$F$37*Modèle!AA89)/1000000</f>
        <v>0</v>
      </c>
      <c r="AB90" s="118">
        <f>(Paramètres!$F$37*Modèle!AB89)/1000000</f>
        <v>0</v>
      </c>
      <c r="AC90" s="118">
        <f>(Paramètres!$F$37*Modèle!AC89)/1000000</f>
        <v>0</v>
      </c>
      <c r="AD90" s="118">
        <f>(Paramètres!$F$37*Modèle!AD89)/1000000</f>
        <v>0</v>
      </c>
      <c r="AE90" s="118">
        <f>(Paramètres!$F$37*Modèle!AE89)/1000000</f>
        <v>0</v>
      </c>
      <c r="AF90" s="118">
        <f>(Paramètres!$F$37*Modèle!AF89)/1000000</f>
        <v>0</v>
      </c>
      <c r="AG90" s="118">
        <f>(Paramètres!$F$37*Modèle!AG89)/1000000</f>
        <v>0</v>
      </c>
      <c r="AH90" s="118">
        <f>(Paramètres!$F$37*Modèle!AH89)/1000000</f>
        <v>0</v>
      </c>
      <c r="AI90" s="118">
        <f>(Paramètres!$F$37*Modèle!AI89)/1000000</f>
        <v>0</v>
      </c>
      <c r="AJ90" s="118">
        <f>(Paramètres!$F$37*Modèle!AJ89)/1000000</f>
        <v>0</v>
      </c>
      <c r="AK90" s="118">
        <f>(Paramètres!$F$37*Modèle!AK89)/1000000</f>
        <v>0</v>
      </c>
      <c r="AL90" s="118">
        <f>(Paramètres!$F$37*Modèle!AL89)/1000000</f>
        <v>0</v>
      </c>
      <c r="AM90" s="118">
        <f>(Paramètres!$F$37*Modèle!AM89)/1000000</f>
        <v>0</v>
      </c>
      <c r="AN90" s="118">
        <f>(Paramètres!$F$37*Modèle!AN89)/1000000</f>
        <v>0</v>
      </c>
      <c r="AO90" s="118">
        <f>(Paramètres!$F$37*Modèle!AO89)/1000000</f>
        <v>0</v>
      </c>
      <c r="AP90" s="118">
        <f>(Paramètres!$F$37*Modèle!AP89)/1000000</f>
        <v>0</v>
      </c>
      <c r="AQ90" s="118">
        <f>(Paramètres!$F$37*Modèle!AQ89)/1000000</f>
        <v>0</v>
      </c>
      <c r="AR90" s="118">
        <f>(Paramètres!$F$37*Modèle!AR89)/1000000</f>
        <v>0</v>
      </c>
      <c r="AS90" s="118">
        <f>(Paramètres!$F$37*Modèle!AS89)/1000000</f>
        <v>0</v>
      </c>
      <c r="AT90" s="118">
        <f>(Paramètres!$F$37*Modèle!AT89)/1000000</f>
        <v>0</v>
      </c>
      <c r="AU90" s="118">
        <f>(Paramètres!$F$37*Modèle!AU89)/1000000</f>
        <v>0</v>
      </c>
      <c r="AV90" s="118">
        <f>(Paramètres!$F$37*Modèle!AV89)/1000000</f>
        <v>0</v>
      </c>
      <c r="AW90" s="118">
        <f>(Paramètres!$F$37*Modèle!AW89)/1000000</f>
        <v>0</v>
      </c>
      <c r="AX90" s="118">
        <f>(Paramètres!$F$37*Modèle!AX89)/1000000</f>
        <v>0</v>
      </c>
      <c r="AY90" s="118">
        <f>(Paramètres!$F$37*Modèle!AY89)/1000000</f>
        <v>0</v>
      </c>
      <c r="AZ90" s="118">
        <f>(Paramètres!$F$37*Modèle!AZ89)/1000000</f>
        <v>0</v>
      </c>
      <c r="BA90" s="118">
        <f>(Paramètres!$F$37*Modèle!BA89)/1000000</f>
        <v>0</v>
      </c>
      <c r="BB90" s="118">
        <f>(Paramètres!$F$37*Modèle!BB89)/1000000</f>
        <v>0</v>
      </c>
      <c r="BC90" s="118">
        <f>(Paramètres!$F$37*Modèle!BC89)/1000000</f>
        <v>0</v>
      </c>
      <c r="BD90" s="118">
        <f>(Paramètres!$F$37*Modèle!BD89)/1000000</f>
        <v>0</v>
      </c>
    </row>
    <row r="91" spans="3:56" ht="15" customHeight="1">
      <c r="C91" s="174"/>
      <c r="D91" s="175"/>
      <c r="E91" s="176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  <c r="AA91" s="174"/>
      <c r="AB91" s="174"/>
      <c r="AC91" s="174"/>
      <c r="AD91" s="174"/>
      <c r="AE91" s="174"/>
      <c r="AF91" s="174"/>
      <c r="AG91" s="174"/>
      <c r="AH91" s="174"/>
      <c r="AI91" s="174"/>
      <c r="AJ91" s="174"/>
      <c r="AK91" s="174"/>
      <c r="AL91" s="174"/>
      <c r="AM91" s="174"/>
      <c r="AN91" s="174"/>
      <c r="AO91" s="174"/>
      <c r="AP91" s="174"/>
      <c r="AQ91" s="174"/>
      <c r="AR91" s="174"/>
      <c r="AS91" s="174"/>
      <c r="AT91" s="174"/>
      <c r="AU91" s="174"/>
      <c r="AV91" s="174"/>
      <c r="AW91" s="174"/>
      <c r="AX91" s="174"/>
      <c r="AY91" s="174"/>
      <c r="AZ91" s="174"/>
      <c r="BA91" s="174"/>
      <c r="BB91" s="174"/>
      <c r="BC91" s="174"/>
      <c r="BD91" s="174"/>
    </row>
    <row r="92" spans="3:56" ht="15" customHeight="1">
      <c r="D92" s="157" t="s">
        <v>115</v>
      </c>
      <c r="E92" s="128"/>
    </row>
    <row r="93" spans="3:56" ht="15" customHeight="1">
      <c r="D93" s="55" t="s">
        <v>222</v>
      </c>
      <c r="E93" s="128"/>
      <c r="G93" s="177">
        <f t="shared" ref="G93:AL93" si="75">G45</f>
        <v>392</v>
      </c>
      <c r="H93" s="177">
        <f t="shared" si="75"/>
        <v>585.88800000000003</v>
      </c>
      <c r="I93" s="177">
        <f t="shared" si="75"/>
        <v>599.2704</v>
      </c>
      <c r="J93" s="177">
        <f t="shared" si="75"/>
        <v>679.17311999999993</v>
      </c>
      <c r="K93" s="177">
        <f t="shared" si="75"/>
        <v>692.75658239999996</v>
      </c>
      <c r="L93" s="177">
        <f t="shared" si="75"/>
        <v>706.61171404800007</v>
      </c>
      <c r="M93" s="177">
        <f t="shared" si="75"/>
        <v>720.74394832896007</v>
      </c>
      <c r="N93" s="177">
        <f t="shared" si="75"/>
        <v>588.12706183643127</v>
      </c>
      <c r="O93" s="177">
        <f t="shared" si="75"/>
        <v>324.31531666142712</v>
      </c>
      <c r="P93" s="177">
        <f t="shared" si="75"/>
        <v>330.80162299465565</v>
      </c>
      <c r="Q93" s="177">
        <f t="shared" si="75"/>
        <v>337.41765545454876</v>
      </c>
      <c r="R93" s="177">
        <f t="shared" si="75"/>
        <v>344.16600856363971</v>
      </c>
      <c r="S93" s="177">
        <f t="shared" si="75"/>
        <v>351.04932873491254</v>
      </c>
      <c r="T93" s="177">
        <f t="shared" si="75"/>
        <v>358.07031530961075</v>
      </c>
      <c r="U93" s="177">
        <f t="shared" si="75"/>
        <v>365.23172161580305</v>
      </c>
      <c r="V93" s="177">
        <f t="shared" si="75"/>
        <v>286.40078239537473</v>
      </c>
      <c r="W93" s="177">
        <f t="shared" si="75"/>
        <v>123.00159917611883</v>
      </c>
      <c r="X93" s="177">
        <f t="shared" si="75"/>
        <v>0</v>
      </c>
      <c r="Y93" s="177">
        <f t="shared" si="75"/>
        <v>0</v>
      </c>
      <c r="Z93" s="177">
        <f t="shared" si="75"/>
        <v>0</v>
      </c>
      <c r="AA93" s="177">
        <f t="shared" si="75"/>
        <v>0</v>
      </c>
      <c r="AB93" s="177">
        <f t="shared" si="75"/>
        <v>0</v>
      </c>
      <c r="AC93" s="177">
        <f t="shared" si="75"/>
        <v>0</v>
      </c>
      <c r="AD93" s="177">
        <f t="shared" si="75"/>
        <v>0</v>
      </c>
      <c r="AE93" s="177">
        <f t="shared" si="75"/>
        <v>0</v>
      </c>
      <c r="AF93" s="177">
        <f t="shared" si="75"/>
        <v>0</v>
      </c>
      <c r="AG93" s="177">
        <f t="shared" si="75"/>
        <v>0</v>
      </c>
      <c r="AH93" s="177">
        <f t="shared" si="75"/>
        <v>0</v>
      </c>
      <c r="AI93" s="177">
        <f t="shared" si="75"/>
        <v>0</v>
      </c>
      <c r="AJ93" s="177">
        <f t="shared" si="75"/>
        <v>0</v>
      </c>
      <c r="AK93" s="177">
        <f t="shared" si="75"/>
        <v>0</v>
      </c>
      <c r="AL93" s="177">
        <f t="shared" si="75"/>
        <v>0</v>
      </c>
      <c r="AM93" s="177">
        <f t="shared" ref="AM93:BD93" si="76">AM45</f>
        <v>0</v>
      </c>
      <c r="AN93" s="177">
        <f t="shared" si="76"/>
        <v>0</v>
      </c>
      <c r="AO93" s="177">
        <f t="shared" si="76"/>
        <v>0</v>
      </c>
      <c r="AP93" s="177">
        <f t="shared" si="76"/>
        <v>0</v>
      </c>
      <c r="AQ93" s="177">
        <f t="shared" si="76"/>
        <v>0</v>
      </c>
      <c r="AR93" s="177">
        <f t="shared" si="76"/>
        <v>0</v>
      </c>
      <c r="AS93" s="177">
        <f t="shared" si="76"/>
        <v>0</v>
      </c>
      <c r="AT93" s="177">
        <f t="shared" si="76"/>
        <v>0</v>
      </c>
      <c r="AU93" s="177">
        <f t="shared" si="76"/>
        <v>0</v>
      </c>
      <c r="AV93" s="177">
        <f t="shared" si="76"/>
        <v>0</v>
      </c>
      <c r="AW93" s="177">
        <f t="shared" si="76"/>
        <v>0</v>
      </c>
      <c r="AX93" s="177">
        <f t="shared" si="76"/>
        <v>0</v>
      </c>
      <c r="AY93" s="177">
        <f t="shared" si="76"/>
        <v>0</v>
      </c>
      <c r="AZ93" s="177">
        <f t="shared" si="76"/>
        <v>0</v>
      </c>
      <c r="BA93" s="177">
        <f t="shared" si="76"/>
        <v>0</v>
      </c>
      <c r="BB93" s="177">
        <f t="shared" si="76"/>
        <v>0</v>
      </c>
      <c r="BC93" s="177">
        <f t="shared" si="76"/>
        <v>0</v>
      </c>
      <c r="BD93" s="177">
        <f t="shared" si="76"/>
        <v>0</v>
      </c>
    </row>
    <row r="94" spans="3:56" ht="15" customHeight="1">
      <c r="E94" s="128"/>
    </row>
    <row r="95" spans="3:56" ht="15" customHeight="1">
      <c r="D95" s="178" t="s">
        <v>223</v>
      </c>
      <c r="E95" s="128" t="s">
        <v>224</v>
      </c>
      <c r="G95" s="177">
        <f>MIN(Paramètres!G$108,Paramètres!$E60)</f>
        <v>0</v>
      </c>
      <c r="H95" s="177">
        <f>MIN(Paramètres!H$108,Paramètres!$E60)</f>
        <v>0</v>
      </c>
      <c r="I95" s="177">
        <f>MIN(Paramètres!I$108,Paramètres!$E60)</f>
        <v>0</v>
      </c>
      <c r="J95" s="177">
        <f>MIN(Paramètres!J$108,Paramètres!$E60)</f>
        <v>0</v>
      </c>
      <c r="K95" s="177">
        <f>MIN(Paramètres!K$108,Paramètres!$E60)</f>
        <v>0</v>
      </c>
      <c r="L95" s="177">
        <f>MIN(Paramètres!L$108,Paramètres!$E60)</f>
        <v>0</v>
      </c>
      <c r="M95" s="177">
        <f>MIN(Paramètres!M$108,Paramètres!$E60)</f>
        <v>0</v>
      </c>
      <c r="N95" s="177">
        <f>MIN(Paramètres!N$108,Paramètres!$E60)</f>
        <v>0</v>
      </c>
      <c r="O95" s="177">
        <f>MIN(Paramètres!O$108,Paramètres!$E60)</f>
        <v>0</v>
      </c>
      <c r="P95" s="177">
        <f>MIN(Paramètres!P$108,Paramètres!$E60)</f>
        <v>0</v>
      </c>
      <c r="Q95" s="177">
        <f>MIN(Paramètres!Q$108,Paramètres!$E60)</f>
        <v>0</v>
      </c>
      <c r="R95" s="177">
        <f>MIN(Paramètres!R$108,Paramètres!$E60)</f>
        <v>0</v>
      </c>
      <c r="S95" s="177">
        <f>MIN(Paramètres!S$108,Paramètres!$E60)</f>
        <v>0</v>
      </c>
      <c r="T95" s="177">
        <f>MIN(Paramètres!T$108,Paramètres!$E60)</f>
        <v>0</v>
      </c>
      <c r="U95" s="177">
        <f>MIN(Paramètres!U$108,Paramètres!$E60)</f>
        <v>0</v>
      </c>
      <c r="V95" s="177">
        <f>MIN(Paramètres!V$108,Paramètres!$E60)</f>
        <v>0</v>
      </c>
      <c r="W95" s="177">
        <f>MIN(Paramètres!W$108,Paramètres!$E60)</f>
        <v>0</v>
      </c>
      <c r="X95" s="177">
        <f>MIN(Paramètres!X$108,Paramètres!$E60)</f>
        <v>0</v>
      </c>
      <c r="Y95" s="177">
        <f>MIN(Paramètres!Y$108,Paramètres!$E60)</f>
        <v>0</v>
      </c>
      <c r="Z95" s="177">
        <f>MIN(Paramètres!Z$108,Paramètres!$E60)</f>
        <v>0</v>
      </c>
      <c r="AA95" s="177">
        <f>MIN(Paramètres!AA$108,Paramètres!$E60)</f>
        <v>0</v>
      </c>
      <c r="AB95" s="177">
        <f>MIN(Paramètres!AB$108,Paramètres!$E60)</f>
        <v>0</v>
      </c>
      <c r="AC95" s="177">
        <f>MIN(Paramètres!AC$108,Paramètres!$E60)</f>
        <v>0</v>
      </c>
      <c r="AD95" s="177">
        <f>MIN(Paramètres!AD$108,Paramètres!$E60)</f>
        <v>0</v>
      </c>
      <c r="AE95" s="177">
        <f>MIN(Paramètres!AE$108,Paramètres!$E60)</f>
        <v>0</v>
      </c>
      <c r="AF95" s="177">
        <f>MIN(Paramètres!AF$108,Paramètres!$E60)</f>
        <v>0</v>
      </c>
      <c r="AG95" s="177">
        <f>MIN(Paramètres!AG$108,Paramètres!$E60)</f>
        <v>0</v>
      </c>
      <c r="AH95" s="177">
        <f>MIN(Paramètres!AH$108,Paramètres!$E60)</f>
        <v>0</v>
      </c>
      <c r="AI95" s="177">
        <f>MIN(Paramètres!AI$108,Paramètres!$E60)</f>
        <v>0</v>
      </c>
      <c r="AJ95" s="177">
        <f>MIN(Paramètres!AJ$108,Paramètres!$E60)</f>
        <v>0</v>
      </c>
      <c r="AK95" s="177">
        <f>MIN(Paramètres!AK$108,Paramètres!$E60)</f>
        <v>0</v>
      </c>
      <c r="AL95" s="177">
        <f>MIN(Paramètres!AL$108,Paramètres!$E60)</f>
        <v>0</v>
      </c>
      <c r="AM95" s="177">
        <f>MIN(Paramètres!AM$108,Paramètres!$E60)</f>
        <v>0</v>
      </c>
      <c r="AN95" s="177">
        <f>MIN(Paramètres!AN$108,Paramètres!$E60)</f>
        <v>0</v>
      </c>
      <c r="AO95" s="177">
        <f>MIN(Paramètres!AO$108,Paramètres!$E60)</f>
        <v>0</v>
      </c>
      <c r="AP95" s="177">
        <f>MIN(Paramètres!AP$108,Paramètres!$E60)</f>
        <v>0</v>
      </c>
      <c r="AQ95" s="177">
        <f>MIN(Paramètres!AQ$108,Paramètres!$E60)</f>
        <v>0</v>
      </c>
      <c r="AR95" s="177">
        <f>MIN(Paramètres!AR$108,Paramètres!$E60)</f>
        <v>0</v>
      </c>
      <c r="AS95" s="177">
        <f>MIN(Paramètres!AS$108,Paramètres!$E60)</f>
        <v>0</v>
      </c>
      <c r="AT95" s="177">
        <f>MIN(Paramètres!AT$108,Paramètres!$E60)</f>
        <v>0</v>
      </c>
      <c r="AU95" s="177">
        <f>MIN(Paramètres!AU$108,Paramètres!$E60)</f>
        <v>0</v>
      </c>
      <c r="AV95" s="177">
        <f>MIN(Paramètres!AV$108,Paramètres!$E60)</f>
        <v>0</v>
      </c>
      <c r="AW95" s="177">
        <f>MIN(Paramètres!AW$108,Paramètres!$E60)</f>
        <v>0</v>
      </c>
      <c r="AX95" s="177">
        <f>MIN(Paramètres!AX$108,Paramètres!$E60)</f>
        <v>0</v>
      </c>
      <c r="AY95" s="177">
        <f>MIN(Paramètres!AY$108,Paramètres!$E60)</f>
        <v>0</v>
      </c>
      <c r="AZ95" s="177">
        <f>MIN(Paramètres!AZ$108,Paramètres!$E60)</f>
        <v>0</v>
      </c>
      <c r="BA95" s="177">
        <f>MIN(Paramètres!BA$108,Paramètres!$E60)</f>
        <v>0</v>
      </c>
      <c r="BB95" s="177">
        <f>MIN(Paramètres!BB$108,Paramètres!$E60)</f>
        <v>0</v>
      </c>
      <c r="BC95" s="177">
        <f>MIN(Paramètres!BC$108,Paramètres!$E60)</f>
        <v>0</v>
      </c>
      <c r="BD95" s="177">
        <f>MIN(Paramètres!BD$108,Paramètres!$E60)</f>
        <v>0</v>
      </c>
    </row>
    <row r="96" spans="3:56" ht="15" customHeight="1">
      <c r="D96" s="178" t="s">
        <v>225</v>
      </c>
      <c r="E96" s="128" t="s">
        <v>224</v>
      </c>
      <c r="G96" s="177">
        <f>IF(Paramètres!G$108&gt;Paramètres!$E61,Paramètres!G$108-Paramètres!$E61,0)</f>
        <v>1600</v>
      </c>
      <c r="H96" s="177">
        <f>IF(Paramètres!H$108&gt;Paramètres!$E61,Paramètres!H$108-Paramètres!$E61,0)</f>
        <v>1600</v>
      </c>
      <c r="I96" s="177">
        <f>IF(Paramètres!I$108&gt;Paramètres!$E61,Paramètres!I$108-Paramètres!$E61,0)</f>
        <v>1600</v>
      </c>
      <c r="J96" s="177">
        <f>IF(Paramètres!J$108&gt;Paramètres!$E61,Paramètres!J$108-Paramètres!$E61,0)</f>
        <v>1600</v>
      </c>
      <c r="K96" s="177">
        <f>IF(Paramètres!K$108&gt;Paramètres!$E61,Paramètres!K$108-Paramètres!$E61,0)</f>
        <v>1600</v>
      </c>
      <c r="L96" s="177">
        <f>IF(Paramètres!L$108&gt;Paramètres!$E61,Paramètres!L$108-Paramètres!$E61,0)</f>
        <v>1600</v>
      </c>
      <c r="M96" s="177">
        <f>IF(Paramètres!M$108&gt;Paramètres!$E61,Paramètres!M$108-Paramètres!$E61,0)</f>
        <v>1600</v>
      </c>
      <c r="N96" s="177">
        <f>IF(Paramètres!N$108&gt;Paramètres!$E61,Paramètres!N$108-Paramètres!$E61,0)</f>
        <v>1600</v>
      </c>
      <c r="O96" s="177">
        <f>IF(Paramètres!O$108&gt;Paramètres!$E61,Paramètres!O$108-Paramètres!$E61,0)</f>
        <v>1600</v>
      </c>
      <c r="P96" s="177">
        <f>IF(Paramètres!P$108&gt;Paramètres!$E61,Paramètres!P$108-Paramètres!$E61,0)</f>
        <v>1600</v>
      </c>
      <c r="Q96" s="177">
        <f>IF(Paramètres!Q$108&gt;Paramètres!$E61,Paramètres!Q$108-Paramètres!$E61,0)</f>
        <v>1600</v>
      </c>
      <c r="R96" s="177">
        <f>IF(Paramètres!R$108&gt;Paramètres!$E61,Paramètres!R$108-Paramètres!$E61,0)</f>
        <v>1600</v>
      </c>
      <c r="S96" s="177">
        <f>IF(Paramètres!S$108&gt;Paramètres!$E61,Paramètres!S$108-Paramètres!$E61,0)</f>
        <v>1600</v>
      </c>
      <c r="T96" s="177">
        <f>IF(Paramètres!T$108&gt;Paramètres!$E61,Paramètres!T$108-Paramètres!$E61,0)</f>
        <v>1600</v>
      </c>
      <c r="U96" s="177">
        <f>IF(Paramètres!U$108&gt;Paramètres!$E61,Paramètres!U$108-Paramètres!$E61,0)</f>
        <v>1600</v>
      </c>
      <c r="V96" s="177">
        <f>IF(Paramètres!V$108&gt;Paramètres!$E61,Paramètres!V$108-Paramètres!$E61,0)</f>
        <v>1600</v>
      </c>
      <c r="W96" s="177">
        <f>IF(Paramètres!W$108&gt;Paramètres!$E61,Paramètres!W$108-Paramètres!$E61,0)</f>
        <v>1600</v>
      </c>
      <c r="X96" s="177">
        <f>IF(Paramètres!X$108&gt;Paramètres!$E61,Paramètres!X$108-Paramètres!$E61,0)</f>
        <v>1600</v>
      </c>
      <c r="Y96" s="177">
        <f>IF(Paramètres!Y$108&gt;Paramètres!$E61,Paramètres!Y$108-Paramètres!$E61,0)</f>
        <v>1600</v>
      </c>
      <c r="Z96" s="177">
        <f>IF(Paramètres!Z$108&gt;Paramètres!$E61,Paramètres!Z$108-Paramètres!$E61,0)</f>
        <v>1600</v>
      </c>
      <c r="AA96" s="177">
        <f>IF(Paramètres!AA$108&gt;Paramètres!$E61,Paramètres!AA$108-Paramètres!$E61,0)</f>
        <v>1600</v>
      </c>
      <c r="AB96" s="177">
        <f>IF(Paramètres!AB$108&gt;Paramètres!$E61,Paramètres!AB$108-Paramètres!$E61,0)</f>
        <v>1600</v>
      </c>
      <c r="AC96" s="177">
        <f>IF(Paramètres!AC$108&gt;Paramètres!$E61,Paramètres!AC$108-Paramètres!$E61,0)</f>
        <v>1600</v>
      </c>
      <c r="AD96" s="177">
        <f>IF(Paramètres!AD$108&gt;Paramètres!$E61,Paramètres!AD$108-Paramètres!$E61,0)</f>
        <v>1600</v>
      </c>
      <c r="AE96" s="177">
        <f>IF(Paramètres!AE$108&gt;Paramètres!$E61,Paramètres!AE$108-Paramètres!$E61,0)</f>
        <v>1600</v>
      </c>
      <c r="AF96" s="177">
        <f>IF(Paramètres!AF$108&gt;Paramètres!$E61,Paramètres!AF$108-Paramètres!$E61,0)</f>
        <v>1600</v>
      </c>
      <c r="AG96" s="177">
        <f>IF(Paramètres!AG$108&gt;Paramètres!$E61,Paramètres!AG$108-Paramètres!$E61,0)</f>
        <v>1600</v>
      </c>
      <c r="AH96" s="177">
        <f>IF(Paramètres!AH$108&gt;Paramètres!$E61,Paramètres!AH$108-Paramètres!$E61,0)</f>
        <v>1600</v>
      </c>
      <c r="AI96" s="177">
        <f>IF(Paramètres!AI$108&gt;Paramètres!$E61,Paramètres!AI$108-Paramètres!$E61,0)</f>
        <v>1600</v>
      </c>
      <c r="AJ96" s="177">
        <f>IF(Paramètres!AJ$108&gt;Paramètres!$E61,Paramètres!AJ$108-Paramètres!$E61,0)</f>
        <v>1600</v>
      </c>
      <c r="AK96" s="177">
        <f>IF(Paramètres!AK$108&gt;Paramètres!$E61,Paramètres!AK$108-Paramètres!$E61,0)</f>
        <v>1600</v>
      </c>
      <c r="AL96" s="177">
        <f>IF(Paramètres!AL$108&gt;Paramètres!$E61,Paramètres!AL$108-Paramètres!$E61,0)</f>
        <v>1600</v>
      </c>
      <c r="AM96" s="177">
        <f>IF(Paramètres!AM$108&gt;Paramètres!$E61,Paramètres!AM$108-Paramètres!$E61,0)</f>
        <v>1600</v>
      </c>
      <c r="AN96" s="177">
        <f>IF(Paramètres!AN$108&gt;Paramètres!$E61,Paramètres!AN$108-Paramètres!$E61,0)</f>
        <v>1600</v>
      </c>
      <c r="AO96" s="177">
        <f>IF(Paramètres!AO$108&gt;Paramètres!$E61,Paramètres!AO$108-Paramètres!$E61,0)</f>
        <v>1600</v>
      </c>
      <c r="AP96" s="177">
        <f>IF(Paramètres!AP$108&gt;Paramètres!$E61,Paramètres!AP$108-Paramètres!$E61,0)</f>
        <v>1600</v>
      </c>
      <c r="AQ96" s="177">
        <f>IF(Paramètres!AQ$108&gt;Paramètres!$E61,Paramètres!AQ$108-Paramètres!$E61,0)</f>
        <v>1600</v>
      </c>
      <c r="AR96" s="177">
        <f>IF(Paramètres!AR$108&gt;Paramètres!$E61,Paramètres!AR$108-Paramètres!$E61,0)</f>
        <v>1600</v>
      </c>
      <c r="AS96" s="177">
        <f>IF(Paramètres!AS$108&gt;Paramètres!$E61,Paramètres!AS$108-Paramètres!$E61,0)</f>
        <v>1600</v>
      </c>
      <c r="AT96" s="177">
        <f>IF(Paramètres!AT$108&gt;Paramètres!$E61,Paramètres!AT$108-Paramètres!$E61,0)</f>
        <v>1600</v>
      </c>
      <c r="AU96" s="177">
        <f>IF(Paramètres!AU$108&gt;Paramètres!$E61,Paramètres!AU$108-Paramètres!$E61,0)</f>
        <v>1600</v>
      </c>
      <c r="AV96" s="177">
        <f>IF(Paramètres!AV$108&gt;Paramètres!$E61,Paramètres!AV$108-Paramètres!$E61,0)</f>
        <v>1600</v>
      </c>
      <c r="AW96" s="177">
        <f>IF(Paramètres!AW$108&gt;Paramètres!$E61,Paramètres!AW$108-Paramètres!$E61,0)</f>
        <v>1600</v>
      </c>
      <c r="AX96" s="177">
        <f>IF(Paramètres!AX$108&gt;Paramètres!$E61,Paramètres!AX$108-Paramètres!$E61,0)</f>
        <v>1600</v>
      </c>
      <c r="AY96" s="177">
        <f>IF(Paramètres!AY$108&gt;Paramètres!$E61,Paramètres!AY$108-Paramètres!$E61,0)</f>
        <v>1600</v>
      </c>
      <c r="AZ96" s="177">
        <f>IF(Paramètres!AZ$108&gt;Paramètres!$E61,Paramètres!AZ$108-Paramètres!$E61,0)</f>
        <v>1600</v>
      </c>
      <c r="BA96" s="177">
        <f>IF(Paramètres!BA$108&gt;Paramètres!$E61,Paramètres!BA$108-Paramètres!$E61,0)</f>
        <v>1600</v>
      </c>
      <c r="BB96" s="177">
        <f>IF(Paramètres!BB$108&gt;Paramètres!$E61,Paramètres!BB$108-Paramètres!$E61,0)</f>
        <v>1600</v>
      </c>
      <c r="BC96" s="177">
        <f>IF(Paramètres!BC$108&gt;Paramètres!$E61,Paramètres!BC$108-Paramètres!$E61,0)</f>
        <v>1600</v>
      </c>
      <c r="BD96" s="177">
        <f>IF(Paramètres!BD$108&gt;Paramètres!$E61,Paramètres!BD$108-Paramètres!$E61,0)</f>
        <v>1600</v>
      </c>
    </row>
    <row r="97" spans="3:56" ht="15" customHeight="1">
      <c r="D97" s="178" t="s">
        <v>226</v>
      </c>
      <c r="E97" s="128" t="s">
        <v>224</v>
      </c>
      <c r="G97" s="177">
        <f>IF(Paramètres!G$108&gt;Paramètres!$E62,Paramètres!G$108-Paramètres!$E62,0)</f>
        <v>1600</v>
      </c>
      <c r="H97" s="177">
        <f>IF(Paramètres!H$108&gt;Paramètres!$E62,Paramètres!H$108-Paramètres!$E62,0)</f>
        <v>1600</v>
      </c>
      <c r="I97" s="177">
        <f>IF(Paramètres!I$108&gt;Paramètres!$E62,Paramètres!I$108-Paramètres!$E62,0)</f>
        <v>1600</v>
      </c>
      <c r="J97" s="177">
        <f>IF(Paramètres!J$108&gt;Paramètres!$E62,Paramètres!J$108-Paramètres!$E62,0)</f>
        <v>1600</v>
      </c>
      <c r="K97" s="177">
        <f>IF(Paramètres!K$108&gt;Paramètres!$E62,Paramètres!K$108-Paramètres!$E62,0)</f>
        <v>1600</v>
      </c>
      <c r="L97" s="177">
        <f>IF(Paramètres!L$108&gt;Paramètres!$E62,Paramètres!L$108-Paramètres!$E62,0)</f>
        <v>1600</v>
      </c>
      <c r="M97" s="177">
        <f>IF(Paramètres!M$108&gt;Paramètres!$E62,Paramètres!M$108-Paramètres!$E62,0)</f>
        <v>1600</v>
      </c>
      <c r="N97" s="177">
        <f>IF(Paramètres!N$108&gt;Paramètres!$E62,Paramètres!N$108-Paramètres!$E62,0)</f>
        <v>1600</v>
      </c>
      <c r="O97" s="177">
        <f>IF(Paramètres!O$108&gt;Paramètres!$E62,Paramètres!O$108-Paramètres!$E62,0)</f>
        <v>1600</v>
      </c>
      <c r="P97" s="177">
        <f>IF(Paramètres!P$108&gt;Paramètres!$E62,Paramètres!P$108-Paramètres!$E62,0)</f>
        <v>1600</v>
      </c>
      <c r="Q97" s="177">
        <f>IF(Paramètres!Q$108&gt;Paramètres!$E62,Paramètres!Q$108-Paramètres!$E62,0)</f>
        <v>1600</v>
      </c>
      <c r="R97" s="177">
        <f>IF(Paramètres!R$108&gt;Paramètres!$E62,Paramètres!R$108-Paramètres!$E62,0)</f>
        <v>1600</v>
      </c>
      <c r="S97" s="177">
        <f>IF(Paramètres!S$108&gt;Paramètres!$E62,Paramètres!S$108-Paramètres!$E62,0)</f>
        <v>1600</v>
      </c>
      <c r="T97" s="177">
        <f>IF(Paramètres!T$108&gt;Paramètres!$E62,Paramètres!T$108-Paramètres!$E62,0)</f>
        <v>1600</v>
      </c>
      <c r="U97" s="177">
        <f>IF(Paramètres!U$108&gt;Paramètres!$E62,Paramètres!U$108-Paramètres!$E62,0)</f>
        <v>1600</v>
      </c>
      <c r="V97" s="177">
        <f>IF(Paramètres!V$108&gt;Paramètres!$E62,Paramètres!V$108-Paramètres!$E62,0)</f>
        <v>1600</v>
      </c>
      <c r="W97" s="177">
        <f>IF(Paramètres!W$108&gt;Paramètres!$E62,Paramètres!W$108-Paramètres!$E62,0)</f>
        <v>1600</v>
      </c>
      <c r="X97" s="177">
        <f>IF(Paramètres!X$108&gt;Paramètres!$E62,Paramètres!X$108-Paramètres!$E62,0)</f>
        <v>1600</v>
      </c>
      <c r="Y97" s="177">
        <f>IF(Paramètres!Y$108&gt;Paramètres!$E62,Paramètres!Y$108-Paramètres!$E62,0)</f>
        <v>1600</v>
      </c>
      <c r="Z97" s="177">
        <f>IF(Paramètres!Z$108&gt;Paramètres!$E62,Paramètres!Z$108-Paramètres!$E62,0)</f>
        <v>1600</v>
      </c>
      <c r="AA97" s="177">
        <f>IF(Paramètres!AA$108&gt;Paramètres!$E62,Paramètres!AA$108-Paramètres!$E62,0)</f>
        <v>1600</v>
      </c>
      <c r="AB97" s="177">
        <f>IF(Paramètres!AB$108&gt;Paramètres!$E62,Paramètres!AB$108-Paramètres!$E62,0)</f>
        <v>1600</v>
      </c>
      <c r="AC97" s="177">
        <f>IF(Paramètres!AC$108&gt;Paramètres!$E62,Paramètres!AC$108-Paramètres!$E62,0)</f>
        <v>1600</v>
      </c>
      <c r="AD97" s="177">
        <f>IF(Paramètres!AD$108&gt;Paramètres!$E62,Paramètres!AD$108-Paramètres!$E62,0)</f>
        <v>1600</v>
      </c>
      <c r="AE97" s="177">
        <f>IF(Paramètres!AE$108&gt;Paramètres!$E62,Paramètres!AE$108-Paramètres!$E62,0)</f>
        <v>1600</v>
      </c>
      <c r="AF97" s="177">
        <f>IF(Paramètres!AF$108&gt;Paramètres!$E62,Paramètres!AF$108-Paramètres!$E62,0)</f>
        <v>1600</v>
      </c>
      <c r="AG97" s="177">
        <f>IF(Paramètres!AG$108&gt;Paramètres!$E62,Paramètres!AG$108-Paramètres!$E62,0)</f>
        <v>1600</v>
      </c>
      <c r="AH97" s="177">
        <f>IF(Paramètres!AH$108&gt;Paramètres!$E62,Paramètres!AH$108-Paramètres!$E62,0)</f>
        <v>1600</v>
      </c>
      <c r="AI97" s="177">
        <f>IF(Paramètres!AI$108&gt;Paramètres!$E62,Paramètres!AI$108-Paramètres!$E62,0)</f>
        <v>1600</v>
      </c>
      <c r="AJ97" s="177">
        <f>IF(Paramètres!AJ$108&gt;Paramètres!$E62,Paramètres!AJ$108-Paramètres!$E62,0)</f>
        <v>1600</v>
      </c>
      <c r="AK97" s="177">
        <f>IF(Paramètres!AK$108&gt;Paramètres!$E62,Paramètres!AK$108-Paramètres!$E62,0)</f>
        <v>1600</v>
      </c>
      <c r="AL97" s="177">
        <f>IF(Paramètres!AL$108&gt;Paramètres!$E62,Paramètres!AL$108-Paramètres!$E62,0)</f>
        <v>1600</v>
      </c>
      <c r="AM97" s="177">
        <f>IF(Paramètres!AM$108&gt;Paramètres!$E62,Paramètres!AM$108-Paramètres!$E62,0)</f>
        <v>1600</v>
      </c>
      <c r="AN97" s="177">
        <f>IF(Paramètres!AN$108&gt;Paramètres!$E62,Paramètres!AN$108-Paramètres!$E62,0)</f>
        <v>1600</v>
      </c>
      <c r="AO97" s="177">
        <f>IF(Paramètres!AO$108&gt;Paramètres!$E62,Paramètres!AO$108-Paramètres!$E62,0)</f>
        <v>1600</v>
      </c>
      <c r="AP97" s="177">
        <f>IF(Paramètres!AP$108&gt;Paramètres!$E62,Paramètres!AP$108-Paramètres!$E62,0)</f>
        <v>1600</v>
      </c>
      <c r="AQ97" s="177">
        <f>IF(Paramètres!AQ$108&gt;Paramètres!$E62,Paramètres!AQ$108-Paramètres!$E62,0)</f>
        <v>1600</v>
      </c>
      <c r="AR97" s="177">
        <f>IF(Paramètres!AR$108&gt;Paramètres!$E62,Paramètres!AR$108-Paramètres!$E62,0)</f>
        <v>1600</v>
      </c>
      <c r="AS97" s="177">
        <f>IF(Paramètres!AS$108&gt;Paramètres!$E62,Paramètres!AS$108-Paramètres!$E62,0)</f>
        <v>1600</v>
      </c>
      <c r="AT97" s="177">
        <f>IF(Paramètres!AT$108&gt;Paramètres!$E62,Paramètres!AT$108-Paramètres!$E62,0)</f>
        <v>1600</v>
      </c>
      <c r="AU97" s="177">
        <f>IF(Paramètres!AU$108&gt;Paramètres!$E62,Paramètres!AU$108-Paramètres!$E62,0)</f>
        <v>1600</v>
      </c>
      <c r="AV97" s="177">
        <f>IF(Paramètres!AV$108&gt;Paramètres!$E62,Paramètres!AV$108-Paramètres!$E62,0)</f>
        <v>1600</v>
      </c>
      <c r="AW97" s="177">
        <f>IF(Paramètres!AW$108&gt;Paramètres!$E62,Paramètres!AW$108-Paramètres!$E62,0)</f>
        <v>1600</v>
      </c>
      <c r="AX97" s="177">
        <f>IF(Paramètres!AX$108&gt;Paramètres!$E62,Paramètres!AX$108-Paramètres!$E62,0)</f>
        <v>1600</v>
      </c>
      <c r="AY97" s="177">
        <f>IF(Paramètres!AY$108&gt;Paramètres!$E62,Paramètres!AY$108-Paramètres!$E62,0)</f>
        <v>1600</v>
      </c>
      <c r="AZ97" s="177">
        <f>IF(Paramètres!AZ$108&gt;Paramètres!$E62,Paramètres!AZ$108-Paramètres!$E62,0)</f>
        <v>1600</v>
      </c>
      <c r="BA97" s="177">
        <f>IF(Paramètres!BA$108&gt;Paramètres!$E62,Paramètres!BA$108-Paramètres!$E62,0)</f>
        <v>1600</v>
      </c>
      <c r="BB97" s="177">
        <f>IF(Paramètres!BB$108&gt;Paramètres!$E62,Paramètres!BB$108-Paramètres!$E62,0)</f>
        <v>1600</v>
      </c>
      <c r="BC97" s="177">
        <f>IF(Paramètres!BC$108&gt;Paramètres!$E62,Paramètres!BC$108-Paramètres!$E62,0)</f>
        <v>1600</v>
      </c>
      <c r="BD97" s="177">
        <f>IF(Paramètres!BD$108&gt;Paramètres!$E62,Paramètres!BD$108-Paramètres!$E62,0)</f>
        <v>1600</v>
      </c>
    </row>
    <row r="98" spans="3:56" ht="15" customHeight="1">
      <c r="D98" s="178" t="s">
        <v>227</v>
      </c>
      <c r="E98" s="128" t="s">
        <v>224</v>
      </c>
      <c r="G98" s="177">
        <f>IF(Paramètres!G$108&gt;Paramètres!$E63,Paramètres!G$108-Paramètres!$E63,0)</f>
        <v>1600</v>
      </c>
      <c r="H98" s="177">
        <f>IF(Paramètres!H$108&gt;Paramètres!$E63,Paramètres!H$108-Paramètres!$E63,0)</f>
        <v>1600</v>
      </c>
      <c r="I98" s="177">
        <f>IF(Paramètres!I$108&gt;Paramètres!$E63,Paramètres!I$108-Paramètres!$E63,0)</f>
        <v>1600</v>
      </c>
      <c r="J98" s="177">
        <f>IF(Paramètres!J$108&gt;Paramètres!$E63,Paramètres!J$108-Paramètres!$E63,0)</f>
        <v>1600</v>
      </c>
      <c r="K98" s="177">
        <f>IF(Paramètres!K$108&gt;Paramètres!$E63,Paramètres!K$108-Paramètres!$E63,0)</f>
        <v>1600</v>
      </c>
      <c r="L98" s="177">
        <f>IF(Paramètres!L$108&gt;Paramètres!$E63,Paramètres!L$108-Paramètres!$E63,0)</f>
        <v>1600</v>
      </c>
      <c r="M98" s="177">
        <f>IF(Paramètres!M$108&gt;Paramètres!$E63,Paramètres!M$108-Paramètres!$E63,0)</f>
        <v>1600</v>
      </c>
      <c r="N98" s="177">
        <f>IF(Paramètres!N$108&gt;Paramètres!$E63,Paramètres!N$108-Paramètres!$E63,0)</f>
        <v>1600</v>
      </c>
      <c r="O98" s="177">
        <f>IF(Paramètres!O$108&gt;Paramètres!$E63,Paramètres!O$108-Paramètres!$E63,0)</f>
        <v>1600</v>
      </c>
      <c r="P98" s="177">
        <f>IF(Paramètres!P$108&gt;Paramètres!$E63,Paramètres!P$108-Paramètres!$E63,0)</f>
        <v>1600</v>
      </c>
      <c r="Q98" s="177">
        <f>IF(Paramètres!Q$108&gt;Paramètres!$E63,Paramètres!Q$108-Paramètres!$E63,0)</f>
        <v>1600</v>
      </c>
      <c r="R98" s="177">
        <f>IF(Paramètres!R$108&gt;Paramètres!$E63,Paramètres!R$108-Paramètres!$E63,0)</f>
        <v>1600</v>
      </c>
      <c r="S98" s="177">
        <f>IF(Paramètres!S$108&gt;Paramètres!$E63,Paramètres!S$108-Paramètres!$E63,0)</f>
        <v>1600</v>
      </c>
      <c r="T98" s="177">
        <f>IF(Paramètres!T$108&gt;Paramètres!$E63,Paramètres!T$108-Paramètres!$E63,0)</f>
        <v>1600</v>
      </c>
      <c r="U98" s="177">
        <f>IF(Paramètres!U$108&gt;Paramètres!$E63,Paramètres!U$108-Paramètres!$E63,0)</f>
        <v>1600</v>
      </c>
      <c r="V98" s="177">
        <f>IF(Paramètres!V$108&gt;Paramètres!$E63,Paramètres!V$108-Paramètres!$E63,0)</f>
        <v>1600</v>
      </c>
      <c r="W98" s="177">
        <f>IF(Paramètres!W$108&gt;Paramètres!$E63,Paramètres!W$108-Paramètres!$E63,0)</f>
        <v>1600</v>
      </c>
      <c r="X98" s="177">
        <f>IF(Paramètres!X$108&gt;Paramètres!$E63,Paramètres!X$108-Paramètres!$E63,0)</f>
        <v>1600</v>
      </c>
      <c r="Y98" s="177">
        <f>IF(Paramètres!Y$108&gt;Paramètres!$E63,Paramètres!Y$108-Paramètres!$E63,0)</f>
        <v>1600</v>
      </c>
      <c r="Z98" s="177">
        <f>IF(Paramètres!Z$108&gt;Paramètres!$E63,Paramètres!Z$108-Paramètres!$E63,0)</f>
        <v>1600</v>
      </c>
      <c r="AA98" s="177">
        <f>IF(Paramètres!AA$108&gt;Paramètres!$E63,Paramètres!AA$108-Paramètres!$E63,0)</f>
        <v>1600</v>
      </c>
      <c r="AB98" s="177">
        <f>IF(Paramètres!AB$108&gt;Paramètres!$E63,Paramètres!AB$108-Paramètres!$E63,0)</f>
        <v>1600</v>
      </c>
      <c r="AC98" s="177">
        <f>IF(Paramètres!AC$108&gt;Paramètres!$E63,Paramètres!AC$108-Paramètres!$E63,0)</f>
        <v>1600</v>
      </c>
      <c r="AD98" s="177">
        <f>IF(Paramètres!AD$108&gt;Paramètres!$E63,Paramètres!AD$108-Paramètres!$E63,0)</f>
        <v>1600</v>
      </c>
      <c r="AE98" s="177">
        <f>IF(Paramètres!AE$108&gt;Paramètres!$E63,Paramètres!AE$108-Paramètres!$E63,0)</f>
        <v>1600</v>
      </c>
      <c r="AF98" s="177">
        <f>IF(Paramètres!AF$108&gt;Paramètres!$E63,Paramètres!AF$108-Paramètres!$E63,0)</f>
        <v>1600</v>
      </c>
      <c r="AG98" s="177">
        <f>IF(Paramètres!AG$108&gt;Paramètres!$E63,Paramètres!AG$108-Paramètres!$E63,0)</f>
        <v>1600</v>
      </c>
      <c r="AH98" s="177">
        <f>IF(Paramètres!AH$108&gt;Paramètres!$E63,Paramètres!AH$108-Paramètres!$E63,0)</f>
        <v>1600</v>
      </c>
      <c r="AI98" s="177">
        <f>IF(Paramètres!AI$108&gt;Paramètres!$E63,Paramètres!AI$108-Paramètres!$E63,0)</f>
        <v>1600</v>
      </c>
      <c r="AJ98" s="177">
        <f>IF(Paramètres!AJ$108&gt;Paramètres!$E63,Paramètres!AJ$108-Paramètres!$E63,0)</f>
        <v>1600</v>
      </c>
      <c r="AK98" s="177">
        <f>IF(Paramètres!AK$108&gt;Paramètres!$E63,Paramètres!AK$108-Paramètres!$E63,0)</f>
        <v>1600</v>
      </c>
      <c r="AL98" s="177">
        <f>IF(Paramètres!AL$108&gt;Paramètres!$E63,Paramètres!AL$108-Paramètres!$E63,0)</f>
        <v>1600</v>
      </c>
      <c r="AM98" s="177">
        <f>IF(Paramètres!AM$108&gt;Paramètres!$E63,Paramètres!AM$108-Paramètres!$E63,0)</f>
        <v>1600</v>
      </c>
      <c r="AN98" s="177">
        <f>IF(Paramètres!AN$108&gt;Paramètres!$E63,Paramètres!AN$108-Paramètres!$E63,0)</f>
        <v>1600</v>
      </c>
      <c r="AO98" s="177">
        <f>IF(Paramètres!AO$108&gt;Paramètres!$E63,Paramètres!AO$108-Paramètres!$E63,0)</f>
        <v>1600</v>
      </c>
      <c r="AP98" s="177">
        <f>IF(Paramètres!AP$108&gt;Paramètres!$E63,Paramètres!AP$108-Paramètres!$E63,0)</f>
        <v>1600</v>
      </c>
      <c r="AQ98" s="177">
        <f>IF(Paramètres!AQ$108&gt;Paramètres!$E63,Paramètres!AQ$108-Paramètres!$E63,0)</f>
        <v>1600</v>
      </c>
      <c r="AR98" s="177">
        <f>IF(Paramètres!AR$108&gt;Paramètres!$E63,Paramètres!AR$108-Paramètres!$E63,0)</f>
        <v>1600</v>
      </c>
      <c r="AS98" s="177">
        <f>IF(Paramètres!AS$108&gt;Paramètres!$E63,Paramètres!AS$108-Paramètres!$E63,0)</f>
        <v>1600</v>
      </c>
      <c r="AT98" s="177">
        <f>IF(Paramètres!AT$108&gt;Paramètres!$E63,Paramètres!AT$108-Paramètres!$E63,0)</f>
        <v>1600</v>
      </c>
      <c r="AU98" s="177">
        <f>IF(Paramètres!AU$108&gt;Paramètres!$E63,Paramètres!AU$108-Paramètres!$E63,0)</f>
        <v>1600</v>
      </c>
      <c r="AV98" s="177">
        <f>IF(Paramètres!AV$108&gt;Paramètres!$E63,Paramètres!AV$108-Paramètres!$E63,0)</f>
        <v>1600</v>
      </c>
      <c r="AW98" s="177">
        <f>IF(Paramètres!AW$108&gt;Paramètres!$E63,Paramètres!AW$108-Paramètres!$E63,0)</f>
        <v>1600</v>
      </c>
      <c r="AX98" s="177">
        <f>IF(Paramètres!AX$108&gt;Paramètres!$E63,Paramètres!AX$108-Paramètres!$E63,0)</f>
        <v>1600</v>
      </c>
      <c r="AY98" s="177">
        <f>IF(Paramètres!AY$108&gt;Paramètres!$E63,Paramètres!AY$108-Paramètres!$E63,0)</f>
        <v>1600</v>
      </c>
      <c r="AZ98" s="177">
        <f>IF(Paramètres!AZ$108&gt;Paramètres!$E63,Paramètres!AZ$108-Paramètres!$E63,0)</f>
        <v>1600</v>
      </c>
      <c r="BA98" s="177">
        <f>IF(Paramètres!BA$108&gt;Paramètres!$E63,Paramètres!BA$108-Paramètres!$E63,0)</f>
        <v>1600</v>
      </c>
      <c r="BB98" s="177">
        <f>IF(Paramètres!BB$108&gt;Paramètres!$E63,Paramètres!BB$108-Paramètres!$E63,0)</f>
        <v>1600</v>
      </c>
      <c r="BC98" s="177">
        <f>IF(Paramètres!BC$108&gt;Paramètres!$E63,Paramètres!BC$108-Paramètres!$E63,0)</f>
        <v>1600</v>
      </c>
      <c r="BD98" s="177">
        <f>IF(Paramètres!BD$108&gt;Paramètres!$E63,Paramètres!BD$108-Paramètres!$E63,0)</f>
        <v>1600</v>
      </c>
    </row>
    <row r="99" spans="3:56" ht="15" customHeight="1">
      <c r="D99" s="153"/>
      <c r="E99" s="128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  <c r="AI99" s="179"/>
      <c r="AJ99" s="179"/>
      <c r="AK99" s="179"/>
      <c r="AL99" s="179"/>
      <c r="AM99" s="179"/>
      <c r="AN99" s="179"/>
      <c r="AO99" s="179"/>
      <c r="AP99" s="179"/>
      <c r="AQ99" s="179"/>
      <c r="AR99" s="179"/>
      <c r="AS99" s="179"/>
      <c r="AT99" s="179"/>
      <c r="AU99" s="179"/>
      <c r="AV99" s="179"/>
      <c r="AW99" s="179"/>
      <c r="AX99" s="179"/>
      <c r="AY99" s="179"/>
      <c r="AZ99" s="179"/>
      <c r="BA99" s="179"/>
      <c r="BB99" s="179"/>
      <c r="BC99" s="179"/>
      <c r="BD99" s="179"/>
    </row>
    <row r="100" spans="3:56" ht="15" customHeight="1">
      <c r="D100" s="178" t="s">
        <v>228</v>
      </c>
      <c r="E100" s="128" t="s">
        <v>195</v>
      </c>
      <c r="G100" s="180">
        <f>Paramètres!$F60*G95</f>
        <v>0</v>
      </c>
      <c r="H100" s="180">
        <f>Paramètres!$F60*H95</f>
        <v>0</v>
      </c>
      <c r="I100" s="180">
        <f>Paramètres!$F60*I95</f>
        <v>0</v>
      </c>
      <c r="J100" s="180">
        <f>Paramètres!$F60*J95</f>
        <v>0</v>
      </c>
      <c r="K100" s="180">
        <f>Paramètres!$F60*K95</f>
        <v>0</v>
      </c>
      <c r="L100" s="180">
        <f>Paramètres!$F60*L95</f>
        <v>0</v>
      </c>
      <c r="M100" s="180">
        <f>Paramètres!$F60*M95</f>
        <v>0</v>
      </c>
      <c r="N100" s="180">
        <f>Paramètres!$F60*N95</f>
        <v>0</v>
      </c>
      <c r="O100" s="180">
        <f>Paramètres!$F60*O95</f>
        <v>0</v>
      </c>
      <c r="P100" s="180">
        <f>Paramètres!$F60*P95</f>
        <v>0</v>
      </c>
      <c r="Q100" s="180">
        <f>Paramètres!$F60*Q95</f>
        <v>0</v>
      </c>
      <c r="R100" s="180">
        <f>Paramètres!$F60*R95</f>
        <v>0</v>
      </c>
      <c r="S100" s="180">
        <f>Paramètres!$F60*S95</f>
        <v>0</v>
      </c>
      <c r="T100" s="180">
        <f>Paramètres!$F60*T95</f>
        <v>0</v>
      </c>
      <c r="U100" s="180">
        <f>Paramètres!$F60*U95</f>
        <v>0</v>
      </c>
      <c r="V100" s="180">
        <f>Paramètres!$F60*V95</f>
        <v>0</v>
      </c>
      <c r="W100" s="180">
        <f>Paramètres!$F60*W95</f>
        <v>0</v>
      </c>
      <c r="X100" s="180">
        <f>Paramètres!$F60*X95</f>
        <v>0</v>
      </c>
      <c r="Y100" s="180">
        <f>Paramètres!$F60*Y95</f>
        <v>0</v>
      </c>
      <c r="Z100" s="180">
        <f>Paramètres!$F60*Z95</f>
        <v>0</v>
      </c>
      <c r="AA100" s="180">
        <f>Paramètres!$F60*AA95</f>
        <v>0</v>
      </c>
      <c r="AB100" s="180">
        <f>Paramètres!$F60*AB95</f>
        <v>0</v>
      </c>
      <c r="AC100" s="180">
        <f>Paramètres!$F60*AC95</f>
        <v>0</v>
      </c>
      <c r="AD100" s="180">
        <f>Paramètres!$F60*AD95</f>
        <v>0</v>
      </c>
      <c r="AE100" s="180">
        <f>Paramètres!$F60*AE95</f>
        <v>0</v>
      </c>
      <c r="AF100" s="180">
        <f>Paramètres!$F60*AF95</f>
        <v>0</v>
      </c>
      <c r="AG100" s="180">
        <f>Paramètres!$F60*AG95</f>
        <v>0</v>
      </c>
      <c r="AH100" s="180">
        <f>Paramètres!$F60*AH95</f>
        <v>0</v>
      </c>
      <c r="AI100" s="180">
        <f>Paramètres!$F60*AI95</f>
        <v>0</v>
      </c>
      <c r="AJ100" s="180">
        <f>Paramètres!$F60*AJ95</f>
        <v>0</v>
      </c>
      <c r="AK100" s="180">
        <f>Paramètres!$F60*AK95</f>
        <v>0</v>
      </c>
      <c r="AL100" s="180">
        <f>Paramètres!$F60*AL95</f>
        <v>0</v>
      </c>
      <c r="AM100" s="180">
        <f>Paramètres!$F60*AM95</f>
        <v>0</v>
      </c>
      <c r="AN100" s="180">
        <f>Paramètres!$F60*AN95</f>
        <v>0</v>
      </c>
      <c r="AO100" s="180">
        <f>Paramètres!$F60*AO95</f>
        <v>0</v>
      </c>
      <c r="AP100" s="180">
        <f>Paramètres!$F60*AP95</f>
        <v>0</v>
      </c>
      <c r="AQ100" s="180">
        <f>Paramètres!$F60*AQ95</f>
        <v>0</v>
      </c>
      <c r="AR100" s="180">
        <f>Paramètres!$F60*AR95</f>
        <v>0</v>
      </c>
      <c r="AS100" s="180">
        <f>Paramètres!$F60*AS95</f>
        <v>0</v>
      </c>
      <c r="AT100" s="180">
        <f>Paramètres!$F60*AT95</f>
        <v>0</v>
      </c>
      <c r="AU100" s="180">
        <f>Paramètres!$F60*AU95</f>
        <v>0</v>
      </c>
      <c r="AV100" s="180">
        <f>Paramètres!$F60*AV95</f>
        <v>0</v>
      </c>
      <c r="AW100" s="180">
        <f>Paramètres!$F60*AW95</f>
        <v>0</v>
      </c>
      <c r="AX100" s="180">
        <f>Paramètres!$F60*AX95</f>
        <v>0</v>
      </c>
      <c r="AY100" s="180">
        <f>Paramètres!$F60*AY95</f>
        <v>0</v>
      </c>
      <c r="AZ100" s="180">
        <f>Paramètres!$F60*AZ95</f>
        <v>0</v>
      </c>
      <c r="BA100" s="180">
        <f>Paramètres!$F60*BA95</f>
        <v>0</v>
      </c>
      <c r="BB100" s="180">
        <f>Paramètres!$F60*BB95</f>
        <v>0</v>
      </c>
      <c r="BC100" s="180">
        <f>Paramètres!$F60*BC95</f>
        <v>0</v>
      </c>
      <c r="BD100" s="180">
        <f>Paramètres!$F60*BD95</f>
        <v>0</v>
      </c>
    </row>
    <row r="101" spans="3:56" ht="15" customHeight="1">
      <c r="D101" s="178" t="s">
        <v>229</v>
      </c>
      <c r="E101" s="128" t="s">
        <v>195</v>
      </c>
      <c r="G101" s="180">
        <f>Paramètres!$F61*G96</f>
        <v>0</v>
      </c>
      <c r="H101" s="180">
        <f>Paramètres!$F61*H96</f>
        <v>0</v>
      </c>
      <c r="I101" s="180">
        <f>Paramètres!$F61*I96</f>
        <v>0</v>
      </c>
      <c r="J101" s="180">
        <f>Paramètres!$F61*J96</f>
        <v>0</v>
      </c>
      <c r="K101" s="180">
        <f>Paramètres!$F61*K96</f>
        <v>0</v>
      </c>
      <c r="L101" s="180">
        <f>Paramètres!$F61*L96</f>
        <v>0</v>
      </c>
      <c r="M101" s="180">
        <f>Paramètres!$F61*M96</f>
        <v>0</v>
      </c>
      <c r="N101" s="180">
        <f>Paramètres!$F61*N96</f>
        <v>0</v>
      </c>
      <c r="O101" s="180">
        <f>Paramètres!$F61*O96</f>
        <v>0</v>
      </c>
      <c r="P101" s="180">
        <f>Paramètres!$F61*P96</f>
        <v>0</v>
      </c>
      <c r="Q101" s="180">
        <f>Paramètres!$F61*Q96</f>
        <v>0</v>
      </c>
      <c r="R101" s="180">
        <f>Paramètres!$F61*R96</f>
        <v>0</v>
      </c>
      <c r="S101" s="180">
        <f>Paramètres!$F61*S96</f>
        <v>0</v>
      </c>
      <c r="T101" s="180">
        <f>Paramètres!$F61*T96</f>
        <v>0</v>
      </c>
      <c r="U101" s="180">
        <f>Paramètres!$F61*U96</f>
        <v>0</v>
      </c>
      <c r="V101" s="180">
        <f>Paramètres!$F61*V96</f>
        <v>0</v>
      </c>
      <c r="W101" s="180">
        <f>Paramètres!$F61*W96</f>
        <v>0</v>
      </c>
      <c r="X101" s="180">
        <f>Paramètres!$F61*X96</f>
        <v>0</v>
      </c>
      <c r="Y101" s="180">
        <f>Paramètres!$F61*Y96</f>
        <v>0</v>
      </c>
      <c r="Z101" s="180">
        <f>Paramètres!$F61*Z96</f>
        <v>0</v>
      </c>
      <c r="AA101" s="180">
        <f>Paramètres!$F61*AA96</f>
        <v>0</v>
      </c>
      <c r="AB101" s="180">
        <f>Paramètres!$F61*AB96</f>
        <v>0</v>
      </c>
      <c r="AC101" s="180">
        <f>Paramètres!$F61*AC96</f>
        <v>0</v>
      </c>
      <c r="AD101" s="180">
        <f>Paramètres!$F61*AD96</f>
        <v>0</v>
      </c>
      <c r="AE101" s="180">
        <f>Paramètres!$F61*AE96</f>
        <v>0</v>
      </c>
      <c r="AF101" s="180">
        <f>Paramètres!$F61*AF96</f>
        <v>0</v>
      </c>
      <c r="AG101" s="180">
        <f>Paramètres!$F61*AG96</f>
        <v>0</v>
      </c>
      <c r="AH101" s="180">
        <f>Paramètres!$F61*AH96</f>
        <v>0</v>
      </c>
      <c r="AI101" s="180">
        <f>Paramètres!$F61*AI96</f>
        <v>0</v>
      </c>
      <c r="AJ101" s="180">
        <f>Paramètres!$F61*AJ96</f>
        <v>0</v>
      </c>
      <c r="AK101" s="180">
        <f>Paramètres!$F61*AK96</f>
        <v>0</v>
      </c>
      <c r="AL101" s="180">
        <f>Paramètres!$F61*AL96</f>
        <v>0</v>
      </c>
      <c r="AM101" s="180">
        <f>Paramètres!$F61*AM96</f>
        <v>0</v>
      </c>
      <c r="AN101" s="180">
        <f>Paramètres!$F61*AN96</f>
        <v>0</v>
      </c>
      <c r="AO101" s="180">
        <f>Paramètres!$F61*AO96</f>
        <v>0</v>
      </c>
      <c r="AP101" s="180">
        <f>Paramètres!$F61*AP96</f>
        <v>0</v>
      </c>
      <c r="AQ101" s="180">
        <f>Paramètres!$F61*AQ96</f>
        <v>0</v>
      </c>
      <c r="AR101" s="180">
        <f>Paramètres!$F61*AR96</f>
        <v>0</v>
      </c>
      <c r="AS101" s="180">
        <f>Paramètres!$F61*AS96</f>
        <v>0</v>
      </c>
      <c r="AT101" s="180">
        <f>Paramètres!$F61*AT96</f>
        <v>0</v>
      </c>
      <c r="AU101" s="180">
        <f>Paramètres!$F61*AU96</f>
        <v>0</v>
      </c>
      <c r="AV101" s="180">
        <f>Paramètres!$F61*AV96</f>
        <v>0</v>
      </c>
      <c r="AW101" s="180">
        <f>Paramètres!$F61*AW96</f>
        <v>0</v>
      </c>
      <c r="AX101" s="180">
        <f>Paramètres!$F61*AX96</f>
        <v>0</v>
      </c>
      <c r="AY101" s="180">
        <f>Paramètres!$F61*AY96</f>
        <v>0</v>
      </c>
      <c r="AZ101" s="180">
        <f>Paramètres!$F61*AZ96</f>
        <v>0</v>
      </c>
      <c r="BA101" s="180">
        <f>Paramètres!$F61*BA96</f>
        <v>0</v>
      </c>
      <c r="BB101" s="180">
        <f>Paramètres!$F61*BB96</f>
        <v>0</v>
      </c>
      <c r="BC101" s="180">
        <f>Paramètres!$F61*BC96</f>
        <v>0</v>
      </c>
      <c r="BD101" s="180">
        <f>Paramètres!$F61*BD96</f>
        <v>0</v>
      </c>
    </row>
    <row r="102" spans="3:56" ht="15" customHeight="1">
      <c r="D102" s="178" t="s">
        <v>230</v>
      </c>
      <c r="E102" s="128" t="s">
        <v>195</v>
      </c>
      <c r="G102" s="180">
        <f>Paramètres!$F62*G97</f>
        <v>0</v>
      </c>
      <c r="H102" s="180">
        <f>Paramètres!$F62*H97</f>
        <v>0</v>
      </c>
      <c r="I102" s="180">
        <f>Paramètres!$F62*I97</f>
        <v>0</v>
      </c>
      <c r="J102" s="180">
        <f>Paramètres!$F62*J97</f>
        <v>0</v>
      </c>
      <c r="K102" s="180">
        <f>Paramètres!$F62*K97</f>
        <v>0</v>
      </c>
      <c r="L102" s="180">
        <f>Paramètres!$F62*L97</f>
        <v>0</v>
      </c>
      <c r="M102" s="180">
        <f>Paramètres!$F62*M97</f>
        <v>0</v>
      </c>
      <c r="N102" s="180">
        <f>Paramètres!$F62*N97</f>
        <v>0</v>
      </c>
      <c r="O102" s="180">
        <f>Paramètres!$F62*O97</f>
        <v>0</v>
      </c>
      <c r="P102" s="180">
        <f>Paramètres!$F62*P97</f>
        <v>0</v>
      </c>
      <c r="Q102" s="180">
        <f>Paramètres!$F62*Q97</f>
        <v>0</v>
      </c>
      <c r="R102" s="180">
        <f>Paramètres!$F62*R97</f>
        <v>0</v>
      </c>
      <c r="S102" s="180">
        <f>Paramètres!$F62*S97</f>
        <v>0</v>
      </c>
      <c r="T102" s="180">
        <f>Paramètres!$F62*T97</f>
        <v>0</v>
      </c>
      <c r="U102" s="180">
        <f>Paramètres!$F62*U97</f>
        <v>0</v>
      </c>
      <c r="V102" s="180">
        <f>Paramètres!$F62*V97</f>
        <v>0</v>
      </c>
      <c r="W102" s="180">
        <f>Paramètres!$F62*W97</f>
        <v>0</v>
      </c>
      <c r="X102" s="180">
        <f>Paramètres!$F62*X97</f>
        <v>0</v>
      </c>
      <c r="Y102" s="180">
        <f>Paramètres!$F62*Y97</f>
        <v>0</v>
      </c>
      <c r="Z102" s="180">
        <f>Paramètres!$F62*Z97</f>
        <v>0</v>
      </c>
      <c r="AA102" s="180">
        <f>Paramètres!$F62*AA97</f>
        <v>0</v>
      </c>
      <c r="AB102" s="180">
        <f>Paramètres!$F62*AB97</f>
        <v>0</v>
      </c>
      <c r="AC102" s="180">
        <f>Paramètres!$F62*AC97</f>
        <v>0</v>
      </c>
      <c r="AD102" s="180">
        <f>Paramètres!$F62*AD97</f>
        <v>0</v>
      </c>
      <c r="AE102" s="180">
        <f>Paramètres!$F62*AE97</f>
        <v>0</v>
      </c>
      <c r="AF102" s="180">
        <f>Paramètres!$F62*AF97</f>
        <v>0</v>
      </c>
      <c r="AG102" s="180">
        <f>Paramètres!$F62*AG97</f>
        <v>0</v>
      </c>
      <c r="AH102" s="180">
        <f>Paramètres!$F62*AH97</f>
        <v>0</v>
      </c>
      <c r="AI102" s="180">
        <f>Paramètres!$F62*AI97</f>
        <v>0</v>
      </c>
      <c r="AJ102" s="180">
        <f>Paramètres!$F62*AJ97</f>
        <v>0</v>
      </c>
      <c r="AK102" s="180">
        <f>Paramètres!$F62*AK97</f>
        <v>0</v>
      </c>
      <c r="AL102" s="180">
        <f>Paramètres!$F62*AL97</f>
        <v>0</v>
      </c>
      <c r="AM102" s="180">
        <f>Paramètres!$F62*AM97</f>
        <v>0</v>
      </c>
      <c r="AN102" s="180">
        <f>Paramètres!$F62*AN97</f>
        <v>0</v>
      </c>
      <c r="AO102" s="180">
        <f>Paramètres!$F62*AO97</f>
        <v>0</v>
      </c>
      <c r="AP102" s="180">
        <f>Paramètres!$F62*AP97</f>
        <v>0</v>
      </c>
      <c r="AQ102" s="180">
        <f>Paramètres!$F62*AQ97</f>
        <v>0</v>
      </c>
      <c r="AR102" s="180">
        <f>Paramètres!$F62*AR97</f>
        <v>0</v>
      </c>
      <c r="AS102" s="180">
        <f>Paramètres!$F62*AS97</f>
        <v>0</v>
      </c>
      <c r="AT102" s="180">
        <f>Paramètres!$F62*AT97</f>
        <v>0</v>
      </c>
      <c r="AU102" s="180">
        <f>Paramètres!$F62*AU97</f>
        <v>0</v>
      </c>
      <c r="AV102" s="180">
        <f>Paramètres!$F62*AV97</f>
        <v>0</v>
      </c>
      <c r="AW102" s="180">
        <f>Paramètres!$F62*AW97</f>
        <v>0</v>
      </c>
      <c r="AX102" s="180">
        <f>Paramètres!$F62*AX97</f>
        <v>0</v>
      </c>
      <c r="AY102" s="180">
        <f>Paramètres!$F62*AY97</f>
        <v>0</v>
      </c>
      <c r="AZ102" s="180">
        <f>Paramètres!$F62*AZ97</f>
        <v>0</v>
      </c>
      <c r="BA102" s="180">
        <f>Paramètres!$F62*BA97</f>
        <v>0</v>
      </c>
      <c r="BB102" s="180">
        <f>Paramètres!$F62*BB97</f>
        <v>0</v>
      </c>
      <c r="BC102" s="180">
        <f>Paramètres!$F62*BC97</f>
        <v>0</v>
      </c>
      <c r="BD102" s="180">
        <f>Paramètres!$F62*BD97</f>
        <v>0</v>
      </c>
    </row>
    <row r="103" spans="3:56" ht="15" customHeight="1">
      <c r="D103" s="178" t="s">
        <v>231</v>
      </c>
      <c r="E103" s="128" t="s">
        <v>195</v>
      </c>
      <c r="G103" s="180">
        <f>Paramètres!$F63*G98</f>
        <v>0</v>
      </c>
      <c r="H103" s="180">
        <f>Paramètres!$F63*H98</f>
        <v>0</v>
      </c>
      <c r="I103" s="180">
        <f>Paramètres!$F63*I98</f>
        <v>0</v>
      </c>
      <c r="J103" s="180">
        <f>Paramètres!$F63*J98</f>
        <v>0</v>
      </c>
      <c r="K103" s="180">
        <f>Paramètres!$F63*K98</f>
        <v>0</v>
      </c>
      <c r="L103" s="180">
        <f>Paramètres!$F63*L98</f>
        <v>0</v>
      </c>
      <c r="M103" s="180">
        <f>Paramètres!$F63*M98</f>
        <v>0</v>
      </c>
      <c r="N103" s="180">
        <f>Paramètres!$F63*N98</f>
        <v>0</v>
      </c>
      <c r="O103" s="180">
        <f>Paramètres!$F63*O98</f>
        <v>0</v>
      </c>
      <c r="P103" s="180">
        <f>Paramètres!$F63*P98</f>
        <v>0</v>
      </c>
      <c r="Q103" s="180">
        <f>Paramètres!$F63*Q98</f>
        <v>0</v>
      </c>
      <c r="R103" s="180">
        <f>Paramètres!$F63*R98</f>
        <v>0</v>
      </c>
      <c r="S103" s="180">
        <f>Paramètres!$F63*S98</f>
        <v>0</v>
      </c>
      <c r="T103" s="180">
        <f>Paramètres!$F63*T98</f>
        <v>0</v>
      </c>
      <c r="U103" s="180">
        <f>Paramètres!$F63*U98</f>
        <v>0</v>
      </c>
      <c r="V103" s="180">
        <f>Paramètres!$F63*V98</f>
        <v>0</v>
      </c>
      <c r="W103" s="180">
        <f>Paramètres!$F63*W98</f>
        <v>0</v>
      </c>
      <c r="X103" s="180">
        <f>Paramètres!$F63*X98</f>
        <v>0</v>
      </c>
      <c r="Y103" s="180">
        <f>Paramètres!$F63*Y98</f>
        <v>0</v>
      </c>
      <c r="Z103" s="180">
        <f>Paramètres!$F63*Z98</f>
        <v>0</v>
      </c>
      <c r="AA103" s="180">
        <f>Paramètres!$F63*AA98</f>
        <v>0</v>
      </c>
      <c r="AB103" s="180">
        <f>Paramètres!$F63*AB98</f>
        <v>0</v>
      </c>
      <c r="AC103" s="180">
        <f>Paramètres!$F63*AC98</f>
        <v>0</v>
      </c>
      <c r="AD103" s="180">
        <f>Paramètres!$F63*AD98</f>
        <v>0</v>
      </c>
      <c r="AE103" s="180">
        <f>Paramètres!$F63*AE98</f>
        <v>0</v>
      </c>
      <c r="AF103" s="180">
        <f>Paramètres!$F63*AF98</f>
        <v>0</v>
      </c>
      <c r="AG103" s="180">
        <f>Paramètres!$F63*AG98</f>
        <v>0</v>
      </c>
      <c r="AH103" s="180">
        <f>Paramètres!$F63*AH98</f>
        <v>0</v>
      </c>
      <c r="AI103" s="180">
        <f>Paramètres!$F63*AI98</f>
        <v>0</v>
      </c>
      <c r="AJ103" s="180">
        <f>Paramètres!$F63*AJ98</f>
        <v>0</v>
      </c>
      <c r="AK103" s="180">
        <f>Paramètres!$F63*AK98</f>
        <v>0</v>
      </c>
      <c r="AL103" s="180">
        <f>Paramètres!$F63*AL98</f>
        <v>0</v>
      </c>
      <c r="AM103" s="180">
        <f>Paramètres!$F63*AM98</f>
        <v>0</v>
      </c>
      <c r="AN103" s="180">
        <f>Paramètres!$F63*AN98</f>
        <v>0</v>
      </c>
      <c r="AO103" s="180">
        <f>Paramètres!$F63*AO98</f>
        <v>0</v>
      </c>
      <c r="AP103" s="180">
        <f>Paramètres!$F63*AP98</f>
        <v>0</v>
      </c>
      <c r="AQ103" s="180">
        <f>Paramètres!$F63*AQ98</f>
        <v>0</v>
      </c>
      <c r="AR103" s="180">
        <f>Paramètres!$F63*AR98</f>
        <v>0</v>
      </c>
      <c r="AS103" s="180">
        <f>Paramètres!$F63*AS98</f>
        <v>0</v>
      </c>
      <c r="AT103" s="180">
        <f>Paramètres!$F63*AT98</f>
        <v>0</v>
      </c>
      <c r="AU103" s="180">
        <f>Paramètres!$F63*AU98</f>
        <v>0</v>
      </c>
      <c r="AV103" s="180">
        <f>Paramètres!$F63*AV98</f>
        <v>0</v>
      </c>
      <c r="AW103" s="180">
        <f>Paramètres!$F63*AW98</f>
        <v>0</v>
      </c>
      <c r="AX103" s="180">
        <f>Paramètres!$F63*AX98</f>
        <v>0</v>
      </c>
      <c r="AY103" s="180">
        <f>Paramètres!$F63*AY98</f>
        <v>0</v>
      </c>
      <c r="AZ103" s="180">
        <f>Paramètres!$F63*AZ98</f>
        <v>0</v>
      </c>
      <c r="BA103" s="180">
        <f>Paramètres!$F63*BA98</f>
        <v>0</v>
      </c>
      <c r="BB103" s="180">
        <f>Paramètres!$F63*BB98</f>
        <v>0</v>
      </c>
      <c r="BC103" s="180">
        <f>Paramètres!$F63*BC98</f>
        <v>0</v>
      </c>
      <c r="BD103" s="180">
        <f>Paramètres!$F63*BD98</f>
        <v>0</v>
      </c>
    </row>
    <row r="104" spans="3:56" ht="15" customHeight="1">
      <c r="D104" s="178"/>
      <c r="E104" s="12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/>
      <c r="AU104" s="179"/>
      <c r="AV104" s="179"/>
      <c r="AW104" s="179"/>
      <c r="AX104" s="179"/>
      <c r="AY104" s="179"/>
      <c r="AZ104" s="179"/>
      <c r="BA104" s="179"/>
      <c r="BB104" s="179"/>
      <c r="BC104" s="179"/>
      <c r="BD104" s="179"/>
    </row>
    <row r="105" spans="3:56" ht="15" customHeight="1">
      <c r="C105" s="152">
        <f>SUM(G105:BD105)</f>
        <v>0</v>
      </c>
      <c r="D105" s="33" t="s">
        <v>115</v>
      </c>
      <c r="E105" s="128" t="s">
        <v>195</v>
      </c>
      <c r="G105" s="118">
        <f t="shared" ref="G105:AL105" si="77">SUM(G100:G103)*G8/1000000</f>
        <v>0</v>
      </c>
      <c r="H105" s="118">
        <f t="shared" si="77"/>
        <v>0</v>
      </c>
      <c r="I105" s="118">
        <f t="shared" si="77"/>
        <v>0</v>
      </c>
      <c r="J105" s="118">
        <f t="shared" si="77"/>
        <v>0</v>
      </c>
      <c r="K105" s="118">
        <f t="shared" si="77"/>
        <v>0</v>
      </c>
      <c r="L105" s="118">
        <f t="shared" si="77"/>
        <v>0</v>
      </c>
      <c r="M105" s="118">
        <f t="shared" si="77"/>
        <v>0</v>
      </c>
      <c r="N105" s="118">
        <f t="shared" si="77"/>
        <v>0</v>
      </c>
      <c r="O105" s="118">
        <f t="shared" si="77"/>
        <v>0</v>
      </c>
      <c r="P105" s="118">
        <f t="shared" si="77"/>
        <v>0</v>
      </c>
      <c r="Q105" s="118">
        <f t="shared" si="77"/>
        <v>0</v>
      </c>
      <c r="R105" s="118">
        <f t="shared" si="77"/>
        <v>0</v>
      </c>
      <c r="S105" s="118">
        <f t="shared" si="77"/>
        <v>0</v>
      </c>
      <c r="T105" s="118">
        <f t="shared" si="77"/>
        <v>0</v>
      </c>
      <c r="U105" s="118">
        <f t="shared" si="77"/>
        <v>0</v>
      </c>
      <c r="V105" s="118">
        <f t="shared" si="77"/>
        <v>0</v>
      </c>
      <c r="W105" s="118">
        <f t="shared" si="77"/>
        <v>0</v>
      </c>
      <c r="X105" s="118">
        <f t="shared" si="77"/>
        <v>0</v>
      </c>
      <c r="Y105" s="118">
        <f t="shared" si="77"/>
        <v>0</v>
      </c>
      <c r="Z105" s="118">
        <f t="shared" si="77"/>
        <v>0</v>
      </c>
      <c r="AA105" s="118">
        <f t="shared" si="77"/>
        <v>0</v>
      </c>
      <c r="AB105" s="118">
        <f t="shared" si="77"/>
        <v>0</v>
      </c>
      <c r="AC105" s="118">
        <f t="shared" si="77"/>
        <v>0</v>
      </c>
      <c r="AD105" s="118">
        <f t="shared" si="77"/>
        <v>0</v>
      </c>
      <c r="AE105" s="118">
        <f t="shared" si="77"/>
        <v>0</v>
      </c>
      <c r="AF105" s="118">
        <f t="shared" si="77"/>
        <v>0</v>
      </c>
      <c r="AG105" s="118">
        <f t="shared" si="77"/>
        <v>0</v>
      </c>
      <c r="AH105" s="118">
        <f t="shared" si="77"/>
        <v>0</v>
      </c>
      <c r="AI105" s="118">
        <f t="shared" si="77"/>
        <v>0</v>
      </c>
      <c r="AJ105" s="118">
        <f t="shared" si="77"/>
        <v>0</v>
      </c>
      <c r="AK105" s="118">
        <f t="shared" si="77"/>
        <v>0</v>
      </c>
      <c r="AL105" s="118">
        <f t="shared" si="77"/>
        <v>0</v>
      </c>
      <c r="AM105" s="118">
        <f t="shared" ref="AM105:BD105" si="78">SUM(AM100:AM103)*AM8/1000000</f>
        <v>0</v>
      </c>
      <c r="AN105" s="118">
        <f t="shared" si="78"/>
        <v>0</v>
      </c>
      <c r="AO105" s="118">
        <f t="shared" si="78"/>
        <v>0</v>
      </c>
      <c r="AP105" s="118">
        <f t="shared" si="78"/>
        <v>0</v>
      </c>
      <c r="AQ105" s="118">
        <f t="shared" si="78"/>
        <v>0</v>
      </c>
      <c r="AR105" s="118">
        <f t="shared" si="78"/>
        <v>0</v>
      </c>
      <c r="AS105" s="118">
        <f t="shared" si="78"/>
        <v>0</v>
      </c>
      <c r="AT105" s="118">
        <f t="shared" si="78"/>
        <v>0</v>
      </c>
      <c r="AU105" s="118">
        <f t="shared" si="78"/>
        <v>0</v>
      </c>
      <c r="AV105" s="118">
        <f t="shared" si="78"/>
        <v>0</v>
      </c>
      <c r="AW105" s="118">
        <f t="shared" si="78"/>
        <v>0</v>
      </c>
      <c r="AX105" s="118">
        <f t="shared" si="78"/>
        <v>0</v>
      </c>
      <c r="AY105" s="118">
        <f t="shared" si="78"/>
        <v>0</v>
      </c>
      <c r="AZ105" s="118">
        <f t="shared" si="78"/>
        <v>0</v>
      </c>
      <c r="BA105" s="118">
        <f t="shared" si="78"/>
        <v>0</v>
      </c>
      <c r="BB105" s="118">
        <f t="shared" si="78"/>
        <v>0</v>
      </c>
      <c r="BC105" s="118">
        <f t="shared" si="78"/>
        <v>0</v>
      </c>
      <c r="BD105" s="118">
        <f t="shared" si="78"/>
        <v>0</v>
      </c>
    </row>
    <row r="106" spans="3:56" ht="15" customHeight="1">
      <c r="D106" s="153"/>
      <c r="E106" s="128"/>
    </row>
    <row r="107" spans="3:56" ht="15" customHeight="1">
      <c r="D107" s="33" t="s">
        <v>232</v>
      </c>
    </row>
    <row r="108" spans="3:56" ht="15" customHeight="1">
      <c r="C108" s="152">
        <f>SUM(G108:BD108)</f>
        <v>0</v>
      </c>
      <c r="D108" s="55" t="s">
        <v>232</v>
      </c>
      <c r="E108" s="128" t="s">
        <v>195</v>
      </c>
      <c r="G108" s="127">
        <f>G50*Paramètres!$F$38</f>
        <v>0</v>
      </c>
      <c r="H108" s="127">
        <f>H50*Paramètres!$F$38</f>
        <v>0</v>
      </c>
      <c r="I108" s="127">
        <f>I50*Paramètres!$F$38</f>
        <v>0</v>
      </c>
      <c r="J108" s="127">
        <f>J50*Paramètres!$F$38</f>
        <v>0</v>
      </c>
      <c r="K108" s="181">
        <f>K50*Paramètres!$F$38</f>
        <v>0</v>
      </c>
      <c r="L108" s="181">
        <f>L50*Paramètres!$F$38</f>
        <v>0</v>
      </c>
      <c r="M108" s="127">
        <f>M50*Paramètres!$F$38</f>
        <v>0</v>
      </c>
      <c r="N108" s="127">
        <f>N50*Paramètres!$F$38</f>
        <v>0</v>
      </c>
      <c r="O108" s="127">
        <f>O50*Paramètres!$F$38</f>
        <v>0</v>
      </c>
      <c r="P108" s="127">
        <f>P50*Paramètres!$F$38</f>
        <v>0</v>
      </c>
      <c r="Q108" s="127">
        <f>Q50*Paramètres!$F$38</f>
        <v>0</v>
      </c>
      <c r="R108" s="127">
        <f>R50*Paramètres!$F$38</f>
        <v>0</v>
      </c>
      <c r="S108" s="127">
        <f>S50*Paramètres!$F$38</f>
        <v>0</v>
      </c>
      <c r="T108" s="127">
        <f>T50*Paramètres!$F$38</f>
        <v>0</v>
      </c>
      <c r="U108" s="127">
        <f>U50*Paramètres!$F$38</f>
        <v>0</v>
      </c>
      <c r="V108" s="127">
        <f>V50*Paramètres!$F$38</f>
        <v>0</v>
      </c>
      <c r="W108" s="127">
        <f>W50*Paramètres!$F$38</f>
        <v>0</v>
      </c>
      <c r="X108" s="127">
        <f>X50*Paramètres!$F$38</f>
        <v>0</v>
      </c>
      <c r="Y108" s="127">
        <f>Y50*Paramètres!$F$38</f>
        <v>0</v>
      </c>
      <c r="Z108" s="127">
        <f>Z50*Paramètres!$F$38</f>
        <v>0</v>
      </c>
      <c r="AA108" s="127">
        <f>AA50*Paramètres!$F$38</f>
        <v>0</v>
      </c>
      <c r="AB108" s="127">
        <f>AB50*Paramètres!$F$38</f>
        <v>0</v>
      </c>
      <c r="AC108" s="127">
        <f>AC50*Paramètres!$F$38</f>
        <v>0</v>
      </c>
      <c r="AD108" s="127">
        <f>AD50*Paramètres!$F$38</f>
        <v>0</v>
      </c>
      <c r="AE108" s="127">
        <f>AE50*Paramètres!$F$38</f>
        <v>0</v>
      </c>
      <c r="AF108" s="127">
        <f>AF50*Paramètres!$F$38</f>
        <v>0</v>
      </c>
      <c r="AG108" s="127">
        <f>AG50*Paramètres!$F$38</f>
        <v>0</v>
      </c>
      <c r="AH108" s="127">
        <f>AH50*Paramètres!$F$38</f>
        <v>0</v>
      </c>
      <c r="AI108" s="127">
        <f>AI50*Paramètres!$F$38</f>
        <v>0</v>
      </c>
      <c r="AJ108" s="127">
        <f>AJ50*Paramètres!$F$38</f>
        <v>0</v>
      </c>
      <c r="AK108" s="127">
        <f>AK50*Paramètres!$F$38</f>
        <v>0</v>
      </c>
      <c r="AL108" s="127">
        <f>AL50*Paramètres!$F$38</f>
        <v>0</v>
      </c>
      <c r="AM108" s="127">
        <f>AM50*Paramètres!$F$38</f>
        <v>0</v>
      </c>
      <c r="AN108" s="127">
        <f>AN50*Paramètres!$F$38</f>
        <v>0</v>
      </c>
      <c r="AO108" s="127">
        <f>AO50*Paramètres!$F$38</f>
        <v>0</v>
      </c>
      <c r="AP108" s="127">
        <f>AP50*Paramètres!$F$38</f>
        <v>0</v>
      </c>
      <c r="AQ108" s="127">
        <f>AQ50*Paramètres!$F$38</f>
        <v>0</v>
      </c>
      <c r="AR108" s="127">
        <f>AR50*Paramètres!$F$38</f>
        <v>0</v>
      </c>
      <c r="AS108" s="127">
        <f>AS50*Paramètres!$F$38</f>
        <v>0</v>
      </c>
      <c r="AT108" s="127">
        <f>AT50*Paramètres!$F$38</f>
        <v>0</v>
      </c>
      <c r="AU108" s="127">
        <f>AU50*Paramètres!$F$38</f>
        <v>0</v>
      </c>
      <c r="AV108" s="127">
        <f>AV50*Paramètres!$F$38</f>
        <v>0</v>
      </c>
      <c r="AW108" s="127">
        <f>AW50*Paramètres!$F$38</f>
        <v>0</v>
      </c>
      <c r="AX108" s="127">
        <f>AX50*Paramètres!$F$38</f>
        <v>0</v>
      </c>
      <c r="AY108" s="127">
        <f>AY50*Paramètres!$F$38</f>
        <v>0</v>
      </c>
      <c r="AZ108" s="127">
        <f>AZ50*Paramètres!$F$38</f>
        <v>0</v>
      </c>
      <c r="BA108" s="127">
        <f>BA50*Paramètres!$F$38</f>
        <v>0</v>
      </c>
      <c r="BB108" s="127">
        <f>BB50*Paramètres!$F$38</f>
        <v>0</v>
      </c>
      <c r="BC108" s="127">
        <f>BC50*Paramètres!$F$38</f>
        <v>0</v>
      </c>
      <c r="BD108" s="127">
        <f>BD50*Paramètres!$F$38</f>
        <v>0</v>
      </c>
    </row>
    <row r="109" spans="3:56" ht="15" customHeight="1"/>
    <row r="110" spans="3:56" ht="15" customHeight="1">
      <c r="D110" s="33" t="s">
        <v>233</v>
      </c>
    </row>
    <row r="111" spans="3:56" ht="15" customHeight="1">
      <c r="C111" s="152">
        <f>SUM(G111:BD111)</f>
        <v>0</v>
      </c>
      <c r="D111" s="55" t="s">
        <v>64</v>
      </c>
      <c r="E111" s="128" t="s">
        <v>195</v>
      </c>
      <c r="G111" s="127">
        <f>(G28=1)*Paramètres!$F$9</f>
        <v>0</v>
      </c>
      <c r="H111" s="127">
        <f>(H28=1)*Paramètres!$F$9</f>
        <v>0</v>
      </c>
      <c r="I111" s="127">
        <f>(I28=1)*Paramètres!$F$9</f>
        <v>0</v>
      </c>
      <c r="J111" s="127">
        <f>(J28=1)*Paramètres!$F$9</f>
        <v>0</v>
      </c>
      <c r="K111" s="127">
        <f>(K28=1)*Paramètres!$F$9</f>
        <v>0</v>
      </c>
      <c r="L111" s="127">
        <f>(L28=1)*Paramètres!$F$9</f>
        <v>0</v>
      </c>
      <c r="M111" s="127">
        <f>(M28=1)*Paramètres!$F$9</f>
        <v>0</v>
      </c>
      <c r="N111" s="127">
        <f>(N28=1)*Paramètres!$F$9</f>
        <v>0</v>
      </c>
      <c r="O111" s="127">
        <f>(O28=1)*Paramètres!$F$9</f>
        <v>0</v>
      </c>
      <c r="P111" s="127">
        <f>(P28=1)*Paramètres!$F$9</f>
        <v>0</v>
      </c>
      <c r="Q111" s="127">
        <f>(Q28=1)*Paramètres!$F$9</f>
        <v>0</v>
      </c>
      <c r="R111" s="127">
        <f>(R28=1)*Paramètres!$F$9</f>
        <v>0</v>
      </c>
      <c r="S111" s="127">
        <f>(S28=1)*Paramètres!$F$9</f>
        <v>0</v>
      </c>
      <c r="T111" s="127">
        <f>(T28=1)*Paramètres!$F$9</f>
        <v>0</v>
      </c>
      <c r="U111" s="127">
        <f>(U28=1)*Paramètres!$F$9</f>
        <v>0</v>
      </c>
      <c r="V111" s="127">
        <f>(V28=1)*Paramètres!$F$9</f>
        <v>0</v>
      </c>
      <c r="W111" s="127">
        <f>(W28=1)*Paramètres!$F$9</f>
        <v>0</v>
      </c>
      <c r="X111" s="127">
        <f>(X28=1)*Paramètres!$F$9</f>
        <v>0</v>
      </c>
      <c r="Y111" s="127">
        <f>(Y28=1)*Paramètres!$F$9</f>
        <v>0</v>
      </c>
      <c r="Z111" s="127">
        <f>(Z28=1)*Paramètres!$F$9</f>
        <v>0</v>
      </c>
      <c r="AA111" s="127">
        <f>(AA28=1)*Paramètres!$F$9</f>
        <v>0</v>
      </c>
      <c r="AB111" s="127">
        <f>(AB28=1)*Paramètres!$F$9</f>
        <v>0</v>
      </c>
      <c r="AC111" s="127">
        <f>(AC28=1)*Paramètres!$F$9</f>
        <v>0</v>
      </c>
      <c r="AD111" s="127">
        <f>(AD28=1)*Paramètres!$F$9</f>
        <v>0</v>
      </c>
      <c r="AE111" s="127">
        <f>(AE28=1)*Paramètres!$F$9</f>
        <v>0</v>
      </c>
      <c r="AF111" s="127">
        <f>(AF28=1)*Paramètres!$F$9</f>
        <v>0</v>
      </c>
      <c r="AG111" s="127">
        <f>(AG28=1)*Paramètres!$F$9</f>
        <v>0</v>
      </c>
      <c r="AH111" s="127">
        <f>(AH28=1)*Paramètres!$F$9</f>
        <v>0</v>
      </c>
      <c r="AI111" s="127">
        <f>(AI28=1)*Paramètres!$F$9</f>
        <v>0</v>
      </c>
      <c r="AJ111" s="127">
        <f>(AJ28=1)*Paramètres!$F$9</f>
        <v>0</v>
      </c>
      <c r="AK111" s="127">
        <f>(AK28=1)*Paramètres!$F$9</f>
        <v>0</v>
      </c>
      <c r="AL111" s="127">
        <f>(AL28=1)*Paramètres!$F$9</f>
        <v>0</v>
      </c>
      <c r="AM111" s="127">
        <f>(AM28=1)*Paramètres!$F$9</f>
        <v>0</v>
      </c>
      <c r="AN111" s="127">
        <f>(AN28=1)*Paramètres!$F$9</f>
        <v>0</v>
      </c>
      <c r="AO111" s="127">
        <f>(AO28=1)*Paramètres!$F$9</f>
        <v>0</v>
      </c>
      <c r="AP111" s="127">
        <f>(AP28=1)*Paramètres!$F$9</f>
        <v>0</v>
      </c>
      <c r="AQ111" s="127">
        <f>(AQ28=1)*Paramètres!$F$9</f>
        <v>0</v>
      </c>
      <c r="AR111" s="127">
        <f>(AR28=1)*Paramètres!$F$9</f>
        <v>0</v>
      </c>
      <c r="AS111" s="127">
        <f>(AS28=1)*Paramètres!$F$9</f>
        <v>0</v>
      </c>
      <c r="AT111" s="127">
        <f>(AT28=1)*Paramètres!$F$9</f>
        <v>0</v>
      </c>
      <c r="AU111" s="127">
        <f>(AU28=1)*Paramètres!$F$9</f>
        <v>0</v>
      </c>
      <c r="AV111" s="127">
        <f>(AV28=1)*Paramètres!$F$9</f>
        <v>0</v>
      </c>
      <c r="AW111" s="127">
        <f>(AW28=1)*Paramètres!$F$9</f>
        <v>0</v>
      </c>
      <c r="AX111" s="127">
        <f>(AX28=1)*Paramètres!$F$9</f>
        <v>0</v>
      </c>
      <c r="AY111" s="127">
        <f>(AY28=1)*Paramètres!$F$9</f>
        <v>0</v>
      </c>
      <c r="AZ111" s="127">
        <f>(AZ28=1)*Paramètres!$F$9</f>
        <v>0</v>
      </c>
      <c r="BA111" s="127">
        <f>(BA28=1)*Paramètres!$F$9</f>
        <v>0</v>
      </c>
      <c r="BB111" s="127">
        <f>(BB28=1)*Paramètres!$F$9</f>
        <v>0</v>
      </c>
      <c r="BC111" s="127">
        <f>(BC28=1)*Paramètres!$F$9</f>
        <v>0</v>
      </c>
      <c r="BD111" s="127">
        <f>(BD28=1)*Paramètres!$F$9</f>
        <v>0</v>
      </c>
    </row>
    <row r="112" spans="3:56" ht="15" customHeight="1">
      <c r="C112" s="174"/>
      <c r="D112" s="175"/>
      <c r="E112" s="176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  <c r="AA112" s="174"/>
      <c r="AB112" s="174"/>
      <c r="AC112" s="174"/>
      <c r="AD112" s="174"/>
      <c r="AE112" s="174"/>
      <c r="AF112" s="174"/>
      <c r="AG112" s="174"/>
      <c r="AH112" s="174"/>
      <c r="AI112" s="174"/>
      <c r="AJ112" s="174"/>
      <c r="AK112" s="174"/>
      <c r="AL112" s="174"/>
      <c r="AM112" s="174"/>
      <c r="AN112" s="174"/>
      <c r="AO112" s="174"/>
      <c r="AP112" s="174"/>
      <c r="AQ112" s="174"/>
      <c r="AR112" s="174"/>
      <c r="AS112" s="174"/>
      <c r="AT112" s="174"/>
      <c r="AU112" s="174"/>
      <c r="AV112" s="174"/>
      <c r="AW112" s="174"/>
      <c r="AX112" s="174"/>
      <c r="AY112" s="174"/>
      <c r="AZ112" s="174"/>
      <c r="BA112" s="174"/>
      <c r="BB112" s="174"/>
      <c r="BC112" s="174"/>
      <c r="BD112" s="174"/>
    </row>
    <row r="113" spans="3:56" ht="15" customHeight="1">
      <c r="D113" s="153"/>
      <c r="E113" s="128"/>
    </row>
    <row r="114" spans="3:56" ht="15" customHeight="1">
      <c r="D114" s="157" t="s">
        <v>234</v>
      </c>
      <c r="E114" s="128" t="s">
        <v>195</v>
      </c>
      <c r="G114" s="118">
        <f t="shared" ref="G114:AL114" si="79">G54-G86-G90-G105-G108-G111</f>
        <v>123.39000000000001</v>
      </c>
      <c r="H114" s="118">
        <f t="shared" si="79"/>
        <v>235.27605600000004</v>
      </c>
      <c r="I114" s="118">
        <f t="shared" si="79"/>
        <v>170.85032639999997</v>
      </c>
      <c r="J114" s="118">
        <f t="shared" si="79"/>
        <v>403.25903999999991</v>
      </c>
      <c r="K114" s="118">
        <f t="shared" si="79"/>
        <v>394.00530623999998</v>
      </c>
      <c r="L114" s="118">
        <f t="shared" si="79"/>
        <v>433.90375565760002</v>
      </c>
      <c r="M114" s="118">
        <f t="shared" si="79"/>
        <v>469.60972883308801</v>
      </c>
      <c r="N114" s="118">
        <f t="shared" si="79"/>
        <v>319.79408987355947</v>
      </c>
      <c r="O114" s="118">
        <f t="shared" si="79"/>
        <v>88.998192087489215</v>
      </c>
      <c r="P114" s="118">
        <f t="shared" si="79"/>
        <v>113.47607104805509</v>
      </c>
      <c r="Q114" s="118">
        <f t="shared" si="79"/>
        <v>110.8786353477451</v>
      </c>
      <c r="R114" s="118">
        <f t="shared" si="79"/>
        <v>126.76872496210012</v>
      </c>
      <c r="S114" s="118">
        <f t="shared" si="79"/>
        <v>147.07559125600872</v>
      </c>
      <c r="T114" s="118">
        <f t="shared" si="79"/>
        <v>140.95707032341957</v>
      </c>
      <c r="U114" s="118">
        <f t="shared" si="79"/>
        <v>208.42301814314305</v>
      </c>
      <c r="V114" s="118">
        <f t="shared" si="79"/>
        <v>154.99423544642173</v>
      </c>
      <c r="W114" s="118">
        <f t="shared" si="79"/>
        <v>55.073966031107197</v>
      </c>
      <c r="X114" s="118">
        <f t="shared" si="79"/>
        <v>0</v>
      </c>
      <c r="Y114" s="118">
        <f t="shared" si="79"/>
        <v>0</v>
      </c>
      <c r="Z114" s="118">
        <f t="shared" si="79"/>
        <v>0</v>
      </c>
      <c r="AA114" s="118">
        <f t="shared" si="79"/>
        <v>0</v>
      </c>
      <c r="AB114" s="118">
        <f t="shared" si="79"/>
        <v>0</v>
      </c>
      <c r="AC114" s="118">
        <f t="shared" si="79"/>
        <v>0</v>
      </c>
      <c r="AD114" s="118">
        <f t="shared" si="79"/>
        <v>0</v>
      </c>
      <c r="AE114" s="118">
        <f t="shared" si="79"/>
        <v>0</v>
      </c>
      <c r="AF114" s="118">
        <f t="shared" si="79"/>
        <v>0</v>
      </c>
      <c r="AG114" s="118">
        <f t="shared" si="79"/>
        <v>0</v>
      </c>
      <c r="AH114" s="118">
        <f t="shared" si="79"/>
        <v>0</v>
      </c>
      <c r="AI114" s="118">
        <f t="shared" si="79"/>
        <v>0</v>
      </c>
      <c r="AJ114" s="118">
        <f t="shared" si="79"/>
        <v>0</v>
      </c>
      <c r="AK114" s="118">
        <f t="shared" si="79"/>
        <v>0</v>
      </c>
      <c r="AL114" s="118">
        <f t="shared" si="79"/>
        <v>0</v>
      </c>
      <c r="AM114" s="118">
        <f t="shared" ref="AM114:BD114" si="80">AM54-AM86-AM90-AM105-AM108-AM111</f>
        <v>0</v>
      </c>
      <c r="AN114" s="118">
        <f t="shared" si="80"/>
        <v>0</v>
      </c>
      <c r="AO114" s="118">
        <f t="shared" si="80"/>
        <v>0</v>
      </c>
      <c r="AP114" s="118">
        <f t="shared" si="80"/>
        <v>0</v>
      </c>
      <c r="AQ114" s="118">
        <f t="shared" si="80"/>
        <v>0</v>
      </c>
      <c r="AR114" s="118">
        <f t="shared" si="80"/>
        <v>0</v>
      </c>
      <c r="AS114" s="118">
        <f t="shared" si="80"/>
        <v>0</v>
      </c>
      <c r="AT114" s="118">
        <f t="shared" si="80"/>
        <v>0</v>
      </c>
      <c r="AU114" s="118">
        <f t="shared" si="80"/>
        <v>0</v>
      </c>
      <c r="AV114" s="118">
        <f t="shared" si="80"/>
        <v>0</v>
      </c>
      <c r="AW114" s="118">
        <f t="shared" si="80"/>
        <v>0</v>
      </c>
      <c r="AX114" s="118">
        <f t="shared" si="80"/>
        <v>0</v>
      </c>
      <c r="AY114" s="118">
        <f t="shared" si="80"/>
        <v>0</v>
      </c>
      <c r="AZ114" s="118">
        <f t="shared" si="80"/>
        <v>0</v>
      </c>
      <c r="BA114" s="118">
        <f t="shared" si="80"/>
        <v>0</v>
      </c>
      <c r="BB114" s="118">
        <f t="shared" si="80"/>
        <v>0</v>
      </c>
      <c r="BC114" s="118">
        <f t="shared" si="80"/>
        <v>0</v>
      </c>
      <c r="BD114" s="118">
        <f t="shared" si="80"/>
        <v>0</v>
      </c>
    </row>
    <row r="115" spans="3:56" ht="15" customHeight="1">
      <c r="C115" s="174"/>
      <c r="D115" s="175"/>
      <c r="E115" s="176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  <c r="AA115" s="174"/>
      <c r="AB115" s="174"/>
      <c r="AC115" s="174"/>
      <c r="AD115" s="174"/>
      <c r="AE115" s="174"/>
      <c r="AF115" s="174"/>
      <c r="AG115" s="174"/>
      <c r="AH115" s="174"/>
      <c r="AI115" s="174"/>
      <c r="AJ115" s="174"/>
      <c r="AK115" s="174"/>
      <c r="AL115" s="174"/>
      <c r="AM115" s="174"/>
      <c r="AN115" s="174"/>
      <c r="AO115" s="174"/>
      <c r="AP115" s="174"/>
      <c r="AQ115" s="174"/>
      <c r="AR115" s="174"/>
      <c r="AS115" s="174"/>
      <c r="AT115" s="174"/>
      <c r="AU115" s="174"/>
      <c r="AV115" s="174"/>
      <c r="AW115" s="174"/>
      <c r="AX115" s="174"/>
      <c r="AY115" s="174"/>
      <c r="AZ115" s="174"/>
      <c r="BA115" s="174"/>
      <c r="BB115" s="174"/>
      <c r="BC115" s="174"/>
      <c r="BD115" s="174"/>
    </row>
    <row r="116" spans="3:56" ht="15" customHeight="1">
      <c r="D116" s="157" t="s">
        <v>235</v>
      </c>
      <c r="E116" s="128"/>
    </row>
    <row r="117" spans="3:56" ht="15" customHeight="1">
      <c r="C117" s="152"/>
      <c r="D117" s="103" t="s">
        <v>236</v>
      </c>
      <c r="E117" s="128" t="s">
        <v>195</v>
      </c>
      <c r="G117" s="127">
        <f t="shared" ref="G117:AL117" si="81">IF(G114&lt;0,0,G114)</f>
        <v>123.39000000000001</v>
      </c>
      <c r="H117" s="127">
        <f t="shared" si="81"/>
        <v>235.27605600000004</v>
      </c>
      <c r="I117" s="127">
        <f t="shared" si="81"/>
        <v>170.85032639999997</v>
      </c>
      <c r="J117" s="127">
        <f t="shared" si="81"/>
        <v>403.25903999999991</v>
      </c>
      <c r="K117" s="127">
        <f t="shared" si="81"/>
        <v>394.00530623999998</v>
      </c>
      <c r="L117" s="127">
        <f t="shared" si="81"/>
        <v>433.90375565760002</v>
      </c>
      <c r="M117" s="127">
        <f t="shared" si="81"/>
        <v>469.60972883308801</v>
      </c>
      <c r="N117" s="127">
        <f t="shared" si="81"/>
        <v>319.79408987355947</v>
      </c>
      <c r="O117" s="127">
        <f t="shared" si="81"/>
        <v>88.998192087489215</v>
      </c>
      <c r="P117" s="127">
        <f t="shared" si="81"/>
        <v>113.47607104805509</v>
      </c>
      <c r="Q117" s="127">
        <f t="shared" si="81"/>
        <v>110.8786353477451</v>
      </c>
      <c r="R117" s="127">
        <f t="shared" si="81"/>
        <v>126.76872496210012</v>
      </c>
      <c r="S117" s="127">
        <f t="shared" si="81"/>
        <v>147.07559125600872</v>
      </c>
      <c r="T117" s="127">
        <f t="shared" si="81"/>
        <v>140.95707032341957</v>
      </c>
      <c r="U117" s="127">
        <f t="shared" si="81"/>
        <v>208.42301814314305</v>
      </c>
      <c r="V117" s="127">
        <f t="shared" si="81"/>
        <v>154.99423544642173</v>
      </c>
      <c r="W117" s="127">
        <f t="shared" si="81"/>
        <v>55.073966031107197</v>
      </c>
      <c r="X117" s="127">
        <f t="shared" si="81"/>
        <v>0</v>
      </c>
      <c r="Y117" s="127">
        <f t="shared" si="81"/>
        <v>0</v>
      </c>
      <c r="Z117" s="127">
        <f t="shared" si="81"/>
        <v>0</v>
      </c>
      <c r="AA117" s="127">
        <f t="shared" si="81"/>
        <v>0</v>
      </c>
      <c r="AB117" s="127">
        <f t="shared" si="81"/>
        <v>0</v>
      </c>
      <c r="AC117" s="127">
        <f t="shared" si="81"/>
        <v>0</v>
      </c>
      <c r="AD117" s="127">
        <f t="shared" si="81"/>
        <v>0</v>
      </c>
      <c r="AE117" s="127">
        <f t="shared" si="81"/>
        <v>0</v>
      </c>
      <c r="AF117" s="127">
        <f t="shared" si="81"/>
        <v>0</v>
      </c>
      <c r="AG117" s="127">
        <f t="shared" si="81"/>
        <v>0</v>
      </c>
      <c r="AH117" s="127">
        <f t="shared" si="81"/>
        <v>0</v>
      </c>
      <c r="AI117" s="127">
        <f t="shared" si="81"/>
        <v>0</v>
      </c>
      <c r="AJ117" s="127">
        <f t="shared" si="81"/>
        <v>0</v>
      </c>
      <c r="AK117" s="127">
        <f t="shared" si="81"/>
        <v>0</v>
      </c>
      <c r="AL117" s="127">
        <f t="shared" si="81"/>
        <v>0</v>
      </c>
      <c r="AM117" s="127">
        <f t="shared" ref="AM117:BD117" si="82">IF(AM114&lt;0,0,AM114)</f>
        <v>0</v>
      </c>
      <c r="AN117" s="127">
        <f t="shared" si="82"/>
        <v>0</v>
      </c>
      <c r="AO117" s="127">
        <f t="shared" si="82"/>
        <v>0</v>
      </c>
      <c r="AP117" s="127">
        <f t="shared" si="82"/>
        <v>0</v>
      </c>
      <c r="AQ117" s="127">
        <f t="shared" si="82"/>
        <v>0</v>
      </c>
      <c r="AR117" s="127">
        <f t="shared" si="82"/>
        <v>0</v>
      </c>
      <c r="AS117" s="127">
        <f t="shared" si="82"/>
        <v>0</v>
      </c>
      <c r="AT117" s="127">
        <f t="shared" si="82"/>
        <v>0</v>
      </c>
      <c r="AU117" s="127">
        <f t="shared" si="82"/>
        <v>0</v>
      </c>
      <c r="AV117" s="127">
        <f t="shared" si="82"/>
        <v>0</v>
      </c>
      <c r="AW117" s="127">
        <f t="shared" si="82"/>
        <v>0</v>
      </c>
      <c r="AX117" s="127">
        <f t="shared" si="82"/>
        <v>0</v>
      </c>
      <c r="AY117" s="127">
        <f t="shared" si="82"/>
        <v>0</v>
      </c>
      <c r="AZ117" s="127">
        <f t="shared" si="82"/>
        <v>0</v>
      </c>
      <c r="BA117" s="127">
        <f t="shared" si="82"/>
        <v>0</v>
      </c>
      <c r="BB117" s="127">
        <f t="shared" si="82"/>
        <v>0</v>
      </c>
      <c r="BC117" s="127">
        <f t="shared" si="82"/>
        <v>0</v>
      </c>
      <c r="BD117" s="127">
        <f t="shared" si="82"/>
        <v>0</v>
      </c>
    </row>
    <row r="118" spans="3:56" ht="15" customHeight="1">
      <c r="C118" s="152"/>
      <c r="D118" s="103" t="s">
        <v>237</v>
      </c>
      <c r="E118" s="128" t="s">
        <v>26</v>
      </c>
      <c r="G118" s="112">
        <f t="shared" ref="G118:AL118" si="83">IFERROR(IF(G54/G45&gt;0,G54/G45,0),0)</f>
        <v>0.36477040816326534</v>
      </c>
      <c r="H118" s="112">
        <f t="shared" si="83"/>
        <v>0.45157172701949866</v>
      </c>
      <c r="I118" s="112">
        <f t="shared" si="83"/>
        <v>0.33509722222222221</v>
      </c>
      <c r="J118" s="112">
        <f t="shared" si="83"/>
        <v>0.64374999999999993</v>
      </c>
      <c r="K118" s="112">
        <f t="shared" si="83"/>
        <v>0.61875000000000002</v>
      </c>
      <c r="L118" s="112">
        <f t="shared" si="83"/>
        <v>0.6640625</v>
      </c>
      <c r="M118" s="112">
        <f t="shared" si="83"/>
        <v>0.70156249999999998</v>
      </c>
      <c r="N118" s="112">
        <f t="shared" si="83"/>
        <v>0.59375</v>
      </c>
      <c r="O118" s="112">
        <f t="shared" si="83"/>
        <v>0.32441871387283244</v>
      </c>
      <c r="P118" s="112">
        <f t="shared" si="83"/>
        <v>0.39303359826589601</v>
      </c>
      <c r="Q118" s="112">
        <f t="shared" si="83"/>
        <v>0.37860946531791906</v>
      </c>
      <c r="R118" s="112">
        <f t="shared" si="83"/>
        <v>0.41833598265895955</v>
      </c>
      <c r="S118" s="112">
        <f t="shared" si="83"/>
        <v>0.46895989884393063</v>
      </c>
      <c r="T118" s="112">
        <f t="shared" si="83"/>
        <v>0.44365751445086693</v>
      </c>
      <c r="U118" s="112">
        <f t="shared" si="83"/>
        <v>0.62065968208092492</v>
      </c>
      <c r="V118" s="112">
        <f t="shared" si="83"/>
        <v>0.59117951127819557</v>
      </c>
      <c r="W118" s="112">
        <f t="shared" si="83"/>
        <v>0.49774999999999991</v>
      </c>
      <c r="X118" s="112">
        <f t="shared" si="83"/>
        <v>0</v>
      </c>
      <c r="Y118" s="112">
        <f t="shared" si="83"/>
        <v>0</v>
      </c>
      <c r="Z118" s="112">
        <f t="shared" si="83"/>
        <v>0</v>
      </c>
      <c r="AA118" s="112">
        <f t="shared" si="83"/>
        <v>0</v>
      </c>
      <c r="AB118" s="112">
        <f t="shared" si="83"/>
        <v>0</v>
      </c>
      <c r="AC118" s="112">
        <f t="shared" si="83"/>
        <v>0</v>
      </c>
      <c r="AD118" s="112">
        <f t="shared" si="83"/>
        <v>0</v>
      </c>
      <c r="AE118" s="112">
        <f t="shared" si="83"/>
        <v>0</v>
      </c>
      <c r="AF118" s="112">
        <f t="shared" si="83"/>
        <v>0</v>
      </c>
      <c r="AG118" s="112">
        <f t="shared" si="83"/>
        <v>0</v>
      </c>
      <c r="AH118" s="112">
        <f t="shared" si="83"/>
        <v>0</v>
      </c>
      <c r="AI118" s="112">
        <f t="shared" si="83"/>
        <v>0</v>
      </c>
      <c r="AJ118" s="112">
        <f t="shared" si="83"/>
        <v>0</v>
      </c>
      <c r="AK118" s="112">
        <f t="shared" si="83"/>
        <v>0</v>
      </c>
      <c r="AL118" s="112">
        <f t="shared" si="83"/>
        <v>0</v>
      </c>
      <c r="AM118" s="112">
        <f t="shared" ref="AM118:BD118" si="84">IFERROR(IF(AM54/AM45&gt;0,AM54/AM45,0),0)</f>
        <v>0</v>
      </c>
      <c r="AN118" s="112">
        <f t="shared" si="84"/>
        <v>0</v>
      </c>
      <c r="AO118" s="112">
        <f t="shared" si="84"/>
        <v>0</v>
      </c>
      <c r="AP118" s="112">
        <f t="shared" si="84"/>
        <v>0</v>
      </c>
      <c r="AQ118" s="112">
        <f t="shared" si="84"/>
        <v>0</v>
      </c>
      <c r="AR118" s="112">
        <f t="shared" si="84"/>
        <v>0</v>
      </c>
      <c r="AS118" s="112">
        <f t="shared" si="84"/>
        <v>0</v>
      </c>
      <c r="AT118" s="112">
        <f t="shared" si="84"/>
        <v>0</v>
      </c>
      <c r="AU118" s="112">
        <f t="shared" si="84"/>
        <v>0</v>
      </c>
      <c r="AV118" s="112">
        <f t="shared" si="84"/>
        <v>0</v>
      </c>
      <c r="AW118" s="112">
        <f t="shared" si="84"/>
        <v>0</v>
      </c>
      <c r="AX118" s="112">
        <f t="shared" si="84"/>
        <v>0</v>
      </c>
      <c r="AY118" s="112">
        <f t="shared" si="84"/>
        <v>0</v>
      </c>
      <c r="AZ118" s="112">
        <f t="shared" si="84"/>
        <v>0</v>
      </c>
      <c r="BA118" s="112">
        <f t="shared" si="84"/>
        <v>0</v>
      </c>
      <c r="BB118" s="112">
        <f t="shared" si="84"/>
        <v>0</v>
      </c>
      <c r="BC118" s="112">
        <f t="shared" si="84"/>
        <v>0</v>
      </c>
      <c r="BD118" s="112">
        <f t="shared" si="84"/>
        <v>0</v>
      </c>
    </row>
    <row r="119" spans="3:56" ht="15" customHeight="1">
      <c r="C119" s="152"/>
      <c r="D119" s="103"/>
      <c r="E119" s="128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</row>
    <row r="120" spans="3:56" ht="15" customHeight="1">
      <c r="C120" s="152"/>
      <c r="D120" s="178" t="s">
        <v>228</v>
      </c>
      <c r="E120" s="128" t="s">
        <v>26</v>
      </c>
      <c r="G120" s="181">
        <f>MIN(G$118,Paramètres!$E$68)</f>
        <v>0</v>
      </c>
      <c r="H120" s="181">
        <f>MIN(H$118,Paramètres!$E$68)</f>
        <v>0</v>
      </c>
      <c r="I120" s="181">
        <f>MIN(I$118,Paramètres!$E$68)</f>
        <v>0</v>
      </c>
      <c r="J120" s="181">
        <f>MIN(J$118,Paramètres!$E$68)</f>
        <v>0</v>
      </c>
      <c r="K120" s="181">
        <f>MIN(K$118,Paramètres!$E$68)</f>
        <v>0</v>
      </c>
      <c r="L120" s="181">
        <f>MIN(L$118,Paramètres!$E$68)</f>
        <v>0</v>
      </c>
      <c r="M120" s="181">
        <f>MIN(M$118,Paramètres!$E$68)</f>
        <v>0</v>
      </c>
      <c r="N120" s="181">
        <f>MIN(N$118,Paramètres!$E$68)</f>
        <v>0</v>
      </c>
      <c r="O120" s="181">
        <f>MIN(O$118,Paramètres!$E$68)</f>
        <v>0</v>
      </c>
      <c r="P120" s="181">
        <f>MIN(P$118,Paramètres!$E$68)</f>
        <v>0</v>
      </c>
      <c r="Q120" s="181">
        <f>MIN(Q$118,Paramètres!$E$68)</f>
        <v>0</v>
      </c>
      <c r="R120" s="181">
        <f>MIN(R$118,Paramètres!$E$68)</f>
        <v>0</v>
      </c>
      <c r="S120" s="181">
        <f>MIN(S$118,Paramètres!$E$68)</f>
        <v>0</v>
      </c>
      <c r="T120" s="181">
        <f>MIN(T$118,Paramètres!$E$68)</f>
        <v>0</v>
      </c>
      <c r="U120" s="181">
        <f>MIN(U$118,Paramètres!$E$68)</f>
        <v>0</v>
      </c>
      <c r="V120" s="181">
        <f>MIN(V$118,Paramètres!$E$68)</f>
        <v>0</v>
      </c>
      <c r="W120" s="181">
        <f>MIN(W$118,Paramètres!$E$68)</f>
        <v>0</v>
      </c>
      <c r="X120" s="181">
        <f>MIN(X$118,Paramètres!$E$68)</f>
        <v>0</v>
      </c>
      <c r="Y120" s="181">
        <f>MIN(Y$118,Paramètres!$E$68)</f>
        <v>0</v>
      </c>
      <c r="Z120" s="181">
        <f>MIN(Z$118,Paramètres!$E$68)</f>
        <v>0</v>
      </c>
      <c r="AA120" s="181">
        <f>MIN(AA$118,Paramètres!$E$68)</f>
        <v>0</v>
      </c>
      <c r="AB120" s="181">
        <f>MIN(AB$118,Paramètres!$E$68)</f>
        <v>0</v>
      </c>
      <c r="AC120" s="181">
        <f>MIN(AC$118,Paramètres!$E$68)</f>
        <v>0</v>
      </c>
      <c r="AD120" s="181">
        <f>MIN(AD$118,Paramètres!$E$68)</f>
        <v>0</v>
      </c>
      <c r="AE120" s="181">
        <f>MIN(AE$118,Paramètres!$E$68)</f>
        <v>0</v>
      </c>
      <c r="AF120" s="181">
        <f>MIN(AF$118,Paramètres!$E$68)</f>
        <v>0</v>
      </c>
      <c r="AG120" s="181">
        <f>MIN(AG$118,Paramètres!$E$68)</f>
        <v>0</v>
      </c>
      <c r="AH120" s="181">
        <f>MIN(AH$118,Paramètres!$E$68)</f>
        <v>0</v>
      </c>
      <c r="AI120" s="181">
        <f>MIN(AI$118,Paramètres!$E$68)</f>
        <v>0</v>
      </c>
      <c r="AJ120" s="181">
        <f>MIN(AJ$118,Paramètres!$E$68)</f>
        <v>0</v>
      </c>
      <c r="AK120" s="181">
        <f>MIN(AK$118,Paramètres!$E$68)</f>
        <v>0</v>
      </c>
      <c r="AL120" s="181">
        <f>MIN(AL$118,Paramètres!$E$68)</f>
        <v>0</v>
      </c>
      <c r="AM120" s="181">
        <f>MIN(AM$118,Paramètres!$E$68)</f>
        <v>0</v>
      </c>
      <c r="AN120" s="181">
        <f>MIN(AN$118,Paramètres!$E$68)</f>
        <v>0</v>
      </c>
      <c r="AO120" s="181">
        <f>MIN(AO$118,Paramètres!$E$68)</f>
        <v>0</v>
      </c>
      <c r="AP120" s="181">
        <f>MIN(AP$118,Paramètres!$E$68)</f>
        <v>0</v>
      </c>
      <c r="AQ120" s="181">
        <f>MIN(AQ$118,Paramètres!$E$68)</f>
        <v>0</v>
      </c>
      <c r="AR120" s="181">
        <f>MIN(AR$118,Paramètres!$E$68)</f>
        <v>0</v>
      </c>
      <c r="AS120" s="181">
        <f>MIN(AS$118,Paramètres!$E$68)</f>
        <v>0</v>
      </c>
      <c r="AT120" s="181">
        <f>MIN(AT$118,Paramètres!$E$68)</f>
        <v>0</v>
      </c>
      <c r="AU120" s="181">
        <f>MIN(AU$118,Paramètres!$E$68)</f>
        <v>0</v>
      </c>
      <c r="AV120" s="181">
        <f>MIN(AV$118,Paramètres!$E$68)</f>
        <v>0</v>
      </c>
      <c r="AW120" s="181">
        <f>MIN(AW$118,Paramètres!$E$68)</f>
        <v>0</v>
      </c>
      <c r="AX120" s="181">
        <f>MIN(AX$118,Paramètres!$E$68)</f>
        <v>0</v>
      </c>
      <c r="AY120" s="181">
        <f>MIN(AY$118,Paramètres!$E$68)</f>
        <v>0</v>
      </c>
      <c r="AZ120" s="181">
        <f>MIN(AZ$118,Paramètres!$E$68)</f>
        <v>0</v>
      </c>
      <c r="BA120" s="181">
        <f>MIN(BA$118,Paramètres!$E$68)</f>
        <v>0</v>
      </c>
      <c r="BB120" s="181">
        <f>MIN(BB$118,Paramètres!$E$68)</f>
        <v>0</v>
      </c>
      <c r="BC120" s="181">
        <f>MIN(BC$118,Paramètres!$E$68)</f>
        <v>0</v>
      </c>
      <c r="BD120" s="181">
        <f>MIN(BD$118,Paramètres!$E$68)</f>
        <v>0</v>
      </c>
    </row>
    <row r="121" spans="3:56" ht="15" customHeight="1">
      <c r="C121" s="152"/>
      <c r="D121" s="178" t="s">
        <v>229</v>
      </c>
      <c r="E121" s="128" t="s">
        <v>26</v>
      </c>
      <c r="G121" s="181">
        <f>(G$118&gt;Paramètres!$E68)*(G$118-Paramètres!$E68-SUM(G122:G$136))</f>
        <v>0</v>
      </c>
      <c r="H121" s="181">
        <f>(H$118&gt;Paramètres!$E68)*(H$118-Paramètres!$E68-SUM(H122:H$136))</f>
        <v>0</v>
      </c>
      <c r="I121" s="181">
        <f>(I$118&gt;Paramètres!$E68)*(I$118-Paramètres!$E68-SUM(I122:I$136))</f>
        <v>0</v>
      </c>
      <c r="J121" s="181">
        <f>(J$118&gt;Paramètres!$E68)*(J$118-Paramètres!$E68-SUM(J122:J$136))</f>
        <v>0</v>
      </c>
      <c r="K121" s="181">
        <f>(K$118&gt;Paramètres!$E68)*(K$118-Paramètres!$E68-SUM(K122:K$136))</f>
        <v>0</v>
      </c>
      <c r="L121" s="181">
        <f>(L$118&gt;Paramètres!$E68)*(L$118-Paramètres!$E68-SUM(L122:L$136))</f>
        <v>0</v>
      </c>
      <c r="M121" s="181">
        <f>(M$118&gt;Paramètres!$E68)*(M$118-Paramètres!$E68-SUM(M122:M$136))</f>
        <v>0</v>
      </c>
      <c r="N121" s="181">
        <f>(N$118&gt;Paramètres!$E68)*(N$118-Paramètres!$E68-SUM(N122:N$136))</f>
        <v>0</v>
      </c>
      <c r="O121" s="181">
        <f>(O$118&gt;Paramètres!$E68)*(O$118-Paramètres!$E68-SUM(O122:O$136))</f>
        <v>0</v>
      </c>
      <c r="P121" s="181">
        <f>(P$118&gt;Paramètres!$E68)*(P$118-Paramètres!$E68-SUM(P122:P$136))</f>
        <v>0</v>
      </c>
      <c r="Q121" s="181">
        <f>(Q$118&gt;Paramètres!$E68)*(Q$118-Paramètres!$E68-SUM(Q122:Q$136))</f>
        <v>0</v>
      </c>
      <c r="R121" s="181">
        <f>(R$118&gt;Paramètres!$E68)*(R$118-Paramètres!$E68-SUM(R122:R$136))</f>
        <v>0</v>
      </c>
      <c r="S121" s="181">
        <f>(S$118&gt;Paramètres!$E68)*(S$118-Paramètres!$E68-SUM(S122:S$136))</f>
        <v>0</v>
      </c>
      <c r="T121" s="181">
        <f>(T$118&gt;Paramètres!$E68)*(T$118-Paramètres!$E68-SUM(T122:T$136))</f>
        <v>0</v>
      </c>
      <c r="U121" s="181">
        <f>(U$118&gt;Paramètres!$E68)*(U$118-Paramètres!$E68-SUM(U122:U$136))</f>
        <v>0</v>
      </c>
      <c r="V121" s="181">
        <f>(V$118&gt;Paramètres!$E68)*(V$118-Paramètres!$E68-SUM(V122:V$136))</f>
        <v>0</v>
      </c>
      <c r="W121" s="181">
        <f>(W$118&gt;Paramètres!$E68)*(W$118-Paramètres!$E68-SUM(W122:W$136))</f>
        <v>0</v>
      </c>
      <c r="X121" s="181">
        <f>(X$118&gt;Paramètres!$E68)*(X$118-Paramètres!$E68-SUM(X122:X$136))</f>
        <v>0</v>
      </c>
      <c r="Y121" s="181">
        <f>(Y$118&gt;Paramètres!$E68)*(Y$118-Paramètres!$E68-SUM(Y122:Y$136))</f>
        <v>0</v>
      </c>
      <c r="Z121" s="181">
        <f>(Z$118&gt;Paramètres!$E68)*(Z$118-Paramètres!$E68-SUM(Z122:Z$136))</f>
        <v>0</v>
      </c>
      <c r="AA121" s="181">
        <f>(AA$118&gt;Paramètres!$E68)*(AA$118-Paramètres!$E68-SUM(AA122:AA$136))</f>
        <v>0</v>
      </c>
      <c r="AB121" s="181">
        <f>(AB$118&gt;Paramètres!$E68)*(AB$118-Paramètres!$E68-SUM(AB122:AB$136))</f>
        <v>0</v>
      </c>
      <c r="AC121" s="181">
        <f>(AC$118&gt;Paramètres!$E68)*(AC$118-Paramètres!$E68-SUM(AC122:AC$136))</f>
        <v>0</v>
      </c>
      <c r="AD121" s="181">
        <f>(AD$118&gt;Paramètres!$E68)*(AD$118-Paramètres!$E68-SUM(AD122:AD$136))</f>
        <v>0</v>
      </c>
      <c r="AE121" s="181">
        <f>(AE$118&gt;Paramètres!$E68)*(AE$118-Paramètres!$E68-SUM(AE122:AE$136))</f>
        <v>0</v>
      </c>
      <c r="AF121" s="181">
        <f>(AF$118&gt;Paramètres!$E68)*(AF$118-Paramètres!$E68-SUM(AF122:AF$136))</f>
        <v>0</v>
      </c>
      <c r="AG121" s="181">
        <f>(AG$118&gt;Paramètres!$E68)*(AG$118-Paramètres!$E68-SUM(AG122:AG$136))</f>
        <v>0</v>
      </c>
      <c r="AH121" s="181">
        <f>(AH$118&gt;Paramètres!$E68)*(AH$118-Paramètres!$E68-SUM(AH122:AH$136))</f>
        <v>0</v>
      </c>
      <c r="AI121" s="181">
        <f>(AI$118&gt;Paramètres!$E68)*(AI$118-Paramètres!$E68-SUM(AI122:AI$136))</f>
        <v>0</v>
      </c>
      <c r="AJ121" s="181">
        <f>(AJ$118&gt;Paramètres!$E68)*(AJ$118-Paramètres!$E68-SUM(AJ122:AJ$136))</f>
        <v>0</v>
      </c>
      <c r="AK121" s="181">
        <f>(AK$118&gt;Paramètres!$E68)*(AK$118-Paramètres!$E68-SUM(AK122:AK$136))</f>
        <v>0</v>
      </c>
      <c r="AL121" s="181">
        <f>(AL$118&gt;Paramètres!$E68)*(AL$118-Paramètres!$E68-SUM(AL122:AL$136))</f>
        <v>0</v>
      </c>
      <c r="AM121" s="181">
        <f>(AM$118&gt;Paramètres!$E68)*(AM$118-Paramètres!$E68-SUM(AM122:AM$136))</f>
        <v>0</v>
      </c>
      <c r="AN121" s="181">
        <f>(AN$118&gt;Paramètres!$E68)*(AN$118-Paramètres!$E68-SUM(AN122:AN$136))</f>
        <v>0</v>
      </c>
      <c r="AO121" s="181">
        <f>(AO$118&gt;Paramètres!$E68)*(AO$118-Paramètres!$E68-SUM(AO122:AO$136))</f>
        <v>0</v>
      </c>
      <c r="AP121" s="181">
        <f>(AP$118&gt;Paramètres!$E68)*(AP$118-Paramètres!$E68-SUM(AP122:AP$136))</f>
        <v>0</v>
      </c>
      <c r="AQ121" s="181">
        <f>(AQ$118&gt;Paramètres!$E68)*(AQ$118-Paramètres!$E68-SUM(AQ122:AQ$136))</f>
        <v>0</v>
      </c>
      <c r="AR121" s="181">
        <f>(AR$118&gt;Paramètres!$E68)*(AR$118-Paramètres!$E68-SUM(AR122:AR$136))</f>
        <v>0</v>
      </c>
      <c r="AS121" s="181">
        <f>(AS$118&gt;Paramètres!$E68)*(AS$118-Paramètres!$E68-SUM(AS122:AS$136))</f>
        <v>0</v>
      </c>
      <c r="AT121" s="181">
        <f>(AT$118&gt;Paramètres!$E68)*(AT$118-Paramètres!$E68-SUM(AT122:AT$136))</f>
        <v>0</v>
      </c>
      <c r="AU121" s="181">
        <f>(AU$118&gt;Paramètres!$E68)*(AU$118-Paramètres!$E68-SUM(AU122:AU$136))</f>
        <v>0</v>
      </c>
      <c r="AV121" s="181">
        <f>(AV$118&gt;Paramètres!$E68)*(AV$118-Paramètres!$E68-SUM(AV122:AV$136))</f>
        <v>0</v>
      </c>
      <c r="AW121" s="181">
        <f>(AW$118&gt;Paramètres!$E68)*(AW$118-Paramètres!$E68-SUM(AW122:AW$136))</f>
        <v>0</v>
      </c>
      <c r="AX121" s="181">
        <f>(AX$118&gt;Paramètres!$E68)*(AX$118-Paramètres!$E68-SUM(AX122:AX$136))</f>
        <v>0</v>
      </c>
      <c r="AY121" s="181">
        <f>(AY$118&gt;Paramètres!$E68)*(AY$118-Paramètres!$E68-SUM(AY122:AY$136))</f>
        <v>0</v>
      </c>
      <c r="AZ121" s="181">
        <f>(AZ$118&gt;Paramètres!$E68)*(AZ$118-Paramètres!$E68-SUM(AZ122:AZ$136))</f>
        <v>0</v>
      </c>
      <c r="BA121" s="181">
        <f>(BA$118&gt;Paramètres!$E68)*(BA$118-Paramètres!$E68-SUM(BA122:BA$136))</f>
        <v>0</v>
      </c>
      <c r="BB121" s="181">
        <f>(BB$118&gt;Paramètres!$E68)*(BB$118-Paramètres!$E68-SUM(BB122:BB$136))</f>
        <v>0</v>
      </c>
      <c r="BC121" s="181">
        <f>(BC$118&gt;Paramètres!$E68)*(BC$118-Paramètres!$E68-SUM(BC122:BC$136))</f>
        <v>0</v>
      </c>
      <c r="BD121" s="181">
        <f>(BD$118&gt;Paramètres!$E68)*(BD$118-Paramètres!$E68-SUM(BD122:BD$136))</f>
        <v>0</v>
      </c>
    </row>
    <row r="122" spans="3:56" ht="15" customHeight="1">
      <c r="C122" s="152"/>
      <c r="D122" s="178" t="s">
        <v>230</v>
      </c>
      <c r="E122" s="128" t="s">
        <v>26</v>
      </c>
      <c r="G122" s="181">
        <f>(G$118&gt;Paramètres!$E69)*(G$118-Paramètres!$E69-SUM(G123:G$136))</f>
        <v>0</v>
      </c>
      <c r="H122" s="181">
        <f>(H$118&gt;Paramètres!$E69)*(H$118-Paramètres!$E69-SUM(H123:H$136))</f>
        <v>0</v>
      </c>
      <c r="I122" s="181">
        <f>(I$118&gt;Paramètres!$E69)*(I$118-Paramètres!$E69-SUM(I123:I$136))</f>
        <v>0</v>
      </c>
      <c r="J122" s="181">
        <f>(J$118&gt;Paramètres!$E69)*(J$118-Paramètres!$E69-SUM(J123:J$136))</f>
        <v>0</v>
      </c>
      <c r="K122" s="181">
        <f>(K$118&gt;Paramètres!$E69)*(K$118-Paramètres!$E69-SUM(K123:K$136))</f>
        <v>0</v>
      </c>
      <c r="L122" s="181">
        <f>(L$118&gt;Paramètres!$E69)*(L$118-Paramètres!$E69-SUM(L123:L$136))</f>
        <v>0</v>
      </c>
      <c r="M122" s="181">
        <f>(M$118&gt;Paramètres!$E69)*(M$118-Paramètres!$E69-SUM(M123:M$136))</f>
        <v>0</v>
      </c>
      <c r="N122" s="181">
        <f>(N$118&gt;Paramètres!$E69)*(N$118-Paramètres!$E69-SUM(N123:N$136))</f>
        <v>0</v>
      </c>
      <c r="O122" s="181">
        <f>(O$118&gt;Paramètres!$E69)*(O$118-Paramètres!$E69-SUM(O123:O$136))</f>
        <v>0</v>
      </c>
      <c r="P122" s="181">
        <f>(P$118&gt;Paramètres!$E69)*(P$118-Paramètres!$E69-SUM(P123:P$136))</f>
        <v>0</v>
      </c>
      <c r="Q122" s="181">
        <f>(Q$118&gt;Paramètres!$E69)*(Q$118-Paramètres!$E69-SUM(Q123:Q$136))</f>
        <v>0</v>
      </c>
      <c r="R122" s="181">
        <f>(R$118&gt;Paramètres!$E69)*(R$118-Paramètres!$E69-SUM(R123:R$136))</f>
        <v>0</v>
      </c>
      <c r="S122" s="181">
        <f>(S$118&gt;Paramètres!$E69)*(S$118-Paramètres!$E69-SUM(S123:S$136))</f>
        <v>0</v>
      </c>
      <c r="T122" s="181">
        <f>(T$118&gt;Paramètres!$E69)*(T$118-Paramètres!$E69-SUM(T123:T$136))</f>
        <v>0</v>
      </c>
      <c r="U122" s="181">
        <f>(U$118&gt;Paramètres!$E69)*(U$118-Paramètres!$E69-SUM(U123:U$136))</f>
        <v>0</v>
      </c>
      <c r="V122" s="181">
        <f>(V$118&gt;Paramètres!$E69)*(V$118-Paramètres!$E69-SUM(V123:V$136))</f>
        <v>0</v>
      </c>
      <c r="W122" s="181">
        <f>(W$118&gt;Paramètres!$E69)*(W$118-Paramètres!$E69-SUM(W123:W$136))</f>
        <v>0</v>
      </c>
      <c r="X122" s="181">
        <f>(X$118&gt;Paramètres!$E69)*(X$118-Paramètres!$E69-SUM(X123:X$136))</f>
        <v>0</v>
      </c>
      <c r="Y122" s="181">
        <f>(Y$118&gt;Paramètres!$E69)*(Y$118-Paramètres!$E69-SUM(Y123:Y$136))</f>
        <v>0</v>
      </c>
      <c r="Z122" s="181">
        <f>(Z$118&gt;Paramètres!$E69)*(Z$118-Paramètres!$E69-SUM(Z123:Z$136))</f>
        <v>0</v>
      </c>
      <c r="AA122" s="181">
        <f>(AA$118&gt;Paramètres!$E69)*(AA$118-Paramètres!$E69-SUM(AA123:AA$136))</f>
        <v>0</v>
      </c>
      <c r="AB122" s="181">
        <f>(AB$118&gt;Paramètres!$E69)*(AB$118-Paramètres!$E69-SUM(AB123:AB$136))</f>
        <v>0</v>
      </c>
      <c r="AC122" s="181">
        <f>(AC$118&gt;Paramètres!$E69)*(AC$118-Paramètres!$E69-SUM(AC123:AC$136))</f>
        <v>0</v>
      </c>
      <c r="AD122" s="181">
        <f>(AD$118&gt;Paramètres!$E69)*(AD$118-Paramètres!$E69-SUM(AD123:AD$136))</f>
        <v>0</v>
      </c>
      <c r="AE122" s="181">
        <f>(AE$118&gt;Paramètres!$E69)*(AE$118-Paramètres!$E69-SUM(AE123:AE$136))</f>
        <v>0</v>
      </c>
      <c r="AF122" s="181">
        <f>(AF$118&gt;Paramètres!$E69)*(AF$118-Paramètres!$E69-SUM(AF123:AF$136))</f>
        <v>0</v>
      </c>
      <c r="AG122" s="181">
        <f>(AG$118&gt;Paramètres!$E69)*(AG$118-Paramètres!$E69-SUM(AG123:AG$136))</f>
        <v>0</v>
      </c>
      <c r="AH122" s="181">
        <f>(AH$118&gt;Paramètres!$E69)*(AH$118-Paramètres!$E69-SUM(AH123:AH$136))</f>
        <v>0</v>
      </c>
      <c r="AI122" s="181">
        <f>(AI$118&gt;Paramètres!$E69)*(AI$118-Paramètres!$E69-SUM(AI123:AI$136))</f>
        <v>0</v>
      </c>
      <c r="AJ122" s="181">
        <f>(AJ$118&gt;Paramètres!$E69)*(AJ$118-Paramètres!$E69-SUM(AJ123:AJ$136))</f>
        <v>0</v>
      </c>
      <c r="AK122" s="181">
        <f>(AK$118&gt;Paramètres!$E69)*(AK$118-Paramètres!$E69-SUM(AK123:AK$136))</f>
        <v>0</v>
      </c>
      <c r="AL122" s="181">
        <f>(AL$118&gt;Paramètres!$E69)*(AL$118-Paramètres!$E69-SUM(AL123:AL$136))</f>
        <v>0</v>
      </c>
      <c r="AM122" s="181">
        <f>(AM$118&gt;Paramètres!$E69)*(AM$118-Paramètres!$E69-SUM(AM123:AM$136))</f>
        <v>0</v>
      </c>
      <c r="AN122" s="181">
        <f>(AN$118&gt;Paramètres!$E69)*(AN$118-Paramètres!$E69-SUM(AN123:AN$136))</f>
        <v>0</v>
      </c>
      <c r="AO122" s="181">
        <f>(AO$118&gt;Paramètres!$E69)*(AO$118-Paramètres!$E69-SUM(AO123:AO$136))</f>
        <v>0</v>
      </c>
      <c r="AP122" s="181">
        <f>(AP$118&gt;Paramètres!$E69)*(AP$118-Paramètres!$E69-SUM(AP123:AP$136))</f>
        <v>0</v>
      </c>
      <c r="AQ122" s="181">
        <f>(AQ$118&gt;Paramètres!$E69)*(AQ$118-Paramètres!$E69-SUM(AQ123:AQ$136))</f>
        <v>0</v>
      </c>
      <c r="AR122" s="181">
        <f>(AR$118&gt;Paramètres!$E69)*(AR$118-Paramètres!$E69-SUM(AR123:AR$136))</f>
        <v>0</v>
      </c>
      <c r="AS122" s="181">
        <f>(AS$118&gt;Paramètres!$E69)*(AS$118-Paramètres!$E69-SUM(AS123:AS$136))</f>
        <v>0</v>
      </c>
      <c r="AT122" s="181">
        <f>(AT$118&gt;Paramètres!$E69)*(AT$118-Paramètres!$E69-SUM(AT123:AT$136))</f>
        <v>0</v>
      </c>
      <c r="AU122" s="181">
        <f>(AU$118&gt;Paramètres!$E69)*(AU$118-Paramètres!$E69-SUM(AU123:AU$136))</f>
        <v>0</v>
      </c>
      <c r="AV122" s="181">
        <f>(AV$118&gt;Paramètres!$E69)*(AV$118-Paramètres!$E69-SUM(AV123:AV$136))</f>
        <v>0</v>
      </c>
      <c r="AW122" s="181">
        <f>(AW$118&gt;Paramètres!$E69)*(AW$118-Paramètres!$E69-SUM(AW123:AW$136))</f>
        <v>0</v>
      </c>
      <c r="AX122" s="181">
        <f>(AX$118&gt;Paramètres!$E69)*(AX$118-Paramètres!$E69-SUM(AX123:AX$136))</f>
        <v>0</v>
      </c>
      <c r="AY122" s="181">
        <f>(AY$118&gt;Paramètres!$E69)*(AY$118-Paramètres!$E69-SUM(AY123:AY$136))</f>
        <v>0</v>
      </c>
      <c r="AZ122" s="181">
        <f>(AZ$118&gt;Paramètres!$E69)*(AZ$118-Paramètres!$E69-SUM(AZ123:AZ$136))</f>
        <v>0</v>
      </c>
      <c r="BA122" s="181">
        <f>(BA$118&gt;Paramètres!$E69)*(BA$118-Paramètres!$E69-SUM(BA123:BA$136))</f>
        <v>0</v>
      </c>
      <c r="BB122" s="181">
        <f>(BB$118&gt;Paramètres!$E69)*(BB$118-Paramètres!$E69-SUM(BB123:BB$136))</f>
        <v>0</v>
      </c>
      <c r="BC122" s="181">
        <f>(BC$118&gt;Paramètres!$E69)*(BC$118-Paramètres!$E69-SUM(BC123:BC$136))</f>
        <v>0</v>
      </c>
      <c r="BD122" s="181">
        <f>(BD$118&gt;Paramètres!$E69)*(BD$118-Paramètres!$E69-SUM(BD123:BD$136))</f>
        <v>0</v>
      </c>
    </row>
    <row r="123" spans="3:56" ht="15" customHeight="1">
      <c r="C123" s="152"/>
      <c r="D123" s="178" t="s">
        <v>231</v>
      </c>
      <c r="E123" s="128" t="s">
        <v>26</v>
      </c>
      <c r="G123" s="181">
        <f>(G$118&gt;Paramètres!$E70)*(G$118-Paramètres!$E70-SUM(G124:G$136))</f>
        <v>0</v>
      </c>
      <c r="H123" s="181">
        <f>(H$118&gt;Paramètres!$E70)*(H$118-Paramètres!$E70-SUM(H124:H$136))</f>
        <v>0</v>
      </c>
      <c r="I123" s="181">
        <f>(I$118&gt;Paramètres!$E70)*(I$118-Paramètres!$E70-SUM(I124:I$136))</f>
        <v>0</v>
      </c>
      <c r="J123" s="181">
        <f>(J$118&gt;Paramètres!$E70)*(J$118-Paramètres!$E70-SUM(J124:J$136))</f>
        <v>0</v>
      </c>
      <c r="K123" s="181">
        <f>(K$118&gt;Paramètres!$E70)*(K$118-Paramètres!$E70-SUM(K124:K$136))</f>
        <v>0</v>
      </c>
      <c r="L123" s="181">
        <f>(L$118&gt;Paramètres!$E70)*(L$118-Paramètres!$E70-SUM(L124:L$136))</f>
        <v>0</v>
      </c>
      <c r="M123" s="181">
        <f>(M$118&gt;Paramètres!$E70)*(M$118-Paramètres!$E70-SUM(M124:M$136))</f>
        <v>0</v>
      </c>
      <c r="N123" s="181">
        <f>(N$118&gt;Paramètres!$E70)*(N$118-Paramètres!$E70-SUM(N124:N$136))</f>
        <v>0</v>
      </c>
      <c r="O123" s="181">
        <f>(O$118&gt;Paramètres!$E70)*(O$118-Paramètres!$E70-SUM(O124:O$136))</f>
        <v>0</v>
      </c>
      <c r="P123" s="181">
        <f>(P$118&gt;Paramètres!$E70)*(P$118-Paramètres!$E70-SUM(P124:P$136))</f>
        <v>0</v>
      </c>
      <c r="Q123" s="181">
        <f>(Q$118&gt;Paramètres!$E70)*(Q$118-Paramètres!$E70-SUM(Q124:Q$136))</f>
        <v>0</v>
      </c>
      <c r="R123" s="181">
        <f>(R$118&gt;Paramètres!$E70)*(R$118-Paramètres!$E70-SUM(R124:R$136))</f>
        <v>0</v>
      </c>
      <c r="S123" s="181">
        <f>(S$118&gt;Paramètres!$E70)*(S$118-Paramètres!$E70-SUM(S124:S$136))</f>
        <v>0</v>
      </c>
      <c r="T123" s="181">
        <f>(T$118&gt;Paramètres!$E70)*(T$118-Paramètres!$E70-SUM(T124:T$136))</f>
        <v>0</v>
      </c>
      <c r="U123" s="181">
        <f>(U$118&gt;Paramètres!$E70)*(U$118-Paramètres!$E70-SUM(U124:U$136))</f>
        <v>0</v>
      </c>
      <c r="V123" s="181">
        <f>(V$118&gt;Paramètres!$E70)*(V$118-Paramètres!$E70-SUM(V124:V$136))</f>
        <v>0</v>
      </c>
      <c r="W123" s="181">
        <f>(W$118&gt;Paramètres!$E70)*(W$118-Paramètres!$E70-SUM(W124:W$136))</f>
        <v>0</v>
      </c>
      <c r="X123" s="181">
        <f>(X$118&gt;Paramètres!$E70)*(X$118-Paramètres!$E70-SUM(X124:X$136))</f>
        <v>0</v>
      </c>
      <c r="Y123" s="181">
        <f>(Y$118&gt;Paramètres!$E70)*(Y$118-Paramètres!$E70-SUM(Y124:Y$136))</f>
        <v>0</v>
      </c>
      <c r="Z123" s="181">
        <f>(Z$118&gt;Paramètres!$E70)*(Z$118-Paramètres!$E70-SUM(Z124:Z$136))</f>
        <v>0</v>
      </c>
      <c r="AA123" s="181">
        <f>(AA$118&gt;Paramètres!$E70)*(AA$118-Paramètres!$E70-SUM(AA124:AA$136))</f>
        <v>0</v>
      </c>
      <c r="AB123" s="181">
        <f>(AB$118&gt;Paramètres!$E70)*(AB$118-Paramètres!$E70-SUM(AB124:AB$136))</f>
        <v>0</v>
      </c>
      <c r="AC123" s="181">
        <f>(AC$118&gt;Paramètres!$E70)*(AC$118-Paramètres!$E70-SUM(AC124:AC$136))</f>
        <v>0</v>
      </c>
      <c r="AD123" s="181">
        <f>(AD$118&gt;Paramètres!$E70)*(AD$118-Paramètres!$E70-SUM(AD124:AD$136))</f>
        <v>0</v>
      </c>
      <c r="AE123" s="181">
        <f>(AE$118&gt;Paramètres!$E70)*(AE$118-Paramètres!$E70-SUM(AE124:AE$136))</f>
        <v>0</v>
      </c>
      <c r="AF123" s="181">
        <f>(AF$118&gt;Paramètres!$E70)*(AF$118-Paramètres!$E70-SUM(AF124:AF$136))</f>
        <v>0</v>
      </c>
      <c r="AG123" s="181">
        <f>(AG$118&gt;Paramètres!$E70)*(AG$118-Paramètres!$E70-SUM(AG124:AG$136))</f>
        <v>0</v>
      </c>
      <c r="AH123" s="181">
        <f>(AH$118&gt;Paramètres!$E70)*(AH$118-Paramètres!$E70-SUM(AH124:AH$136))</f>
        <v>0</v>
      </c>
      <c r="AI123" s="181">
        <f>(AI$118&gt;Paramètres!$E70)*(AI$118-Paramètres!$E70-SUM(AI124:AI$136))</f>
        <v>0</v>
      </c>
      <c r="AJ123" s="181">
        <f>(AJ$118&gt;Paramètres!$E70)*(AJ$118-Paramètres!$E70-SUM(AJ124:AJ$136))</f>
        <v>0</v>
      </c>
      <c r="AK123" s="181">
        <f>(AK$118&gt;Paramètres!$E70)*(AK$118-Paramètres!$E70-SUM(AK124:AK$136))</f>
        <v>0</v>
      </c>
      <c r="AL123" s="181">
        <f>(AL$118&gt;Paramètres!$E70)*(AL$118-Paramètres!$E70-SUM(AL124:AL$136))</f>
        <v>0</v>
      </c>
      <c r="AM123" s="181">
        <f>(AM$118&gt;Paramètres!$E70)*(AM$118-Paramètres!$E70-SUM(AM124:AM$136))</f>
        <v>0</v>
      </c>
      <c r="AN123" s="181">
        <f>(AN$118&gt;Paramètres!$E70)*(AN$118-Paramètres!$E70-SUM(AN124:AN$136))</f>
        <v>0</v>
      </c>
      <c r="AO123" s="181">
        <f>(AO$118&gt;Paramètres!$E70)*(AO$118-Paramètres!$E70-SUM(AO124:AO$136))</f>
        <v>0</v>
      </c>
      <c r="AP123" s="181">
        <f>(AP$118&gt;Paramètres!$E70)*(AP$118-Paramètres!$E70-SUM(AP124:AP$136))</f>
        <v>0</v>
      </c>
      <c r="AQ123" s="181">
        <f>(AQ$118&gt;Paramètres!$E70)*(AQ$118-Paramètres!$E70-SUM(AQ124:AQ$136))</f>
        <v>0</v>
      </c>
      <c r="AR123" s="181">
        <f>(AR$118&gt;Paramètres!$E70)*(AR$118-Paramètres!$E70-SUM(AR124:AR$136))</f>
        <v>0</v>
      </c>
      <c r="AS123" s="181">
        <f>(AS$118&gt;Paramètres!$E70)*(AS$118-Paramètres!$E70-SUM(AS124:AS$136))</f>
        <v>0</v>
      </c>
      <c r="AT123" s="181">
        <f>(AT$118&gt;Paramètres!$E70)*(AT$118-Paramètres!$E70-SUM(AT124:AT$136))</f>
        <v>0</v>
      </c>
      <c r="AU123" s="181">
        <f>(AU$118&gt;Paramètres!$E70)*(AU$118-Paramètres!$E70-SUM(AU124:AU$136))</f>
        <v>0</v>
      </c>
      <c r="AV123" s="181">
        <f>(AV$118&gt;Paramètres!$E70)*(AV$118-Paramètres!$E70-SUM(AV124:AV$136))</f>
        <v>0</v>
      </c>
      <c r="AW123" s="181">
        <f>(AW$118&gt;Paramètres!$E70)*(AW$118-Paramètres!$E70-SUM(AW124:AW$136))</f>
        <v>0</v>
      </c>
      <c r="AX123" s="181">
        <f>(AX$118&gt;Paramètres!$E70)*(AX$118-Paramètres!$E70-SUM(AX124:AX$136))</f>
        <v>0</v>
      </c>
      <c r="AY123" s="181">
        <f>(AY$118&gt;Paramètres!$E70)*(AY$118-Paramètres!$E70-SUM(AY124:AY$136))</f>
        <v>0</v>
      </c>
      <c r="AZ123" s="181">
        <f>(AZ$118&gt;Paramètres!$E70)*(AZ$118-Paramètres!$E70-SUM(AZ124:AZ$136))</f>
        <v>0</v>
      </c>
      <c r="BA123" s="181">
        <f>(BA$118&gt;Paramètres!$E70)*(BA$118-Paramètres!$E70-SUM(BA124:BA$136))</f>
        <v>0</v>
      </c>
      <c r="BB123" s="181">
        <f>(BB$118&gt;Paramètres!$E70)*(BB$118-Paramètres!$E70-SUM(BB124:BB$136))</f>
        <v>0</v>
      </c>
      <c r="BC123" s="181">
        <f>(BC$118&gt;Paramètres!$E70)*(BC$118-Paramètres!$E70-SUM(BC124:BC$136))</f>
        <v>0</v>
      </c>
      <c r="BD123" s="181">
        <f>(BD$118&gt;Paramètres!$E70)*(BD$118-Paramètres!$E70-SUM(BD124:BD$136))</f>
        <v>0</v>
      </c>
    </row>
    <row r="124" spans="3:56" ht="15" customHeight="1">
      <c r="C124" s="152"/>
      <c r="D124" s="178" t="s">
        <v>238</v>
      </c>
      <c r="E124" s="128" t="s">
        <v>26</v>
      </c>
      <c r="G124" s="181">
        <f>(G$118&gt;Paramètres!$E71)*(G$118-Paramètres!$E71-SUM(G125:G$136))</f>
        <v>0</v>
      </c>
      <c r="H124" s="181">
        <f>(H$118&gt;Paramètres!$E71)*(H$118-Paramètres!$E71-SUM(H125:H$136))</f>
        <v>0</v>
      </c>
      <c r="I124" s="181">
        <f>(I$118&gt;Paramètres!$E71)*(I$118-Paramètres!$E71-SUM(I125:I$136))</f>
        <v>0</v>
      </c>
      <c r="J124" s="181">
        <f>(J$118&gt;Paramètres!$E71)*(J$118-Paramètres!$E71-SUM(J125:J$136))</f>
        <v>0</v>
      </c>
      <c r="K124" s="181">
        <f>(K$118&gt;Paramètres!$E71)*(K$118-Paramètres!$E71-SUM(K125:K$136))</f>
        <v>0</v>
      </c>
      <c r="L124" s="181">
        <f>(L$118&gt;Paramètres!$E71)*(L$118-Paramètres!$E71-SUM(L125:L$136))</f>
        <v>0</v>
      </c>
      <c r="M124" s="181">
        <f>(M$118&gt;Paramètres!$E71)*(M$118-Paramètres!$E71-SUM(M125:M$136))</f>
        <v>0</v>
      </c>
      <c r="N124" s="181">
        <f>(N$118&gt;Paramètres!$E71)*(N$118-Paramètres!$E71-SUM(N125:N$136))</f>
        <v>0</v>
      </c>
      <c r="O124" s="181">
        <f>(O$118&gt;Paramètres!$E71)*(O$118-Paramètres!$E71-SUM(O125:O$136))</f>
        <v>0</v>
      </c>
      <c r="P124" s="181">
        <f>(P$118&gt;Paramètres!$E71)*(P$118-Paramètres!$E71-SUM(P125:P$136))</f>
        <v>0</v>
      </c>
      <c r="Q124" s="181">
        <f>(Q$118&gt;Paramètres!$E71)*(Q$118-Paramètres!$E71-SUM(Q125:Q$136))</f>
        <v>0</v>
      </c>
      <c r="R124" s="181">
        <f>(R$118&gt;Paramètres!$E71)*(R$118-Paramètres!$E71-SUM(R125:R$136))</f>
        <v>0</v>
      </c>
      <c r="S124" s="181">
        <f>(S$118&gt;Paramètres!$E71)*(S$118-Paramètres!$E71-SUM(S125:S$136))</f>
        <v>0</v>
      </c>
      <c r="T124" s="181">
        <f>(T$118&gt;Paramètres!$E71)*(T$118-Paramètres!$E71-SUM(T125:T$136))</f>
        <v>0</v>
      </c>
      <c r="U124" s="181">
        <f>(U$118&gt;Paramètres!$E71)*(U$118-Paramètres!$E71-SUM(U125:U$136))</f>
        <v>0</v>
      </c>
      <c r="V124" s="181">
        <f>(V$118&gt;Paramètres!$E71)*(V$118-Paramètres!$E71-SUM(V125:V$136))</f>
        <v>0</v>
      </c>
      <c r="W124" s="181">
        <f>(W$118&gt;Paramètres!$E71)*(W$118-Paramètres!$E71-SUM(W125:W$136))</f>
        <v>0</v>
      </c>
      <c r="X124" s="181">
        <f>(X$118&gt;Paramètres!$E71)*(X$118-Paramètres!$E71-SUM(X125:X$136))</f>
        <v>0</v>
      </c>
      <c r="Y124" s="181">
        <f>(Y$118&gt;Paramètres!$E71)*(Y$118-Paramètres!$E71-SUM(Y125:Y$136))</f>
        <v>0</v>
      </c>
      <c r="Z124" s="181">
        <f>(Z$118&gt;Paramètres!$E71)*(Z$118-Paramètres!$E71-SUM(Z125:Z$136))</f>
        <v>0</v>
      </c>
      <c r="AA124" s="181">
        <f>(AA$118&gt;Paramètres!$E71)*(AA$118-Paramètres!$E71-SUM(AA125:AA$136))</f>
        <v>0</v>
      </c>
      <c r="AB124" s="181">
        <f>(AB$118&gt;Paramètres!$E71)*(AB$118-Paramètres!$E71-SUM(AB125:AB$136))</f>
        <v>0</v>
      </c>
      <c r="AC124" s="181">
        <f>(AC$118&gt;Paramètres!$E71)*(AC$118-Paramètres!$E71-SUM(AC125:AC$136))</f>
        <v>0</v>
      </c>
      <c r="AD124" s="181">
        <f>(AD$118&gt;Paramètres!$E71)*(AD$118-Paramètres!$E71-SUM(AD125:AD$136))</f>
        <v>0</v>
      </c>
      <c r="AE124" s="181">
        <f>(AE$118&gt;Paramètres!$E71)*(AE$118-Paramètres!$E71-SUM(AE125:AE$136))</f>
        <v>0</v>
      </c>
      <c r="AF124" s="181">
        <f>(AF$118&gt;Paramètres!$E71)*(AF$118-Paramètres!$E71-SUM(AF125:AF$136))</f>
        <v>0</v>
      </c>
      <c r="AG124" s="181">
        <f>(AG$118&gt;Paramètres!$E71)*(AG$118-Paramètres!$E71-SUM(AG125:AG$136))</f>
        <v>0</v>
      </c>
      <c r="AH124" s="181">
        <f>(AH$118&gt;Paramètres!$E71)*(AH$118-Paramètres!$E71-SUM(AH125:AH$136))</f>
        <v>0</v>
      </c>
      <c r="AI124" s="181">
        <f>(AI$118&gt;Paramètres!$E71)*(AI$118-Paramètres!$E71-SUM(AI125:AI$136))</f>
        <v>0</v>
      </c>
      <c r="AJ124" s="181">
        <f>(AJ$118&gt;Paramètres!$E71)*(AJ$118-Paramètres!$E71-SUM(AJ125:AJ$136))</f>
        <v>0</v>
      </c>
      <c r="AK124" s="181">
        <f>(AK$118&gt;Paramètres!$E71)*(AK$118-Paramètres!$E71-SUM(AK125:AK$136))</f>
        <v>0</v>
      </c>
      <c r="AL124" s="181">
        <f>(AL$118&gt;Paramètres!$E71)*(AL$118-Paramètres!$E71-SUM(AL125:AL$136))</f>
        <v>0</v>
      </c>
      <c r="AM124" s="181">
        <f>(AM$118&gt;Paramètres!$E71)*(AM$118-Paramètres!$E71-SUM(AM125:AM$136))</f>
        <v>0</v>
      </c>
      <c r="AN124" s="181">
        <f>(AN$118&gt;Paramètres!$E71)*(AN$118-Paramètres!$E71-SUM(AN125:AN$136))</f>
        <v>0</v>
      </c>
      <c r="AO124" s="181">
        <f>(AO$118&gt;Paramètres!$E71)*(AO$118-Paramètres!$E71-SUM(AO125:AO$136))</f>
        <v>0</v>
      </c>
      <c r="AP124" s="181">
        <f>(AP$118&gt;Paramètres!$E71)*(AP$118-Paramètres!$E71-SUM(AP125:AP$136))</f>
        <v>0</v>
      </c>
      <c r="AQ124" s="181">
        <f>(AQ$118&gt;Paramètres!$E71)*(AQ$118-Paramètres!$E71-SUM(AQ125:AQ$136))</f>
        <v>0</v>
      </c>
      <c r="AR124" s="181">
        <f>(AR$118&gt;Paramètres!$E71)*(AR$118-Paramètres!$E71-SUM(AR125:AR$136))</f>
        <v>0</v>
      </c>
      <c r="AS124" s="181">
        <f>(AS$118&gt;Paramètres!$E71)*(AS$118-Paramètres!$E71-SUM(AS125:AS$136))</f>
        <v>0</v>
      </c>
      <c r="AT124" s="181">
        <f>(AT$118&gt;Paramètres!$E71)*(AT$118-Paramètres!$E71-SUM(AT125:AT$136))</f>
        <v>0</v>
      </c>
      <c r="AU124" s="181">
        <f>(AU$118&gt;Paramètres!$E71)*(AU$118-Paramètres!$E71-SUM(AU125:AU$136))</f>
        <v>0</v>
      </c>
      <c r="AV124" s="181">
        <f>(AV$118&gt;Paramètres!$E71)*(AV$118-Paramètres!$E71-SUM(AV125:AV$136))</f>
        <v>0</v>
      </c>
      <c r="AW124" s="181">
        <f>(AW$118&gt;Paramètres!$E71)*(AW$118-Paramètres!$E71-SUM(AW125:AW$136))</f>
        <v>0</v>
      </c>
      <c r="AX124" s="181">
        <f>(AX$118&gt;Paramètres!$E71)*(AX$118-Paramètres!$E71-SUM(AX125:AX$136))</f>
        <v>0</v>
      </c>
      <c r="AY124" s="181">
        <f>(AY$118&gt;Paramètres!$E71)*(AY$118-Paramètres!$E71-SUM(AY125:AY$136))</f>
        <v>0</v>
      </c>
      <c r="AZ124" s="181">
        <f>(AZ$118&gt;Paramètres!$E71)*(AZ$118-Paramètres!$E71-SUM(AZ125:AZ$136))</f>
        <v>0</v>
      </c>
      <c r="BA124" s="181">
        <f>(BA$118&gt;Paramètres!$E71)*(BA$118-Paramètres!$E71-SUM(BA125:BA$136))</f>
        <v>0</v>
      </c>
      <c r="BB124" s="181">
        <f>(BB$118&gt;Paramètres!$E71)*(BB$118-Paramètres!$E71-SUM(BB125:BB$136))</f>
        <v>0</v>
      </c>
      <c r="BC124" s="181">
        <f>(BC$118&gt;Paramètres!$E71)*(BC$118-Paramètres!$E71-SUM(BC125:BC$136))</f>
        <v>0</v>
      </c>
      <c r="BD124" s="181">
        <f>(BD$118&gt;Paramètres!$E71)*(BD$118-Paramètres!$E71-SUM(BD125:BD$136))</f>
        <v>0</v>
      </c>
    </row>
    <row r="125" spans="3:56" ht="15" customHeight="1">
      <c r="C125" s="152"/>
      <c r="D125" s="178" t="s">
        <v>239</v>
      </c>
      <c r="E125" s="128" t="s">
        <v>26</v>
      </c>
      <c r="G125" s="181">
        <f>(G$118&gt;Paramètres!$E72)*(G$118-Paramètres!$E72-SUM(G126:G$136))</f>
        <v>0</v>
      </c>
      <c r="H125" s="181">
        <f>(H$118&gt;Paramètres!$E72)*(H$118-Paramètres!$E72-SUM(H126:H$136))</f>
        <v>0</v>
      </c>
      <c r="I125" s="181">
        <f>(I$118&gt;Paramètres!$E72)*(I$118-Paramètres!$E72-SUM(I126:I$136))</f>
        <v>0</v>
      </c>
      <c r="J125" s="181">
        <f>(J$118&gt;Paramètres!$E72)*(J$118-Paramètres!$E72-SUM(J126:J$136))</f>
        <v>0</v>
      </c>
      <c r="K125" s="181">
        <f>(K$118&gt;Paramètres!$E72)*(K$118-Paramètres!$E72-SUM(K126:K$136))</f>
        <v>0</v>
      </c>
      <c r="L125" s="181">
        <f>(L$118&gt;Paramètres!$E72)*(L$118-Paramètres!$E72-SUM(L126:L$136))</f>
        <v>0</v>
      </c>
      <c r="M125" s="181">
        <f>(M$118&gt;Paramètres!$E72)*(M$118-Paramètres!$E72-SUM(M126:M$136))</f>
        <v>0</v>
      </c>
      <c r="N125" s="181">
        <f>(N$118&gt;Paramètres!$E72)*(N$118-Paramètres!$E72-SUM(N126:N$136))</f>
        <v>0</v>
      </c>
      <c r="O125" s="181">
        <f>(O$118&gt;Paramètres!$E72)*(O$118-Paramètres!$E72-SUM(O126:O$136))</f>
        <v>0</v>
      </c>
      <c r="P125" s="181">
        <f>(P$118&gt;Paramètres!$E72)*(P$118-Paramètres!$E72-SUM(P126:P$136))</f>
        <v>0</v>
      </c>
      <c r="Q125" s="181">
        <f>(Q$118&gt;Paramètres!$E72)*(Q$118-Paramètres!$E72-SUM(Q126:Q$136))</f>
        <v>0</v>
      </c>
      <c r="R125" s="181">
        <f>(R$118&gt;Paramètres!$E72)*(R$118-Paramètres!$E72-SUM(R126:R$136))</f>
        <v>0</v>
      </c>
      <c r="S125" s="181">
        <f>(S$118&gt;Paramètres!$E72)*(S$118-Paramètres!$E72-SUM(S126:S$136))</f>
        <v>0</v>
      </c>
      <c r="T125" s="181">
        <f>(T$118&gt;Paramètres!$E72)*(T$118-Paramètres!$E72-SUM(T126:T$136))</f>
        <v>0</v>
      </c>
      <c r="U125" s="181">
        <f>(U$118&gt;Paramètres!$E72)*(U$118-Paramètres!$E72-SUM(U126:U$136))</f>
        <v>0</v>
      </c>
      <c r="V125" s="181">
        <f>(V$118&gt;Paramètres!$E72)*(V$118-Paramètres!$E72-SUM(V126:V$136))</f>
        <v>0</v>
      </c>
      <c r="W125" s="181">
        <f>(W$118&gt;Paramètres!$E72)*(W$118-Paramètres!$E72-SUM(W126:W$136))</f>
        <v>0</v>
      </c>
      <c r="X125" s="181">
        <f>(X$118&gt;Paramètres!$E72)*(X$118-Paramètres!$E72-SUM(X126:X$136))</f>
        <v>0</v>
      </c>
      <c r="Y125" s="181">
        <f>(Y$118&gt;Paramètres!$E72)*(Y$118-Paramètres!$E72-SUM(Y126:Y$136))</f>
        <v>0</v>
      </c>
      <c r="Z125" s="181">
        <f>(Z$118&gt;Paramètres!$E72)*(Z$118-Paramètres!$E72-SUM(Z126:Z$136))</f>
        <v>0</v>
      </c>
      <c r="AA125" s="181">
        <f>(AA$118&gt;Paramètres!$E72)*(AA$118-Paramètres!$E72-SUM(AA126:AA$136))</f>
        <v>0</v>
      </c>
      <c r="AB125" s="181">
        <f>(AB$118&gt;Paramètres!$E72)*(AB$118-Paramètres!$E72-SUM(AB126:AB$136))</f>
        <v>0</v>
      </c>
      <c r="AC125" s="181">
        <f>(AC$118&gt;Paramètres!$E72)*(AC$118-Paramètres!$E72-SUM(AC126:AC$136))</f>
        <v>0</v>
      </c>
      <c r="AD125" s="181">
        <f>(AD$118&gt;Paramètres!$E72)*(AD$118-Paramètres!$E72-SUM(AD126:AD$136))</f>
        <v>0</v>
      </c>
      <c r="AE125" s="181">
        <f>(AE$118&gt;Paramètres!$E72)*(AE$118-Paramètres!$E72-SUM(AE126:AE$136))</f>
        <v>0</v>
      </c>
      <c r="AF125" s="181">
        <f>(AF$118&gt;Paramètres!$E72)*(AF$118-Paramètres!$E72-SUM(AF126:AF$136))</f>
        <v>0</v>
      </c>
      <c r="AG125" s="181">
        <f>(AG$118&gt;Paramètres!$E72)*(AG$118-Paramètres!$E72-SUM(AG126:AG$136))</f>
        <v>0</v>
      </c>
      <c r="AH125" s="181">
        <f>(AH$118&gt;Paramètres!$E72)*(AH$118-Paramètres!$E72-SUM(AH126:AH$136))</f>
        <v>0</v>
      </c>
      <c r="AI125" s="181">
        <f>(AI$118&gt;Paramètres!$E72)*(AI$118-Paramètres!$E72-SUM(AI126:AI$136))</f>
        <v>0</v>
      </c>
      <c r="AJ125" s="181">
        <f>(AJ$118&gt;Paramètres!$E72)*(AJ$118-Paramètres!$E72-SUM(AJ126:AJ$136))</f>
        <v>0</v>
      </c>
      <c r="AK125" s="181">
        <f>(AK$118&gt;Paramètres!$E72)*(AK$118-Paramètres!$E72-SUM(AK126:AK$136))</f>
        <v>0</v>
      </c>
      <c r="AL125" s="181">
        <f>(AL$118&gt;Paramètres!$E72)*(AL$118-Paramètres!$E72-SUM(AL126:AL$136))</f>
        <v>0</v>
      </c>
      <c r="AM125" s="181">
        <f>(AM$118&gt;Paramètres!$E72)*(AM$118-Paramètres!$E72-SUM(AM126:AM$136))</f>
        <v>0</v>
      </c>
      <c r="AN125" s="181">
        <f>(AN$118&gt;Paramètres!$E72)*(AN$118-Paramètres!$E72-SUM(AN126:AN$136))</f>
        <v>0</v>
      </c>
      <c r="AO125" s="181">
        <f>(AO$118&gt;Paramètres!$E72)*(AO$118-Paramètres!$E72-SUM(AO126:AO$136))</f>
        <v>0</v>
      </c>
      <c r="AP125" s="181">
        <f>(AP$118&gt;Paramètres!$E72)*(AP$118-Paramètres!$E72-SUM(AP126:AP$136))</f>
        <v>0</v>
      </c>
      <c r="AQ125" s="181">
        <f>(AQ$118&gt;Paramètres!$E72)*(AQ$118-Paramètres!$E72-SUM(AQ126:AQ$136))</f>
        <v>0</v>
      </c>
      <c r="AR125" s="181">
        <f>(AR$118&gt;Paramètres!$E72)*(AR$118-Paramètres!$E72-SUM(AR126:AR$136))</f>
        <v>0</v>
      </c>
      <c r="AS125" s="181">
        <f>(AS$118&gt;Paramètres!$E72)*(AS$118-Paramètres!$E72-SUM(AS126:AS$136))</f>
        <v>0</v>
      </c>
      <c r="AT125" s="181">
        <f>(AT$118&gt;Paramètres!$E72)*(AT$118-Paramètres!$E72-SUM(AT126:AT$136))</f>
        <v>0</v>
      </c>
      <c r="AU125" s="181">
        <f>(AU$118&gt;Paramètres!$E72)*(AU$118-Paramètres!$E72-SUM(AU126:AU$136))</f>
        <v>0</v>
      </c>
      <c r="AV125" s="181">
        <f>(AV$118&gt;Paramètres!$E72)*(AV$118-Paramètres!$E72-SUM(AV126:AV$136))</f>
        <v>0</v>
      </c>
      <c r="AW125" s="181">
        <f>(AW$118&gt;Paramètres!$E72)*(AW$118-Paramètres!$E72-SUM(AW126:AW$136))</f>
        <v>0</v>
      </c>
      <c r="AX125" s="181">
        <f>(AX$118&gt;Paramètres!$E72)*(AX$118-Paramètres!$E72-SUM(AX126:AX$136))</f>
        <v>0</v>
      </c>
      <c r="AY125" s="181">
        <f>(AY$118&gt;Paramètres!$E72)*(AY$118-Paramètres!$E72-SUM(AY126:AY$136))</f>
        <v>0</v>
      </c>
      <c r="AZ125" s="181">
        <f>(AZ$118&gt;Paramètres!$E72)*(AZ$118-Paramètres!$E72-SUM(AZ126:AZ$136))</f>
        <v>0</v>
      </c>
      <c r="BA125" s="181">
        <f>(BA$118&gt;Paramètres!$E72)*(BA$118-Paramètres!$E72-SUM(BA126:BA$136))</f>
        <v>0</v>
      </c>
      <c r="BB125" s="181">
        <f>(BB$118&gt;Paramètres!$E72)*(BB$118-Paramètres!$E72-SUM(BB126:BB$136))</f>
        <v>0</v>
      </c>
      <c r="BC125" s="181">
        <f>(BC$118&gt;Paramètres!$E72)*(BC$118-Paramètres!$E72-SUM(BC126:BC$136))</f>
        <v>0</v>
      </c>
      <c r="BD125" s="181">
        <f>(BD$118&gt;Paramètres!$E72)*(BD$118-Paramètres!$E72-SUM(BD126:BD$136))</f>
        <v>0</v>
      </c>
    </row>
    <row r="126" spans="3:56" ht="15" customHeight="1">
      <c r="C126" s="152"/>
      <c r="D126" s="178" t="s">
        <v>240</v>
      </c>
      <c r="E126" s="128" t="s">
        <v>26</v>
      </c>
      <c r="G126" s="181">
        <f>(G$118&gt;Paramètres!$E73)*(G$118-Paramètres!$E73-SUM(G127:G$136))</f>
        <v>0</v>
      </c>
      <c r="H126" s="181">
        <f>(H$118&gt;Paramètres!$E73)*(H$118-Paramètres!$E73-SUM(H127:H$136))</f>
        <v>0</v>
      </c>
      <c r="I126" s="181">
        <f>(I$118&gt;Paramètres!$E73)*(I$118-Paramètres!$E73-SUM(I127:I$136))</f>
        <v>0</v>
      </c>
      <c r="J126" s="181">
        <f>(J$118&gt;Paramètres!$E73)*(J$118-Paramètres!$E73-SUM(J127:J$136))</f>
        <v>0</v>
      </c>
      <c r="K126" s="181">
        <f>(K$118&gt;Paramètres!$E73)*(K$118-Paramètres!$E73-SUM(K127:K$136))</f>
        <v>0</v>
      </c>
      <c r="L126" s="181">
        <f>(L$118&gt;Paramètres!$E73)*(L$118-Paramètres!$E73-SUM(L127:L$136))</f>
        <v>0</v>
      </c>
      <c r="M126" s="181">
        <f>(M$118&gt;Paramètres!$E73)*(M$118-Paramètres!$E73-SUM(M127:M$136))</f>
        <v>0</v>
      </c>
      <c r="N126" s="181">
        <f>(N$118&gt;Paramètres!$E73)*(N$118-Paramètres!$E73-SUM(N127:N$136))</f>
        <v>0</v>
      </c>
      <c r="O126" s="181">
        <f>(O$118&gt;Paramètres!$E73)*(O$118-Paramètres!$E73-SUM(O127:O$136))</f>
        <v>0</v>
      </c>
      <c r="P126" s="181">
        <f>(P$118&gt;Paramètres!$E73)*(P$118-Paramètres!$E73-SUM(P127:P$136))</f>
        <v>0</v>
      </c>
      <c r="Q126" s="181">
        <f>(Q$118&gt;Paramètres!$E73)*(Q$118-Paramètres!$E73-SUM(Q127:Q$136))</f>
        <v>0</v>
      </c>
      <c r="R126" s="181">
        <f>(R$118&gt;Paramètres!$E73)*(R$118-Paramètres!$E73-SUM(R127:R$136))</f>
        <v>0</v>
      </c>
      <c r="S126" s="181">
        <f>(S$118&gt;Paramètres!$E73)*(S$118-Paramètres!$E73-SUM(S127:S$136))</f>
        <v>0</v>
      </c>
      <c r="T126" s="181">
        <f>(T$118&gt;Paramètres!$E73)*(T$118-Paramètres!$E73-SUM(T127:T$136))</f>
        <v>0</v>
      </c>
      <c r="U126" s="181">
        <f>(U$118&gt;Paramètres!$E73)*(U$118-Paramètres!$E73-SUM(U127:U$136))</f>
        <v>0</v>
      </c>
      <c r="V126" s="181">
        <f>(V$118&gt;Paramètres!$E73)*(V$118-Paramètres!$E73-SUM(V127:V$136))</f>
        <v>0</v>
      </c>
      <c r="W126" s="181">
        <f>(W$118&gt;Paramètres!$E73)*(W$118-Paramètres!$E73-SUM(W127:W$136))</f>
        <v>0</v>
      </c>
      <c r="X126" s="181">
        <f>(X$118&gt;Paramètres!$E73)*(X$118-Paramètres!$E73-SUM(X127:X$136))</f>
        <v>0</v>
      </c>
      <c r="Y126" s="181">
        <f>(Y$118&gt;Paramètres!$E73)*(Y$118-Paramètres!$E73-SUM(Y127:Y$136))</f>
        <v>0</v>
      </c>
      <c r="Z126" s="181">
        <f>(Z$118&gt;Paramètres!$E73)*(Z$118-Paramètres!$E73-SUM(Z127:Z$136))</f>
        <v>0</v>
      </c>
      <c r="AA126" s="181">
        <f>(AA$118&gt;Paramètres!$E73)*(AA$118-Paramètres!$E73-SUM(AA127:AA$136))</f>
        <v>0</v>
      </c>
      <c r="AB126" s="181">
        <f>(AB$118&gt;Paramètres!$E73)*(AB$118-Paramètres!$E73-SUM(AB127:AB$136))</f>
        <v>0</v>
      </c>
      <c r="AC126" s="181">
        <f>(AC$118&gt;Paramètres!$E73)*(AC$118-Paramètres!$E73-SUM(AC127:AC$136))</f>
        <v>0</v>
      </c>
      <c r="AD126" s="181">
        <f>(AD$118&gt;Paramètres!$E73)*(AD$118-Paramètres!$E73-SUM(AD127:AD$136))</f>
        <v>0</v>
      </c>
      <c r="AE126" s="181">
        <f>(AE$118&gt;Paramètres!$E73)*(AE$118-Paramètres!$E73-SUM(AE127:AE$136))</f>
        <v>0</v>
      </c>
      <c r="AF126" s="181">
        <f>(AF$118&gt;Paramètres!$E73)*(AF$118-Paramètres!$E73-SUM(AF127:AF$136))</f>
        <v>0</v>
      </c>
      <c r="AG126" s="181">
        <f>(AG$118&gt;Paramètres!$E73)*(AG$118-Paramètres!$E73-SUM(AG127:AG$136))</f>
        <v>0</v>
      </c>
      <c r="AH126" s="181">
        <f>(AH$118&gt;Paramètres!$E73)*(AH$118-Paramètres!$E73-SUM(AH127:AH$136))</f>
        <v>0</v>
      </c>
      <c r="AI126" s="181">
        <f>(AI$118&gt;Paramètres!$E73)*(AI$118-Paramètres!$E73-SUM(AI127:AI$136))</f>
        <v>0</v>
      </c>
      <c r="AJ126" s="181">
        <f>(AJ$118&gt;Paramètres!$E73)*(AJ$118-Paramètres!$E73-SUM(AJ127:AJ$136))</f>
        <v>0</v>
      </c>
      <c r="AK126" s="181">
        <f>(AK$118&gt;Paramètres!$E73)*(AK$118-Paramètres!$E73-SUM(AK127:AK$136))</f>
        <v>0</v>
      </c>
      <c r="AL126" s="181">
        <f>(AL$118&gt;Paramètres!$E73)*(AL$118-Paramètres!$E73-SUM(AL127:AL$136))</f>
        <v>0</v>
      </c>
      <c r="AM126" s="181">
        <f>(AM$118&gt;Paramètres!$E73)*(AM$118-Paramètres!$E73-SUM(AM127:AM$136))</f>
        <v>0</v>
      </c>
      <c r="AN126" s="181">
        <f>(AN$118&gt;Paramètres!$E73)*(AN$118-Paramètres!$E73-SUM(AN127:AN$136))</f>
        <v>0</v>
      </c>
      <c r="AO126" s="181">
        <f>(AO$118&gt;Paramètres!$E73)*(AO$118-Paramètres!$E73-SUM(AO127:AO$136))</f>
        <v>0</v>
      </c>
      <c r="AP126" s="181">
        <f>(AP$118&gt;Paramètres!$E73)*(AP$118-Paramètres!$E73-SUM(AP127:AP$136))</f>
        <v>0</v>
      </c>
      <c r="AQ126" s="181">
        <f>(AQ$118&gt;Paramètres!$E73)*(AQ$118-Paramètres!$E73-SUM(AQ127:AQ$136))</f>
        <v>0</v>
      </c>
      <c r="AR126" s="181">
        <f>(AR$118&gt;Paramètres!$E73)*(AR$118-Paramètres!$E73-SUM(AR127:AR$136))</f>
        <v>0</v>
      </c>
      <c r="AS126" s="181">
        <f>(AS$118&gt;Paramètres!$E73)*(AS$118-Paramètres!$E73-SUM(AS127:AS$136))</f>
        <v>0</v>
      </c>
      <c r="AT126" s="181">
        <f>(AT$118&gt;Paramètres!$E73)*(AT$118-Paramètres!$E73-SUM(AT127:AT$136))</f>
        <v>0</v>
      </c>
      <c r="AU126" s="181">
        <f>(AU$118&gt;Paramètres!$E73)*(AU$118-Paramètres!$E73-SUM(AU127:AU$136))</f>
        <v>0</v>
      </c>
      <c r="AV126" s="181">
        <f>(AV$118&gt;Paramètres!$E73)*(AV$118-Paramètres!$E73-SUM(AV127:AV$136))</f>
        <v>0</v>
      </c>
      <c r="AW126" s="181">
        <f>(AW$118&gt;Paramètres!$E73)*(AW$118-Paramètres!$E73-SUM(AW127:AW$136))</f>
        <v>0</v>
      </c>
      <c r="AX126" s="181">
        <f>(AX$118&gt;Paramètres!$E73)*(AX$118-Paramètres!$E73-SUM(AX127:AX$136))</f>
        <v>0</v>
      </c>
      <c r="AY126" s="181">
        <f>(AY$118&gt;Paramètres!$E73)*(AY$118-Paramètres!$E73-SUM(AY127:AY$136))</f>
        <v>0</v>
      </c>
      <c r="AZ126" s="181">
        <f>(AZ$118&gt;Paramètres!$E73)*(AZ$118-Paramètres!$E73-SUM(AZ127:AZ$136))</f>
        <v>0</v>
      </c>
      <c r="BA126" s="181">
        <f>(BA$118&gt;Paramètres!$E73)*(BA$118-Paramètres!$E73-SUM(BA127:BA$136))</f>
        <v>0</v>
      </c>
      <c r="BB126" s="181">
        <f>(BB$118&gt;Paramètres!$E73)*(BB$118-Paramètres!$E73-SUM(BB127:BB$136))</f>
        <v>0</v>
      </c>
      <c r="BC126" s="181">
        <f>(BC$118&gt;Paramètres!$E73)*(BC$118-Paramètres!$E73-SUM(BC127:BC$136))</f>
        <v>0</v>
      </c>
      <c r="BD126" s="181">
        <f>(BD$118&gt;Paramètres!$E73)*(BD$118-Paramètres!$E73-SUM(BD127:BD$136))</f>
        <v>0</v>
      </c>
    </row>
    <row r="127" spans="3:56" ht="15" customHeight="1">
      <c r="C127" s="152"/>
      <c r="D127" s="178" t="s">
        <v>241</v>
      </c>
      <c r="E127" s="128" t="s">
        <v>26</v>
      </c>
      <c r="G127" s="181">
        <f>(G$118&gt;Paramètres!$E74)*(G$118-Paramètres!$E74-SUM(G128:G$136))</f>
        <v>0</v>
      </c>
      <c r="H127" s="181">
        <f>(H$118&gt;Paramètres!$E74)*(H$118-Paramètres!$E74-SUM(H128:H$136))</f>
        <v>0</v>
      </c>
      <c r="I127" s="181">
        <f>(I$118&gt;Paramètres!$E74)*(I$118-Paramètres!$E74-SUM(I128:I$136))</f>
        <v>0</v>
      </c>
      <c r="J127" s="181">
        <f>(J$118&gt;Paramètres!$E74)*(J$118-Paramètres!$E74-SUM(J128:J$136))</f>
        <v>0</v>
      </c>
      <c r="K127" s="181">
        <f>(K$118&gt;Paramètres!$E74)*(K$118-Paramètres!$E74-SUM(K128:K$136))</f>
        <v>0</v>
      </c>
      <c r="L127" s="181">
        <f>(L$118&gt;Paramètres!$E74)*(L$118-Paramètres!$E74-SUM(L128:L$136))</f>
        <v>0</v>
      </c>
      <c r="M127" s="181">
        <f>(M$118&gt;Paramètres!$E74)*(M$118-Paramètres!$E74-SUM(M128:M$136))</f>
        <v>0</v>
      </c>
      <c r="N127" s="181">
        <f>(N$118&gt;Paramètres!$E74)*(N$118-Paramètres!$E74-SUM(N128:N$136))</f>
        <v>0</v>
      </c>
      <c r="O127" s="181">
        <f>(O$118&gt;Paramètres!$E74)*(O$118-Paramètres!$E74-SUM(O128:O$136))</f>
        <v>0</v>
      </c>
      <c r="P127" s="181">
        <f>(P$118&gt;Paramètres!$E74)*(P$118-Paramètres!$E74-SUM(P128:P$136))</f>
        <v>0</v>
      </c>
      <c r="Q127" s="181">
        <f>(Q$118&gt;Paramètres!$E74)*(Q$118-Paramètres!$E74-SUM(Q128:Q$136))</f>
        <v>0</v>
      </c>
      <c r="R127" s="181">
        <f>(R$118&gt;Paramètres!$E74)*(R$118-Paramètres!$E74-SUM(R128:R$136))</f>
        <v>0</v>
      </c>
      <c r="S127" s="181">
        <f>(S$118&gt;Paramètres!$E74)*(S$118-Paramètres!$E74-SUM(S128:S$136))</f>
        <v>0</v>
      </c>
      <c r="T127" s="181">
        <f>(T$118&gt;Paramètres!$E74)*(T$118-Paramètres!$E74-SUM(T128:T$136))</f>
        <v>0</v>
      </c>
      <c r="U127" s="181">
        <f>(U$118&gt;Paramètres!$E74)*(U$118-Paramètres!$E74-SUM(U128:U$136))</f>
        <v>0</v>
      </c>
      <c r="V127" s="181">
        <f>(V$118&gt;Paramètres!$E74)*(V$118-Paramètres!$E74-SUM(V128:V$136))</f>
        <v>0</v>
      </c>
      <c r="W127" s="181">
        <f>(W$118&gt;Paramètres!$E74)*(W$118-Paramètres!$E74-SUM(W128:W$136))</f>
        <v>0</v>
      </c>
      <c r="X127" s="181">
        <f>(X$118&gt;Paramètres!$E74)*(X$118-Paramètres!$E74-SUM(X128:X$136))</f>
        <v>0</v>
      </c>
      <c r="Y127" s="181">
        <f>(Y$118&gt;Paramètres!$E74)*(Y$118-Paramètres!$E74-SUM(Y128:Y$136))</f>
        <v>0</v>
      </c>
      <c r="Z127" s="181">
        <f>(Z$118&gt;Paramètres!$E74)*(Z$118-Paramètres!$E74-SUM(Z128:Z$136))</f>
        <v>0</v>
      </c>
      <c r="AA127" s="181">
        <f>(AA$118&gt;Paramètres!$E74)*(AA$118-Paramètres!$E74-SUM(AA128:AA$136))</f>
        <v>0</v>
      </c>
      <c r="AB127" s="181">
        <f>(AB$118&gt;Paramètres!$E74)*(AB$118-Paramètres!$E74-SUM(AB128:AB$136))</f>
        <v>0</v>
      </c>
      <c r="AC127" s="181">
        <f>(AC$118&gt;Paramètres!$E74)*(AC$118-Paramètres!$E74-SUM(AC128:AC$136))</f>
        <v>0</v>
      </c>
      <c r="AD127" s="181">
        <f>(AD$118&gt;Paramètres!$E74)*(AD$118-Paramètres!$E74-SUM(AD128:AD$136))</f>
        <v>0</v>
      </c>
      <c r="AE127" s="181">
        <f>(AE$118&gt;Paramètres!$E74)*(AE$118-Paramètres!$E74-SUM(AE128:AE$136))</f>
        <v>0</v>
      </c>
      <c r="AF127" s="181">
        <f>(AF$118&gt;Paramètres!$E74)*(AF$118-Paramètres!$E74-SUM(AF128:AF$136))</f>
        <v>0</v>
      </c>
      <c r="AG127" s="181">
        <f>(AG$118&gt;Paramètres!$E74)*(AG$118-Paramètres!$E74-SUM(AG128:AG$136))</f>
        <v>0</v>
      </c>
      <c r="AH127" s="181">
        <f>(AH$118&gt;Paramètres!$E74)*(AH$118-Paramètres!$E74-SUM(AH128:AH$136))</f>
        <v>0</v>
      </c>
      <c r="AI127" s="181">
        <f>(AI$118&gt;Paramètres!$E74)*(AI$118-Paramètres!$E74-SUM(AI128:AI$136))</f>
        <v>0</v>
      </c>
      <c r="AJ127" s="181">
        <f>(AJ$118&gt;Paramètres!$E74)*(AJ$118-Paramètres!$E74-SUM(AJ128:AJ$136))</f>
        <v>0</v>
      </c>
      <c r="AK127" s="181">
        <f>(AK$118&gt;Paramètres!$E74)*(AK$118-Paramètres!$E74-SUM(AK128:AK$136))</f>
        <v>0</v>
      </c>
      <c r="AL127" s="181">
        <f>(AL$118&gt;Paramètres!$E74)*(AL$118-Paramètres!$E74-SUM(AL128:AL$136))</f>
        <v>0</v>
      </c>
      <c r="AM127" s="181">
        <f>(AM$118&gt;Paramètres!$E74)*(AM$118-Paramètres!$E74-SUM(AM128:AM$136))</f>
        <v>0</v>
      </c>
      <c r="AN127" s="181">
        <f>(AN$118&gt;Paramètres!$E74)*(AN$118-Paramètres!$E74-SUM(AN128:AN$136))</f>
        <v>0</v>
      </c>
      <c r="AO127" s="181">
        <f>(AO$118&gt;Paramètres!$E74)*(AO$118-Paramètres!$E74-SUM(AO128:AO$136))</f>
        <v>0</v>
      </c>
      <c r="AP127" s="181">
        <f>(AP$118&gt;Paramètres!$E74)*(AP$118-Paramètres!$E74-SUM(AP128:AP$136))</f>
        <v>0</v>
      </c>
      <c r="AQ127" s="181">
        <f>(AQ$118&gt;Paramètres!$E74)*(AQ$118-Paramètres!$E74-SUM(AQ128:AQ$136))</f>
        <v>0</v>
      </c>
      <c r="AR127" s="181">
        <f>(AR$118&gt;Paramètres!$E74)*(AR$118-Paramètres!$E74-SUM(AR128:AR$136))</f>
        <v>0</v>
      </c>
      <c r="AS127" s="181">
        <f>(AS$118&gt;Paramètres!$E74)*(AS$118-Paramètres!$E74-SUM(AS128:AS$136))</f>
        <v>0</v>
      </c>
      <c r="AT127" s="181">
        <f>(AT$118&gt;Paramètres!$E74)*(AT$118-Paramètres!$E74-SUM(AT128:AT$136))</f>
        <v>0</v>
      </c>
      <c r="AU127" s="181">
        <f>(AU$118&gt;Paramètres!$E74)*(AU$118-Paramètres!$E74-SUM(AU128:AU$136))</f>
        <v>0</v>
      </c>
      <c r="AV127" s="181">
        <f>(AV$118&gt;Paramètres!$E74)*(AV$118-Paramètres!$E74-SUM(AV128:AV$136))</f>
        <v>0</v>
      </c>
      <c r="AW127" s="181">
        <f>(AW$118&gt;Paramètres!$E74)*(AW$118-Paramètres!$E74-SUM(AW128:AW$136))</f>
        <v>0</v>
      </c>
      <c r="AX127" s="181">
        <f>(AX$118&gt;Paramètres!$E74)*(AX$118-Paramètres!$E74-SUM(AX128:AX$136))</f>
        <v>0</v>
      </c>
      <c r="AY127" s="181">
        <f>(AY$118&gt;Paramètres!$E74)*(AY$118-Paramètres!$E74-SUM(AY128:AY$136))</f>
        <v>0</v>
      </c>
      <c r="AZ127" s="181">
        <f>(AZ$118&gt;Paramètres!$E74)*(AZ$118-Paramètres!$E74-SUM(AZ128:AZ$136))</f>
        <v>0</v>
      </c>
      <c r="BA127" s="181">
        <f>(BA$118&gt;Paramètres!$E74)*(BA$118-Paramètres!$E74-SUM(BA128:BA$136))</f>
        <v>0</v>
      </c>
      <c r="BB127" s="181">
        <f>(BB$118&gt;Paramètres!$E74)*(BB$118-Paramètres!$E74-SUM(BB128:BB$136))</f>
        <v>0</v>
      </c>
      <c r="BC127" s="181">
        <f>(BC$118&gt;Paramètres!$E74)*(BC$118-Paramètres!$E74-SUM(BC128:BC$136))</f>
        <v>0</v>
      </c>
      <c r="BD127" s="181">
        <f>(BD$118&gt;Paramètres!$E74)*(BD$118-Paramètres!$E74-SUM(BD128:BD$136))</f>
        <v>0</v>
      </c>
    </row>
    <row r="128" spans="3:56" ht="15" customHeight="1">
      <c r="C128" s="152"/>
      <c r="D128" s="178" t="s">
        <v>242</v>
      </c>
      <c r="E128" s="128" t="s">
        <v>26</v>
      </c>
      <c r="G128" s="181">
        <f>(G$118&gt;Paramètres!$E75)*(G$118-Paramètres!$E75-SUM(G129:G$136))</f>
        <v>0</v>
      </c>
      <c r="H128" s="181">
        <f>(H$118&gt;Paramètres!$E75)*(H$118-Paramètres!$E75-SUM(H129:H$136))</f>
        <v>0</v>
      </c>
      <c r="I128" s="181">
        <f>(I$118&gt;Paramètres!$E75)*(I$118-Paramètres!$E75-SUM(I129:I$136))</f>
        <v>0</v>
      </c>
      <c r="J128" s="181">
        <f>(J$118&gt;Paramètres!$E75)*(J$118-Paramètres!$E75-SUM(J129:J$136))</f>
        <v>0</v>
      </c>
      <c r="K128" s="181">
        <f>(K$118&gt;Paramètres!$E75)*(K$118-Paramètres!$E75-SUM(K129:K$136))</f>
        <v>0</v>
      </c>
      <c r="L128" s="181">
        <f>(L$118&gt;Paramètres!$E75)*(L$118-Paramètres!$E75-SUM(L129:L$136))</f>
        <v>0</v>
      </c>
      <c r="M128" s="181">
        <f>(M$118&gt;Paramètres!$E75)*(M$118-Paramètres!$E75-SUM(M129:M$136))</f>
        <v>0</v>
      </c>
      <c r="N128" s="181">
        <f>(N$118&gt;Paramètres!$E75)*(N$118-Paramètres!$E75-SUM(N129:N$136))</f>
        <v>0</v>
      </c>
      <c r="O128" s="181">
        <f>(O$118&gt;Paramètres!$E75)*(O$118-Paramètres!$E75-SUM(O129:O$136))</f>
        <v>0</v>
      </c>
      <c r="P128" s="181">
        <f>(P$118&gt;Paramètres!$E75)*(P$118-Paramètres!$E75-SUM(P129:P$136))</f>
        <v>0</v>
      </c>
      <c r="Q128" s="181">
        <f>(Q$118&gt;Paramètres!$E75)*(Q$118-Paramètres!$E75-SUM(Q129:Q$136))</f>
        <v>0</v>
      </c>
      <c r="R128" s="181">
        <f>(R$118&gt;Paramètres!$E75)*(R$118-Paramètres!$E75-SUM(R129:R$136))</f>
        <v>0</v>
      </c>
      <c r="S128" s="181">
        <f>(S$118&gt;Paramètres!$E75)*(S$118-Paramètres!$E75-SUM(S129:S$136))</f>
        <v>0</v>
      </c>
      <c r="T128" s="181">
        <f>(T$118&gt;Paramètres!$E75)*(T$118-Paramètres!$E75-SUM(T129:T$136))</f>
        <v>0</v>
      </c>
      <c r="U128" s="181">
        <f>(U$118&gt;Paramètres!$E75)*(U$118-Paramètres!$E75-SUM(U129:U$136))</f>
        <v>0</v>
      </c>
      <c r="V128" s="181">
        <f>(V$118&gt;Paramètres!$E75)*(V$118-Paramètres!$E75-SUM(V129:V$136))</f>
        <v>0</v>
      </c>
      <c r="W128" s="181">
        <f>(W$118&gt;Paramètres!$E75)*(W$118-Paramètres!$E75-SUM(W129:W$136))</f>
        <v>0</v>
      </c>
      <c r="X128" s="181">
        <f>(X$118&gt;Paramètres!$E75)*(X$118-Paramètres!$E75-SUM(X129:X$136))</f>
        <v>0</v>
      </c>
      <c r="Y128" s="181">
        <f>(Y$118&gt;Paramètres!$E75)*(Y$118-Paramètres!$E75-SUM(Y129:Y$136))</f>
        <v>0</v>
      </c>
      <c r="Z128" s="181">
        <f>(Z$118&gt;Paramètres!$E75)*(Z$118-Paramètres!$E75-SUM(Z129:Z$136))</f>
        <v>0</v>
      </c>
      <c r="AA128" s="181">
        <f>(AA$118&gt;Paramètres!$E75)*(AA$118-Paramètres!$E75-SUM(AA129:AA$136))</f>
        <v>0</v>
      </c>
      <c r="AB128" s="181">
        <f>(AB$118&gt;Paramètres!$E75)*(AB$118-Paramètres!$E75-SUM(AB129:AB$136))</f>
        <v>0</v>
      </c>
      <c r="AC128" s="181">
        <f>(AC$118&gt;Paramètres!$E75)*(AC$118-Paramètres!$E75-SUM(AC129:AC$136))</f>
        <v>0</v>
      </c>
      <c r="AD128" s="181">
        <f>(AD$118&gt;Paramètres!$E75)*(AD$118-Paramètres!$E75-SUM(AD129:AD$136))</f>
        <v>0</v>
      </c>
      <c r="AE128" s="181">
        <f>(AE$118&gt;Paramètres!$E75)*(AE$118-Paramètres!$E75-SUM(AE129:AE$136))</f>
        <v>0</v>
      </c>
      <c r="AF128" s="181">
        <f>(AF$118&gt;Paramètres!$E75)*(AF$118-Paramètres!$E75-SUM(AF129:AF$136))</f>
        <v>0</v>
      </c>
      <c r="AG128" s="181">
        <f>(AG$118&gt;Paramètres!$E75)*(AG$118-Paramètres!$E75-SUM(AG129:AG$136))</f>
        <v>0</v>
      </c>
      <c r="AH128" s="181">
        <f>(AH$118&gt;Paramètres!$E75)*(AH$118-Paramètres!$E75-SUM(AH129:AH$136))</f>
        <v>0</v>
      </c>
      <c r="AI128" s="181">
        <f>(AI$118&gt;Paramètres!$E75)*(AI$118-Paramètres!$E75-SUM(AI129:AI$136))</f>
        <v>0</v>
      </c>
      <c r="AJ128" s="181">
        <f>(AJ$118&gt;Paramètres!$E75)*(AJ$118-Paramètres!$E75-SUM(AJ129:AJ$136))</f>
        <v>0</v>
      </c>
      <c r="AK128" s="181">
        <f>(AK$118&gt;Paramètres!$E75)*(AK$118-Paramètres!$E75-SUM(AK129:AK$136))</f>
        <v>0</v>
      </c>
      <c r="AL128" s="181">
        <f>(AL$118&gt;Paramètres!$E75)*(AL$118-Paramètres!$E75-SUM(AL129:AL$136))</f>
        <v>0</v>
      </c>
      <c r="AM128" s="181">
        <f>(AM$118&gt;Paramètres!$E75)*(AM$118-Paramètres!$E75-SUM(AM129:AM$136))</f>
        <v>0</v>
      </c>
      <c r="AN128" s="181">
        <f>(AN$118&gt;Paramètres!$E75)*(AN$118-Paramètres!$E75-SUM(AN129:AN$136))</f>
        <v>0</v>
      </c>
      <c r="AO128" s="181">
        <f>(AO$118&gt;Paramètres!$E75)*(AO$118-Paramètres!$E75-SUM(AO129:AO$136))</f>
        <v>0</v>
      </c>
      <c r="AP128" s="181">
        <f>(AP$118&gt;Paramètres!$E75)*(AP$118-Paramètres!$E75-SUM(AP129:AP$136))</f>
        <v>0</v>
      </c>
      <c r="AQ128" s="181">
        <f>(AQ$118&gt;Paramètres!$E75)*(AQ$118-Paramètres!$E75-SUM(AQ129:AQ$136))</f>
        <v>0</v>
      </c>
      <c r="AR128" s="181">
        <f>(AR$118&gt;Paramètres!$E75)*(AR$118-Paramètres!$E75-SUM(AR129:AR$136))</f>
        <v>0</v>
      </c>
      <c r="AS128" s="181">
        <f>(AS$118&gt;Paramètres!$E75)*(AS$118-Paramètres!$E75-SUM(AS129:AS$136))</f>
        <v>0</v>
      </c>
      <c r="AT128" s="181">
        <f>(AT$118&gt;Paramètres!$E75)*(AT$118-Paramètres!$E75-SUM(AT129:AT$136))</f>
        <v>0</v>
      </c>
      <c r="AU128" s="181">
        <f>(AU$118&gt;Paramètres!$E75)*(AU$118-Paramètres!$E75-SUM(AU129:AU$136))</f>
        <v>0</v>
      </c>
      <c r="AV128" s="181">
        <f>(AV$118&gt;Paramètres!$E75)*(AV$118-Paramètres!$E75-SUM(AV129:AV$136))</f>
        <v>0</v>
      </c>
      <c r="AW128" s="181">
        <f>(AW$118&gt;Paramètres!$E75)*(AW$118-Paramètres!$E75-SUM(AW129:AW$136))</f>
        <v>0</v>
      </c>
      <c r="AX128" s="181">
        <f>(AX$118&gt;Paramètres!$E75)*(AX$118-Paramètres!$E75-SUM(AX129:AX$136))</f>
        <v>0</v>
      </c>
      <c r="AY128" s="181">
        <f>(AY$118&gt;Paramètres!$E75)*(AY$118-Paramètres!$E75-SUM(AY129:AY$136))</f>
        <v>0</v>
      </c>
      <c r="AZ128" s="181">
        <f>(AZ$118&gt;Paramètres!$E75)*(AZ$118-Paramètres!$E75-SUM(AZ129:AZ$136))</f>
        <v>0</v>
      </c>
      <c r="BA128" s="181">
        <f>(BA$118&gt;Paramètres!$E75)*(BA$118-Paramètres!$E75-SUM(BA129:BA$136))</f>
        <v>0</v>
      </c>
      <c r="BB128" s="181">
        <f>(BB$118&gt;Paramètres!$E75)*(BB$118-Paramètres!$E75-SUM(BB129:BB$136))</f>
        <v>0</v>
      </c>
      <c r="BC128" s="181">
        <f>(BC$118&gt;Paramètres!$E75)*(BC$118-Paramètres!$E75-SUM(BC129:BC$136))</f>
        <v>0</v>
      </c>
      <c r="BD128" s="181">
        <f>(BD$118&gt;Paramètres!$E75)*(BD$118-Paramètres!$E75-SUM(BD129:BD$136))</f>
        <v>0</v>
      </c>
    </row>
    <row r="129" spans="3:56" ht="15" customHeight="1">
      <c r="C129" s="152"/>
      <c r="D129" s="178" t="s">
        <v>243</v>
      </c>
      <c r="E129" s="128" t="s">
        <v>26</v>
      </c>
      <c r="G129" s="181">
        <f>(G$118&gt;Paramètres!$E76)*(G$118-Paramètres!$E76-SUM(G130:G$136))</f>
        <v>0</v>
      </c>
      <c r="H129" s="181">
        <f>(H$118&gt;Paramètres!$E76)*(H$118-Paramètres!$E76-SUM(H130:H$136))</f>
        <v>0</v>
      </c>
      <c r="I129" s="181">
        <f>(I$118&gt;Paramètres!$E76)*(I$118-Paramètres!$E76-SUM(I130:I$136))</f>
        <v>0</v>
      </c>
      <c r="J129" s="181">
        <f>(J$118&gt;Paramètres!$E76)*(J$118-Paramètres!$E76-SUM(J130:J$136))</f>
        <v>0</v>
      </c>
      <c r="K129" s="181">
        <f>(K$118&gt;Paramètres!$E76)*(K$118-Paramètres!$E76-SUM(K130:K$136))</f>
        <v>0</v>
      </c>
      <c r="L129" s="181">
        <f>(L$118&gt;Paramètres!$E76)*(L$118-Paramètres!$E76-SUM(L130:L$136))</f>
        <v>0</v>
      </c>
      <c r="M129" s="181">
        <f>(M$118&gt;Paramètres!$E76)*(M$118-Paramètres!$E76-SUM(M130:M$136))</f>
        <v>0</v>
      </c>
      <c r="N129" s="181">
        <f>(N$118&gt;Paramètres!$E76)*(N$118-Paramètres!$E76-SUM(N130:N$136))</f>
        <v>0</v>
      </c>
      <c r="O129" s="181">
        <f>(O$118&gt;Paramètres!$E76)*(O$118-Paramètres!$E76-SUM(O130:O$136))</f>
        <v>0</v>
      </c>
      <c r="P129" s="181">
        <f>(P$118&gt;Paramètres!$E76)*(P$118-Paramètres!$E76-SUM(P130:P$136))</f>
        <v>0</v>
      </c>
      <c r="Q129" s="181">
        <f>(Q$118&gt;Paramètres!$E76)*(Q$118-Paramètres!$E76-SUM(Q130:Q$136))</f>
        <v>0</v>
      </c>
      <c r="R129" s="181">
        <f>(R$118&gt;Paramètres!$E76)*(R$118-Paramètres!$E76-SUM(R130:R$136))</f>
        <v>0</v>
      </c>
      <c r="S129" s="181">
        <f>(S$118&gt;Paramètres!$E76)*(S$118-Paramètres!$E76-SUM(S130:S$136))</f>
        <v>0</v>
      </c>
      <c r="T129" s="181">
        <f>(T$118&gt;Paramètres!$E76)*(T$118-Paramètres!$E76-SUM(T130:T$136))</f>
        <v>0</v>
      </c>
      <c r="U129" s="181">
        <f>(U$118&gt;Paramètres!$E76)*(U$118-Paramètres!$E76-SUM(U130:U$136))</f>
        <v>0</v>
      </c>
      <c r="V129" s="181">
        <f>(V$118&gt;Paramètres!$E76)*(V$118-Paramètres!$E76-SUM(V130:V$136))</f>
        <v>0</v>
      </c>
      <c r="W129" s="181">
        <f>(W$118&gt;Paramètres!$E76)*(W$118-Paramètres!$E76-SUM(W130:W$136))</f>
        <v>0</v>
      </c>
      <c r="X129" s="181">
        <f>(X$118&gt;Paramètres!$E76)*(X$118-Paramètres!$E76-SUM(X130:X$136))</f>
        <v>0</v>
      </c>
      <c r="Y129" s="181">
        <f>(Y$118&gt;Paramètres!$E76)*(Y$118-Paramètres!$E76-SUM(Y130:Y$136))</f>
        <v>0</v>
      </c>
      <c r="Z129" s="181">
        <f>(Z$118&gt;Paramètres!$E76)*(Z$118-Paramètres!$E76-SUM(Z130:Z$136))</f>
        <v>0</v>
      </c>
      <c r="AA129" s="181">
        <f>(AA$118&gt;Paramètres!$E76)*(AA$118-Paramètres!$E76-SUM(AA130:AA$136))</f>
        <v>0</v>
      </c>
      <c r="AB129" s="181">
        <f>(AB$118&gt;Paramètres!$E76)*(AB$118-Paramètres!$E76-SUM(AB130:AB$136))</f>
        <v>0</v>
      </c>
      <c r="AC129" s="181">
        <f>(AC$118&gt;Paramètres!$E76)*(AC$118-Paramètres!$E76-SUM(AC130:AC$136))</f>
        <v>0</v>
      </c>
      <c r="AD129" s="181">
        <f>(AD$118&gt;Paramètres!$E76)*(AD$118-Paramètres!$E76-SUM(AD130:AD$136))</f>
        <v>0</v>
      </c>
      <c r="AE129" s="181">
        <f>(AE$118&gt;Paramètres!$E76)*(AE$118-Paramètres!$E76-SUM(AE130:AE$136))</f>
        <v>0</v>
      </c>
      <c r="AF129" s="181">
        <f>(AF$118&gt;Paramètres!$E76)*(AF$118-Paramètres!$E76-SUM(AF130:AF$136))</f>
        <v>0</v>
      </c>
      <c r="AG129" s="181">
        <f>(AG$118&gt;Paramètres!$E76)*(AG$118-Paramètres!$E76-SUM(AG130:AG$136))</f>
        <v>0</v>
      </c>
      <c r="AH129" s="181">
        <f>(AH$118&gt;Paramètres!$E76)*(AH$118-Paramètres!$E76-SUM(AH130:AH$136))</f>
        <v>0</v>
      </c>
      <c r="AI129" s="181">
        <f>(AI$118&gt;Paramètres!$E76)*(AI$118-Paramètres!$E76-SUM(AI130:AI$136))</f>
        <v>0</v>
      </c>
      <c r="AJ129" s="181">
        <f>(AJ$118&gt;Paramètres!$E76)*(AJ$118-Paramètres!$E76-SUM(AJ130:AJ$136))</f>
        <v>0</v>
      </c>
      <c r="AK129" s="181">
        <f>(AK$118&gt;Paramètres!$E76)*(AK$118-Paramètres!$E76-SUM(AK130:AK$136))</f>
        <v>0</v>
      </c>
      <c r="AL129" s="181">
        <f>(AL$118&gt;Paramètres!$E76)*(AL$118-Paramètres!$E76-SUM(AL130:AL$136))</f>
        <v>0</v>
      </c>
      <c r="AM129" s="181">
        <f>(AM$118&gt;Paramètres!$E76)*(AM$118-Paramètres!$E76-SUM(AM130:AM$136))</f>
        <v>0</v>
      </c>
      <c r="AN129" s="181">
        <f>(AN$118&gt;Paramètres!$E76)*(AN$118-Paramètres!$E76-SUM(AN130:AN$136))</f>
        <v>0</v>
      </c>
      <c r="AO129" s="181">
        <f>(AO$118&gt;Paramètres!$E76)*(AO$118-Paramètres!$E76-SUM(AO130:AO$136))</f>
        <v>0</v>
      </c>
      <c r="AP129" s="181">
        <f>(AP$118&gt;Paramètres!$E76)*(AP$118-Paramètres!$E76-SUM(AP130:AP$136))</f>
        <v>0</v>
      </c>
      <c r="AQ129" s="181">
        <f>(AQ$118&gt;Paramètres!$E76)*(AQ$118-Paramètres!$E76-SUM(AQ130:AQ$136))</f>
        <v>0</v>
      </c>
      <c r="AR129" s="181">
        <f>(AR$118&gt;Paramètres!$E76)*(AR$118-Paramètres!$E76-SUM(AR130:AR$136))</f>
        <v>0</v>
      </c>
      <c r="AS129" s="181">
        <f>(AS$118&gt;Paramètres!$E76)*(AS$118-Paramètres!$E76-SUM(AS130:AS$136))</f>
        <v>0</v>
      </c>
      <c r="AT129" s="181">
        <f>(AT$118&gt;Paramètres!$E76)*(AT$118-Paramètres!$E76-SUM(AT130:AT$136))</f>
        <v>0</v>
      </c>
      <c r="AU129" s="181">
        <f>(AU$118&gt;Paramètres!$E76)*(AU$118-Paramètres!$E76-SUM(AU130:AU$136))</f>
        <v>0</v>
      </c>
      <c r="AV129" s="181">
        <f>(AV$118&gt;Paramètres!$E76)*(AV$118-Paramètres!$E76-SUM(AV130:AV$136))</f>
        <v>0</v>
      </c>
      <c r="AW129" s="181">
        <f>(AW$118&gt;Paramètres!$E76)*(AW$118-Paramètres!$E76-SUM(AW130:AW$136))</f>
        <v>0</v>
      </c>
      <c r="AX129" s="181">
        <f>(AX$118&gt;Paramètres!$E76)*(AX$118-Paramètres!$E76-SUM(AX130:AX$136))</f>
        <v>0</v>
      </c>
      <c r="AY129" s="181">
        <f>(AY$118&gt;Paramètres!$E76)*(AY$118-Paramètres!$E76-SUM(AY130:AY$136))</f>
        <v>0</v>
      </c>
      <c r="AZ129" s="181">
        <f>(AZ$118&gt;Paramètres!$E76)*(AZ$118-Paramètres!$E76-SUM(AZ130:AZ$136))</f>
        <v>0</v>
      </c>
      <c r="BA129" s="181">
        <f>(BA$118&gt;Paramètres!$E76)*(BA$118-Paramètres!$E76-SUM(BA130:BA$136))</f>
        <v>0</v>
      </c>
      <c r="BB129" s="181">
        <f>(BB$118&gt;Paramètres!$E76)*(BB$118-Paramètres!$E76-SUM(BB130:BB$136))</f>
        <v>0</v>
      </c>
      <c r="BC129" s="181">
        <f>(BC$118&gt;Paramètres!$E76)*(BC$118-Paramètres!$E76-SUM(BC130:BC$136))</f>
        <v>0</v>
      </c>
      <c r="BD129" s="181">
        <f>(BD$118&gt;Paramètres!$E76)*(BD$118-Paramètres!$E76-SUM(BD130:BD$136))</f>
        <v>0</v>
      </c>
    </row>
    <row r="130" spans="3:56" ht="15" customHeight="1">
      <c r="C130" s="152"/>
      <c r="D130" s="178" t="s">
        <v>244</v>
      </c>
      <c r="E130" s="128" t="s">
        <v>26</v>
      </c>
      <c r="G130" s="181">
        <f>(G$118&gt;Paramètres!$E77)*(G$118-Paramètres!$E77-SUM(G131:G$136))</f>
        <v>0</v>
      </c>
      <c r="H130" s="181">
        <f>(H$118&gt;Paramètres!$E77)*(H$118-Paramètres!$E77-SUM(H131:H$136))</f>
        <v>0</v>
      </c>
      <c r="I130" s="181">
        <f>(I$118&gt;Paramètres!$E77)*(I$118-Paramètres!$E77-SUM(I131:I$136))</f>
        <v>0</v>
      </c>
      <c r="J130" s="181">
        <f>(J$118&gt;Paramètres!$E77)*(J$118-Paramètres!$E77-SUM(J131:J$136))</f>
        <v>0</v>
      </c>
      <c r="K130" s="181">
        <f>(K$118&gt;Paramètres!$E77)*(K$118-Paramètres!$E77-SUM(K131:K$136))</f>
        <v>0</v>
      </c>
      <c r="L130" s="181">
        <f>(L$118&gt;Paramètres!$E77)*(L$118-Paramètres!$E77-SUM(L131:L$136))</f>
        <v>0</v>
      </c>
      <c r="M130" s="181">
        <f>(M$118&gt;Paramètres!$E77)*(M$118-Paramètres!$E77-SUM(M131:M$136))</f>
        <v>0</v>
      </c>
      <c r="N130" s="181">
        <f>(N$118&gt;Paramètres!$E77)*(N$118-Paramètres!$E77-SUM(N131:N$136))</f>
        <v>0</v>
      </c>
      <c r="O130" s="181">
        <f>(O$118&gt;Paramètres!$E77)*(O$118-Paramètres!$E77-SUM(O131:O$136))</f>
        <v>0</v>
      </c>
      <c r="P130" s="181">
        <f>(P$118&gt;Paramètres!$E77)*(P$118-Paramètres!$E77-SUM(P131:P$136))</f>
        <v>0</v>
      </c>
      <c r="Q130" s="181">
        <f>(Q$118&gt;Paramètres!$E77)*(Q$118-Paramètres!$E77-SUM(Q131:Q$136))</f>
        <v>0</v>
      </c>
      <c r="R130" s="181">
        <f>(R$118&gt;Paramètres!$E77)*(R$118-Paramètres!$E77-SUM(R131:R$136))</f>
        <v>0</v>
      </c>
      <c r="S130" s="181">
        <f>(S$118&gt;Paramètres!$E77)*(S$118-Paramètres!$E77-SUM(S131:S$136))</f>
        <v>0</v>
      </c>
      <c r="T130" s="181">
        <f>(T$118&gt;Paramètres!$E77)*(T$118-Paramètres!$E77-SUM(T131:T$136))</f>
        <v>0</v>
      </c>
      <c r="U130" s="181">
        <f>(U$118&gt;Paramètres!$E77)*(U$118-Paramètres!$E77-SUM(U131:U$136))</f>
        <v>0</v>
      </c>
      <c r="V130" s="181">
        <f>(V$118&gt;Paramètres!$E77)*(V$118-Paramètres!$E77-SUM(V131:V$136))</f>
        <v>0</v>
      </c>
      <c r="W130" s="181">
        <f>(W$118&gt;Paramètres!$E77)*(W$118-Paramètres!$E77-SUM(W131:W$136))</f>
        <v>0</v>
      </c>
      <c r="X130" s="181">
        <f>(X$118&gt;Paramètres!$E77)*(X$118-Paramètres!$E77-SUM(X131:X$136))</f>
        <v>0</v>
      </c>
      <c r="Y130" s="181">
        <f>(Y$118&gt;Paramètres!$E77)*(Y$118-Paramètres!$E77-SUM(Y131:Y$136))</f>
        <v>0</v>
      </c>
      <c r="Z130" s="181">
        <f>(Z$118&gt;Paramètres!$E77)*(Z$118-Paramètres!$E77-SUM(Z131:Z$136))</f>
        <v>0</v>
      </c>
      <c r="AA130" s="181">
        <f>(AA$118&gt;Paramètres!$E77)*(AA$118-Paramètres!$E77-SUM(AA131:AA$136))</f>
        <v>0</v>
      </c>
      <c r="AB130" s="181">
        <f>(AB$118&gt;Paramètres!$E77)*(AB$118-Paramètres!$E77-SUM(AB131:AB$136))</f>
        <v>0</v>
      </c>
      <c r="AC130" s="181">
        <f>(AC$118&gt;Paramètres!$E77)*(AC$118-Paramètres!$E77-SUM(AC131:AC$136))</f>
        <v>0</v>
      </c>
      <c r="AD130" s="181">
        <f>(AD$118&gt;Paramètres!$E77)*(AD$118-Paramètres!$E77-SUM(AD131:AD$136))</f>
        <v>0</v>
      </c>
      <c r="AE130" s="181">
        <f>(AE$118&gt;Paramètres!$E77)*(AE$118-Paramètres!$E77-SUM(AE131:AE$136))</f>
        <v>0</v>
      </c>
      <c r="AF130" s="181">
        <f>(AF$118&gt;Paramètres!$E77)*(AF$118-Paramètres!$E77-SUM(AF131:AF$136))</f>
        <v>0</v>
      </c>
      <c r="AG130" s="181">
        <f>(AG$118&gt;Paramètres!$E77)*(AG$118-Paramètres!$E77-SUM(AG131:AG$136))</f>
        <v>0</v>
      </c>
      <c r="AH130" s="181">
        <f>(AH$118&gt;Paramètres!$E77)*(AH$118-Paramètres!$E77-SUM(AH131:AH$136))</f>
        <v>0</v>
      </c>
      <c r="AI130" s="181">
        <f>(AI$118&gt;Paramètres!$E77)*(AI$118-Paramètres!$E77-SUM(AI131:AI$136))</f>
        <v>0</v>
      </c>
      <c r="AJ130" s="181">
        <f>(AJ$118&gt;Paramètres!$E77)*(AJ$118-Paramètres!$E77-SUM(AJ131:AJ$136))</f>
        <v>0</v>
      </c>
      <c r="AK130" s="181">
        <f>(AK$118&gt;Paramètres!$E77)*(AK$118-Paramètres!$E77-SUM(AK131:AK$136))</f>
        <v>0</v>
      </c>
      <c r="AL130" s="181">
        <f>(AL$118&gt;Paramètres!$E77)*(AL$118-Paramètres!$E77-SUM(AL131:AL$136))</f>
        <v>0</v>
      </c>
      <c r="AM130" s="181">
        <f>(AM$118&gt;Paramètres!$E77)*(AM$118-Paramètres!$E77-SUM(AM131:AM$136))</f>
        <v>0</v>
      </c>
      <c r="AN130" s="181">
        <f>(AN$118&gt;Paramètres!$E77)*(AN$118-Paramètres!$E77-SUM(AN131:AN$136))</f>
        <v>0</v>
      </c>
      <c r="AO130" s="181">
        <f>(AO$118&gt;Paramètres!$E77)*(AO$118-Paramètres!$E77-SUM(AO131:AO$136))</f>
        <v>0</v>
      </c>
      <c r="AP130" s="181">
        <f>(AP$118&gt;Paramètres!$E77)*(AP$118-Paramètres!$E77-SUM(AP131:AP$136))</f>
        <v>0</v>
      </c>
      <c r="AQ130" s="181">
        <f>(AQ$118&gt;Paramètres!$E77)*(AQ$118-Paramètres!$E77-SUM(AQ131:AQ$136))</f>
        <v>0</v>
      </c>
      <c r="AR130" s="181">
        <f>(AR$118&gt;Paramètres!$E77)*(AR$118-Paramètres!$E77-SUM(AR131:AR$136))</f>
        <v>0</v>
      </c>
      <c r="AS130" s="181">
        <f>(AS$118&gt;Paramètres!$E77)*(AS$118-Paramètres!$E77-SUM(AS131:AS$136))</f>
        <v>0</v>
      </c>
      <c r="AT130" s="181">
        <f>(AT$118&gt;Paramètres!$E77)*(AT$118-Paramètres!$E77-SUM(AT131:AT$136))</f>
        <v>0</v>
      </c>
      <c r="AU130" s="181">
        <f>(AU$118&gt;Paramètres!$E77)*(AU$118-Paramètres!$E77-SUM(AU131:AU$136))</f>
        <v>0</v>
      </c>
      <c r="AV130" s="181">
        <f>(AV$118&gt;Paramètres!$E77)*(AV$118-Paramètres!$E77-SUM(AV131:AV$136))</f>
        <v>0</v>
      </c>
      <c r="AW130" s="181">
        <f>(AW$118&gt;Paramètres!$E77)*(AW$118-Paramètres!$E77-SUM(AW131:AW$136))</f>
        <v>0</v>
      </c>
      <c r="AX130" s="181">
        <f>(AX$118&gt;Paramètres!$E77)*(AX$118-Paramètres!$E77-SUM(AX131:AX$136))</f>
        <v>0</v>
      </c>
      <c r="AY130" s="181">
        <f>(AY$118&gt;Paramètres!$E77)*(AY$118-Paramètres!$E77-SUM(AY131:AY$136))</f>
        <v>0</v>
      </c>
      <c r="AZ130" s="181">
        <f>(AZ$118&gt;Paramètres!$E77)*(AZ$118-Paramètres!$E77-SUM(AZ131:AZ$136))</f>
        <v>0</v>
      </c>
      <c r="BA130" s="181">
        <f>(BA$118&gt;Paramètres!$E77)*(BA$118-Paramètres!$E77-SUM(BA131:BA$136))</f>
        <v>0</v>
      </c>
      <c r="BB130" s="181">
        <f>(BB$118&gt;Paramètres!$E77)*(BB$118-Paramètres!$E77-SUM(BB131:BB$136))</f>
        <v>0</v>
      </c>
      <c r="BC130" s="181">
        <f>(BC$118&gt;Paramètres!$E77)*(BC$118-Paramètres!$E77-SUM(BC131:BC$136))</f>
        <v>0</v>
      </c>
      <c r="BD130" s="181">
        <f>(BD$118&gt;Paramètres!$E77)*(BD$118-Paramètres!$E77-SUM(BD131:BD$136))</f>
        <v>0</v>
      </c>
    </row>
    <row r="131" spans="3:56" ht="15" customHeight="1">
      <c r="C131" s="152"/>
      <c r="D131" s="178" t="s">
        <v>245</v>
      </c>
      <c r="E131" s="128" t="s">
        <v>26</v>
      </c>
      <c r="G131" s="181">
        <f>(G$118&gt;Paramètres!$E78)*(G$118-Paramètres!$E78-SUM(G132:G$136))</f>
        <v>0</v>
      </c>
      <c r="H131" s="181">
        <f>(H$118&gt;Paramètres!$E78)*(H$118-Paramètres!$E78-SUM(H132:H$136))</f>
        <v>0</v>
      </c>
      <c r="I131" s="181">
        <f>(I$118&gt;Paramètres!$E78)*(I$118-Paramètres!$E78-SUM(I132:I$136))</f>
        <v>0</v>
      </c>
      <c r="J131" s="181">
        <f>(J$118&gt;Paramètres!$E78)*(J$118-Paramètres!$E78-SUM(J132:J$136))</f>
        <v>0</v>
      </c>
      <c r="K131" s="181">
        <f>(K$118&gt;Paramètres!$E78)*(K$118-Paramètres!$E78-SUM(K132:K$136))</f>
        <v>0</v>
      </c>
      <c r="L131" s="181">
        <f>(L$118&gt;Paramètres!$E78)*(L$118-Paramètres!$E78-SUM(L132:L$136))</f>
        <v>0</v>
      </c>
      <c r="M131" s="181">
        <f>(M$118&gt;Paramètres!$E78)*(M$118-Paramètres!$E78-SUM(M132:M$136))</f>
        <v>0</v>
      </c>
      <c r="N131" s="181">
        <f>(N$118&gt;Paramètres!$E78)*(N$118-Paramètres!$E78-SUM(N132:N$136))</f>
        <v>0</v>
      </c>
      <c r="O131" s="181">
        <f>(O$118&gt;Paramètres!$E78)*(O$118-Paramètres!$E78-SUM(O132:O$136))</f>
        <v>0</v>
      </c>
      <c r="P131" s="181">
        <f>(P$118&gt;Paramètres!$E78)*(P$118-Paramètres!$E78-SUM(P132:P$136))</f>
        <v>0</v>
      </c>
      <c r="Q131" s="181">
        <f>(Q$118&gt;Paramètres!$E78)*(Q$118-Paramètres!$E78-SUM(Q132:Q$136))</f>
        <v>0</v>
      </c>
      <c r="R131" s="181">
        <f>(R$118&gt;Paramètres!$E78)*(R$118-Paramètres!$E78-SUM(R132:R$136))</f>
        <v>0</v>
      </c>
      <c r="S131" s="181">
        <f>(S$118&gt;Paramètres!$E78)*(S$118-Paramètres!$E78-SUM(S132:S$136))</f>
        <v>0</v>
      </c>
      <c r="T131" s="181">
        <f>(T$118&gt;Paramètres!$E78)*(T$118-Paramètres!$E78-SUM(T132:T$136))</f>
        <v>0</v>
      </c>
      <c r="U131" s="181">
        <f>(U$118&gt;Paramètres!$E78)*(U$118-Paramètres!$E78-SUM(U132:U$136))</f>
        <v>0</v>
      </c>
      <c r="V131" s="181">
        <f>(V$118&gt;Paramètres!$E78)*(V$118-Paramètres!$E78-SUM(V132:V$136))</f>
        <v>0</v>
      </c>
      <c r="W131" s="181">
        <f>(W$118&gt;Paramètres!$E78)*(W$118-Paramètres!$E78-SUM(W132:W$136))</f>
        <v>0</v>
      </c>
      <c r="X131" s="181">
        <f>(X$118&gt;Paramètres!$E78)*(X$118-Paramètres!$E78-SUM(X132:X$136))</f>
        <v>0</v>
      </c>
      <c r="Y131" s="181">
        <f>(Y$118&gt;Paramètres!$E78)*(Y$118-Paramètres!$E78-SUM(Y132:Y$136))</f>
        <v>0</v>
      </c>
      <c r="Z131" s="181">
        <f>(Z$118&gt;Paramètres!$E78)*(Z$118-Paramètres!$E78-SUM(Z132:Z$136))</f>
        <v>0</v>
      </c>
      <c r="AA131" s="181">
        <f>(AA$118&gt;Paramètres!$E78)*(AA$118-Paramètres!$E78-SUM(AA132:AA$136))</f>
        <v>0</v>
      </c>
      <c r="AB131" s="181">
        <f>(AB$118&gt;Paramètres!$E78)*(AB$118-Paramètres!$E78-SUM(AB132:AB$136))</f>
        <v>0</v>
      </c>
      <c r="AC131" s="181">
        <f>(AC$118&gt;Paramètres!$E78)*(AC$118-Paramètres!$E78-SUM(AC132:AC$136))</f>
        <v>0</v>
      </c>
      <c r="AD131" s="181">
        <f>(AD$118&gt;Paramètres!$E78)*(AD$118-Paramètres!$E78-SUM(AD132:AD$136))</f>
        <v>0</v>
      </c>
      <c r="AE131" s="181">
        <f>(AE$118&gt;Paramètres!$E78)*(AE$118-Paramètres!$E78-SUM(AE132:AE$136))</f>
        <v>0</v>
      </c>
      <c r="AF131" s="181">
        <f>(AF$118&gt;Paramètres!$E78)*(AF$118-Paramètres!$E78-SUM(AF132:AF$136))</f>
        <v>0</v>
      </c>
      <c r="AG131" s="181">
        <f>(AG$118&gt;Paramètres!$E78)*(AG$118-Paramètres!$E78-SUM(AG132:AG$136))</f>
        <v>0</v>
      </c>
      <c r="AH131" s="181">
        <f>(AH$118&gt;Paramètres!$E78)*(AH$118-Paramètres!$E78-SUM(AH132:AH$136))</f>
        <v>0</v>
      </c>
      <c r="AI131" s="181">
        <f>(AI$118&gt;Paramètres!$E78)*(AI$118-Paramètres!$E78-SUM(AI132:AI$136))</f>
        <v>0</v>
      </c>
      <c r="AJ131" s="181">
        <f>(AJ$118&gt;Paramètres!$E78)*(AJ$118-Paramètres!$E78-SUM(AJ132:AJ$136))</f>
        <v>0</v>
      </c>
      <c r="AK131" s="181">
        <f>(AK$118&gt;Paramètres!$E78)*(AK$118-Paramètres!$E78-SUM(AK132:AK$136))</f>
        <v>0</v>
      </c>
      <c r="AL131" s="181">
        <f>(AL$118&gt;Paramètres!$E78)*(AL$118-Paramètres!$E78-SUM(AL132:AL$136))</f>
        <v>0</v>
      </c>
      <c r="AM131" s="181">
        <f>(AM$118&gt;Paramètres!$E78)*(AM$118-Paramètres!$E78-SUM(AM132:AM$136))</f>
        <v>0</v>
      </c>
      <c r="AN131" s="181">
        <f>(AN$118&gt;Paramètres!$E78)*(AN$118-Paramètres!$E78-SUM(AN132:AN$136))</f>
        <v>0</v>
      </c>
      <c r="AO131" s="181">
        <f>(AO$118&gt;Paramètres!$E78)*(AO$118-Paramètres!$E78-SUM(AO132:AO$136))</f>
        <v>0</v>
      </c>
      <c r="AP131" s="181">
        <f>(AP$118&gt;Paramètres!$E78)*(AP$118-Paramètres!$E78-SUM(AP132:AP$136))</f>
        <v>0</v>
      </c>
      <c r="AQ131" s="181">
        <f>(AQ$118&gt;Paramètres!$E78)*(AQ$118-Paramètres!$E78-SUM(AQ132:AQ$136))</f>
        <v>0</v>
      </c>
      <c r="AR131" s="181">
        <f>(AR$118&gt;Paramètres!$E78)*(AR$118-Paramètres!$E78-SUM(AR132:AR$136))</f>
        <v>0</v>
      </c>
      <c r="AS131" s="181">
        <f>(AS$118&gt;Paramètres!$E78)*(AS$118-Paramètres!$E78-SUM(AS132:AS$136))</f>
        <v>0</v>
      </c>
      <c r="AT131" s="181">
        <f>(AT$118&gt;Paramètres!$E78)*(AT$118-Paramètres!$E78-SUM(AT132:AT$136))</f>
        <v>0</v>
      </c>
      <c r="AU131" s="181">
        <f>(AU$118&gt;Paramètres!$E78)*(AU$118-Paramètres!$E78-SUM(AU132:AU$136))</f>
        <v>0</v>
      </c>
      <c r="AV131" s="181">
        <f>(AV$118&gt;Paramètres!$E78)*(AV$118-Paramètres!$E78-SUM(AV132:AV$136))</f>
        <v>0</v>
      </c>
      <c r="AW131" s="181">
        <f>(AW$118&gt;Paramètres!$E78)*(AW$118-Paramètres!$E78-SUM(AW132:AW$136))</f>
        <v>0</v>
      </c>
      <c r="AX131" s="181">
        <f>(AX$118&gt;Paramètres!$E78)*(AX$118-Paramètres!$E78-SUM(AX132:AX$136))</f>
        <v>0</v>
      </c>
      <c r="AY131" s="181">
        <f>(AY$118&gt;Paramètres!$E78)*(AY$118-Paramètres!$E78-SUM(AY132:AY$136))</f>
        <v>0</v>
      </c>
      <c r="AZ131" s="181">
        <f>(AZ$118&gt;Paramètres!$E78)*(AZ$118-Paramètres!$E78-SUM(AZ132:AZ$136))</f>
        <v>0</v>
      </c>
      <c r="BA131" s="181">
        <f>(BA$118&gt;Paramètres!$E78)*(BA$118-Paramètres!$E78-SUM(BA132:BA$136))</f>
        <v>0</v>
      </c>
      <c r="BB131" s="181">
        <f>(BB$118&gt;Paramètres!$E78)*(BB$118-Paramètres!$E78-SUM(BB132:BB$136))</f>
        <v>0</v>
      </c>
      <c r="BC131" s="181">
        <f>(BC$118&gt;Paramètres!$E78)*(BC$118-Paramètres!$E78-SUM(BC132:BC$136))</f>
        <v>0</v>
      </c>
      <c r="BD131" s="181">
        <f>(BD$118&gt;Paramètres!$E78)*(BD$118-Paramètres!$E78-SUM(BD132:BD$136))</f>
        <v>0</v>
      </c>
    </row>
    <row r="132" spans="3:56" ht="15" customHeight="1">
      <c r="C132" s="152"/>
      <c r="D132" s="178" t="s">
        <v>246</v>
      </c>
      <c r="E132" s="128" t="s">
        <v>26</v>
      </c>
      <c r="G132" s="181">
        <f>(G$118&gt;Paramètres!$E79)*(G$118-Paramètres!$E79-SUM(G133:G$136))</f>
        <v>0</v>
      </c>
      <c r="H132" s="181">
        <f>(H$118&gt;Paramètres!$E79)*(H$118-Paramètres!$E79-SUM(H133:H$136))</f>
        <v>0</v>
      </c>
      <c r="I132" s="181">
        <f>(I$118&gt;Paramètres!$E79)*(I$118-Paramètres!$E79-SUM(I133:I$136))</f>
        <v>0</v>
      </c>
      <c r="J132" s="181">
        <f>(J$118&gt;Paramètres!$E79)*(J$118-Paramètres!$E79-SUM(J133:J$136))</f>
        <v>0</v>
      </c>
      <c r="K132" s="181">
        <f>(K$118&gt;Paramètres!$E79)*(K$118-Paramètres!$E79-SUM(K133:K$136))</f>
        <v>0</v>
      </c>
      <c r="L132" s="181">
        <f>(L$118&gt;Paramètres!$E79)*(L$118-Paramètres!$E79-SUM(L133:L$136))</f>
        <v>0</v>
      </c>
      <c r="M132" s="181">
        <f>(M$118&gt;Paramètres!$E79)*(M$118-Paramètres!$E79-SUM(M133:M$136))</f>
        <v>0</v>
      </c>
      <c r="N132" s="181">
        <f>(N$118&gt;Paramètres!$E79)*(N$118-Paramètres!$E79-SUM(N133:N$136))</f>
        <v>0</v>
      </c>
      <c r="O132" s="181">
        <f>(O$118&gt;Paramètres!$E79)*(O$118-Paramètres!$E79-SUM(O133:O$136))</f>
        <v>0</v>
      </c>
      <c r="P132" s="181">
        <f>(P$118&gt;Paramètres!$E79)*(P$118-Paramètres!$E79-SUM(P133:P$136))</f>
        <v>0</v>
      </c>
      <c r="Q132" s="181">
        <f>(Q$118&gt;Paramètres!$E79)*(Q$118-Paramètres!$E79-SUM(Q133:Q$136))</f>
        <v>0</v>
      </c>
      <c r="R132" s="181">
        <f>(R$118&gt;Paramètres!$E79)*(R$118-Paramètres!$E79-SUM(R133:R$136))</f>
        <v>0</v>
      </c>
      <c r="S132" s="181">
        <f>(S$118&gt;Paramètres!$E79)*(S$118-Paramètres!$E79-SUM(S133:S$136))</f>
        <v>0</v>
      </c>
      <c r="T132" s="181">
        <f>(T$118&gt;Paramètres!$E79)*(T$118-Paramètres!$E79-SUM(T133:T$136))</f>
        <v>0</v>
      </c>
      <c r="U132" s="181">
        <f>(U$118&gt;Paramètres!$E79)*(U$118-Paramètres!$E79-SUM(U133:U$136))</f>
        <v>0</v>
      </c>
      <c r="V132" s="181">
        <f>(V$118&gt;Paramètres!$E79)*(V$118-Paramètres!$E79-SUM(V133:V$136))</f>
        <v>0</v>
      </c>
      <c r="W132" s="181">
        <f>(W$118&gt;Paramètres!$E79)*(W$118-Paramètres!$E79-SUM(W133:W$136))</f>
        <v>0</v>
      </c>
      <c r="X132" s="181">
        <f>(X$118&gt;Paramètres!$E79)*(X$118-Paramètres!$E79-SUM(X133:X$136))</f>
        <v>0</v>
      </c>
      <c r="Y132" s="181">
        <f>(Y$118&gt;Paramètres!$E79)*(Y$118-Paramètres!$E79-SUM(Y133:Y$136))</f>
        <v>0</v>
      </c>
      <c r="Z132" s="181">
        <f>(Z$118&gt;Paramètres!$E79)*(Z$118-Paramètres!$E79-SUM(Z133:Z$136))</f>
        <v>0</v>
      </c>
      <c r="AA132" s="181">
        <f>(AA$118&gt;Paramètres!$E79)*(AA$118-Paramètres!$E79-SUM(AA133:AA$136))</f>
        <v>0</v>
      </c>
      <c r="AB132" s="181">
        <f>(AB$118&gt;Paramètres!$E79)*(AB$118-Paramètres!$E79-SUM(AB133:AB$136))</f>
        <v>0</v>
      </c>
      <c r="AC132" s="181">
        <f>(AC$118&gt;Paramètres!$E79)*(AC$118-Paramètres!$E79-SUM(AC133:AC$136))</f>
        <v>0</v>
      </c>
      <c r="AD132" s="181">
        <f>(AD$118&gt;Paramètres!$E79)*(AD$118-Paramètres!$E79-SUM(AD133:AD$136))</f>
        <v>0</v>
      </c>
      <c r="AE132" s="181">
        <f>(AE$118&gt;Paramètres!$E79)*(AE$118-Paramètres!$E79-SUM(AE133:AE$136))</f>
        <v>0</v>
      </c>
      <c r="AF132" s="181">
        <f>(AF$118&gt;Paramètres!$E79)*(AF$118-Paramètres!$E79-SUM(AF133:AF$136))</f>
        <v>0</v>
      </c>
      <c r="AG132" s="181">
        <f>(AG$118&gt;Paramètres!$E79)*(AG$118-Paramètres!$E79-SUM(AG133:AG$136))</f>
        <v>0</v>
      </c>
      <c r="AH132" s="181">
        <f>(AH$118&gt;Paramètres!$E79)*(AH$118-Paramètres!$E79-SUM(AH133:AH$136))</f>
        <v>0</v>
      </c>
      <c r="AI132" s="181">
        <f>(AI$118&gt;Paramètres!$E79)*(AI$118-Paramètres!$E79-SUM(AI133:AI$136))</f>
        <v>0</v>
      </c>
      <c r="AJ132" s="181">
        <f>(AJ$118&gt;Paramètres!$E79)*(AJ$118-Paramètres!$E79-SUM(AJ133:AJ$136))</f>
        <v>0</v>
      </c>
      <c r="AK132" s="181">
        <f>(AK$118&gt;Paramètres!$E79)*(AK$118-Paramètres!$E79-SUM(AK133:AK$136))</f>
        <v>0</v>
      </c>
      <c r="AL132" s="181">
        <f>(AL$118&gt;Paramètres!$E79)*(AL$118-Paramètres!$E79-SUM(AL133:AL$136))</f>
        <v>0</v>
      </c>
      <c r="AM132" s="181">
        <f>(AM$118&gt;Paramètres!$E79)*(AM$118-Paramètres!$E79-SUM(AM133:AM$136))</f>
        <v>0</v>
      </c>
      <c r="AN132" s="181">
        <f>(AN$118&gt;Paramètres!$E79)*(AN$118-Paramètres!$E79-SUM(AN133:AN$136))</f>
        <v>0</v>
      </c>
      <c r="AO132" s="181">
        <f>(AO$118&gt;Paramètres!$E79)*(AO$118-Paramètres!$E79-SUM(AO133:AO$136))</f>
        <v>0</v>
      </c>
      <c r="AP132" s="181">
        <f>(AP$118&gt;Paramètres!$E79)*(AP$118-Paramètres!$E79-SUM(AP133:AP$136))</f>
        <v>0</v>
      </c>
      <c r="AQ132" s="181">
        <f>(AQ$118&gt;Paramètres!$E79)*(AQ$118-Paramètres!$E79-SUM(AQ133:AQ$136))</f>
        <v>0</v>
      </c>
      <c r="AR132" s="181">
        <f>(AR$118&gt;Paramètres!$E79)*(AR$118-Paramètres!$E79-SUM(AR133:AR$136))</f>
        <v>0</v>
      </c>
      <c r="AS132" s="181">
        <f>(AS$118&gt;Paramètres!$E79)*(AS$118-Paramètres!$E79-SUM(AS133:AS$136))</f>
        <v>0</v>
      </c>
      <c r="AT132" s="181">
        <f>(AT$118&gt;Paramètres!$E79)*(AT$118-Paramètres!$E79-SUM(AT133:AT$136))</f>
        <v>0</v>
      </c>
      <c r="AU132" s="181">
        <f>(AU$118&gt;Paramètres!$E79)*(AU$118-Paramètres!$E79-SUM(AU133:AU$136))</f>
        <v>0</v>
      </c>
      <c r="AV132" s="181">
        <f>(AV$118&gt;Paramètres!$E79)*(AV$118-Paramètres!$E79-SUM(AV133:AV$136))</f>
        <v>0</v>
      </c>
      <c r="AW132" s="181">
        <f>(AW$118&gt;Paramètres!$E79)*(AW$118-Paramètres!$E79-SUM(AW133:AW$136))</f>
        <v>0</v>
      </c>
      <c r="AX132" s="181">
        <f>(AX$118&gt;Paramètres!$E79)*(AX$118-Paramètres!$E79-SUM(AX133:AX$136))</f>
        <v>0</v>
      </c>
      <c r="AY132" s="181">
        <f>(AY$118&gt;Paramètres!$E79)*(AY$118-Paramètres!$E79-SUM(AY133:AY$136))</f>
        <v>0</v>
      </c>
      <c r="AZ132" s="181">
        <f>(AZ$118&gt;Paramètres!$E79)*(AZ$118-Paramètres!$E79-SUM(AZ133:AZ$136))</f>
        <v>0</v>
      </c>
      <c r="BA132" s="181">
        <f>(BA$118&gt;Paramètres!$E79)*(BA$118-Paramètres!$E79-SUM(BA133:BA$136))</f>
        <v>0</v>
      </c>
      <c r="BB132" s="181">
        <f>(BB$118&gt;Paramètres!$E79)*(BB$118-Paramètres!$E79-SUM(BB133:BB$136))</f>
        <v>0</v>
      </c>
      <c r="BC132" s="181">
        <f>(BC$118&gt;Paramètres!$E79)*(BC$118-Paramètres!$E79-SUM(BC133:BC$136))</f>
        <v>0</v>
      </c>
      <c r="BD132" s="181">
        <f>(BD$118&gt;Paramètres!$E79)*(BD$118-Paramètres!$E79-SUM(BD133:BD$136))</f>
        <v>0</v>
      </c>
    </row>
    <row r="133" spans="3:56" ht="15" customHeight="1">
      <c r="C133" s="152"/>
      <c r="D133" s="178" t="s">
        <v>247</v>
      </c>
      <c r="E133" s="128" t="s">
        <v>26</v>
      </c>
      <c r="G133" s="181">
        <f>(G$118&gt;Paramètres!$E80)*(G$118-Paramètres!$E80-SUM(G134:G$136))</f>
        <v>0</v>
      </c>
      <c r="H133" s="181">
        <f>(H$118&gt;Paramètres!$E80)*(H$118-Paramètres!$E80-SUM(H134:H$136))</f>
        <v>0</v>
      </c>
      <c r="I133" s="181">
        <f>(I$118&gt;Paramètres!$E80)*(I$118-Paramètres!$E80-SUM(I134:I$136))</f>
        <v>0</v>
      </c>
      <c r="J133" s="181">
        <f>(J$118&gt;Paramètres!$E80)*(J$118-Paramètres!$E80-SUM(J134:J$136))</f>
        <v>0</v>
      </c>
      <c r="K133" s="181">
        <f>(K$118&gt;Paramètres!$E80)*(K$118-Paramètres!$E80-SUM(K134:K$136))</f>
        <v>0</v>
      </c>
      <c r="L133" s="181">
        <f>(L$118&gt;Paramètres!$E80)*(L$118-Paramètres!$E80-SUM(L134:L$136))</f>
        <v>0</v>
      </c>
      <c r="M133" s="181">
        <f>(M$118&gt;Paramètres!$E80)*(M$118-Paramètres!$E80-SUM(M134:M$136))</f>
        <v>0</v>
      </c>
      <c r="N133" s="181">
        <f>(N$118&gt;Paramètres!$E80)*(N$118-Paramètres!$E80-SUM(N134:N$136))</f>
        <v>0</v>
      </c>
      <c r="O133" s="181">
        <f>(O$118&gt;Paramètres!$E80)*(O$118-Paramètres!$E80-SUM(O134:O$136))</f>
        <v>0</v>
      </c>
      <c r="P133" s="181">
        <f>(P$118&gt;Paramètres!$E80)*(P$118-Paramètres!$E80-SUM(P134:P$136))</f>
        <v>0</v>
      </c>
      <c r="Q133" s="181">
        <f>(Q$118&gt;Paramètres!$E80)*(Q$118-Paramètres!$E80-SUM(Q134:Q$136))</f>
        <v>0</v>
      </c>
      <c r="R133" s="181">
        <f>(R$118&gt;Paramètres!$E80)*(R$118-Paramètres!$E80-SUM(R134:R$136))</f>
        <v>0</v>
      </c>
      <c r="S133" s="181">
        <f>(S$118&gt;Paramètres!$E80)*(S$118-Paramètres!$E80-SUM(S134:S$136))</f>
        <v>0</v>
      </c>
      <c r="T133" s="181">
        <f>(T$118&gt;Paramètres!$E80)*(T$118-Paramètres!$E80-SUM(T134:T$136))</f>
        <v>0</v>
      </c>
      <c r="U133" s="181">
        <f>(U$118&gt;Paramètres!$E80)*(U$118-Paramètres!$E80-SUM(U134:U$136))</f>
        <v>0</v>
      </c>
      <c r="V133" s="181">
        <f>(V$118&gt;Paramètres!$E80)*(V$118-Paramètres!$E80-SUM(V134:V$136))</f>
        <v>0</v>
      </c>
      <c r="W133" s="181">
        <f>(W$118&gt;Paramètres!$E80)*(W$118-Paramètres!$E80-SUM(W134:W$136))</f>
        <v>0</v>
      </c>
      <c r="X133" s="181">
        <f>(X$118&gt;Paramètres!$E80)*(X$118-Paramètres!$E80-SUM(X134:X$136))</f>
        <v>0</v>
      </c>
      <c r="Y133" s="181">
        <f>(Y$118&gt;Paramètres!$E80)*(Y$118-Paramètres!$E80-SUM(Y134:Y$136))</f>
        <v>0</v>
      </c>
      <c r="Z133" s="181">
        <f>(Z$118&gt;Paramètres!$E80)*(Z$118-Paramètres!$E80-SUM(Z134:Z$136))</f>
        <v>0</v>
      </c>
      <c r="AA133" s="181">
        <f>(AA$118&gt;Paramètres!$E80)*(AA$118-Paramètres!$E80-SUM(AA134:AA$136))</f>
        <v>0</v>
      </c>
      <c r="AB133" s="181">
        <f>(AB$118&gt;Paramètres!$E80)*(AB$118-Paramètres!$E80-SUM(AB134:AB$136))</f>
        <v>0</v>
      </c>
      <c r="AC133" s="181">
        <f>(AC$118&gt;Paramètres!$E80)*(AC$118-Paramètres!$E80-SUM(AC134:AC$136))</f>
        <v>0</v>
      </c>
      <c r="AD133" s="181">
        <f>(AD$118&gt;Paramètres!$E80)*(AD$118-Paramètres!$E80-SUM(AD134:AD$136))</f>
        <v>0</v>
      </c>
      <c r="AE133" s="181">
        <f>(AE$118&gt;Paramètres!$E80)*(AE$118-Paramètres!$E80-SUM(AE134:AE$136))</f>
        <v>0</v>
      </c>
      <c r="AF133" s="181">
        <f>(AF$118&gt;Paramètres!$E80)*(AF$118-Paramètres!$E80-SUM(AF134:AF$136))</f>
        <v>0</v>
      </c>
      <c r="AG133" s="181">
        <f>(AG$118&gt;Paramètres!$E80)*(AG$118-Paramètres!$E80-SUM(AG134:AG$136))</f>
        <v>0</v>
      </c>
      <c r="AH133" s="181">
        <f>(AH$118&gt;Paramètres!$E80)*(AH$118-Paramètres!$E80-SUM(AH134:AH$136))</f>
        <v>0</v>
      </c>
      <c r="AI133" s="181">
        <f>(AI$118&gt;Paramètres!$E80)*(AI$118-Paramètres!$E80-SUM(AI134:AI$136))</f>
        <v>0</v>
      </c>
      <c r="AJ133" s="181">
        <f>(AJ$118&gt;Paramètres!$E80)*(AJ$118-Paramètres!$E80-SUM(AJ134:AJ$136))</f>
        <v>0</v>
      </c>
      <c r="AK133" s="181">
        <f>(AK$118&gt;Paramètres!$E80)*(AK$118-Paramètres!$E80-SUM(AK134:AK$136))</f>
        <v>0</v>
      </c>
      <c r="AL133" s="181">
        <f>(AL$118&gt;Paramètres!$E80)*(AL$118-Paramètres!$E80-SUM(AL134:AL$136))</f>
        <v>0</v>
      </c>
      <c r="AM133" s="181">
        <f>(AM$118&gt;Paramètres!$E80)*(AM$118-Paramètres!$E80-SUM(AM134:AM$136))</f>
        <v>0</v>
      </c>
      <c r="AN133" s="181">
        <f>(AN$118&gt;Paramètres!$E80)*(AN$118-Paramètres!$E80-SUM(AN134:AN$136))</f>
        <v>0</v>
      </c>
      <c r="AO133" s="181">
        <f>(AO$118&gt;Paramètres!$E80)*(AO$118-Paramètres!$E80-SUM(AO134:AO$136))</f>
        <v>0</v>
      </c>
      <c r="AP133" s="181">
        <f>(AP$118&gt;Paramètres!$E80)*(AP$118-Paramètres!$E80-SUM(AP134:AP$136))</f>
        <v>0</v>
      </c>
      <c r="AQ133" s="181">
        <f>(AQ$118&gt;Paramètres!$E80)*(AQ$118-Paramètres!$E80-SUM(AQ134:AQ$136))</f>
        <v>0</v>
      </c>
      <c r="AR133" s="181">
        <f>(AR$118&gt;Paramètres!$E80)*(AR$118-Paramètres!$E80-SUM(AR134:AR$136))</f>
        <v>0</v>
      </c>
      <c r="AS133" s="181">
        <f>(AS$118&gt;Paramètres!$E80)*(AS$118-Paramètres!$E80-SUM(AS134:AS$136))</f>
        <v>0</v>
      </c>
      <c r="AT133" s="181">
        <f>(AT$118&gt;Paramètres!$E80)*(AT$118-Paramètres!$E80-SUM(AT134:AT$136))</f>
        <v>0</v>
      </c>
      <c r="AU133" s="181">
        <f>(AU$118&gt;Paramètres!$E80)*(AU$118-Paramètres!$E80-SUM(AU134:AU$136))</f>
        <v>0</v>
      </c>
      <c r="AV133" s="181">
        <f>(AV$118&gt;Paramètres!$E80)*(AV$118-Paramètres!$E80-SUM(AV134:AV$136))</f>
        <v>0</v>
      </c>
      <c r="AW133" s="181">
        <f>(AW$118&gt;Paramètres!$E80)*(AW$118-Paramètres!$E80-SUM(AW134:AW$136))</f>
        <v>0</v>
      </c>
      <c r="AX133" s="181">
        <f>(AX$118&gt;Paramètres!$E80)*(AX$118-Paramètres!$E80-SUM(AX134:AX$136))</f>
        <v>0</v>
      </c>
      <c r="AY133" s="181">
        <f>(AY$118&gt;Paramètres!$E80)*(AY$118-Paramètres!$E80-SUM(AY134:AY$136))</f>
        <v>0</v>
      </c>
      <c r="AZ133" s="181">
        <f>(AZ$118&gt;Paramètres!$E80)*(AZ$118-Paramètres!$E80-SUM(AZ134:AZ$136))</f>
        <v>0</v>
      </c>
      <c r="BA133" s="181">
        <f>(BA$118&gt;Paramètres!$E80)*(BA$118-Paramètres!$E80-SUM(BA134:BA$136))</f>
        <v>0</v>
      </c>
      <c r="BB133" s="181">
        <f>(BB$118&gt;Paramètres!$E80)*(BB$118-Paramètres!$E80-SUM(BB134:BB$136))</f>
        <v>0</v>
      </c>
      <c r="BC133" s="181">
        <f>(BC$118&gt;Paramètres!$E80)*(BC$118-Paramètres!$E80-SUM(BC134:BC$136))</f>
        <v>0</v>
      </c>
      <c r="BD133" s="181">
        <f>(BD$118&gt;Paramètres!$E80)*(BD$118-Paramètres!$E80-SUM(BD134:BD$136))</f>
        <v>0</v>
      </c>
    </row>
    <row r="134" spans="3:56" ht="15" customHeight="1">
      <c r="C134" s="152"/>
      <c r="D134" s="178" t="s">
        <v>248</v>
      </c>
      <c r="E134" s="128" t="s">
        <v>26</v>
      </c>
      <c r="G134" s="181">
        <f>(G$118&gt;Paramètres!$E81)*(G$118-Paramètres!$E81-SUM(G135:G$136))</f>
        <v>0</v>
      </c>
      <c r="H134" s="181">
        <f>(H$118&gt;Paramètres!$E81)*(H$118-Paramètres!$E81-SUM(H135:H$136))</f>
        <v>0</v>
      </c>
      <c r="I134" s="181">
        <f>(I$118&gt;Paramètres!$E81)*(I$118-Paramètres!$E81-SUM(I135:I$136))</f>
        <v>0</v>
      </c>
      <c r="J134" s="181">
        <f>(J$118&gt;Paramètres!$E81)*(J$118-Paramètres!$E81-SUM(J135:J$136))</f>
        <v>0</v>
      </c>
      <c r="K134" s="181">
        <f>(K$118&gt;Paramètres!$E81)*(K$118-Paramètres!$E81-SUM(K135:K$136))</f>
        <v>0</v>
      </c>
      <c r="L134" s="181">
        <f>(L$118&gt;Paramètres!$E81)*(L$118-Paramètres!$E81-SUM(L135:L$136))</f>
        <v>0</v>
      </c>
      <c r="M134" s="181">
        <f>(M$118&gt;Paramètres!$E81)*(M$118-Paramètres!$E81-SUM(M135:M$136))</f>
        <v>0</v>
      </c>
      <c r="N134" s="181">
        <f>(N$118&gt;Paramètres!$E81)*(N$118-Paramètres!$E81-SUM(N135:N$136))</f>
        <v>0</v>
      </c>
      <c r="O134" s="181">
        <f>(O$118&gt;Paramètres!$E81)*(O$118-Paramètres!$E81-SUM(O135:O$136))</f>
        <v>0</v>
      </c>
      <c r="P134" s="181">
        <f>(P$118&gt;Paramètres!$E81)*(P$118-Paramètres!$E81-SUM(P135:P$136))</f>
        <v>0</v>
      </c>
      <c r="Q134" s="181">
        <f>(Q$118&gt;Paramètres!$E81)*(Q$118-Paramètres!$E81-SUM(Q135:Q$136))</f>
        <v>0</v>
      </c>
      <c r="R134" s="181">
        <f>(R$118&gt;Paramètres!$E81)*(R$118-Paramètres!$E81-SUM(R135:R$136))</f>
        <v>0</v>
      </c>
      <c r="S134" s="181">
        <f>(S$118&gt;Paramètres!$E81)*(S$118-Paramètres!$E81-SUM(S135:S$136))</f>
        <v>0</v>
      </c>
      <c r="T134" s="181">
        <f>(T$118&gt;Paramètres!$E81)*(T$118-Paramètres!$E81-SUM(T135:T$136))</f>
        <v>0</v>
      </c>
      <c r="U134" s="181">
        <f>(U$118&gt;Paramètres!$E81)*(U$118-Paramètres!$E81-SUM(U135:U$136))</f>
        <v>0</v>
      </c>
      <c r="V134" s="181">
        <f>(V$118&gt;Paramètres!$E81)*(V$118-Paramètres!$E81-SUM(V135:V$136))</f>
        <v>0</v>
      </c>
      <c r="W134" s="181">
        <f>(W$118&gt;Paramètres!$E81)*(W$118-Paramètres!$E81-SUM(W135:W$136))</f>
        <v>0</v>
      </c>
      <c r="X134" s="181">
        <f>(X$118&gt;Paramètres!$E81)*(X$118-Paramètres!$E81-SUM(X135:X$136))</f>
        <v>0</v>
      </c>
      <c r="Y134" s="181">
        <f>(Y$118&gt;Paramètres!$E81)*(Y$118-Paramètres!$E81-SUM(Y135:Y$136))</f>
        <v>0</v>
      </c>
      <c r="Z134" s="181">
        <f>(Z$118&gt;Paramètres!$E81)*(Z$118-Paramètres!$E81-SUM(Z135:Z$136))</f>
        <v>0</v>
      </c>
      <c r="AA134" s="181">
        <f>(AA$118&gt;Paramètres!$E81)*(AA$118-Paramètres!$E81-SUM(AA135:AA$136))</f>
        <v>0</v>
      </c>
      <c r="AB134" s="181">
        <f>(AB$118&gt;Paramètres!$E81)*(AB$118-Paramètres!$E81-SUM(AB135:AB$136))</f>
        <v>0</v>
      </c>
      <c r="AC134" s="181">
        <f>(AC$118&gt;Paramètres!$E81)*(AC$118-Paramètres!$E81-SUM(AC135:AC$136))</f>
        <v>0</v>
      </c>
      <c r="AD134" s="181">
        <f>(AD$118&gt;Paramètres!$E81)*(AD$118-Paramètres!$E81-SUM(AD135:AD$136))</f>
        <v>0</v>
      </c>
      <c r="AE134" s="181">
        <f>(AE$118&gt;Paramètres!$E81)*(AE$118-Paramètres!$E81-SUM(AE135:AE$136))</f>
        <v>0</v>
      </c>
      <c r="AF134" s="181">
        <f>(AF$118&gt;Paramètres!$E81)*(AF$118-Paramètres!$E81-SUM(AF135:AF$136))</f>
        <v>0</v>
      </c>
      <c r="AG134" s="181">
        <f>(AG$118&gt;Paramètres!$E81)*(AG$118-Paramètres!$E81-SUM(AG135:AG$136))</f>
        <v>0</v>
      </c>
      <c r="AH134" s="181">
        <f>(AH$118&gt;Paramètres!$E81)*(AH$118-Paramètres!$E81-SUM(AH135:AH$136))</f>
        <v>0</v>
      </c>
      <c r="AI134" s="181">
        <f>(AI$118&gt;Paramètres!$E81)*(AI$118-Paramètres!$E81-SUM(AI135:AI$136))</f>
        <v>0</v>
      </c>
      <c r="AJ134" s="181">
        <f>(AJ$118&gt;Paramètres!$E81)*(AJ$118-Paramètres!$E81-SUM(AJ135:AJ$136))</f>
        <v>0</v>
      </c>
      <c r="AK134" s="181">
        <f>(AK$118&gt;Paramètres!$E81)*(AK$118-Paramètres!$E81-SUM(AK135:AK$136))</f>
        <v>0</v>
      </c>
      <c r="AL134" s="181">
        <f>(AL$118&gt;Paramètres!$E81)*(AL$118-Paramètres!$E81-SUM(AL135:AL$136))</f>
        <v>0</v>
      </c>
      <c r="AM134" s="181">
        <f>(AM$118&gt;Paramètres!$E81)*(AM$118-Paramètres!$E81-SUM(AM135:AM$136))</f>
        <v>0</v>
      </c>
      <c r="AN134" s="181">
        <f>(AN$118&gt;Paramètres!$E81)*(AN$118-Paramètres!$E81-SUM(AN135:AN$136))</f>
        <v>0</v>
      </c>
      <c r="AO134" s="181">
        <f>(AO$118&gt;Paramètres!$E81)*(AO$118-Paramètres!$E81-SUM(AO135:AO$136))</f>
        <v>0</v>
      </c>
      <c r="AP134" s="181">
        <f>(AP$118&gt;Paramètres!$E81)*(AP$118-Paramètres!$E81-SUM(AP135:AP$136))</f>
        <v>0</v>
      </c>
      <c r="AQ134" s="181">
        <f>(AQ$118&gt;Paramètres!$E81)*(AQ$118-Paramètres!$E81-SUM(AQ135:AQ$136))</f>
        <v>0</v>
      </c>
      <c r="AR134" s="181">
        <f>(AR$118&gt;Paramètres!$E81)*(AR$118-Paramètres!$E81-SUM(AR135:AR$136))</f>
        <v>0</v>
      </c>
      <c r="AS134" s="181">
        <f>(AS$118&gt;Paramètres!$E81)*(AS$118-Paramètres!$E81-SUM(AS135:AS$136))</f>
        <v>0</v>
      </c>
      <c r="AT134" s="181">
        <f>(AT$118&gt;Paramètres!$E81)*(AT$118-Paramètres!$E81-SUM(AT135:AT$136))</f>
        <v>0</v>
      </c>
      <c r="AU134" s="181">
        <f>(AU$118&gt;Paramètres!$E81)*(AU$118-Paramètres!$E81-SUM(AU135:AU$136))</f>
        <v>0</v>
      </c>
      <c r="AV134" s="181">
        <f>(AV$118&gt;Paramètres!$E81)*(AV$118-Paramètres!$E81-SUM(AV135:AV$136))</f>
        <v>0</v>
      </c>
      <c r="AW134" s="181">
        <f>(AW$118&gt;Paramètres!$E81)*(AW$118-Paramètres!$E81-SUM(AW135:AW$136))</f>
        <v>0</v>
      </c>
      <c r="AX134" s="181">
        <f>(AX$118&gt;Paramètres!$E81)*(AX$118-Paramètres!$E81-SUM(AX135:AX$136))</f>
        <v>0</v>
      </c>
      <c r="AY134" s="181">
        <f>(AY$118&gt;Paramètres!$E81)*(AY$118-Paramètres!$E81-SUM(AY135:AY$136))</f>
        <v>0</v>
      </c>
      <c r="AZ134" s="181">
        <f>(AZ$118&gt;Paramètres!$E81)*(AZ$118-Paramètres!$E81-SUM(AZ135:AZ$136))</f>
        <v>0</v>
      </c>
      <c r="BA134" s="181">
        <f>(BA$118&gt;Paramètres!$E81)*(BA$118-Paramètres!$E81-SUM(BA135:BA$136))</f>
        <v>0</v>
      </c>
      <c r="BB134" s="181">
        <f>(BB$118&gt;Paramètres!$E81)*(BB$118-Paramètres!$E81-SUM(BB135:BB$136))</f>
        <v>0</v>
      </c>
      <c r="BC134" s="181">
        <f>(BC$118&gt;Paramètres!$E81)*(BC$118-Paramètres!$E81-SUM(BC135:BC$136))</f>
        <v>0</v>
      </c>
      <c r="BD134" s="181">
        <f>(BD$118&gt;Paramètres!$E81)*(BD$118-Paramètres!$E81-SUM(BD135:BD$136))</f>
        <v>0</v>
      </c>
    </row>
    <row r="135" spans="3:56" ht="15" customHeight="1">
      <c r="C135" s="152"/>
      <c r="D135" s="178" t="s">
        <v>249</v>
      </c>
      <c r="E135" s="128" t="s">
        <v>26</v>
      </c>
      <c r="G135" s="181">
        <f>(G$118&gt;Paramètres!$E82)*(G$118-Paramètres!$E82-SUM(G136:G$136))</f>
        <v>0</v>
      </c>
      <c r="H135" s="181">
        <f>(H$118&gt;Paramètres!$E82)*(H$118-Paramètres!$E82-SUM(H136:H$136))</f>
        <v>0</v>
      </c>
      <c r="I135" s="181">
        <f>(I$118&gt;Paramètres!$E82)*(I$118-Paramètres!$E82-SUM(I136:I$136))</f>
        <v>0</v>
      </c>
      <c r="J135" s="181">
        <f>(J$118&gt;Paramètres!$E82)*(J$118-Paramètres!$E82-SUM(J136:J$136))</f>
        <v>0</v>
      </c>
      <c r="K135" s="181">
        <f>(K$118&gt;Paramètres!$E82)*(K$118-Paramètres!$E82-SUM(K136:K$136))</f>
        <v>0</v>
      </c>
      <c r="L135" s="181">
        <f>(L$118&gt;Paramètres!$E82)*(L$118-Paramètres!$E82-SUM(L136:L$136))</f>
        <v>0</v>
      </c>
      <c r="M135" s="181">
        <f>(M$118&gt;Paramètres!$E82)*(M$118-Paramètres!$E82-SUM(M136:M$136))</f>
        <v>0</v>
      </c>
      <c r="N135" s="181">
        <f>(N$118&gt;Paramètres!$E82)*(N$118-Paramètres!$E82-SUM(N136:N$136))</f>
        <v>0</v>
      </c>
      <c r="O135" s="181">
        <f>(O$118&gt;Paramètres!$E82)*(O$118-Paramètres!$E82-SUM(O136:O$136))</f>
        <v>0</v>
      </c>
      <c r="P135" s="181">
        <f>(P$118&gt;Paramètres!$E82)*(P$118-Paramètres!$E82-SUM(P136:P$136))</f>
        <v>0</v>
      </c>
      <c r="Q135" s="181">
        <f>(Q$118&gt;Paramètres!$E82)*(Q$118-Paramètres!$E82-SUM(Q136:Q$136))</f>
        <v>0</v>
      </c>
      <c r="R135" s="181">
        <f>(R$118&gt;Paramètres!$E82)*(R$118-Paramètres!$E82-SUM(R136:R$136))</f>
        <v>0</v>
      </c>
      <c r="S135" s="181">
        <f>(S$118&gt;Paramètres!$E82)*(S$118-Paramètres!$E82-SUM(S136:S$136))</f>
        <v>0</v>
      </c>
      <c r="T135" s="181">
        <f>(T$118&gt;Paramètres!$E82)*(T$118-Paramètres!$E82-SUM(T136:T$136))</f>
        <v>0</v>
      </c>
      <c r="U135" s="181">
        <f>(U$118&gt;Paramètres!$E82)*(U$118-Paramètres!$E82-SUM(U136:U$136))</f>
        <v>0</v>
      </c>
      <c r="V135" s="181">
        <f>(V$118&gt;Paramètres!$E82)*(V$118-Paramètres!$E82-SUM(V136:V$136))</f>
        <v>0</v>
      </c>
      <c r="W135" s="181">
        <f>(W$118&gt;Paramètres!$E82)*(W$118-Paramètres!$E82-SUM(W136:W$136))</f>
        <v>0</v>
      </c>
      <c r="X135" s="181">
        <f>(X$118&gt;Paramètres!$E82)*(X$118-Paramètres!$E82-SUM(X136:X$136))</f>
        <v>0</v>
      </c>
      <c r="Y135" s="181">
        <f>(Y$118&gt;Paramètres!$E82)*(Y$118-Paramètres!$E82-SUM(Y136:Y$136))</f>
        <v>0</v>
      </c>
      <c r="Z135" s="181">
        <f>(Z$118&gt;Paramètres!$E82)*(Z$118-Paramètres!$E82-SUM(Z136:Z$136))</f>
        <v>0</v>
      </c>
      <c r="AA135" s="181">
        <f>(AA$118&gt;Paramètres!$E82)*(AA$118-Paramètres!$E82-SUM(AA136:AA$136))</f>
        <v>0</v>
      </c>
      <c r="AB135" s="181">
        <f>(AB$118&gt;Paramètres!$E82)*(AB$118-Paramètres!$E82-SUM(AB136:AB$136))</f>
        <v>0</v>
      </c>
      <c r="AC135" s="181">
        <f>(AC$118&gt;Paramètres!$E82)*(AC$118-Paramètres!$E82-SUM(AC136:AC$136))</f>
        <v>0</v>
      </c>
      <c r="AD135" s="181">
        <f>(AD$118&gt;Paramètres!$E82)*(AD$118-Paramètres!$E82-SUM(AD136:AD$136))</f>
        <v>0</v>
      </c>
      <c r="AE135" s="181">
        <f>(AE$118&gt;Paramètres!$E82)*(AE$118-Paramètres!$E82-SUM(AE136:AE$136))</f>
        <v>0</v>
      </c>
      <c r="AF135" s="181">
        <f>(AF$118&gt;Paramètres!$E82)*(AF$118-Paramètres!$E82-SUM(AF136:AF$136))</f>
        <v>0</v>
      </c>
      <c r="AG135" s="181">
        <f>(AG$118&gt;Paramètres!$E82)*(AG$118-Paramètres!$E82-SUM(AG136:AG$136))</f>
        <v>0</v>
      </c>
      <c r="AH135" s="181">
        <f>(AH$118&gt;Paramètres!$E82)*(AH$118-Paramètres!$E82-SUM(AH136:AH$136))</f>
        <v>0</v>
      </c>
      <c r="AI135" s="181">
        <f>(AI$118&gt;Paramètres!$E82)*(AI$118-Paramètres!$E82-SUM(AI136:AI$136))</f>
        <v>0</v>
      </c>
      <c r="AJ135" s="181">
        <f>(AJ$118&gt;Paramètres!$E82)*(AJ$118-Paramètres!$E82-SUM(AJ136:AJ$136))</f>
        <v>0</v>
      </c>
      <c r="AK135" s="181">
        <f>(AK$118&gt;Paramètres!$E82)*(AK$118-Paramètres!$E82-SUM(AK136:AK$136))</f>
        <v>0</v>
      </c>
      <c r="AL135" s="181">
        <f>(AL$118&gt;Paramètres!$E82)*(AL$118-Paramètres!$E82-SUM(AL136:AL$136))</f>
        <v>0</v>
      </c>
      <c r="AM135" s="181">
        <f>(AM$118&gt;Paramètres!$E82)*(AM$118-Paramètres!$E82-SUM(AM136:AM$136))</f>
        <v>0</v>
      </c>
      <c r="AN135" s="181">
        <f>(AN$118&gt;Paramètres!$E82)*(AN$118-Paramètres!$E82-SUM(AN136:AN$136))</f>
        <v>0</v>
      </c>
      <c r="AO135" s="181">
        <f>(AO$118&gt;Paramètres!$E82)*(AO$118-Paramètres!$E82-SUM(AO136:AO$136))</f>
        <v>0</v>
      </c>
      <c r="AP135" s="181">
        <f>(AP$118&gt;Paramètres!$E82)*(AP$118-Paramètres!$E82-SUM(AP136:AP$136))</f>
        <v>0</v>
      </c>
      <c r="AQ135" s="181">
        <f>(AQ$118&gt;Paramètres!$E82)*(AQ$118-Paramètres!$E82-SUM(AQ136:AQ$136))</f>
        <v>0</v>
      </c>
      <c r="AR135" s="181">
        <f>(AR$118&gt;Paramètres!$E82)*(AR$118-Paramètres!$E82-SUM(AR136:AR$136))</f>
        <v>0</v>
      </c>
      <c r="AS135" s="181">
        <f>(AS$118&gt;Paramètres!$E82)*(AS$118-Paramètres!$E82-SUM(AS136:AS$136))</f>
        <v>0</v>
      </c>
      <c r="AT135" s="181">
        <f>(AT$118&gt;Paramètres!$E82)*(AT$118-Paramètres!$E82-SUM(AT136:AT$136))</f>
        <v>0</v>
      </c>
      <c r="AU135" s="181">
        <f>(AU$118&gt;Paramètres!$E82)*(AU$118-Paramètres!$E82-SUM(AU136:AU$136))</f>
        <v>0</v>
      </c>
      <c r="AV135" s="181">
        <f>(AV$118&gt;Paramètres!$E82)*(AV$118-Paramètres!$E82-SUM(AV136:AV$136))</f>
        <v>0</v>
      </c>
      <c r="AW135" s="181">
        <f>(AW$118&gt;Paramètres!$E82)*(AW$118-Paramètres!$E82-SUM(AW136:AW$136))</f>
        <v>0</v>
      </c>
      <c r="AX135" s="181">
        <f>(AX$118&gt;Paramètres!$E82)*(AX$118-Paramètres!$E82-SUM(AX136:AX$136))</f>
        <v>0</v>
      </c>
      <c r="AY135" s="181">
        <f>(AY$118&gt;Paramètres!$E82)*(AY$118-Paramètres!$E82-SUM(AY136:AY$136))</f>
        <v>0</v>
      </c>
      <c r="AZ135" s="181">
        <f>(AZ$118&gt;Paramètres!$E82)*(AZ$118-Paramètres!$E82-SUM(AZ136:AZ$136))</f>
        <v>0</v>
      </c>
      <c r="BA135" s="181">
        <f>(BA$118&gt;Paramètres!$E82)*(BA$118-Paramètres!$E82-SUM(BA136:BA$136))</f>
        <v>0</v>
      </c>
      <c r="BB135" s="181">
        <f>(BB$118&gt;Paramètres!$E82)*(BB$118-Paramètres!$E82-SUM(BB136:BB$136))</f>
        <v>0</v>
      </c>
      <c r="BC135" s="181">
        <f>(BC$118&gt;Paramètres!$E82)*(BC$118-Paramètres!$E82-SUM(BC136:BC$136))</f>
        <v>0</v>
      </c>
      <c r="BD135" s="181">
        <f>(BD$118&gt;Paramètres!$E82)*(BD$118-Paramètres!$E82-SUM(BD136:BD$136))</f>
        <v>0</v>
      </c>
    </row>
    <row r="136" spans="3:56" ht="15" customHeight="1">
      <c r="C136" s="152"/>
      <c r="D136" s="178" t="s">
        <v>250</v>
      </c>
      <c r="E136" s="128" t="s">
        <v>26</v>
      </c>
      <c r="G136" s="181">
        <f>IF(G$118&gt;Paramètres!$E$83,Modèle!G$118-Paramètres!$E$83,0)</f>
        <v>0.36477040816326534</v>
      </c>
      <c r="H136" s="181">
        <f>IF(H$118&gt;Paramètres!$E$83,Modèle!H$118-Paramètres!$E$83,0)</f>
        <v>0.45157172701949866</v>
      </c>
      <c r="I136" s="181">
        <f>IF(I$118&gt;Paramètres!$E$83,Modèle!I$118-Paramètres!$E$83,0)</f>
        <v>0.33509722222222221</v>
      </c>
      <c r="J136" s="181">
        <f>IF(J$118&gt;Paramètres!$E$83,Modèle!J$118-Paramètres!$E$83,0)</f>
        <v>0.64374999999999993</v>
      </c>
      <c r="K136" s="181">
        <f>IF(K$118&gt;Paramètres!$E$83,Modèle!K$118-Paramètres!$E$83,0)</f>
        <v>0.61875000000000002</v>
      </c>
      <c r="L136" s="181">
        <f>IF(L$118&gt;Paramètres!$E$83,Modèle!L$118-Paramètres!$E$83,0)</f>
        <v>0.6640625</v>
      </c>
      <c r="M136" s="181">
        <f>IF(M$118&gt;Paramètres!$E$83,Modèle!M$118-Paramètres!$E$83,0)</f>
        <v>0.70156249999999998</v>
      </c>
      <c r="N136" s="181">
        <f>IF(N$118&gt;Paramètres!$E$83,Modèle!N$118-Paramètres!$E$83,0)</f>
        <v>0.59375</v>
      </c>
      <c r="O136" s="181">
        <f>IF(O$118&gt;Paramètres!$E$83,Modèle!O$118-Paramètres!$E$83,0)</f>
        <v>0.32441871387283244</v>
      </c>
      <c r="P136" s="181">
        <f>IF(P$118&gt;Paramètres!$E$83,Modèle!P$118-Paramètres!$E$83,0)</f>
        <v>0.39303359826589601</v>
      </c>
      <c r="Q136" s="181">
        <f>IF(Q$118&gt;Paramètres!$E$83,Modèle!Q$118-Paramètres!$E$83,0)</f>
        <v>0.37860946531791906</v>
      </c>
      <c r="R136" s="181">
        <f>IF(R$118&gt;Paramètres!$E$83,Modèle!R$118-Paramètres!$E$83,0)</f>
        <v>0.41833598265895955</v>
      </c>
      <c r="S136" s="181">
        <f>IF(S$118&gt;Paramètres!$E$83,Modèle!S$118-Paramètres!$E$83,0)</f>
        <v>0.46895989884393063</v>
      </c>
      <c r="T136" s="181">
        <f>IF(T$118&gt;Paramètres!$E$83,Modèle!T$118-Paramètres!$E$83,0)</f>
        <v>0.44365751445086693</v>
      </c>
      <c r="U136" s="181">
        <f>IF(U$118&gt;Paramètres!$E$83,Modèle!U$118-Paramètres!$E$83,0)</f>
        <v>0.62065968208092492</v>
      </c>
      <c r="V136" s="181">
        <f>IF(V$118&gt;Paramètres!$E$83,Modèle!V$118-Paramètres!$E$83,0)</f>
        <v>0.59117951127819557</v>
      </c>
      <c r="W136" s="181">
        <f>IF(W$118&gt;Paramètres!$E$83,Modèle!W$118-Paramètres!$E$83,0)</f>
        <v>0.49774999999999991</v>
      </c>
      <c r="X136" s="181">
        <f>IF(X$118&gt;Paramètres!$E$83,Modèle!X$118-Paramètres!$E$83,0)</f>
        <v>0</v>
      </c>
      <c r="Y136" s="181">
        <f>IF(Y$118&gt;Paramètres!$E$83,Modèle!Y$118-Paramètres!$E$83,0)</f>
        <v>0</v>
      </c>
      <c r="Z136" s="181">
        <f>IF(Z$118&gt;Paramètres!$E$83,Modèle!Z$118-Paramètres!$E$83,0)</f>
        <v>0</v>
      </c>
      <c r="AA136" s="181">
        <f>IF(AA$118&gt;Paramètres!$E$83,Modèle!AA$118-Paramètres!$E$83,0)</f>
        <v>0</v>
      </c>
      <c r="AB136" s="181">
        <f>IF(AB$118&gt;Paramètres!$E$83,Modèle!AB$118-Paramètres!$E$83,0)</f>
        <v>0</v>
      </c>
      <c r="AC136" s="181">
        <f>IF(AC$118&gt;Paramètres!$E$83,Modèle!AC$118-Paramètres!$E$83,0)</f>
        <v>0</v>
      </c>
      <c r="AD136" s="181">
        <f>IF(AD$118&gt;Paramètres!$E$83,Modèle!AD$118-Paramètres!$E$83,0)</f>
        <v>0</v>
      </c>
      <c r="AE136" s="181">
        <f>IF(AE$118&gt;Paramètres!$E$83,Modèle!AE$118-Paramètres!$E$83,0)</f>
        <v>0</v>
      </c>
      <c r="AF136" s="181">
        <f>IF(AF$118&gt;Paramètres!$E$83,Modèle!AF$118-Paramètres!$E$83,0)</f>
        <v>0</v>
      </c>
      <c r="AG136" s="181">
        <f>IF(AG$118&gt;Paramètres!$E$83,Modèle!AG$118-Paramètres!$E$83,0)</f>
        <v>0</v>
      </c>
      <c r="AH136" s="181">
        <f>IF(AH$118&gt;Paramètres!$E$83,Modèle!AH$118-Paramètres!$E$83,0)</f>
        <v>0</v>
      </c>
      <c r="AI136" s="181">
        <f>IF(AI$118&gt;Paramètres!$E$83,Modèle!AI$118-Paramètres!$E$83,0)</f>
        <v>0</v>
      </c>
      <c r="AJ136" s="181">
        <f>IF(AJ$118&gt;Paramètres!$E$83,Modèle!AJ$118-Paramètres!$E$83,0)</f>
        <v>0</v>
      </c>
      <c r="AK136" s="181">
        <f>IF(AK$118&gt;Paramètres!$E$83,Modèle!AK$118-Paramètres!$E$83,0)</f>
        <v>0</v>
      </c>
      <c r="AL136" s="181">
        <f>IF(AL$118&gt;Paramètres!$E$83,Modèle!AL$118-Paramètres!$E$83,0)</f>
        <v>0</v>
      </c>
      <c r="AM136" s="181">
        <f>IF(AM$118&gt;Paramètres!$E$83,Modèle!AM$118-Paramètres!$E$83,0)</f>
        <v>0</v>
      </c>
      <c r="AN136" s="181">
        <f>IF(AN$118&gt;Paramètres!$E$83,Modèle!AN$118-Paramètres!$E$83,0)</f>
        <v>0</v>
      </c>
      <c r="AO136" s="181">
        <f>IF(AO$118&gt;Paramètres!$E$83,Modèle!AO$118-Paramètres!$E$83,0)</f>
        <v>0</v>
      </c>
      <c r="AP136" s="181">
        <f>IF(AP$118&gt;Paramètres!$E$83,Modèle!AP$118-Paramètres!$E$83,0)</f>
        <v>0</v>
      </c>
      <c r="AQ136" s="181">
        <f>IF(AQ$118&gt;Paramètres!$E$83,Modèle!AQ$118-Paramètres!$E$83,0)</f>
        <v>0</v>
      </c>
      <c r="AR136" s="181">
        <f>IF(AR$118&gt;Paramètres!$E$83,Modèle!AR$118-Paramètres!$E$83,0)</f>
        <v>0</v>
      </c>
      <c r="AS136" s="181">
        <f>IF(AS$118&gt;Paramètres!$E$83,Modèle!AS$118-Paramètres!$E$83,0)</f>
        <v>0</v>
      </c>
      <c r="AT136" s="181">
        <f>IF(AT$118&gt;Paramètres!$E$83,Modèle!AT$118-Paramètres!$E$83,0)</f>
        <v>0</v>
      </c>
      <c r="AU136" s="181">
        <f>IF(AU$118&gt;Paramètres!$E$83,Modèle!AU$118-Paramètres!$E$83,0)</f>
        <v>0</v>
      </c>
      <c r="AV136" s="181">
        <f>IF(AV$118&gt;Paramètres!$E$83,Modèle!AV$118-Paramètres!$E$83,0)</f>
        <v>0</v>
      </c>
      <c r="AW136" s="181">
        <f>IF(AW$118&gt;Paramètres!$E$83,Modèle!AW$118-Paramètres!$E$83,0)</f>
        <v>0</v>
      </c>
      <c r="AX136" s="181">
        <f>IF(AX$118&gt;Paramètres!$E$83,Modèle!AX$118-Paramètres!$E$83,0)</f>
        <v>0</v>
      </c>
      <c r="AY136" s="181">
        <f>IF(AY$118&gt;Paramètres!$E$83,Modèle!AY$118-Paramètres!$E$83,0)</f>
        <v>0</v>
      </c>
      <c r="AZ136" s="181">
        <f>IF(AZ$118&gt;Paramètres!$E$83,Modèle!AZ$118-Paramètres!$E$83,0)</f>
        <v>0</v>
      </c>
      <c r="BA136" s="181">
        <f>IF(BA$118&gt;Paramètres!$E$83,Modèle!BA$118-Paramètres!$E$83,0)</f>
        <v>0</v>
      </c>
      <c r="BB136" s="181">
        <f>IF(BB$118&gt;Paramètres!$E$83,Modèle!BB$118-Paramètres!$E$83,0)</f>
        <v>0</v>
      </c>
      <c r="BC136" s="181">
        <f>IF(BC$118&gt;Paramètres!$E$83,Modèle!BC$118-Paramètres!$E$83,0)</f>
        <v>0</v>
      </c>
      <c r="BD136" s="181">
        <f>IF(BD$118&gt;Paramètres!$E$83,Modèle!BD$118-Paramètres!$E$83,0)</f>
        <v>0</v>
      </c>
    </row>
    <row r="137" spans="3:56" ht="15" customHeight="1">
      <c r="C137" s="152"/>
      <c r="D137" s="182"/>
      <c r="E137" s="128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1"/>
      <c r="AC137" s="181"/>
      <c r="AD137" s="181"/>
      <c r="AE137" s="181"/>
      <c r="AF137" s="181"/>
      <c r="AG137" s="181"/>
      <c r="AH137" s="181"/>
      <c r="AI137" s="181"/>
      <c r="AJ137" s="181"/>
      <c r="AK137" s="181"/>
      <c r="AL137" s="181"/>
      <c r="AM137" s="181"/>
      <c r="AN137" s="181"/>
      <c r="AO137" s="181"/>
      <c r="AP137" s="181"/>
      <c r="AQ137" s="181"/>
      <c r="AR137" s="181"/>
      <c r="AS137" s="181"/>
      <c r="AT137" s="181"/>
      <c r="AU137" s="181"/>
      <c r="AV137" s="181"/>
      <c r="AW137" s="181"/>
      <c r="AX137" s="181"/>
      <c r="AY137" s="181"/>
      <c r="AZ137" s="181"/>
      <c r="BA137" s="181"/>
      <c r="BB137" s="181"/>
      <c r="BC137" s="181"/>
      <c r="BD137" s="181"/>
    </row>
    <row r="138" spans="3:56" ht="15" customHeight="1">
      <c r="C138" s="152"/>
      <c r="D138" s="103" t="s">
        <v>251</v>
      </c>
      <c r="E138" s="128" t="s">
        <v>26</v>
      </c>
      <c r="G138" s="116">
        <f>SUMPRODUCT(G$120:G$136,Paramètres!$F$67:$F$83)/IF(G118&gt;0,G118,1)</f>
        <v>0</v>
      </c>
      <c r="H138" s="116">
        <f>SUMPRODUCT(H$120:H$136,Paramètres!$F$67:$F$83)/IF(H118&gt;0,H118,1)</f>
        <v>0</v>
      </c>
      <c r="I138" s="116">
        <f>SUMPRODUCT(I$120:I$136,Paramètres!$F$67:$F$83)/IF(I118&gt;0,I118,1)</f>
        <v>0</v>
      </c>
      <c r="J138" s="116">
        <f>SUMPRODUCT(J$120:J$136,Paramètres!$F$67:$F$83)/IF(J118&gt;0,J118,1)</f>
        <v>0</v>
      </c>
      <c r="K138" s="116">
        <f>SUMPRODUCT(K$120:K$136,Paramètres!$F$67:$F$83)/IF(K118&gt;0,K118,1)</f>
        <v>0</v>
      </c>
      <c r="L138" s="116">
        <f>SUMPRODUCT(L$120:L$136,Paramètres!$F$67:$F$83)/IF(L118&gt;0,L118,1)</f>
        <v>0</v>
      </c>
      <c r="M138" s="116">
        <f>SUMPRODUCT(M$120:M$136,Paramètres!$F$67:$F$83)/IF(M118&gt;0,M118,1)</f>
        <v>0</v>
      </c>
      <c r="N138" s="116">
        <f>SUMPRODUCT(N$120:N$136,Paramètres!$F$67:$F$83)/IF(N118&gt;0,N118,1)</f>
        <v>0</v>
      </c>
      <c r="O138" s="116">
        <f>SUMPRODUCT(O$120:O$136,Paramètres!$F$67:$F$83)/IF(O118&gt;0,O118,1)</f>
        <v>0</v>
      </c>
      <c r="P138" s="116">
        <f>SUMPRODUCT(P$120:P$136,Paramètres!$F$67:$F$83)/IF(P118&gt;0,P118,1)</f>
        <v>0</v>
      </c>
      <c r="Q138" s="116">
        <f>SUMPRODUCT(Q$120:Q$136,Paramètres!$F$67:$F$83)/IF(Q118&gt;0,Q118,1)</f>
        <v>0</v>
      </c>
      <c r="R138" s="116">
        <f>SUMPRODUCT(R$120:R$136,Paramètres!$F$67:$F$83)/IF(R118&gt;0,R118,1)</f>
        <v>0</v>
      </c>
      <c r="S138" s="116">
        <f>SUMPRODUCT(S$120:S$136,Paramètres!$F$67:$F$83)/IF(S118&gt;0,S118,1)</f>
        <v>0</v>
      </c>
      <c r="T138" s="116">
        <f>SUMPRODUCT(T$120:T$136,Paramètres!$F$67:$F$83)/IF(T118&gt;0,T118,1)</f>
        <v>0</v>
      </c>
      <c r="U138" s="116">
        <f>SUMPRODUCT(U$120:U$136,Paramètres!$F$67:$F$83)/IF(U118&gt;0,U118,1)</f>
        <v>0</v>
      </c>
      <c r="V138" s="116">
        <f>SUMPRODUCT(V$120:V$136,Paramètres!$F$67:$F$83)/IF(V118&gt;0,V118,1)</f>
        <v>0</v>
      </c>
      <c r="W138" s="116">
        <f>SUMPRODUCT(W$120:W$136,Paramètres!$F$67:$F$83)/IF(W118&gt;0,W118,1)</f>
        <v>0</v>
      </c>
      <c r="X138" s="116">
        <f>SUMPRODUCT(X$120:X$136,Paramètres!$F$67:$F$83)/IF(X118&gt;0,X118,1)</f>
        <v>0</v>
      </c>
      <c r="Y138" s="116">
        <f>SUMPRODUCT(Y$120:Y$136,Paramètres!$F$67:$F$83)/IF(Y118&gt;0,Y118,1)</f>
        <v>0</v>
      </c>
      <c r="Z138" s="116">
        <f>SUMPRODUCT(Z$120:Z$136,Paramètres!$F$67:$F$83)/IF(Z118&gt;0,Z118,1)</f>
        <v>0</v>
      </c>
      <c r="AA138" s="116">
        <f>SUMPRODUCT(AA$120:AA$136,Paramètres!$F$67:$F$83)/IF(AA118&gt;0,AA118,1)</f>
        <v>0</v>
      </c>
      <c r="AB138" s="116">
        <f>SUMPRODUCT(AB$120:AB$136,Paramètres!$F$67:$F$83)/IF(AB118&gt;0,AB118,1)</f>
        <v>0</v>
      </c>
      <c r="AC138" s="116">
        <f>SUMPRODUCT(AC$120:AC$136,Paramètres!$F$67:$F$83)/IF(AC118&gt;0,AC118,1)</f>
        <v>0</v>
      </c>
      <c r="AD138" s="116">
        <f>SUMPRODUCT(AD$120:AD$136,Paramètres!$F$67:$F$83)/IF(AD118&gt;0,AD118,1)</f>
        <v>0</v>
      </c>
      <c r="AE138" s="116">
        <f>SUMPRODUCT(AE$120:AE$136,Paramètres!$F$67:$F$83)/IF(AE118&gt;0,AE118,1)</f>
        <v>0</v>
      </c>
      <c r="AF138" s="116">
        <f>SUMPRODUCT(AF$120:AF$136,Paramètres!$F$67:$F$83)/IF(AF118&gt;0,AF118,1)</f>
        <v>0</v>
      </c>
      <c r="AG138" s="116">
        <f>SUMPRODUCT(AG$120:AG$136,Paramètres!$F$67:$F$83)/IF(AG118&gt;0,AG118,1)</f>
        <v>0</v>
      </c>
      <c r="AH138" s="116">
        <f>SUMPRODUCT(AH$120:AH$136,Paramètres!$F$67:$F$83)/IF(AH118&gt;0,AH118,1)</f>
        <v>0</v>
      </c>
      <c r="AI138" s="116">
        <f>SUMPRODUCT(AI$120:AI$136,Paramètres!$F$67:$F$83)/IF(AI118&gt;0,AI118,1)</f>
        <v>0</v>
      </c>
      <c r="AJ138" s="116">
        <f>SUMPRODUCT(AJ$120:AJ$136,Paramètres!$F$67:$F$83)/IF(AJ118&gt;0,AJ118,1)</f>
        <v>0</v>
      </c>
      <c r="AK138" s="116">
        <f>SUMPRODUCT(AK$120:AK$136,Paramètres!$F$67:$F$83)/IF(AK118&gt;0,AK118,1)</f>
        <v>0</v>
      </c>
      <c r="AL138" s="116">
        <f>SUMPRODUCT(AL$120:AL$136,Paramètres!$F$67:$F$83)/IF(AL118&gt;0,AL118,1)</f>
        <v>0</v>
      </c>
      <c r="AM138" s="116">
        <f>SUMPRODUCT(AM$120:AM$136,Paramètres!$F$67:$F$83)/IF(AM118&gt;0,AM118,1)</f>
        <v>0</v>
      </c>
      <c r="AN138" s="116">
        <f>SUMPRODUCT(AN$120:AN$136,Paramètres!$F$67:$F$83)/IF(AN118&gt;0,AN118,1)</f>
        <v>0</v>
      </c>
      <c r="AO138" s="116">
        <f>SUMPRODUCT(AO$120:AO$136,Paramètres!$F$67:$F$83)/IF(AO118&gt;0,AO118,1)</f>
        <v>0</v>
      </c>
      <c r="AP138" s="116">
        <f>SUMPRODUCT(AP$120:AP$136,Paramètres!$F$67:$F$83)/IF(AP118&gt;0,AP118,1)</f>
        <v>0</v>
      </c>
      <c r="AQ138" s="116">
        <f>SUMPRODUCT(AQ$120:AQ$136,Paramètres!$F$67:$F$83)/IF(AQ118&gt;0,AQ118,1)</f>
        <v>0</v>
      </c>
      <c r="AR138" s="116">
        <f>SUMPRODUCT(AR$120:AR$136,Paramètres!$F$67:$F$83)/IF(AR118&gt;0,AR118,1)</f>
        <v>0</v>
      </c>
      <c r="AS138" s="116">
        <f>SUMPRODUCT(AS$120:AS$136,Paramètres!$F$67:$F$83)/IF(AS118&gt;0,AS118,1)</f>
        <v>0</v>
      </c>
      <c r="AT138" s="116">
        <f>SUMPRODUCT(AT$120:AT$136,Paramètres!$F$67:$F$83)/IF(AT118&gt;0,AT118,1)</f>
        <v>0</v>
      </c>
      <c r="AU138" s="116">
        <f>SUMPRODUCT(AU$120:AU$136,Paramètres!$F$67:$F$83)/IF(AU118&gt;0,AU118,1)</f>
        <v>0</v>
      </c>
      <c r="AV138" s="116">
        <f>SUMPRODUCT(AV$120:AV$136,Paramètres!$F$67:$F$83)/IF(AV118&gt;0,AV118,1)</f>
        <v>0</v>
      </c>
      <c r="AW138" s="116">
        <f>SUMPRODUCT(AW$120:AW$136,Paramètres!$F$67:$F$83)/IF(AW118&gt;0,AW118,1)</f>
        <v>0</v>
      </c>
      <c r="AX138" s="116">
        <f>SUMPRODUCT(AX$120:AX$136,Paramètres!$F$67:$F$83)/IF(AX118&gt;0,AX118,1)</f>
        <v>0</v>
      </c>
      <c r="AY138" s="116">
        <f>SUMPRODUCT(AY$120:AY$136,Paramètres!$F$67:$F$83)/IF(AY118&gt;0,AY118,1)</f>
        <v>0</v>
      </c>
      <c r="AZ138" s="116">
        <f>SUMPRODUCT(AZ$120:AZ$136,Paramètres!$F$67:$F$83)/IF(AZ118&gt;0,AZ118,1)</f>
        <v>0</v>
      </c>
      <c r="BA138" s="116">
        <f>SUMPRODUCT(BA$120:BA$136,Paramètres!$F$67:$F$83)/IF(BA118&gt;0,BA118,1)</f>
        <v>0</v>
      </c>
      <c r="BB138" s="116">
        <f>SUMPRODUCT(BB$120:BB$136,Paramètres!$F$67:$F$83)/IF(BB118&gt;0,BB118,1)</f>
        <v>0</v>
      </c>
      <c r="BC138" s="116">
        <f>SUMPRODUCT(BC$120:BC$136,Paramètres!$F$67:$F$83)/IF(BC118&gt;0,BC118,1)</f>
        <v>0</v>
      </c>
      <c r="BD138" s="116">
        <f>SUMPRODUCT(BD$120:BD$136,Paramètres!$F$67:$F$83)/IF(BD118&gt;0,BD118,1)</f>
        <v>0</v>
      </c>
    </row>
    <row r="139" spans="3:56" ht="15" customHeight="1">
      <c r="C139" s="152">
        <f>SUM(G139:BD139)</f>
        <v>0</v>
      </c>
      <c r="D139" s="103" t="s">
        <v>235</v>
      </c>
      <c r="E139" s="128" t="s">
        <v>195</v>
      </c>
      <c r="G139" s="127">
        <f t="shared" ref="G139:AL139" si="85">G117*G138</f>
        <v>0</v>
      </c>
      <c r="H139" s="127">
        <f t="shared" si="85"/>
        <v>0</v>
      </c>
      <c r="I139" s="127">
        <f t="shared" si="85"/>
        <v>0</v>
      </c>
      <c r="J139" s="127">
        <f t="shared" si="85"/>
        <v>0</v>
      </c>
      <c r="K139" s="127">
        <f t="shared" si="85"/>
        <v>0</v>
      </c>
      <c r="L139" s="127">
        <f t="shared" si="85"/>
        <v>0</v>
      </c>
      <c r="M139" s="127">
        <f t="shared" si="85"/>
        <v>0</v>
      </c>
      <c r="N139" s="127">
        <f t="shared" si="85"/>
        <v>0</v>
      </c>
      <c r="O139" s="127">
        <f t="shared" si="85"/>
        <v>0</v>
      </c>
      <c r="P139" s="127">
        <f t="shared" si="85"/>
        <v>0</v>
      </c>
      <c r="Q139" s="127">
        <f t="shared" si="85"/>
        <v>0</v>
      </c>
      <c r="R139" s="127">
        <f t="shared" si="85"/>
        <v>0</v>
      </c>
      <c r="S139" s="127">
        <f t="shared" si="85"/>
        <v>0</v>
      </c>
      <c r="T139" s="127">
        <f t="shared" si="85"/>
        <v>0</v>
      </c>
      <c r="U139" s="127">
        <f t="shared" si="85"/>
        <v>0</v>
      </c>
      <c r="V139" s="127">
        <f t="shared" si="85"/>
        <v>0</v>
      </c>
      <c r="W139" s="127">
        <f t="shared" si="85"/>
        <v>0</v>
      </c>
      <c r="X139" s="127">
        <f t="shared" si="85"/>
        <v>0</v>
      </c>
      <c r="Y139" s="127">
        <f t="shared" si="85"/>
        <v>0</v>
      </c>
      <c r="Z139" s="127">
        <f t="shared" si="85"/>
        <v>0</v>
      </c>
      <c r="AA139" s="127">
        <f t="shared" si="85"/>
        <v>0</v>
      </c>
      <c r="AB139" s="127">
        <f t="shared" si="85"/>
        <v>0</v>
      </c>
      <c r="AC139" s="127">
        <f t="shared" si="85"/>
        <v>0</v>
      </c>
      <c r="AD139" s="127">
        <f t="shared" si="85"/>
        <v>0</v>
      </c>
      <c r="AE139" s="127">
        <f t="shared" si="85"/>
        <v>0</v>
      </c>
      <c r="AF139" s="127">
        <f t="shared" si="85"/>
        <v>0</v>
      </c>
      <c r="AG139" s="127">
        <f t="shared" si="85"/>
        <v>0</v>
      </c>
      <c r="AH139" s="127">
        <f t="shared" si="85"/>
        <v>0</v>
      </c>
      <c r="AI139" s="127">
        <f t="shared" si="85"/>
        <v>0</v>
      </c>
      <c r="AJ139" s="127">
        <f t="shared" si="85"/>
        <v>0</v>
      </c>
      <c r="AK139" s="127">
        <f t="shared" si="85"/>
        <v>0</v>
      </c>
      <c r="AL139" s="127">
        <f t="shared" si="85"/>
        <v>0</v>
      </c>
      <c r="AM139" s="127">
        <f t="shared" ref="AM139:BR139" si="86">AM117*AM138</f>
        <v>0</v>
      </c>
      <c r="AN139" s="127">
        <f t="shared" si="86"/>
        <v>0</v>
      </c>
      <c r="AO139" s="127">
        <f t="shared" si="86"/>
        <v>0</v>
      </c>
      <c r="AP139" s="127">
        <f t="shared" si="86"/>
        <v>0</v>
      </c>
      <c r="AQ139" s="127">
        <f t="shared" si="86"/>
        <v>0</v>
      </c>
      <c r="AR139" s="127">
        <f t="shared" si="86"/>
        <v>0</v>
      </c>
      <c r="AS139" s="127">
        <f t="shared" si="86"/>
        <v>0</v>
      </c>
      <c r="AT139" s="127">
        <f t="shared" si="86"/>
        <v>0</v>
      </c>
      <c r="AU139" s="127">
        <f t="shared" si="86"/>
        <v>0</v>
      </c>
      <c r="AV139" s="127">
        <f t="shared" si="86"/>
        <v>0</v>
      </c>
      <c r="AW139" s="127">
        <f t="shared" si="86"/>
        <v>0</v>
      </c>
      <c r="AX139" s="127">
        <f t="shared" si="86"/>
        <v>0</v>
      </c>
      <c r="AY139" s="127">
        <f t="shared" si="86"/>
        <v>0</v>
      </c>
      <c r="AZ139" s="127">
        <f t="shared" si="86"/>
        <v>0</v>
      </c>
      <c r="BA139" s="127">
        <f t="shared" si="86"/>
        <v>0</v>
      </c>
      <c r="BB139" s="127">
        <f t="shared" si="86"/>
        <v>0</v>
      </c>
      <c r="BC139" s="127">
        <f t="shared" si="86"/>
        <v>0</v>
      </c>
      <c r="BD139" s="127">
        <f t="shared" si="86"/>
        <v>0</v>
      </c>
    </row>
    <row r="140" spans="3:56" ht="15" customHeight="1"/>
    <row r="141" spans="3:56" ht="15" customHeight="1">
      <c r="C141" s="183"/>
      <c r="D141" s="184" t="s">
        <v>252</v>
      </c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83"/>
      <c r="AY141" s="183"/>
      <c r="AZ141" s="183"/>
      <c r="BA141" s="183"/>
      <c r="BB141" s="183"/>
      <c r="BC141" s="183"/>
      <c r="BD141" s="183"/>
    </row>
    <row r="142" spans="3:56" ht="15" customHeight="1">
      <c r="C142" s="152">
        <f t="shared" ref="C142:C149" si="87">SUM(G142:BD142)</f>
        <v>7395.7739186435065</v>
      </c>
      <c r="D142" s="103" t="s">
        <v>253</v>
      </c>
      <c r="E142" s="128" t="s">
        <v>195</v>
      </c>
      <c r="G142" s="127">
        <f t="shared" ref="G142:AL142" si="88">G45-G86-G90-G105-G108-G111-G139</f>
        <v>372.4</v>
      </c>
      <c r="H142" s="127">
        <f t="shared" si="88"/>
        <v>556.59360000000004</v>
      </c>
      <c r="I142" s="127">
        <f t="shared" si="88"/>
        <v>569.30687999999998</v>
      </c>
      <c r="J142" s="127">
        <f t="shared" si="88"/>
        <v>645.21446399999991</v>
      </c>
      <c r="K142" s="127">
        <f t="shared" si="88"/>
        <v>658.11875327999996</v>
      </c>
      <c r="L142" s="127">
        <f t="shared" si="88"/>
        <v>671.28112834560011</v>
      </c>
      <c r="M142" s="127">
        <f t="shared" si="88"/>
        <v>684.70675091251212</v>
      </c>
      <c r="N142" s="127">
        <f t="shared" si="88"/>
        <v>558.72070874460974</v>
      </c>
      <c r="O142" s="127">
        <f t="shared" si="88"/>
        <v>308.09955082835575</v>
      </c>
      <c r="P142" s="127">
        <f t="shared" si="88"/>
        <v>314.26154184492287</v>
      </c>
      <c r="Q142" s="127">
        <f t="shared" si="88"/>
        <v>320.54677268182132</v>
      </c>
      <c r="R142" s="127">
        <f t="shared" si="88"/>
        <v>326.95770813545772</v>
      </c>
      <c r="S142" s="127">
        <f t="shared" si="88"/>
        <v>333.49686229816689</v>
      </c>
      <c r="T142" s="127">
        <f t="shared" si="88"/>
        <v>340.16679954413019</v>
      </c>
      <c r="U142" s="127">
        <f t="shared" si="88"/>
        <v>346.9701355350129</v>
      </c>
      <c r="V142" s="127">
        <f t="shared" si="88"/>
        <v>272.08074327560598</v>
      </c>
      <c r="W142" s="127">
        <f t="shared" si="88"/>
        <v>116.85151921731288</v>
      </c>
      <c r="X142" s="127">
        <f t="shared" si="88"/>
        <v>0</v>
      </c>
      <c r="Y142" s="127">
        <f t="shared" si="88"/>
        <v>0</v>
      </c>
      <c r="Z142" s="127">
        <f t="shared" si="88"/>
        <v>0</v>
      </c>
      <c r="AA142" s="127">
        <f t="shared" si="88"/>
        <v>0</v>
      </c>
      <c r="AB142" s="127">
        <f t="shared" si="88"/>
        <v>0</v>
      </c>
      <c r="AC142" s="127">
        <f t="shared" si="88"/>
        <v>0</v>
      </c>
      <c r="AD142" s="127">
        <f t="shared" si="88"/>
        <v>0</v>
      </c>
      <c r="AE142" s="127">
        <f t="shared" si="88"/>
        <v>0</v>
      </c>
      <c r="AF142" s="127">
        <f t="shared" si="88"/>
        <v>0</v>
      </c>
      <c r="AG142" s="127">
        <f t="shared" si="88"/>
        <v>0</v>
      </c>
      <c r="AH142" s="127">
        <f t="shared" si="88"/>
        <v>0</v>
      </c>
      <c r="AI142" s="127">
        <f t="shared" si="88"/>
        <v>0</v>
      </c>
      <c r="AJ142" s="127">
        <f t="shared" si="88"/>
        <v>0</v>
      </c>
      <c r="AK142" s="127">
        <f t="shared" si="88"/>
        <v>0</v>
      </c>
      <c r="AL142" s="127">
        <f t="shared" si="88"/>
        <v>0</v>
      </c>
      <c r="AM142" s="127">
        <f t="shared" ref="AM142:BD142" si="89">AM45-AM86-AM90-AM105-AM108-AM111-AM139</f>
        <v>0</v>
      </c>
      <c r="AN142" s="127">
        <f t="shared" si="89"/>
        <v>0</v>
      </c>
      <c r="AO142" s="127">
        <f t="shared" si="89"/>
        <v>0</v>
      </c>
      <c r="AP142" s="127">
        <f t="shared" si="89"/>
        <v>0</v>
      </c>
      <c r="AQ142" s="127">
        <f t="shared" si="89"/>
        <v>0</v>
      </c>
      <c r="AR142" s="127">
        <f t="shared" si="89"/>
        <v>0</v>
      </c>
      <c r="AS142" s="127">
        <f t="shared" si="89"/>
        <v>0</v>
      </c>
      <c r="AT142" s="127">
        <f t="shared" si="89"/>
        <v>0</v>
      </c>
      <c r="AU142" s="127">
        <f t="shared" si="89"/>
        <v>0</v>
      </c>
      <c r="AV142" s="127">
        <f t="shared" si="89"/>
        <v>0</v>
      </c>
      <c r="AW142" s="127">
        <f t="shared" si="89"/>
        <v>0</v>
      </c>
      <c r="AX142" s="127">
        <f t="shared" si="89"/>
        <v>0</v>
      </c>
      <c r="AY142" s="127">
        <f t="shared" si="89"/>
        <v>0</v>
      </c>
      <c r="AZ142" s="127">
        <f t="shared" si="89"/>
        <v>0</v>
      </c>
      <c r="BA142" s="127">
        <f t="shared" si="89"/>
        <v>0</v>
      </c>
      <c r="BB142" s="127">
        <f t="shared" si="89"/>
        <v>0</v>
      </c>
      <c r="BC142" s="127">
        <f t="shared" si="89"/>
        <v>0</v>
      </c>
      <c r="BD142" s="127">
        <f t="shared" si="89"/>
        <v>0</v>
      </c>
    </row>
    <row r="143" spans="3:56" ht="15" customHeight="1">
      <c r="C143" s="152">
        <f t="shared" si="87"/>
        <v>0</v>
      </c>
      <c r="D143" s="55" t="s">
        <v>155</v>
      </c>
      <c r="E143" s="128" t="s">
        <v>195</v>
      </c>
      <c r="G143" s="127">
        <f t="shared" ref="G143:AL143" si="90">G46</f>
        <v>0</v>
      </c>
      <c r="H143" s="127">
        <f t="shared" si="90"/>
        <v>0</v>
      </c>
      <c r="I143" s="127">
        <f t="shared" si="90"/>
        <v>0</v>
      </c>
      <c r="J143" s="127">
        <f t="shared" si="90"/>
        <v>0</v>
      </c>
      <c r="K143" s="127">
        <f t="shared" si="90"/>
        <v>0</v>
      </c>
      <c r="L143" s="127">
        <f t="shared" si="90"/>
        <v>0</v>
      </c>
      <c r="M143" s="127">
        <f t="shared" si="90"/>
        <v>0</v>
      </c>
      <c r="N143" s="127">
        <f t="shared" si="90"/>
        <v>0</v>
      </c>
      <c r="O143" s="127">
        <f t="shared" si="90"/>
        <v>0</v>
      </c>
      <c r="P143" s="127">
        <f t="shared" si="90"/>
        <v>0</v>
      </c>
      <c r="Q143" s="127">
        <f t="shared" si="90"/>
        <v>0</v>
      </c>
      <c r="R143" s="127">
        <f t="shared" si="90"/>
        <v>0</v>
      </c>
      <c r="S143" s="127">
        <f t="shared" si="90"/>
        <v>0</v>
      </c>
      <c r="T143" s="127">
        <f t="shared" si="90"/>
        <v>0</v>
      </c>
      <c r="U143" s="127">
        <f t="shared" si="90"/>
        <v>0</v>
      </c>
      <c r="V143" s="127">
        <f t="shared" si="90"/>
        <v>0</v>
      </c>
      <c r="W143" s="127">
        <f t="shared" si="90"/>
        <v>0</v>
      </c>
      <c r="X143" s="127">
        <f t="shared" si="90"/>
        <v>0</v>
      </c>
      <c r="Y143" s="127">
        <f t="shared" si="90"/>
        <v>0</v>
      </c>
      <c r="Z143" s="127">
        <f t="shared" si="90"/>
        <v>0</v>
      </c>
      <c r="AA143" s="127">
        <f t="shared" si="90"/>
        <v>0</v>
      </c>
      <c r="AB143" s="127">
        <f t="shared" si="90"/>
        <v>0</v>
      </c>
      <c r="AC143" s="127">
        <f t="shared" si="90"/>
        <v>0</v>
      </c>
      <c r="AD143" s="127">
        <f t="shared" si="90"/>
        <v>0</v>
      </c>
      <c r="AE143" s="127">
        <f t="shared" si="90"/>
        <v>0</v>
      </c>
      <c r="AF143" s="127">
        <f t="shared" si="90"/>
        <v>0</v>
      </c>
      <c r="AG143" s="127">
        <f t="shared" si="90"/>
        <v>0</v>
      </c>
      <c r="AH143" s="127">
        <f t="shared" si="90"/>
        <v>0</v>
      </c>
      <c r="AI143" s="127">
        <f t="shared" si="90"/>
        <v>0</v>
      </c>
      <c r="AJ143" s="127">
        <f t="shared" si="90"/>
        <v>0</v>
      </c>
      <c r="AK143" s="127">
        <f t="shared" si="90"/>
        <v>0</v>
      </c>
      <c r="AL143" s="127">
        <f t="shared" si="90"/>
        <v>0</v>
      </c>
      <c r="AM143" s="127">
        <f t="shared" ref="AM143:BD143" si="91">AM46</f>
        <v>0</v>
      </c>
      <c r="AN143" s="127">
        <f t="shared" si="91"/>
        <v>0</v>
      </c>
      <c r="AO143" s="127">
        <f t="shared" si="91"/>
        <v>0</v>
      </c>
      <c r="AP143" s="127">
        <f t="shared" si="91"/>
        <v>0</v>
      </c>
      <c r="AQ143" s="127">
        <f t="shared" si="91"/>
        <v>0</v>
      </c>
      <c r="AR143" s="127">
        <f t="shared" si="91"/>
        <v>0</v>
      </c>
      <c r="AS143" s="127">
        <f t="shared" si="91"/>
        <v>0</v>
      </c>
      <c r="AT143" s="127">
        <f t="shared" si="91"/>
        <v>0</v>
      </c>
      <c r="AU143" s="127">
        <f t="shared" si="91"/>
        <v>0</v>
      </c>
      <c r="AV143" s="127">
        <f t="shared" si="91"/>
        <v>0</v>
      </c>
      <c r="AW143" s="127">
        <f t="shared" si="91"/>
        <v>0</v>
      </c>
      <c r="AX143" s="127">
        <f t="shared" si="91"/>
        <v>0</v>
      </c>
      <c r="AY143" s="127">
        <f t="shared" si="91"/>
        <v>0</v>
      </c>
      <c r="AZ143" s="127">
        <f t="shared" si="91"/>
        <v>0</v>
      </c>
      <c r="BA143" s="127">
        <f t="shared" si="91"/>
        <v>0</v>
      </c>
      <c r="BB143" s="127">
        <f t="shared" si="91"/>
        <v>0</v>
      </c>
      <c r="BC143" s="127">
        <f t="shared" si="91"/>
        <v>0</v>
      </c>
      <c r="BD143" s="127">
        <f t="shared" si="91"/>
        <v>0</v>
      </c>
    </row>
    <row r="144" spans="3:56" ht="15" customHeight="1">
      <c r="C144" s="152">
        <f t="shared" si="87"/>
        <v>0</v>
      </c>
      <c r="D144" s="55" t="s">
        <v>156</v>
      </c>
      <c r="E144" s="128" t="s">
        <v>195</v>
      </c>
      <c r="G144" s="127">
        <f t="shared" ref="G144:AL144" si="92">G47</f>
        <v>0</v>
      </c>
      <c r="H144" s="127">
        <f t="shared" si="92"/>
        <v>0</v>
      </c>
      <c r="I144" s="127">
        <f t="shared" si="92"/>
        <v>0</v>
      </c>
      <c r="J144" s="127">
        <f t="shared" si="92"/>
        <v>0</v>
      </c>
      <c r="K144" s="127">
        <f t="shared" si="92"/>
        <v>0</v>
      </c>
      <c r="L144" s="127">
        <f t="shared" si="92"/>
        <v>0</v>
      </c>
      <c r="M144" s="127">
        <f t="shared" si="92"/>
        <v>0</v>
      </c>
      <c r="N144" s="127">
        <f t="shared" si="92"/>
        <v>0</v>
      </c>
      <c r="O144" s="127">
        <f t="shared" si="92"/>
        <v>0</v>
      </c>
      <c r="P144" s="127">
        <f t="shared" si="92"/>
        <v>0</v>
      </c>
      <c r="Q144" s="127">
        <f t="shared" si="92"/>
        <v>0</v>
      </c>
      <c r="R144" s="127">
        <f t="shared" si="92"/>
        <v>0</v>
      </c>
      <c r="S144" s="127">
        <f t="shared" si="92"/>
        <v>0</v>
      </c>
      <c r="T144" s="127">
        <f t="shared" si="92"/>
        <v>0</v>
      </c>
      <c r="U144" s="127">
        <f t="shared" si="92"/>
        <v>0</v>
      </c>
      <c r="V144" s="127">
        <f t="shared" si="92"/>
        <v>0</v>
      </c>
      <c r="W144" s="127">
        <f t="shared" si="92"/>
        <v>0</v>
      </c>
      <c r="X144" s="127">
        <f t="shared" si="92"/>
        <v>0</v>
      </c>
      <c r="Y144" s="127">
        <f t="shared" si="92"/>
        <v>0</v>
      </c>
      <c r="Z144" s="127">
        <f t="shared" si="92"/>
        <v>0</v>
      </c>
      <c r="AA144" s="127">
        <f t="shared" si="92"/>
        <v>0</v>
      </c>
      <c r="AB144" s="127">
        <f t="shared" si="92"/>
        <v>0</v>
      </c>
      <c r="AC144" s="127">
        <f t="shared" si="92"/>
        <v>0</v>
      </c>
      <c r="AD144" s="127">
        <f t="shared" si="92"/>
        <v>0</v>
      </c>
      <c r="AE144" s="127">
        <f t="shared" si="92"/>
        <v>0</v>
      </c>
      <c r="AF144" s="127">
        <f t="shared" si="92"/>
        <v>0</v>
      </c>
      <c r="AG144" s="127">
        <f t="shared" si="92"/>
        <v>0</v>
      </c>
      <c r="AH144" s="127">
        <f t="shared" si="92"/>
        <v>0</v>
      </c>
      <c r="AI144" s="127">
        <f t="shared" si="92"/>
        <v>0</v>
      </c>
      <c r="AJ144" s="127">
        <f t="shared" si="92"/>
        <v>0</v>
      </c>
      <c r="AK144" s="127">
        <f t="shared" si="92"/>
        <v>0</v>
      </c>
      <c r="AL144" s="127">
        <f t="shared" si="92"/>
        <v>0</v>
      </c>
      <c r="AM144" s="127">
        <f t="shared" ref="AM144:BD144" si="93">AM47</f>
        <v>0</v>
      </c>
      <c r="AN144" s="127">
        <f t="shared" si="93"/>
        <v>0</v>
      </c>
      <c r="AO144" s="127">
        <f t="shared" si="93"/>
        <v>0</v>
      </c>
      <c r="AP144" s="127">
        <f t="shared" si="93"/>
        <v>0</v>
      </c>
      <c r="AQ144" s="127">
        <f t="shared" si="93"/>
        <v>0</v>
      </c>
      <c r="AR144" s="127">
        <f t="shared" si="93"/>
        <v>0</v>
      </c>
      <c r="AS144" s="127">
        <f t="shared" si="93"/>
        <v>0</v>
      </c>
      <c r="AT144" s="127">
        <f t="shared" si="93"/>
        <v>0</v>
      </c>
      <c r="AU144" s="127">
        <f t="shared" si="93"/>
        <v>0</v>
      </c>
      <c r="AV144" s="127">
        <f t="shared" si="93"/>
        <v>0</v>
      </c>
      <c r="AW144" s="127">
        <f t="shared" si="93"/>
        <v>0</v>
      </c>
      <c r="AX144" s="127">
        <f t="shared" si="93"/>
        <v>0</v>
      </c>
      <c r="AY144" s="127">
        <f t="shared" si="93"/>
        <v>0</v>
      </c>
      <c r="AZ144" s="127">
        <f t="shared" si="93"/>
        <v>0</v>
      </c>
      <c r="BA144" s="127">
        <f t="shared" si="93"/>
        <v>0</v>
      </c>
      <c r="BB144" s="127">
        <f t="shared" si="93"/>
        <v>0</v>
      </c>
      <c r="BC144" s="127">
        <f t="shared" si="93"/>
        <v>0</v>
      </c>
      <c r="BD144" s="127">
        <f t="shared" si="93"/>
        <v>0</v>
      </c>
    </row>
    <row r="145" spans="2:56" ht="15" customHeight="1">
      <c r="C145" s="152">
        <f t="shared" si="87"/>
        <v>438.2479602408668</v>
      </c>
      <c r="D145" s="55" t="s">
        <v>157</v>
      </c>
      <c r="E145" s="128" t="s">
        <v>195</v>
      </c>
      <c r="G145" s="127">
        <f t="shared" ref="G145:AL145" si="94">G48</f>
        <v>37</v>
      </c>
      <c r="H145" s="127">
        <f t="shared" si="94"/>
        <v>111.18</v>
      </c>
      <c r="I145" s="127">
        <f t="shared" si="94"/>
        <v>166.464</v>
      </c>
      <c r="J145" s="127">
        <f t="shared" si="94"/>
        <v>0</v>
      </c>
      <c r="K145" s="127">
        <f t="shared" si="94"/>
        <v>0</v>
      </c>
      <c r="L145" s="127">
        <f t="shared" si="94"/>
        <v>0</v>
      </c>
      <c r="M145" s="127">
        <f t="shared" si="94"/>
        <v>0</v>
      </c>
      <c r="N145" s="127">
        <f t="shared" si="94"/>
        <v>27.568456023582716</v>
      </c>
      <c r="O145" s="127">
        <f t="shared" si="94"/>
        <v>26.948165763052106</v>
      </c>
      <c r="P145" s="127">
        <f t="shared" si="94"/>
        <v>10.755833117600798</v>
      </c>
      <c r="Q145" s="127">
        <f t="shared" si="94"/>
        <v>2.4379888399895142</v>
      </c>
      <c r="R145" s="127">
        <f t="shared" si="94"/>
        <v>1.243374308394652</v>
      </c>
      <c r="S145" s="127">
        <f t="shared" si="94"/>
        <v>11.414176151062907</v>
      </c>
      <c r="T145" s="127">
        <f t="shared" si="94"/>
        <v>23.28491934816833</v>
      </c>
      <c r="U145" s="127">
        <f t="shared" si="94"/>
        <v>13.194787630628721</v>
      </c>
      <c r="V145" s="127">
        <f t="shared" si="94"/>
        <v>5.3834733532965169</v>
      </c>
      <c r="W145" s="127">
        <f t="shared" si="94"/>
        <v>1.372785705090612</v>
      </c>
      <c r="X145" s="127">
        <f t="shared" si="94"/>
        <v>0</v>
      </c>
      <c r="Y145" s="127">
        <f t="shared" si="94"/>
        <v>0</v>
      </c>
      <c r="Z145" s="127">
        <f t="shared" si="94"/>
        <v>0</v>
      </c>
      <c r="AA145" s="127">
        <f t="shared" si="94"/>
        <v>0</v>
      </c>
      <c r="AB145" s="127">
        <f t="shared" si="94"/>
        <v>0</v>
      </c>
      <c r="AC145" s="127">
        <f t="shared" si="94"/>
        <v>0</v>
      </c>
      <c r="AD145" s="127">
        <f t="shared" si="94"/>
        <v>0</v>
      </c>
      <c r="AE145" s="127">
        <f t="shared" si="94"/>
        <v>0</v>
      </c>
      <c r="AF145" s="127">
        <f t="shared" si="94"/>
        <v>0</v>
      </c>
      <c r="AG145" s="127">
        <f t="shared" si="94"/>
        <v>0</v>
      </c>
      <c r="AH145" s="127">
        <f t="shared" si="94"/>
        <v>0</v>
      </c>
      <c r="AI145" s="127">
        <f t="shared" si="94"/>
        <v>0</v>
      </c>
      <c r="AJ145" s="127">
        <f t="shared" si="94"/>
        <v>0</v>
      </c>
      <c r="AK145" s="127">
        <f t="shared" si="94"/>
        <v>0</v>
      </c>
      <c r="AL145" s="127">
        <f t="shared" si="94"/>
        <v>0</v>
      </c>
      <c r="AM145" s="127">
        <f t="shared" ref="AM145:BD145" si="95">AM48</f>
        <v>0</v>
      </c>
      <c r="AN145" s="127">
        <f t="shared" si="95"/>
        <v>0</v>
      </c>
      <c r="AO145" s="127">
        <f t="shared" si="95"/>
        <v>0</v>
      </c>
      <c r="AP145" s="127">
        <f t="shared" si="95"/>
        <v>0</v>
      </c>
      <c r="AQ145" s="127">
        <f t="shared" si="95"/>
        <v>0</v>
      </c>
      <c r="AR145" s="127">
        <f t="shared" si="95"/>
        <v>0</v>
      </c>
      <c r="AS145" s="127">
        <f t="shared" si="95"/>
        <v>0</v>
      </c>
      <c r="AT145" s="127">
        <f t="shared" si="95"/>
        <v>0</v>
      </c>
      <c r="AU145" s="127">
        <f t="shared" si="95"/>
        <v>0</v>
      </c>
      <c r="AV145" s="127">
        <f t="shared" si="95"/>
        <v>0</v>
      </c>
      <c r="AW145" s="127">
        <f t="shared" si="95"/>
        <v>0</v>
      </c>
      <c r="AX145" s="127">
        <f t="shared" si="95"/>
        <v>0</v>
      </c>
      <c r="AY145" s="127">
        <f t="shared" si="95"/>
        <v>0</v>
      </c>
      <c r="AZ145" s="127">
        <f t="shared" si="95"/>
        <v>0</v>
      </c>
      <c r="BA145" s="127">
        <f t="shared" si="95"/>
        <v>0</v>
      </c>
      <c r="BB145" s="127">
        <f t="shared" si="95"/>
        <v>0</v>
      </c>
      <c r="BC145" s="127">
        <f t="shared" si="95"/>
        <v>0</v>
      </c>
      <c r="BD145" s="127">
        <f t="shared" si="95"/>
        <v>0</v>
      </c>
    </row>
    <row r="146" spans="2:56" ht="15" customHeight="1">
      <c r="C146" s="152">
        <f t="shared" si="87"/>
        <v>274.30979541230175</v>
      </c>
      <c r="D146" s="55" t="s">
        <v>158</v>
      </c>
      <c r="E146" s="128" t="s">
        <v>195</v>
      </c>
      <c r="G146" s="127">
        <f t="shared" ref="G146:AL146" si="96">G49</f>
        <v>41</v>
      </c>
      <c r="H146" s="127">
        <f t="shared" si="96"/>
        <v>37.74</v>
      </c>
      <c r="I146" s="127">
        <f t="shared" si="96"/>
        <v>46.817999999999998</v>
      </c>
      <c r="J146" s="127">
        <f t="shared" si="96"/>
        <v>26.530199999999997</v>
      </c>
      <c r="K146" s="127">
        <f t="shared" si="96"/>
        <v>29.22566832</v>
      </c>
      <c r="L146" s="127">
        <f t="shared" si="96"/>
        <v>13.2489696384</v>
      </c>
      <c r="M146" s="127">
        <f t="shared" si="96"/>
        <v>12.387786611904001</v>
      </c>
      <c r="N146" s="127">
        <f t="shared" si="96"/>
        <v>9.1894853411942385</v>
      </c>
      <c r="O146" s="127">
        <f t="shared" si="96"/>
        <v>7.0299562860135936</v>
      </c>
      <c r="P146" s="127">
        <f t="shared" si="96"/>
        <v>10.755833117600798</v>
      </c>
      <c r="Q146" s="127">
        <f t="shared" si="96"/>
        <v>14.627933039937085</v>
      </c>
      <c r="R146" s="127">
        <f t="shared" si="96"/>
        <v>7.4602458503679117</v>
      </c>
      <c r="S146" s="127">
        <f t="shared" si="96"/>
        <v>3.8047253836876358</v>
      </c>
      <c r="T146" s="127">
        <f t="shared" si="96"/>
        <v>6.4680331522689807</v>
      </c>
      <c r="U146" s="127">
        <f t="shared" si="96"/>
        <v>3.9584362891886165</v>
      </c>
      <c r="V146" s="127">
        <f t="shared" si="96"/>
        <v>2.6917366766482584</v>
      </c>
      <c r="W146" s="127">
        <f t="shared" si="96"/>
        <v>1.372785705090612</v>
      </c>
      <c r="X146" s="127">
        <f t="shared" si="96"/>
        <v>0</v>
      </c>
      <c r="Y146" s="127">
        <f t="shared" si="96"/>
        <v>0</v>
      </c>
      <c r="Z146" s="127">
        <f t="shared" si="96"/>
        <v>0</v>
      </c>
      <c r="AA146" s="127">
        <f t="shared" si="96"/>
        <v>0</v>
      </c>
      <c r="AB146" s="127">
        <f t="shared" si="96"/>
        <v>0</v>
      </c>
      <c r="AC146" s="127">
        <f t="shared" si="96"/>
        <v>0</v>
      </c>
      <c r="AD146" s="127">
        <f t="shared" si="96"/>
        <v>0</v>
      </c>
      <c r="AE146" s="127">
        <f t="shared" si="96"/>
        <v>0</v>
      </c>
      <c r="AF146" s="127">
        <f t="shared" si="96"/>
        <v>0</v>
      </c>
      <c r="AG146" s="127">
        <f t="shared" si="96"/>
        <v>0</v>
      </c>
      <c r="AH146" s="127">
        <f t="shared" si="96"/>
        <v>0</v>
      </c>
      <c r="AI146" s="127">
        <f t="shared" si="96"/>
        <v>0</v>
      </c>
      <c r="AJ146" s="127">
        <f t="shared" si="96"/>
        <v>0</v>
      </c>
      <c r="AK146" s="127">
        <f t="shared" si="96"/>
        <v>0</v>
      </c>
      <c r="AL146" s="127">
        <f t="shared" si="96"/>
        <v>0</v>
      </c>
      <c r="AM146" s="127">
        <f t="shared" ref="AM146:BD146" si="97">AM49</f>
        <v>0</v>
      </c>
      <c r="AN146" s="127">
        <f t="shared" si="97"/>
        <v>0</v>
      </c>
      <c r="AO146" s="127">
        <f t="shared" si="97"/>
        <v>0</v>
      </c>
      <c r="AP146" s="127">
        <f t="shared" si="97"/>
        <v>0</v>
      </c>
      <c r="AQ146" s="127">
        <f t="shared" si="97"/>
        <v>0</v>
      </c>
      <c r="AR146" s="127">
        <f t="shared" si="97"/>
        <v>0</v>
      </c>
      <c r="AS146" s="127">
        <f t="shared" si="97"/>
        <v>0</v>
      </c>
      <c r="AT146" s="127">
        <f t="shared" si="97"/>
        <v>0</v>
      </c>
      <c r="AU146" s="127">
        <f t="shared" si="97"/>
        <v>0</v>
      </c>
      <c r="AV146" s="127">
        <f t="shared" si="97"/>
        <v>0</v>
      </c>
      <c r="AW146" s="127">
        <f t="shared" si="97"/>
        <v>0</v>
      </c>
      <c r="AX146" s="127">
        <f t="shared" si="97"/>
        <v>0</v>
      </c>
      <c r="AY146" s="127">
        <f t="shared" si="97"/>
        <v>0</v>
      </c>
      <c r="AZ146" s="127">
        <f t="shared" si="97"/>
        <v>0</v>
      </c>
      <c r="BA146" s="127">
        <f t="shared" si="97"/>
        <v>0</v>
      </c>
      <c r="BB146" s="127">
        <f t="shared" si="97"/>
        <v>0</v>
      </c>
      <c r="BC146" s="127">
        <f t="shared" si="97"/>
        <v>0</v>
      </c>
      <c r="BD146" s="127">
        <f t="shared" si="97"/>
        <v>0</v>
      </c>
    </row>
    <row r="147" spans="2:56" ht="15" customHeight="1">
      <c r="C147" s="152">
        <f t="shared" si="87"/>
        <v>2979.6184268151496</v>
      </c>
      <c r="D147" s="55" t="s">
        <v>159</v>
      </c>
      <c r="E147" s="128" t="s">
        <v>195</v>
      </c>
      <c r="G147" s="127">
        <f t="shared" ref="G147:AL147" si="98">G50</f>
        <v>171.01</v>
      </c>
      <c r="H147" s="127">
        <f t="shared" si="98"/>
        <v>172.39754400000001</v>
      </c>
      <c r="I147" s="127">
        <f t="shared" si="98"/>
        <v>185.1745536</v>
      </c>
      <c r="J147" s="127">
        <f t="shared" si="98"/>
        <v>215.42522399999999</v>
      </c>
      <c r="K147" s="127">
        <f t="shared" si="98"/>
        <v>234.88777872</v>
      </c>
      <c r="L147" s="127">
        <f t="shared" si="98"/>
        <v>224.1284030496</v>
      </c>
      <c r="M147" s="127">
        <f t="shared" si="98"/>
        <v>202.70923546752002</v>
      </c>
      <c r="N147" s="127">
        <f t="shared" si="98"/>
        <v>202.16867750627324</v>
      </c>
      <c r="O147" s="127">
        <f t="shared" si="98"/>
        <v>185.12323669180086</v>
      </c>
      <c r="P147" s="127">
        <f t="shared" si="98"/>
        <v>179.27380456166617</v>
      </c>
      <c r="Q147" s="127">
        <f t="shared" si="98"/>
        <v>192.60221545414961</v>
      </c>
      <c r="R147" s="127">
        <f t="shared" si="98"/>
        <v>191.48536301459504</v>
      </c>
      <c r="S147" s="127">
        <f t="shared" si="98"/>
        <v>171.20236950740764</v>
      </c>
      <c r="T147" s="127">
        <f t="shared" si="98"/>
        <v>169.45677672027333</v>
      </c>
      <c r="U147" s="127">
        <f t="shared" si="98"/>
        <v>121.39389347205251</v>
      </c>
      <c r="V147" s="127">
        <f t="shared" si="98"/>
        <v>109.0112977992395</v>
      </c>
      <c r="W147" s="127">
        <f t="shared" si="98"/>
        <v>52.168053250571404</v>
      </c>
      <c r="X147" s="127">
        <f t="shared" si="98"/>
        <v>0</v>
      </c>
      <c r="Y147" s="127">
        <f t="shared" si="98"/>
        <v>0</v>
      </c>
      <c r="Z147" s="127">
        <f t="shared" si="98"/>
        <v>0</v>
      </c>
      <c r="AA147" s="127">
        <f t="shared" si="98"/>
        <v>0</v>
      </c>
      <c r="AB147" s="127">
        <f t="shared" si="98"/>
        <v>0</v>
      </c>
      <c r="AC147" s="127">
        <f t="shared" si="98"/>
        <v>0</v>
      </c>
      <c r="AD147" s="127">
        <f t="shared" si="98"/>
        <v>0</v>
      </c>
      <c r="AE147" s="127">
        <f t="shared" si="98"/>
        <v>0</v>
      </c>
      <c r="AF147" s="127">
        <f t="shared" si="98"/>
        <v>0</v>
      </c>
      <c r="AG147" s="127">
        <f t="shared" si="98"/>
        <v>0</v>
      </c>
      <c r="AH147" s="127">
        <f t="shared" si="98"/>
        <v>0</v>
      </c>
      <c r="AI147" s="127">
        <f t="shared" si="98"/>
        <v>0</v>
      </c>
      <c r="AJ147" s="127">
        <f t="shared" si="98"/>
        <v>0</v>
      </c>
      <c r="AK147" s="127">
        <f t="shared" si="98"/>
        <v>0</v>
      </c>
      <c r="AL147" s="127">
        <f t="shared" si="98"/>
        <v>0</v>
      </c>
      <c r="AM147" s="127">
        <f t="shared" ref="AM147:BD147" si="99">AM50</f>
        <v>0</v>
      </c>
      <c r="AN147" s="127">
        <f t="shared" si="99"/>
        <v>0</v>
      </c>
      <c r="AO147" s="127">
        <f t="shared" si="99"/>
        <v>0</v>
      </c>
      <c r="AP147" s="127">
        <f t="shared" si="99"/>
        <v>0</v>
      </c>
      <c r="AQ147" s="127">
        <f t="shared" si="99"/>
        <v>0</v>
      </c>
      <c r="AR147" s="127">
        <f t="shared" si="99"/>
        <v>0</v>
      </c>
      <c r="AS147" s="127">
        <f t="shared" si="99"/>
        <v>0</v>
      </c>
      <c r="AT147" s="127">
        <f t="shared" si="99"/>
        <v>0</v>
      </c>
      <c r="AU147" s="127">
        <f t="shared" si="99"/>
        <v>0</v>
      </c>
      <c r="AV147" s="127">
        <f t="shared" si="99"/>
        <v>0</v>
      </c>
      <c r="AW147" s="127">
        <f t="shared" si="99"/>
        <v>0</v>
      </c>
      <c r="AX147" s="127">
        <f t="shared" si="99"/>
        <v>0</v>
      </c>
      <c r="AY147" s="127">
        <f t="shared" si="99"/>
        <v>0</v>
      </c>
      <c r="AZ147" s="127">
        <f t="shared" si="99"/>
        <v>0</v>
      </c>
      <c r="BA147" s="127">
        <f t="shared" si="99"/>
        <v>0</v>
      </c>
      <c r="BB147" s="127">
        <f t="shared" si="99"/>
        <v>0</v>
      </c>
      <c r="BC147" s="127">
        <f t="shared" si="99"/>
        <v>0</v>
      </c>
      <c r="BD147" s="127">
        <f t="shared" si="99"/>
        <v>0</v>
      </c>
    </row>
    <row r="148" spans="2:56" ht="15" customHeight="1">
      <c r="C148" s="152">
        <f t="shared" si="87"/>
        <v>6.8639285254530602</v>
      </c>
      <c r="D148" s="55" t="s">
        <v>254</v>
      </c>
      <c r="E148" s="128" t="s">
        <v>195</v>
      </c>
      <c r="G148" s="127">
        <f t="shared" ref="G148:AL148" si="100">G65+G75+G76+G77</f>
        <v>0</v>
      </c>
      <c r="H148" s="127">
        <f t="shared" si="100"/>
        <v>0</v>
      </c>
      <c r="I148" s="127">
        <f t="shared" si="100"/>
        <v>0</v>
      </c>
      <c r="J148" s="127">
        <f t="shared" si="100"/>
        <v>0</v>
      </c>
      <c r="K148" s="127">
        <f t="shared" si="100"/>
        <v>0</v>
      </c>
      <c r="L148" s="127">
        <f t="shared" si="100"/>
        <v>0</v>
      </c>
      <c r="M148" s="127">
        <f t="shared" si="100"/>
        <v>0</v>
      </c>
      <c r="N148" s="127">
        <f t="shared" si="100"/>
        <v>0</v>
      </c>
      <c r="O148" s="127">
        <f t="shared" si="100"/>
        <v>0</v>
      </c>
      <c r="P148" s="127">
        <f t="shared" si="100"/>
        <v>0</v>
      </c>
      <c r="Q148" s="127">
        <f t="shared" si="100"/>
        <v>0</v>
      </c>
      <c r="R148" s="127">
        <f t="shared" si="100"/>
        <v>0</v>
      </c>
      <c r="S148" s="127">
        <f t="shared" si="100"/>
        <v>0</v>
      </c>
      <c r="T148" s="127">
        <f t="shared" si="100"/>
        <v>0</v>
      </c>
      <c r="U148" s="127">
        <f t="shared" si="100"/>
        <v>0</v>
      </c>
      <c r="V148" s="127">
        <f t="shared" si="100"/>
        <v>0</v>
      </c>
      <c r="W148" s="127">
        <f t="shared" si="100"/>
        <v>6.8639285254530602</v>
      </c>
      <c r="X148" s="127">
        <f t="shared" si="100"/>
        <v>0</v>
      </c>
      <c r="Y148" s="127">
        <f t="shared" si="100"/>
        <v>0</v>
      </c>
      <c r="Z148" s="127">
        <f t="shared" si="100"/>
        <v>0</v>
      </c>
      <c r="AA148" s="127">
        <f t="shared" si="100"/>
        <v>0</v>
      </c>
      <c r="AB148" s="127">
        <f t="shared" si="100"/>
        <v>0</v>
      </c>
      <c r="AC148" s="127">
        <f t="shared" si="100"/>
        <v>0</v>
      </c>
      <c r="AD148" s="127">
        <f t="shared" si="100"/>
        <v>0</v>
      </c>
      <c r="AE148" s="127">
        <f t="shared" si="100"/>
        <v>0</v>
      </c>
      <c r="AF148" s="127">
        <f t="shared" si="100"/>
        <v>0</v>
      </c>
      <c r="AG148" s="127">
        <f t="shared" si="100"/>
        <v>0</v>
      </c>
      <c r="AH148" s="127">
        <f t="shared" si="100"/>
        <v>0</v>
      </c>
      <c r="AI148" s="127">
        <f t="shared" si="100"/>
        <v>0</v>
      </c>
      <c r="AJ148" s="127">
        <f t="shared" si="100"/>
        <v>0</v>
      </c>
      <c r="AK148" s="127">
        <f t="shared" si="100"/>
        <v>0</v>
      </c>
      <c r="AL148" s="127">
        <f t="shared" si="100"/>
        <v>0</v>
      </c>
      <c r="AM148" s="127">
        <f t="shared" ref="AM148:BD148" si="101">AM65+AM75+AM76+AM77</f>
        <v>0</v>
      </c>
      <c r="AN148" s="127">
        <f t="shared" si="101"/>
        <v>0</v>
      </c>
      <c r="AO148" s="127">
        <f t="shared" si="101"/>
        <v>0</v>
      </c>
      <c r="AP148" s="127">
        <f t="shared" si="101"/>
        <v>0</v>
      </c>
      <c r="AQ148" s="127">
        <f t="shared" si="101"/>
        <v>0</v>
      </c>
      <c r="AR148" s="127">
        <f t="shared" si="101"/>
        <v>0</v>
      </c>
      <c r="AS148" s="127">
        <f t="shared" si="101"/>
        <v>0</v>
      </c>
      <c r="AT148" s="127">
        <f t="shared" si="101"/>
        <v>0</v>
      </c>
      <c r="AU148" s="127">
        <f t="shared" si="101"/>
        <v>0</v>
      </c>
      <c r="AV148" s="127">
        <f t="shared" si="101"/>
        <v>0</v>
      </c>
      <c r="AW148" s="127">
        <f t="shared" si="101"/>
        <v>0</v>
      </c>
      <c r="AX148" s="127">
        <f t="shared" si="101"/>
        <v>0</v>
      </c>
      <c r="AY148" s="127">
        <f t="shared" si="101"/>
        <v>0</v>
      </c>
      <c r="AZ148" s="127">
        <f t="shared" si="101"/>
        <v>0</v>
      </c>
      <c r="BA148" s="127">
        <f t="shared" si="101"/>
        <v>0</v>
      </c>
      <c r="BB148" s="127">
        <f t="shared" si="101"/>
        <v>0</v>
      </c>
      <c r="BC148" s="127">
        <f t="shared" si="101"/>
        <v>0</v>
      </c>
      <c r="BD148" s="127">
        <f t="shared" si="101"/>
        <v>0</v>
      </c>
    </row>
    <row r="149" spans="2:56" ht="15" customHeight="1">
      <c r="C149" s="152">
        <f t="shared" si="87"/>
        <v>3696.7338076497381</v>
      </c>
      <c r="D149" s="103" t="s">
        <v>255</v>
      </c>
      <c r="E149" s="128" t="s">
        <v>195</v>
      </c>
      <c r="G149" s="127">
        <f t="shared" ref="G149:AL149" si="102">G142-SUM(G143:G148)</f>
        <v>123.38999999999999</v>
      </c>
      <c r="H149" s="127">
        <f t="shared" si="102"/>
        <v>235.27605600000004</v>
      </c>
      <c r="I149" s="127">
        <f t="shared" si="102"/>
        <v>170.85032639999997</v>
      </c>
      <c r="J149" s="127">
        <f t="shared" si="102"/>
        <v>403.25903999999991</v>
      </c>
      <c r="K149" s="127">
        <f t="shared" si="102"/>
        <v>394.00530623999998</v>
      </c>
      <c r="L149" s="127">
        <f t="shared" si="102"/>
        <v>433.90375565760007</v>
      </c>
      <c r="M149" s="127">
        <f t="shared" si="102"/>
        <v>469.60972883308807</v>
      </c>
      <c r="N149" s="127">
        <f t="shared" si="102"/>
        <v>319.79408987355953</v>
      </c>
      <c r="O149" s="127">
        <f t="shared" si="102"/>
        <v>88.998192087489201</v>
      </c>
      <c r="P149" s="127">
        <f t="shared" si="102"/>
        <v>113.4760710480551</v>
      </c>
      <c r="Q149" s="127">
        <f t="shared" si="102"/>
        <v>110.8786353477451</v>
      </c>
      <c r="R149" s="127">
        <f t="shared" si="102"/>
        <v>126.76872496210012</v>
      </c>
      <c r="S149" s="127">
        <f t="shared" si="102"/>
        <v>147.07559125600869</v>
      </c>
      <c r="T149" s="127">
        <f t="shared" si="102"/>
        <v>140.95707032341954</v>
      </c>
      <c r="U149" s="127">
        <f t="shared" si="102"/>
        <v>208.42301814314305</v>
      </c>
      <c r="V149" s="127">
        <f t="shared" si="102"/>
        <v>154.99423544642173</v>
      </c>
      <c r="W149" s="127">
        <f t="shared" si="102"/>
        <v>55.07396603110719</v>
      </c>
      <c r="X149" s="127">
        <f t="shared" si="102"/>
        <v>0</v>
      </c>
      <c r="Y149" s="127">
        <f t="shared" si="102"/>
        <v>0</v>
      </c>
      <c r="Z149" s="127">
        <f t="shared" si="102"/>
        <v>0</v>
      </c>
      <c r="AA149" s="127">
        <f t="shared" si="102"/>
        <v>0</v>
      </c>
      <c r="AB149" s="127">
        <f t="shared" si="102"/>
        <v>0</v>
      </c>
      <c r="AC149" s="127">
        <f t="shared" si="102"/>
        <v>0</v>
      </c>
      <c r="AD149" s="127">
        <f t="shared" si="102"/>
        <v>0</v>
      </c>
      <c r="AE149" s="127">
        <f t="shared" si="102"/>
        <v>0</v>
      </c>
      <c r="AF149" s="127">
        <f t="shared" si="102"/>
        <v>0</v>
      </c>
      <c r="AG149" s="127">
        <f t="shared" si="102"/>
        <v>0</v>
      </c>
      <c r="AH149" s="127">
        <f t="shared" si="102"/>
        <v>0</v>
      </c>
      <c r="AI149" s="127">
        <f t="shared" si="102"/>
        <v>0</v>
      </c>
      <c r="AJ149" s="127">
        <f t="shared" si="102"/>
        <v>0</v>
      </c>
      <c r="AK149" s="127">
        <f t="shared" si="102"/>
        <v>0</v>
      </c>
      <c r="AL149" s="127">
        <f t="shared" si="102"/>
        <v>0</v>
      </c>
      <c r="AM149" s="127">
        <f t="shared" ref="AM149:BR149" si="103">AM142-SUM(AM143:AM148)</f>
        <v>0</v>
      </c>
      <c r="AN149" s="127">
        <f t="shared" si="103"/>
        <v>0</v>
      </c>
      <c r="AO149" s="127">
        <f t="shared" si="103"/>
        <v>0</v>
      </c>
      <c r="AP149" s="127">
        <f t="shared" si="103"/>
        <v>0</v>
      </c>
      <c r="AQ149" s="127">
        <f t="shared" si="103"/>
        <v>0</v>
      </c>
      <c r="AR149" s="127">
        <f t="shared" si="103"/>
        <v>0</v>
      </c>
      <c r="AS149" s="127">
        <f t="shared" si="103"/>
        <v>0</v>
      </c>
      <c r="AT149" s="127">
        <f t="shared" si="103"/>
        <v>0</v>
      </c>
      <c r="AU149" s="127">
        <f t="shared" si="103"/>
        <v>0</v>
      </c>
      <c r="AV149" s="127">
        <f t="shared" si="103"/>
        <v>0</v>
      </c>
      <c r="AW149" s="127">
        <f t="shared" si="103"/>
        <v>0</v>
      </c>
      <c r="AX149" s="127">
        <f t="shared" si="103"/>
        <v>0</v>
      </c>
      <c r="AY149" s="127">
        <f t="shared" si="103"/>
        <v>0</v>
      </c>
      <c r="AZ149" s="127">
        <f t="shared" si="103"/>
        <v>0</v>
      </c>
      <c r="BA149" s="127">
        <f t="shared" si="103"/>
        <v>0</v>
      </c>
      <c r="BB149" s="127">
        <f t="shared" si="103"/>
        <v>0</v>
      </c>
      <c r="BC149" s="127">
        <f t="shared" si="103"/>
        <v>0</v>
      </c>
      <c r="BD149" s="127">
        <f t="shared" si="103"/>
        <v>0</v>
      </c>
    </row>
    <row r="150" spans="2:56" ht="15" customHeight="1">
      <c r="C150" s="152"/>
      <c r="E150" s="128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127"/>
      <c r="AO150" s="127"/>
      <c r="AP150" s="127"/>
      <c r="AQ150" s="127"/>
      <c r="AR150" s="127"/>
      <c r="AS150" s="127"/>
      <c r="AT150" s="127"/>
      <c r="AU150" s="127"/>
      <c r="AV150" s="127"/>
      <c r="AW150" s="127"/>
      <c r="AX150" s="127"/>
      <c r="AY150" s="127"/>
      <c r="AZ150" s="127"/>
      <c r="BA150" s="127"/>
      <c r="BB150" s="127"/>
      <c r="BC150" s="127"/>
      <c r="BD150" s="127"/>
    </row>
    <row r="151" spans="2:56" ht="15" customHeight="1">
      <c r="C151" s="183"/>
      <c r="D151" s="184" t="s">
        <v>256</v>
      </c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83"/>
      <c r="AY151" s="183"/>
      <c r="AZ151" s="183"/>
      <c r="BA151" s="183"/>
      <c r="BB151" s="183"/>
      <c r="BC151" s="183"/>
      <c r="BD151" s="183"/>
    </row>
    <row r="152" spans="2:56" ht="15" customHeight="1">
      <c r="C152" s="152">
        <f>SUM(G152:BD152)</f>
        <v>0</v>
      </c>
      <c r="D152" s="55" t="s">
        <v>155</v>
      </c>
      <c r="E152" s="128" t="s">
        <v>195</v>
      </c>
      <c r="G152" s="127">
        <f t="shared" ref="G152:AL152" si="104">G143</f>
        <v>0</v>
      </c>
      <c r="H152" s="127">
        <f t="shared" si="104"/>
        <v>0</v>
      </c>
      <c r="I152" s="127">
        <f t="shared" si="104"/>
        <v>0</v>
      </c>
      <c r="J152" s="127">
        <f t="shared" si="104"/>
        <v>0</v>
      </c>
      <c r="K152" s="127">
        <f t="shared" si="104"/>
        <v>0</v>
      </c>
      <c r="L152" s="127">
        <f t="shared" si="104"/>
        <v>0</v>
      </c>
      <c r="M152" s="127">
        <f t="shared" si="104"/>
        <v>0</v>
      </c>
      <c r="N152" s="127">
        <f t="shared" si="104"/>
        <v>0</v>
      </c>
      <c r="O152" s="127">
        <f t="shared" si="104"/>
        <v>0</v>
      </c>
      <c r="P152" s="127">
        <f t="shared" si="104"/>
        <v>0</v>
      </c>
      <c r="Q152" s="127">
        <f t="shared" si="104"/>
        <v>0</v>
      </c>
      <c r="R152" s="127">
        <f t="shared" si="104"/>
        <v>0</v>
      </c>
      <c r="S152" s="127">
        <f t="shared" si="104"/>
        <v>0</v>
      </c>
      <c r="T152" s="127">
        <f t="shared" si="104"/>
        <v>0</v>
      </c>
      <c r="U152" s="127">
        <f t="shared" si="104"/>
        <v>0</v>
      </c>
      <c r="V152" s="127">
        <f t="shared" si="104"/>
        <v>0</v>
      </c>
      <c r="W152" s="127">
        <f t="shared" si="104"/>
        <v>0</v>
      </c>
      <c r="X152" s="127">
        <f t="shared" si="104"/>
        <v>0</v>
      </c>
      <c r="Y152" s="127">
        <f t="shared" si="104"/>
        <v>0</v>
      </c>
      <c r="Z152" s="127">
        <f t="shared" si="104"/>
        <v>0</v>
      </c>
      <c r="AA152" s="127">
        <f t="shared" si="104"/>
        <v>0</v>
      </c>
      <c r="AB152" s="127">
        <f t="shared" si="104"/>
        <v>0</v>
      </c>
      <c r="AC152" s="127">
        <f t="shared" si="104"/>
        <v>0</v>
      </c>
      <c r="AD152" s="127">
        <f t="shared" si="104"/>
        <v>0</v>
      </c>
      <c r="AE152" s="127">
        <f t="shared" si="104"/>
        <v>0</v>
      </c>
      <c r="AF152" s="127">
        <f t="shared" si="104"/>
        <v>0</v>
      </c>
      <c r="AG152" s="127">
        <f t="shared" si="104"/>
        <v>0</v>
      </c>
      <c r="AH152" s="127">
        <f t="shared" si="104"/>
        <v>0</v>
      </c>
      <c r="AI152" s="127">
        <f t="shared" si="104"/>
        <v>0</v>
      </c>
      <c r="AJ152" s="127">
        <f t="shared" si="104"/>
        <v>0</v>
      </c>
      <c r="AK152" s="127">
        <f t="shared" si="104"/>
        <v>0</v>
      </c>
      <c r="AL152" s="127">
        <f t="shared" si="104"/>
        <v>0</v>
      </c>
      <c r="AM152" s="127">
        <f t="shared" ref="AM152:BD152" si="105">AM143</f>
        <v>0</v>
      </c>
      <c r="AN152" s="127">
        <f t="shared" si="105"/>
        <v>0</v>
      </c>
      <c r="AO152" s="127">
        <f t="shared" si="105"/>
        <v>0</v>
      </c>
      <c r="AP152" s="127">
        <f t="shared" si="105"/>
        <v>0</v>
      </c>
      <c r="AQ152" s="127">
        <f t="shared" si="105"/>
        <v>0</v>
      </c>
      <c r="AR152" s="127">
        <f t="shared" si="105"/>
        <v>0</v>
      </c>
      <c r="AS152" s="127">
        <f t="shared" si="105"/>
        <v>0</v>
      </c>
      <c r="AT152" s="127">
        <f t="shared" si="105"/>
        <v>0</v>
      </c>
      <c r="AU152" s="127">
        <f t="shared" si="105"/>
        <v>0</v>
      </c>
      <c r="AV152" s="127">
        <f t="shared" si="105"/>
        <v>0</v>
      </c>
      <c r="AW152" s="127">
        <f t="shared" si="105"/>
        <v>0</v>
      </c>
      <c r="AX152" s="127">
        <f t="shared" si="105"/>
        <v>0</v>
      </c>
      <c r="AY152" s="127">
        <f t="shared" si="105"/>
        <v>0</v>
      </c>
      <c r="AZ152" s="127">
        <f t="shared" si="105"/>
        <v>0</v>
      </c>
      <c r="BA152" s="127">
        <f t="shared" si="105"/>
        <v>0</v>
      </c>
      <c r="BB152" s="127">
        <f t="shared" si="105"/>
        <v>0</v>
      </c>
      <c r="BC152" s="127">
        <f t="shared" si="105"/>
        <v>0</v>
      </c>
      <c r="BD152" s="127">
        <f t="shared" si="105"/>
        <v>0</v>
      </c>
    </row>
    <row r="153" spans="2:56" ht="15" customHeight="1">
      <c r="C153" s="152">
        <f>SUM(G153:BD153)</f>
        <v>0</v>
      </c>
      <c r="D153" s="55" t="s">
        <v>257</v>
      </c>
      <c r="E153" s="128" t="s">
        <v>195</v>
      </c>
      <c r="G153" s="127">
        <f>IF(Paramètres!$F$15="immediate",G152,IF(G29=0,0,IF(G29=1,SUM($G$152:G152),G152)))</f>
        <v>0</v>
      </c>
      <c r="H153" s="127">
        <f>IF(Paramètres!$F$15="immediate",H152,IF(H29=0,0,IF(H29=1,SUM($G$152:H152),H152)))</f>
        <v>0</v>
      </c>
      <c r="I153" s="127">
        <f>IF(Paramètres!$F$15="immediate",I152,IF(I29=0,0,IF(I29=1,SUM($G$152:I152),I152)))</f>
        <v>0</v>
      </c>
      <c r="J153" s="127">
        <f>IF(Paramètres!$F$15="immediate",J152,IF(J29=0,0,IF(J29=1,SUM($G$152:J152),J152)))</f>
        <v>0</v>
      </c>
      <c r="K153" s="127">
        <f>IF(Paramètres!$F$15="immediate",K152,IF(K29=0,0,IF(K29=1,SUM($G$152:K152),K152)))</f>
        <v>0</v>
      </c>
      <c r="L153" s="127">
        <f>IF(Paramètres!$F$15="immediate",L152,IF(L29=0,0,IF(L29=1,SUM($G$152:L152),L152)))</f>
        <v>0</v>
      </c>
      <c r="M153" s="127">
        <f>IF(Paramètres!$F$15="immediate",M152,IF(M29=0,0,IF(M29=1,SUM($G$152:M152),M152)))</f>
        <v>0</v>
      </c>
      <c r="N153" s="127">
        <f>IF(Paramètres!$F$15="immediate",N152,IF(N29=0,0,IF(N29=1,SUM($G$152:N152),N152)))</f>
        <v>0</v>
      </c>
      <c r="O153" s="127">
        <f>IF(Paramètres!$F$15="immediate",O152,IF(O29=0,0,IF(O29=1,SUM($G$152:O152),O152)))</f>
        <v>0</v>
      </c>
      <c r="P153" s="127">
        <f>IF(Paramètres!$F$15="immediate",P152,IF(P29=0,0,IF(P29=1,SUM($G$152:P152),P152)))</f>
        <v>0</v>
      </c>
      <c r="Q153" s="127">
        <f>IF(Paramètres!$F$15="immediate",Q152,IF(Q29=0,0,IF(Q29=1,SUM($G$152:Q152),Q152)))</f>
        <v>0</v>
      </c>
      <c r="R153" s="127">
        <f>IF(Paramètres!$F$15="immediate",R152,IF(R29=0,0,IF(R29=1,SUM($G$152:R152),R152)))</f>
        <v>0</v>
      </c>
      <c r="S153" s="127">
        <f>IF(Paramètres!$F$15="immediate",S152,IF(S29=0,0,IF(S29=1,SUM($G$152:S152),S152)))</f>
        <v>0</v>
      </c>
      <c r="T153" s="127">
        <f>IF(Paramètres!$F$15="immediate",T152,IF(T29=0,0,IF(T29=1,SUM($G$152:T152),T152)))</f>
        <v>0</v>
      </c>
      <c r="U153" s="127">
        <f>IF(Paramètres!$F$15="immediate",U152,IF(U29=0,0,IF(U29=1,SUM($G$152:U152),U152)))</f>
        <v>0</v>
      </c>
      <c r="V153" s="127">
        <f>IF(Paramètres!$F$15="immediate",V152,IF(V29=0,0,IF(V29=1,SUM($G$152:V152),V152)))</f>
        <v>0</v>
      </c>
      <c r="W153" s="127">
        <f>IF(Paramètres!$F$15="immediate",W152,IF(W29=0,0,IF(W29=1,SUM($G$152:W152),W152)))</f>
        <v>0</v>
      </c>
      <c r="X153" s="127">
        <f>IF(Paramètres!$F$15="immediate",X152,IF(X29=0,0,IF(X29=1,SUM($G$152:X152),X152)))</f>
        <v>0</v>
      </c>
      <c r="Y153" s="127">
        <f>IF(Paramètres!$F$15="immediate",Y152,IF(Y29=0,0,IF(Y29=1,SUM($G$152:Y152),Y152)))</f>
        <v>0</v>
      </c>
      <c r="Z153" s="127">
        <f>IF(Paramètres!$F$15="immediate",Z152,IF(Z29=0,0,IF(Z29=1,SUM($G$152:Z152),Z152)))</f>
        <v>0</v>
      </c>
      <c r="AA153" s="127">
        <f>IF(Paramètres!$F$15="immediate",AA152,IF(AA29=0,0,IF(AA29=1,SUM($G$152:AA152),AA152)))</f>
        <v>0</v>
      </c>
      <c r="AB153" s="127">
        <f>IF(Paramètres!$F$15="immediate",AB152,IF(AB29=0,0,IF(AB29=1,SUM($G$152:AB152),AB152)))</f>
        <v>0</v>
      </c>
      <c r="AC153" s="127">
        <f>IF(Paramètres!$F$15="immediate",AC152,IF(AC29=0,0,IF(AC29=1,SUM($G$152:AC152),AC152)))</f>
        <v>0</v>
      </c>
      <c r="AD153" s="127">
        <f>IF(Paramètres!$F$15="immediate",AD152,IF(AD29=0,0,IF(AD29=1,SUM($G$152:AD152),AD152)))</f>
        <v>0</v>
      </c>
      <c r="AE153" s="127">
        <f>IF(Paramètres!$F$15="immediate",AE152,IF(AE29=0,0,IF(AE29=1,SUM($G$152:AE152),AE152)))</f>
        <v>0</v>
      </c>
      <c r="AF153" s="127">
        <f>IF(Paramètres!$F$15="immediate",AF152,IF(AF29=0,0,IF(AF29=1,SUM($G$152:AF152),AF152)))</f>
        <v>0</v>
      </c>
      <c r="AG153" s="127">
        <f>IF(Paramètres!$F$15="immediate",AG152,IF(AG29=0,0,IF(AG29=1,SUM($G$152:AG152),AG152)))</f>
        <v>0</v>
      </c>
      <c r="AH153" s="127">
        <f>IF(Paramètres!$F$15="immediate",AH152,IF(AH29=0,0,IF(AH29=1,SUM($G$152:AH152),AH152)))</f>
        <v>0</v>
      </c>
      <c r="AI153" s="127">
        <f>IF(Paramètres!$F$15="immediate",AI152,IF(AI29=0,0,IF(AI29=1,SUM($G$152:AI152),AI152)))</f>
        <v>0</v>
      </c>
      <c r="AJ153" s="127">
        <f>IF(Paramètres!$F$15="immediate",AJ152,IF(AJ29=0,0,IF(AJ29=1,SUM($G$152:AJ152),AJ152)))</f>
        <v>0</v>
      </c>
      <c r="AK153" s="127">
        <f>IF(Paramètres!$F$15="immediate",AK152,IF(AK29=0,0,IF(AK29=1,SUM($G$152:AK152),AK152)))</f>
        <v>0</v>
      </c>
      <c r="AL153" s="127">
        <f>IF(Paramètres!$F$15="immediate",AL152,IF(AL29=0,0,IF(AL29=1,SUM($G$152:AL152),AL152)))</f>
        <v>0</v>
      </c>
      <c r="AM153" s="127">
        <f>IF(Paramètres!$F$15="immediate",AM152,IF(AM29=0,0,IF(AM29=1,SUM($G$152:AM152),AM152)))</f>
        <v>0</v>
      </c>
      <c r="AN153" s="127">
        <f>IF(Paramètres!$F$15="immediate",AN152,IF(AN29=0,0,IF(AN29=1,SUM($G$152:AN152),AN152)))</f>
        <v>0</v>
      </c>
      <c r="AO153" s="127">
        <f>IF(Paramètres!$F$15="immediate",AO152,IF(AO29=0,0,IF(AO29=1,SUM($G$152:AO152),AO152)))</f>
        <v>0</v>
      </c>
      <c r="AP153" s="127">
        <f>IF(Paramètres!$F$15="immediate",AP152,IF(AP29=0,0,IF(AP29=1,SUM($G$152:AP152),AP152)))</f>
        <v>0</v>
      </c>
      <c r="AQ153" s="127">
        <f>IF(Paramètres!$F$15="immediate",AQ152,IF(AQ29=0,0,IF(AQ29=1,SUM($G$152:AQ152),AQ152)))</f>
        <v>0</v>
      </c>
      <c r="AR153" s="127">
        <f>IF(Paramètres!$F$15="immediate",AR152,IF(AR29=0,0,IF(AR29=1,SUM($G$152:AR152),AR152)))</f>
        <v>0</v>
      </c>
      <c r="AS153" s="127">
        <f>IF(Paramètres!$F$15="immediate",AS152,IF(AS29=0,0,IF(AS29=1,SUM($G$152:AS152),AS152)))</f>
        <v>0</v>
      </c>
      <c r="AT153" s="127">
        <f>IF(Paramètres!$F$15="immediate",AT152,IF(AT29=0,0,IF(AT29=1,SUM($G$152:AT152),AT152)))</f>
        <v>0</v>
      </c>
      <c r="AU153" s="127">
        <f>IF(Paramètres!$F$15="immediate",AU152,IF(AU29=0,0,IF(AU29=1,SUM($G$152:AU152),AU152)))</f>
        <v>0</v>
      </c>
      <c r="AV153" s="127">
        <f>IF(Paramètres!$F$15="immediate",AV152,IF(AV29=0,0,IF(AV29=1,SUM($G$152:AV152),AV152)))</f>
        <v>0</v>
      </c>
      <c r="AW153" s="127">
        <f>IF(Paramètres!$F$15="immediate",AW152,IF(AW29=0,0,IF(AW29=1,SUM($G$152:AW152),AW152)))</f>
        <v>0</v>
      </c>
      <c r="AX153" s="127">
        <f>IF(Paramètres!$F$15="immediate",AX152,IF(AX29=0,0,IF(AX29=1,SUM($G$152:AX152),AX152)))</f>
        <v>0</v>
      </c>
      <c r="AY153" s="127">
        <f>IF(Paramètres!$F$15="immediate",AY152,IF(AY29=0,0,IF(AY29=1,SUM($G$152:AY152),AY152)))</f>
        <v>0</v>
      </c>
      <c r="AZ153" s="127">
        <f>IF(Paramètres!$F$15="immediate",AZ152,IF(AZ29=0,0,IF(AZ29=1,SUM($G$152:AZ152),AZ152)))</f>
        <v>0</v>
      </c>
      <c r="BA153" s="127">
        <f>IF(Paramètres!$F$15="immediate",BA152,IF(BA29=0,0,IF(BA29=1,SUM($G$152:BA152),BA152)))</f>
        <v>0</v>
      </c>
      <c r="BB153" s="127">
        <f>IF(Paramètres!$F$15="immediate",BB152,IF(BB29=0,0,IF(BB29=1,SUM($G$152:BB152),BB152)))</f>
        <v>0</v>
      </c>
      <c r="BC153" s="127">
        <f>IF(Paramètres!$F$15="immediate",BC152,IF(BC29=0,0,IF(BC29=1,SUM($G$152:BC152),BC152)))</f>
        <v>0</v>
      </c>
      <c r="BD153" s="127">
        <f>IF(Paramètres!$F$15="immediate",BD152,IF(BD29=0,0,IF(BD29=1,SUM($G$152:BD152),BD152)))</f>
        <v>0</v>
      </c>
    </row>
    <row r="154" spans="2:56" ht="9" customHeight="1">
      <c r="C154" s="152"/>
    </row>
    <row r="155" spans="2:56" ht="15" customHeight="1">
      <c r="C155" s="152">
        <f>SUM(G155:BD155)</f>
        <v>0</v>
      </c>
      <c r="D155" s="55" t="s">
        <v>156</v>
      </c>
      <c r="E155" s="128" t="s">
        <v>195</v>
      </c>
      <c r="G155" s="127">
        <f t="shared" ref="G155:AL155" si="106">G144</f>
        <v>0</v>
      </c>
      <c r="H155" s="127">
        <f t="shared" si="106"/>
        <v>0</v>
      </c>
      <c r="I155" s="127">
        <f t="shared" si="106"/>
        <v>0</v>
      </c>
      <c r="J155" s="127">
        <f t="shared" si="106"/>
        <v>0</v>
      </c>
      <c r="K155" s="127">
        <f t="shared" si="106"/>
        <v>0</v>
      </c>
      <c r="L155" s="127">
        <f t="shared" si="106"/>
        <v>0</v>
      </c>
      <c r="M155" s="127">
        <f t="shared" si="106"/>
        <v>0</v>
      </c>
      <c r="N155" s="127">
        <f t="shared" si="106"/>
        <v>0</v>
      </c>
      <c r="O155" s="127">
        <f t="shared" si="106"/>
        <v>0</v>
      </c>
      <c r="P155" s="127">
        <f t="shared" si="106"/>
        <v>0</v>
      </c>
      <c r="Q155" s="127">
        <f t="shared" si="106"/>
        <v>0</v>
      </c>
      <c r="R155" s="127">
        <f t="shared" si="106"/>
        <v>0</v>
      </c>
      <c r="S155" s="127">
        <f t="shared" si="106"/>
        <v>0</v>
      </c>
      <c r="T155" s="127">
        <f t="shared" si="106"/>
        <v>0</v>
      </c>
      <c r="U155" s="127">
        <f t="shared" si="106"/>
        <v>0</v>
      </c>
      <c r="V155" s="127">
        <f t="shared" si="106"/>
        <v>0</v>
      </c>
      <c r="W155" s="127">
        <f t="shared" si="106"/>
        <v>0</v>
      </c>
      <c r="X155" s="127">
        <f t="shared" si="106"/>
        <v>0</v>
      </c>
      <c r="Y155" s="127">
        <f t="shared" si="106"/>
        <v>0</v>
      </c>
      <c r="Z155" s="127">
        <f t="shared" si="106"/>
        <v>0</v>
      </c>
      <c r="AA155" s="127">
        <f t="shared" si="106"/>
        <v>0</v>
      </c>
      <c r="AB155" s="127">
        <f t="shared" si="106"/>
        <v>0</v>
      </c>
      <c r="AC155" s="127">
        <f t="shared" si="106"/>
        <v>0</v>
      </c>
      <c r="AD155" s="127">
        <f t="shared" si="106"/>
        <v>0</v>
      </c>
      <c r="AE155" s="127">
        <f t="shared" si="106"/>
        <v>0</v>
      </c>
      <c r="AF155" s="127">
        <f t="shared" si="106"/>
        <v>0</v>
      </c>
      <c r="AG155" s="127">
        <f t="shared" si="106"/>
        <v>0</v>
      </c>
      <c r="AH155" s="127">
        <f t="shared" si="106"/>
        <v>0</v>
      </c>
      <c r="AI155" s="127">
        <f t="shared" si="106"/>
        <v>0</v>
      </c>
      <c r="AJ155" s="127">
        <f t="shared" si="106"/>
        <v>0</v>
      </c>
      <c r="AK155" s="127">
        <f t="shared" si="106"/>
        <v>0</v>
      </c>
      <c r="AL155" s="127">
        <f t="shared" si="106"/>
        <v>0</v>
      </c>
      <c r="AM155" s="127">
        <f t="shared" ref="AM155:BD155" si="107">AM144</f>
        <v>0</v>
      </c>
      <c r="AN155" s="127">
        <f t="shared" si="107"/>
        <v>0</v>
      </c>
      <c r="AO155" s="127">
        <f t="shared" si="107"/>
        <v>0</v>
      </c>
      <c r="AP155" s="127">
        <f t="shared" si="107"/>
        <v>0</v>
      </c>
      <c r="AQ155" s="127">
        <f t="shared" si="107"/>
        <v>0</v>
      </c>
      <c r="AR155" s="127">
        <f t="shared" si="107"/>
        <v>0</v>
      </c>
      <c r="AS155" s="127">
        <f t="shared" si="107"/>
        <v>0</v>
      </c>
      <c r="AT155" s="127">
        <f t="shared" si="107"/>
        <v>0</v>
      </c>
      <c r="AU155" s="127">
        <f t="shared" si="107"/>
        <v>0</v>
      </c>
      <c r="AV155" s="127">
        <f t="shared" si="107"/>
        <v>0</v>
      </c>
      <c r="AW155" s="127">
        <f t="shared" si="107"/>
        <v>0</v>
      </c>
      <c r="AX155" s="127">
        <f t="shared" si="107"/>
        <v>0</v>
      </c>
      <c r="AY155" s="127">
        <f t="shared" si="107"/>
        <v>0</v>
      </c>
      <c r="AZ155" s="127">
        <f t="shared" si="107"/>
        <v>0</v>
      </c>
      <c r="BA155" s="127">
        <f t="shared" si="107"/>
        <v>0</v>
      </c>
      <c r="BB155" s="127">
        <f t="shared" si="107"/>
        <v>0</v>
      </c>
      <c r="BC155" s="127">
        <f t="shared" si="107"/>
        <v>0</v>
      </c>
      <c r="BD155" s="127">
        <f t="shared" si="107"/>
        <v>0</v>
      </c>
    </row>
    <row r="156" spans="2:56" ht="15" customHeight="1">
      <c r="C156" s="152">
        <f>SUM(G156:BD156)</f>
        <v>0</v>
      </c>
      <c r="D156" s="55" t="s">
        <v>258</v>
      </c>
      <c r="E156" s="128" t="s">
        <v>195</v>
      </c>
      <c r="G156" s="127">
        <f>IF(Paramètres!$F$16="immediate",G155,IF(G29=0,0,IF(G29=1,SUM($G$155:G155),G155)))</f>
        <v>0</v>
      </c>
      <c r="H156" s="127">
        <f>IF(Paramètres!$F$16="immediate",H155,IF(H29=0,0,IF(H29=1,SUM($G$155:H155),H155)))</f>
        <v>0</v>
      </c>
      <c r="I156" s="127">
        <f>IF(Paramètres!$F$16="immediate",I155,IF(I29=0,0,IF(I29=1,SUM($G$155:I155),I155)))</f>
        <v>0</v>
      </c>
      <c r="J156" s="127">
        <f>IF(Paramètres!$F$16="immediate",J155,IF(J29=0,0,IF(J29=1,SUM($G$155:J155),J155)))</f>
        <v>0</v>
      </c>
      <c r="K156" s="127">
        <f>IF(Paramètres!$F$16="immediate",K155,IF(K29=0,0,IF(K29=1,SUM($G$155:K155),K155)))</f>
        <v>0</v>
      </c>
      <c r="L156" s="127">
        <f>IF(Paramètres!$F$16="immediate",L155,IF(L29=0,0,IF(L29=1,SUM($G$155:L155),L155)))</f>
        <v>0</v>
      </c>
      <c r="M156" s="127">
        <f>IF(Paramètres!$F$16="immediate",M155,IF(M29=0,0,IF(M29=1,SUM($G$155:M155),M155)))</f>
        <v>0</v>
      </c>
      <c r="N156" s="127">
        <f>IF(Paramètres!$F$16="immediate",N155,IF(N29=0,0,IF(N29=1,SUM($G$155:N155),N155)))</f>
        <v>0</v>
      </c>
      <c r="O156" s="127">
        <f>IF(Paramètres!$F$16="immediate",O155,IF(O29=0,0,IF(O29=1,SUM($G$155:O155),O155)))</f>
        <v>0</v>
      </c>
      <c r="P156" s="127">
        <f>IF(Paramètres!$F$16="immediate",P155,IF(P29=0,0,IF(P29=1,SUM($G$155:P155),P155)))</f>
        <v>0</v>
      </c>
      <c r="Q156" s="127">
        <f>IF(Paramètres!$F$16="immediate",Q155,IF(Q29=0,0,IF(Q29=1,SUM($G$155:Q155),Q155)))</f>
        <v>0</v>
      </c>
      <c r="R156" s="127">
        <f>IF(Paramètres!$F$16="immediate",R155,IF(R29=0,0,IF(R29=1,SUM($G$155:R155),R155)))</f>
        <v>0</v>
      </c>
      <c r="S156" s="127">
        <f>IF(Paramètres!$F$16="immediate",S155,IF(S29=0,0,IF(S29=1,SUM($G$155:S155),S155)))</f>
        <v>0</v>
      </c>
      <c r="T156" s="127">
        <f>IF(Paramètres!$F$16="immediate",T155,IF(T29=0,0,IF(T29=1,SUM($G$155:T155),T155)))</f>
        <v>0</v>
      </c>
      <c r="U156" s="127">
        <f>IF(Paramètres!$F$16="immediate",U155,IF(U29=0,0,IF(U29=1,SUM($G$155:U155),U155)))</f>
        <v>0</v>
      </c>
      <c r="V156" s="127">
        <f>IF(Paramètres!$F$16="immediate",V155,IF(V29=0,0,IF(V29=1,SUM($G$155:V155),V155)))</f>
        <v>0</v>
      </c>
      <c r="W156" s="127">
        <f>IF(Paramètres!$F$16="immediate",W155,IF(W29=0,0,IF(W29=1,SUM($G$155:W155),W155)))</f>
        <v>0</v>
      </c>
      <c r="X156" s="127">
        <f>IF(Paramètres!$F$16="immediate",X155,IF(X29=0,0,IF(X29=1,SUM($G$155:X155),X155)))</f>
        <v>0</v>
      </c>
      <c r="Y156" s="127">
        <f>IF(Paramètres!$F$16="immediate",Y155,IF(Y29=0,0,IF(Y29=1,SUM($G$155:Y155),Y155)))</f>
        <v>0</v>
      </c>
      <c r="Z156" s="127">
        <f>IF(Paramètres!$F$16="immediate",Z155,IF(Z29=0,0,IF(Z29=1,SUM($G$155:Z155),Z155)))</f>
        <v>0</v>
      </c>
      <c r="AA156" s="127">
        <f>IF(Paramètres!$F$16="immediate",AA155,IF(AA29=0,0,IF(AA29=1,SUM($G$155:AA155),AA155)))</f>
        <v>0</v>
      </c>
      <c r="AB156" s="127">
        <f>IF(Paramètres!$F$16="immediate",AB155,IF(AB29=0,0,IF(AB29=1,SUM($G$155:AB155),AB155)))</f>
        <v>0</v>
      </c>
      <c r="AC156" s="127">
        <f>IF(Paramètres!$F$16="immediate",AC155,IF(AC29=0,0,IF(AC29=1,SUM($G$155:AC155),AC155)))</f>
        <v>0</v>
      </c>
      <c r="AD156" s="127">
        <f>IF(Paramètres!$F$16="immediate",AD155,IF(AD29=0,0,IF(AD29=1,SUM($G$155:AD155),AD155)))</f>
        <v>0</v>
      </c>
      <c r="AE156" s="127">
        <f>IF(Paramètres!$F$16="immediate",AE155,IF(AE29=0,0,IF(AE29=1,SUM($G$155:AE155),AE155)))</f>
        <v>0</v>
      </c>
      <c r="AF156" s="127">
        <f>IF(Paramètres!$F$16="immediate",AF155,IF(AF29=0,0,IF(AF29=1,SUM($G$155:AF155),AF155)))</f>
        <v>0</v>
      </c>
      <c r="AG156" s="127">
        <f>IF(Paramètres!$F$16="immediate",AG155,IF(AG29=0,0,IF(AG29=1,SUM($G$155:AG155),AG155)))</f>
        <v>0</v>
      </c>
      <c r="AH156" s="127">
        <f>IF(Paramètres!$F$16="immediate",AH155,IF(AH29=0,0,IF(AH29=1,SUM($G$155:AH155),AH155)))</f>
        <v>0</v>
      </c>
      <c r="AI156" s="127">
        <f>IF(Paramètres!$F$16="immediate",AI155,IF(AI29=0,0,IF(AI29=1,SUM($G$155:AI155),AI155)))</f>
        <v>0</v>
      </c>
      <c r="AJ156" s="127">
        <f>IF(Paramètres!$F$16="immediate",AJ155,IF(AJ29=0,0,IF(AJ29=1,SUM($G$155:AJ155),AJ155)))</f>
        <v>0</v>
      </c>
      <c r="AK156" s="127">
        <f>IF(Paramètres!$F$16="immediate",AK155,IF(AK29=0,0,IF(AK29=1,SUM($G$155:AK155),AK155)))</f>
        <v>0</v>
      </c>
      <c r="AL156" s="127">
        <f>IF(Paramètres!$F$16="immediate",AL155,IF(AL29=0,0,IF(AL29=1,SUM($G$155:AL155),AL155)))</f>
        <v>0</v>
      </c>
      <c r="AM156" s="127">
        <f>IF(Paramètres!$F$16="immediate",AM155,IF(AM29=0,0,IF(AM29=1,SUM($G$155:AM155),AM155)))</f>
        <v>0</v>
      </c>
      <c r="AN156" s="127">
        <f>IF(Paramètres!$F$16="immediate",AN155,IF(AN29=0,0,IF(AN29=1,SUM($G$155:AN155),AN155)))</f>
        <v>0</v>
      </c>
      <c r="AO156" s="127">
        <f>IF(Paramètres!$F$16="immediate",AO155,IF(AO29=0,0,IF(AO29=1,SUM($G$155:AO155),AO155)))</f>
        <v>0</v>
      </c>
      <c r="AP156" s="127">
        <f>IF(Paramètres!$F$16="immediate",AP155,IF(AP29=0,0,IF(AP29=1,SUM($G$155:AP155),AP155)))</f>
        <v>0</v>
      </c>
      <c r="AQ156" s="127">
        <f>IF(Paramètres!$F$16="immediate",AQ155,IF(AQ29=0,0,IF(AQ29=1,SUM($G$155:AQ155),AQ155)))</f>
        <v>0</v>
      </c>
      <c r="AR156" s="127">
        <f>IF(Paramètres!$F$16="immediate",AR155,IF(AR29=0,0,IF(AR29=1,SUM($G$155:AR155),AR155)))</f>
        <v>0</v>
      </c>
      <c r="AS156" s="127">
        <f>IF(Paramètres!$F$16="immediate",AS155,IF(AS29=0,0,IF(AS29=1,SUM($G$155:AS155),AS155)))</f>
        <v>0</v>
      </c>
      <c r="AT156" s="127">
        <f>IF(Paramètres!$F$16="immediate",AT155,IF(AT29=0,0,IF(AT29=1,SUM($G$155:AT155),AT155)))</f>
        <v>0</v>
      </c>
      <c r="AU156" s="127">
        <f>IF(Paramètres!$F$16="immediate",AU155,IF(AU29=0,0,IF(AU29=1,SUM($G$155:AU155),AU155)))</f>
        <v>0</v>
      </c>
      <c r="AV156" s="127">
        <f>IF(Paramètres!$F$16="immediate",AV155,IF(AV29=0,0,IF(AV29=1,SUM($G$155:AV155),AV155)))</f>
        <v>0</v>
      </c>
      <c r="AW156" s="127">
        <f>IF(Paramètres!$F$16="immediate",AW155,IF(AW29=0,0,IF(AW29=1,SUM($G$155:AW155),AW155)))</f>
        <v>0</v>
      </c>
      <c r="AX156" s="127">
        <f>IF(Paramètres!$F$16="immediate",AX155,IF(AX29=0,0,IF(AX29=1,SUM($G$155:AX155),AX155)))</f>
        <v>0</v>
      </c>
      <c r="AY156" s="127">
        <f>IF(Paramètres!$F$16="immediate",AY155,IF(AY29=0,0,IF(AY29=1,SUM($G$155:AY155),AY155)))</f>
        <v>0</v>
      </c>
      <c r="AZ156" s="127">
        <f>IF(Paramètres!$F$16="immediate",AZ155,IF(AZ29=0,0,IF(AZ29=1,SUM($G$155:AZ155),AZ155)))</f>
        <v>0</v>
      </c>
      <c r="BA156" s="127">
        <f>IF(Paramètres!$F$16="immediate",BA155,IF(BA29=0,0,IF(BA29=1,SUM($G$155:BA155),BA155)))</f>
        <v>0</v>
      </c>
      <c r="BB156" s="127">
        <f>IF(Paramètres!$F$16="immediate",BB155,IF(BB29=0,0,IF(BB29=1,SUM($G$155:BB155),BB155)))</f>
        <v>0</v>
      </c>
      <c r="BC156" s="127">
        <f>IF(Paramètres!$F$16="immediate",BC155,IF(BC29=0,0,IF(BC29=1,SUM($G$155:BC155),BC155)))</f>
        <v>0</v>
      </c>
      <c r="BD156" s="127">
        <f>IF(Paramètres!$F$16="immediate",BD155,IF(BD29=0,0,IF(BD29=1,SUM($G$155:BD155),BD155)))</f>
        <v>0</v>
      </c>
    </row>
    <row r="157" spans="2:56" ht="9" customHeight="1">
      <c r="C157" s="152"/>
    </row>
    <row r="158" spans="2:56" ht="15" customHeight="1">
      <c r="C158" s="152">
        <f t="shared" ref="C158:C170" si="108">SUM(G158:BD158)</f>
        <v>712.55775565316856</v>
      </c>
      <c r="D158" s="153" t="s">
        <v>259</v>
      </c>
      <c r="E158" s="128" t="s">
        <v>195</v>
      </c>
      <c r="G158" s="127">
        <f t="shared" ref="G158:AL158" si="109">G145+G146</f>
        <v>78</v>
      </c>
      <c r="H158" s="127">
        <f t="shared" si="109"/>
        <v>148.92000000000002</v>
      </c>
      <c r="I158" s="127">
        <f t="shared" si="109"/>
        <v>213.28199999999998</v>
      </c>
      <c r="J158" s="127">
        <f t="shared" si="109"/>
        <v>26.530199999999997</v>
      </c>
      <c r="K158" s="127">
        <f t="shared" si="109"/>
        <v>29.22566832</v>
      </c>
      <c r="L158" s="127">
        <f t="shared" si="109"/>
        <v>13.2489696384</v>
      </c>
      <c r="M158" s="127">
        <f t="shared" si="109"/>
        <v>12.387786611904001</v>
      </c>
      <c r="N158" s="127">
        <f t="shared" si="109"/>
        <v>36.757941364776954</v>
      </c>
      <c r="O158" s="127">
        <f t="shared" si="109"/>
        <v>33.978122049065703</v>
      </c>
      <c r="P158" s="127">
        <f t="shared" si="109"/>
        <v>21.511666235201595</v>
      </c>
      <c r="Q158" s="127">
        <f t="shared" si="109"/>
        <v>17.065921879926599</v>
      </c>
      <c r="R158" s="127">
        <f t="shared" si="109"/>
        <v>8.703620158762563</v>
      </c>
      <c r="S158" s="127">
        <f t="shared" si="109"/>
        <v>15.218901534750543</v>
      </c>
      <c r="T158" s="127">
        <f t="shared" si="109"/>
        <v>29.75295250043731</v>
      </c>
      <c r="U158" s="127">
        <f t="shared" si="109"/>
        <v>17.153223919817336</v>
      </c>
      <c r="V158" s="127">
        <f t="shared" si="109"/>
        <v>8.0752100299447758</v>
      </c>
      <c r="W158" s="127">
        <f t="shared" si="109"/>
        <v>2.7455714101812241</v>
      </c>
      <c r="X158" s="127">
        <f t="shared" si="109"/>
        <v>0</v>
      </c>
      <c r="Y158" s="127">
        <f t="shared" si="109"/>
        <v>0</v>
      </c>
      <c r="Z158" s="127">
        <f t="shared" si="109"/>
        <v>0</v>
      </c>
      <c r="AA158" s="127">
        <f t="shared" si="109"/>
        <v>0</v>
      </c>
      <c r="AB158" s="127">
        <f t="shared" si="109"/>
        <v>0</v>
      </c>
      <c r="AC158" s="127">
        <f t="shared" si="109"/>
        <v>0</v>
      </c>
      <c r="AD158" s="127">
        <f t="shared" si="109"/>
        <v>0</v>
      </c>
      <c r="AE158" s="127">
        <f t="shared" si="109"/>
        <v>0</v>
      </c>
      <c r="AF158" s="127">
        <f t="shared" si="109"/>
        <v>0</v>
      </c>
      <c r="AG158" s="127">
        <f t="shared" si="109"/>
        <v>0</v>
      </c>
      <c r="AH158" s="127">
        <f t="shared" si="109"/>
        <v>0</v>
      </c>
      <c r="AI158" s="127">
        <f t="shared" si="109"/>
        <v>0</v>
      </c>
      <c r="AJ158" s="127">
        <f t="shared" si="109"/>
        <v>0</v>
      </c>
      <c r="AK158" s="127">
        <f t="shared" si="109"/>
        <v>0</v>
      </c>
      <c r="AL158" s="127">
        <f t="shared" si="109"/>
        <v>0</v>
      </c>
      <c r="AM158" s="127">
        <f t="shared" ref="AM158:BD158" si="110">AM145+AM146</f>
        <v>0</v>
      </c>
      <c r="AN158" s="127">
        <f t="shared" si="110"/>
        <v>0</v>
      </c>
      <c r="AO158" s="127">
        <f t="shared" si="110"/>
        <v>0</v>
      </c>
      <c r="AP158" s="127">
        <f t="shared" si="110"/>
        <v>0</v>
      </c>
      <c r="AQ158" s="127">
        <f t="shared" si="110"/>
        <v>0</v>
      </c>
      <c r="AR158" s="127">
        <f t="shared" si="110"/>
        <v>0</v>
      </c>
      <c r="AS158" s="127">
        <f t="shared" si="110"/>
        <v>0</v>
      </c>
      <c r="AT158" s="127">
        <f t="shared" si="110"/>
        <v>0</v>
      </c>
      <c r="AU158" s="127">
        <f t="shared" si="110"/>
        <v>0</v>
      </c>
      <c r="AV158" s="127">
        <f t="shared" si="110"/>
        <v>0</v>
      </c>
      <c r="AW158" s="127">
        <f t="shared" si="110"/>
        <v>0</v>
      </c>
      <c r="AX158" s="127">
        <f t="shared" si="110"/>
        <v>0</v>
      </c>
      <c r="AY158" s="127">
        <f t="shared" si="110"/>
        <v>0</v>
      </c>
      <c r="AZ158" s="127">
        <f t="shared" si="110"/>
        <v>0</v>
      </c>
      <c r="BA158" s="127">
        <f t="shared" si="110"/>
        <v>0</v>
      </c>
      <c r="BB158" s="127">
        <f t="shared" si="110"/>
        <v>0</v>
      </c>
      <c r="BC158" s="127">
        <f t="shared" si="110"/>
        <v>0</v>
      </c>
      <c r="BD158" s="127">
        <f t="shared" si="110"/>
        <v>0</v>
      </c>
    </row>
    <row r="159" spans="2:56" ht="15" customHeight="1">
      <c r="C159" s="152">
        <f t="shared" si="108"/>
        <v>712.55775565316856</v>
      </c>
      <c r="D159" s="153" t="s">
        <v>260</v>
      </c>
      <c r="E159" s="128" t="s">
        <v>195</v>
      </c>
      <c r="G159" s="127">
        <f>IF(Paramètres!$F$17="immediate",G158,IF(G29=0,0,IF(G29=1,SUM($G$158:G158),G158)))</f>
        <v>78</v>
      </c>
      <c r="H159" s="127">
        <f>IF(Paramètres!$F$17="immediate",H158,IF(H29=0,0,IF(H29=1,SUM($G$158:H158),H158)))</f>
        <v>148.92000000000002</v>
      </c>
      <c r="I159" s="127">
        <f>IF(Paramètres!$F$17="immediate",I158,IF(I29=0,0,IF(I29=1,SUM($G$158:I158),I158)))</f>
        <v>213.28199999999998</v>
      </c>
      <c r="J159" s="127">
        <f>IF(Paramètres!$F$17="immediate",J158,IF(J29=0,0,IF(J29=1,SUM($G$158:J158),J158)))</f>
        <v>26.530199999999997</v>
      </c>
      <c r="K159" s="127">
        <f>IF(Paramètres!$F$17="immediate",K158,IF(K29=0,0,IF(K29=1,SUM($G$158:K158),K158)))</f>
        <v>29.22566832</v>
      </c>
      <c r="L159" s="127">
        <f>IF(Paramètres!$F$17="immediate",L158,IF(L29=0,0,IF(L29=1,SUM($G$158:L158),L158)))</f>
        <v>13.2489696384</v>
      </c>
      <c r="M159" s="127">
        <f>IF(Paramètres!$F$17="immediate",M158,IF(M29=0,0,IF(M29=1,SUM($G$158:M158),M158)))</f>
        <v>12.387786611904001</v>
      </c>
      <c r="N159" s="127">
        <f>IF(Paramètres!$F$17="immediate",N158,IF(N29=0,0,IF(N29=1,SUM($G$158:N158),N158)))</f>
        <v>36.757941364776954</v>
      </c>
      <c r="O159" s="127">
        <f>IF(Paramètres!$F$17="immediate",O158,IF(O29=0,0,IF(O29=1,SUM($G$158:O158),O158)))</f>
        <v>33.978122049065703</v>
      </c>
      <c r="P159" s="127">
        <f>IF(Paramètres!$F$17="immediate",P158,IF(P29=0,0,IF(P29=1,SUM($G$158:P158),P158)))</f>
        <v>21.511666235201595</v>
      </c>
      <c r="Q159" s="127">
        <f>IF(Paramètres!$F$17="immediate",Q158,IF(Q29=0,0,IF(Q29=1,SUM($G$158:Q158),Q158)))</f>
        <v>17.065921879926599</v>
      </c>
      <c r="R159" s="127">
        <f>IF(Paramètres!$F$17="immediate",R158,IF(R29=0,0,IF(R29=1,SUM($G$158:R158),R158)))</f>
        <v>8.703620158762563</v>
      </c>
      <c r="S159" s="127">
        <f>IF(Paramètres!$F$17="immediate",S158,IF(S29=0,0,IF(S29=1,SUM($G$158:S158),S158)))</f>
        <v>15.218901534750543</v>
      </c>
      <c r="T159" s="127">
        <f>IF(Paramètres!$F$17="immediate",T158,IF(T29=0,0,IF(T29=1,SUM($G$158:T158),T158)))</f>
        <v>29.75295250043731</v>
      </c>
      <c r="U159" s="127">
        <f>IF(Paramètres!$F$17="immediate",U158,IF(U29=0,0,IF(U29=1,SUM($G$158:U158),U158)))</f>
        <v>17.153223919817336</v>
      </c>
      <c r="V159" s="127">
        <f>IF(Paramètres!$F$17="immediate",V158,IF(V29=0,0,IF(V29=1,SUM($G$158:V158),V158)))</f>
        <v>8.0752100299447758</v>
      </c>
      <c r="W159" s="127">
        <f>IF(Paramètres!$F$17="immediate",W158,IF(W29=0,0,IF(W29=1,SUM($G$158:W158),W158)))</f>
        <v>2.7455714101812241</v>
      </c>
      <c r="X159" s="127">
        <f>IF(Paramètres!$F$17="immediate",X158,IF(X29=0,0,IF(X29=1,SUM($G$158:X158),X158)))</f>
        <v>0</v>
      </c>
      <c r="Y159" s="127">
        <f>IF(Paramètres!$F$17="immediate",Y158,IF(Y29=0,0,IF(Y29=1,SUM($G$158:Y158),Y158)))</f>
        <v>0</v>
      </c>
      <c r="Z159" s="127">
        <f>IF(Paramètres!$F$17="immediate",Z158,IF(Z29=0,0,IF(Z29=1,SUM($G$158:Z158),Z158)))</f>
        <v>0</v>
      </c>
      <c r="AA159" s="127">
        <f>IF(Paramètres!$F$17="immediate",AA158,IF(AA29=0,0,IF(AA29=1,SUM($G$158:AA158),AA158)))</f>
        <v>0</v>
      </c>
      <c r="AB159" s="127">
        <f>IF(Paramètres!$F$17="immediate",AB158,IF(AB29=0,0,IF(AB29=1,SUM($G$158:AB158),AB158)))</f>
        <v>0</v>
      </c>
      <c r="AC159" s="127">
        <f>IF(Paramètres!$F$17="immediate",AC158,IF(AC29=0,0,IF(AC29=1,SUM($G$158:AC158),AC158)))</f>
        <v>0</v>
      </c>
      <c r="AD159" s="127">
        <f>IF(Paramètres!$F$17="immediate",AD158,IF(AD29=0,0,IF(AD29=1,SUM($G$158:AD158),AD158)))</f>
        <v>0</v>
      </c>
      <c r="AE159" s="127">
        <f>IF(Paramètres!$F$17="immediate",AE158,IF(AE29=0,0,IF(AE29=1,SUM($G$158:AE158),AE158)))</f>
        <v>0</v>
      </c>
      <c r="AF159" s="127">
        <f>IF(Paramètres!$F$17="immediate",AF158,IF(AF29=0,0,IF(AF29=1,SUM($G$158:AF158),AF158)))</f>
        <v>0</v>
      </c>
      <c r="AG159" s="127">
        <f>IF(Paramètres!$F$17="immediate",AG158,IF(AG29=0,0,IF(AG29=1,SUM($G$158:AG158),AG158)))</f>
        <v>0</v>
      </c>
      <c r="AH159" s="127">
        <f>IF(Paramètres!$F$17="immediate",AH158,IF(AH29=0,0,IF(AH29=1,SUM($G$158:AH158),AH158)))</f>
        <v>0</v>
      </c>
      <c r="AI159" s="127">
        <f>IF(Paramètres!$F$17="immediate",AI158,IF(AI29=0,0,IF(AI29=1,SUM($G$158:AI158),AI158)))</f>
        <v>0</v>
      </c>
      <c r="AJ159" s="127">
        <f>IF(Paramètres!$F$17="immediate",AJ158,IF(AJ29=0,0,IF(AJ29=1,SUM($G$158:AJ158),AJ158)))</f>
        <v>0</v>
      </c>
      <c r="AK159" s="127">
        <f>IF(Paramètres!$F$17="immediate",AK158,IF(AK29=0,0,IF(AK29=1,SUM($G$158:AK158),AK158)))</f>
        <v>0</v>
      </c>
      <c r="AL159" s="127">
        <f>IF(Paramètres!$F$17="immediate",AL158,IF(AL29=0,0,IF(AL29=1,SUM($G$158:AL158),AL158)))</f>
        <v>0</v>
      </c>
      <c r="AM159" s="127">
        <f>IF(Paramètres!$F$17="immediate",AM158,IF(AM29=0,0,IF(AM29=1,SUM($G$158:AM158),AM158)))</f>
        <v>0</v>
      </c>
      <c r="AN159" s="127">
        <f>IF(Paramètres!$F$17="immediate",AN158,IF(AN29=0,0,IF(AN29=1,SUM($G$158:AN158),AN158)))</f>
        <v>0</v>
      </c>
      <c r="AO159" s="127">
        <f>IF(Paramètres!$F$17="immediate",AO158,IF(AO29=0,0,IF(AO29=1,SUM($G$158:AO158),AO158)))</f>
        <v>0</v>
      </c>
      <c r="AP159" s="127">
        <f>IF(Paramètres!$F$17="immediate",AP158,IF(AP29=0,0,IF(AP29=1,SUM($G$158:AP158),AP158)))</f>
        <v>0</v>
      </c>
      <c r="AQ159" s="127">
        <f>IF(Paramètres!$F$17="immediate",AQ158,IF(AQ29=0,0,IF(AQ29=1,SUM($G$158:AQ158),AQ158)))</f>
        <v>0</v>
      </c>
      <c r="AR159" s="127">
        <f>IF(Paramètres!$F$17="immediate",AR158,IF(AR29=0,0,IF(AR29=1,SUM($G$158:AR158),AR158)))</f>
        <v>0</v>
      </c>
      <c r="AS159" s="127">
        <f>IF(Paramètres!$F$17="immediate",AS158,IF(AS29=0,0,IF(AS29=1,SUM($G$158:AS158),AS158)))</f>
        <v>0</v>
      </c>
      <c r="AT159" s="127">
        <f>IF(Paramètres!$F$17="immediate",AT158,IF(AT29=0,0,IF(AT29=1,SUM($G$158:AT158),AT158)))</f>
        <v>0</v>
      </c>
      <c r="AU159" s="127">
        <f>IF(Paramètres!$F$17="immediate",AU158,IF(AU29=0,0,IF(AU29=1,SUM($G$158:AU158),AU158)))</f>
        <v>0</v>
      </c>
      <c r="AV159" s="127">
        <f>IF(Paramètres!$F$17="immediate",AV158,IF(AV29=0,0,IF(AV29=1,SUM($G$158:AV158),AV158)))</f>
        <v>0</v>
      </c>
      <c r="AW159" s="127">
        <f>IF(Paramètres!$F$17="immediate",AW158,IF(AW29=0,0,IF(AW29=1,SUM($G$158:AW158),AW158)))</f>
        <v>0</v>
      </c>
      <c r="AX159" s="127">
        <f>IF(Paramètres!$F$17="immediate",AX158,IF(AX29=0,0,IF(AX29=1,SUM($G$158:AX158),AX158)))</f>
        <v>0</v>
      </c>
      <c r="AY159" s="127">
        <f>IF(Paramètres!$F$17="immediate",AY158,IF(AY29=0,0,IF(AY29=1,SUM($G$158:AY158),AY158)))</f>
        <v>0</v>
      </c>
      <c r="AZ159" s="127">
        <f>IF(Paramètres!$F$17="immediate",AZ158,IF(AZ29=0,0,IF(AZ29=1,SUM($G$158:AZ158),AZ158)))</f>
        <v>0</v>
      </c>
      <c r="BA159" s="127">
        <f>IF(Paramètres!$F$17="immediate",BA158,IF(BA29=0,0,IF(BA29=1,SUM($G$158:BA158),BA158)))</f>
        <v>0</v>
      </c>
      <c r="BB159" s="127">
        <f>IF(Paramètres!$F$17="immediate",BB158,IF(BB29=0,0,IF(BB29=1,SUM($G$158:BB158),BB158)))</f>
        <v>0</v>
      </c>
      <c r="BC159" s="127">
        <f>IF(Paramètres!$F$17="immediate",BC158,IF(BC29=0,0,IF(BC29=1,SUM($G$158:BC158),BC158)))</f>
        <v>0</v>
      </c>
      <c r="BD159" s="127">
        <f>IF(Paramètres!$F$17="immediate",BD158,IF(BD29=0,0,IF(BD29=1,SUM($G$158:BD158),BD158)))</f>
        <v>0</v>
      </c>
    </row>
    <row r="160" spans="2:56" ht="15" customHeight="1">
      <c r="B160" s="185">
        <f>IF(Paramètres!F21=1,Paramètres!H44,IF(Paramètres!$F$20=0,0,1/Paramètres!$F$20))</f>
        <v>0.2</v>
      </c>
      <c r="C160" s="152">
        <f t="shared" si="108"/>
        <v>142.51155113063371</v>
      </c>
      <c r="D160" s="106" t="s">
        <v>261</v>
      </c>
      <c r="E160" s="128" t="s">
        <v>195</v>
      </c>
      <c r="G160" s="186">
        <f t="shared" ref="G160:AL160" si="111">G$159*$B160</f>
        <v>15.600000000000001</v>
      </c>
      <c r="H160" s="186">
        <f t="shared" si="111"/>
        <v>29.784000000000006</v>
      </c>
      <c r="I160" s="186">
        <f t="shared" si="111"/>
        <v>42.656399999999998</v>
      </c>
      <c r="J160" s="186">
        <f t="shared" si="111"/>
        <v>5.3060399999999994</v>
      </c>
      <c r="K160" s="186">
        <f t="shared" si="111"/>
        <v>5.8451336640000005</v>
      </c>
      <c r="L160" s="186">
        <f t="shared" si="111"/>
        <v>2.6497939276800002</v>
      </c>
      <c r="M160" s="186">
        <f t="shared" si="111"/>
        <v>2.4775573223808003</v>
      </c>
      <c r="N160" s="186">
        <f t="shared" si="111"/>
        <v>7.3515882729553912</v>
      </c>
      <c r="O160" s="186">
        <f t="shared" si="111"/>
        <v>6.7956244098131409</v>
      </c>
      <c r="P160" s="186">
        <f t="shared" si="111"/>
        <v>4.3023332470403188</v>
      </c>
      <c r="Q160" s="186">
        <f t="shared" si="111"/>
        <v>3.41318437598532</v>
      </c>
      <c r="R160" s="186">
        <f t="shared" si="111"/>
        <v>1.7407240317525128</v>
      </c>
      <c r="S160" s="186">
        <f t="shared" si="111"/>
        <v>3.0437803069501088</v>
      </c>
      <c r="T160" s="186">
        <f t="shared" si="111"/>
        <v>5.9505905000874622</v>
      </c>
      <c r="U160" s="186">
        <f t="shared" si="111"/>
        <v>3.4306447839634675</v>
      </c>
      <c r="V160" s="186">
        <f t="shared" si="111"/>
        <v>1.6150420059889552</v>
      </c>
      <c r="W160" s="186">
        <f t="shared" si="111"/>
        <v>0.54911428203624479</v>
      </c>
      <c r="X160" s="186">
        <f t="shared" si="111"/>
        <v>0</v>
      </c>
      <c r="Y160" s="186">
        <f t="shared" si="111"/>
        <v>0</v>
      </c>
      <c r="Z160" s="186">
        <f t="shared" si="111"/>
        <v>0</v>
      </c>
      <c r="AA160" s="186">
        <f t="shared" si="111"/>
        <v>0</v>
      </c>
      <c r="AB160" s="186">
        <f t="shared" si="111"/>
        <v>0</v>
      </c>
      <c r="AC160" s="186">
        <f t="shared" si="111"/>
        <v>0</v>
      </c>
      <c r="AD160" s="186">
        <f t="shared" si="111"/>
        <v>0</v>
      </c>
      <c r="AE160" s="186">
        <f t="shared" si="111"/>
        <v>0</v>
      </c>
      <c r="AF160" s="186">
        <f t="shared" si="111"/>
        <v>0</v>
      </c>
      <c r="AG160" s="186">
        <f t="shared" si="111"/>
        <v>0</v>
      </c>
      <c r="AH160" s="186">
        <f t="shared" si="111"/>
        <v>0</v>
      </c>
      <c r="AI160" s="186">
        <f t="shared" si="111"/>
        <v>0</v>
      </c>
      <c r="AJ160" s="186">
        <f t="shared" si="111"/>
        <v>0</v>
      </c>
      <c r="AK160" s="186">
        <f t="shared" si="111"/>
        <v>0</v>
      </c>
      <c r="AL160" s="186">
        <f t="shared" si="111"/>
        <v>0</v>
      </c>
      <c r="AM160" s="186">
        <f t="shared" ref="AM160:BD160" si="112">AM$159*$B160</f>
        <v>0</v>
      </c>
      <c r="AN160" s="186">
        <f t="shared" si="112"/>
        <v>0</v>
      </c>
      <c r="AO160" s="186">
        <f t="shared" si="112"/>
        <v>0</v>
      </c>
      <c r="AP160" s="186">
        <f t="shared" si="112"/>
        <v>0</v>
      </c>
      <c r="AQ160" s="186">
        <f t="shared" si="112"/>
        <v>0</v>
      </c>
      <c r="AR160" s="186">
        <f t="shared" si="112"/>
        <v>0</v>
      </c>
      <c r="AS160" s="186">
        <f t="shared" si="112"/>
        <v>0</v>
      </c>
      <c r="AT160" s="186">
        <f t="shared" si="112"/>
        <v>0</v>
      </c>
      <c r="AU160" s="186">
        <f t="shared" si="112"/>
        <v>0</v>
      </c>
      <c r="AV160" s="186">
        <f t="shared" si="112"/>
        <v>0</v>
      </c>
      <c r="AW160" s="186">
        <f t="shared" si="112"/>
        <v>0</v>
      </c>
      <c r="AX160" s="186">
        <f t="shared" si="112"/>
        <v>0</v>
      </c>
      <c r="AY160" s="186">
        <f t="shared" si="112"/>
        <v>0</v>
      </c>
      <c r="AZ160" s="186">
        <f t="shared" si="112"/>
        <v>0</v>
      </c>
      <c r="BA160" s="186">
        <f t="shared" si="112"/>
        <v>0</v>
      </c>
      <c r="BB160" s="186">
        <f t="shared" si="112"/>
        <v>0</v>
      </c>
      <c r="BC160" s="186">
        <f t="shared" si="112"/>
        <v>0</v>
      </c>
      <c r="BD160" s="186">
        <f t="shared" si="112"/>
        <v>0</v>
      </c>
    </row>
    <row r="161" spans="1:56" ht="15" customHeight="1">
      <c r="B161" s="185">
        <f>IF(Paramètres!F21=1,Paramètres!H45,IF(Paramètres!$F$20=0,0,MIN(1/Paramètres!$F$20,1-SUM($B$160:B160))))</f>
        <v>0.2</v>
      </c>
      <c r="C161" s="152">
        <f t="shared" si="108"/>
        <v>142.51155113063371</v>
      </c>
      <c r="D161" s="106" t="s">
        <v>262</v>
      </c>
      <c r="E161" s="128" t="s">
        <v>195</v>
      </c>
      <c r="G161" s="187"/>
      <c r="H161" s="186">
        <f t="shared" ref="H161:AM161" si="113">G$159*$B161</f>
        <v>15.600000000000001</v>
      </c>
      <c r="I161" s="186">
        <f t="shared" si="113"/>
        <v>29.784000000000006</v>
      </c>
      <c r="J161" s="186">
        <f t="shared" si="113"/>
        <v>42.656399999999998</v>
      </c>
      <c r="K161" s="186">
        <f t="shared" si="113"/>
        <v>5.3060399999999994</v>
      </c>
      <c r="L161" s="186">
        <f t="shared" si="113"/>
        <v>5.8451336640000005</v>
      </c>
      <c r="M161" s="186">
        <f t="shared" si="113"/>
        <v>2.6497939276800002</v>
      </c>
      <c r="N161" s="186">
        <f t="shared" si="113"/>
        <v>2.4775573223808003</v>
      </c>
      <c r="O161" s="186">
        <f t="shared" si="113"/>
        <v>7.3515882729553912</v>
      </c>
      <c r="P161" s="186">
        <f t="shared" si="113"/>
        <v>6.7956244098131409</v>
      </c>
      <c r="Q161" s="186">
        <f t="shared" si="113"/>
        <v>4.3023332470403188</v>
      </c>
      <c r="R161" s="186">
        <f t="shared" si="113"/>
        <v>3.41318437598532</v>
      </c>
      <c r="S161" s="186">
        <f t="shared" si="113"/>
        <v>1.7407240317525128</v>
      </c>
      <c r="T161" s="186">
        <f t="shared" si="113"/>
        <v>3.0437803069501088</v>
      </c>
      <c r="U161" s="186">
        <f t="shared" si="113"/>
        <v>5.9505905000874622</v>
      </c>
      <c r="V161" s="186">
        <f t="shared" si="113"/>
        <v>3.4306447839634675</v>
      </c>
      <c r="W161" s="186">
        <f t="shared" si="113"/>
        <v>1.6150420059889552</v>
      </c>
      <c r="X161" s="186">
        <f t="shared" si="113"/>
        <v>0.54911428203624479</v>
      </c>
      <c r="Y161" s="186">
        <f t="shared" si="113"/>
        <v>0</v>
      </c>
      <c r="Z161" s="186">
        <f t="shared" si="113"/>
        <v>0</v>
      </c>
      <c r="AA161" s="186">
        <f t="shared" si="113"/>
        <v>0</v>
      </c>
      <c r="AB161" s="186">
        <f t="shared" si="113"/>
        <v>0</v>
      </c>
      <c r="AC161" s="186">
        <f t="shared" si="113"/>
        <v>0</v>
      </c>
      <c r="AD161" s="186">
        <f t="shared" si="113"/>
        <v>0</v>
      </c>
      <c r="AE161" s="186">
        <f t="shared" si="113"/>
        <v>0</v>
      </c>
      <c r="AF161" s="186">
        <f t="shared" si="113"/>
        <v>0</v>
      </c>
      <c r="AG161" s="186">
        <f t="shared" si="113"/>
        <v>0</v>
      </c>
      <c r="AH161" s="186">
        <f t="shared" si="113"/>
        <v>0</v>
      </c>
      <c r="AI161" s="186">
        <f t="shared" si="113"/>
        <v>0</v>
      </c>
      <c r="AJ161" s="186">
        <f t="shared" si="113"/>
        <v>0</v>
      </c>
      <c r="AK161" s="186">
        <f t="shared" si="113"/>
        <v>0</v>
      </c>
      <c r="AL161" s="186">
        <f t="shared" si="113"/>
        <v>0</v>
      </c>
      <c r="AM161" s="186">
        <f t="shared" si="113"/>
        <v>0</v>
      </c>
      <c r="AN161" s="186">
        <f t="shared" ref="AN161:BD161" si="114">AM$159*$B161</f>
        <v>0</v>
      </c>
      <c r="AO161" s="186">
        <f t="shared" si="114"/>
        <v>0</v>
      </c>
      <c r="AP161" s="186">
        <f t="shared" si="114"/>
        <v>0</v>
      </c>
      <c r="AQ161" s="186">
        <f t="shared" si="114"/>
        <v>0</v>
      </c>
      <c r="AR161" s="186">
        <f t="shared" si="114"/>
        <v>0</v>
      </c>
      <c r="AS161" s="186">
        <f t="shared" si="114"/>
        <v>0</v>
      </c>
      <c r="AT161" s="186">
        <f t="shared" si="114"/>
        <v>0</v>
      </c>
      <c r="AU161" s="186">
        <f t="shared" si="114"/>
        <v>0</v>
      </c>
      <c r="AV161" s="186">
        <f t="shared" si="114"/>
        <v>0</v>
      </c>
      <c r="AW161" s="186">
        <f t="shared" si="114"/>
        <v>0</v>
      </c>
      <c r="AX161" s="186">
        <f t="shared" si="114"/>
        <v>0</v>
      </c>
      <c r="AY161" s="186">
        <f t="shared" si="114"/>
        <v>0</v>
      </c>
      <c r="AZ161" s="186">
        <f t="shared" si="114"/>
        <v>0</v>
      </c>
      <c r="BA161" s="186">
        <f t="shared" si="114"/>
        <v>0</v>
      </c>
      <c r="BB161" s="186">
        <f t="shared" si="114"/>
        <v>0</v>
      </c>
      <c r="BC161" s="186">
        <f t="shared" si="114"/>
        <v>0</v>
      </c>
      <c r="BD161" s="186">
        <f t="shared" si="114"/>
        <v>0</v>
      </c>
    </row>
    <row r="162" spans="1:56" ht="15" customHeight="1">
      <c r="B162" s="185">
        <f>IF(Paramètres!F21=1,Paramètres!H46,IF(Paramètres!$F$20=0,0,MIN(1/Paramètres!$F$20,1-SUM($B$160:B161))))</f>
        <v>0.2</v>
      </c>
      <c r="C162" s="152">
        <f t="shared" si="108"/>
        <v>142.51155113063371</v>
      </c>
      <c r="D162" s="106" t="s">
        <v>263</v>
      </c>
      <c r="E162" s="128" t="s">
        <v>195</v>
      </c>
      <c r="G162" s="187"/>
      <c r="H162" s="187"/>
      <c r="I162" s="186">
        <f t="shared" ref="I162:BD162" si="115">G$159*$B162</f>
        <v>15.600000000000001</v>
      </c>
      <c r="J162" s="186">
        <f t="shared" si="115"/>
        <v>29.784000000000006</v>
      </c>
      <c r="K162" s="186">
        <f t="shared" si="115"/>
        <v>42.656399999999998</v>
      </c>
      <c r="L162" s="186">
        <f t="shared" si="115"/>
        <v>5.3060399999999994</v>
      </c>
      <c r="M162" s="186">
        <f t="shared" si="115"/>
        <v>5.8451336640000005</v>
      </c>
      <c r="N162" s="186">
        <f t="shared" si="115"/>
        <v>2.6497939276800002</v>
      </c>
      <c r="O162" s="186">
        <f t="shared" si="115"/>
        <v>2.4775573223808003</v>
      </c>
      <c r="P162" s="186">
        <f t="shared" si="115"/>
        <v>7.3515882729553912</v>
      </c>
      <c r="Q162" s="186">
        <f t="shared" si="115"/>
        <v>6.7956244098131409</v>
      </c>
      <c r="R162" s="186">
        <f t="shared" si="115"/>
        <v>4.3023332470403188</v>
      </c>
      <c r="S162" s="186">
        <f t="shared" si="115"/>
        <v>3.41318437598532</v>
      </c>
      <c r="T162" s="186">
        <f t="shared" si="115"/>
        <v>1.7407240317525128</v>
      </c>
      <c r="U162" s="186">
        <f t="shared" si="115"/>
        <v>3.0437803069501088</v>
      </c>
      <c r="V162" s="186">
        <f t="shared" si="115"/>
        <v>5.9505905000874622</v>
      </c>
      <c r="W162" s="186">
        <f t="shared" si="115"/>
        <v>3.4306447839634675</v>
      </c>
      <c r="X162" s="186">
        <f t="shared" si="115"/>
        <v>1.6150420059889552</v>
      </c>
      <c r="Y162" s="186">
        <f t="shared" si="115"/>
        <v>0.54911428203624479</v>
      </c>
      <c r="Z162" s="186">
        <f t="shared" si="115"/>
        <v>0</v>
      </c>
      <c r="AA162" s="186">
        <f t="shared" si="115"/>
        <v>0</v>
      </c>
      <c r="AB162" s="186">
        <f t="shared" si="115"/>
        <v>0</v>
      </c>
      <c r="AC162" s="186">
        <f t="shared" si="115"/>
        <v>0</v>
      </c>
      <c r="AD162" s="186">
        <f t="shared" si="115"/>
        <v>0</v>
      </c>
      <c r="AE162" s="186">
        <f t="shared" si="115"/>
        <v>0</v>
      </c>
      <c r="AF162" s="186">
        <f t="shared" si="115"/>
        <v>0</v>
      </c>
      <c r="AG162" s="186">
        <f t="shared" si="115"/>
        <v>0</v>
      </c>
      <c r="AH162" s="186">
        <f t="shared" si="115"/>
        <v>0</v>
      </c>
      <c r="AI162" s="186">
        <f t="shared" si="115"/>
        <v>0</v>
      </c>
      <c r="AJ162" s="186">
        <f t="shared" si="115"/>
        <v>0</v>
      </c>
      <c r="AK162" s="186">
        <f t="shared" si="115"/>
        <v>0</v>
      </c>
      <c r="AL162" s="186">
        <f t="shared" si="115"/>
        <v>0</v>
      </c>
      <c r="AM162" s="186">
        <f t="shared" si="115"/>
        <v>0</v>
      </c>
      <c r="AN162" s="186">
        <f t="shared" si="115"/>
        <v>0</v>
      </c>
      <c r="AO162" s="186">
        <f t="shared" si="115"/>
        <v>0</v>
      </c>
      <c r="AP162" s="186">
        <f t="shared" si="115"/>
        <v>0</v>
      </c>
      <c r="AQ162" s="186">
        <f t="shared" si="115"/>
        <v>0</v>
      </c>
      <c r="AR162" s="186">
        <f t="shared" si="115"/>
        <v>0</v>
      </c>
      <c r="AS162" s="186">
        <f t="shared" si="115"/>
        <v>0</v>
      </c>
      <c r="AT162" s="186">
        <f t="shared" si="115"/>
        <v>0</v>
      </c>
      <c r="AU162" s="186">
        <f t="shared" si="115"/>
        <v>0</v>
      </c>
      <c r="AV162" s="186">
        <f t="shared" si="115"/>
        <v>0</v>
      </c>
      <c r="AW162" s="186">
        <f t="shared" si="115"/>
        <v>0</v>
      </c>
      <c r="AX162" s="186">
        <f t="shared" si="115"/>
        <v>0</v>
      </c>
      <c r="AY162" s="186">
        <f t="shared" si="115"/>
        <v>0</v>
      </c>
      <c r="AZ162" s="186">
        <f t="shared" si="115"/>
        <v>0</v>
      </c>
      <c r="BA162" s="186">
        <f t="shared" si="115"/>
        <v>0</v>
      </c>
      <c r="BB162" s="186">
        <f t="shared" si="115"/>
        <v>0</v>
      </c>
      <c r="BC162" s="186">
        <f t="shared" si="115"/>
        <v>0</v>
      </c>
      <c r="BD162" s="186">
        <f t="shared" si="115"/>
        <v>0</v>
      </c>
    </row>
    <row r="163" spans="1:56" ht="15" customHeight="1">
      <c r="B163" s="185">
        <f>IF(Paramètres!F21=1,Paramètres!H47,IF(Paramètres!$F$20=0,0,MIN(1/Paramètres!$F$20,1-SUM($B$160:B162))))</f>
        <v>0.2</v>
      </c>
      <c r="C163" s="152">
        <f t="shared" si="108"/>
        <v>142.51155113063371</v>
      </c>
      <c r="D163" s="106" t="s">
        <v>264</v>
      </c>
      <c r="E163" s="128" t="s">
        <v>195</v>
      </c>
      <c r="G163" s="187"/>
      <c r="H163" s="187"/>
      <c r="I163" s="187"/>
      <c r="J163" s="186">
        <f t="shared" ref="J163:BD163" si="116">G$159*$B163</f>
        <v>15.600000000000001</v>
      </c>
      <c r="K163" s="186">
        <f t="shared" si="116"/>
        <v>29.784000000000006</v>
      </c>
      <c r="L163" s="186">
        <f t="shared" si="116"/>
        <v>42.656399999999998</v>
      </c>
      <c r="M163" s="186">
        <f t="shared" si="116"/>
        <v>5.3060399999999994</v>
      </c>
      <c r="N163" s="186">
        <f t="shared" si="116"/>
        <v>5.8451336640000005</v>
      </c>
      <c r="O163" s="186">
        <f t="shared" si="116"/>
        <v>2.6497939276800002</v>
      </c>
      <c r="P163" s="186">
        <f t="shared" si="116"/>
        <v>2.4775573223808003</v>
      </c>
      <c r="Q163" s="186">
        <f t="shared" si="116"/>
        <v>7.3515882729553912</v>
      </c>
      <c r="R163" s="186">
        <f t="shared" si="116"/>
        <v>6.7956244098131409</v>
      </c>
      <c r="S163" s="186">
        <f t="shared" si="116"/>
        <v>4.3023332470403188</v>
      </c>
      <c r="T163" s="186">
        <f t="shared" si="116"/>
        <v>3.41318437598532</v>
      </c>
      <c r="U163" s="186">
        <f t="shared" si="116"/>
        <v>1.7407240317525128</v>
      </c>
      <c r="V163" s="186">
        <f t="shared" si="116"/>
        <v>3.0437803069501088</v>
      </c>
      <c r="W163" s="186">
        <f t="shared" si="116"/>
        <v>5.9505905000874622</v>
      </c>
      <c r="X163" s="186">
        <f t="shared" si="116"/>
        <v>3.4306447839634675</v>
      </c>
      <c r="Y163" s="186">
        <f t="shared" si="116"/>
        <v>1.6150420059889552</v>
      </c>
      <c r="Z163" s="186">
        <f t="shared" si="116"/>
        <v>0.54911428203624479</v>
      </c>
      <c r="AA163" s="186">
        <f t="shared" si="116"/>
        <v>0</v>
      </c>
      <c r="AB163" s="186">
        <f t="shared" si="116"/>
        <v>0</v>
      </c>
      <c r="AC163" s="186">
        <f t="shared" si="116"/>
        <v>0</v>
      </c>
      <c r="AD163" s="186">
        <f t="shared" si="116"/>
        <v>0</v>
      </c>
      <c r="AE163" s="186">
        <f t="shared" si="116"/>
        <v>0</v>
      </c>
      <c r="AF163" s="186">
        <f t="shared" si="116"/>
        <v>0</v>
      </c>
      <c r="AG163" s="186">
        <f t="shared" si="116"/>
        <v>0</v>
      </c>
      <c r="AH163" s="186">
        <f t="shared" si="116"/>
        <v>0</v>
      </c>
      <c r="AI163" s="186">
        <f t="shared" si="116"/>
        <v>0</v>
      </c>
      <c r="AJ163" s="186">
        <f t="shared" si="116"/>
        <v>0</v>
      </c>
      <c r="AK163" s="186">
        <f t="shared" si="116"/>
        <v>0</v>
      </c>
      <c r="AL163" s="186">
        <f t="shared" si="116"/>
        <v>0</v>
      </c>
      <c r="AM163" s="186">
        <f t="shared" si="116"/>
        <v>0</v>
      </c>
      <c r="AN163" s="186">
        <f t="shared" si="116"/>
        <v>0</v>
      </c>
      <c r="AO163" s="186">
        <f t="shared" si="116"/>
        <v>0</v>
      </c>
      <c r="AP163" s="186">
        <f t="shared" si="116"/>
        <v>0</v>
      </c>
      <c r="AQ163" s="186">
        <f t="shared" si="116"/>
        <v>0</v>
      </c>
      <c r="AR163" s="186">
        <f t="shared" si="116"/>
        <v>0</v>
      </c>
      <c r="AS163" s="186">
        <f t="shared" si="116"/>
        <v>0</v>
      </c>
      <c r="AT163" s="186">
        <f t="shared" si="116"/>
        <v>0</v>
      </c>
      <c r="AU163" s="186">
        <f t="shared" si="116"/>
        <v>0</v>
      </c>
      <c r="AV163" s="186">
        <f t="shared" si="116"/>
        <v>0</v>
      </c>
      <c r="AW163" s="186">
        <f t="shared" si="116"/>
        <v>0</v>
      </c>
      <c r="AX163" s="186">
        <f t="shared" si="116"/>
        <v>0</v>
      </c>
      <c r="AY163" s="186">
        <f t="shared" si="116"/>
        <v>0</v>
      </c>
      <c r="AZ163" s="186">
        <f t="shared" si="116"/>
        <v>0</v>
      </c>
      <c r="BA163" s="186">
        <f t="shared" si="116"/>
        <v>0</v>
      </c>
      <c r="BB163" s="186">
        <f t="shared" si="116"/>
        <v>0</v>
      </c>
      <c r="BC163" s="186">
        <f t="shared" si="116"/>
        <v>0</v>
      </c>
      <c r="BD163" s="186">
        <f t="shared" si="116"/>
        <v>0</v>
      </c>
    </row>
    <row r="164" spans="1:56" ht="15" customHeight="1">
      <c r="B164" s="185">
        <f>IF(Paramètres!F21=1,Paramètres!H48,IF(Paramètres!$F$20=0,0,MIN(1/Paramètres!$F$20,1-SUM($B$160:B163))))</f>
        <v>0.19999999999999996</v>
      </c>
      <c r="C164" s="152">
        <f t="shared" si="108"/>
        <v>142.51155113063368</v>
      </c>
      <c r="D164" s="106" t="s">
        <v>265</v>
      </c>
      <c r="E164" s="128" t="s">
        <v>195</v>
      </c>
      <c r="G164" s="187"/>
      <c r="H164" s="187"/>
      <c r="I164" s="187"/>
      <c r="J164" s="187"/>
      <c r="K164" s="186">
        <f t="shared" ref="K164:BD164" si="117">G$159*$B164</f>
        <v>15.599999999999996</v>
      </c>
      <c r="L164" s="186">
        <f t="shared" si="117"/>
        <v>29.783999999999995</v>
      </c>
      <c r="M164" s="186">
        <f t="shared" si="117"/>
        <v>42.656399999999984</v>
      </c>
      <c r="N164" s="186">
        <f t="shared" si="117"/>
        <v>5.3060399999999985</v>
      </c>
      <c r="O164" s="186">
        <f t="shared" si="117"/>
        <v>5.8451336639999987</v>
      </c>
      <c r="P164" s="186">
        <f t="shared" si="117"/>
        <v>2.6497939276799993</v>
      </c>
      <c r="Q164" s="186">
        <f t="shared" si="117"/>
        <v>2.4775573223807998</v>
      </c>
      <c r="R164" s="186">
        <f t="shared" si="117"/>
        <v>7.3515882729553894</v>
      </c>
      <c r="S164" s="186">
        <f t="shared" si="117"/>
        <v>6.7956244098131391</v>
      </c>
      <c r="T164" s="186">
        <f t="shared" si="117"/>
        <v>4.3023332470403179</v>
      </c>
      <c r="U164" s="186">
        <f t="shared" si="117"/>
        <v>3.4131843759853191</v>
      </c>
      <c r="V164" s="186">
        <f t="shared" si="117"/>
        <v>1.7407240317525121</v>
      </c>
      <c r="W164" s="186">
        <f t="shared" si="117"/>
        <v>3.0437803069501079</v>
      </c>
      <c r="X164" s="186">
        <f t="shared" si="117"/>
        <v>5.9505905000874604</v>
      </c>
      <c r="Y164" s="186">
        <f t="shared" si="117"/>
        <v>3.4306447839634662</v>
      </c>
      <c r="Z164" s="186">
        <f t="shared" si="117"/>
        <v>1.6150420059889548</v>
      </c>
      <c r="AA164" s="186">
        <f t="shared" si="117"/>
        <v>0.54911428203624468</v>
      </c>
      <c r="AB164" s="186">
        <f t="shared" si="117"/>
        <v>0</v>
      </c>
      <c r="AC164" s="186">
        <f t="shared" si="117"/>
        <v>0</v>
      </c>
      <c r="AD164" s="186">
        <f t="shared" si="117"/>
        <v>0</v>
      </c>
      <c r="AE164" s="186">
        <f t="shared" si="117"/>
        <v>0</v>
      </c>
      <c r="AF164" s="186">
        <f t="shared" si="117"/>
        <v>0</v>
      </c>
      <c r="AG164" s="186">
        <f t="shared" si="117"/>
        <v>0</v>
      </c>
      <c r="AH164" s="186">
        <f t="shared" si="117"/>
        <v>0</v>
      </c>
      <c r="AI164" s="186">
        <f t="shared" si="117"/>
        <v>0</v>
      </c>
      <c r="AJ164" s="186">
        <f t="shared" si="117"/>
        <v>0</v>
      </c>
      <c r="AK164" s="186">
        <f t="shared" si="117"/>
        <v>0</v>
      </c>
      <c r="AL164" s="186">
        <f t="shared" si="117"/>
        <v>0</v>
      </c>
      <c r="AM164" s="186">
        <f t="shared" si="117"/>
        <v>0</v>
      </c>
      <c r="AN164" s="186">
        <f t="shared" si="117"/>
        <v>0</v>
      </c>
      <c r="AO164" s="186">
        <f t="shared" si="117"/>
        <v>0</v>
      </c>
      <c r="AP164" s="186">
        <f t="shared" si="117"/>
        <v>0</v>
      </c>
      <c r="AQ164" s="186">
        <f t="shared" si="117"/>
        <v>0</v>
      </c>
      <c r="AR164" s="186">
        <f t="shared" si="117"/>
        <v>0</v>
      </c>
      <c r="AS164" s="186">
        <f t="shared" si="117"/>
        <v>0</v>
      </c>
      <c r="AT164" s="186">
        <f t="shared" si="117"/>
        <v>0</v>
      </c>
      <c r="AU164" s="186">
        <f t="shared" si="117"/>
        <v>0</v>
      </c>
      <c r="AV164" s="186">
        <f t="shared" si="117"/>
        <v>0</v>
      </c>
      <c r="AW164" s="186">
        <f t="shared" si="117"/>
        <v>0</v>
      </c>
      <c r="AX164" s="186">
        <f t="shared" si="117"/>
        <v>0</v>
      </c>
      <c r="AY164" s="186">
        <f t="shared" si="117"/>
        <v>0</v>
      </c>
      <c r="AZ164" s="186">
        <f t="shared" si="117"/>
        <v>0</v>
      </c>
      <c r="BA164" s="186">
        <f t="shared" si="117"/>
        <v>0</v>
      </c>
      <c r="BB164" s="186">
        <f t="shared" si="117"/>
        <v>0</v>
      </c>
      <c r="BC164" s="186">
        <f t="shared" si="117"/>
        <v>0</v>
      </c>
      <c r="BD164" s="186">
        <f t="shared" si="117"/>
        <v>0</v>
      </c>
    </row>
    <row r="165" spans="1:56" ht="15" customHeight="1">
      <c r="B165" s="185">
        <f>IF(Paramètres!F21=1,Paramètres!H49,IF(Paramètres!$F$20=0,0,MIN(1/Paramètres!$F$20,1-SUM($B$160:B164))))</f>
        <v>0</v>
      </c>
      <c r="C165" s="152">
        <f t="shared" si="108"/>
        <v>0</v>
      </c>
      <c r="D165" s="106" t="s">
        <v>266</v>
      </c>
      <c r="E165" s="128" t="s">
        <v>195</v>
      </c>
      <c r="G165" s="187"/>
      <c r="H165" s="187"/>
      <c r="I165" s="187"/>
      <c r="J165" s="187"/>
      <c r="K165" s="187"/>
      <c r="L165" s="186">
        <f t="shared" ref="L165:BD165" si="118">G$159*$B165</f>
        <v>0</v>
      </c>
      <c r="M165" s="186">
        <f t="shared" si="118"/>
        <v>0</v>
      </c>
      <c r="N165" s="186">
        <f t="shared" si="118"/>
        <v>0</v>
      </c>
      <c r="O165" s="186">
        <f t="shared" si="118"/>
        <v>0</v>
      </c>
      <c r="P165" s="186">
        <f t="shared" si="118"/>
        <v>0</v>
      </c>
      <c r="Q165" s="186">
        <f t="shared" si="118"/>
        <v>0</v>
      </c>
      <c r="R165" s="186">
        <f t="shared" si="118"/>
        <v>0</v>
      </c>
      <c r="S165" s="186">
        <f t="shared" si="118"/>
        <v>0</v>
      </c>
      <c r="T165" s="186">
        <f t="shared" si="118"/>
        <v>0</v>
      </c>
      <c r="U165" s="186">
        <f t="shared" si="118"/>
        <v>0</v>
      </c>
      <c r="V165" s="186">
        <f t="shared" si="118"/>
        <v>0</v>
      </c>
      <c r="W165" s="186">
        <f t="shared" si="118"/>
        <v>0</v>
      </c>
      <c r="X165" s="186">
        <f t="shared" si="118"/>
        <v>0</v>
      </c>
      <c r="Y165" s="186">
        <f t="shared" si="118"/>
        <v>0</v>
      </c>
      <c r="Z165" s="186">
        <f t="shared" si="118"/>
        <v>0</v>
      </c>
      <c r="AA165" s="186">
        <f t="shared" si="118"/>
        <v>0</v>
      </c>
      <c r="AB165" s="186">
        <f t="shared" si="118"/>
        <v>0</v>
      </c>
      <c r="AC165" s="186">
        <f t="shared" si="118"/>
        <v>0</v>
      </c>
      <c r="AD165" s="186">
        <f t="shared" si="118"/>
        <v>0</v>
      </c>
      <c r="AE165" s="186">
        <f t="shared" si="118"/>
        <v>0</v>
      </c>
      <c r="AF165" s="186">
        <f t="shared" si="118"/>
        <v>0</v>
      </c>
      <c r="AG165" s="186">
        <f t="shared" si="118"/>
        <v>0</v>
      </c>
      <c r="AH165" s="186">
        <f t="shared" si="118"/>
        <v>0</v>
      </c>
      <c r="AI165" s="186">
        <f t="shared" si="118"/>
        <v>0</v>
      </c>
      <c r="AJ165" s="186">
        <f t="shared" si="118"/>
        <v>0</v>
      </c>
      <c r="AK165" s="186">
        <f t="shared" si="118"/>
        <v>0</v>
      </c>
      <c r="AL165" s="186">
        <f t="shared" si="118"/>
        <v>0</v>
      </c>
      <c r="AM165" s="186">
        <f t="shared" si="118"/>
        <v>0</v>
      </c>
      <c r="AN165" s="186">
        <f t="shared" si="118"/>
        <v>0</v>
      </c>
      <c r="AO165" s="186">
        <f t="shared" si="118"/>
        <v>0</v>
      </c>
      <c r="AP165" s="186">
        <f t="shared" si="118"/>
        <v>0</v>
      </c>
      <c r="AQ165" s="186">
        <f t="shared" si="118"/>
        <v>0</v>
      </c>
      <c r="AR165" s="186">
        <f t="shared" si="118"/>
        <v>0</v>
      </c>
      <c r="AS165" s="186">
        <f t="shared" si="118"/>
        <v>0</v>
      </c>
      <c r="AT165" s="186">
        <f t="shared" si="118"/>
        <v>0</v>
      </c>
      <c r="AU165" s="186">
        <f t="shared" si="118"/>
        <v>0</v>
      </c>
      <c r="AV165" s="186">
        <f t="shared" si="118"/>
        <v>0</v>
      </c>
      <c r="AW165" s="186">
        <f t="shared" si="118"/>
        <v>0</v>
      </c>
      <c r="AX165" s="186">
        <f t="shared" si="118"/>
        <v>0</v>
      </c>
      <c r="AY165" s="186">
        <f t="shared" si="118"/>
        <v>0</v>
      </c>
      <c r="AZ165" s="186">
        <f t="shared" si="118"/>
        <v>0</v>
      </c>
      <c r="BA165" s="186">
        <f t="shared" si="118"/>
        <v>0</v>
      </c>
      <c r="BB165" s="186">
        <f t="shared" si="118"/>
        <v>0</v>
      </c>
      <c r="BC165" s="186">
        <f t="shared" si="118"/>
        <v>0</v>
      </c>
      <c r="BD165" s="186">
        <f t="shared" si="118"/>
        <v>0</v>
      </c>
    </row>
    <row r="166" spans="1:56" ht="15" customHeight="1">
      <c r="B166" s="185">
        <f>IF(Paramètres!F21=1,Paramètres!H50,IF(Paramètres!$F$20=0,0,MIN(1/Paramètres!$F$20,1-SUM($B$160:B165))))</f>
        <v>0</v>
      </c>
      <c r="C166" s="152">
        <f t="shared" si="108"/>
        <v>0</v>
      </c>
      <c r="D166" s="106" t="s">
        <v>267</v>
      </c>
      <c r="E166" s="128" t="s">
        <v>195</v>
      </c>
      <c r="G166" s="187"/>
      <c r="H166" s="187"/>
      <c r="I166" s="187"/>
      <c r="J166" s="187"/>
      <c r="K166" s="187"/>
      <c r="L166" s="187"/>
      <c r="M166" s="186">
        <f t="shared" ref="M166:BD166" si="119">G$159*$B166</f>
        <v>0</v>
      </c>
      <c r="N166" s="186">
        <f t="shared" si="119"/>
        <v>0</v>
      </c>
      <c r="O166" s="186">
        <f t="shared" si="119"/>
        <v>0</v>
      </c>
      <c r="P166" s="186">
        <f t="shared" si="119"/>
        <v>0</v>
      </c>
      <c r="Q166" s="186">
        <f t="shared" si="119"/>
        <v>0</v>
      </c>
      <c r="R166" s="186">
        <f t="shared" si="119"/>
        <v>0</v>
      </c>
      <c r="S166" s="186">
        <f t="shared" si="119"/>
        <v>0</v>
      </c>
      <c r="T166" s="186">
        <f t="shared" si="119"/>
        <v>0</v>
      </c>
      <c r="U166" s="186">
        <f t="shared" si="119"/>
        <v>0</v>
      </c>
      <c r="V166" s="186">
        <f t="shared" si="119"/>
        <v>0</v>
      </c>
      <c r="W166" s="186">
        <f t="shared" si="119"/>
        <v>0</v>
      </c>
      <c r="X166" s="186">
        <f t="shared" si="119"/>
        <v>0</v>
      </c>
      <c r="Y166" s="186">
        <f t="shared" si="119"/>
        <v>0</v>
      </c>
      <c r="Z166" s="186">
        <f t="shared" si="119"/>
        <v>0</v>
      </c>
      <c r="AA166" s="186">
        <f t="shared" si="119"/>
        <v>0</v>
      </c>
      <c r="AB166" s="186">
        <f t="shared" si="119"/>
        <v>0</v>
      </c>
      <c r="AC166" s="186">
        <f t="shared" si="119"/>
        <v>0</v>
      </c>
      <c r="AD166" s="186">
        <f t="shared" si="119"/>
        <v>0</v>
      </c>
      <c r="AE166" s="186">
        <f t="shared" si="119"/>
        <v>0</v>
      </c>
      <c r="AF166" s="186">
        <f t="shared" si="119"/>
        <v>0</v>
      </c>
      <c r="AG166" s="186">
        <f t="shared" si="119"/>
        <v>0</v>
      </c>
      <c r="AH166" s="186">
        <f t="shared" si="119"/>
        <v>0</v>
      </c>
      <c r="AI166" s="186">
        <f t="shared" si="119"/>
        <v>0</v>
      </c>
      <c r="AJ166" s="186">
        <f t="shared" si="119"/>
        <v>0</v>
      </c>
      <c r="AK166" s="186">
        <f t="shared" si="119"/>
        <v>0</v>
      </c>
      <c r="AL166" s="186">
        <f t="shared" si="119"/>
        <v>0</v>
      </c>
      <c r="AM166" s="186">
        <f t="shared" si="119"/>
        <v>0</v>
      </c>
      <c r="AN166" s="186">
        <f t="shared" si="119"/>
        <v>0</v>
      </c>
      <c r="AO166" s="186">
        <f t="shared" si="119"/>
        <v>0</v>
      </c>
      <c r="AP166" s="186">
        <f t="shared" si="119"/>
        <v>0</v>
      </c>
      <c r="AQ166" s="186">
        <f t="shared" si="119"/>
        <v>0</v>
      </c>
      <c r="AR166" s="186">
        <f t="shared" si="119"/>
        <v>0</v>
      </c>
      <c r="AS166" s="186">
        <f t="shared" si="119"/>
        <v>0</v>
      </c>
      <c r="AT166" s="186">
        <f t="shared" si="119"/>
        <v>0</v>
      </c>
      <c r="AU166" s="186">
        <f t="shared" si="119"/>
        <v>0</v>
      </c>
      <c r="AV166" s="186">
        <f t="shared" si="119"/>
        <v>0</v>
      </c>
      <c r="AW166" s="186">
        <f t="shared" si="119"/>
        <v>0</v>
      </c>
      <c r="AX166" s="186">
        <f t="shared" si="119"/>
        <v>0</v>
      </c>
      <c r="AY166" s="186">
        <f t="shared" si="119"/>
        <v>0</v>
      </c>
      <c r="AZ166" s="186">
        <f t="shared" si="119"/>
        <v>0</v>
      </c>
      <c r="BA166" s="186">
        <f t="shared" si="119"/>
        <v>0</v>
      </c>
      <c r="BB166" s="186">
        <f t="shared" si="119"/>
        <v>0</v>
      </c>
      <c r="BC166" s="186">
        <f t="shared" si="119"/>
        <v>0</v>
      </c>
      <c r="BD166" s="186">
        <f t="shared" si="119"/>
        <v>0</v>
      </c>
    </row>
    <row r="167" spans="1:56" ht="15" customHeight="1">
      <c r="B167" s="185">
        <f>IF(Paramètres!F21=1,Paramètres!H51,IF(Paramètres!$F$20=0,0,MIN(1/Paramètres!$F$20,1-SUM($B$160:B166))))</f>
        <v>0</v>
      </c>
      <c r="C167" s="152">
        <f t="shared" si="108"/>
        <v>0</v>
      </c>
      <c r="D167" s="106" t="s">
        <v>268</v>
      </c>
      <c r="E167" s="128" t="s">
        <v>195</v>
      </c>
      <c r="G167" s="187"/>
      <c r="H167" s="187"/>
      <c r="I167" s="187"/>
      <c r="J167" s="187"/>
      <c r="K167" s="187"/>
      <c r="L167" s="187"/>
      <c r="M167" s="187"/>
      <c r="N167" s="186">
        <f t="shared" ref="N167:BD167" si="120">G$159*$B167</f>
        <v>0</v>
      </c>
      <c r="O167" s="186">
        <f t="shared" si="120"/>
        <v>0</v>
      </c>
      <c r="P167" s="186">
        <f t="shared" si="120"/>
        <v>0</v>
      </c>
      <c r="Q167" s="186">
        <f t="shared" si="120"/>
        <v>0</v>
      </c>
      <c r="R167" s="186">
        <f t="shared" si="120"/>
        <v>0</v>
      </c>
      <c r="S167" s="186">
        <f t="shared" si="120"/>
        <v>0</v>
      </c>
      <c r="T167" s="186">
        <f t="shared" si="120"/>
        <v>0</v>
      </c>
      <c r="U167" s="186">
        <f t="shared" si="120"/>
        <v>0</v>
      </c>
      <c r="V167" s="186">
        <f t="shared" si="120"/>
        <v>0</v>
      </c>
      <c r="W167" s="186">
        <f t="shared" si="120"/>
        <v>0</v>
      </c>
      <c r="X167" s="186">
        <f t="shared" si="120"/>
        <v>0</v>
      </c>
      <c r="Y167" s="186">
        <f t="shared" si="120"/>
        <v>0</v>
      </c>
      <c r="Z167" s="186">
        <f t="shared" si="120"/>
        <v>0</v>
      </c>
      <c r="AA167" s="186">
        <f t="shared" si="120"/>
        <v>0</v>
      </c>
      <c r="AB167" s="186">
        <f t="shared" si="120"/>
        <v>0</v>
      </c>
      <c r="AC167" s="186">
        <f t="shared" si="120"/>
        <v>0</v>
      </c>
      <c r="AD167" s="186">
        <f t="shared" si="120"/>
        <v>0</v>
      </c>
      <c r="AE167" s="186">
        <f t="shared" si="120"/>
        <v>0</v>
      </c>
      <c r="AF167" s="186">
        <f t="shared" si="120"/>
        <v>0</v>
      </c>
      <c r="AG167" s="186">
        <f t="shared" si="120"/>
        <v>0</v>
      </c>
      <c r="AH167" s="186">
        <f t="shared" si="120"/>
        <v>0</v>
      </c>
      <c r="AI167" s="186">
        <f t="shared" si="120"/>
        <v>0</v>
      </c>
      <c r="AJ167" s="186">
        <f t="shared" si="120"/>
        <v>0</v>
      </c>
      <c r="AK167" s="186">
        <f t="shared" si="120"/>
        <v>0</v>
      </c>
      <c r="AL167" s="186">
        <f t="shared" si="120"/>
        <v>0</v>
      </c>
      <c r="AM167" s="186">
        <f t="shared" si="120"/>
        <v>0</v>
      </c>
      <c r="AN167" s="186">
        <f t="shared" si="120"/>
        <v>0</v>
      </c>
      <c r="AO167" s="186">
        <f t="shared" si="120"/>
        <v>0</v>
      </c>
      <c r="AP167" s="186">
        <f t="shared" si="120"/>
        <v>0</v>
      </c>
      <c r="AQ167" s="186">
        <f t="shared" si="120"/>
        <v>0</v>
      </c>
      <c r="AR167" s="186">
        <f t="shared" si="120"/>
        <v>0</v>
      </c>
      <c r="AS167" s="186">
        <f t="shared" si="120"/>
        <v>0</v>
      </c>
      <c r="AT167" s="186">
        <f t="shared" si="120"/>
        <v>0</v>
      </c>
      <c r="AU167" s="186">
        <f t="shared" si="120"/>
        <v>0</v>
      </c>
      <c r="AV167" s="186">
        <f t="shared" si="120"/>
        <v>0</v>
      </c>
      <c r="AW167" s="186">
        <f t="shared" si="120"/>
        <v>0</v>
      </c>
      <c r="AX167" s="186">
        <f t="shared" si="120"/>
        <v>0</v>
      </c>
      <c r="AY167" s="186">
        <f t="shared" si="120"/>
        <v>0</v>
      </c>
      <c r="AZ167" s="186">
        <f t="shared" si="120"/>
        <v>0</v>
      </c>
      <c r="BA167" s="186">
        <f t="shared" si="120"/>
        <v>0</v>
      </c>
      <c r="BB167" s="186">
        <f t="shared" si="120"/>
        <v>0</v>
      </c>
      <c r="BC167" s="186">
        <f t="shared" si="120"/>
        <v>0</v>
      </c>
      <c r="BD167" s="186">
        <f t="shared" si="120"/>
        <v>0</v>
      </c>
    </row>
    <row r="168" spans="1:56" ht="15" customHeight="1">
      <c r="B168" s="185">
        <f>IF(Paramètres!F21=1,Paramètres!H52,IF(Paramètres!$F$20=0,0,MIN(1/Paramètres!$F$20,1-SUM($B$160:B167))))</f>
        <v>0</v>
      </c>
      <c r="C168" s="152">
        <f t="shared" si="108"/>
        <v>0</v>
      </c>
      <c r="D168" s="106" t="s">
        <v>269</v>
      </c>
      <c r="E168" s="128" t="s">
        <v>195</v>
      </c>
      <c r="G168" s="187"/>
      <c r="H168" s="187"/>
      <c r="I168" s="187"/>
      <c r="J168" s="187"/>
      <c r="K168" s="187"/>
      <c r="L168" s="187"/>
      <c r="M168" s="187"/>
      <c r="N168" s="187"/>
      <c r="O168" s="186">
        <f t="shared" ref="O168:BD168" si="121">G$159*$B168</f>
        <v>0</v>
      </c>
      <c r="P168" s="186">
        <f t="shared" si="121"/>
        <v>0</v>
      </c>
      <c r="Q168" s="186">
        <f t="shared" si="121"/>
        <v>0</v>
      </c>
      <c r="R168" s="186">
        <f t="shared" si="121"/>
        <v>0</v>
      </c>
      <c r="S168" s="186">
        <f t="shared" si="121"/>
        <v>0</v>
      </c>
      <c r="T168" s="186">
        <f t="shared" si="121"/>
        <v>0</v>
      </c>
      <c r="U168" s="186">
        <f t="shared" si="121"/>
        <v>0</v>
      </c>
      <c r="V168" s="186">
        <f t="shared" si="121"/>
        <v>0</v>
      </c>
      <c r="W168" s="186">
        <f t="shared" si="121"/>
        <v>0</v>
      </c>
      <c r="X168" s="186">
        <f t="shared" si="121"/>
        <v>0</v>
      </c>
      <c r="Y168" s="186">
        <f t="shared" si="121"/>
        <v>0</v>
      </c>
      <c r="Z168" s="186">
        <f t="shared" si="121"/>
        <v>0</v>
      </c>
      <c r="AA168" s="186">
        <f t="shared" si="121"/>
        <v>0</v>
      </c>
      <c r="AB168" s="186">
        <f t="shared" si="121"/>
        <v>0</v>
      </c>
      <c r="AC168" s="186">
        <f t="shared" si="121"/>
        <v>0</v>
      </c>
      <c r="AD168" s="186">
        <f t="shared" si="121"/>
        <v>0</v>
      </c>
      <c r="AE168" s="186">
        <f t="shared" si="121"/>
        <v>0</v>
      </c>
      <c r="AF168" s="186">
        <f t="shared" si="121"/>
        <v>0</v>
      </c>
      <c r="AG168" s="186">
        <f t="shared" si="121"/>
        <v>0</v>
      </c>
      <c r="AH168" s="186">
        <f t="shared" si="121"/>
        <v>0</v>
      </c>
      <c r="AI168" s="186">
        <f t="shared" si="121"/>
        <v>0</v>
      </c>
      <c r="AJ168" s="186">
        <f t="shared" si="121"/>
        <v>0</v>
      </c>
      <c r="AK168" s="186">
        <f t="shared" si="121"/>
        <v>0</v>
      </c>
      <c r="AL168" s="186">
        <f t="shared" si="121"/>
        <v>0</v>
      </c>
      <c r="AM168" s="186">
        <f t="shared" si="121"/>
        <v>0</v>
      </c>
      <c r="AN168" s="186">
        <f t="shared" si="121"/>
        <v>0</v>
      </c>
      <c r="AO168" s="186">
        <f t="shared" si="121"/>
        <v>0</v>
      </c>
      <c r="AP168" s="186">
        <f t="shared" si="121"/>
        <v>0</v>
      </c>
      <c r="AQ168" s="186">
        <f t="shared" si="121"/>
        <v>0</v>
      </c>
      <c r="AR168" s="186">
        <f t="shared" si="121"/>
        <v>0</v>
      </c>
      <c r="AS168" s="186">
        <f t="shared" si="121"/>
        <v>0</v>
      </c>
      <c r="AT168" s="186">
        <f t="shared" si="121"/>
        <v>0</v>
      </c>
      <c r="AU168" s="186">
        <f t="shared" si="121"/>
        <v>0</v>
      </c>
      <c r="AV168" s="186">
        <f t="shared" si="121"/>
        <v>0</v>
      </c>
      <c r="AW168" s="186">
        <f t="shared" si="121"/>
        <v>0</v>
      </c>
      <c r="AX168" s="186">
        <f t="shared" si="121"/>
        <v>0</v>
      </c>
      <c r="AY168" s="186">
        <f t="shared" si="121"/>
        <v>0</v>
      </c>
      <c r="AZ168" s="186">
        <f t="shared" si="121"/>
        <v>0</v>
      </c>
      <c r="BA168" s="186">
        <f t="shared" si="121"/>
        <v>0</v>
      </c>
      <c r="BB168" s="186">
        <f t="shared" si="121"/>
        <v>0</v>
      </c>
      <c r="BC168" s="186">
        <f t="shared" si="121"/>
        <v>0</v>
      </c>
      <c r="BD168" s="186">
        <f t="shared" si="121"/>
        <v>0</v>
      </c>
    </row>
    <row r="169" spans="1:56" ht="15" customHeight="1">
      <c r="B169" s="185">
        <f>IF(Paramètres!F21=1,Paramètres!H53,IF(Paramètres!$F$20=0,0,MIN(1/Paramètres!$F$20,1-SUM($B$160:B168))))</f>
        <v>0</v>
      </c>
      <c r="C169" s="152">
        <f t="shared" si="108"/>
        <v>0</v>
      </c>
      <c r="D169" s="106" t="s">
        <v>270</v>
      </c>
      <c r="E169" s="128" t="s">
        <v>195</v>
      </c>
      <c r="G169" s="187"/>
      <c r="H169" s="187"/>
      <c r="I169" s="187"/>
      <c r="J169" s="187"/>
      <c r="K169" s="187"/>
      <c r="L169" s="187"/>
      <c r="M169" s="187"/>
      <c r="N169" s="187"/>
      <c r="O169" s="187"/>
      <c r="P169" s="186">
        <f t="shared" ref="P169:BD169" si="122">G$159*$B169</f>
        <v>0</v>
      </c>
      <c r="Q169" s="186">
        <f t="shared" si="122"/>
        <v>0</v>
      </c>
      <c r="R169" s="186">
        <f t="shared" si="122"/>
        <v>0</v>
      </c>
      <c r="S169" s="186">
        <f t="shared" si="122"/>
        <v>0</v>
      </c>
      <c r="T169" s="186">
        <f t="shared" si="122"/>
        <v>0</v>
      </c>
      <c r="U169" s="186">
        <f t="shared" si="122"/>
        <v>0</v>
      </c>
      <c r="V169" s="186">
        <f t="shared" si="122"/>
        <v>0</v>
      </c>
      <c r="W169" s="186">
        <f t="shared" si="122"/>
        <v>0</v>
      </c>
      <c r="X169" s="186">
        <f t="shared" si="122"/>
        <v>0</v>
      </c>
      <c r="Y169" s="186">
        <f t="shared" si="122"/>
        <v>0</v>
      </c>
      <c r="Z169" s="186">
        <f t="shared" si="122"/>
        <v>0</v>
      </c>
      <c r="AA169" s="186">
        <f t="shared" si="122"/>
        <v>0</v>
      </c>
      <c r="AB169" s="186">
        <f t="shared" si="122"/>
        <v>0</v>
      </c>
      <c r="AC169" s="186">
        <f t="shared" si="122"/>
        <v>0</v>
      </c>
      <c r="AD169" s="186">
        <f t="shared" si="122"/>
        <v>0</v>
      </c>
      <c r="AE169" s="186">
        <f t="shared" si="122"/>
        <v>0</v>
      </c>
      <c r="AF169" s="186">
        <f t="shared" si="122"/>
        <v>0</v>
      </c>
      <c r="AG169" s="186">
        <f t="shared" si="122"/>
        <v>0</v>
      </c>
      <c r="AH169" s="186">
        <f t="shared" si="122"/>
        <v>0</v>
      </c>
      <c r="AI169" s="186">
        <f t="shared" si="122"/>
        <v>0</v>
      </c>
      <c r="AJ169" s="186">
        <f t="shared" si="122"/>
        <v>0</v>
      </c>
      <c r="AK169" s="186">
        <f t="shared" si="122"/>
        <v>0</v>
      </c>
      <c r="AL169" s="186">
        <f t="shared" si="122"/>
        <v>0</v>
      </c>
      <c r="AM169" s="186">
        <f t="shared" si="122"/>
        <v>0</v>
      </c>
      <c r="AN169" s="186">
        <f t="shared" si="122"/>
        <v>0</v>
      </c>
      <c r="AO169" s="186">
        <f t="shared" si="122"/>
        <v>0</v>
      </c>
      <c r="AP169" s="186">
        <f t="shared" si="122"/>
        <v>0</v>
      </c>
      <c r="AQ169" s="186">
        <f t="shared" si="122"/>
        <v>0</v>
      </c>
      <c r="AR169" s="186">
        <f t="shared" si="122"/>
        <v>0</v>
      </c>
      <c r="AS169" s="186">
        <f t="shared" si="122"/>
        <v>0</v>
      </c>
      <c r="AT169" s="186">
        <f t="shared" si="122"/>
        <v>0</v>
      </c>
      <c r="AU169" s="186">
        <f t="shared" si="122"/>
        <v>0</v>
      </c>
      <c r="AV169" s="186">
        <f t="shared" si="122"/>
        <v>0</v>
      </c>
      <c r="AW169" s="186">
        <f t="shared" si="122"/>
        <v>0</v>
      </c>
      <c r="AX169" s="186">
        <f t="shared" si="122"/>
        <v>0</v>
      </c>
      <c r="AY169" s="186">
        <f t="shared" si="122"/>
        <v>0</v>
      </c>
      <c r="AZ169" s="186">
        <f t="shared" si="122"/>
        <v>0</v>
      </c>
      <c r="BA169" s="186">
        <f t="shared" si="122"/>
        <v>0</v>
      </c>
      <c r="BB169" s="186">
        <f t="shared" si="122"/>
        <v>0</v>
      </c>
      <c r="BC169" s="186">
        <f t="shared" si="122"/>
        <v>0</v>
      </c>
      <c r="BD169" s="186">
        <f t="shared" si="122"/>
        <v>0</v>
      </c>
    </row>
    <row r="170" spans="1:56" ht="15" customHeight="1">
      <c r="A170" s="158" t="b">
        <f>ROUND(C159-C170,5)=0</f>
        <v>1</v>
      </c>
      <c r="B170" s="101"/>
      <c r="C170" s="152">
        <f t="shared" si="108"/>
        <v>712.55775565316867</v>
      </c>
      <c r="D170" s="124" t="s">
        <v>271</v>
      </c>
      <c r="E170" s="128" t="s">
        <v>195</v>
      </c>
      <c r="G170" s="127">
        <f t="shared" ref="G170:AL170" si="123">SUM(G160:G169)</f>
        <v>15.600000000000001</v>
      </c>
      <c r="H170" s="127">
        <f t="shared" si="123"/>
        <v>45.384000000000007</v>
      </c>
      <c r="I170" s="127">
        <f t="shared" si="123"/>
        <v>88.040400000000005</v>
      </c>
      <c r="J170" s="127">
        <f t="shared" si="123"/>
        <v>93.346440000000001</v>
      </c>
      <c r="K170" s="127">
        <f t="shared" si="123"/>
        <v>99.191573664000003</v>
      </c>
      <c r="L170" s="127">
        <f t="shared" si="123"/>
        <v>86.241367591679989</v>
      </c>
      <c r="M170" s="127">
        <f t="shared" si="123"/>
        <v>58.934924914060787</v>
      </c>
      <c r="N170" s="127">
        <f t="shared" si="123"/>
        <v>23.630113187016189</v>
      </c>
      <c r="O170" s="127">
        <f t="shared" si="123"/>
        <v>25.119697596829333</v>
      </c>
      <c r="P170" s="127">
        <f t="shared" si="123"/>
        <v>23.576897179869647</v>
      </c>
      <c r="Q170" s="127">
        <f t="shared" si="123"/>
        <v>24.340287628174973</v>
      </c>
      <c r="R170" s="127">
        <f t="shared" si="123"/>
        <v>23.60345433754668</v>
      </c>
      <c r="S170" s="127">
        <f t="shared" si="123"/>
        <v>19.295646371541402</v>
      </c>
      <c r="T170" s="127">
        <f t="shared" si="123"/>
        <v>18.450612461815723</v>
      </c>
      <c r="U170" s="127">
        <f t="shared" si="123"/>
        <v>17.578923998738873</v>
      </c>
      <c r="V170" s="127">
        <f t="shared" si="123"/>
        <v>15.780781628742504</v>
      </c>
      <c r="W170" s="127">
        <f t="shared" si="123"/>
        <v>14.589171879026239</v>
      </c>
      <c r="X170" s="127">
        <f t="shared" si="123"/>
        <v>11.545391572076127</v>
      </c>
      <c r="Y170" s="127">
        <f t="shared" si="123"/>
        <v>5.5948010719886661</v>
      </c>
      <c r="Z170" s="127">
        <f t="shared" si="123"/>
        <v>2.1641562880251994</v>
      </c>
      <c r="AA170" s="127">
        <f t="shared" si="123"/>
        <v>0.54911428203624468</v>
      </c>
      <c r="AB170" s="127">
        <f t="shared" si="123"/>
        <v>0</v>
      </c>
      <c r="AC170" s="127">
        <f t="shared" si="123"/>
        <v>0</v>
      </c>
      <c r="AD170" s="127">
        <f t="shared" si="123"/>
        <v>0</v>
      </c>
      <c r="AE170" s="127">
        <f t="shared" si="123"/>
        <v>0</v>
      </c>
      <c r="AF170" s="127">
        <f t="shared" si="123"/>
        <v>0</v>
      </c>
      <c r="AG170" s="127">
        <f t="shared" si="123"/>
        <v>0</v>
      </c>
      <c r="AH170" s="127">
        <f t="shared" si="123"/>
        <v>0</v>
      </c>
      <c r="AI170" s="127">
        <f t="shared" si="123"/>
        <v>0</v>
      </c>
      <c r="AJ170" s="127">
        <f t="shared" si="123"/>
        <v>0</v>
      </c>
      <c r="AK170" s="127">
        <f t="shared" si="123"/>
        <v>0</v>
      </c>
      <c r="AL170" s="127">
        <f t="shared" si="123"/>
        <v>0</v>
      </c>
      <c r="AM170" s="127">
        <f t="shared" ref="AM170:BR170" si="124">SUM(AM160:AM169)</f>
        <v>0</v>
      </c>
      <c r="AN170" s="127">
        <f t="shared" si="124"/>
        <v>0</v>
      </c>
      <c r="AO170" s="127">
        <f t="shared" si="124"/>
        <v>0</v>
      </c>
      <c r="AP170" s="127">
        <f t="shared" si="124"/>
        <v>0</v>
      </c>
      <c r="AQ170" s="127">
        <f t="shared" si="124"/>
        <v>0</v>
      </c>
      <c r="AR170" s="127">
        <f t="shared" si="124"/>
        <v>0</v>
      </c>
      <c r="AS170" s="127">
        <f t="shared" si="124"/>
        <v>0</v>
      </c>
      <c r="AT170" s="127">
        <f t="shared" si="124"/>
        <v>0</v>
      </c>
      <c r="AU170" s="127">
        <f t="shared" si="124"/>
        <v>0</v>
      </c>
      <c r="AV170" s="127">
        <f t="shared" si="124"/>
        <v>0</v>
      </c>
      <c r="AW170" s="127">
        <f t="shared" si="124"/>
        <v>0</v>
      </c>
      <c r="AX170" s="127">
        <f t="shared" si="124"/>
        <v>0</v>
      </c>
      <c r="AY170" s="127">
        <f t="shared" si="124"/>
        <v>0</v>
      </c>
      <c r="AZ170" s="127">
        <f t="shared" si="124"/>
        <v>0</v>
      </c>
      <c r="BA170" s="127">
        <f t="shared" si="124"/>
        <v>0</v>
      </c>
      <c r="BB170" s="127">
        <f t="shared" si="124"/>
        <v>0</v>
      </c>
      <c r="BC170" s="127">
        <f t="shared" si="124"/>
        <v>0</v>
      </c>
      <c r="BD170" s="127">
        <f t="shared" si="124"/>
        <v>0</v>
      </c>
    </row>
    <row r="171" spans="1:56" ht="9.75" customHeight="1">
      <c r="C171" s="188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127"/>
      <c r="AO171" s="127"/>
      <c r="AP171" s="127"/>
      <c r="AQ171" s="127"/>
      <c r="AR171" s="127"/>
      <c r="AS171" s="127"/>
      <c r="AT171" s="127"/>
      <c r="AU171" s="127"/>
      <c r="AV171" s="127"/>
      <c r="AW171" s="127"/>
      <c r="AX171" s="127"/>
      <c r="AY171" s="127"/>
      <c r="AZ171" s="127"/>
      <c r="BA171" s="127"/>
      <c r="BB171" s="127"/>
      <c r="BC171" s="127"/>
      <c r="BD171" s="127"/>
    </row>
    <row r="172" spans="1:56" ht="15" customHeight="1">
      <c r="C172" s="152">
        <f>SUM(G172:BD172)</f>
        <v>2984.1760519965687</v>
      </c>
      <c r="D172" s="33" t="s">
        <v>272</v>
      </c>
      <c r="E172" s="128" t="s">
        <v>195</v>
      </c>
      <c r="G172" s="127">
        <f t="shared" ref="G172:AL172" si="125">G114-G156-G170</f>
        <v>107.79000000000002</v>
      </c>
      <c r="H172" s="127">
        <f t="shared" si="125"/>
        <v>189.89205600000003</v>
      </c>
      <c r="I172" s="127">
        <f t="shared" si="125"/>
        <v>82.809926399999966</v>
      </c>
      <c r="J172" s="127">
        <f t="shared" si="125"/>
        <v>309.91259999999988</v>
      </c>
      <c r="K172" s="127">
        <f t="shared" si="125"/>
        <v>294.81373257600001</v>
      </c>
      <c r="L172" s="127">
        <f t="shared" si="125"/>
        <v>347.66238806592003</v>
      </c>
      <c r="M172" s="127">
        <f t="shared" si="125"/>
        <v>410.67480391902723</v>
      </c>
      <c r="N172" s="127">
        <f t="shared" si="125"/>
        <v>296.16397668654326</v>
      </c>
      <c r="O172" s="127">
        <f t="shared" si="125"/>
        <v>63.878494490659882</v>
      </c>
      <c r="P172" s="127">
        <f t="shared" si="125"/>
        <v>89.899173868185443</v>
      </c>
      <c r="Q172" s="127">
        <f t="shared" si="125"/>
        <v>86.538347719570126</v>
      </c>
      <c r="R172" s="127">
        <f t="shared" si="125"/>
        <v>103.16527062455344</v>
      </c>
      <c r="S172" s="127">
        <f t="shared" si="125"/>
        <v>127.77994488446731</v>
      </c>
      <c r="T172" s="127">
        <f t="shared" si="125"/>
        <v>122.50645786160385</v>
      </c>
      <c r="U172" s="127">
        <f t="shared" si="125"/>
        <v>190.84409414440418</v>
      </c>
      <c r="V172" s="127">
        <f t="shared" si="125"/>
        <v>139.21345381767921</v>
      </c>
      <c r="W172" s="127">
        <f t="shared" si="125"/>
        <v>40.484794152080958</v>
      </c>
      <c r="X172" s="127">
        <f t="shared" si="125"/>
        <v>-11.545391572076127</v>
      </c>
      <c r="Y172" s="127">
        <f t="shared" si="125"/>
        <v>-5.5948010719886661</v>
      </c>
      <c r="Z172" s="127">
        <f t="shared" si="125"/>
        <v>-2.1641562880251994</v>
      </c>
      <c r="AA172" s="127">
        <f t="shared" si="125"/>
        <v>-0.54911428203624468</v>
      </c>
      <c r="AB172" s="127">
        <f t="shared" si="125"/>
        <v>0</v>
      </c>
      <c r="AC172" s="127">
        <f t="shared" si="125"/>
        <v>0</v>
      </c>
      <c r="AD172" s="127">
        <f t="shared" si="125"/>
        <v>0</v>
      </c>
      <c r="AE172" s="127">
        <f t="shared" si="125"/>
        <v>0</v>
      </c>
      <c r="AF172" s="127">
        <f t="shared" si="125"/>
        <v>0</v>
      </c>
      <c r="AG172" s="127">
        <f t="shared" si="125"/>
        <v>0</v>
      </c>
      <c r="AH172" s="127">
        <f t="shared" si="125"/>
        <v>0</v>
      </c>
      <c r="AI172" s="127">
        <f t="shared" si="125"/>
        <v>0</v>
      </c>
      <c r="AJ172" s="127">
        <f t="shared" si="125"/>
        <v>0</v>
      </c>
      <c r="AK172" s="127">
        <f t="shared" si="125"/>
        <v>0</v>
      </c>
      <c r="AL172" s="127">
        <f t="shared" si="125"/>
        <v>0</v>
      </c>
      <c r="AM172" s="127">
        <f t="shared" ref="AM172:BD172" si="126">AM114-AM156-AM170</f>
        <v>0</v>
      </c>
      <c r="AN172" s="127">
        <f t="shared" si="126"/>
        <v>0</v>
      </c>
      <c r="AO172" s="127">
        <f t="shared" si="126"/>
        <v>0</v>
      </c>
      <c r="AP172" s="127">
        <f t="shared" si="126"/>
        <v>0</v>
      </c>
      <c r="AQ172" s="127">
        <f t="shared" si="126"/>
        <v>0</v>
      </c>
      <c r="AR172" s="127">
        <f t="shared" si="126"/>
        <v>0</v>
      </c>
      <c r="AS172" s="127">
        <f t="shared" si="126"/>
        <v>0</v>
      </c>
      <c r="AT172" s="127">
        <f t="shared" si="126"/>
        <v>0</v>
      </c>
      <c r="AU172" s="127">
        <f t="shared" si="126"/>
        <v>0</v>
      </c>
      <c r="AV172" s="127">
        <f t="shared" si="126"/>
        <v>0</v>
      </c>
      <c r="AW172" s="127">
        <f t="shared" si="126"/>
        <v>0</v>
      </c>
      <c r="AX172" s="127">
        <f t="shared" si="126"/>
        <v>0</v>
      </c>
      <c r="AY172" s="127">
        <f t="shared" si="126"/>
        <v>0</v>
      </c>
      <c r="AZ172" s="127">
        <f t="shared" si="126"/>
        <v>0</v>
      </c>
      <c r="BA172" s="127">
        <f t="shared" si="126"/>
        <v>0</v>
      </c>
      <c r="BB172" s="127">
        <f t="shared" si="126"/>
        <v>0</v>
      </c>
      <c r="BC172" s="127">
        <f t="shared" si="126"/>
        <v>0</v>
      </c>
      <c r="BD172" s="127">
        <f t="shared" si="126"/>
        <v>0</v>
      </c>
    </row>
    <row r="173" spans="1:56" ht="12.75" customHeight="1">
      <c r="C173" s="188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127"/>
      <c r="AO173" s="127"/>
      <c r="AP173" s="127"/>
      <c r="AQ173" s="127"/>
      <c r="AR173" s="127"/>
      <c r="AS173" s="127"/>
      <c r="AT173" s="127"/>
      <c r="AU173" s="127"/>
      <c r="AV173" s="127"/>
      <c r="AW173" s="127"/>
      <c r="AX173" s="127"/>
      <c r="AY173" s="127"/>
      <c r="AZ173" s="127"/>
      <c r="BA173" s="127"/>
      <c r="BB173" s="127"/>
      <c r="BC173" s="127"/>
      <c r="BD173" s="127"/>
    </row>
    <row r="174" spans="1:56" ht="15" customHeight="1">
      <c r="C174" s="183"/>
      <c r="D174" s="184" t="s">
        <v>273</v>
      </c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  <c r="BC174" s="183"/>
      <c r="BD174" s="183"/>
    </row>
    <row r="175" spans="1:56" ht="15" customHeight="1">
      <c r="C175" s="152">
        <f t="shared" ref="C175:C190" si="127">SUM(G175:BD175)</f>
        <v>7785.0251775194829</v>
      </c>
      <c r="D175" s="125" t="s">
        <v>176</v>
      </c>
      <c r="E175" s="128" t="s">
        <v>195</v>
      </c>
      <c r="G175" s="127">
        <f t="shared" ref="G175:AL175" si="128">G45</f>
        <v>392</v>
      </c>
      <c r="H175" s="127">
        <f t="shared" si="128"/>
        <v>585.88800000000003</v>
      </c>
      <c r="I175" s="127">
        <f t="shared" si="128"/>
        <v>599.2704</v>
      </c>
      <c r="J175" s="127">
        <f t="shared" si="128"/>
        <v>679.17311999999993</v>
      </c>
      <c r="K175" s="127">
        <f t="shared" si="128"/>
        <v>692.75658239999996</v>
      </c>
      <c r="L175" s="127">
        <f t="shared" si="128"/>
        <v>706.61171404800007</v>
      </c>
      <c r="M175" s="127">
        <f t="shared" si="128"/>
        <v>720.74394832896007</v>
      </c>
      <c r="N175" s="127">
        <f t="shared" si="128"/>
        <v>588.12706183643127</v>
      </c>
      <c r="O175" s="127">
        <f t="shared" si="128"/>
        <v>324.31531666142712</v>
      </c>
      <c r="P175" s="127">
        <f t="shared" si="128"/>
        <v>330.80162299465565</v>
      </c>
      <c r="Q175" s="127">
        <f t="shared" si="128"/>
        <v>337.41765545454876</v>
      </c>
      <c r="R175" s="127">
        <f t="shared" si="128"/>
        <v>344.16600856363971</v>
      </c>
      <c r="S175" s="127">
        <f t="shared" si="128"/>
        <v>351.04932873491254</v>
      </c>
      <c r="T175" s="127">
        <f t="shared" si="128"/>
        <v>358.07031530961075</v>
      </c>
      <c r="U175" s="127">
        <f t="shared" si="128"/>
        <v>365.23172161580305</v>
      </c>
      <c r="V175" s="127">
        <f t="shared" si="128"/>
        <v>286.40078239537473</v>
      </c>
      <c r="W175" s="127">
        <f t="shared" si="128"/>
        <v>123.00159917611883</v>
      </c>
      <c r="X175" s="127">
        <f t="shared" si="128"/>
        <v>0</v>
      </c>
      <c r="Y175" s="127">
        <f t="shared" si="128"/>
        <v>0</v>
      </c>
      <c r="Z175" s="127">
        <f t="shared" si="128"/>
        <v>0</v>
      </c>
      <c r="AA175" s="127">
        <f t="shared" si="128"/>
        <v>0</v>
      </c>
      <c r="AB175" s="127">
        <f t="shared" si="128"/>
        <v>0</v>
      </c>
      <c r="AC175" s="127">
        <f t="shared" si="128"/>
        <v>0</v>
      </c>
      <c r="AD175" s="127">
        <f t="shared" si="128"/>
        <v>0</v>
      </c>
      <c r="AE175" s="127">
        <f t="shared" si="128"/>
        <v>0</v>
      </c>
      <c r="AF175" s="127">
        <f t="shared" si="128"/>
        <v>0</v>
      </c>
      <c r="AG175" s="127">
        <f t="shared" si="128"/>
        <v>0</v>
      </c>
      <c r="AH175" s="127">
        <f t="shared" si="128"/>
        <v>0</v>
      </c>
      <c r="AI175" s="127">
        <f t="shared" si="128"/>
        <v>0</v>
      </c>
      <c r="AJ175" s="127">
        <f t="shared" si="128"/>
        <v>0</v>
      </c>
      <c r="AK175" s="127">
        <f t="shared" si="128"/>
        <v>0</v>
      </c>
      <c r="AL175" s="127">
        <f t="shared" si="128"/>
        <v>0</v>
      </c>
      <c r="AM175" s="127">
        <f t="shared" ref="AM175:BD175" si="129">AM45</f>
        <v>0</v>
      </c>
      <c r="AN175" s="127">
        <f t="shared" si="129"/>
        <v>0</v>
      </c>
      <c r="AO175" s="127">
        <f t="shared" si="129"/>
        <v>0</v>
      </c>
      <c r="AP175" s="127">
        <f t="shared" si="129"/>
        <v>0</v>
      </c>
      <c r="AQ175" s="127">
        <f t="shared" si="129"/>
        <v>0</v>
      </c>
      <c r="AR175" s="127">
        <f t="shared" si="129"/>
        <v>0</v>
      </c>
      <c r="AS175" s="127">
        <f t="shared" si="129"/>
        <v>0</v>
      </c>
      <c r="AT175" s="127">
        <f t="shared" si="129"/>
        <v>0</v>
      </c>
      <c r="AU175" s="127">
        <f t="shared" si="129"/>
        <v>0</v>
      </c>
      <c r="AV175" s="127">
        <f t="shared" si="129"/>
        <v>0</v>
      </c>
      <c r="AW175" s="127">
        <f t="shared" si="129"/>
        <v>0</v>
      </c>
      <c r="AX175" s="127">
        <f t="shared" si="129"/>
        <v>0</v>
      </c>
      <c r="AY175" s="127">
        <f t="shared" si="129"/>
        <v>0</v>
      </c>
      <c r="AZ175" s="127">
        <f t="shared" si="129"/>
        <v>0</v>
      </c>
      <c r="BA175" s="127">
        <f t="shared" si="129"/>
        <v>0</v>
      </c>
      <c r="BB175" s="127">
        <f t="shared" si="129"/>
        <v>0</v>
      </c>
      <c r="BC175" s="127">
        <f t="shared" si="129"/>
        <v>0</v>
      </c>
      <c r="BD175" s="127">
        <f t="shared" si="129"/>
        <v>0</v>
      </c>
    </row>
    <row r="176" spans="1:56" ht="15" customHeight="1">
      <c r="C176" s="152">
        <f t="shared" si="127"/>
        <v>389.25125887597414</v>
      </c>
      <c r="D176" s="125" t="s">
        <v>66</v>
      </c>
      <c r="E176" s="128" t="s">
        <v>195</v>
      </c>
      <c r="G176" s="127">
        <f t="shared" ref="G176:AL176" si="130">G86</f>
        <v>19.600000000000001</v>
      </c>
      <c r="H176" s="127">
        <f t="shared" si="130"/>
        <v>29.294400000000003</v>
      </c>
      <c r="I176" s="127">
        <f t="shared" si="130"/>
        <v>29.963520000000003</v>
      </c>
      <c r="J176" s="127">
        <f t="shared" si="130"/>
        <v>33.958655999999998</v>
      </c>
      <c r="K176" s="127">
        <f t="shared" si="130"/>
        <v>34.637829119999999</v>
      </c>
      <c r="L176" s="127">
        <f t="shared" si="130"/>
        <v>35.330585702400008</v>
      </c>
      <c r="M176" s="127">
        <f t="shared" si="130"/>
        <v>36.037197416448002</v>
      </c>
      <c r="N176" s="127">
        <f t="shared" si="130"/>
        <v>29.406353091821565</v>
      </c>
      <c r="O176" s="127">
        <f t="shared" si="130"/>
        <v>16.215765833071355</v>
      </c>
      <c r="P176" s="127">
        <f t="shared" si="130"/>
        <v>16.540081149732782</v>
      </c>
      <c r="Q176" s="127">
        <f t="shared" si="130"/>
        <v>16.870882772727438</v>
      </c>
      <c r="R176" s="127">
        <f t="shared" si="130"/>
        <v>17.208300428181985</v>
      </c>
      <c r="S176" s="127">
        <f t="shared" si="130"/>
        <v>17.552466436745629</v>
      </c>
      <c r="T176" s="127">
        <f t="shared" si="130"/>
        <v>17.903515765480538</v>
      </c>
      <c r="U176" s="127">
        <f t="shared" si="130"/>
        <v>18.261586080790153</v>
      </c>
      <c r="V176" s="127">
        <f t="shared" si="130"/>
        <v>14.320039119768737</v>
      </c>
      <c r="W176" s="127">
        <f t="shared" si="130"/>
        <v>6.150079958805942</v>
      </c>
      <c r="X176" s="127">
        <f t="shared" si="130"/>
        <v>0</v>
      </c>
      <c r="Y176" s="127">
        <f t="shared" si="130"/>
        <v>0</v>
      </c>
      <c r="Z176" s="127">
        <f t="shared" si="130"/>
        <v>0</v>
      </c>
      <c r="AA176" s="127">
        <f t="shared" si="130"/>
        <v>0</v>
      </c>
      <c r="AB176" s="127">
        <f t="shared" si="130"/>
        <v>0</v>
      </c>
      <c r="AC176" s="127">
        <f t="shared" si="130"/>
        <v>0</v>
      </c>
      <c r="AD176" s="127">
        <f t="shared" si="130"/>
        <v>0</v>
      </c>
      <c r="AE176" s="127">
        <f t="shared" si="130"/>
        <v>0</v>
      </c>
      <c r="AF176" s="127">
        <f t="shared" si="130"/>
        <v>0</v>
      </c>
      <c r="AG176" s="127">
        <f t="shared" si="130"/>
        <v>0</v>
      </c>
      <c r="AH176" s="127">
        <f t="shared" si="130"/>
        <v>0</v>
      </c>
      <c r="AI176" s="127">
        <f t="shared" si="130"/>
        <v>0</v>
      </c>
      <c r="AJ176" s="127">
        <f t="shared" si="130"/>
        <v>0</v>
      </c>
      <c r="AK176" s="127">
        <f t="shared" si="130"/>
        <v>0</v>
      </c>
      <c r="AL176" s="127">
        <f t="shared" si="130"/>
        <v>0</v>
      </c>
      <c r="AM176" s="127">
        <f t="shared" ref="AM176:BD176" si="131">AM86</f>
        <v>0</v>
      </c>
      <c r="AN176" s="127">
        <f t="shared" si="131"/>
        <v>0</v>
      </c>
      <c r="AO176" s="127">
        <f t="shared" si="131"/>
        <v>0</v>
      </c>
      <c r="AP176" s="127">
        <f t="shared" si="131"/>
        <v>0</v>
      </c>
      <c r="AQ176" s="127">
        <f t="shared" si="131"/>
        <v>0</v>
      </c>
      <c r="AR176" s="127">
        <f t="shared" si="131"/>
        <v>0</v>
      </c>
      <c r="AS176" s="127">
        <f t="shared" si="131"/>
        <v>0</v>
      </c>
      <c r="AT176" s="127">
        <f t="shared" si="131"/>
        <v>0</v>
      </c>
      <c r="AU176" s="127">
        <f t="shared" si="131"/>
        <v>0</v>
      </c>
      <c r="AV176" s="127">
        <f t="shared" si="131"/>
        <v>0</v>
      </c>
      <c r="AW176" s="127">
        <f t="shared" si="131"/>
        <v>0</v>
      </c>
      <c r="AX176" s="127">
        <f t="shared" si="131"/>
        <v>0</v>
      </c>
      <c r="AY176" s="127">
        <f t="shared" si="131"/>
        <v>0</v>
      </c>
      <c r="AZ176" s="127">
        <f t="shared" si="131"/>
        <v>0</v>
      </c>
      <c r="BA176" s="127">
        <f t="shared" si="131"/>
        <v>0</v>
      </c>
      <c r="BB176" s="127">
        <f t="shared" si="131"/>
        <v>0</v>
      </c>
      <c r="BC176" s="127">
        <f t="shared" si="131"/>
        <v>0</v>
      </c>
      <c r="BD176" s="127">
        <f t="shared" si="131"/>
        <v>0</v>
      </c>
    </row>
    <row r="177" spans="1:56" ht="15" customHeight="1">
      <c r="C177" s="152">
        <f t="shared" si="127"/>
        <v>0</v>
      </c>
      <c r="D177" s="125" t="s">
        <v>221</v>
      </c>
      <c r="E177" s="128" t="s">
        <v>195</v>
      </c>
      <c r="G177" s="127">
        <f t="shared" ref="G177:AL177" si="132">G90</f>
        <v>0</v>
      </c>
      <c r="H177" s="127">
        <f t="shared" si="132"/>
        <v>0</v>
      </c>
      <c r="I177" s="127">
        <f t="shared" si="132"/>
        <v>0</v>
      </c>
      <c r="J177" s="127">
        <f t="shared" si="132"/>
        <v>0</v>
      </c>
      <c r="K177" s="127">
        <f t="shared" si="132"/>
        <v>0</v>
      </c>
      <c r="L177" s="127">
        <f t="shared" si="132"/>
        <v>0</v>
      </c>
      <c r="M177" s="127">
        <f t="shared" si="132"/>
        <v>0</v>
      </c>
      <c r="N177" s="127">
        <f t="shared" si="132"/>
        <v>0</v>
      </c>
      <c r="O177" s="127">
        <f t="shared" si="132"/>
        <v>0</v>
      </c>
      <c r="P177" s="127">
        <f t="shared" si="132"/>
        <v>0</v>
      </c>
      <c r="Q177" s="127">
        <f t="shared" si="132"/>
        <v>0</v>
      </c>
      <c r="R177" s="127">
        <f t="shared" si="132"/>
        <v>0</v>
      </c>
      <c r="S177" s="127">
        <f t="shared" si="132"/>
        <v>0</v>
      </c>
      <c r="T177" s="127">
        <f t="shared" si="132"/>
        <v>0</v>
      </c>
      <c r="U177" s="127">
        <f t="shared" si="132"/>
        <v>0</v>
      </c>
      <c r="V177" s="127">
        <f t="shared" si="132"/>
        <v>0</v>
      </c>
      <c r="W177" s="127">
        <f t="shared" si="132"/>
        <v>0</v>
      </c>
      <c r="X177" s="127">
        <f t="shared" si="132"/>
        <v>0</v>
      </c>
      <c r="Y177" s="127">
        <f t="shared" si="132"/>
        <v>0</v>
      </c>
      <c r="Z177" s="127">
        <f t="shared" si="132"/>
        <v>0</v>
      </c>
      <c r="AA177" s="127">
        <f t="shared" si="132"/>
        <v>0</v>
      </c>
      <c r="AB177" s="127">
        <f t="shared" si="132"/>
        <v>0</v>
      </c>
      <c r="AC177" s="127">
        <f t="shared" si="132"/>
        <v>0</v>
      </c>
      <c r="AD177" s="127">
        <f t="shared" si="132"/>
        <v>0</v>
      </c>
      <c r="AE177" s="127">
        <f t="shared" si="132"/>
        <v>0</v>
      </c>
      <c r="AF177" s="127">
        <f t="shared" si="132"/>
        <v>0</v>
      </c>
      <c r="AG177" s="127">
        <f t="shared" si="132"/>
        <v>0</v>
      </c>
      <c r="AH177" s="127">
        <f t="shared" si="132"/>
        <v>0</v>
      </c>
      <c r="AI177" s="127">
        <f t="shared" si="132"/>
        <v>0</v>
      </c>
      <c r="AJ177" s="127">
        <f t="shared" si="132"/>
        <v>0</v>
      </c>
      <c r="AK177" s="127">
        <f t="shared" si="132"/>
        <v>0</v>
      </c>
      <c r="AL177" s="127">
        <f t="shared" si="132"/>
        <v>0</v>
      </c>
      <c r="AM177" s="127">
        <f t="shared" ref="AM177:BD177" si="133">AM90</f>
        <v>0</v>
      </c>
      <c r="AN177" s="127">
        <f t="shared" si="133"/>
        <v>0</v>
      </c>
      <c r="AO177" s="127">
        <f t="shared" si="133"/>
        <v>0</v>
      </c>
      <c r="AP177" s="127">
        <f t="shared" si="133"/>
        <v>0</v>
      </c>
      <c r="AQ177" s="127">
        <f t="shared" si="133"/>
        <v>0</v>
      </c>
      <c r="AR177" s="127">
        <f t="shared" si="133"/>
        <v>0</v>
      </c>
      <c r="AS177" s="127">
        <f t="shared" si="133"/>
        <v>0</v>
      </c>
      <c r="AT177" s="127">
        <f t="shared" si="133"/>
        <v>0</v>
      </c>
      <c r="AU177" s="127">
        <f t="shared" si="133"/>
        <v>0</v>
      </c>
      <c r="AV177" s="127">
        <f t="shared" si="133"/>
        <v>0</v>
      </c>
      <c r="AW177" s="127">
        <f t="shared" si="133"/>
        <v>0</v>
      </c>
      <c r="AX177" s="127">
        <f t="shared" si="133"/>
        <v>0</v>
      </c>
      <c r="AY177" s="127">
        <f t="shared" si="133"/>
        <v>0</v>
      </c>
      <c r="AZ177" s="127">
        <f t="shared" si="133"/>
        <v>0</v>
      </c>
      <c r="BA177" s="127">
        <f t="shared" si="133"/>
        <v>0</v>
      </c>
      <c r="BB177" s="127">
        <f t="shared" si="133"/>
        <v>0</v>
      </c>
      <c r="BC177" s="127">
        <f t="shared" si="133"/>
        <v>0</v>
      </c>
      <c r="BD177" s="127">
        <f t="shared" si="133"/>
        <v>0</v>
      </c>
    </row>
    <row r="178" spans="1:56" ht="15" customHeight="1">
      <c r="C178" s="152">
        <f t="shared" si="127"/>
        <v>0</v>
      </c>
      <c r="D178" s="189" t="s">
        <v>115</v>
      </c>
      <c r="E178" s="128" t="s">
        <v>195</v>
      </c>
      <c r="G178" s="127">
        <f t="shared" ref="G178:AL178" si="134">G105</f>
        <v>0</v>
      </c>
      <c r="H178" s="127">
        <f t="shared" si="134"/>
        <v>0</v>
      </c>
      <c r="I178" s="127">
        <f t="shared" si="134"/>
        <v>0</v>
      </c>
      <c r="J178" s="127">
        <f t="shared" si="134"/>
        <v>0</v>
      </c>
      <c r="K178" s="127">
        <f t="shared" si="134"/>
        <v>0</v>
      </c>
      <c r="L178" s="127">
        <f t="shared" si="134"/>
        <v>0</v>
      </c>
      <c r="M178" s="127">
        <f t="shared" si="134"/>
        <v>0</v>
      </c>
      <c r="N178" s="127">
        <f t="shared" si="134"/>
        <v>0</v>
      </c>
      <c r="O178" s="127">
        <f t="shared" si="134"/>
        <v>0</v>
      </c>
      <c r="P178" s="127">
        <f t="shared" si="134"/>
        <v>0</v>
      </c>
      <c r="Q178" s="127">
        <f t="shared" si="134"/>
        <v>0</v>
      </c>
      <c r="R178" s="127">
        <f t="shared" si="134"/>
        <v>0</v>
      </c>
      <c r="S178" s="127">
        <f t="shared" si="134"/>
        <v>0</v>
      </c>
      <c r="T178" s="127">
        <f t="shared" si="134"/>
        <v>0</v>
      </c>
      <c r="U178" s="127">
        <f t="shared" si="134"/>
        <v>0</v>
      </c>
      <c r="V178" s="127">
        <f t="shared" si="134"/>
        <v>0</v>
      </c>
      <c r="W178" s="127">
        <f t="shared" si="134"/>
        <v>0</v>
      </c>
      <c r="X178" s="127">
        <f t="shared" si="134"/>
        <v>0</v>
      </c>
      <c r="Y178" s="127">
        <f t="shared" si="134"/>
        <v>0</v>
      </c>
      <c r="Z178" s="127">
        <f t="shared" si="134"/>
        <v>0</v>
      </c>
      <c r="AA178" s="127">
        <f t="shared" si="134"/>
        <v>0</v>
      </c>
      <c r="AB178" s="127">
        <f t="shared" si="134"/>
        <v>0</v>
      </c>
      <c r="AC178" s="127">
        <f t="shared" si="134"/>
        <v>0</v>
      </c>
      <c r="AD178" s="127">
        <f t="shared" si="134"/>
        <v>0</v>
      </c>
      <c r="AE178" s="127">
        <f t="shared" si="134"/>
        <v>0</v>
      </c>
      <c r="AF178" s="127">
        <f t="shared" si="134"/>
        <v>0</v>
      </c>
      <c r="AG178" s="127">
        <f t="shared" si="134"/>
        <v>0</v>
      </c>
      <c r="AH178" s="127">
        <f t="shared" si="134"/>
        <v>0</v>
      </c>
      <c r="AI178" s="127">
        <f t="shared" si="134"/>
        <v>0</v>
      </c>
      <c r="AJ178" s="127">
        <f t="shared" si="134"/>
        <v>0</v>
      </c>
      <c r="AK178" s="127">
        <f t="shared" si="134"/>
        <v>0</v>
      </c>
      <c r="AL178" s="127">
        <f t="shared" si="134"/>
        <v>0</v>
      </c>
      <c r="AM178" s="127">
        <f t="shared" ref="AM178:BD178" si="135">AM105</f>
        <v>0</v>
      </c>
      <c r="AN178" s="127">
        <f t="shared" si="135"/>
        <v>0</v>
      </c>
      <c r="AO178" s="127">
        <f t="shared" si="135"/>
        <v>0</v>
      </c>
      <c r="AP178" s="127">
        <f t="shared" si="135"/>
        <v>0</v>
      </c>
      <c r="AQ178" s="127">
        <f t="shared" si="135"/>
        <v>0</v>
      </c>
      <c r="AR178" s="127">
        <f t="shared" si="135"/>
        <v>0</v>
      </c>
      <c r="AS178" s="127">
        <f t="shared" si="135"/>
        <v>0</v>
      </c>
      <c r="AT178" s="127">
        <f t="shared" si="135"/>
        <v>0</v>
      </c>
      <c r="AU178" s="127">
        <f t="shared" si="135"/>
        <v>0</v>
      </c>
      <c r="AV178" s="127">
        <f t="shared" si="135"/>
        <v>0</v>
      </c>
      <c r="AW178" s="127">
        <f t="shared" si="135"/>
        <v>0</v>
      </c>
      <c r="AX178" s="127">
        <f t="shared" si="135"/>
        <v>0</v>
      </c>
      <c r="AY178" s="127">
        <f t="shared" si="135"/>
        <v>0</v>
      </c>
      <c r="AZ178" s="127">
        <f t="shared" si="135"/>
        <v>0</v>
      </c>
      <c r="BA178" s="127">
        <f t="shared" si="135"/>
        <v>0</v>
      </c>
      <c r="BB178" s="127">
        <f t="shared" si="135"/>
        <v>0</v>
      </c>
      <c r="BC178" s="127">
        <f t="shared" si="135"/>
        <v>0</v>
      </c>
      <c r="BD178" s="127">
        <f t="shared" si="135"/>
        <v>0</v>
      </c>
    </row>
    <row r="179" spans="1:56" ht="15" customHeight="1">
      <c r="C179" s="152">
        <f t="shared" si="127"/>
        <v>0</v>
      </c>
      <c r="D179" s="125" t="s">
        <v>64</v>
      </c>
      <c r="E179" s="128" t="s">
        <v>195</v>
      </c>
      <c r="G179" s="127">
        <f t="shared" ref="G179:AL179" si="136">G111</f>
        <v>0</v>
      </c>
      <c r="H179" s="127">
        <f t="shared" si="136"/>
        <v>0</v>
      </c>
      <c r="I179" s="127">
        <f t="shared" si="136"/>
        <v>0</v>
      </c>
      <c r="J179" s="127">
        <f t="shared" si="136"/>
        <v>0</v>
      </c>
      <c r="K179" s="127">
        <f t="shared" si="136"/>
        <v>0</v>
      </c>
      <c r="L179" s="127">
        <f t="shared" si="136"/>
        <v>0</v>
      </c>
      <c r="M179" s="127">
        <f t="shared" si="136"/>
        <v>0</v>
      </c>
      <c r="N179" s="127">
        <f t="shared" si="136"/>
        <v>0</v>
      </c>
      <c r="O179" s="127">
        <f t="shared" si="136"/>
        <v>0</v>
      </c>
      <c r="P179" s="127">
        <f t="shared" si="136"/>
        <v>0</v>
      </c>
      <c r="Q179" s="127">
        <f t="shared" si="136"/>
        <v>0</v>
      </c>
      <c r="R179" s="127">
        <f t="shared" si="136"/>
        <v>0</v>
      </c>
      <c r="S179" s="127">
        <f t="shared" si="136"/>
        <v>0</v>
      </c>
      <c r="T179" s="127">
        <f t="shared" si="136"/>
        <v>0</v>
      </c>
      <c r="U179" s="127">
        <f t="shared" si="136"/>
        <v>0</v>
      </c>
      <c r="V179" s="127">
        <f t="shared" si="136"/>
        <v>0</v>
      </c>
      <c r="W179" s="127">
        <f t="shared" si="136"/>
        <v>0</v>
      </c>
      <c r="X179" s="127">
        <f t="shared" si="136"/>
        <v>0</v>
      </c>
      <c r="Y179" s="127">
        <f t="shared" si="136"/>
        <v>0</v>
      </c>
      <c r="Z179" s="127">
        <f t="shared" si="136"/>
        <v>0</v>
      </c>
      <c r="AA179" s="127">
        <f t="shared" si="136"/>
        <v>0</v>
      </c>
      <c r="AB179" s="127">
        <f t="shared" si="136"/>
        <v>0</v>
      </c>
      <c r="AC179" s="127">
        <f t="shared" si="136"/>
        <v>0</v>
      </c>
      <c r="AD179" s="127">
        <f t="shared" si="136"/>
        <v>0</v>
      </c>
      <c r="AE179" s="127">
        <f t="shared" si="136"/>
        <v>0</v>
      </c>
      <c r="AF179" s="127">
        <f t="shared" si="136"/>
        <v>0</v>
      </c>
      <c r="AG179" s="127">
        <f t="shared" si="136"/>
        <v>0</v>
      </c>
      <c r="AH179" s="127">
        <f t="shared" si="136"/>
        <v>0</v>
      </c>
      <c r="AI179" s="127">
        <f t="shared" si="136"/>
        <v>0</v>
      </c>
      <c r="AJ179" s="127">
        <f t="shared" si="136"/>
        <v>0</v>
      </c>
      <c r="AK179" s="127">
        <f t="shared" si="136"/>
        <v>0</v>
      </c>
      <c r="AL179" s="127">
        <f t="shared" si="136"/>
        <v>0</v>
      </c>
      <c r="AM179" s="127">
        <f t="shared" ref="AM179:BD179" si="137">AM111</f>
        <v>0</v>
      </c>
      <c r="AN179" s="127">
        <f t="shared" si="137"/>
        <v>0</v>
      </c>
      <c r="AO179" s="127">
        <f t="shared" si="137"/>
        <v>0</v>
      </c>
      <c r="AP179" s="127">
        <f t="shared" si="137"/>
        <v>0</v>
      </c>
      <c r="AQ179" s="127">
        <f t="shared" si="137"/>
        <v>0</v>
      </c>
      <c r="AR179" s="127">
        <f t="shared" si="137"/>
        <v>0</v>
      </c>
      <c r="AS179" s="127">
        <f t="shared" si="137"/>
        <v>0</v>
      </c>
      <c r="AT179" s="127">
        <f t="shared" si="137"/>
        <v>0</v>
      </c>
      <c r="AU179" s="127">
        <f t="shared" si="137"/>
        <v>0</v>
      </c>
      <c r="AV179" s="127">
        <f t="shared" si="137"/>
        <v>0</v>
      </c>
      <c r="AW179" s="127">
        <f t="shared" si="137"/>
        <v>0</v>
      </c>
      <c r="AX179" s="127">
        <f t="shared" si="137"/>
        <v>0</v>
      </c>
      <c r="AY179" s="127">
        <f t="shared" si="137"/>
        <v>0</v>
      </c>
      <c r="AZ179" s="127">
        <f t="shared" si="137"/>
        <v>0</v>
      </c>
      <c r="BA179" s="127">
        <f t="shared" si="137"/>
        <v>0</v>
      </c>
      <c r="BB179" s="127">
        <f t="shared" si="137"/>
        <v>0</v>
      </c>
      <c r="BC179" s="127">
        <f t="shared" si="137"/>
        <v>0</v>
      </c>
      <c r="BD179" s="127">
        <f t="shared" si="137"/>
        <v>0</v>
      </c>
    </row>
    <row r="180" spans="1:56" ht="15" customHeight="1">
      <c r="C180" s="152">
        <f t="shared" si="127"/>
        <v>0</v>
      </c>
      <c r="D180" s="55" t="s">
        <v>155</v>
      </c>
      <c r="E180" s="128" t="s">
        <v>195</v>
      </c>
      <c r="G180" s="127">
        <f t="shared" ref="G180:AL180" si="138">G153</f>
        <v>0</v>
      </c>
      <c r="H180" s="127">
        <f t="shared" si="138"/>
        <v>0</v>
      </c>
      <c r="I180" s="127">
        <f t="shared" si="138"/>
        <v>0</v>
      </c>
      <c r="J180" s="127">
        <f t="shared" si="138"/>
        <v>0</v>
      </c>
      <c r="K180" s="127">
        <f t="shared" si="138"/>
        <v>0</v>
      </c>
      <c r="L180" s="127">
        <f t="shared" si="138"/>
        <v>0</v>
      </c>
      <c r="M180" s="127">
        <f t="shared" si="138"/>
        <v>0</v>
      </c>
      <c r="N180" s="127">
        <f t="shared" si="138"/>
        <v>0</v>
      </c>
      <c r="O180" s="127">
        <f t="shared" si="138"/>
        <v>0</v>
      </c>
      <c r="P180" s="127">
        <f t="shared" si="138"/>
        <v>0</v>
      </c>
      <c r="Q180" s="127">
        <f t="shared" si="138"/>
        <v>0</v>
      </c>
      <c r="R180" s="127">
        <f t="shared" si="138"/>
        <v>0</v>
      </c>
      <c r="S180" s="127">
        <f t="shared" si="138"/>
        <v>0</v>
      </c>
      <c r="T180" s="127">
        <f t="shared" si="138"/>
        <v>0</v>
      </c>
      <c r="U180" s="127">
        <f t="shared" si="138"/>
        <v>0</v>
      </c>
      <c r="V180" s="127">
        <f t="shared" si="138"/>
        <v>0</v>
      </c>
      <c r="W180" s="127">
        <f t="shared" si="138"/>
        <v>0</v>
      </c>
      <c r="X180" s="127">
        <f t="shared" si="138"/>
        <v>0</v>
      </c>
      <c r="Y180" s="127">
        <f t="shared" si="138"/>
        <v>0</v>
      </c>
      <c r="Z180" s="127">
        <f t="shared" si="138"/>
        <v>0</v>
      </c>
      <c r="AA180" s="127">
        <f t="shared" si="138"/>
        <v>0</v>
      </c>
      <c r="AB180" s="127">
        <f t="shared" si="138"/>
        <v>0</v>
      </c>
      <c r="AC180" s="127">
        <f t="shared" si="138"/>
        <v>0</v>
      </c>
      <c r="AD180" s="127">
        <f t="shared" si="138"/>
        <v>0</v>
      </c>
      <c r="AE180" s="127">
        <f t="shared" si="138"/>
        <v>0</v>
      </c>
      <c r="AF180" s="127">
        <f t="shared" si="138"/>
        <v>0</v>
      </c>
      <c r="AG180" s="127">
        <f t="shared" si="138"/>
        <v>0</v>
      </c>
      <c r="AH180" s="127">
        <f t="shared" si="138"/>
        <v>0</v>
      </c>
      <c r="AI180" s="127">
        <f t="shared" si="138"/>
        <v>0</v>
      </c>
      <c r="AJ180" s="127">
        <f t="shared" si="138"/>
        <v>0</v>
      </c>
      <c r="AK180" s="127">
        <f t="shared" si="138"/>
        <v>0</v>
      </c>
      <c r="AL180" s="127">
        <f t="shared" si="138"/>
        <v>0</v>
      </c>
      <c r="AM180" s="127">
        <f t="shared" ref="AM180:BD180" si="139">AM153</f>
        <v>0</v>
      </c>
      <c r="AN180" s="127">
        <f t="shared" si="139"/>
        <v>0</v>
      </c>
      <c r="AO180" s="127">
        <f t="shared" si="139"/>
        <v>0</v>
      </c>
      <c r="AP180" s="127">
        <f t="shared" si="139"/>
        <v>0</v>
      </c>
      <c r="AQ180" s="127">
        <f t="shared" si="139"/>
        <v>0</v>
      </c>
      <c r="AR180" s="127">
        <f t="shared" si="139"/>
        <v>0</v>
      </c>
      <c r="AS180" s="127">
        <f t="shared" si="139"/>
        <v>0</v>
      </c>
      <c r="AT180" s="127">
        <f t="shared" si="139"/>
        <v>0</v>
      </c>
      <c r="AU180" s="127">
        <f t="shared" si="139"/>
        <v>0</v>
      </c>
      <c r="AV180" s="127">
        <f t="shared" si="139"/>
        <v>0</v>
      </c>
      <c r="AW180" s="127">
        <f t="shared" si="139"/>
        <v>0</v>
      </c>
      <c r="AX180" s="127">
        <f t="shared" si="139"/>
        <v>0</v>
      </c>
      <c r="AY180" s="127">
        <f t="shared" si="139"/>
        <v>0</v>
      </c>
      <c r="AZ180" s="127">
        <f t="shared" si="139"/>
        <v>0</v>
      </c>
      <c r="BA180" s="127">
        <f t="shared" si="139"/>
        <v>0</v>
      </c>
      <c r="BB180" s="127">
        <f t="shared" si="139"/>
        <v>0</v>
      </c>
      <c r="BC180" s="127">
        <f t="shared" si="139"/>
        <v>0</v>
      </c>
      <c r="BD180" s="127">
        <f t="shared" si="139"/>
        <v>0</v>
      </c>
    </row>
    <row r="181" spans="1:56" ht="15" customHeight="1">
      <c r="C181" s="152">
        <f t="shared" si="127"/>
        <v>0</v>
      </c>
      <c r="D181" s="55" t="s">
        <v>156</v>
      </c>
      <c r="E181" s="128" t="s">
        <v>195</v>
      </c>
      <c r="G181" s="127">
        <f t="shared" ref="G181:AL181" si="140">G156</f>
        <v>0</v>
      </c>
      <c r="H181" s="127">
        <f t="shared" si="140"/>
        <v>0</v>
      </c>
      <c r="I181" s="127">
        <f t="shared" si="140"/>
        <v>0</v>
      </c>
      <c r="J181" s="127">
        <f t="shared" si="140"/>
        <v>0</v>
      </c>
      <c r="K181" s="127">
        <f t="shared" si="140"/>
        <v>0</v>
      </c>
      <c r="L181" s="127">
        <f t="shared" si="140"/>
        <v>0</v>
      </c>
      <c r="M181" s="127">
        <f t="shared" si="140"/>
        <v>0</v>
      </c>
      <c r="N181" s="127">
        <f t="shared" si="140"/>
        <v>0</v>
      </c>
      <c r="O181" s="127">
        <f t="shared" si="140"/>
        <v>0</v>
      </c>
      <c r="P181" s="127">
        <f t="shared" si="140"/>
        <v>0</v>
      </c>
      <c r="Q181" s="127">
        <f t="shared" si="140"/>
        <v>0</v>
      </c>
      <c r="R181" s="127">
        <f t="shared" si="140"/>
        <v>0</v>
      </c>
      <c r="S181" s="127">
        <f t="shared" si="140"/>
        <v>0</v>
      </c>
      <c r="T181" s="127">
        <f t="shared" si="140"/>
        <v>0</v>
      </c>
      <c r="U181" s="127">
        <f t="shared" si="140"/>
        <v>0</v>
      </c>
      <c r="V181" s="127">
        <f t="shared" si="140"/>
        <v>0</v>
      </c>
      <c r="W181" s="127">
        <f t="shared" si="140"/>
        <v>0</v>
      </c>
      <c r="X181" s="127">
        <f t="shared" si="140"/>
        <v>0</v>
      </c>
      <c r="Y181" s="127">
        <f t="shared" si="140"/>
        <v>0</v>
      </c>
      <c r="Z181" s="127">
        <f t="shared" si="140"/>
        <v>0</v>
      </c>
      <c r="AA181" s="127">
        <f t="shared" si="140"/>
        <v>0</v>
      </c>
      <c r="AB181" s="127">
        <f t="shared" si="140"/>
        <v>0</v>
      </c>
      <c r="AC181" s="127">
        <f t="shared" si="140"/>
        <v>0</v>
      </c>
      <c r="AD181" s="127">
        <f t="shared" si="140"/>
        <v>0</v>
      </c>
      <c r="AE181" s="127">
        <f t="shared" si="140"/>
        <v>0</v>
      </c>
      <c r="AF181" s="127">
        <f t="shared" si="140"/>
        <v>0</v>
      </c>
      <c r="AG181" s="127">
        <f t="shared" si="140"/>
        <v>0</v>
      </c>
      <c r="AH181" s="127">
        <f t="shared" si="140"/>
        <v>0</v>
      </c>
      <c r="AI181" s="127">
        <f t="shared" si="140"/>
        <v>0</v>
      </c>
      <c r="AJ181" s="127">
        <f t="shared" si="140"/>
        <v>0</v>
      </c>
      <c r="AK181" s="127">
        <f t="shared" si="140"/>
        <v>0</v>
      </c>
      <c r="AL181" s="127">
        <f t="shared" si="140"/>
        <v>0</v>
      </c>
      <c r="AM181" s="127">
        <f t="shared" ref="AM181:BD181" si="141">AM156</f>
        <v>0</v>
      </c>
      <c r="AN181" s="127">
        <f t="shared" si="141"/>
        <v>0</v>
      </c>
      <c r="AO181" s="127">
        <f t="shared" si="141"/>
        <v>0</v>
      </c>
      <c r="AP181" s="127">
        <f t="shared" si="141"/>
        <v>0</v>
      </c>
      <c r="AQ181" s="127">
        <f t="shared" si="141"/>
        <v>0</v>
      </c>
      <c r="AR181" s="127">
        <f t="shared" si="141"/>
        <v>0</v>
      </c>
      <c r="AS181" s="127">
        <f t="shared" si="141"/>
        <v>0</v>
      </c>
      <c r="AT181" s="127">
        <f t="shared" si="141"/>
        <v>0</v>
      </c>
      <c r="AU181" s="127">
        <f t="shared" si="141"/>
        <v>0</v>
      </c>
      <c r="AV181" s="127">
        <f t="shared" si="141"/>
        <v>0</v>
      </c>
      <c r="AW181" s="127">
        <f t="shared" si="141"/>
        <v>0</v>
      </c>
      <c r="AX181" s="127">
        <f t="shared" si="141"/>
        <v>0</v>
      </c>
      <c r="AY181" s="127">
        <f t="shared" si="141"/>
        <v>0</v>
      </c>
      <c r="AZ181" s="127">
        <f t="shared" si="141"/>
        <v>0</v>
      </c>
      <c r="BA181" s="127">
        <f t="shared" si="141"/>
        <v>0</v>
      </c>
      <c r="BB181" s="127">
        <f t="shared" si="141"/>
        <v>0</v>
      </c>
      <c r="BC181" s="127">
        <f t="shared" si="141"/>
        <v>0</v>
      </c>
      <c r="BD181" s="127">
        <f t="shared" si="141"/>
        <v>0</v>
      </c>
    </row>
    <row r="182" spans="1:56" ht="15" customHeight="1">
      <c r="C182" s="152">
        <f t="shared" si="127"/>
        <v>712.55775565316867</v>
      </c>
      <c r="D182" s="55" t="s">
        <v>259</v>
      </c>
      <c r="E182" s="128" t="s">
        <v>195</v>
      </c>
      <c r="G182" s="127">
        <f t="shared" ref="G182:AL182" si="142">G170</f>
        <v>15.600000000000001</v>
      </c>
      <c r="H182" s="127">
        <f t="shared" si="142"/>
        <v>45.384000000000007</v>
      </c>
      <c r="I182" s="127">
        <f t="shared" si="142"/>
        <v>88.040400000000005</v>
      </c>
      <c r="J182" s="127">
        <f t="shared" si="142"/>
        <v>93.346440000000001</v>
      </c>
      <c r="K182" s="127">
        <f t="shared" si="142"/>
        <v>99.191573664000003</v>
      </c>
      <c r="L182" s="127">
        <f t="shared" si="142"/>
        <v>86.241367591679989</v>
      </c>
      <c r="M182" s="127">
        <f t="shared" si="142"/>
        <v>58.934924914060787</v>
      </c>
      <c r="N182" s="127">
        <f t="shared" si="142"/>
        <v>23.630113187016189</v>
      </c>
      <c r="O182" s="127">
        <f t="shared" si="142"/>
        <v>25.119697596829333</v>
      </c>
      <c r="P182" s="127">
        <f t="shared" si="142"/>
        <v>23.576897179869647</v>
      </c>
      <c r="Q182" s="127">
        <f t="shared" si="142"/>
        <v>24.340287628174973</v>
      </c>
      <c r="R182" s="127">
        <f t="shared" si="142"/>
        <v>23.60345433754668</v>
      </c>
      <c r="S182" s="127">
        <f t="shared" si="142"/>
        <v>19.295646371541402</v>
      </c>
      <c r="T182" s="127">
        <f t="shared" si="142"/>
        <v>18.450612461815723</v>
      </c>
      <c r="U182" s="127">
        <f t="shared" si="142"/>
        <v>17.578923998738873</v>
      </c>
      <c r="V182" s="127">
        <f t="shared" si="142"/>
        <v>15.780781628742504</v>
      </c>
      <c r="W182" s="127">
        <f t="shared" si="142"/>
        <v>14.589171879026239</v>
      </c>
      <c r="X182" s="127">
        <f t="shared" si="142"/>
        <v>11.545391572076127</v>
      </c>
      <c r="Y182" s="127">
        <f t="shared" si="142"/>
        <v>5.5948010719886661</v>
      </c>
      <c r="Z182" s="127">
        <f t="shared" si="142"/>
        <v>2.1641562880251994</v>
      </c>
      <c r="AA182" s="127">
        <f t="shared" si="142"/>
        <v>0.54911428203624468</v>
      </c>
      <c r="AB182" s="127">
        <f t="shared" si="142"/>
        <v>0</v>
      </c>
      <c r="AC182" s="127">
        <f t="shared" si="142"/>
        <v>0</v>
      </c>
      <c r="AD182" s="127">
        <f t="shared" si="142"/>
        <v>0</v>
      </c>
      <c r="AE182" s="127">
        <f t="shared" si="142"/>
        <v>0</v>
      </c>
      <c r="AF182" s="127">
        <f t="shared" si="142"/>
        <v>0</v>
      </c>
      <c r="AG182" s="127">
        <f t="shared" si="142"/>
        <v>0</v>
      </c>
      <c r="AH182" s="127">
        <f t="shared" si="142"/>
        <v>0</v>
      </c>
      <c r="AI182" s="127">
        <f t="shared" si="142"/>
        <v>0</v>
      </c>
      <c r="AJ182" s="127">
        <f t="shared" si="142"/>
        <v>0</v>
      </c>
      <c r="AK182" s="127">
        <f t="shared" si="142"/>
        <v>0</v>
      </c>
      <c r="AL182" s="127">
        <f t="shared" si="142"/>
        <v>0</v>
      </c>
      <c r="AM182" s="127">
        <f t="shared" ref="AM182:BD182" si="143">AM170</f>
        <v>0</v>
      </c>
      <c r="AN182" s="127">
        <f t="shared" si="143"/>
        <v>0</v>
      </c>
      <c r="AO182" s="127">
        <f t="shared" si="143"/>
        <v>0</v>
      </c>
      <c r="AP182" s="127">
        <f t="shared" si="143"/>
        <v>0</v>
      </c>
      <c r="AQ182" s="127">
        <f t="shared" si="143"/>
        <v>0</v>
      </c>
      <c r="AR182" s="127">
        <f t="shared" si="143"/>
        <v>0</v>
      </c>
      <c r="AS182" s="127">
        <f t="shared" si="143"/>
        <v>0</v>
      </c>
      <c r="AT182" s="127">
        <f t="shared" si="143"/>
        <v>0</v>
      </c>
      <c r="AU182" s="127">
        <f t="shared" si="143"/>
        <v>0</v>
      </c>
      <c r="AV182" s="127">
        <f t="shared" si="143"/>
        <v>0</v>
      </c>
      <c r="AW182" s="127">
        <f t="shared" si="143"/>
        <v>0</v>
      </c>
      <c r="AX182" s="127">
        <f t="shared" si="143"/>
        <v>0</v>
      </c>
      <c r="AY182" s="127">
        <f t="shared" si="143"/>
        <v>0</v>
      </c>
      <c r="AZ182" s="127">
        <f t="shared" si="143"/>
        <v>0</v>
      </c>
      <c r="BA182" s="127">
        <f t="shared" si="143"/>
        <v>0</v>
      </c>
      <c r="BB182" s="127">
        <f t="shared" si="143"/>
        <v>0</v>
      </c>
      <c r="BC182" s="127">
        <f t="shared" si="143"/>
        <v>0</v>
      </c>
      <c r="BD182" s="127">
        <f t="shared" si="143"/>
        <v>0</v>
      </c>
    </row>
    <row r="183" spans="1:56" ht="15" customHeight="1">
      <c r="C183" s="152">
        <f t="shared" si="127"/>
        <v>2979.6184268151496</v>
      </c>
      <c r="D183" s="55" t="s">
        <v>274</v>
      </c>
      <c r="E183" s="128" t="s">
        <v>195</v>
      </c>
      <c r="G183" s="127">
        <f t="shared" ref="G183:AL183" si="144">G147</f>
        <v>171.01</v>
      </c>
      <c r="H183" s="127">
        <f t="shared" si="144"/>
        <v>172.39754400000001</v>
      </c>
      <c r="I183" s="127">
        <f t="shared" si="144"/>
        <v>185.1745536</v>
      </c>
      <c r="J183" s="127">
        <f t="shared" si="144"/>
        <v>215.42522399999999</v>
      </c>
      <c r="K183" s="127">
        <f t="shared" si="144"/>
        <v>234.88777872</v>
      </c>
      <c r="L183" s="127">
        <f t="shared" si="144"/>
        <v>224.1284030496</v>
      </c>
      <c r="M183" s="127">
        <f t="shared" si="144"/>
        <v>202.70923546752002</v>
      </c>
      <c r="N183" s="127">
        <f t="shared" si="144"/>
        <v>202.16867750627324</v>
      </c>
      <c r="O183" s="127">
        <f t="shared" si="144"/>
        <v>185.12323669180086</v>
      </c>
      <c r="P183" s="127">
        <f t="shared" si="144"/>
        <v>179.27380456166617</v>
      </c>
      <c r="Q183" s="127">
        <f t="shared" si="144"/>
        <v>192.60221545414961</v>
      </c>
      <c r="R183" s="127">
        <f t="shared" si="144"/>
        <v>191.48536301459504</v>
      </c>
      <c r="S183" s="127">
        <f t="shared" si="144"/>
        <v>171.20236950740764</v>
      </c>
      <c r="T183" s="127">
        <f t="shared" si="144"/>
        <v>169.45677672027333</v>
      </c>
      <c r="U183" s="127">
        <f t="shared" si="144"/>
        <v>121.39389347205251</v>
      </c>
      <c r="V183" s="127">
        <f t="shared" si="144"/>
        <v>109.0112977992395</v>
      </c>
      <c r="W183" s="127">
        <f t="shared" si="144"/>
        <v>52.168053250571404</v>
      </c>
      <c r="X183" s="127">
        <f t="shared" si="144"/>
        <v>0</v>
      </c>
      <c r="Y183" s="127">
        <f t="shared" si="144"/>
        <v>0</v>
      </c>
      <c r="Z183" s="127">
        <f t="shared" si="144"/>
        <v>0</v>
      </c>
      <c r="AA183" s="127">
        <f t="shared" si="144"/>
        <v>0</v>
      </c>
      <c r="AB183" s="127">
        <f t="shared" si="144"/>
        <v>0</v>
      </c>
      <c r="AC183" s="127">
        <f t="shared" si="144"/>
        <v>0</v>
      </c>
      <c r="AD183" s="127">
        <f t="shared" si="144"/>
        <v>0</v>
      </c>
      <c r="AE183" s="127">
        <f t="shared" si="144"/>
        <v>0</v>
      </c>
      <c r="AF183" s="127">
        <f t="shared" si="144"/>
        <v>0</v>
      </c>
      <c r="AG183" s="127">
        <f t="shared" si="144"/>
        <v>0</v>
      </c>
      <c r="AH183" s="127">
        <f t="shared" si="144"/>
        <v>0</v>
      </c>
      <c r="AI183" s="127">
        <f t="shared" si="144"/>
        <v>0</v>
      </c>
      <c r="AJ183" s="127">
        <f t="shared" si="144"/>
        <v>0</v>
      </c>
      <c r="AK183" s="127">
        <f t="shared" si="144"/>
        <v>0</v>
      </c>
      <c r="AL183" s="127">
        <f t="shared" si="144"/>
        <v>0</v>
      </c>
      <c r="AM183" s="127">
        <f t="shared" ref="AM183:BD183" si="145">AM147</f>
        <v>0</v>
      </c>
      <c r="AN183" s="127">
        <f t="shared" si="145"/>
        <v>0</v>
      </c>
      <c r="AO183" s="127">
        <f t="shared" si="145"/>
        <v>0</v>
      </c>
      <c r="AP183" s="127">
        <f t="shared" si="145"/>
        <v>0</v>
      </c>
      <c r="AQ183" s="127">
        <f t="shared" si="145"/>
        <v>0</v>
      </c>
      <c r="AR183" s="127">
        <f t="shared" si="145"/>
        <v>0</v>
      </c>
      <c r="AS183" s="127">
        <f t="shared" si="145"/>
        <v>0</v>
      </c>
      <c r="AT183" s="127">
        <f t="shared" si="145"/>
        <v>0</v>
      </c>
      <c r="AU183" s="127">
        <f t="shared" si="145"/>
        <v>0</v>
      </c>
      <c r="AV183" s="127">
        <f t="shared" si="145"/>
        <v>0</v>
      </c>
      <c r="AW183" s="127">
        <f t="shared" si="145"/>
        <v>0</v>
      </c>
      <c r="AX183" s="127">
        <f t="shared" si="145"/>
        <v>0</v>
      </c>
      <c r="AY183" s="127">
        <f t="shared" si="145"/>
        <v>0</v>
      </c>
      <c r="AZ183" s="127">
        <f t="shared" si="145"/>
        <v>0</v>
      </c>
      <c r="BA183" s="127">
        <f t="shared" si="145"/>
        <v>0</v>
      </c>
      <c r="BB183" s="127">
        <f t="shared" si="145"/>
        <v>0</v>
      </c>
      <c r="BC183" s="127">
        <f t="shared" si="145"/>
        <v>0</v>
      </c>
      <c r="BD183" s="127">
        <f t="shared" si="145"/>
        <v>0</v>
      </c>
    </row>
    <row r="184" spans="1:56" ht="15" customHeight="1">
      <c r="C184" s="152">
        <f t="shared" si="127"/>
        <v>6.8639285254530602</v>
      </c>
      <c r="D184" s="55" t="s">
        <v>254</v>
      </c>
      <c r="E184" s="128" t="s">
        <v>195</v>
      </c>
      <c r="G184" s="127">
        <f t="shared" ref="G184:AL184" si="146">G148</f>
        <v>0</v>
      </c>
      <c r="H184" s="127">
        <f t="shared" si="146"/>
        <v>0</v>
      </c>
      <c r="I184" s="127">
        <f t="shared" si="146"/>
        <v>0</v>
      </c>
      <c r="J184" s="127">
        <f t="shared" si="146"/>
        <v>0</v>
      </c>
      <c r="K184" s="127">
        <f t="shared" si="146"/>
        <v>0</v>
      </c>
      <c r="L184" s="127">
        <f t="shared" si="146"/>
        <v>0</v>
      </c>
      <c r="M184" s="127">
        <f t="shared" si="146"/>
        <v>0</v>
      </c>
      <c r="N184" s="127">
        <f t="shared" si="146"/>
        <v>0</v>
      </c>
      <c r="O184" s="127">
        <f t="shared" si="146"/>
        <v>0</v>
      </c>
      <c r="P184" s="127">
        <f t="shared" si="146"/>
        <v>0</v>
      </c>
      <c r="Q184" s="127">
        <f t="shared" si="146"/>
        <v>0</v>
      </c>
      <c r="R184" s="127">
        <f t="shared" si="146"/>
        <v>0</v>
      </c>
      <c r="S184" s="127">
        <f t="shared" si="146"/>
        <v>0</v>
      </c>
      <c r="T184" s="127">
        <f t="shared" si="146"/>
        <v>0</v>
      </c>
      <c r="U184" s="127">
        <f t="shared" si="146"/>
        <v>0</v>
      </c>
      <c r="V184" s="127">
        <f t="shared" si="146"/>
        <v>0</v>
      </c>
      <c r="W184" s="127">
        <f t="shared" si="146"/>
        <v>6.8639285254530602</v>
      </c>
      <c r="X184" s="127">
        <f t="shared" si="146"/>
        <v>0</v>
      </c>
      <c r="Y184" s="127">
        <f t="shared" si="146"/>
        <v>0</v>
      </c>
      <c r="Z184" s="127">
        <f t="shared" si="146"/>
        <v>0</v>
      </c>
      <c r="AA184" s="127">
        <f t="shared" si="146"/>
        <v>0</v>
      </c>
      <c r="AB184" s="127">
        <f t="shared" si="146"/>
        <v>0</v>
      </c>
      <c r="AC184" s="127">
        <f t="shared" si="146"/>
        <v>0</v>
      </c>
      <c r="AD184" s="127">
        <f t="shared" si="146"/>
        <v>0</v>
      </c>
      <c r="AE184" s="127">
        <f t="shared" si="146"/>
        <v>0</v>
      </c>
      <c r="AF184" s="127">
        <f t="shared" si="146"/>
        <v>0</v>
      </c>
      <c r="AG184" s="127">
        <f t="shared" si="146"/>
        <v>0</v>
      </c>
      <c r="AH184" s="127">
        <f t="shared" si="146"/>
        <v>0</v>
      </c>
      <c r="AI184" s="127">
        <f t="shared" si="146"/>
        <v>0</v>
      </c>
      <c r="AJ184" s="127">
        <f t="shared" si="146"/>
        <v>0</v>
      </c>
      <c r="AK184" s="127">
        <f t="shared" si="146"/>
        <v>0</v>
      </c>
      <c r="AL184" s="127">
        <f t="shared" si="146"/>
        <v>0</v>
      </c>
      <c r="AM184" s="127">
        <f t="shared" ref="AM184:BD184" si="147">AM148</f>
        <v>0</v>
      </c>
      <c r="AN184" s="127">
        <f t="shared" si="147"/>
        <v>0</v>
      </c>
      <c r="AO184" s="127">
        <f t="shared" si="147"/>
        <v>0</v>
      </c>
      <c r="AP184" s="127">
        <f t="shared" si="147"/>
        <v>0</v>
      </c>
      <c r="AQ184" s="127">
        <f t="shared" si="147"/>
        <v>0</v>
      </c>
      <c r="AR184" s="127">
        <f t="shared" si="147"/>
        <v>0</v>
      </c>
      <c r="AS184" s="127">
        <f t="shared" si="147"/>
        <v>0</v>
      </c>
      <c r="AT184" s="127">
        <f t="shared" si="147"/>
        <v>0</v>
      </c>
      <c r="AU184" s="127">
        <f t="shared" si="147"/>
        <v>0</v>
      </c>
      <c r="AV184" s="127">
        <f t="shared" si="147"/>
        <v>0</v>
      </c>
      <c r="AW184" s="127">
        <f t="shared" si="147"/>
        <v>0</v>
      </c>
      <c r="AX184" s="127">
        <f t="shared" si="147"/>
        <v>0</v>
      </c>
      <c r="AY184" s="127">
        <f t="shared" si="147"/>
        <v>0</v>
      </c>
      <c r="AZ184" s="127">
        <f t="shared" si="147"/>
        <v>0</v>
      </c>
      <c r="BA184" s="127">
        <f t="shared" si="147"/>
        <v>0</v>
      </c>
      <c r="BB184" s="127">
        <f t="shared" si="147"/>
        <v>0</v>
      </c>
      <c r="BC184" s="127">
        <f t="shared" si="147"/>
        <v>0</v>
      </c>
      <c r="BD184" s="127">
        <f t="shared" si="147"/>
        <v>0</v>
      </c>
    </row>
    <row r="185" spans="1:56" ht="15" customHeight="1">
      <c r="C185" s="152">
        <f t="shared" si="127"/>
        <v>0</v>
      </c>
      <c r="D185" s="55" t="s">
        <v>275</v>
      </c>
      <c r="E185" s="128" t="s">
        <v>195</v>
      </c>
      <c r="G185" s="127">
        <f t="shared" ref="G185:AL185" si="148">G210</f>
        <v>0</v>
      </c>
      <c r="H185" s="127">
        <f t="shared" si="148"/>
        <v>0</v>
      </c>
      <c r="I185" s="127">
        <f t="shared" si="148"/>
        <v>0</v>
      </c>
      <c r="J185" s="127">
        <f t="shared" si="148"/>
        <v>0</v>
      </c>
      <c r="K185" s="127">
        <f t="shared" si="148"/>
        <v>0</v>
      </c>
      <c r="L185" s="127">
        <f t="shared" si="148"/>
        <v>0</v>
      </c>
      <c r="M185" s="127">
        <f t="shared" si="148"/>
        <v>0</v>
      </c>
      <c r="N185" s="127">
        <f t="shared" si="148"/>
        <v>0</v>
      </c>
      <c r="O185" s="127">
        <f t="shared" si="148"/>
        <v>0</v>
      </c>
      <c r="P185" s="127">
        <f t="shared" si="148"/>
        <v>0</v>
      </c>
      <c r="Q185" s="127">
        <f t="shared" si="148"/>
        <v>0</v>
      </c>
      <c r="R185" s="127">
        <f t="shared" si="148"/>
        <v>0</v>
      </c>
      <c r="S185" s="127">
        <f t="shared" si="148"/>
        <v>0</v>
      </c>
      <c r="T185" s="127">
        <f t="shared" si="148"/>
        <v>0</v>
      </c>
      <c r="U185" s="127">
        <f t="shared" si="148"/>
        <v>0</v>
      </c>
      <c r="V185" s="127">
        <f t="shared" si="148"/>
        <v>0</v>
      </c>
      <c r="W185" s="127">
        <f t="shared" si="148"/>
        <v>0</v>
      </c>
      <c r="X185" s="127">
        <f t="shared" si="148"/>
        <v>0</v>
      </c>
      <c r="Y185" s="127">
        <f t="shared" si="148"/>
        <v>0</v>
      </c>
      <c r="Z185" s="127">
        <f t="shared" si="148"/>
        <v>0</v>
      </c>
      <c r="AA185" s="127">
        <f t="shared" si="148"/>
        <v>0</v>
      </c>
      <c r="AB185" s="127">
        <f t="shared" si="148"/>
        <v>0</v>
      </c>
      <c r="AC185" s="127">
        <f t="shared" si="148"/>
        <v>0</v>
      </c>
      <c r="AD185" s="127">
        <f t="shared" si="148"/>
        <v>0</v>
      </c>
      <c r="AE185" s="127">
        <f t="shared" si="148"/>
        <v>0</v>
      </c>
      <c r="AF185" s="127">
        <f t="shared" si="148"/>
        <v>0</v>
      </c>
      <c r="AG185" s="127">
        <f t="shared" si="148"/>
        <v>0</v>
      </c>
      <c r="AH185" s="127">
        <f t="shared" si="148"/>
        <v>0</v>
      </c>
      <c r="AI185" s="127">
        <f t="shared" si="148"/>
        <v>0</v>
      </c>
      <c r="AJ185" s="127">
        <f t="shared" si="148"/>
        <v>0</v>
      </c>
      <c r="AK185" s="127">
        <f t="shared" si="148"/>
        <v>0</v>
      </c>
      <c r="AL185" s="127">
        <f t="shared" si="148"/>
        <v>0</v>
      </c>
      <c r="AM185" s="127">
        <f t="shared" ref="AM185:BD185" si="149">AM210</f>
        <v>0</v>
      </c>
      <c r="AN185" s="127">
        <f t="shared" si="149"/>
        <v>0</v>
      </c>
      <c r="AO185" s="127">
        <f t="shared" si="149"/>
        <v>0</v>
      </c>
      <c r="AP185" s="127">
        <f t="shared" si="149"/>
        <v>0</v>
      </c>
      <c r="AQ185" s="127">
        <f t="shared" si="149"/>
        <v>0</v>
      </c>
      <c r="AR185" s="127">
        <f t="shared" si="149"/>
        <v>0</v>
      </c>
      <c r="AS185" s="127">
        <f t="shared" si="149"/>
        <v>0</v>
      </c>
      <c r="AT185" s="127">
        <f t="shared" si="149"/>
        <v>0</v>
      </c>
      <c r="AU185" s="127">
        <f t="shared" si="149"/>
        <v>0</v>
      </c>
      <c r="AV185" s="127">
        <f t="shared" si="149"/>
        <v>0</v>
      </c>
      <c r="AW185" s="127">
        <f t="shared" si="149"/>
        <v>0</v>
      </c>
      <c r="AX185" s="127">
        <f t="shared" si="149"/>
        <v>0</v>
      </c>
      <c r="AY185" s="127">
        <f t="shared" si="149"/>
        <v>0</v>
      </c>
      <c r="AZ185" s="127">
        <f t="shared" si="149"/>
        <v>0</v>
      </c>
      <c r="BA185" s="127">
        <f t="shared" si="149"/>
        <v>0</v>
      </c>
      <c r="BB185" s="127">
        <f t="shared" si="149"/>
        <v>0</v>
      </c>
      <c r="BC185" s="127">
        <f t="shared" si="149"/>
        <v>0</v>
      </c>
      <c r="BD185" s="127">
        <f t="shared" si="149"/>
        <v>0</v>
      </c>
    </row>
    <row r="186" spans="1:56" ht="15" customHeight="1">
      <c r="C186" s="152">
        <f t="shared" si="127"/>
        <v>0</v>
      </c>
      <c r="D186" s="55" t="s">
        <v>235</v>
      </c>
      <c r="E186" s="128" t="s">
        <v>195</v>
      </c>
      <c r="G186" s="127">
        <f t="shared" ref="G186:AL186" si="150">G139</f>
        <v>0</v>
      </c>
      <c r="H186" s="127">
        <f t="shared" si="150"/>
        <v>0</v>
      </c>
      <c r="I186" s="127">
        <f t="shared" si="150"/>
        <v>0</v>
      </c>
      <c r="J186" s="127">
        <f t="shared" si="150"/>
        <v>0</v>
      </c>
      <c r="K186" s="127">
        <f t="shared" si="150"/>
        <v>0</v>
      </c>
      <c r="L186" s="127">
        <f t="shared" si="150"/>
        <v>0</v>
      </c>
      <c r="M186" s="127">
        <f t="shared" si="150"/>
        <v>0</v>
      </c>
      <c r="N186" s="127">
        <f t="shared" si="150"/>
        <v>0</v>
      </c>
      <c r="O186" s="127">
        <f t="shared" si="150"/>
        <v>0</v>
      </c>
      <c r="P186" s="127">
        <f t="shared" si="150"/>
        <v>0</v>
      </c>
      <c r="Q186" s="127">
        <f t="shared" si="150"/>
        <v>0</v>
      </c>
      <c r="R186" s="127">
        <f t="shared" si="150"/>
        <v>0</v>
      </c>
      <c r="S186" s="127">
        <f t="shared" si="150"/>
        <v>0</v>
      </c>
      <c r="T186" s="127">
        <f t="shared" si="150"/>
        <v>0</v>
      </c>
      <c r="U186" s="127">
        <f t="shared" si="150"/>
        <v>0</v>
      </c>
      <c r="V186" s="127">
        <f t="shared" si="150"/>
        <v>0</v>
      </c>
      <c r="W186" s="127">
        <f t="shared" si="150"/>
        <v>0</v>
      </c>
      <c r="X186" s="127">
        <f t="shared" si="150"/>
        <v>0</v>
      </c>
      <c r="Y186" s="127">
        <f t="shared" si="150"/>
        <v>0</v>
      </c>
      <c r="Z186" s="127">
        <f t="shared" si="150"/>
        <v>0</v>
      </c>
      <c r="AA186" s="127">
        <f t="shared" si="150"/>
        <v>0</v>
      </c>
      <c r="AB186" s="127">
        <f t="shared" si="150"/>
        <v>0</v>
      </c>
      <c r="AC186" s="127">
        <f t="shared" si="150"/>
        <v>0</v>
      </c>
      <c r="AD186" s="127">
        <f t="shared" si="150"/>
        <v>0</v>
      </c>
      <c r="AE186" s="127">
        <f t="shared" si="150"/>
        <v>0</v>
      </c>
      <c r="AF186" s="127">
        <f t="shared" si="150"/>
        <v>0</v>
      </c>
      <c r="AG186" s="127">
        <f t="shared" si="150"/>
        <v>0</v>
      </c>
      <c r="AH186" s="127">
        <f t="shared" si="150"/>
        <v>0</v>
      </c>
      <c r="AI186" s="127">
        <f t="shared" si="150"/>
        <v>0</v>
      </c>
      <c r="AJ186" s="127">
        <f t="shared" si="150"/>
        <v>0</v>
      </c>
      <c r="AK186" s="127">
        <f t="shared" si="150"/>
        <v>0</v>
      </c>
      <c r="AL186" s="127">
        <f t="shared" si="150"/>
        <v>0</v>
      </c>
      <c r="AM186" s="127">
        <f t="shared" ref="AM186:BD186" si="151">AM139</f>
        <v>0</v>
      </c>
      <c r="AN186" s="127">
        <f t="shared" si="151"/>
        <v>0</v>
      </c>
      <c r="AO186" s="127">
        <f t="shared" si="151"/>
        <v>0</v>
      </c>
      <c r="AP186" s="127">
        <f t="shared" si="151"/>
        <v>0</v>
      </c>
      <c r="AQ186" s="127">
        <f t="shared" si="151"/>
        <v>0</v>
      </c>
      <c r="AR186" s="127">
        <f t="shared" si="151"/>
        <v>0</v>
      </c>
      <c r="AS186" s="127">
        <f t="shared" si="151"/>
        <v>0</v>
      </c>
      <c r="AT186" s="127">
        <f t="shared" si="151"/>
        <v>0</v>
      </c>
      <c r="AU186" s="127">
        <f t="shared" si="151"/>
        <v>0</v>
      </c>
      <c r="AV186" s="127">
        <f t="shared" si="151"/>
        <v>0</v>
      </c>
      <c r="AW186" s="127">
        <f t="shared" si="151"/>
        <v>0</v>
      </c>
      <c r="AX186" s="127">
        <f t="shared" si="151"/>
        <v>0</v>
      </c>
      <c r="AY186" s="127">
        <f t="shared" si="151"/>
        <v>0</v>
      </c>
      <c r="AZ186" s="127">
        <f t="shared" si="151"/>
        <v>0</v>
      </c>
      <c r="BA186" s="127">
        <f t="shared" si="151"/>
        <v>0</v>
      </c>
      <c r="BB186" s="127">
        <f t="shared" si="151"/>
        <v>0</v>
      </c>
      <c r="BC186" s="127">
        <f t="shared" si="151"/>
        <v>0</v>
      </c>
      <c r="BD186" s="127">
        <f t="shared" si="151"/>
        <v>0</v>
      </c>
    </row>
    <row r="187" spans="1:56" ht="15" customHeight="1">
      <c r="C187" s="152">
        <f t="shared" si="127"/>
        <v>3696.7338076497376</v>
      </c>
      <c r="D187" s="55" t="s">
        <v>276</v>
      </c>
      <c r="E187" s="128" t="s">
        <v>195</v>
      </c>
      <c r="G187" s="127">
        <f t="shared" ref="G187:AL187" si="152">G175-SUM(G176:G186)</f>
        <v>185.79000000000002</v>
      </c>
      <c r="H187" s="127">
        <f t="shared" si="152"/>
        <v>338.81205599999998</v>
      </c>
      <c r="I187" s="127">
        <f t="shared" si="152"/>
        <v>296.09192639999998</v>
      </c>
      <c r="J187" s="127">
        <f t="shared" si="152"/>
        <v>336.44279999999992</v>
      </c>
      <c r="K187" s="127">
        <f t="shared" si="152"/>
        <v>324.03940089599996</v>
      </c>
      <c r="L187" s="127">
        <f t="shared" si="152"/>
        <v>360.91135770432004</v>
      </c>
      <c r="M187" s="127">
        <f t="shared" si="152"/>
        <v>423.06259053093129</v>
      </c>
      <c r="N187" s="127">
        <f t="shared" si="152"/>
        <v>332.92191805132029</v>
      </c>
      <c r="O187" s="127">
        <f t="shared" si="152"/>
        <v>97.856616539725565</v>
      </c>
      <c r="P187" s="127">
        <f t="shared" si="152"/>
        <v>111.41084010338705</v>
      </c>
      <c r="Q187" s="127">
        <f t="shared" si="152"/>
        <v>103.60426959949675</v>
      </c>
      <c r="R187" s="127">
        <f t="shared" si="152"/>
        <v>111.868890783316</v>
      </c>
      <c r="S187" s="127">
        <f t="shared" si="152"/>
        <v>142.99884641921787</v>
      </c>
      <c r="T187" s="127">
        <f t="shared" si="152"/>
        <v>152.25941036204117</v>
      </c>
      <c r="U187" s="127">
        <f t="shared" si="152"/>
        <v>207.99731806422153</v>
      </c>
      <c r="V187" s="127">
        <f t="shared" si="152"/>
        <v>147.28866384762398</v>
      </c>
      <c r="W187" s="127">
        <f t="shared" si="152"/>
        <v>43.230365562262179</v>
      </c>
      <c r="X187" s="127">
        <f t="shared" si="152"/>
        <v>-11.545391572076127</v>
      </c>
      <c r="Y187" s="127">
        <f t="shared" si="152"/>
        <v>-5.5948010719886661</v>
      </c>
      <c r="Z187" s="127">
        <f t="shared" si="152"/>
        <v>-2.1641562880251994</v>
      </c>
      <c r="AA187" s="127">
        <f t="shared" si="152"/>
        <v>-0.54911428203624468</v>
      </c>
      <c r="AB187" s="127">
        <f t="shared" si="152"/>
        <v>0</v>
      </c>
      <c r="AC187" s="127">
        <f t="shared" si="152"/>
        <v>0</v>
      </c>
      <c r="AD187" s="127">
        <f t="shared" si="152"/>
        <v>0</v>
      </c>
      <c r="AE187" s="127">
        <f t="shared" si="152"/>
        <v>0</v>
      </c>
      <c r="AF187" s="127">
        <f t="shared" si="152"/>
        <v>0</v>
      </c>
      <c r="AG187" s="127">
        <f t="shared" si="152"/>
        <v>0</v>
      </c>
      <c r="AH187" s="127">
        <f t="shared" si="152"/>
        <v>0</v>
      </c>
      <c r="AI187" s="127">
        <f t="shared" si="152"/>
        <v>0</v>
      </c>
      <c r="AJ187" s="127">
        <f t="shared" si="152"/>
        <v>0</v>
      </c>
      <c r="AK187" s="127">
        <f t="shared" si="152"/>
        <v>0</v>
      </c>
      <c r="AL187" s="127">
        <f t="shared" si="152"/>
        <v>0</v>
      </c>
      <c r="AM187" s="127">
        <f t="shared" ref="AM187:BR187" si="153">AM175-SUM(AM176:AM186)</f>
        <v>0</v>
      </c>
      <c r="AN187" s="127">
        <f t="shared" si="153"/>
        <v>0</v>
      </c>
      <c r="AO187" s="127">
        <f t="shared" si="153"/>
        <v>0</v>
      </c>
      <c r="AP187" s="127">
        <f t="shared" si="153"/>
        <v>0</v>
      </c>
      <c r="AQ187" s="127">
        <f t="shared" si="153"/>
        <v>0</v>
      </c>
      <c r="AR187" s="127">
        <f t="shared" si="153"/>
        <v>0</v>
      </c>
      <c r="AS187" s="127">
        <f t="shared" si="153"/>
        <v>0</v>
      </c>
      <c r="AT187" s="127">
        <f t="shared" si="153"/>
        <v>0</v>
      </c>
      <c r="AU187" s="127">
        <f t="shared" si="153"/>
        <v>0</v>
      </c>
      <c r="AV187" s="127">
        <f t="shared" si="153"/>
        <v>0</v>
      </c>
      <c r="AW187" s="127">
        <f t="shared" si="153"/>
        <v>0</v>
      </c>
      <c r="AX187" s="127">
        <f t="shared" si="153"/>
        <v>0</v>
      </c>
      <c r="AY187" s="127">
        <f t="shared" si="153"/>
        <v>0</v>
      </c>
      <c r="AZ187" s="127">
        <f t="shared" si="153"/>
        <v>0</v>
      </c>
      <c r="BA187" s="127">
        <f t="shared" si="153"/>
        <v>0</v>
      </c>
      <c r="BB187" s="127">
        <f t="shared" si="153"/>
        <v>0</v>
      </c>
      <c r="BC187" s="127">
        <f t="shared" si="153"/>
        <v>0</v>
      </c>
      <c r="BD187" s="127">
        <f t="shared" si="153"/>
        <v>0</v>
      </c>
    </row>
    <row r="188" spans="1:56" s="103" customFormat="1" ht="15" customHeight="1">
      <c r="A188" s="102"/>
      <c r="C188" s="171">
        <f t="shared" si="127"/>
        <v>-185.79000000000002</v>
      </c>
      <c r="D188" s="190" t="s">
        <v>277</v>
      </c>
      <c r="E188" s="191" t="s">
        <v>195</v>
      </c>
      <c r="G188" s="192">
        <f t="shared" ref="G188:AL188" si="154">-G203</f>
        <v>-185.79000000000002</v>
      </c>
      <c r="H188" s="192">
        <f t="shared" si="154"/>
        <v>0</v>
      </c>
      <c r="I188" s="192">
        <f t="shared" si="154"/>
        <v>0</v>
      </c>
      <c r="J188" s="192">
        <f t="shared" si="154"/>
        <v>0</v>
      </c>
      <c r="K188" s="192">
        <f t="shared" si="154"/>
        <v>0</v>
      </c>
      <c r="L188" s="192">
        <f t="shared" si="154"/>
        <v>0</v>
      </c>
      <c r="M188" s="192">
        <f t="shared" si="154"/>
        <v>0</v>
      </c>
      <c r="N188" s="192">
        <f t="shared" si="154"/>
        <v>0</v>
      </c>
      <c r="O188" s="192">
        <f t="shared" si="154"/>
        <v>0</v>
      </c>
      <c r="P188" s="192">
        <f t="shared" si="154"/>
        <v>0</v>
      </c>
      <c r="Q188" s="192">
        <f t="shared" si="154"/>
        <v>0</v>
      </c>
      <c r="R188" s="192">
        <f t="shared" si="154"/>
        <v>0</v>
      </c>
      <c r="S188" s="192">
        <f t="shared" si="154"/>
        <v>0</v>
      </c>
      <c r="T188" s="192">
        <f t="shared" si="154"/>
        <v>0</v>
      </c>
      <c r="U188" s="192">
        <f t="shared" si="154"/>
        <v>0</v>
      </c>
      <c r="V188" s="192">
        <f t="shared" si="154"/>
        <v>0</v>
      </c>
      <c r="W188" s="192">
        <f t="shared" si="154"/>
        <v>0</v>
      </c>
      <c r="X188" s="192">
        <f t="shared" si="154"/>
        <v>0</v>
      </c>
      <c r="Y188" s="192">
        <f t="shared" si="154"/>
        <v>0</v>
      </c>
      <c r="Z188" s="192">
        <f t="shared" si="154"/>
        <v>0</v>
      </c>
      <c r="AA188" s="192">
        <f t="shared" si="154"/>
        <v>0</v>
      </c>
      <c r="AB188" s="192">
        <f t="shared" si="154"/>
        <v>0</v>
      </c>
      <c r="AC188" s="192">
        <f t="shared" si="154"/>
        <v>0</v>
      </c>
      <c r="AD188" s="192">
        <f t="shared" si="154"/>
        <v>0</v>
      </c>
      <c r="AE188" s="192">
        <f t="shared" si="154"/>
        <v>0</v>
      </c>
      <c r="AF188" s="192">
        <f t="shared" si="154"/>
        <v>0</v>
      </c>
      <c r="AG188" s="192">
        <f t="shared" si="154"/>
        <v>0</v>
      </c>
      <c r="AH188" s="192">
        <f t="shared" si="154"/>
        <v>0</v>
      </c>
      <c r="AI188" s="192">
        <f t="shared" si="154"/>
        <v>0</v>
      </c>
      <c r="AJ188" s="192">
        <f t="shared" si="154"/>
        <v>0</v>
      </c>
      <c r="AK188" s="192">
        <f t="shared" si="154"/>
        <v>0</v>
      </c>
      <c r="AL188" s="192">
        <f t="shared" si="154"/>
        <v>0</v>
      </c>
      <c r="AM188" s="192">
        <f t="shared" ref="AM188:BD188" si="155">-AM203</f>
        <v>0</v>
      </c>
      <c r="AN188" s="192">
        <f t="shared" si="155"/>
        <v>0</v>
      </c>
      <c r="AO188" s="192">
        <f t="shared" si="155"/>
        <v>0</v>
      </c>
      <c r="AP188" s="192">
        <f t="shared" si="155"/>
        <v>0</v>
      </c>
      <c r="AQ188" s="192">
        <f t="shared" si="155"/>
        <v>0</v>
      </c>
      <c r="AR188" s="192">
        <f t="shared" si="155"/>
        <v>0</v>
      </c>
      <c r="AS188" s="192">
        <f t="shared" si="155"/>
        <v>0</v>
      </c>
      <c r="AT188" s="192">
        <f t="shared" si="155"/>
        <v>0</v>
      </c>
      <c r="AU188" s="192">
        <f t="shared" si="155"/>
        <v>0</v>
      </c>
      <c r="AV188" s="192">
        <f t="shared" si="155"/>
        <v>0</v>
      </c>
      <c r="AW188" s="192">
        <f t="shared" si="155"/>
        <v>0</v>
      </c>
      <c r="AX188" s="192">
        <f t="shared" si="155"/>
        <v>0</v>
      </c>
      <c r="AY188" s="192">
        <f t="shared" si="155"/>
        <v>0</v>
      </c>
      <c r="AZ188" s="192">
        <f t="shared" si="155"/>
        <v>0</v>
      </c>
      <c r="BA188" s="192">
        <f t="shared" si="155"/>
        <v>0</v>
      </c>
      <c r="BB188" s="192">
        <f t="shared" si="155"/>
        <v>0</v>
      </c>
      <c r="BC188" s="192">
        <f t="shared" si="155"/>
        <v>0</v>
      </c>
      <c r="BD188" s="192">
        <f t="shared" si="155"/>
        <v>0</v>
      </c>
    </row>
    <row r="189" spans="1:56" ht="15" customHeight="1">
      <c r="C189" s="152">
        <f t="shared" si="127"/>
        <v>3510.9438076497368</v>
      </c>
      <c r="D189" s="55" t="s">
        <v>278</v>
      </c>
      <c r="E189" s="128" t="s">
        <v>195</v>
      </c>
      <c r="G189" s="127">
        <f t="shared" ref="G189:AL189" si="156">SUM(G187:G188)</f>
        <v>0</v>
      </c>
      <c r="H189" s="127">
        <f t="shared" si="156"/>
        <v>338.81205599999998</v>
      </c>
      <c r="I189" s="127">
        <f t="shared" si="156"/>
        <v>296.09192639999998</v>
      </c>
      <c r="J189" s="127">
        <f t="shared" si="156"/>
        <v>336.44279999999992</v>
      </c>
      <c r="K189" s="127">
        <f t="shared" si="156"/>
        <v>324.03940089599996</v>
      </c>
      <c r="L189" s="127">
        <f t="shared" si="156"/>
        <v>360.91135770432004</v>
      </c>
      <c r="M189" s="127">
        <f t="shared" si="156"/>
        <v>423.06259053093129</v>
      </c>
      <c r="N189" s="127">
        <f t="shared" si="156"/>
        <v>332.92191805132029</v>
      </c>
      <c r="O189" s="127">
        <f t="shared" si="156"/>
        <v>97.856616539725565</v>
      </c>
      <c r="P189" s="127">
        <f t="shared" si="156"/>
        <v>111.41084010338705</v>
      </c>
      <c r="Q189" s="127">
        <f t="shared" si="156"/>
        <v>103.60426959949675</v>
      </c>
      <c r="R189" s="127">
        <f t="shared" si="156"/>
        <v>111.868890783316</v>
      </c>
      <c r="S189" s="127">
        <f t="shared" si="156"/>
        <v>142.99884641921787</v>
      </c>
      <c r="T189" s="127">
        <f t="shared" si="156"/>
        <v>152.25941036204117</v>
      </c>
      <c r="U189" s="127">
        <f t="shared" si="156"/>
        <v>207.99731806422153</v>
      </c>
      <c r="V189" s="127">
        <f t="shared" si="156"/>
        <v>147.28866384762398</v>
      </c>
      <c r="W189" s="127">
        <f t="shared" si="156"/>
        <v>43.230365562262179</v>
      </c>
      <c r="X189" s="127">
        <f t="shared" si="156"/>
        <v>-11.545391572076127</v>
      </c>
      <c r="Y189" s="127">
        <f t="shared" si="156"/>
        <v>-5.5948010719886661</v>
      </c>
      <c r="Z189" s="127">
        <f t="shared" si="156"/>
        <v>-2.1641562880251994</v>
      </c>
      <c r="AA189" s="127">
        <f t="shared" si="156"/>
        <v>-0.54911428203624468</v>
      </c>
      <c r="AB189" s="127">
        <f t="shared" si="156"/>
        <v>0</v>
      </c>
      <c r="AC189" s="127">
        <f t="shared" si="156"/>
        <v>0</v>
      </c>
      <c r="AD189" s="127">
        <f t="shared" si="156"/>
        <v>0</v>
      </c>
      <c r="AE189" s="127">
        <f t="shared" si="156"/>
        <v>0</v>
      </c>
      <c r="AF189" s="127">
        <f t="shared" si="156"/>
        <v>0</v>
      </c>
      <c r="AG189" s="127">
        <f t="shared" si="156"/>
        <v>0</v>
      </c>
      <c r="AH189" s="127">
        <f t="shared" si="156"/>
        <v>0</v>
      </c>
      <c r="AI189" s="127">
        <f t="shared" si="156"/>
        <v>0</v>
      </c>
      <c r="AJ189" s="127">
        <f t="shared" si="156"/>
        <v>0</v>
      </c>
      <c r="AK189" s="127">
        <f t="shared" si="156"/>
        <v>0</v>
      </c>
      <c r="AL189" s="127">
        <f t="shared" si="156"/>
        <v>0</v>
      </c>
      <c r="AM189" s="127">
        <f t="shared" ref="AM189:BR189" si="157">SUM(AM187:AM188)</f>
        <v>0</v>
      </c>
      <c r="AN189" s="127">
        <f t="shared" si="157"/>
        <v>0</v>
      </c>
      <c r="AO189" s="127">
        <f t="shared" si="157"/>
        <v>0</v>
      </c>
      <c r="AP189" s="127">
        <f t="shared" si="157"/>
        <v>0</v>
      </c>
      <c r="AQ189" s="127">
        <f t="shared" si="157"/>
        <v>0</v>
      </c>
      <c r="AR189" s="127">
        <f t="shared" si="157"/>
        <v>0</v>
      </c>
      <c r="AS189" s="127">
        <f t="shared" si="157"/>
        <v>0</v>
      </c>
      <c r="AT189" s="127">
        <f t="shared" si="157"/>
        <v>0</v>
      </c>
      <c r="AU189" s="127">
        <f t="shared" si="157"/>
        <v>0</v>
      </c>
      <c r="AV189" s="127">
        <f t="shared" si="157"/>
        <v>0</v>
      </c>
      <c r="AW189" s="127">
        <f t="shared" si="157"/>
        <v>0</v>
      </c>
      <c r="AX189" s="127">
        <f t="shared" si="157"/>
        <v>0</v>
      </c>
      <c r="AY189" s="127">
        <f t="shared" si="157"/>
        <v>0</v>
      </c>
      <c r="AZ189" s="127">
        <f t="shared" si="157"/>
        <v>0</v>
      </c>
      <c r="BA189" s="127">
        <f t="shared" si="157"/>
        <v>0</v>
      </c>
      <c r="BB189" s="127">
        <f t="shared" si="157"/>
        <v>0</v>
      </c>
      <c r="BC189" s="127">
        <f t="shared" si="157"/>
        <v>0</v>
      </c>
      <c r="BD189" s="127">
        <f t="shared" si="157"/>
        <v>0</v>
      </c>
    </row>
    <row r="190" spans="1:56" ht="15" customHeight="1">
      <c r="C190" s="152">
        <f t="shared" si="127"/>
        <v>882.69931771596566</v>
      </c>
      <c r="D190" s="55" t="s">
        <v>279</v>
      </c>
      <c r="E190" s="128" t="s">
        <v>195</v>
      </c>
      <c r="G190" s="127">
        <f>G189*(G189&gt;0)*Paramètres!$F$14</f>
        <v>0</v>
      </c>
      <c r="H190" s="127">
        <f>H189*(H189&gt;0)*Paramètres!$F$14</f>
        <v>84.703013999999996</v>
      </c>
      <c r="I190" s="127">
        <f>I189*(I189&gt;0)*Paramètres!$F$14</f>
        <v>74.022981599999994</v>
      </c>
      <c r="J190" s="127">
        <f>J189*(J189&gt;0)*Paramètres!$F$14</f>
        <v>84.11069999999998</v>
      </c>
      <c r="K190" s="127">
        <f>K189*(K189&gt;0)*Paramètres!$F$14</f>
        <v>81.00985022399999</v>
      </c>
      <c r="L190" s="127">
        <f>L189*(L189&gt;0)*Paramètres!$F$14</f>
        <v>90.22783942608001</v>
      </c>
      <c r="M190" s="127">
        <f>M189*(M189&gt;0)*Paramètres!$F$14</f>
        <v>105.76564763273282</v>
      </c>
      <c r="N190" s="127">
        <f>N189*(N189&gt;0)*Paramètres!$F$14</f>
        <v>83.230479512830073</v>
      </c>
      <c r="O190" s="127">
        <f>O189*(O189&gt;0)*Paramètres!$F$14</f>
        <v>24.464154134931391</v>
      </c>
      <c r="P190" s="127">
        <f>P189*(P189&gt;0)*Paramètres!$F$14</f>
        <v>27.852710025846761</v>
      </c>
      <c r="Q190" s="127">
        <f>Q189*(Q189&gt;0)*Paramètres!$F$14</f>
        <v>25.901067399874186</v>
      </c>
      <c r="R190" s="127">
        <f>R189*(R189&gt;0)*Paramètres!$F$14</f>
        <v>27.967222695829001</v>
      </c>
      <c r="S190" s="127">
        <f>S189*(S189&gt;0)*Paramètres!$F$14</f>
        <v>35.749711604804467</v>
      </c>
      <c r="T190" s="127">
        <f>T189*(T189&gt;0)*Paramètres!$F$14</f>
        <v>38.064852590510291</v>
      </c>
      <c r="U190" s="127">
        <f>U189*(U189&gt;0)*Paramètres!$F$14</f>
        <v>51.999329516055383</v>
      </c>
      <c r="V190" s="127">
        <f>V189*(V189&gt;0)*Paramètres!$F$14</f>
        <v>36.822165961905995</v>
      </c>
      <c r="W190" s="127">
        <f>W189*(W189&gt;0)*Paramètres!$F$14</f>
        <v>10.807591390565545</v>
      </c>
      <c r="X190" s="127">
        <f>X189*(X189&gt;0)*Paramètres!$F$14</f>
        <v>0</v>
      </c>
      <c r="Y190" s="127">
        <f>Y189*(Y189&gt;0)*Paramètres!$F$14</f>
        <v>0</v>
      </c>
      <c r="Z190" s="127">
        <f>Z189*(Z189&gt;0)*Paramètres!$F$14</f>
        <v>0</v>
      </c>
      <c r="AA190" s="127">
        <f>AA189*(AA189&gt;0)*Paramètres!$F$14</f>
        <v>0</v>
      </c>
      <c r="AB190" s="127">
        <f>AB189*(AB189&gt;0)*Paramètres!$F$14</f>
        <v>0</v>
      </c>
      <c r="AC190" s="127">
        <f>AC189*(AC189&gt;0)*Paramètres!$F$14</f>
        <v>0</v>
      </c>
      <c r="AD190" s="127">
        <f>AD189*(AD189&gt;0)*Paramètres!$F$14</f>
        <v>0</v>
      </c>
      <c r="AE190" s="127">
        <f>AE189*(AE189&gt;0)*Paramètres!$F$14</f>
        <v>0</v>
      </c>
      <c r="AF190" s="127">
        <f>AF189*(AF189&gt;0)*Paramètres!$F$14</f>
        <v>0</v>
      </c>
      <c r="AG190" s="127">
        <f>AG189*(AG189&gt;0)*Paramètres!$F$14</f>
        <v>0</v>
      </c>
      <c r="AH190" s="127">
        <f>AH189*(AH189&gt;0)*Paramètres!$F$14</f>
        <v>0</v>
      </c>
      <c r="AI190" s="127">
        <f>AI189*(AI189&gt;0)*Paramètres!$F$14</f>
        <v>0</v>
      </c>
      <c r="AJ190" s="127">
        <f>AJ189*(AJ189&gt;0)*Paramètres!$F$14</f>
        <v>0</v>
      </c>
      <c r="AK190" s="127">
        <f>AK189*(AK189&gt;0)*Paramètres!$F$14</f>
        <v>0</v>
      </c>
      <c r="AL190" s="127">
        <f>AL189*(AL189&gt;0)*Paramètres!$F$14</f>
        <v>0</v>
      </c>
      <c r="AM190" s="127">
        <f>AM189*(AM189&gt;0)*Paramètres!$F$14</f>
        <v>0</v>
      </c>
      <c r="AN190" s="127">
        <f>AN189*(AN189&gt;0)*Paramètres!$F$14</f>
        <v>0</v>
      </c>
      <c r="AO190" s="127">
        <f>AO189*(AO189&gt;0)*Paramètres!$F$14</f>
        <v>0</v>
      </c>
      <c r="AP190" s="127">
        <f>AP189*(AP189&gt;0)*Paramètres!$F$14</f>
        <v>0</v>
      </c>
      <c r="AQ190" s="127">
        <f>AQ189*(AQ189&gt;0)*Paramètres!$F$14</f>
        <v>0</v>
      </c>
      <c r="AR190" s="127">
        <f>AR189*(AR189&gt;0)*Paramètres!$F$14</f>
        <v>0</v>
      </c>
      <c r="AS190" s="127">
        <f>AS189*(AS189&gt;0)*Paramètres!$F$14</f>
        <v>0</v>
      </c>
      <c r="AT190" s="127">
        <f>AT189*(AT189&gt;0)*Paramètres!$F$14</f>
        <v>0</v>
      </c>
      <c r="AU190" s="127">
        <f>AU189*(AU189&gt;0)*Paramètres!$F$14</f>
        <v>0</v>
      </c>
      <c r="AV190" s="127">
        <f>AV189*(AV189&gt;0)*Paramètres!$F$14</f>
        <v>0</v>
      </c>
      <c r="AW190" s="127">
        <f>AW189*(AW189&gt;0)*Paramètres!$F$14</f>
        <v>0</v>
      </c>
      <c r="AX190" s="127">
        <f>AX189*(AX189&gt;0)*Paramètres!$F$14</f>
        <v>0</v>
      </c>
      <c r="AY190" s="127">
        <f>AY189*(AY189&gt;0)*Paramètres!$F$14</f>
        <v>0</v>
      </c>
      <c r="AZ190" s="127">
        <f>AZ189*(AZ189&gt;0)*Paramètres!$F$14</f>
        <v>0</v>
      </c>
      <c r="BA190" s="127">
        <f>BA189*(BA189&gt;0)*Paramètres!$F$14</f>
        <v>0</v>
      </c>
      <c r="BB190" s="127">
        <f>BB189*(BB189&gt;0)*Paramètres!$F$14</f>
        <v>0</v>
      </c>
      <c r="BC190" s="127">
        <f>BC189*(BC189&gt;0)*Paramètres!$F$14</f>
        <v>0</v>
      </c>
      <c r="BD190" s="127">
        <f>BD189*(BD189&gt;0)*Paramètres!$F$14</f>
        <v>0</v>
      </c>
    </row>
    <row r="191" spans="1:56" ht="15" customHeight="1">
      <c r="C191" s="193"/>
      <c r="E191" s="128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  <c r="AA191" s="194"/>
      <c r="AB191" s="194"/>
      <c r="AC191" s="194"/>
      <c r="AD191" s="194"/>
      <c r="AE191" s="194"/>
      <c r="AF191" s="194"/>
      <c r="AG191" s="194"/>
      <c r="AH191" s="194"/>
      <c r="AI191" s="194"/>
      <c r="AJ191" s="194"/>
      <c r="AK191" s="194"/>
      <c r="AL191" s="194"/>
      <c r="AM191" s="194"/>
      <c r="AN191" s="194"/>
      <c r="AO191" s="194"/>
      <c r="AP191" s="194"/>
      <c r="AQ191" s="194"/>
      <c r="AR191" s="194"/>
      <c r="AS191" s="194"/>
      <c r="AT191" s="194"/>
      <c r="AU191" s="194"/>
      <c r="AV191" s="194"/>
      <c r="AW191" s="194"/>
      <c r="AX191" s="194"/>
      <c r="AY191" s="194"/>
      <c r="AZ191" s="194"/>
      <c r="BA191" s="194"/>
      <c r="BB191" s="194"/>
      <c r="BC191" s="194"/>
      <c r="BD191" s="194"/>
    </row>
    <row r="192" spans="1:56" ht="15" customHeight="1">
      <c r="D192" s="195" t="s">
        <v>280</v>
      </c>
      <c r="E192" s="128"/>
    </row>
    <row r="193" spans="3:56" ht="15" customHeight="1">
      <c r="D193" s="153" t="s">
        <v>281</v>
      </c>
      <c r="E193" s="128" t="s">
        <v>26</v>
      </c>
      <c r="G193" s="112">
        <f>(Paramètres!G108-Paramètres!$F$109)/Paramètres!$F$109</f>
        <v>0.28000000000000003</v>
      </c>
      <c r="H193" s="112">
        <f>(Paramètres!H108-Paramètres!$F$109)/Paramètres!$F$109</f>
        <v>0.28000000000000003</v>
      </c>
      <c r="I193" s="112">
        <f>(Paramètres!I108-Paramètres!$F$109)/Paramètres!$F$109</f>
        <v>0.28000000000000003</v>
      </c>
      <c r="J193" s="112">
        <f>(Paramètres!J108-Paramètres!$F$109)/Paramètres!$F$109</f>
        <v>0.28000000000000003</v>
      </c>
      <c r="K193" s="112">
        <f>(Paramètres!K108-Paramètres!$F$109)/Paramètres!$F$109</f>
        <v>0.28000000000000003</v>
      </c>
      <c r="L193" s="112">
        <f>(Paramètres!L108-Paramètres!$F$109)/Paramètres!$F$109</f>
        <v>0.28000000000000003</v>
      </c>
      <c r="M193" s="112">
        <f>(Paramètres!M108-Paramètres!$F$109)/Paramètres!$F$109</f>
        <v>0.28000000000000003</v>
      </c>
      <c r="N193" s="112">
        <f>(Paramètres!N108-Paramètres!$F$109)/Paramètres!$F$109</f>
        <v>0.28000000000000003</v>
      </c>
      <c r="O193" s="112">
        <f>(Paramètres!O108-Paramètres!$F$109)/Paramètres!$F$109</f>
        <v>0.28000000000000003</v>
      </c>
      <c r="P193" s="112">
        <f>(Paramètres!P108-Paramètres!$F$109)/Paramètres!$F$109</f>
        <v>0.28000000000000003</v>
      </c>
      <c r="Q193" s="112">
        <f>(Paramètres!Q108-Paramètres!$F$109)/Paramètres!$F$109</f>
        <v>0.28000000000000003</v>
      </c>
      <c r="R193" s="112">
        <f>(Paramètres!R108-Paramètres!$F$109)/Paramètres!$F$109</f>
        <v>0.28000000000000003</v>
      </c>
      <c r="S193" s="112">
        <f>(Paramètres!S108-Paramètres!$F$109)/Paramètres!$F$109</f>
        <v>0.28000000000000003</v>
      </c>
      <c r="T193" s="112">
        <f>(Paramètres!T108-Paramètres!$F$109)/Paramètres!$F$109</f>
        <v>0.28000000000000003</v>
      </c>
      <c r="U193" s="112">
        <f>(Paramètres!U108-Paramètres!$F$109)/Paramètres!$F$109</f>
        <v>0.28000000000000003</v>
      </c>
      <c r="V193" s="112">
        <f>(Paramètres!V108-Paramètres!$F$109)/Paramètres!$F$109</f>
        <v>0.28000000000000003</v>
      </c>
      <c r="W193" s="112">
        <f>(Paramètres!W108-Paramètres!$F$109)/Paramètres!$F$109</f>
        <v>0.28000000000000003</v>
      </c>
      <c r="X193" s="112">
        <f>(Paramètres!X108-Paramètres!$F$109)/Paramètres!$F$109</f>
        <v>0.28000000000000003</v>
      </c>
      <c r="Y193" s="112">
        <f>(Paramètres!Y108-Paramètres!$F$109)/Paramètres!$F$109</f>
        <v>0.28000000000000003</v>
      </c>
      <c r="Z193" s="112">
        <f>(Paramètres!Z108-Paramètres!$F$109)/Paramètres!$F$109</f>
        <v>0.28000000000000003</v>
      </c>
      <c r="AA193" s="112">
        <f>(Paramètres!AA108-Paramètres!$F$109)/Paramètres!$F$109</f>
        <v>0.28000000000000003</v>
      </c>
      <c r="AB193" s="112">
        <f>(Paramètres!AB108-Paramètres!$F$109)/Paramètres!$F$109</f>
        <v>0.28000000000000003</v>
      </c>
      <c r="AC193" s="112">
        <f>(Paramètres!AC108-Paramètres!$F$109)/Paramètres!$F$109</f>
        <v>0.28000000000000003</v>
      </c>
      <c r="AD193" s="112">
        <f>(Paramètres!AD108-Paramètres!$F$109)/Paramètres!$F$109</f>
        <v>0.28000000000000003</v>
      </c>
      <c r="AE193" s="112">
        <f>(Paramètres!AE108-Paramètres!$F$109)/Paramètres!$F$109</f>
        <v>0.28000000000000003</v>
      </c>
      <c r="AF193" s="112">
        <f>(Paramètres!AF108-Paramètres!$F$109)/Paramètres!$F$109</f>
        <v>0.28000000000000003</v>
      </c>
      <c r="AG193" s="112">
        <f>(Paramètres!AG108-Paramètres!$F$109)/Paramètres!$F$109</f>
        <v>0.28000000000000003</v>
      </c>
      <c r="AH193" s="112">
        <f>(Paramètres!AH108-Paramètres!$F$109)/Paramètres!$F$109</f>
        <v>0.28000000000000003</v>
      </c>
      <c r="AI193" s="112">
        <f>(Paramètres!AI108-Paramètres!$F$109)/Paramètres!$F$109</f>
        <v>0.28000000000000003</v>
      </c>
      <c r="AJ193" s="112">
        <f>(Paramètres!AJ108-Paramètres!$F$109)/Paramètres!$F$109</f>
        <v>0.28000000000000003</v>
      </c>
      <c r="AK193" s="112">
        <f>(Paramètres!AK108-Paramètres!$F$109)/Paramètres!$F$109</f>
        <v>0.28000000000000003</v>
      </c>
      <c r="AL193" s="112">
        <f>(Paramètres!AL108-Paramètres!$F$109)/Paramètres!$F$109</f>
        <v>0.28000000000000003</v>
      </c>
      <c r="AM193" s="112">
        <f>(Paramètres!AM108-Paramètres!$F$109)/Paramètres!$F$109</f>
        <v>0.28000000000000003</v>
      </c>
      <c r="AN193" s="112">
        <f>(Paramètres!AN108-Paramètres!$F$109)/Paramètres!$F$109</f>
        <v>0.28000000000000003</v>
      </c>
      <c r="AO193" s="112">
        <f>(Paramètres!AO108-Paramètres!$F$109)/Paramètres!$F$109</f>
        <v>0.28000000000000003</v>
      </c>
      <c r="AP193" s="112">
        <f>(Paramètres!AP108-Paramètres!$F$109)/Paramètres!$F$109</f>
        <v>0.28000000000000003</v>
      </c>
      <c r="AQ193" s="112">
        <f>(Paramètres!AQ108-Paramètres!$F$109)/Paramètres!$F$109</f>
        <v>0.28000000000000003</v>
      </c>
      <c r="AR193" s="112">
        <f>(Paramètres!AR108-Paramètres!$F$109)/Paramètres!$F$109</f>
        <v>0.28000000000000003</v>
      </c>
      <c r="AS193" s="112">
        <f>(Paramètres!AS108-Paramètres!$F$109)/Paramètres!$F$109</f>
        <v>0.28000000000000003</v>
      </c>
      <c r="AT193" s="112">
        <f>(Paramètres!AT108-Paramètres!$F$109)/Paramètres!$F$109</f>
        <v>0.28000000000000003</v>
      </c>
      <c r="AU193" s="112">
        <f>(Paramètres!AU108-Paramètres!$F$109)/Paramètres!$F$109</f>
        <v>0.28000000000000003</v>
      </c>
      <c r="AV193" s="112">
        <f>(Paramètres!AV108-Paramètres!$F$109)/Paramètres!$F$109</f>
        <v>0.28000000000000003</v>
      </c>
      <c r="AW193" s="112">
        <f>(Paramètres!AW108-Paramètres!$F$109)/Paramètres!$F$109</f>
        <v>0.28000000000000003</v>
      </c>
      <c r="AX193" s="112">
        <f>(Paramètres!AX108-Paramètres!$F$109)/Paramètres!$F$109</f>
        <v>0.28000000000000003</v>
      </c>
      <c r="AY193" s="112">
        <f>(Paramètres!AY108-Paramètres!$F$109)/Paramètres!$F$109</f>
        <v>0.28000000000000003</v>
      </c>
      <c r="AZ193" s="112">
        <f>(Paramètres!AZ108-Paramètres!$F$109)/Paramètres!$F$109</f>
        <v>0.28000000000000003</v>
      </c>
      <c r="BA193" s="112">
        <f>(Paramètres!BA108-Paramètres!$F$109)/Paramètres!$F$109</f>
        <v>0.28000000000000003</v>
      </c>
      <c r="BB193" s="112">
        <f>(Paramètres!BB108-Paramètres!$F$109)/Paramètres!$F$109</f>
        <v>0.28000000000000003</v>
      </c>
      <c r="BC193" s="112">
        <f>(Paramètres!BC108-Paramètres!$F$109)/Paramètres!$F$109</f>
        <v>0.28000000000000003</v>
      </c>
      <c r="BD193" s="112">
        <f>(Paramètres!BD108-Paramètres!$F$109)/Paramètres!$F$109</f>
        <v>0.28000000000000003</v>
      </c>
    </row>
    <row r="194" spans="3:56" ht="15" customHeight="1">
      <c r="D194" s="153" t="s">
        <v>222</v>
      </c>
      <c r="E194" s="128" t="s">
        <v>195</v>
      </c>
      <c r="G194" s="127">
        <f>G175*(1-Paramètres!$F$100/Paramètres!G108)</f>
        <v>85.75</v>
      </c>
      <c r="H194" s="127">
        <f>H175*(1-Paramètres!$F$100/Paramètres!H108)</f>
        <v>128.16300000000001</v>
      </c>
      <c r="I194" s="127">
        <f>I175*(1-Paramètres!$F$100/Paramètres!I108)</f>
        <v>131.09039999999999</v>
      </c>
      <c r="J194" s="127">
        <f>J175*(1-Paramètres!$F$100/Paramètres!J108)</f>
        <v>148.56912</v>
      </c>
      <c r="K194" s="127">
        <f>K175*(1-Paramètres!$F$100/Paramètres!K108)</f>
        <v>151.54050239999998</v>
      </c>
      <c r="L194" s="127">
        <f>L175*(1-Paramètres!$F$100/Paramètres!L108)</f>
        <v>154.57131244800001</v>
      </c>
      <c r="M194" s="127">
        <f>M175*(1-Paramètres!$F$100/Paramètres!M108)</f>
        <v>157.66273869696002</v>
      </c>
      <c r="N194" s="127">
        <f>N175*(1-Paramètres!$F$100/Paramètres!N108)</f>
        <v>128.65279477671933</v>
      </c>
      <c r="O194" s="127">
        <f>O175*(1-Paramètres!$F$100/Paramètres!O108)</f>
        <v>70.943975519687186</v>
      </c>
      <c r="P194" s="127">
        <f>P175*(1-Paramètres!$F$100/Paramètres!P108)</f>
        <v>72.362855030080922</v>
      </c>
      <c r="Q194" s="127">
        <f>Q175*(1-Paramètres!$F$100/Paramètres!Q108)</f>
        <v>73.810112130682541</v>
      </c>
      <c r="R194" s="127">
        <f>R175*(1-Paramètres!$F$100/Paramètres!R108)</f>
        <v>75.286314373296193</v>
      </c>
      <c r="S194" s="127">
        <f>S175*(1-Paramètres!$F$100/Paramètres!S108)</f>
        <v>76.792040660762112</v>
      </c>
      <c r="T194" s="127">
        <f>T175*(1-Paramètres!$F$100/Paramètres!T108)</f>
        <v>78.327881473977357</v>
      </c>
      <c r="U194" s="127">
        <f>U175*(1-Paramètres!$F$100/Paramètres!U108)</f>
        <v>79.894439103456918</v>
      </c>
      <c r="V194" s="127">
        <f>V175*(1-Paramètres!$F$100/Paramètres!V108)</f>
        <v>62.650171148988221</v>
      </c>
      <c r="W194" s="127">
        <f>W175*(1-Paramètres!$F$100/Paramètres!W108)</f>
        <v>26.906599819775995</v>
      </c>
      <c r="X194" s="127">
        <f>X175*(1-Paramètres!$F$100/Paramètres!X108)</f>
        <v>0</v>
      </c>
      <c r="Y194" s="127">
        <f>Y175*(1-Paramètres!$F$100/Paramètres!Y108)</f>
        <v>0</v>
      </c>
      <c r="Z194" s="127">
        <f>Z175*(1-Paramètres!$F$100/Paramètres!Z108)</f>
        <v>0</v>
      </c>
      <c r="AA194" s="127">
        <f>AA175*(1-Paramètres!$F$100/Paramètres!AA108)</f>
        <v>0</v>
      </c>
      <c r="AB194" s="127">
        <f>AB175*(1-Paramètres!$F$100/Paramètres!AB108)</f>
        <v>0</v>
      </c>
      <c r="AC194" s="127">
        <f>AC175*(1-Paramètres!$F$100/Paramètres!AC108)</f>
        <v>0</v>
      </c>
      <c r="AD194" s="127">
        <f>AD175*(1-Paramètres!$F$100/Paramètres!AD108)</f>
        <v>0</v>
      </c>
      <c r="AE194" s="127">
        <f>AE175*(1-Paramètres!$F$100/Paramètres!AE108)</f>
        <v>0</v>
      </c>
      <c r="AF194" s="127">
        <f>AF175*(1-Paramètres!$F$100/Paramètres!AF108)</f>
        <v>0</v>
      </c>
      <c r="AG194" s="127">
        <f>AG175*(1-Paramètres!$F$100/Paramètres!AG108)</f>
        <v>0</v>
      </c>
      <c r="AH194" s="127">
        <f>AH175*(1-Paramètres!$F$100/Paramètres!AH108)</f>
        <v>0</v>
      </c>
      <c r="AI194" s="127">
        <f>AI175*(1-Paramètres!$F$100/Paramètres!AI108)</f>
        <v>0</v>
      </c>
      <c r="AJ194" s="127">
        <f>AJ175*(1-Paramètres!$F$100/Paramètres!AJ108)</f>
        <v>0</v>
      </c>
      <c r="AK194" s="127">
        <f>AK175*(1-Paramètres!$F$100/Paramètres!AK108)</f>
        <v>0</v>
      </c>
      <c r="AL194" s="127">
        <f>AL175*(1-Paramètres!$F$100/Paramètres!AL108)</f>
        <v>0</v>
      </c>
      <c r="AM194" s="127">
        <f>AM175*(1-Paramètres!$F$100/Paramètres!AM108)</f>
        <v>0</v>
      </c>
      <c r="AN194" s="127">
        <f>AN175*(1-Paramètres!$F$100/Paramètres!AN108)</f>
        <v>0</v>
      </c>
      <c r="AO194" s="127">
        <f>AO175*(1-Paramètres!$F$100/Paramètres!AO108)</f>
        <v>0</v>
      </c>
      <c r="AP194" s="127">
        <f>AP175*(1-Paramètres!$F$100/Paramètres!AP108)</f>
        <v>0</v>
      </c>
      <c r="AQ194" s="127">
        <f>AQ175*(1-Paramètres!$F$100/Paramètres!AQ108)</f>
        <v>0</v>
      </c>
      <c r="AR194" s="127">
        <f>AR175*(1-Paramètres!$F$100/Paramètres!AR108)</f>
        <v>0</v>
      </c>
      <c r="AS194" s="127">
        <f>AS175*(1-Paramètres!$F$100/Paramètres!AS108)</f>
        <v>0</v>
      </c>
      <c r="AT194" s="127">
        <f>AT175*(1-Paramètres!$F$100/Paramètres!AT108)</f>
        <v>0</v>
      </c>
      <c r="AU194" s="127">
        <f>AU175*(1-Paramètres!$F$100/Paramètres!AU108)</f>
        <v>0</v>
      </c>
      <c r="AV194" s="127">
        <f>AV175*(1-Paramètres!$F$100/Paramètres!AV108)</f>
        <v>0</v>
      </c>
      <c r="AW194" s="127">
        <f>AW175*(1-Paramètres!$F$100/Paramètres!AW108)</f>
        <v>0</v>
      </c>
      <c r="AX194" s="127">
        <f>AX175*(1-Paramètres!$F$100/Paramètres!AX108)</f>
        <v>0</v>
      </c>
      <c r="AY194" s="127">
        <f>AY175*(1-Paramètres!$F$100/Paramètres!AY108)</f>
        <v>0</v>
      </c>
      <c r="AZ194" s="127">
        <f>AZ175*(1-Paramètres!$F$100/Paramètres!AZ108)</f>
        <v>0</v>
      </c>
      <c r="BA194" s="127">
        <f>BA175*(1-Paramètres!$F$100/Paramètres!BA108)</f>
        <v>0</v>
      </c>
      <c r="BB194" s="127">
        <f>BB175*(1-Paramètres!$F$100/Paramètres!BB108)</f>
        <v>0</v>
      </c>
      <c r="BC194" s="127">
        <f>BC175*(1-Paramètres!$F$100/Paramètres!BC108)</f>
        <v>0</v>
      </c>
      <c r="BD194" s="127">
        <f>BD175*(1-Paramètres!$F$100/Paramètres!BD108)</f>
        <v>0</v>
      </c>
    </row>
    <row r="195" spans="3:56" ht="15" customHeight="1">
      <c r="C195" s="152">
        <f>SUM(G195:BD195)</f>
        <v>0</v>
      </c>
      <c r="D195" s="153" t="s">
        <v>282</v>
      </c>
      <c r="E195" s="128" t="s">
        <v>195</v>
      </c>
      <c r="G195" s="127">
        <f>IF(G193&gt;Paramètres!$F$31,G194*MAX(Paramètres!$F$30-Paramètres!$F$14,0),0)</f>
        <v>0</v>
      </c>
      <c r="H195" s="127">
        <f>IF(H193&gt;Paramètres!$F$31,H194*MAX(Paramètres!$F$30-Paramètres!$F$14,0),0)</f>
        <v>0</v>
      </c>
      <c r="I195" s="127">
        <f>IF(I193&gt;Paramètres!$F$31,I194*MAX(Paramètres!$F$30-Paramètres!$F$14,0),0)</f>
        <v>0</v>
      </c>
      <c r="J195" s="127">
        <f>IF(J193&gt;Paramètres!$F$31,J194*MAX(Paramètres!$F$30-Paramètres!$F$14,0),0)</f>
        <v>0</v>
      </c>
      <c r="K195" s="127">
        <f>IF(K193&gt;Paramètres!$F$31,K194*MAX(Paramètres!$F$30-Paramètres!$F$14,0),0)</f>
        <v>0</v>
      </c>
      <c r="L195" s="127">
        <f>IF(L193&gt;Paramètres!$F$31,L194*MAX(Paramètres!$F$30-Paramètres!$F$14,0),0)</f>
        <v>0</v>
      </c>
      <c r="M195" s="127">
        <f>IF(M193&gt;Paramètres!$F$31,M194*MAX(Paramètres!$F$30-Paramètres!$F$14,0),0)</f>
        <v>0</v>
      </c>
      <c r="N195" s="127">
        <f>IF(N193&gt;Paramètres!$F$31,N194*MAX(Paramètres!$F$30-Paramètres!$F$14,0),0)</f>
        <v>0</v>
      </c>
      <c r="O195" s="127">
        <f>IF(O193&gt;Paramètres!$F$31,O194*MAX(Paramètres!$F$30-Paramètres!$F$14,0),0)</f>
        <v>0</v>
      </c>
      <c r="P195" s="127">
        <f>IF(P193&gt;Paramètres!$F$31,P194*MAX(Paramètres!$F$30-Paramètres!$F$14,0),0)</f>
        <v>0</v>
      </c>
      <c r="Q195" s="127">
        <f>IF(Q193&gt;Paramètres!$F$31,Q194*MAX(Paramètres!$F$30-Paramètres!$F$14,0),0)</f>
        <v>0</v>
      </c>
      <c r="R195" s="127">
        <f>IF(R193&gt;Paramètres!$F$31,R194*MAX(Paramètres!$F$30-Paramètres!$F$14,0),0)</f>
        <v>0</v>
      </c>
      <c r="S195" s="127">
        <f>IF(S193&gt;Paramètres!$F$31,S194*MAX(Paramètres!$F$30-Paramètres!$F$14,0),0)</f>
        <v>0</v>
      </c>
      <c r="T195" s="127">
        <f>IF(T193&gt;Paramètres!$F$31,T194*MAX(Paramètres!$F$30-Paramètres!$F$14,0),0)</f>
        <v>0</v>
      </c>
      <c r="U195" s="127">
        <f>IF(U193&gt;Paramètres!$F$31,U194*MAX(Paramètres!$F$30-Paramètres!$F$14,0),0)</f>
        <v>0</v>
      </c>
      <c r="V195" s="127">
        <f>IF(V193&gt;Paramètres!$F$31,V194*MAX(Paramètres!$F$30-Paramètres!$F$14,0),0)</f>
        <v>0</v>
      </c>
      <c r="W195" s="127">
        <f>IF(W193&gt;Paramètres!$F$31,W194*MAX(Paramètres!$F$30-Paramètres!$F$14,0),0)</f>
        <v>0</v>
      </c>
      <c r="X195" s="127">
        <f>IF(X193&gt;Paramètres!$F$31,X194*MAX(Paramètres!$F$30-Paramètres!$F$14,0),0)</f>
        <v>0</v>
      </c>
      <c r="Y195" s="127">
        <f>IF(Y193&gt;Paramètres!$F$31,Y194*MAX(Paramètres!$F$30-Paramètres!$F$14,0),0)</f>
        <v>0</v>
      </c>
      <c r="Z195" s="127">
        <f>IF(Z193&gt;Paramètres!$F$31,Z194*MAX(Paramètres!$F$30-Paramètres!$F$14,0),0)</f>
        <v>0</v>
      </c>
      <c r="AA195" s="127">
        <f>IF(AA193&gt;Paramètres!$F$31,AA194*MAX(Paramètres!$F$30-Paramètres!$F$14,0),0)</f>
        <v>0</v>
      </c>
      <c r="AB195" s="127">
        <f>IF(AB193&gt;Paramètres!$F$31,AB194*MAX(Paramètres!$F$30-Paramètres!$F$14,0),0)</f>
        <v>0</v>
      </c>
      <c r="AC195" s="127">
        <f>IF(AC193&gt;Paramètres!$F$31,AC194*MAX(Paramètres!$F$30-Paramètres!$F$14,0),0)</f>
        <v>0</v>
      </c>
      <c r="AD195" s="127">
        <f>IF(AD193&gt;Paramètres!$F$31,AD194*MAX(Paramètres!$F$30-Paramètres!$F$14,0),0)</f>
        <v>0</v>
      </c>
      <c r="AE195" s="127">
        <f>IF(AE193&gt;Paramètres!$F$31,AE194*MAX(Paramètres!$F$30-Paramètres!$F$14,0),0)</f>
        <v>0</v>
      </c>
      <c r="AF195" s="127">
        <f>IF(AF193&gt;Paramètres!$F$31,AF194*MAX(Paramètres!$F$30-Paramètres!$F$14,0),0)</f>
        <v>0</v>
      </c>
      <c r="AG195" s="127">
        <f>IF(AG193&gt;Paramètres!$F$31,AG194*MAX(Paramètres!$F$30-Paramètres!$F$14,0),0)</f>
        <v>0</v>
      </c>
      <c r="AH195" s="127">
        <f>IF(AH193&gt;Paramètres!$F$31,AH194*MAX(Paramètres!$F$30-Paramètres!$F$14,0),0)</f>
        <v>0</v>
      </c>
      <c r="AI195" s="127">
        <f>IF(AI193&gt;Paramètres!$F$31,AI194*MAX(Paramètres!$F$30-Paramètres!$F$14,0),0)</f>
        <v>0</v>
      </c>
      <c r="AJ195" s="127">
        <f>IF(AJ193&gt;Paramètres!$F$31,AJ194*MAX(Paramètres!$F$30-Paramètres!$F$14,0),0)</f>
        <v>0</v>
      </c>
      <c r="AK195" s="127">
        <f>IF(AK193&gt;Paramètres!$F$31,AK194*MAX(Paramètres!$F$30-Paramètres!$F$14,0),0)</f>
        <v>0</v>
      </c>
      <c r="AL195" s="127">
        <f>IF(AL193&gt;Paramètres!$F$31,AL194*MAX(Paramètres!$F$30-Paramètres!$F$14,0),0)</f>
        <v>0</v>
      </c>
      <c r="AM195" s="127">
        <f>IF(AM193&gt;Paramètres!$F$31,AM194*MAX(Paramètres!$F$30-Paramètres!$F$14,0),0)</f>
        <v>0</v>
      </c>
      <c r="AN195" s="127">
        <f>IF(AN193&gt;Paramètres!$F$31,AN194*MAX(Paramètres!$F$30-Paramètres!$F$14,0),0)</f>
        <v>0</v>
      </c>
      <c r="AO195" s="127">
        <f>IF(AO193&gt;Paramètres!$F$31,AO194*MAX(Paramètres!$F$30-Paramètres!$F$14,0),0)</f>
        <v>0</v>
      </c>
      <c r="AP195" s="127">
        <f>IF(AP193&gt;Paramètres!$F$31,AP194*MAX(Paramètres!$F$30-Paramètres!$F$14,0),0)</f>
        <v>0</v>
      </c>
      <c r="AQ195" s="127">
        <f>IF(AQ193&gt;Paramètres!$F$31,AQ194*MAX(Paramètres!$F$30-Paramètres!$F$14,0),0)</f>
        <v>0</v>
      </c>
      <c r="AR195" s="127">
        <f>IF(AR193&gt;Paramètres!$F$31,AR194*MAX(Paramètres!$F$30-Paramètres!$F$14,0),0)</f>
        <v>0</v>
      </c>
      <c r="AS195" s="127">
        <f>IF(AS193&gt;Paramètres!$F$31,AS194*MAX(Paramètres!$F$30-Paramètres!$F$14,0),0)</f>
        <v>0</v>
      </c>
      <c r="AT195" s="127">
        <f>IF(AT193&gt;Paramètres!$F$31,AT194*MAX(Paramètres!$F$30-Paramètres!$F$14,0),0)</f>
        <v>0</v>
      </c>
      <c r="AU195" s="127">
        <f>IF(AU193&gt;Paramètres!$F$31,AU194*MAX(Paramètres!$F$30-Paramètres!$F$14,0),0)</f>
        <v>0</v>
      </c>
      <c r="AV195" s="127">
        <f>IF(AV193&gt;Paramètres!$F$31,AV194*MAX(Paramètres!$F$30-Paramètres!$F$14,0),0)</f>
        <v>0</v>
      </c>
      <c r="AW195" s="127">
        <f>IF(AW193&gt;Paramètres!$F$31,AW194*MAX(Paramètres!$F$30-Paramètres!$F$14,0),0)</f>
        <v>0</v>
      </c>
      <c r="AX195" s="127">
        <f>IF(AX193&gt;Paramètres!$F$31,AX194*MAX(Paramètres!$F$30-Paramètres!$F$14,0),0)</f>
        <v>0</v>
      </c>
      <c r="AY195" s="127">
        <f>IF(AY193&gt;Paramètres!$F$31,AY194*MAX(Paramètres!$F$30-Paramètres!$F$14,0),0)</f>
        <v>0</v>
      </c>
      <c r="AZ195" s="127">
        <f>IF(AZ193&gt;Paramètres!$F$31,AZ194*MAX(Paramètres!$F$30-Paramètres!$F$14,0),0)</f>
        <v>0</v>
      </c>
      <c r="BA195" s="127">
        <f>IF(BA193&gt;Paramètres!$F$31,BA194*MAX(Paramètres!$F$30-Paramètres!$F$14,0),0)</f>
        <v>0</v>
      </c>
      <c r="BB195" s="127">
        <f>IF(BB193&gt;Paramètres!$F$31,BB194*MAX(Paramètres!$F$30-Paramètres!$F$14,0),0)</f>
        <v>0</v>
      </c>
      <c r="BC195" s="127">
        <f>IF(BC193&gt;Paramètres!$F$31,BC194*MAX(Paramètres!$F$30-Paramètres!$F$14,0),0)</f>
        <v>0</v>
      </c>
      <c r="BD195" s="127">
        <f>IF(BD193&gt;Paramètres!$F$31,BD194*MAX(Paramètres!$F$30-Paramètres!$F$14,0),0)</f>
        <v>0</v>
      </c>
    </row>
    <row r="196" spans="3:56" ht="15" customHeight="1">
      <c r="C196" s="174"/>
      <c r="D196" s="80"/>
      <c r="E196" s="196"/>
      <c r="F196" s="80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  <c r="AA196" s="174"/>
      <c r="AB196" s="174"/>
      <c r="AC196" s="174"/>
      <c r="AD196" s="174"/>
      <c r="AE196" s="174"/>
      <c r="AF196" s="174"/>
      <c r="AG196" s="174"/>
      <c r="AH196" s="174"/>
      <c r="AI196" s="174"/>
      <c r="AJ196" s="174"/>
      <c r="AK196" s="174"/>
      <c r="AL196" s="174"/>
      <c r="AM196" s="174"/>
      <c r="AN196" s="174"/>
      <c r="AO196" s="174"/>
      <c r="AP196" s="174"/>
      <c r="AQ196" s="174"/>
      <c r="AR196" s="174"/>
      <c r="AS196" s="174"/>
      <c r="AT196" s="174"/>
      <c r="AU196" s="174"/>
      <c r="AV196" s="174"/>
      <c r="AW196" s="174"/>
      <c r="AX196" s="174"/>
      <c r="AY196" s="174"/>
      <c r="AZ196" s="174"/>
      <c r="BA196" s="174"/>
      <c r="BB196" s="174"/>
      <c r="BC196" s="174"/>
      <c r="BD196" s="174"/>
    </row>
    <row r="197" spans="3:56" ht="15" customHeight="1">
      <c r="C197" s="151"/>
      <c r="D197" s="197" t="s">
        <v>283</v>
      </c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</row>
    <row r="198" spans="3:56" ht="15" customHeight="1">
      <c r="C198" s="151"/>
      <c r="D198" s="55" t="s">
        <v>284</v>
      </c>
      <c r="E198" s="55" t="s">
        <v>285</v>
      </c>
      <c r="G198" s="125">
        <f>G2-Paramètres!$F$18</f>
        <v>-4</v>
      </c>
      <c r="H198" s="125">
        <f>H2-Paramètres!$F$18</f>
        <v>-3</v>
      </c>
      <c r="I198" s="125">
        <f>I2-Paramètres!$F$18</f>
        <v>-2</v>
      </c>
      <c r="J198" s="125">
        <f>J2-Paramètres!$F$18</f>
        <v>-1</v>
      </c>
      <c r="K198" s="125">
        <f>K2-Paramètres!$F$18</f>
        <v>0</v>
      </c>
      <c r="L198" s="125">
        <f>L2-Paramètres!$F$18</f>
        <v>1</v>
      </c>
      <c r="M198" s="125">
        <f>M2-Paramètres!$F$18</f>
        <v>2</v>
      </c>
      <c r="N198" s="125">
        <f>N2-Paramètres!$F$18</f>
        <v>3</v>
      </c>
      <c r="O198" s="125">
        <f>O2-Paramètres!$F$18</f>
        <v>4</v>
      </c>
      <c r="P198" s="125">
        <f>P2-Paramètres!$F$18</f>
        <v>5</v>
      </c>
      <c r="Q198" s="125">
        <f>Q2-Paramètres!$F$18</f>
        <v>6</v>
      </c>
      <c r="R198" s="125">
        <f>R2-Paramètres!$F$18</f>
        <v>7</v>
      </c>
      <c r="S198" s="125">
        <f>S2-Paramètres!$F$18</f>
        <v>8</v>
      </c>
      <c r="T198" s="125">
        <f>T2-Paramètres!$F$18</f>
        <v>9</v>
      </c>
      <c r="U198" s="125">
        <f>U2-Paramètres!$F$18</f>
        <v>10</v>
      </c>
      <c r="V198" s="125">
        <f>V2-Paramètres!$F$18</f>
        <v>11</v>
      </c>
      <c r="W198" s="125">
        <f>W2-Paramètres!$F$18</f>
        <v>12</v>
      </c>
      <c r="X198" s="125">
        <f>X2-Paramètres!$F$18</f>
        <v>13</v>
      </c>
      <c r="Y198" s="125">
        <f>Y2-Paramètres!$F$18</f>
        <v>14</v>
      </c>
      <c r="Z198" s="125">
        <f>Z2-Paramètres!$F$18</f>
        <v>15</v>
      </c>
      <c r="AA198" s="125">
        <f>AA2-Paramètres!$F$18</f>
        <v>16</v>
      </c>
      <c r="AB198" s="125">
        <f>AB2-Paramètres!$F$18</f>
        <v>17</v>
      </c>
      <c r="AC198" s="125">
        <f>AC2-Paramètres!$F$18</f>
        <v>18</v>
      </c>
      <c r="AD198" s="125">
        <f>AD2-Paramètres!$F$18</f>
        <v>19</v>
      </c>
      <c r="AE198" s="125">
        <f>AE2-Paramètres!$F$18</f>
        <v>20</v>
      </c>
      <c r="AF198" s="125">
        <f>AF2-Paramètres!$F$18</f>
        <v>21</v>
      </c>
      <c r="AG198" s="125">
        <f>AG2-Paramètres!$F$18</f>
        <v>22</v>
      </c>
      <c r="AH198" s="125">
        <f>AH2-Paramètres!$F$18</f>
        <v>23</v>
      </c>
      <c r="AI198" s="125">
        <f>AI2-Paramètres!$F$18</f>
        <v>24</v>
      </c>
      <c r="AJ198" s="125">
        <f>AJ2-Paramètres!$F$18</f>
        <v>25</v>
      </c>
      <c r="AK198" s="125">
        <f>AK2-Paramètres!$F$18</f>
        <v>26</v>
      </c>
      <c r="AL198" s="125">
        <f>AL2-Paramètres!$F$18</f>
        <v>27</v>
      </c>
      <c r="AM198" s="125">
        <f>AM2-Paramètres!$F$18</f>
        <v>28</v>
      </c>
      <c r="AN198" s="125">
        <f>AN2-Paramètres!$F$18</f>
        <v>29</v>
      </c>
      <c r="AO198" s="125">
        <f>AO2-Paramètres!$F$18</f>
        <v>30</v>
      </c>
      <c r="AP198" s="125">
        <f>AP2-Paramètres!$F$18</f>
        <v>31</v>
      </c>
      <c r="AQ198" s="125">
        <f>AQ2-Paramètres!$F$18</f>
        <v>32</v>
      </c>
      <c r="AR198" s="125">
        <f>AR2-Paramètres!$F$18</f>
        <v>33</v>
      </c>
      <c r="AS198" s="125">
        <f>AS2-Paramètres!$F$18</f>
        <v>34</v>
      </c>
      <c r="AT198" s="125">
        <f>AT2-Paramètres!$F$18</f>
        <v>35</v>
      </c>
      <c r="AU198" s="125">
        <f>AU2-Paramètres!$F$18</f>
        <v>36</v>
      </c>
      <c r="AV198" s="125">
        <f>AV2-Paramètres!$F$18</f>
        <v>37</v>
      </c>
      <c r="AW198" s="125">
        <f>AW2-Paramètres!$F$18</f>
        <v>38</v>
      </c>
      <c r="AX198" s="125">
        <f>AX2-Paramètres!$F$18</f>
        <v>39</v>
      </c>
      <c r="AY198" s="125">
        <f>AY2-Paramètres!$F$18</f>
        <v>40</v>
      </c>
      <c r="AZ198" s="125">
        <f>AZ2-Paramètres!$F$18</f>
        <v>41</v>
      </c>
      <c r="BA198" s="125">
        <f>BA2-Paramètres!$F$18</f>
        <v>42</v>
      </c>
      <c r="BB198" s="125">
        <f>BB2-Paramètres!$F$18</f>
        <v>43</v>
      </c>
      <c r="BC198" s="125">
        <f>BC2-Paramètres!$F$18</f>
        <v>44</v>
      </c>
      <c r="BD198" s="125">
        <f>BD2-Paramètres!$F$18</f>
        <v>45</v>
      </c>
    </row>
    <row r="199" spans="3:56" ht="15" customHeight="1">
      <c r="C199" s="151"/>
      <c r="D199" s="55" t="s">
        <v>286</v>
      </c>
      <c r="E199" s="128" t="s">
        <v>195</v>
      </c>
      <c r="G199" s="125">
        <f>-MIN(0,IFERROR(INDEX($G$187:G187,1,MATCH(G198,$G$2:$BD$2,0)),0))</f>
        <v>0</v>
      </c>
      <c r="H199" s="125">
        <f>-MIN(0,IFERROR(INDEX($G$187:H187,1,MATCH(H198,$G$2:$BD$2,0)),0))</f>
        <v>0</v>
      </c>
      <c r="I199" s="125">
        <f>-MIN(0,IFERROR(INDEX($G$187:I187,1,MATCH(I198,$G$2:$BD$2,0)),0))</f>
        <v>0</v>
      </c>
      <c r="J199" s="125">
        <f>-MIN(0,IFERROR(INDEX($G$187:J187,1,MATCH(J198,$G$2:$BD$2,0)),0))</f>
        <v>0</v>
      </c>
      <c r="K199" s="125">
        <f>-MIN(0,IFERROR(INDEX($G$187:K187,1,MATCH(K198,$G$2:$BD$2,0)),0))</f>
        <v>0</v>
      </c>
      <c r="L199" s="125">
        <f>-MIN(0,IFERROR(INDEX($G$187:L187,1,MATCH(L198,$G$2:$BD$2,0)),0))</f>
        <v>0</v>
      </c>
      <c r="M199" s="125">
        <f>-MIN(0,IFERROR(INDEX($G$187:M187,1,MATCH(M198,$G$2:$BD$2,0)),0))</f>
        <v>0</v>
      </c>
      <c r="N199" s="125">
        <f>-MIN(0,IFERROR(INDEX($G$187:N187,1,MATCH(N198,$G$2:$BD$2,0)),0))</f>
        <v>0</v>
      </c>
      <c r="O199" s="125">
        <f>-MIN(0,IFERROR(INDEX($G$187:O187,1,MATCH(O198,$G$2:$BD$2,0)),0))</f>
        <v>0</v>
      </c>
      <c r="P199" s="125">
        <f>-MIN(0,IFERROR(INDEX($G$187:P187,1,MATCH(P198,$G$2:$BD$2,0)),0))</f>
        <v>0</v>
      </c>
      <c r="Q199" s="125">
        <f>-MIN(0,IFERROR(INDEX($G$187:Q187,1,MATCH(Q198,$G$2:$BD$2,0)),0))</f>
        <v>0</v>
      </c>
      <c r="R199" s="125">
        <f>-MIN(0,IFERROR(INDEX($G$187:R187,1,MATCH(R198,$G$2:$BD$2,0)),0))</f>
        <v>0</v>
      </c>
      <c r="S199" s="125">
        <f>-MIN(0,IFERROR(INDEX($G$187:S187,1,MATCH(S198,$G$2:$BD$2,0)),0))</f>
        <v>0</v>
      </c>
      <c r="T199" s="125">
        <f>-MIN(0,IFERROR(INDEX($G$187:T187,1,MATCH(T198,$G$2:$BD$2,0)),0))</f>
        <v>0</v>
      </c>
      <c r="U199" s="125">
        <f>-MIN(0,IFERROR(INDEX($G$187:U187,1,MATCH(U198,$G$2:$BD$2,0)),0))</f>
        <v>0</v>
      </c>
      <c r="V199" s="125">
        <f>-MIN(0,IFERROR(INDEX($G$187:V187,1,MATCH(V198,$G$2:$BD$2,0)),0))</f>
        <v>0</v>
      </c>
      <c r="W199" s="125">
        <f>-MIN(0,IFERROR(INDEX($G$187:W187,1,MATCH(W198,$G$2:$BD$2,0)),0))</f>
        <v>0</v>
      </c>
      <c r="X199" s="125">
        <f>-MIN(0,IFERROR(INDEX($G$187:X187,1,MATCH(X198,$G$2:$BD$2,0)),0))</f>
        <v>0</v>
      </c>
      <c r="Y199" s="125">
        <f>-MIN(0,IFERROR(INDEX($G$187:Y187,1,MATCH(Y198,$G$2:$BD$2,0)),0))</f>
        <v>0</v>
      </c>
      <c r="Z199" s="125">
        <f>-MIN(0,IFERROR(INDEX($G$187:Z187,1,MATCH(Z198,$G$2:$BD$2,0)),0))</f>
        <v>0</v>
      </c>
      <c r="AA199" s="125">
        <f>-MIN(0,IFERROR(INDEX($G$187:AA187,1,MATCH(AA198,$G$2:$BD$2,0)),0))</f>
        <v>0</v>
      </c>
      <c r="AB199" s="125">
        <f>-MIN(0,IFERROR(INDEX($G$187:AB187,1,MATCH(AB198,$G$2:$BD$2,0)),0))</f>
        <v>0</v>
      </c>
      <c r="AC199" s="125">
        <f>-MIN(0,IFERROR(INDEX($G$187:AC187,1,MATCH(AC198,$G$2:$BD$2,0)),0))</f>
        <v>11.545391572076127</v>
      </c>
      <c r="AD199" s="125">
        <f>-MIN(0,IFERROR(INDEX($G$187:AD187,1,MATCH(AD198,$G$2:$BD$2,0)),0))</f>
        <v>5.5948010719886661</v>
      </c>
      <c r="AE199" s="125">
        <f>-MIN(0,IFERROR(INDEX($G$187:AE187,1,MATCH(AE198,$G$2:$BD$2,0)),0))</f>
        <v>2.1641562880251994</v>
      </c>
      <c r="AF199" s="125">
        <f>-MIN(0,IFERROR(INDEX($G$187:AF187,1,MATCH(AF198,$G$2:$BD$2,0)),0))</f>
        <v>0.54911428203624468</v>
      </c>
      <c r="AG199" s="125">
        <f>-MIN(0,IFERROR(INDEX($G$187:AG187,1,MATCH(AG198,$G$2:$BD$2,0)),0))</f>
        <v>0</v>
      </c>
      <c r="AH199" s="125">
        <f>-MIN(0,IFERROR(INDEX($G$187:AH187,1,MATCH(AH198,$G$2:$BD$2,0)),0))</f>
        <v>0</v>
      </c>
      <c r="AI199" s="125">
        <f>-MIN(0,IFERROR(INDEX($G$187:AI187,1,MATCH(AI198,$G$2:$BD$2,0)),0))</f>
        <v>0</v>
      </c>
      <c r="AJ199" s="125">
        <f>-MIN(0,IFERROR(INDEX($G$187:AJ187,1,MATCH(AJ198,$G$2:$BD$2,0)),0))</f>
        <v>0</v>
      </c>
      <c r="AK199" s="125">
        <f>-MIN(0,IFERROR(INDEX($G$187:AK187,1,MATCH(AK198,$G$2:$BD$2,0)),0))</f>
        <v>0</v>
      </c>
      <c r="AL199" s="125">
        <f>-MIN(0,IFERROR(INDEX($G$187:AL187,1,MATCH(AL198,$G$2:$BD$2,0)),0))</f>
        <v>0</v>
      </c>
      <c r="AM199" s="125">
        <f>-MIN(0,IFERROR(INDEX($G$187:AM187,1,MATCH(AM198,$G$2:$BD$2,0)),0))</f>
        <v>0</v>
      </c>
      <c r="AN199" s="125">
        <f>-MIN(0,IFERROR(INDEX($G$187:AN187,1,MATCH(AN198,$G$2:$BD$2,0)),0))</f>
        <v>0</v>
      </c>
      <c r="AO199" s="125">
        <f>-MIN(0,IFERROR(INDEX($G$187:AO187,1,MATCH(AO198,$G$2:$BD$2,0)),0))</f>
        <v>0</v>
      </c>
      <c r="AP199" s="125">
        <f>-MIN(0,IFERROR(INDEX($G$187:AP187,1,MATCH(AP198,$G$2:$BD$2,0)),0))</f>
        <v>0</v>
      </c>
      <c r="AQ199" s="125">
        <f>-MIN(0,IFERROR(INDEX($G$187:AQ187,1,MATCH(AQ198,$G$2:$BD$2,0)),0))</f>
        <v>0</v>
      </c>
      <c r="AR199" s="125">
        <f>-MIN(0,IFERROR(INDEX($G$187:AR187,1,MATCH(AR198,$G$2:$BD$2,0)),0))</f>
        <v>0</v>
      </c>
      <c r="AS199" s="125">
        <f>-MIN(0,IFERROR(INDEX($G$187:AS187,1,MATCH(AS198,$G$2:$BD$2,0)),0))</f>
        <v>0</v>
      </c>
      <c r="AT199" s="125">
        <f>-MIN(0,IFERROR(INDEX($G$187:AT187,1,MATCH(AT198,$G$2:$BD$2,0)),0))</f>
        <v>0</v>
      </c>
      <c r="AU199" s="125">
        <f>-MIN(0,IFERROR(INDEX($G$187:AU187,1,MATCH(AU198,$G$2:$BD$2,0)),0))</f>
        <v>0</v>
      </c>
      <c r="AV199" s="125">
        <f>-MIN(0,IFERROR(INDEX($G$187:AV187,1,MATCH(AV198,$G$2:$BD$2,0)),0))</f>
        <v>0</v>
      </c>
      <c r="AW199" s="125">
        <f>-MIN(0,IFERROR(INDEX($G$187:AW187,1,MATCH(AW198,$G$2:$BD$2,0)),0))</f>
        <v>0</v>
      </c>
      <c r="AX199" s="125">
        <f>-MIN(0,IFERROR(INDEX($G$187:AX187,1,MATCH(AX198,$G$2:$BD$2,0)),0))</f>
        <v>0</v>
      </c>
      <c r="AY199" s="125">
        <f>-MIN(0,IFERROR(INDEX($G$187:AY187,1,MATCH(AY198,$G$2:$BD$2,0)),0))</f>
        <v>0</v>
      </c>
      <c r="AZ199" s="125">
        <f>-MIN(0,IFERROR(INDEX($G$187:AZ187,1,MATCH(AZ198,$G$2:$BD$2,0)),0))</f>
        <v>0</v>
      </c>
      <c r="BA199" s="125">
        <f>-MIN(0,IFERROR(INDEX($G$187:BA187,1,MATCH(BA198,$G$2:$BD$2,0)),0))</f>
        <v>0</v>
      </c>
      <c r="BB199" s="125">
        <f>-MIN(0,IFERROR(INDEX($G$187:BB187,1,MATCH(BB198,$G$2:$BD$2,0)),0))</f>
        <v>0</v>
      </c>
      <c r="BC199" s="125">
        <f>-MIN(0,IFERROR(INDEX($G$187:BC187,1,MATCH(BC198,$G$2:$BD$2,0)),0))</f>
        <v>0</v>
      </c>
      <c r="BD199" s="125">
        <f>-MIN(0,IFERROR(INDEX($G$187:BD187,1,MATCH(BD198,$G$2:$BD$2,0)),0))</f>
        <v>0</v>
      </c>
    </row>
    <row r="200" spans="3:56" ht="15" customHeight="1">
      <c r="C200" s="151"/>
      <c r="D200" s="55" t="s">
        <v>287</v>
      </c>
      <c r="E200" s="128" t="s">
        <v>195</v>
      </c>
      <c r="G200" s="125"/>
      <c r="H200" s="125">
        <f t="shared" ref="H200:AM200" si="158">G204</f>
        <v>0</v>
      </c>
      <c r="I200" s="125">
        <f t="shared" si="158"/>
        <v>0</v>
      </c>
      <c r="J200" s="125">
        <f t="shared" si="158"/>
        <v>0</v>
      </c>
      <c r="K200" s="125">
        <f t="shared" si="158"/>
        <v>0</v>
      </c>
      <c r="L200" s="125">
        <f t="shared" si="158"/>
        <v>0</v>
      </c>
      <c r="M200" s="125">
        <f t="shared" si="158"/>
        <v>0</v>
      </c>
      <c r="N200" s="125">
        <f t="shared" si="158"/>
        <v>0</v>
      </c>
      <c r="O200" s="125">
        <f t="shared" si="158"/>
        <v>0</v>
      </c>
      <c r="P200" s="125">
        <f t="shared" si="158"/>
        <v>0</v>
      </c>
      <c r="Q200" s="125">
        <f t="shared" si="158"/>
        <v>0</v>
      </c>
      <c r="R200" s="125">
        <f t="shared" si="158"/>
        <v>0</v>
      </c>
      <c r="S200" s="125">
        <f t="shared" si="158"/>
        <v>0</v>
      </c>
      <c r="T200" s="125">
        <f t="shared" si="158"/>
        <v>0</v>
      </c>
      <c r="U200" s="125">
        <f t="shared" si="158"/>
        <v>0</v>
      </c>
      <c r="V200" s="125">
        <f t="shared" si="158"/>
        <v>0</v>
      </c>
      <c r="W200" s="125">
        <f t="shared" si="158"/>
        <v>0</v>
      </c>
      <c r="X200" s="125">
        <f t="shared" si="158"/>
        <v>0</v>
      </c>
      <c r="Y200" s="125">
        <f t="shared" si="158"/>
        <v>11.545391572076127</v>
      </c>
      <c r="Z200" s="125">
        <f t="shared" si="158"/>
        <v>17.140192644064793</v>
      </c>
      <c r="AA200" s="125">
        <f t="shared" si="158"/>
        <v>19.304348932089994</v>
      </c>
      <c r="AB200" s="125">
        <f t="shared" si="158"/>
        <v>19.85346321412624</v>
      </c>
      <c r="AC200" s="125">
        <f t="shared" si="158"/>
        <v>19.85346321412624</v>
      </c>
      <c r="AD200" s="125">
        <f t="shared" si="158"/>
        <v>8.3080716420501126</v>
      </c>
      <c r="AE200" s="125">
        <f t="shared" si="158"/>
        <v>2.7132705700614466</v>
      </c>
      <c r="AF200" s="125">
        <f t="shared" si="158"/>
        <v>0.54911428203624713</v>
      </c>
      <c r="AG200" s="125">
        <f t="shared" si="158"/>
        <v>2.4424906541753444E-15</v>
      </c>
      <c r="AH200" s="125">
        <f t="shared" si="158"/>
        <v>2.4424906541753444E-15</v>
      </c>
      <c r="AI200" s="125">
        <f t="shared" si="158"/>
        <v>2.4424906541753444E-15</v>
      </c>
      <c r="AJ200" s="125">
        <f t="shared" si="158"/>
        <v>2.4424906541753444E-15</v>
      </c>
      <c r="AK200" s="125">
        <f t="shared" si="158"/>
        <v>2.4424906541753444E-15</v>
      </c>
      <c r="AL200" s="125">
        <f t="shared" si="158"/>
        <v>2.4424906541753444E-15</v>
      </c>
      <c r="AM200" s="125">
        <f t="shared" si="158"/>
        <v>2.4424906541753444E-15</v>
      </c>
      <c r="AN200" s="125">
        <f t="shared" ref="AN200:BD200" si="159">AM204</f>
        <v>2.4424906541753444E-15</v>
      </c>
      <c r="AO200" s="125">
        <f t="shared" si="159"/>
        <v>2.4424906541753444E-15</v>
      </c>
      <c r="AP200" s="125">
        <f t="shared" si="159"/>
        <v>2.4424906541753444E-15</v>
      </c>
      <c r="AQ200" s="125">
        <f t="shared" si="159"/>
        <v>2.4424906541753444E-15</v>
      </c>
      <c r="AR200" s="125">
        <f t="shared" si="159"/>
        <v>2.4424906541753444E-15</v>
      </c>
      <c r="AS200" s="125">
        <f t="shared" si="159"/>
        <v>2.4424906541753444E-15</v>
      </c>
      <c r="AT200" s="125">
        <f t="shared" si="159"/>
        <v>2.4424906541753444E-15</v>
      </c>
      <c r="AU200" s="125">
        <f t="shared" si="159"/>
        <v>2.4424906541753444E-15</v>
      </c>
      <c r="AV200" s="125">
        <f t="shared" si="159"/>
        <v>2.4424906541753444E-15</v>
      </c>
      <c r="AW200" s="125">
        <f t="shared" si="159"/>
        <v>2.4424906541753444E-15</v>
      </c>
      <c r="AX200" s="125">
        <f t="shared" si="159"/>
        <v>2.4424906541753444E-15</v>
      </c>
      <c r="AY200" s="125">
        <f t="shared" si="159"/>
        <v>2.4424906541753444E-15</v>
      </c>
      <c r="AZ200" s="125">
        <f t="shared" si="159"/>
        <v>2.4424906541753444E-15</v>
      </c>
      <c r="BA200" s="125">
        <f t="shared" si="159"/>
        <v>2.4424906541753444E-15</v>
      </c>
      <c r="BB200" s="125">
        <f t="shared" si="159"/>
        <v>2.4424906541753444E-15</v>
      </c>
      <c r="BC200" s="125">
        <f t="shared" si="159"/>
        <v>2.4424906541753444E-15</v>
      </c>
      <c r="BD200" s="125">
        <f t="shared" si="159"/>
        <v>2.4424906541753444E-15</v>
      </c>
    </row>
    <row r="201" spans="3:56" ht="15" customHeight="1">
      <c r="C201" s="151"/>
      <c r="D201" s="55" t="s">
        <v>288</v>
      </c>
      <c r="E201" s="128" t="s">
        <v>195</v>
      </c>
      <c r="G201" s="125">
        <f t="shared" ref="G201:AL201" si="160">MIN(G187,0)</f>
        <v>0</v>
      </c>
      <c r="H201" s="125">
        <f t="shared" si="160"/>
        <v>0</v>
      </c>
      <c r="I201" s="125">
        <f t="shared" si="160"/>
        <v>0</v>
      </c>
      <c r="J201" s="125">
        <f t="shared" si="160"/>
        <v>0</v>
      </c>
      <c r="K201" s="125">
        <f t="shared" si="160"/>
        <v>0</v>
      </c>
      <c r="L201" s="125">
        <f t="shared" si="160"/>
        <v>0</v>
      </c>
      <c r="M201" s="125">
        <f t="shared" si="160"/>
        <v>0</v>
      </c>
      <c r="N201" s="125">
        <f t="shared" si="160"/>
        <v>0</v>
      </c>
      <c r="O201" s="125">
        <f t="shared" si="160"/>
        <v>0</v>
      </c>
      <c r="P201" s="125">
        <f t="shared" si="160"/>
        <v>0</v>
      </c>
      <c r="Q201" s="125">
        <f t="shared" si="160"/>
        <v>0</v>
      </c>
      <c r="R201" s="125">
        <f t="shared" si="160"/>
        <v>0</v>
      </c>
      <c r="S201" s="125">
        <f t="shared" si="160"/>
        <v>0</v>
      </c>
      <c r="T201" s="125">
        <f t="shared" si="160"/>
        <v>0</v>
      </c>
      <c r="U201" s="125">
        <f t="shared" si="160"/>
        <v>0</v>
      </c>
      <c r="V201" s="125">
        <f t="shared" si="160"/>
        <v>0</v>
      </c>
      <c r="W201" s="125">
        <f t="shared" si="160"/>
        <v>0</v>
      </c>
      <c r="X201" s="125">
        <f t="shared" si="160"/>
        <v>-11.545391572076127</v>
      </c>
      <c r="Y201" s="125">
        <f t="shared" si="160"/>
        <v>-5.5948010719886661</v>
      </c>
      <c r="Z201" s="125">
        <f t="shared" si="160"/>
        <v>-2.1641562880251994</v>
      </c>
      <c r="AA201" s="125">
        <f t="shared" si="160"/>
        <v>-0.54911428203624468</v>
      </c>
      <c r="AB201" s="125">
        <f t="shared" si="160"/>
        <v>0</v>
      </c>
      <c r="AC201" s="125">
        <f t="shared" si="160"/>
        <v>0</v>
      </c>
      <c r="AD201" s="125">
        <f t="shared" si="160"/>
        <v>0</v>
      </c>
      <c r="AE201" s="125">
        <f t="shared" si="160"/>
        <v>0</v>
      </c>
      <c r="AF201" s="125">
        <f t="shared" si="160"/>
        <v>0</v>
      </c>
      <c r="AG201" s="125">
        <f t="shared" si="160"/>
        <v>0</v>
      </c>
      <c r="AH201" s="125">
        <f t="shared" si="160"/>
        <v>0</v>
      </c>
      <c r="AI201" s="125">
        <f t="shared" si="160"/>
        <v>0</v>
      </c>
      <c r="AJ201" s="125">
        <f t="shared" si="160"/>
        <v>0</v>
      </c>
      <c r="AK201" s="125">
        <f t="shared" si="160"/>
        <v>0</v>
      </c>
      <c r="AL201" s="125">
        <f t="shared" si="160"/>
        <v>0</v>
      </c>
      <c r="AM201" s="125">
        <f t="shared" ref="AM201:BD201" si="161">MIN(AM187,0)</f>
        <v>0</v>
      </c>
      <c r="AN201" s="125">
        <f t="shared" si="161"/>
        <v>0</v>
      </c>
      <c r="AO201" s="125">
        <f t="shared" si="161"/>
        <v>0</v>
      </c>
      <c r="AP201" s="125">
        <f t="shared" si="161"/>
        <v>0</v>
      </c>
      <c r="AQ201" s="125">
        <f t="shared" si="161"/>
        <v>0</v>
      </c>
      <c r="AR201" s="125">
        <f t="shared" si="161"/>
        <v>0</v>
      </c>
      <c r="AS201" s="125">
        <f t="shared" si="161"/>
        <v>0</v>
      </c>
      <c r="AT201" s="125">
        <f t="shared" si="161"/>
        <v>0</v>
      </c>
      <c r="AU201" s="125">
        <f t="shared" si="161"/>
        <v>0</v>
      </c>
      <c r="AV201" s="125">
        <f t="shared" si="161"/>
        <v>0</v>
      </c>
      <c r="AW201" s="125">
        <f t="shared" si="161"/>
        <v>0</v>
      </c>
      <c r="AX201" s="125">
        <f t="shared" si="161"/>
        <v>0</v>
      </c>
      <c r="AY201" s="125">
        <f t="shared" si="161"/>
        <v>0</v>
      </c>
      <c r="AZ201" s="125">
        <f t="shared" si="161"/>
        <v>0</v>
      </c>
      <c r="BA201" s="125">
        <f t="shared" si="161"/>
        <v>0</v>
      </c>
      <c r="BB201" s="125">
        <f t="shared" si="161"/>
        <v>0</v>
      </c>
      <c r="BC201" s="125">
        <f t="shared" si="161"/>
        <v>0</v>
      </c>
      <c r="BD201" s="125">
        <f t="shared" si="161"/>
        <v>0</v>
      </c>
    </row>
    <row r="202" spans="3:56" ht="15" customHeight="1">
      <c r="C202" s="151"/>
      <c r="D202" s="55" t="s">
        <v>289</v>
      </c>
      <c r="E202" s="128" t="s">
        <v>195</v>
      </c>
      <c r="G202" s="125">
        <f>G187*Paramètres!$F$19</f>
        <v>185.79000000000002</v>
      </c>
      <c r="H202" s="125">
        <f>H187*Paramètres!$F$19</f>
        <v>338.81205599999998</v>
      </c>
      <c r="I202" s="125">
        <f>I187*Paramètres!$F$19</f>
        <v>296.09192639999998</v>
      </c>
      <c r="J202" s="125">
        <f>J187*Paramètres!$F$19</f>
        <v>336.44279999999992</v>
      </c>
      <c r="K202" s="125">
        <f>K187*Paramètres!$F$19</f>
        <v>324.03940089599996</v>
      </c>
      <c r="L202" s="125">
        <f>L187*Paramètres!$F$19</f>
        <v>360.91135770432004</v>
      </c>
      <c r="M202" s="125">
        <f>M187*Paramètres!$F$19</f>
        <v>423.06259053093129</v>
      </c>
      <c r="N202" s="125">
        <f>N187*Paramètres!$F$19</f>
        <v>332.92191805132029</v>
      </c>
      <c r="O202" s="125">
        <f>O187*Paramètres!$F$19</f>
        <v>97.856616539725565</v>
      </c>
      <c r="P202" s="125">
        <f>P187*Paramètres!$F$19</f>
        <v>111.41084010338705</v>
      </c>
      <c r="Q202" s="125">
        <f>Q187*Paramètres!$F$19</f>
        <v>103.60426959949675</v>
      </c>
      <c r="R202" s="125">
        <f>R187*Paramètres!$F$19</f>
        <v>111.868890783316</v>
      </c>
      <c r="S202" s="125">
        <f>S187*Paramètres!$F$19</f>
        <v>142.99884641921787</v>
      </c>
      <c r="T202" s="125">
        <f>T187*Paramètres!$F$19</f>
        <v>152.25941036204117</v>
      </c>
      <c r="U202" s="125">
        <f>U187*Paramètres!$F$19</f>
        <v>207.99731806422153</v>
      </c>
      <c r="V202" s="125">
        <f>V187*Paramètres!$F$19</f>
        <v>147.28866384762398</v>
      </c>
      <c r="W202" s="125">
        <f>W187*Paramètres!$F$19</f>
        <v>43.230365562262179</v>
      </c>
      <c r="X202" s="125">
        <f>X187*Paramètres!$F$19</f>
        <v>-11.545391572076127</v>
      </c>
      <c r="Y202" s="125">
        <f>Y187*Paramètres!$F$19</f>
        <v>-5.5948010719886661</v>
      </c>
      <c r="Z202" s="125">
        <f>Z187*Paramètres!$F$19</f>
        <v>-2.1641562880251994</v>
      </c>
      <c r="AA202" s="125">
        <f>AA187*Paramètres!$F$19</f>
        <v>-0.54911428203624468</v>
      </c>
      <c r="AB202" s="125">
        <f>AB187*Paramètres!$F$19</f>
        <v>0</v>
      </c>
      <c r="AC202" s="125">
        <f>AC187*Paramètres!$F$19</f>
        <v>0</v>
      </c>
      <c r="AD202" s="125">
        <f>AD187*Paramètres!$F$19</f>
        <v>0</v>
      </c>
      <c r="AE202" s="125">
        <f>AE187*Paramètres!$F$19</f>
        <v>0</v>
      </c>
      <c r="AF202" s="125">
        <f>AF187*Paramètres!$F$19</f>
        <v>0</v>
      </c>
      <c r="AG202" s="125">
        <f>AG187*Paramètres!$F$19</f>
        <v>0</v>
      </c>
      <c r="AH202" s="125">
        <f>AH187*Paramètres!$F$19</f>
        <v>0</v>
      </c>
      <c r="AI202" s="125">
        <f>AI187*Paramètres!$F$19</f>
        <v>0</v>
      </c>
      <c r="AJ202" s="125">
        <f>AJ187*Paramètres!$F$19</f>
        <v>0</v>
      </c>
      <c r="AK202" s="125">
        <f>AK187*Paramètres!$F$19</f>
        <v>0</v>
      </c>
      <c r="AL202" s="125">
        <f>AL187*Paramètres!$F$19</f>
        <v>0</v>
      </c>
      <c r="AM202" s="125">
        <f>AM187*Paramètres!$F$19</f>
        <v>0</v>
      </c>
      <c r="AN202" s="125">
        <f>AN187*Paramètres!$F$19</f>
        <v>0</v>
      </c>
      <c r="AO202" s="125">
        <f>AO187*Paramètres!$F$19</f>
        <v>0</v>
      </c>
      <c r="AP202" s="125">
        <f>AP187*Paramètres!$F$19</f>
        <v>0</v>
      </c>
      <c r="AQ202" s="125">
        <f>AQ187*Paramètres!$F$19</f>
        <v>0</v>
      </c>
      <c r="AR202" s="125">
        <f>AR187*Paramètres!$F$19</f>
        <v>0</v>
      </c>
      <c r="AS202" s="125">
        <f>AS187*Paramètres!$F$19</f>
        <v>0</v>
      </c>
      <c r="AT202" s="125">
        <f>AT187*Paramètres!$F$19</f>
        <v>0</v>
      </c>
      <c r="AU202" s="125">
        <f>AU187*Paramètres!$F$19</f>
        <v>0</v>
      </c>
      <c r="AV202" s="125">
        <f>AV187*Paramètres!$F$19</f>
        <v>0</v>
      </c>
      <c r="AW202" s="125">
        <f>AW187*Paramètres!$F$19</f>
        <v>0</v>
      </c>
      <c r="AX202" s="125">
        <f>AX187*Paramètres!$F$19</f>
        <v>0</v>
      </c>
      <c r="AY202" s="125">
        <f>AY187*Paramètres!$F$19</f>
        <v>0</v>
      </c>
      <c r="AZ202" s="125">
        <f>AZ187*Paramètres!$F$19</f>
        <v>0</v>
      </c>
      <c r="BA202" s="125">
        <f>BA187*Paramètres!$F$19</f>
        <v>0</v>
      </c>
      <c r="BB202" s="125">
        <f>BB187*Paramètres!$F$19</f>
        <v>0</v>
      </c>
      <c r="BC202" s="125">
        <f>BC187*Paramètres!$F$19</f>
        <v>0</v>
      </c>
      <c r="BD202" s="125">
        <f>BD187*Paramètres!$F$19</f>
        <v>0</v>
      </c>
    </row>
    <row r="203" spans="3:56" ht="15" customHeight="1">
      <c r="C203" s="151"/>
      <c r="D203" s="55" t="s">
        <v>290</v>
      </c>
      <c r="E203" s="128" t="s">
        <v>195</v>
      </c>
      <c r="G203" s="125">
        <f t="shared" ref="G203:AL203" si="162">MIN((G187&gt;0)*G202,G200)</f>
        <v>185.79000000000002</v>
      </c>
      <c r="H203" s="125">
        <f t="shared" si="162"/>
        <v>0</v>
      </c>
      <c r="I203" s="125">
        <f t="shared" si="162"/>
        <v>0</v>
      </c>
      <c r="J203" s="125">
        <f t="shared" si="162"/>
        <v>0</v>
      </c>
      <c r="K203" s="125">
        <f t="shared" si="162"/>
        <v>0</v>
      </c>
      <c r="L203" s="125">
        <f t="shared" si="162"/>
        <v>0</v>
      </c>
      <c r="M203" s="125">
        <f t="shared" si="162"/>
        <v>0</v>
      </c>
      <c r="N203" s="125">
        <f t="shared" si="162"/>
        <v>0</v>
      </c>
      <c r="O203" s="125">
        <f t="shared" si="162"/>
        <v>0</v>
      </c>
      <c r="P203" s="125">
        <f t="shared" si="162"/>
        <v>0</v>
      </c>
      <c r="Q203" s="125">
        <f t="shared" si="162"/>
        <v>0</v>
      </c>
      <c r="R203" s="125">
        <f t="shared" si="162"/>
        <v>0</v>
      </c>
      <c r="S203" s="125">
        <f t="shared" si="162"/>
        <v>0</v>
      </c>
      <c r="T203" s="125">
        <f t="shared" si="162"/>
        <v>0</v>
      </c>
      <c r="U203" s="125">
        <f t="shared" si="162"/>
        <v>0</v>
      </c>
      <c r="V203" s="125">
        <f t="shared" si="162"/>
        <v>0</v>
      </c>
      <c r="W203" s="125">
        <f t="shared" si="162"/>
        <v>0</v>
      </c>
      <c r="X203" s="125">
        <f t="shared" si="162"/>
        <v>0</v>
      </c>
      <c r="Y203" s="125">
        <f t="shared" si="162"/>
        <v>0</v>
      </c>
      <c r="Z203" s="125">
        <f t="shared" si="162"/>
        <v>0</v>
      </c>
      <c r="AA203" s="125">
        <f t="shared" si="162"/>
        <v>0</v>
      </c>
      <c r="AB203" s="125">
        <f t="shared" si="162"/>
        <v>0</v>
      </c>
      <c r="AC203" s="125">
        <f t="shared" si="162"/>
        <v>0</v>
      </c>
      <c r="AD203" s="125">
        <f t="shared" si="162"/>
        <v>0</v>
      </c>
      <c r="AE203" s="125">
        <f t="shared" si="162"/>
        <v>0</v>
      </c>
      <c r="AF203" s="125">
        <f t="shared" si="162"/>
        <v>0</v>
      </c>
      <c r="AG203" s="125">
        <f t="shared" si="162"/>
        <v>0</v>
      </c>
      <c r="AH203" s="125">
        <f t="shared" si="162"/>
        <v>0</v>
      </c>
      <c r="AI203" s="125">
        <f t="shared" si="162"/>
        <v>0</v>
      </c>
      <c r="AJ203" s="125">
        <f t="shared" si="162"/>
        <v>0</v>
      </c>
      <c r="AK203" s="125">
        <f t="shared" si="162"/>
        <v>0</v>
      </c>
      <c r="AL203" s="125">
        <f t="shared" si="162"/>
        <v>0</v>
      </c>
      <c r="AM203" s="125">
        <f t="shared" ref="AM203:BR203" si="163">MIN((AM187&gt;0)*AM202,AM200)</f>
        <v>0</v>
      </c>
      <c r="AN203" s="125">
        <f t="shared" si="163"/>
        <v>0</v>
      </c>
      <c r="AO203" s="125">
        <f t="shared" si="163"/>
        <v>0</v>
      </c>
      <c r="AP203" s="125">
        <f t="shared" si="163"/>
        <v>0</v>
      </c>
      <c r="AQ203" s="125">
        <f t="shared" si="163"/>
        <v>0</v>
      </c>
      <c r="AR203" s="125">
        <f t="shared" si="163"/>
        <v>0</v>
      </c>
      <c r="AS203" s="125">
        <f t="shared" si="163"/>
        <v>0</v>
      </c>
      <c r="AT203" s="125">
        <f t="shared" si="163"/>
        <v>0</v>
      </c>
      <c r="AU203" s="125">
        <f t="shared" si="163"/>
        <v>0</v>
      </c>
      <c r="AV203" s="125">
        <f t="shared" si="163"/>
        <v>0</v>
      </c>
      <c r="AW203" s="125">
        <f t="shared" si="163"/>
        <v>0</v>
      </c>
      <c r="AX203" s="125">
        <f t="shared" si="163"/>
        <v>0</v>
      </c>
      <c r="AY203" s="125">
        <f t="shared" si="163"/>
        <v>0</v>
      </c>
      <c r="AZ203" s="125">
        <f t="shared" si="163"/>
        <v>0</v>
      </c>
      <c r="BA203" s="125">
        <f t="shared" si="163"/>
        <v>0</v>
      </c>
      <c r="BB203" s="125">
        <f t="shared" si="163"/>
        <v>0</v>
      </c>
      <c r="BC203" s="125">
        <f t="shared" si="163"/>
        <v>0</v>
      </c>
      <c r="BD203" s="125">
        <f t="shared" si="163"/>
        <v>0</v>
      </c>
    </row>
    <row r="204" spans="3:56" ht="15" customHeight="1">
      <c r="C204" s="151"/>
      <c r="D204" s="55" t="s">
        <v>291</v>
      </c>
      <c r="E204" s="128" t="s">
        <v>195</v>
      </c>
      <c r="G204" s="125">
        <f t="shared" ref="G204:AL204" si="164">MAX(0,-G201+G200-G199-G203)</f>
        <v>0</v>
      </c>
      <c r="H204" s="125">
        <f t="shared" si="164"/>
        <v>0</v>
      </c>
      <c r="I204" s="125">
        <f t="shared" si="164"/>
        <v>0</v>
      </c>
      <c r="J204" s="125">
        <f t="shared" si="164"/>
        <v>0</v>
      </c>
      <c r="K204" s="125">
        <f t="shared" si="164"/>
        <v>0</v>
      </c>
      <c r="L204" s="125">
        <f t="shared" si="164"/>
        <v>0</v>
      </c>
      <c r="M204" s="125">
        <f t="shared" si="164"/>
        <v>0</v>
      </c>
      <c r="N204" s="125">
        <f t="shared" si="164"/>
        <v>0</v>
      </c>
      <c r="O204" s="125">
        <f t="shared" si="164"/>
        <v>0</v>
      </c>
      <c r="P204" s="125">
        <f t="shared" si="164"/>
        <v>0</v>
      </c>
      <c r="Q204" s="125">
        <f t="shared" si="164"/>
        <v>0</v>
      </c>
      <c r="R204" s="125">
        <f t="shared" si="164"/>
        <v>0</v>
      </c>
      <c r="S204" s="125">
        <f t="shared" si="164"/>
        <v>0</v>
      </c>
      <c r="T204" s="125">
        <f t="shared" si="164"/>
        <v>0</v>
      </c>
      <c r="U204" s="125">
        <f t="shared" si="164"/>
        <v>0</v>
      </c>
      <c r="V204" s="125">
        <f t="shared" si="164"/>
        <v>0</v>
      </c>
      <c r="W204" s="125">
        <f t="shared" si="164"/>
        <v>0</v>
      </c>
      <c r="X204" s="125">
        <f t="shared" si="164"/>
        <v>11.545391572076127</v>
      </c>
      <c r="Y204" s="125">
        <f t="shared" si="164"/>
        <v>17.140192644064793</v>
      </c>
      <c r="Z204" s="125">
        <f t="shared" si="164"/>
        <v>19.304348932089994</v>
      </c>
      <c r="AA204" s="125">
        <f t="shared" si="164"/>
        <v>19.85346321412624</v>
      </c>
      <c r="AB204" s="125">
        <f t="shared" si="164"/>
        <v>19.85346321412624</v>
      </c>
      <c r="AC204" s="125">
        <f t="shared" si="164"/>
        <v>8.3080716420501126</v>
      </c>
      <c r="AD204" s="125">
        <f t="shared" si="164"/>
        <v>2.7132705700614466</v>
      </c>
      <c r="AE204" s="125">
        <f t="shared" si="164"/>
        <v>0.54911428203624713</v>
      </c>
      <c r="AF204" s="125">
        <f t="shared" si="164"/>
        <v>2.4424906541753444E-15</v>
      </c>
      <c r="AG204" s="125">
        <f t="shared" si="164"/>
        <v>2.4424906541753444E-15</v>
      </c>
      <c r="AH204" s="125">
        <f t="shared" si="164"/>
        <v>2.4424906541753444E-15</v>
      </c>
      <c r="AI204" s="125">
        <f t="shared" si="164"/>
        <v>2.4424906541753444E-15</v>
      </c>
      <c r="AJ204" s="125">
        <f t="shared" si="164"/>
        <v>2.4424906541753444E-15</v>
      </c>
      <c r="AK204" s="125">
        <f t="shared" si="164"/>
        <v>2.4424906541753444E-15</v>
      </c>
      <c r="AL204" s="125">
        <f t="shared" si="164"/>
        <v>2.4424906541753444E-15</v>
      </c>
      <c r="AM204" s="125">
        <f t="shared" ref="AM204:BR204" si="165">MAX(0,-AM201+AM200-AM199-AM203)</f>
        <v>2.4424906541753444E-15</v>
      </c>
      <c r="AN204" s="125">
        <f t="shared" si="165"/>
        <v>2.4424906541753444E-15</v>
      </c>
      <c r="AO204" s="125">
        <f t="shared" si="165"/>
        <v>2.4424906541753444E-15</v>
      </c>
      <c r="AP204" s="125">
        <f t="shared" si="165"/>
        <v>2.4424906541753444E-15</v>
      </c>
      <c r="AQ204" s="125">
        <f t="shared" si="165"/>
        <v>2.4424906541753444E-15</v>
      </c>
      <c r="AR204" s="125">
        <f t="shared" si="165"/>
        <v>2.4424906541753444E-15</v>
      </c>
      <c r="AS204" s="125">
        <f t="shared" si="165"/>
        <v>2.4424906541753444E-15</v>
      </c>
      <c r="AT204" s="125">
        <f t="shared" si="165"/>
        <v>2.4424906541753444E-15</v>
      </c>
      <c r="AU204" s="125">
        <f t="shared" si="165"/>
        <v>2.4424906541753444E-15</v>
      </c>
      <c r="AV204" s="125">
        <f t="shared" si="165"/>
        <v>2.4424906541753444E-15</v>
      </c>
      <c r="AW204" s="125">
        <f t="shared" si="165"/>
        <v>2.4424906541753444E-15</v>
      </c>
      <c r="AX204" s="125">
        <f t="shared" si="165"/>
        <v>2.4424906541753444E-15</v>
      </c>
      <c r="AY204" s="125">
        <f t="shared" si="165"/>
        <v>2.4424906541753444E-15</v>
      </c>
      <c r="AZ204" s="125">
        <f t="shared" si="165"/>
        <v>2.4424906541753444E-15</v>
      </c>
      <c r="BA204" s="125">
        <f t="shared" si="165"/>
        <v>2.4424906541753444E-15</v>
      </c>
      <c r="BB204" s="125">
        <f t="shared" si="165"/>
        <v>2.4424906541753444E-15</v>
      </c>
      <c r="BC204" s="125">
        <f t="shared" si="165"/>
        <v>2.4424906541753444E-15</v>
      </c>
      <c r="BD204" s="125">
        <f t="shared" si="165"/>
        <v>2.4424906541753444E-15</v>
      </c>
    </row>
    <row r="205" spans="3:56" ht="15" customHeight="1">
      <c r="C205" s="193"/>
      <c r="D205" s="80"/>
      <c r="E205" s="196"/>
      <c r="F205" s="80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  <c r="AA205" s="194"/>
      <c r="AB205" s="194"/>
      <c r="AC205" s="194"/>
      <c r="AD205" s="194"/>
      <c r="AE205" s="194"/>
      <c r="AF205" s="194"/>
      <c r="AG205" s="194"/>
      <c r="AH205" s="194"/>
      <c r="AI205" s="194"/>
      <c r="AJ205" s="194"/>
      <c r="AK205" s="194"/>
      <c r="AL205" s="194"/>
      <c r="AM205" s="194"/>
      <c r="AN205" s="194"/>
      <c r="AO205" s="194"/>
      <c r="AP205" s="194"/>
      <c r="AQ205" s="194"/>
      <c r="AR205" s="194"/>
      <c r="AS205" s="194"/>
      <c r="AT205" s="194"/>
      <c r="AU205" s="194"/>
      <c r="AV205" s="194"/>
      <c r="AW205" s="194"/>
      <c r="AX205" s="194"/>
      <c r="AY205" s="194"/>
      <c r="AZ205" s="194"/>
      <c r="BA205" s="194"/>
      <c r="BB205" s="194"/>
      <c r="BC205" s="194"/>
      <c r="BD205" s="194"/>
    </row>
    <row r="206" spans="3:56" ht="15" customHeight="1">
      <c r="C206" s="151"/>
      <c r="D206" s="33" t="s">
        <v>292</v>
      </c>
      <c r="E206" s="128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</row>
    <row r="207" spans="3:56" ht="15" customHeight="1">
      <c r="C207" s="152">
        <f>SUM(G207:BD207)</f>
        <v>0</v>
      </c>
      <c r="D207" s="55" t="s">
        <v>293</v>
      </c>
      <c r="E207" s="128" t="s">
        <v>195</v>
      </c>
      <c r="G207" s="152">
        <f>SUM(G144:G145)*Paramètres!$F$90*(G29=0)</f>
        <v>0</v>
      </c>
      <c r="H207" s="152">
        <f>SUM(H144:H145)*Paramètres!$F$90*(H29=0)</f>
        <v>0</v>
      </c>
      <c r="I207" s="152">
        <f>SUM(I144:I145)*Paramètres!$F$90*(I29=0)</f>
        <v>0</v>
      </c>
      <c r="J207" s="152">
        <f>SUM(J144:J145)*Paramètres!$F$90*(J29=0)</f>
        <v>0</v>
      </c>
      <c r="K207" s="152">
        <f>SUM(K144:K145)*Paramètres!$F$90*(K29=0)</f>
        <v>0</v>
      </c>
      <c r="L207" s="152">
        <f>SUM(L144:L145)*Paramètres!$F$90*(L29=0)</f>
        <v>0</v>
      </c>
      <c r="M207" s="152">
        <f>SUM(M144:M145)*Paramètres!$F$90*(M29=0)</f>
        <v>0</v>
      </c>
      <c r="N207" s="152">
        <f>SUM(N144:N145)*Paramètres!$F$90*(N29=0)</f>
        <v>0</v>
      </c>
      <c r="O207" s="152">
        <f>SUM(O144:O145)*Paramètres!$F$90*(O29=0)</f>
        <v>0</v>
      </c>
      <c r="P207" s="152">
        <f>SUM(P144:P145)*Paramètres!$F$90*(P29=0)</f>
        <v>0</v>
      </c>
      <c r="Q207" s="152">
        <f>SUM(Q144:Q145)*Paramètres!$F$90*(Q29=0)</f>
        <v>0</v>
      </c>
      <c r="R207" s="152">
        <f>SUM(R144:R145)*Paramètres!$F$90*(R29=0)</f>
        <v>0</v>
      </c>
      <c r="S207" s="152">
        <f>SUM(S144:S145)*Paramètres!$F$90*(S29=0)</f>
        <v>0</v>
      </c>
      <c r="T207" s="152">
        <f>SUM(T144:T145)*Paramètres!$F$90*(T29=0)</f>
        <v>0</v>
      </c>
      <c r="U207" s="152">
        <f>SUM(U144:U145)*Paramètres!$F$90*(U29=0)</f>
        <v>0</v>
      </c>
      <c r="V207" s="152">
        <f>SUM(V144:V145)*Paramètres!$F$90*(V29=0)</f>
        <v>0</v>
      </c>
      <c r="W207" s="152">
        <f>SUM(W144:W145)*Paramètres!$F$90*(W29=0)</f>
        <v>0</v>
      </c>
      <c r="X207" s="152">
        <f>SUM(X144:X145)*Paramètres!$F$90*(X29=0)</f>
        <v>0</v>
      </c>
      <c r="Y207" s="152">
        <f>SUM(Y144:Y145)*Paramètres!$F$90*(Y29=0)</f>
        <v>0</v>
      </c>
      <c r="Z207" s="152">
        <f>SUM(Z144:Z145)*Paramètres!$F$90*(Z29=0)</f>
        <v>0</v>
      </c>
      <c r="AA207" s="152">
        <f>SUM(AA144:AA145)*Paramètres!$F$90*(AA29=0)</f>
        <v>0</v>
      </c>
      <c r="AB207" s="152">
        <f>SUM(AB144:AB145)*Paramètres!$F$90*(AB29=0)</f>
        <v>0</v>
      </c>
      <c r="AC207" s="152">
        <f>SUM(AC144:AC145)*Paramètres!$F$90*(AC29=0)</f>
        <v>0</v>
      </c>
      <c r="AD207" s="152">
        <f>SUM(AD144:AD145)*Paramètres!$F$90*(AD29=0)</f>
        <v>0</v>
      </c>
      <c r="AE207" s="152">
        <f>SUM(AE144:AE145)*Paramètres!$F$90*(AE29=0)</f>
        <v>0</v>
      </c>
      <c r="AF207" s="152">
        <f>SUM(AF144:AF145)*Paramètres!$F$90*(AF29=0)</f>
        <v>0</v>
      </c>
      <c r="AG207" s="152">
        <f>SUM(AG144:AG145)*Paramètres!$F$90*(AG29=0)</f>
        <v>0</v>
      </c>
      <c r="AH207" s="152">
        <f>SUM(AH144:AH145)*Paramètres!$F$90*(AH29=0)</f>
        <v>0</v>
      </c>
      <c r="AI207" s="152">
        <f>SUM(AI144:AI145)*Paramètres!$F$90*(AI29=0)</f>
        <v>0</v>
      </c>
      <c r="AJ207" s="152">
        <f>SUM(AJ144:AJ145)*Paramètres!$F$90*(AJ29=0)</f>
        <v>0</v>
      </c>
      <c r="AK207" s="152">
        <f>SUM(AK144:AK145)*Paramètres!$F$90*(AK29=0)</f>
        <v>0</v>
      </c>
      <c r="AL207" s="152">
        <f>SUM(AL144:AL145)*Paramètres!$F$90*(AL29=0)</f>
        <v>0</v>
      </c>
      <c r="AM207" s="152">
        <f>SUM(AM144:AM145)*Paramètres!$F$90*(AM29=0)</f>
        <v>0</v>
      </c>
      <c r="AN207" s="152">
        <f>SUM(AN144:AN145)*Paramètres!$F$90*(AN29=0)</f>
        <v>0</v>
      </c>
      <c r="AO207" s="152">
        <f>SUM(AO144:AO145)*Paramètres!$F$90*(AO29=0)</f>
        <v>0</v>
      </c>
      <c r="AP207" s="152">
        <f>SUM(AP144:AP145)*Paramètres!$F$90*(AP29=0)</f>
        <v>0</v>
      </c>
      <c r="AQ207" s="152">
        <f>SUM(AQ144:AQ145)*Paramètres!$F$90*(AQ29=0)</f>
        <v>0</v>
      </c>
      <c r="AR207" s="152">
        <f>SUM(AR144:AR145)*Paramètres!$F$90*(AR29=0)</f>
        <v>0</v>
      </c>
      <c r="AS207" s="152">
        <f>SUM(AS144:AS145)*Paramètres!$F$90*(AS29=0)</f>
        <v>0</v>
      </c>
      <c r="AT207" s="152">
        <f>SUM(AT144:AT145)*Paramètres!$F$90*(AT29=0)</f>
        <v>0</v>
      </c>
      <c r="AU207" s="152">
        <f>SUM(AU144:AU145)*Paramètres!$F$90*(AU29=0)</f>
        <v>0</v>
      </c>
      <c r="AV207" s="152">
        <f>SUM(AV144:AV145)*Paramètres!$F$90*(AV29=0)</f>
        <v>0</v>
      </c>
      <c r="AW207" s="152">
        <f>SUM(AW144:AW145)*Paramètres!$F$90*(AW29=0)</f>
        <v>0</v>
      </c>
      <c r="AX207" s="152">
        <f>SUM(AX144:AX145)*Paramètres!$F$90*(AX29=0)</f>
        <v>0</v>
      </c>
      <c r="AY207" s="152">
        <f>SUM(AY144:AY145)*Paramètres!$F$90*(AY29=0)</f>
        <v>0</v>
      </c>
      <c r="AZ207" s="152">
        <f>SUM(AZ144:AZ145)*Paramètres!$F$90*(AZ29=0)</f>
        <v>0</v>
      </c>
      <c r="BA207" s="152">
        <f>SUM(BA144:BA145)*Paramètres!$F$90*(BA29=0)</f>
        <v>0</v>
      </c>
      <c r="BB207" s="152">
        <f>SUM(BB144:BB145)*Paramètres!$F$90*(BB29=0)</f>
        <v>0</v>
      </c>
      <c r="BC207" s="152">
        <f>SUM(BC144:BC145)*Paramètres!$F$90*(BC29=0)</f>
        <v>0</v>
      </c>
      <c r="BD207" s="152">
        <f>SUM(BD144:BD145)*Paramètres!$F$90*(BD29=0)</f>
        <v>0</v>
      </c>
    </row>
    <row r="208" spans="3:56" ht="15" customHeight="1">
      <c r="C208" s="152">
        <f>SUM(G208:BD208)</f>
        <v>0</v>
      </c>
      <c r="D208" s="55" t="s">
        <v>294</v>
      </c>
      <c r="E208" s="128" t="s">
        <v>195</v>
      </c>
      <c r="G208" s="152">
        <f>PMT((Paramètres!$F$92+1)*(1+Paramètres!$F$95)-1,Paramètres!$F$91,$C$207)*AND(G29&gt;0,G29&lt;=Paramètres!$F$91)*-1</f>
        <v>0</v>
      </c>
      <c r="H208" s="152">
        <f>PMT((Paramètres!$F$92+1)*(1+Paramètres!$F$95)-1,Paramètres!$F$91,$C$207)*AND(H29&gt;0,H29&lt;=Paramètres!$F$91)*-1</f>
        <v>0</v>
      </c>
      <c r="I208" s="152">
        <f>PMT((Paramètres!$F$92+1)*(1+Paramètres!$F$95)-1,Paramètres!$F$91,$C$207)*AND(I29&gt;0,I29&lt;=Paramètres!$F$91)*-1</f>
        <v>0</v>
      </c>
      <c r="J208" s="152">
        <f>PMT((Paramètres!$F$92+1)*(1+Paramètres!$F$95)-1,Paramètres!$F$91,$C$207)*AND(J29&gt;0,J29&lt;=Paramètres!$F$91)*-1</f>
        <v>0</v>
      </c>
      <c r="K208" s="152">
        <f>PMT((Paramètres!$F$92+1)*(1+Paramètres!$F$95)-1,Paramètres!$F$91,$C$207)*AND(K29&gt;0,K29&lt;=Paramètres!$F$91)*-1</f>
        <v>0</v>
      </c>
      <c r="L208" s="152">
        <f>PMT((Paramètres!$F$92+1)*(1+Paramètres!$F$95)-1,Paramètres!$F$91,$C$207)*AND(L29&gt;0,L29&lt;=Paramètres!$F$91)*-1</f>
        <v>0</v>
      </c>
      <c r="M208" s="152">
        <f>PMT((Paramètres!$F$92+1)*(1+Paramètres!$F$95)-1,Paramètres!$F$91,$C$207)*AND(M29&gt;0,M29&lt;=Paramètres!$F$91)*-1</f>
        <v>0</v>
      </c>
      <c r="N208" s="152">
        <f>PMT((Paramètres!$F$92+1)*(1+Paramètres!$F$95)-1,Paramètres!$F$91,$C$207)*AND(N29&gt;0,N29&lt;=Paramètres!$F$91)*-1</f>
        <v>0</v>
      </c>
      <c r="O208" s="152">
        <f>PMT((Paramètres!$F$92+1)*(1+Paramètres!$F$95)-1,Paramètres!$F$91,$C$207)*AND(O29&gt;0,O29&lt;=Paramètres!$F$91)*-1</f>
        <v>0</v>
      </c>
      <c r="P208" s="152">
        <f>PMT((Paramètres!$F$92+1)*(1+Paramètres!$F$95)-1,Paramètres!$F$91,$C$207)*AND(P29&gt;0,P29&lt;=Paramètres!$F$91)*-1</f>
        <v>0</v>
      </c>
      <c r="Q208" s="152">
        <f>PMT((Paramètres!$F$92+1)*(1+Paramètres!$F$95)-1,Paramètres!$F$91,$C$207)*AND(Q29&gt;0,Q29&lt;=Paramètres!$F$91)*-1</f>
        <v>0</v>
      </c>
      <c r="R208" s="152">
        <f>PMT((Paramètres!$F$92+1)*(1+Paramètres!$F$95)-1,Paramètres!$F$91,$C$207)*AND(R29&gt;0,R29&lt;=Paramètres!$F$91)*-1</f>
        <v>0</v>
      </c>
      <c r="S208" s="152">
        <f>PMT((Paramètres!$F$92+1)*(1+Paramètres!$F$95)-1,Paramètres!$F$91,$C$207)*AND(S29&gt;0,S29&lt;=Paramètres!$F$91)*-1</f>
        <v>0</v>
      </c>
      <c r="T208" s="152">
        <f>PMT((Paramètres!$F$92+1)*(1+Paramètres!$F$95)-1,Paramètres!$F$91,$C$207)*AND(T29&gt;0,T29&lt;=Paramètres!$F$91)*-1</f>
        <v>0</v>
      </c>
      <c r="U208" s="152">
        <f>PMT((Paramètres!$F$92+1)*(1+Paramètres!$F$95)-1,Paramètres!$F$91,$C$207)*AND(U29&gt;0,U29&lt;=Paramètres!$F$91)*-1</f>
        <v>0</v>
      </c>
      <c r="V208" s="152">
        <f>PMT((Paramètres!$F$92+1)*(1+Paramètres!$F$95)-1,Paramètres!$F$91,$C$207)*AND(V29&gt;0,V29&lt;=Paramètres!$F$91)*-1</f>
        <v>0</v>
      </c>
      <c r="W208" s="152">
        <f>PMT((Paramètres!$F$92+1)*(1+Paramètres!$F$95)-1,Paramètres!$F$91,$C$207)*AND(W29&gt;0,W29&lt;=Paramètres!$F$91)*-1</f>
        <v>0</v>
      </c>
      <c r="X208" s="152">
        <f>PMT((Paramètres!$F$92+1)*(1+Paramètres!$F$95)-1,Paramètres!$F$91,$C$207)*AND(X29&gt;0,X29&lt;=Paramètres!$F$91)*-1</f>
        <v>0</v>
      </c>
      <c r="Y208" s="152">
        <f>PMT((Paramètres!$F$92+1)*(1+Paramètres!$F$95)-1,Paramètres!$F$91,$C$207)*AND(Y29&gt;0,Y29&lt;=Paramètres!$F$91)*-1</f>
        <v>0</v>
      </c>
      <c r="Z208" s="152">
        <f>PMT((Paramètres!$F$92+1)*(1+Paramètres!$F$95)-1,Paramètres!$F$91,$C$207)*AND(Z29&gt;0,Z29&lt;=Paramètres!$F$91)*-1</f>
        <v>0</v>
      </c>
      <c r="AA208" s="152">
        <f>PMT((Paramètres!$F$92+1)*(1+Paramètres!$F$95)-1,Paramètres!$F$91,$C$207)*AND(AA29&gt;0,AA29&lt;=Paramètres!$F$91)*-1</f>
        <v>0</v>
      </c>
      <c r="AB208" s="152">
        <f>PMT((Paramètres!$F$92+1)*(1+Paramètres!$F$95)-1,Paramètres!$F$91,$C$207)*AND(AB29&gt;0,AB29&lt;=Paramètres!$F$91)*-1</f>
        <v>0</v>
      </c>
      <c r="AC208" s="152">
        <f>PMT((Paramètres!$F$92+1)*(1+Paramètres!$F$95)-1,Paramètres!$F$91,$C$207)*AND(AC29&gt;0,AC29&lt;=Paramètres!$F$91)*-1</f>
        <v>0</v>
      </c>
      <c r="AD208" s="152">
        <f>PMT((Paramètres!$F$92+1)*(1+Paramètres!$F$95)-1,Paramètres!$F$91,$C$207)*AND(AD29&gt;0,AD29&lt;=Paramètres!$F$91)*-1</f>
        <v>0</v>
      </c>
      <c r="AE208" s="152">
        <f>PMT((Paramètres!$F$92+1)*(1+Paramètres!$F$95)-1,Paramètres!$F$91,$C$207)*AND(AE29&gt;0,AE29&lt;=Paramètres!$F$91)*-1</f>
        <v>0</v>
      </c>
      <c r="AF208" s="152">
        <f>PMT((Paramètres!$F$92+1)*(1+Paramètres!$F$95)-1,Paramètres!$F$91,$C$207)*AND(AF29&gt;0,AF29&lt;=Paramètres!$F$91)*-1</f>
        <v>0</v>
      </c>
      <c r="AG208" s="152">
        <f>PMT((Paramètres!$F$92+1)*(1+Paramètres!$F$95)-1,Paramètres!$F$91,$C$207)*AND(AG29&gt;0,AG29&lt;=Paramètres!$F$91)*-1</f>
        <v>0</v>
      </c>
      <c r="AH208" s="152">
        <f>PMT((Paramètres!$F$92+1)*(1+Paramètres!$F$95)-1,Paramètres!$F$91,$C$207)*AND(AH29&gt;0,AH29&lt;=Paramètres!$F$91)*-1</f>
        <v>0</v>
      </c>
      <c r="AI208" s="152">
        <f>PMT((Paramètres!$F$92+1)*(1+Paramètres!$F$95)-1,Paramètres!$F$91,$C$207)*AND(AI29&gt;0,AI29&lt;=Paramètres!$F$91)*-1</f>
        <v>0</v>
      </c>
      <c r="AJ208" s="152">
        <f>PMT((Paramètres!$F$92+1)*(1+Paramètres!$F$95)-1,Paramètres!$F$91,$C$207)*AND(AJ29&gt;0,AJ29&lt;=Paramètres!$F$91)*-1</f>
        <v>0</v>
      </c>
      <c r="AK208" s="152">
        <f>PMT((Paramètres!$F$92+1)*(1+Paramètres!$F$95)-1,Paramètres!$F$91,$C$207)*AND(AK29&gt;0,AK29&lt;=Paramètres!$F$91)*-1</f>
        <v>0</v>
      </c>
      <c r="AL208" s="152">
        <f>PMT((Paramètres!$F$92+1)*(1+Paramètres!$F$95)-1,Paramètres!$F$91,$C$207)*AND(AL29&gt;0,AL29&lt;=Paramètres!$F$91)*-1</f>
        <v>0</v>
      </c>
      <c r="AM208" s="152">
        <f>PMT((Paramètres!$F$92+1)*(1+Paramètres!$F$95)-1,Paramètres!$F$91,$C$207)*AND(AM29&gt;0,AM29&lt;=Paramètres!$F$91)*-1</f>
        <v>0</v>
      </c>
      <c r="AN208" s="152">
        <f>PMT((Paramètres!$F$92+1)*(1+Paramètres!$F$95)-1,Paramètres!$F$91,$C$207)*AND(AN29&gt;0,AN29&lt;=Paramètres!$F$91)*-1</f>
        <v>0</v>
      </c>
      <c r="AO208" s="152">
        <f>PMT((Paramètres!$F$92+1)*(1+Paramètres!$F$95)-1,Paramètres!$F$91,$C$207)*AND(AO29&gt;0,AO29&lt;=Paramètres!$F$91)*-1</f>
        <v>0</v>
      </c>
      <c r="AP208" s="152">
        <f>PMT((Paramètres!$F$92+1)*(1+Paramètres!$F$95)-1,Paramètres!$F$91,$C$207)*AND(AP29&gt;0,AP29&lt;=Paramètres!$F$91)*-1</f>
        <v>0</v>
      </c>
      <c r="AQ208" s="152">
        <f>PMT((Paramètres!$F$92+1)*(1+Paramètres!$F$95)-1,Paramètres!$F$91,$C$207)*AND(AQ29&gt;0,AQ29&lt;=Paramètres!$F$91)*-1</f>
        <v>0</v>
      </c>
      <c r="AR208" s="152">
        <f>PMT((Paramètres!$F$92+1)*(1+Paramètres!$F$95)-1,Paramètres!$F$91,$C$207)*AND(AR29&gt;0,AR29&lt;=Paramètres!$F$91)*-1</f>
        <v>0</v>
      </c>
      <c r="AS208" s="152">
        <f>PMT((Paramètres!$F$92+1)*(1+Paramètres!$F$95)-1,Paramètres!$F$91,$C$207)*AND(AS29&gt;0,AS29&lt;=Paramètres!$F$91)*-1</f>
        <v>0</v>
      </c>
      <c r="AT208" s="152">
        <f>PMT((Paramètres!$F$92+1)*(1+Paramètres!$F$95)-1,Paramètres!$F$91,$C$207)*AND(AT29&gt;0,AT29&lt;=Paramètres!$F$91)*-1</f>
        <v>0</v>
      </c>
      <c r="AU208" s="152">
        <f>PMT((Paramètres!$F$92+1)*(1+Paramètres!$F$95)-1,Paramètres!$F$91,$C$207)*AND(AU29&gt;0,AU29&lt;=Paramètres!$F$91)*-1</f>
        <v>0</v>
      </c>
      <c r="AV208" s="152">
        <f>PMT((Paramètres!$F$92+1)*(1+Paramètres!$F$95)-1,Paramètres!$F$91,$C$207)*AND(AV29&gt;0,AV29&lt;=Paramètres!$F$91)*-1</f>
        <v>0</v>
      </c>
      <c r="AW208" s="152">
        <f>PMT((Paramètres!$F$92+1)*(1+Paramètres!$F$95)-1,Paramètres!$F$91,$C$207)*AND(AW29&gt;0,AW29&lt;=Paramètres!$F$91)*-1</f>
        <v>0</v>
      </c>
      <c r="AX208" s="152">
        <f>PMT((Paramètres!$F$92+1)*(1+Paramètres!$F$95)-1,Paramètres!$F$91,$C$207)*AND(AX29&gt;0,AX29&lt;=Paramètres!$F$91)*-1</f>
        <v>0</v>
      </c>
      <c r="AY208" s="152">
        <f>PMT((Paramètres!$F$92+1)*(1+Paramètres!$F$95)-1,Paramètres!$F$91,$C$207)*AND(AY29&gt;0,AY29&lt;=Paramètres!$F$91)*-1</f>
        <v>0</v>
      </c>
      <c r="AZ208" s="152">
        <f>PMT((Paramètres!$F$92+1)*(1+Paramètres!$F$95)-1,Paramètres!$F$91,$C$207)*AND(AZ29&gt;0,AZ29&lt;=Paramètres!$F$91)*-1</f>
        <v>0</v>
      </c>
      <c r="BA208" s="152">
        <f>PMT((Paramètres!$F$92+1)*(1+Paramètres!$F$95)-1,Paramètres!$F$91,$C$207)*AND(BA29&gt;0,BA29&lt;=Paramètres!$F$91)*-1</f>
        <v>0</v>
      </c>
      <c r="BB208" s="152">
        <f>PMT((Paramètres!$F$92+1)*(1+Paramètres!$F$95)-1,Paramètres!$F$91,$C$207)*AND(BB29&gt;0,BB29&lt;=Paramètres!$F$91)*-1</f>
        <v>0</v>
      </c>
      <c r="BC208" s="152">
        <f>PMT((Paramètres!$F$92+1)*(1+Paramètres!$F$95)-1,Paramètres!$F$91,$C$207)*AND(BC29&gt;0,BC29&lt;=Paramètres!$F$91)*-1</f>
        <v>0</v>
      </c>
      <c r="BD208" s="152">
        <f>PMT((Paramètres!$F$92+1)*(1+Paramètres!$F$95)-1,Paramètres!$F$91,$C$207)*AND(BD29&gt;0,BD29&lt;=Paramètres!$F$91)*-1</f>
        <v>0</v>
      </c>
    </row>
    <row r="209" spans="3:56" ht="15" customHeight="1">
      <c r="C209" s="152">
        <f>SUM(G209:BD209)</f>
        <v>0</v>
      </c>
      <c r="D209" s="55" t="s">
        <v>295</v>
      </c>
      <c r="E209" s="128" t="s">
        <v>195</v>
      </c>
      <c r="G209" s="152">
        <f t="shared" ref="G209:AL209" si="166">G208-G207</f>
        <v>0</v>
      </c>
      <c r="H209" s="152">
        <f t="shared" si="166"/>
        <v>0</v>
      </c>
      <c r="I209" s="152">
        <f t="shared" si="166"/>
        <v>0</v>
      </c>
      <c r="J209" s="152">
        <f t="shared" si="166"/>
        <v>0</v>
      </c>
      <c r="K209" s="152">
        <f t="shared" si="166"/>
        <v>0</v>
      </c>
      <c r="L209" s="152">
        <f t="shared" si="166"/>
        <v>0</v>
      </c>
      <c r="M209" s="152">
        <f t="shared" si="166"/>
        <v>0</v>
      </c>
      <c r="N209" s="152">
        <f t="shared" si="166"/>
        <v>0</v>
      </c>
      <c r="O209" s="152">
        <f t="shared" si="166"/>
        <v>0</v>
      </c>
      <c r="P209" s="152">
        <f t="shared" si="166"/>
        <v>0</v>
      </c>
      <c r="Q209" s="152">
        <f t="shared" si="166"/>
        <v>0</v>
      </c>
      <c r="R209" s="152">
        <f t="shared" si="166"/>
        <v>0</v>
      </c>
      <c r="S209" s="152">
        <f t="shared" si="166"/>
        <v>0</v>
      </c>
      <c r="T209" s="152">
        <f t="shared" si="166"/>
        <v>0</v>
      </c>
      <c r="U209" s="152">
        <f t="shared" si="166"/>
        <v>0</v>
      </c>
      <c r="V209" s="152">
        <f t="shared" si="166"/>
        <v>0</v>
      </c>
      <c r="W209" s="152">
        <f t="shared" si="166"/>
        <v>0</v>
      </c>
      <c r="X209" s="152">
        <f t="shared" si="166"/>
        <v>0</v>
      </c>
      <c r="Y209" s="152">
        <f t="shared" si="166"/>
        <v>0</v>
      </c>
      <c r="Z209" s="152">
        <f t="shared" si="166"/>
        <v>0</v>
      </c>
      <c r="AA209" s="152">
        <f t="shared" si="166"/>
        <v>0</v>
      </c>
      <c r="AB209" s="152">
        <f t="shared" si="166"/>
        <v>0</v>
      </c>
      <c r="AC209" s="152">
        <f t="shared" si="166"/>
        <v>0</v>
      </c>
      <c r="AD209" s="152">
        <f t="shared" si="166"/>
        <v>0</v>
      </c>
      <c r="AE209" s="152">
        <f t="shared" si="166"/>
        <v>0</v>
      </c>
      <c r="AF209" s="152">
        <f t="shared" si="166"/>
        <v>0</v>
      </c>
      <c r="AG209" s="152">
        <f t="shared" si="166"/>
        <v>0</v>
      </c>
      <c r="AH209" s="152">
        <f t="shared" si="166"/>
        <v>0</v>
      </c>
      <c r="AI209" s="152">
        <f t="shared" si="166"/>
        <v>0</v>
      </c>
      <c r="AJ209" s="152">
        <f t="shared" si="166"/>
        <v>0</v>
      </c>
      <c r="AK209" s="152">
        <f t="shared" si="166"/>
        <v>0</v>
      </c>
      <c r="AL209" s="152">
        <f t="shared" si="166"/>
        <v>0</v>
      </c>
      <c r="AM209" s="152">
        <f t="shared" ref="AM209:BR209" si="167">AM208-AM207</f>
        <v>0</v>
      </c>
      <c r="AN209" s="152">
        <f t="shared" si="167"/>
        <v>0</v>
      </c>
      <c r="AO209" s="152">
        <f t="shared" si="167"/>
        <v>0</v>
      </c>
      <c r="AP209" s="152">
        <f t="shared" si="167"/>
        <v>0</v>
      </c>
      <c r="AQ209" s="152">
        <f t="shared" si="167"/>
        <v>0</v>
      </c>
      <c r="AR209" s="152">
        <f t="shared" si="167"/>
        <v>0</v>
      </c>
      <c r="AS209" s="152">
        <f t="shared" si="167"/>
        <v>0</v>
      </c>
      <c r="AT209" s="152">
        <f t="shared" si="167"/>
        <v>0</v>
      </c>
      <c r="AU209" s="152">
        <f t="shared" si="167"/>
        <v>0</v>
      </c>
      <c r="AV209" s="152">
        <f t="shared" si="167"/>
        <v>0</v>
      </c>
      <c r="AW209" s="152">
        <f t="shared" si="167"/>
        <v>0</v>
      </c>
      <c r="AX209" s="152">
        <f t="shared" si="167"/>
        <v>0</v>
      </c>
      <c r="AY209" s="152">
        <f t="shared" si="167"/>
        <v>0</v>
      </c>
      <c r="AZ209" s="152">
        <f t="shared" si="167"/>
        <v>0</v>
      </c>
      <c r="BA209" s="152">
        <f t="shared" si="167"/>
        <v>0</v>
      </c>
      <c r="BB209" s="152">
        <f t="shared" si="167"/>
        <v>0</v>
      </c>
      <c r="BC209" s="152">
        <f t="shared" si="167"/>
        <v>0</v>
      </c>
      <c r="BD209" s="152">
        <f t="shared" si="167"/>
        <v>0</v>
      </c>
    </row>
    <row r="210" spans="3:56" ht="15" customHeight="1">
      <c r="C210" s="152">
        <f>SUM(G210:BD210)</f>
        <v>0</v>
      </c>
      <c r="D210" s="55" t="s">
        <v>275</v>
      </c>
      <c r="E210" s="128" t="s">
        <v>195</v>
      </c>
      <c r="G210" s="152">
        <f>IF(AND(G29&gt;0,G29&lt;=Paramètres!$F$91),-1*IPMT((Paramètres!$F$92+1)*(1+Paramètres!$F$95)-1,G29,Paramètres!$F$91,$C$207),0)</f>
        <v>0</v>
      </c>
      <c r="H210" s="152">
        <f>IF(AND(H29&gt;0,H29&lt;=Paramètres!$F$91),-1*IPMT((Paramètres!$F$92+1)*(1+Paramètres!$F$95)-1,H29,Paramètres!$F$91,$C$207),0)</f>
        <v>0</v>
      </c>
      <c r="I210" s="152">
        <f>IF(AND(I29&gt;0,I29&lt;=Paramètres!$F$91),-1*IPMT((Paramètres!$F$92+1)*(1+Paramètres!$F$95)-1,I29,Paramètres!$F$91,$C$207),0)</f>
        <v>0</v>
      </c>
      <c r="J210" s="152">
        <f>IF(AND(J29&gt;0,J29&lt;=Paramètres!$F$91),-1*IPMT((Paramètres!$F$92+1)*(1+Paramètres!$F$95)-1,J29,Paramètres!$F$91,$C$207),0)</f>
        <v>0</v>
      </c>
      <c r="K210" s="152">
        <f>IF(AND(K29&gt;0,K29&lt;=Paramètres!$F$91),-1*IPMT((Paramètres!$F$92+1)*(1+Paramètres!$F$95)-1,K29,Paramètres!$F$91,$C$207),0)</f>
        <v>0</v>
      </c>
      <c r="L210" s="152">
        <f>IF(AND(L29&gt;0,L29&lt;=Paramètres!$F$91),-1*IPMT((Paramètres!$F$92+1)*(1+Paramètres!$F$95)-1,L29,Paramètres!$F$91,$C$207),0)</f>
        <v>0</v>
      </c>
      <c r="M210" s="152">
        <f>IF(AND(M29&gt;0,M29&lt;=Paramètres!$F$91),-1*IPMT((Paramètres!$F$92+1)*(1+Paramètres!$F$95)-1,M29,Paramètres!$F$91,$C$207),0)</f>
        <v>0</v>
      </c>
      <c r="N210" s="152">
        <f>IF(AND(N29&gt;0,N29&lt;=Paramètres!$F$91),-1*IPMT((Paramètres!$F$92+1)*(1+Paramètres!$F$95)-1,N29,Paramètres!$F$91,$C$207),0)</f>
        <v>0</v>
      </c>
      <c r="O210" s="152">
        <f>IF(AND(O29&gt;0,O29&lt;=Paramètres!$F$91),-1*IPMT((Paramètres!$F$92+1)*(1+Paramètres!$F$95)-1,O29,Paramètres!$F$91,$C$207),0)</f>
        <v>0</v>
      </c>
      <c r="P210" s="152">
        <f>IF(AND(P29&gt;0,P29&lt;=Paramètres!$F$91),-1*IPMT((Paramètres!$F$92+1)*(1+Paramètres!$F$95)-1,P29,Paramètres!$F$91,$C$207),0)</f>
        <v>0</v>
      </c>
      <c r="Q210" s="152">
        <f>IF(AND(Q29&gt;0,Q29&lt;=Paramètres!$F$91),-1*IPMT((Paramètres!$F$92+1)*(1+Paramètres!$F$95)-1,Q29,Paramètres!$F$91,$C$207),0)</f>
        <v>0</v>
      </c>
      <c r="R210" s="152">
        <f>IF(AND(R29&gt;0,R29&lt;=Paramètres!$F$91),-1*IPMT((Paramètres!$F$92+1)*(1+Paramètres!$F$95)-1,R29,Paramètres!$F$91,$C$207),0)</f>
        <v>0</v>
      </c>
      <c r="S210" s="152">
        <f>IF(AND(S29&gt;0,S29&lt;=Paramètres!$F$91),-1*IPMT((Paramètres!$F$92+1)*(1+Paramètres!$F$95)-1,S29,Paramètres!$F$91,$C$207),0)</f>
        <v>0</v>
      </c>
      <c r="T210" s="152">
        <f>IF(AND(T29&gt;0,T29&lt;=Paramètres!$F$91),-1*IPMT((Paramètres!$F$92+1)*(1+Paramètres!$F$95)-1,T29,Paramètres!$F$91,$C$207),0)</f>
        <v>0</v>
      </c>
      <c r="U210" s="152">
        <f>IF(AND(U29&gt;0,U29&lt;=Paramètres!$F$91),-1*IPMT((Paramètres!$F$92+1)*(1+Paramètres!$F$95)-1,U29,Paramètres!$F$91,$C$207),0)</f>
        <v>0</v>
      </c>
      <c r="V210" s="152">
        <f>IF(AND(V29&gt;0,V29&lt;=Paramètres!$F$91),-1*IPMT((Paramètres!$F$92+1)*(1+Paramètres!$F$95)-1,V29,Paramètres!$F$91,$C$207),0)</f>
        <v>0</v>
      </c>
      <c r="W210" s="152">
        <f>IF(AND(W29&gt;0,W29&lt;=Paramètres!$F$91),-1*IPMT((Paramètres!$F$92+1)*(1+Paramètres!$F$95)-1,W29,Paramètres!$F$91,$C$207),0)</f>
        <v>0</v>
      </c>
      <c r="X210" s="152">
        <f>IF(AND(X29&gt;0,X29&lt;=Paramètres!$F$91),-1*IPMT((Paramètres!$F$92+1)*(1+Paramètres!$F$95)-1,X29,Paramètres!$F$91,$C$207),0)</f>
        <v>0</v>
      </c>
      <c r="Y210" s="152">
        <f>IF(AND(Y29&gt;0,Y29&lt;=Paramètres!$F$91),-1*IPMT((Paramètres!$F$92+1)*(1+Paramètres!$F$95)-1,Y29,Paramètres!$F$91,$C$207),0)</f>
        <v>0</v>
      </c>
      <c r="Z210" s="152">
        <f>IF(AND(Z29&gt;0,Z29&lt;=Paramètres!$F$91),-1*IPMT((Paramètres!$F$92+1)*(1+Paramètres!$F$95)-1,Z29,Paramètres!$F$91,$C$207),0)</f>
        <v>0</v>
      </c>
      <c r="AA210" s="152">
        <f>IF(AND(AA29&gt;0,AA29&lt;=Paramètres!$F$91),-1*IPMT((Paramètres!$F$92+1)*(1+Paramètres!$F$95)-1,AA29,Paramètres!$F$91,$C$207),0)</f>
        <v>0</v>
      </c>
      <c r="AB210" s="152">
        <f>IF(AND(AB29&gt;0,AB29&lt;=Paramètres!$F$91),-1*IPMT((Paramètres!$F$92+1)*(1+Paramètres!$F$95)-1,AB29,Paramètres!$F$91,$C$207),0)</f>
        <v>0</v>
      </c>
      <c r="AC210" s="152">
        <f>IF(AND(AC29&gt;0,AC29&lt;=Paramètres!$F$91),-1*IPMT((Paramètres!$F$92+1)*(1+Paramètres!$F$95)-1,AC29,Paramètres!$F$91,$C$207),0)</f>
        <v>0</v>
      </c>
      <c r="AD210" s="152">
        <f>IF(AND(AD29&gt;0,AD29&lt;=Paramètres!$F$91),-1*IPMT((Paramètres!$F$92+1)*(1+Paramètres!$F$95)-1,AD29,Paramètres!$F$91,$C$207),0)</f>
        <v>0</v>
      </c>
      <c r="AE210" s="152">
        <f>IF(AND(AE29&gt;0,AE29&lt;=Paramètres!$F$91),-1*IPMT((Paramètres!$F$92+1)*(1+Paramètres!$F$95)-1,AE29,Paramètres!$F$91,$C$207),0)</f>
        <v>0</v>
      </c>
      <c r="AF210" s="152">
        <f>IF(AND(AF29&gt;0,AF29&lt;=Paramètres!$F$91),-1*IPMT((Paramètres!$F$92+1)*(1+Paramètres!$F$95)-1,AF29,Paramètres!$F$91,$C$207),0)</f>
        <v>0</v>
      </c>
      <c r="AG210" s="152">
        <f>IF(AND(AG29&gt;0,AG29&lt;=Paramètres!$F$91),-1*IPMT((Paramètres!$F$92+1)*(1+Paramètres!$F$95)-1,AG29,Paramètres!$F$91,$C$207),0)</f>
        <v>0</v>
      </c>
      <c r="AH210" s="152">
        <f>IF(AND(AH29&gt;0,AH29&lt;=Paramètres!$F$91),-1*IPMT((Paramètres!$F$92+1)*(1+Paramètres!$F$95)-1,AH29,Paramètres!$F$91,$C$207),0)</f>
        <v>0</v>
      </c>
      <c r="AI210" s="152">
        <f>IF(AND(AI29&gt;0,AI29&lt;=Paramètres!$F$91),-1*IPMT((Paramètres!$F$92+1)*(1+Paramètres!$F$95)-1,AI29,Paramètres!$F$91,$C$207),0)</f>
        <v>0</v>
      </c>
      <c r="AJ210" s="152">
        <f>IF(AND(AJ29&gt;0,AJ29&lt;=Paramètres!$F$91),-1*IPMT((Paramètres!$F$92+1)*(1+Paramètres!$F$95)-1,AJ29,Paramètres!$F$91,$C$207),0)</f>
        <v>0</v>
      </c>
      <c r="AK210" s="152">
        <f>IF(AND(AK29&gt;0,AK29&lt;=Paramètres!$F$91),-1*IPMT((Paramètres!$F$92+1)*(1+Paramètres!$F$95)-1,AK29,Paramètres!$F$91,$C$207),0)</f>
        <v>0</v>
      </c>
      <c r="AL210" s="152">
        <f>IF(AND(AL29&gt;0,AL29&lt;=Paramètres!$F$91),-1*IPMT((Paramètres!$F$92+1)*(1+Paramètres!$F$95)-1,AL29,Paramètres!$F$91,$C$207),0)</f>
        <v>0</v>
      </c>
      <c r="AM210" s="152">
        <f>IF(AND(AM29&gt;0,AM29&lt;=Paramètres!$F$91),-1*IPMT((Paramètres!$F$92+1)*(1+Paramètres!$F$95)-1,AM29,Paramètres!$F$91,$C$207),0)</f>
        <v>0</v>
      </c>
      <c r="AN210" s="152">
        <f>IF(AND(AN29&gt;0,AN29&lt;=Paramètres!$F$91),-1*IPMT((Paramètres!$F$92+1)*(1+Paramètres!$F$95)-1,AN29,Paramètres!$F$91,$C$207),0)</f>
        <v>0</v>
      </c>
      <c r="AO210" s="152">
        <f>IF(AND(AO29&gt;0,AO29&lt;=Paramètres!$F$91),-1*IPMT((Paramètres!$F$92+1)*(1+Paramètres!$F$95)-1,AO29,Paramètres!$F$91,$C$207),0)</f>
        <v>0</v>
      </c>
      <c r="AP210" s="152">
        <f>IF(AND(AP29&gt;0,AP29&lt;=Paramètres!$F$91),-1*IPMT((Paramètres!$F$92+1)*(1+Paramètres!$F$95)-1,AP29,Paramètres!$F$91,$C$207),0)</f>
        <v>0</v>
      </c>
      <c r="AQ210" s="152">
        <f>IF(AND(AQ29&gt;0,AQ29&lt;=Paramètres!$F$91),-1*IPMT((Paramètres!$F$92+1)*(1+Paramètres!$F$95)-1,AQ29,Paramètres!$F$91,$C$207),0)</f>
        <v>0</v>
      </c>
      <c r="AR210" s="152">
        <f>IF(AND(AR29&gt;0,AR29&lt;=Paramètres!$F$91),-1*IPMT((Paramètres!$F$92+1)*(1+Paramètres!$F$95)-1,AR29,Paramètres!$F$91,$C$207),0)</f>
        <v>0</v>
      </c>
      <c r="AS210" s="152">
        <f>IF(AND(AS29&gt;0,AS29&lt;=Paramètres!$F$91),-1*IPMT((Paramètres!$F$92+1)*(1+Paramètres!$F$95)-1,AS29,Paramètres!$F$91,$C$207),0)</f>
        <v>0</v>
      </c>
      <c r="AT210" s="152">
        <f>IF(AND(AT29&gt;0,AT29&lt;=Paramètres!$F$91),-1*IPMT((Paramètres!$F$92+1)*(1+Paramètres!$F$95)-1,AT29,Paramètres!$F$91,$C$207),0)</f>
        <v>0</v>
      </c>
      <c r="AU210" s="152">
        <f>IF(AND(AU29&gt;0,AU29&lt;=Paramètres!$F$91),-1*IPMT((Paramètres!$F$92+1)*(1+Paramètres!$F$95)-1,AU29,Paramètres!$F$91,$C$207),0)</f>
        <v>0</v>
      </c>
      <c r="AV210" s="152">
        <f>IF(AND(AV29&gt;0,AV29&lt;=Paramètres!$F$91),-1*IPMT((Paramètres!$F$92+1)*(1+Paramètres!$F$95)-1,AV29,Paramètres!$F$91,$C$207),0)</f>
        <v>0</v>
      </c>
      <c r="AW210" s="152">
        <f>IF(AND(AW29&gt;0,AW29&lt;=Paramètres!$F$91),-1*IPMT((Paramètres!$F$92+1)*(1+Paramètres!$F$95)-1,AW29,Paramètres!$F$91,$C$207),0)</f>
        <v>0</v>
      </c>
      <c r="AX210" s="152">
        <f>IF(AND(AX29&gt;0,AX29&lt;=Paramètres!$F$91),-1*IPMT((Paramètres!$F$92+1)*(1+Paramètres!$F$95)-1,AX29,Paramètres!$F$91,$C$207),0)</f>
        <v>0</v>
      </c>
      <c r="AY210" s="152">
        <f>IF(AND(AY29&gt;0,AY29&lt;=Paramètres!$F$91),-1*IPMT((Paramètres!$F$92+1)*(1+Paramètres!$F$95)-1,AY29,Paramètres!$F$91,$C$207),0)</f>
        <v>0</v>
      </c>
      <c r="AZ210" s="152">
        <f>IF(AND(AZ29&gt;0,AZ29&lt;=Paramètres!$F$91),-1*IPMT((Paramètres!$F$92+1)*(1+Paramètres!$F$95)-1,AZ29,Paramètres!$F$91,$C$207),0)</f>
        <v>0</v>
      </c>
      <c r="BA210" s="152">
        <f>IF(AND(BA29&gt;0,BA29&lt;=Paramètres!$F$91),-1*IPMT((Paramètres!$F$92+1)*(1+Paramètres!$F$95)-1,BA29,Paramètres!$F$91,$C$207),0)</f>
        <v>0</v>
      </c>
      <c r="BB210" s="152">
        <f>IF(AND(BB29&gt;0,BB29&lt;=Paramètres!$F$91),-1*IPMT((Paramètres!$F$92+1)*(1+Paramètres!$F$95)-1,BB29,Paramètres!$F$91,$C$207),0)</f>
        <v>0</v>
      </c>
      <c r="BC210" s="152">
        <f>IF(AND(BC29&gt;0,BC29&lt;=Paramètres!$F$91),-1*IPMT((Paramètres!$F$92+1)*(1+Paramètres!$F$95)-1,BC29,Paramètres!$F$91,$C$207),0)</f>
        <v>0</v>
      </c>
      <c r="BD210" s="152">
        <f>IF(AND(BD29&gt;0,BD29&lt;=Paramètres!$F$91),-1*IPMT((Paramètres!$F$92+1)*(1+Paramètres!$F$95)-1,BD29,Paramètres!$F$91,$C$207),0)</f>
        <v>0</v>
      </c>
    </row>
    <row r="211" spans="3:56" ht="15" customHeight="1">
      <c r="C211" s="193"/>
      <c r="D211" s="80"/>
      <c r="E211" s="196"/>
      <c r="F211" s="80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  <c r="AA211" s="194"/>
      <c r="AB211" s="194"/>
      <c r="AC211" s="194"/>
      <c r="AD211" s="194"/>
      <c r="AE211" s="194"/>
      <c r="AF211" s="194"/>
      <c r="AG211" s="194"/>
      <c r="AH211" s="194"/>
      <c r="AI211" s="194"/>
      <c r="AJ211" s="194"/>
      <c r="AK211" s="194"/>
      <c r="AL211" s="194"/>
      <c r="AM211" s="194"/>
      <c r="AN211" s="194"/>
      <c r="AO211" s="194"/>
      <c r="AP211" s="194"/>
      <c r="AQ211" s="194"/>
      <c r="AR211" s="194"/>
      <c r="AS211" s="194"/>
      <c r="AT211" s="194"/>
      <c r="AU211" s="194"/>
      <c r="AV211" s="194"/>
      <c r="AW211" s="194"/>
      <c r="AX211" s="194"/>
      <c r="AY211" s="194"/>
      <c r="AZ211" s="194"/>
      <c r="BA211" s="194"/>
      <c r="BB211" s="194"/>
      <c r="BC211" s="194"/>
      <c r="BD211" s="194"/>
    </row>
    <row r="212" spans="3:56" ht="15" customHeight="1">
      <c r="C212" s="151"/>
      <c r="D212" s="33" t="s">
        <v>296</v>
      </c>
      <c r="E212" s="128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</row>
    <row r="213" spans="3:56" ht="15" customHeight="1">
      <c r="C213" s="152">
        <f t="shared" ref="C213:C218" si="168">SUM(G213:BD213)</f>
        <v>0</v>
      </c>
      <c r="D213" s="55" t="s">
        <v>297</v>
      </c>
      <c r="E213" s="128" t="s">
        <v>195</v>
      </c>
      <c r="G213" s="152">
        <f t="shared" ref="G213:AL213" si="169">F217*(F217&lt;0)</f>
        <v>0</v>
      </c>
      <c r="H213" s="152">
        <f t="shared" si="169"/>
        <v>0</v>
      </c>
      <c r="I213" s="152">
        <f t="shared" si="169"/>
        <v>0</v>
      </c>
      <c r="J213" s="152">
        <f t="shared" si="169"/>
        <v>0</v>
      </c>
      <c r="K213" s="152">
        <f t="shared" si="169"/>
        <v>0</v>
      </c>
      <c r="L213" s="152">
        <f t="shared" si="169"/>
        <v>0</v>
      </c>
      <c r="M213" s="152">
        <f t="shared" si="169"/>
        <v>0</v>
      </c>
      <c r="N213" s="152">
        <f t="shared" si="169"/>
        <v>0</v>
      </c>
      <c r="O213" s="152">
        <f t="shared" si="169"/>
        <v>0</v>
      </c>
      <c r="P213" s="152">
        <f t="shared" si="169"/>
        <v>0</v>
      </c>
      <c r="Q213" s="152">
        <f t="shared" si="169"/>
        <v>0</v>
      </c>
      <c r="R213" s="152">
        <f t="shared" si="169"/>
        <v>0</v>
      </c>
      <c r="S213" s="152">
        <f t="shared" si="169"/>
        <v>0</v>
      </c>
      <c r="T213" s="152">
        <f t="shared" si="169"/>
        <v>0</v>
      </c>
      <c r="U213" s="152">
        <f t="shared" si="169"/>
        <v>0</v>
      </c>
      <c r="V213" s="152">
        <f t="shared" si="169"/>
        <v>0</v>
      </c>
      <c r="W213" s="152">
        <f t="shared" si="169"/>
        <v>0</v>
      </c>
      <c r="X213" s="152">
        <f t="shared" si="169"/>
        <v>0</v>
      </c>
      <c r="Y213" s="152">
        <f t="shared" si="169"/>
        <v>0</v>
      </c>
      <c r="Z213" s="152">
        <f t="shared" si="169"/>
        <v>0</v>
      </c>
      <c r="AA213" s="152">
        <f t="shared" si="169"/>
        <v>0</v>
      </c>
      <c r="AB213" s="152">
        <f t="shared" si="169"/>
        <v>0</v>
      </c>
      <c r="AC213" s="152">
        <f t="shared" si="169"/>
        <v>0</v>
      </c>
      <c r="AD213" s="152">
        <f t="shared" si="169"/>
        <v>0</v>
      </c>
      <c r="AE213" s="152">
        <f t="shared" si="169"/>
        <v>0</v>
      </c>
      <c r="AF213" s="152">
        <f t="shared" si="169"/>
        <v>0</v>
      </c>
      <c r="AG213" s="152">
        <f t="shared" si="169"/>
        <v>0</v>
      </c>
      <c r="AH213" s="152">
        <f t="shared" si="169"/>
        <v>0</v>
      </c>
      <c r="AI213" s="152">
        <f t="shared" si="169"/>
        <v>0</v>
      </c>
      <c r="AJ213" s="152">
        <f t="shared" si="169"/>
        <v>0</v>
      </c>
      <c r="AK213" s="152">
        <f t="shared" si="169"/>
        <v>0</v>
      </c>
      <c r="AL213" s="152">
        <f t="shared" si="169"/>
        <v>0</v>
      </c>
      <c r="AM213" s="152">
        <f t="shared" ref="AM213:BD213" si="170">AL217*(AL217&lt;0)</f>
        <v>0</v>
      </c>
      <c r="AN213" s="152">
        <f t="shared" si="170"/>
        <v>0</v>
      </c>
      <c r="AO213" s="152">
        <f t="shared" si="170"/>
        <v>0</v>
      </c>
      <c r="AP213" s="152">
        <f t="shared" si="170"/>
        <v>0</v>
      </c>
      <c r="AQ213" s="152">
        <f t="shared" si="170"/>
        <v>0</v>
      </c>
      <c r="AR213" s="152">
        <f t="shared" si="170"/>
        <v>0</v>
      </c>
      <c r="AS213" s="152">
        <f t="shared" si="170"/>
        <v>0</v>
      </c>
      <c r="AT213" s="152">
        <f t="shared" si="170"/>
        <v>0</v>
      </c>
      <c r="AU213" s="152">
        <f t="shared" si="170"/>
        <v>0</v>
      </c>
      <c r="AV213" s="152">
        <f t="shared" si="170"/>
        <v>0</v>
      </c>
      <c r="AW213" s="152">
        <f t="shared" si="170"/>
        <v>0</v>
      </c>
      <c r="AX213" s="152">
        <f t="shared" si="170"/>
        <v>0</v>
      </c>
      <c r="AY213" s="152">
        <f t="shared" si="170"/>
        <v>0</v>
      </c>
      <c r="AZ213" s="152">
        <f t="shared" si="170"/>
        <v>0</v>
      </c>
      <c r="BA213" s="152">
        <f t="shared" si="170"/>
        <v>0</v>
      </c>
      <c r="BB213" s="152">
        <f t="shared" si="170"/>
        <v>0</v>
      </c>
      <c r="BC213" s="152">
        <f t="shared" si="170"/>
        <v>0</v>
      </c>
      <c r="BD213" s="152">
        <f t="shared" si="170"/>
        <v>0</v>
      </c>
    </row>
    <row r="214" spans="3:56" ht="15" customHeight="1">
      <c r="C214" s="152">
        <f t="shared" si="168"/>
        <v>0</v>
      </c>
      <c r="D214" s="106" t="s">
        <v>298</v>
      </c>
      <c r="E214" s="128" t="s">
        <v>195</v>
      </c>
      <c r="G214" s="152">
        <f>G213*Paramètres!$F$26</f>
        <v>0</v>
      </c>
      <c r="H214" s="152">
        <f>H213*Paramètres!$F$26</f>
        <v>0</v>
      </c>
      <c r="I214" s="152">
        <f>I213*Paramètres!$F$26</f>
        <v>0</v>
      </c>
      <c r="J214" s="152">
        <f>J213*Paramètres!$F$26</f>
        <v>0</v>
      </c>
      <c r="K214" s="152">
        <f>K213*Paramètres!$F$26</f>
        <v>0</v>
      </c>
      <c r="L214" s="152">
        <f>L213*Paramètres!$F$26</f>
        <v>0</v>
      </c>
      <c r="M214" s="152">
        <f>M213*Paramètres!$F$26</f>
        <v>0</v>
      </c>
      <c r="N214" s="152">
        <f>N213*Paramètres!$F$26</f>
        <v>0</v>
      </c>
      <c r="O214" s="152">
        <f>O213*Paramètres!$F$26</f>
        <v>0</v>
      </c>
      <c r="P214" s="152">
        <f>P213*Paramètres!$F$26</f>
        <v>0</v>
      </c>
      <c r="Q214" s="152">
        <f>Q213*Paramètres!$F$26</f>
        <v>0</v>
      </c>
      <c r="R214" s="152">
        <f>R213*Paramètres!$F$26</f>
        <v>0</v>
      </c>
      <c r="S214" s="152">
        <f>S213*Paramètres!$F$26</f>
        <v>0</v>
      </c>
      <c r="T214" s="152">
        <f>T213*Paramètres!$F$26</f>
        <v>0</v>
      </c>
      <c r="U214" s="152">
        <f>U213*Paramètres!$F$26</f>
        <v>0</v>
      </c>
      <c r="V214" s="152">
        <f>V213*Paramètres!$F$26</f>
        <v>0</v>
      </c>
      <c r="W214" s="152">
        <f>W213*Paramètres!$F$26</f>
        <v>0</v>
      </c>
      <c r="X214" s="152">
        <f>X213*Paramètres!$F$26</f>
        <v>0</v>
      </c>
      <c r="Y214" s="152">
        <f>Y213*Paramètres!$F$26</f>
        <v>0</v>
      </c>
      <c r="Z214" s="152">
        <f>Z213*Paramètres!$F$26</f>
        <v>0</v>
      </c>
      <c r="AA214" s="152">
        <f>AA213*Paramètres!$F$26</f>
        <v>0</v>
      </c>
      <c r="AB214" s="152">
        <f>AB213*Paramètres!$F$26</f>
        <v>0</v>
      </c>
      <c r="AC214" s="152">
        <f>AC213*Paramètres!$F$26</f>
        <v>0</v>
      </c>
      <c r="AD214" s="152">
        <f>AD213*Paramètres!$F$26</f>
        <v>0</v>
      </c>
      <c r="AE214" s="152">
        <f>AE213*Paramètres!$F$26</f>
        <v>0</v>
      </c>
      <c r="AF214" s="152">
        <f>AF213*Paramètres!$F$26</f>
        <v>0</v>
      </c>
      <c r="AG214" s="152">
        <f>AG213*Paramètres!$F$26</f>
        <v>0</v>
      </c>
      <c r="AH214" s="152">
        <f>AH213*Paramètres!$F$26</f>
        <v>0</v>
      </c>
      <c r="AI214" s="152">
        <f>AI213*Paramètres!$F$26</f>
        <v>0</v>
      </c>
      <c r="AJ214" s="152">
        <f>AJ213*Paramètres!$F$26</f>
        <v>0</v>
      </c>
      <c r="AK214" s="152">
        <f>AK213*Paramètres!$F$26</f>
        <v>0</v>
      </c>
      <c r="AL214" s="152">
        <f>AL213*Paramètres!$F$26</f>
        <v>0</v>
      </c>
      <c r="AM214" s="152">
        <f>AM213*Paramètres!$F$26</f>
        <v>0</v>
      </c>
      <c r="AN214" s="152">
        <f>AN213*Paramètres!$F$26</f>
        <v>0</v>
      </c>
      <c r="AO214" s="152">
        <f>AO213*Paramètres!$F$26</f>
        <v>0</v>
      </c>
      <c r="AP214" s="152">
        <f>AP213*Paramètres!$F$26</f>
        <v>0</v>
      </c>
      <c r="AQ214" s="152">
        <f>AQ213*Paramètres!$F$26</f>
        <v>0</v>
      </c>
      <c r="AR214" s="152">
        <f>AR213*Paramètres!$F$26</f>
        <v>0</v>
      </c>
      <c r="AS214" s="152">
        <f>AS213*Paramètres!$F$26</f>
        <v>0</v>
      </c>
      <c r="AT214" s="152">
        <f>AT213*Paramètres!$F$26</f>
        <v>0</v>
      </c>
      <c r="AU214" s="152">
        <f>AU213*Paramètres!$F$26</f>
        <v>0</v>
      </c>
      <c r="AV214" s="152">
        <f>AV213*Paramètres!$F$26</f>
        <v>0</v>
      </c>
      <c r="AW214" s="152">
        <f>AW213*Paramètres!$F$26</f>
        <v>0</v>
      </c>
      <c r="AX214" s="152">
        <f>AX213*Paramètres!$F$26</f>
        <v>0</v>
      </c>
      <c r="AY214" s="152">
        <f>AY213*Paramètres!$F$26</f>
        <v>0</v>
      </c>
      <c r="AZ214" s="152">
        <f>AZ213*Paramètres!$F$26</f>
        <v>0</v>
      </c>
      <c r="BA214" s="152">
        <f>BA213*Paramètres!$F$26</f>
        <v>0</v>
      </c>
      <c r="BB214" s="152">
        <f>BB213*Paramètres!$F$26</f>
        <v>0</v>
      </c>
      <c r="BC214" s="152">
        <f>BC213*Paramètres!$F$26</f>
        <v>0</v>
      </c>
      <c r="BD214" s="152">
        <f>BD213*Paramètres!$F$26</f>
        <v>0</v>
      </c>
    </row>
    <row r="215" spans="3:56" ht="15" customHeight="1">
      <c r="C215" s="152">
        <f t="shared" si="168"/>
        <v>3696.7338076497381</v>
      </c>
      <c r="D215" s="106" t="s">
        <v>299</v>
      </c>
      <c r="E215" s="128" t="s">
        <v>195</v>
      </c>
      <c r="G215" s="152">
        <f t="shared" ref="G215:AL215" si="171">G149</f>
        <v>123.38999999999999</v>
      </c>
      <c r="H215" s="152">
        <f t="shared" si="171"/>
        <v>235.27605600000004</v>
      </c>
      <c r="I215" s="152">
        <f t="shared" si="171"/>
        <v>170.85032639999997</v>
      </c>
      <c r="J215" s="152">
        <f t="shared" si="171"/>
        <v>403.25903999999991</v>
      </c>
      <c r="K215" s="152">
        <f t="shared" si="171"/>
        <v>394.00530623999998</v>
      </c>
      <c r="L215" s="152">
        <f t="shared" si="171"/>
        <v>433.90375565760007</v>
      </c>
      <c r="M215" s="152">
        <f t="shared" si="171"/>
        <v>469.60972883308807</v>
      </c>
      <c r="N215" s="152">
        <f t="shared" si="171"/>
        <v>319.79408987355953</v>
      </c>
      <c r="O215" s="152">
        <f t="shared" si="171"/>
        <v>88.998192087489201</v>
      </c>
      <c r="P215" s="152">
        <f t="shared" si="171"/>
        <v>113.4760710480551</v>
      </c>
      <c r="Q215" s="152">
        <f t="shared" si="171"/>
        <v>110.8786353477451</v>
      </c>
      <c r="R215" s="152">
        <f t="shared" si="171"/>
        <v>126.76872496210012</v>
      </c>
      <c r="S215" s="152">
        <f t="shared" si="171"/>
        <v>147.07559125600869</v>
      </c>
      <c r="T215" s="152">
        <f t="shared" si="171"/>
        <v>140.95707032341954</v>
      </c>
      <c r="U215" s="152">
        <f t="shared" si="171"/>
        <v>208.42301814314305</v>
      </c>
      <c r="V215" s="152">
        <f t="shared" si="171"/>
        <v>154.99423544642173</v>
      </c>
      <c r="W215" s="152">
        <f t="shared" si="171"/>
        <v>55.07396603110719</v>
      </c>
      <c r="X215" s="152">
        <f t="shared" si="171"/>
        <v>0</v>
      </c>
      <c r="Y215" s="152">
        <f t="shared" si="171"/>
        <v>0</v>
      </c>
      <c r="Z215" s="152">
        <f t="shared" si="171"/>
        <v>0</v>
      </c>
      <c r="AA215" s="152">
        <f t="shared" si="171"/>
        <v>0</v>
      </c>
      <c r="AB215" s="152">
        <f t="shared" si="171"/>
        <v>0</v>
      </c>
      <c r="AC215" s="152">
        <f t="shared" si="171"/>
        <v>0</v>
      </c>
      <c r="AD215" s="152">
        <f t="shared" si="171"/>
        <v>0</v>
      </c>
      <c r="AE215" s="152">
        <f t="shared" si="171"/>
        <v>0</v>
      </c>
      <c r="AF215" s="152">
        <f t="shared" si="171"/>
        <v>0</v>
      </c>
      <c r="AG215" s="152">
        <f t="shared" si="171"/>
        <v>0</v>
      </c>
      <c r="AH215" s="152">
        <f t="shared" si="171"/>
        <v>0</v>
      </c>
      <c r="AI215" s="152">
        <f t="shared" si="171"/>
        <v>0</v>
      </c>
      <c r="AJ215" s="152">
        <f t="shared" si="171"/>
        <v>0</v>
      </c>
      <c r="AK215" s="152">
        <f t="shared" si="171"/>
        <v>0</v>
      </c>
      <c r="AL215" s="152">
        <f t="shared" si="171"/>
        <v>0</v>
      </c>
      <c r="AM215" s="152">
        <f t="shared" ref="AM215:BD215" si="172">AM149</f>
        <v>0</v>
      </c>
      <c r="AN215" s="152">
        <f t="shared" si="172"/>
        <v>0</v>
      </c>
      <c r="AO215" s="152">
        <f t="shared" si="172"/>
        <v>0</v>
      </c>
      <c r="AP215" s="152">
        <f t="shared" si="172"/>
        <v>0</v>
      </c>
      <c r="AQ215" s="152">
        <f t="shared" si="172"/>
        <v>0</v>
      </c>
      <c r="AR215" s="152">
        <f t="shared" si="172"/>
        <v>0</v>
      </c>
      <c r="AS215" s="152">
        <f t="shared" si="172"/>
        <v>0</v>
      </c>
      <c r="AT215" s="152">
        <f t="shared" si="172"/>
        <v>0</v>
      </c>
      <c r="AU215" s="152">
        <f t="shared" si="172"/>
        <v>0</v>
      </c>
      <c r="AV215" s="152">
        <f t="shared" si="172"/>
        <v>0</v>
      </c>
      <c r="AW215" s="152">
        <f t="shared" si="172"/>
        <v>0</v>
      </c>
      <c r="AX215" s="152">
        <f t="shared" si="172"/>
        <v>0</v>
      </c>
      <c r="AY215" s="152">
        <f t="shared" si="172"/>
        <v>0</v>
      </c>
      <c r="AZ215" s="152">
        <f t="shared" si="172"/>
        <v>0</v>
      </c>
      <c r="BA215" s="152">
        <f t="shared" si="172"/>
        <v>0</v>
      </c>
      <c r="BB215" s="152">
        <f t="shared" si="172"/>
        <v>0</v>
      </c>
      <c r="BC215" s="152">
        <f t="shared" si="172"/>
        <v>0</v>
      </c>
      <c r="BD215" s="152">
        <f t="shared" si="172"/>
        <v>0</v>
      </c>
    </row>
    <row r="216" spans="3:56" ht="15" customHeight="1">
      <c r="C216" s="152">
        <f t="shared" si="168"/>
        <v>0</v>
      </c>
      <c r="D216" s="106" t="s">
        <v>300</v>
      </c>
      <c r="E216" s="128" t="s">
        <v>195</v>
      </c>
      <c r="G216" s="152">
        <f>G190*(Paramètres!$F$27="yes")*-1</f>
        <v>0</v>
      </c>
      <c r="H216" s="152">
        <f>H190*(Paramètres!$F$27="yes")*-1</f>
        <v>0</v>
      </c>
      <c r="I216" s="152">
        <f>I190*(Paramètres!$F$27="yes")*-1</f>
        <v>0</v>
      </c>
      <c r="J216" s="152">
        <f>J190*(Paramètres!$F$27="yes")*-1</f>
        <v>0</v>
      </c>
      <c r="K216" s="152">
        <f>K190*(Paramètres!$F$27="yes")*-1</f>
        <v>0</v>
      </c>
      <c r="L216" s="152">
        <f>L190*(Paramètres!$F$27="yes")*-1</f>
        <v>0</v>
      </c>
      <c r="M216" s="152">
        <f>M190*(Paramètres!$F$27="yes")*-1</f>
        <v>0</v>
      </c>
      <c r="N216" s="152">
        <f>N190*(Paramètres!$F$27="yes")*-1</f>
        <v>0</v>
      </c>
      <c r="O216" s="152">
        <f>O190*(Paramètres!$F$27="yes")*-1</f>
        <v>0</v>
      </c>
      <c r="P216" s="152">
        <f>P190*(Paramètres!$F$27="yes")*-1</f>
        <v>0</v>
      </c>
      <c r="Q216" s="152">
        <f>Q190*(Paramètres!$F$27="yes")*-1</f>
        <v>0</v>
      </c>
      <c r="R216" s="152">
        <f>R190*(Paramètres!$F$27="yes")*-1</f>
        <v>0</v>
      </c>
      <c r="S216" s="152">
        <f>S190*(Paramètres!$F$27="yes")*-1</f>
        <v>0</v>
      </c>
      <c r="T216" s="152">
        <f>T190*(Paramètres!$F$27="yes")*-1</f>
        <v>0</v>
      </c>
      <c r="U216" s="152">
        <f>U190*(Paramètres!$F$27="yes")*-1</f>
        <v>0</v>
      </c>
      <c r="V216" s="152">
        <f>V190*(Paramètres!$F$27="yes")*-1</f>
        <v>0</v>
      </c>
      <c r="W216" s="152">
        <f>W190*(Paramètres!$F$27="yes")*-1</f>
        <v>0</v>
      </c>
      <c r="X216" s="152">
        <f>X190*(Paramètres!$F$27="yes")*-1</f>
        <v>0</v>
      </c>
      <c r="Y216" s="152">
        <f>Y190*(Paramètres!$F$27="yes")*-1</f>
        <v>0</v>
      </c>
      <c r="Z216" s="152">
        <f>Z190*(Paramètres!$F$27="yes")*-1</f>
        <v>0</v>
      </c>
      <c r="AA216" s="152">
        <f>AA190*(Paramètres!$F$27="yes")*-1</f>
        <v>0</v>
      </c>
      <c r="AB216" s="152">
        <f>AB190*(Paramètres!$F$27="yes")*-1</f>
        <v>0</v>
      </c>
      <c r="AC216" s="152">
        <f>AC190*(Paramètres!$F$27="yes")*-1</f>
        <v>0</v>
      </c>
      <c r="AD216" s="152">
        <f>AD190*(Paramètres!$F$27="yes")*-1</f>
        <v>0</v>
      </c>
      <c r="AE216" s="152">
        <f>AE190*(Paramètres!$F$27="yes")*-1</f>
        <v>0</v>
      </c>
      <c r="AF216" s="152">
        <f>AF190*(Paramètres!$F$27="yes")*-1</f>
        <v>0</v>
      </c>
      <c r="AG216" s="152">
        <f>AG190*(Paramètres!$F$27="yes")*-1</f>
        <v>0</v>
      </c>
      <c r="AH216" s="152">
        <f>AH190*(Paramètres!$F$27="yes")*-1</f>
        <v>0</v>
      </c>
      <c r="AI216" s="152">
        <f>AI190*(Paramètres!$F$27="yes")*-1</f>
        <v>0</v>
      </c>
      <c r="AJ216" s="152">
        <f>AJ190*(Paramètres!$F$27="yes")*-1</f>
        <v>0</v>
      </c>
      <c r="AK216" s="152">
        <f>AK190*(Paramètres!$F$27="yes")*-1</f>
        <v>0</v>
      </c>
      <c r="AL216" s="152">
        <f>AL190*(Paramètres!$F$27="yes")*-1</f>
        <v>0</v>
      </c>
      <c r="AM216" s="152">
        <f>AM190*(Paramètres!$F$27="yes")*-1</f>
        <v>0</v>
      </c>
      <c r="AN216" s="152">
        <f>AN190*(Paramètres!$F$27="yes")*-1</f>
        <v>0</v>
      </c>
      <c r="AO216" s="152">
        <f>AO190*(Paramètres!$F$27="yes")*-1</f>
        <v>0</v>
      </c>
      <c r="AP216" s="152">
        <f>AP190*(Paramètres!$F$27="yes")*-1</f>
        <v>0</v>
      </c>
      <c r="AQ216" s="152">
        <f>AQ190*(Paramètres!$F$27="yes")*-1</f>
        <v>0</v>
      </c>
      <c r="AR216" s="152">
        <f>AR190*(Paramètres!$F$27="yes")*-1</f>
        <v>0</v>
      </c>
      <c r="AS216" s="152">
        <f>AS190*(Paramètres!$F$27="yes")*-1</f>
        <v>0</v>
      </c>
      <c r="AT216" s="152">
        <f>AT190*(Paramètres!$F$27="yes")*-1</f>
        <v>0</v>
      </c>
      <c r="AU216" s="152">
        <f>AU190*(Paramètres!$F$27="yes")*-1</f>
        <v>0</v>
      </c>
      <c r="AV216" s="152">
        <f>AV190*(Paramètres!$F$27="yes")*-1</f>
        <v>0</v>
      </c>
      <c r="AW216" s="152">
        <f>AW190*(Paramètres!$F$27="yes")*-1</f>
        <v>0</v>
      </c>
      <c r="AX216" s="152">
        <f>AX190*(Paramètres!$F$27="yes")*-1</f>
        <v>0</v>
      </c>
      <c r="AY216" s="152">
        <f>AY190*(Paramètres!$F$27="yes")*-1</f>
        <v>0</v>
      </c>
      <c r="AZ216" s="152">
        <f>AZ190*(Paramètres!$F$27="yes")*-1</f>
        <v>0</v>
      </c>
      <c r="BA216" s="152">
        <f>BA190*(Paramètres!$F$27="yes")*-1</f>
        <v>0</v>
      </c>
      <c r="BB216" s="152">
        <f>BB190*(Paramètres!$F$27="yes")*-1</f>
        <v>0</v>
      </c>
      <c r="BC216" s="152">
        <f>BC190*(Paramètres!$F$27="yes")*-1</f>
        <v>0</v>
      </c>
      <c r="BD216" s="152">
        <f>BD190*(Paramètres!$F$27="yes")*-1</f>
        <v>0</v>
      </c>
    </row>
    <row r="217" spans="3:56" ht="15" customHeight="1">
      <c r="C217" s="152">
        <f t="shared" si="168"/>
        <v>3696.7338076497381</v>
      </c>
      <c r="D217" s="124" t="s">
        <v>301</v>
      </c>
      <c r="E217" s="128" t="s">
        <v>195</v>
      </c>
      <c r="G217" s="152">
        <f t="shared" ref="G217:AL217" si="173">SUM(G213:G216)</f>
        <v>123.38999999999999</v>
      </c>
      <c r="H217" s="152">
        <f t="shared" si="173"/>
        <v>235.27605600000004</v>
      </c>
      <c r="I217" s="152">
        <f t="shared" si="173"/>
        <v>170.85032639999997</v>
      </c>
      <c r="J217" s="152">
        <f t="shared" si="173"/>
        <v>403.25903999999991</v>
      </c>
      <c r="K217" s="152">
        <f t="shared" si="173"/>
        <v>394.00530623999998</v>
      </c>
      <c r="L217" s="152">
        <f t="shared" si="173"/>
        <v>433.90375565760007</v>
      </c>
      <c r="M217" s="152">
        <f t="shared" si="173"/>
        <v>469.60972883308807</v>
      </c>
      <c r="N217" s="152">
        <f t="shared" si="173"/>
        <v>319.79408987355953</v>
      </c>
      <c r="O217" s="152">
        <f t="shared" si="173"/>
        <v>88.998192087489201</v>
      </c>
      <c r="P217" s="152">
        <f t="shared" si="173"/>
        <v>113.4760710480551</v>
      </c>
      <c r="Q217" s="152">
        <f t="shared" si="173"/>
        <v>110.8786353477451</v>
      </c>
      <c r="R217" s="152">
        <f t="shared" si="173"/>
        <v>126.76872496210012</v>
      </c>
      <c r="S217" s="152">
        <f t="shared" si="173"/>
        <v>147.07559125600869</v>
      </c>
      <c r="T217" s="152">
        <f t="shared" si="173"/>
        <v>140.95707032341954</v>
      </c>
      <c r="U217" s="152">
        <f t="shared" si="173"/>
        <v>208.42301814314305</v>
      </c>
      <c r="V217" s="152">
        <f t="shared" si="173"/>
        <v>154.99423544642173</v>
      </c>
      <c r="W217" s="152">
        <f t="shared" si="173"/>
        <v>55.07396603110719</v>
      </c>
      <c r="X217" s="152">
        <f t="shared" si="173"/>
        <v>0</v>
      </c>
      <c r="Y217" s="152">
        <f t="shared" si="173"/>
        <v>0</v>
      </c>
      <c r="Z217" s="152">
        <f t="shared" si="173"/>
        <v>0</v>
      </c>
      <c r="AA217" s="152">
        <f t="shared" si="173"/>
        <v>0</v>
      </c>
      <c r="AB217" s="152">
        <f t="shared" si="173"/>
        <v>0</v>
      </c>
      <c r="AC217" s="152">
        <f t="shared" si="173"/>
        <v>0</v>
      </c>
      <c r="AD217" s="152">
        <f t="shared" si="173"/>
        <v>0</v>
      </c>
      <c r="AE217" s="152">
        <f t="shared" si="173"/>
        <v>0</v>
      </c>
      <c r="AF217" s="152">
        <f t="shared" si="173"/>
        <v>0</v>
      </c>
      <c r="AG217" s="152">
        <f t="shared" si="173"/>
        <v>0</v>
      </c>
      <c r="AH217" s="152">
        <f t="shared" si="173"/>
        <v>0</v>
      </c>
      <c r="AI217" s="152">
        <f t="shared" si="173"/>
        <v>0</v>
      </c>
      <c r="AJ217" s="152">
        <f t="shared" si="173"/>
        <v>0</v>
      </c>
      <c r="AK217" s="152">
        <f t="shared" si="173"/>
        <v>0</v>
      </c>
      <c r="AL217" s="152">
        <f t="shared" si="173"/>
        <v>0</v>
      </c>
      <c r="AM217" s="152">
        <f t="shared" ref="AM217:BR217" si="174">SUM(AM213:AM216)</f>
        <v>0</v>
      </c>
      <c r="AN217" s="152">
        <f t="shared" si="174"/>
        <v>0</v>
      </c>
      <c r="AO217" s="152">
        <f t="shared" si="174"/>
        <v>0</v>
      </c>
      <c r="AP217" s="152">
        <f t="shared" si="174"/>
        <v>0</v>
      </c>
      <c r="AQ217" s="152">
        <f t="shared" si="174"/>
        <v>0</v>
      </c>
      <c r="AR217" s="152">
        <f t="shared" si="174"/>
        <v>0</v>
      </c>
      <c r="AS217" s="152">
        <f t="shared" si="174"/>
        <v>0</v>
      </c>
      <c r="AT217" s="152">
        <f t="shared" si="174"/>
        <v>0</v>
      </c>
      <c r="AU217" s="152">
        <f t="shared" si="174"/>
        <v>0</v>
      </c>
      <c r="AV217" s="152">
        <f t="shared" si="174"/>
        <v>0</v>
      </c>
      <c r="AW217" s="152">
        <f t="shared" si="174"/>
        <v>0</v>
      </c>
      <c r="AX217" s="152">
        <f t="shared" si="174"/>
        <v>0</v>
      </c>
      <c r="AY217" s="152">
        <f t="shared" si="174"/>
        <v>0</v>
      </c>
      <c r="AZ217" s="152">
        <f t="shared" si="174"/>
        <v>0</v>
      </c>
      <c r="BA217" s="152">
        <f t="shared" si="174"/>
        <v>0</v>
      </c>
      <c r="BB217" s="152">
        <f t="shared" si="174"/>
        <v>0</v>
      </c>
      <c r="BC217" s="152">
        <f t="shared" si="174"/>
        <v>0</v>
      </c>
      <c r="BD217" s="152">
        <f t="shared" si="174"/>
        <v>0</v>
      </c>
    </row>
    <row r="218" spans="3:56" ht="15" customHeight="1">
      <c r="C218" s="152">
        <f t="shared" si="168"/>
        <v>0</v>
      </c>
      <c r="D218" s="55" t="s">
        <v>296</v>
      </c>
      <c r="E218" s="128" t="s">
        <v>195</v>
      </c>
      <c r="G218" s="152">
        <f>G217*(G217&gt;0)*Paramètres!$F$25</f>
        <v>0</v>
      </c>
      <c r="H218" s="152">
        <f>H217*(H217&gt;0)*Paramètres!$F$25</f>
        <v>0</v>
      </c>
      <c r="I218" s="152">
        <f>I217*(I217&gt;0)*Paramètres!$F$25</f>
        <v>0</v>
      </c>
      <c r="J218" s="152">
        <f>J217*(J217&gt;0)*Paramètres!$F$25</f>
        <v>0</v>
      </c>
      <c r="K218" s="152">
        <f>K217*(K217&gt;0)*Paramètres!$F$25</f>
        <v>0</v>
      </c>
      <c r="L218" s="152">
        <f>L217*(L217&gt;0)*Paramètres!$F$25</f>
        <v>0</v>
      </c>
      <c r="M218" s="152">
        <f>M217*(M217&gt;0)*Paramètres!$F$25</f>
        <v>0</v>
      </c>
      <c r="N218" s="152">
        <f>N217*(N217&gt;0)*Paramètres!$F$25</f>
        <v>0</v>
      </c>
      <c r="O218" s="152">
        <f>O217*(O217&gt;0)*Paramètres!$F$25</f>
        <v>0</v>
      </c>
      <c r="P218" s="152">
        <f>P217*(P217&gt;0)*Paramètres!$F$25</f>
        <v>0</v>
      </c>
      <c r="Q218" s="152">
        <f>Q217*(Q217&gt;0)*Paramètres!$F$25</f>
        <v>0</v>
      </c>
      <c r="R218" s="152">
        <f>R217*(R217&gt;0)*Paramètres!$F$25</f>
        <v>0</v>
      </c>
      <c r="S218" s="152">
        <f>S217*(S217&gt;0)*Paramètres!$F$25</f>
        <v>0</v>
      </c>
      <c r="T218" s="152">
        <f>T217*(T217&gt;0)*Paramètres!$F$25</f>
        <v>0</v>
      </c>
      <c r="U218" s="152">
        <f>U217*(U217&gt;0)*Paramètres!$F$25</f>
        <v>0</v>
      </c>
      <c r="V218" s="152">
        <f>V217*(V217&gt;0)*Paramètres!$F$25</f>
        <v>0</v>
      </c>
      <c r="W218" s="152">
        <f>W217*(W217&gt;0)*Paramètres!$F$25</f>
        <v>0</v>
      </c>
      <c r="X218" s="152">
        <f>X217*(X217&gt;0)*Paramètres!$F$25</f>
        <v>0</v>
      </c>
      <c r="Y218" s="152">
        <f>Y217*(Y217&gt;0)*Paramètres!$F$25</f>
        <v>0</v>
      </c>
      <c r="Z218" s="152">
        <f>Z217*(Z217&gt;0)*Paramètres!$F$25</f>
        <v>0</v>
      </c>
      <c r="AA218" s="152">
        <f>AA217*(AA217&gt;0)*Paramètres!$F$25</f>
        <v>0</v>
      </c>
      <c r="AB218" s="152">
        <f>AB217*(AB217&gt;0)*Paramètres!$F$25</f>
        <v>0</v>
      </c>
      <c r="AC218" s="152">
        <f>AC217*(AC217&gt;0)*Paramètres!$F$25</f>
        <v>0</v>
      </c>
      <c r="AD218" s="152">
        <f>AD217*(AD217&gt;0)*Paramètres!$F$25</f>
        <v>0</v>
      </c>
      <c r="AE218" s="152">
        <f>AE217*(AE217&gt;0)*Paramètres!$F$25</f>
        <v>0</v>
      </c>
      <c r="AF218" s="152">
        <f>AF217*(AF217&gt;0)*Paramètres!$F$25</f>
        <v>0</v>
      </c>
      <c r="AG218" s="152">
        <f>AG217*(AG217&gt;0)*Paramètres!$F$25</f>
        <v>0</v>
      </c>
      <c r="AH218" s="152">
        <f>AH217*(AH217&gt;0)*Paramètres!$F$25</f>
        <v>0</v>
      </c>
      <c r="AI218" s="152">
        <f>AI217*(AI217&gt;0)*Paramètres!$F$25</f>
        <v>0</v>
      </c>
      <c r="AJ218" s="152">
        <f>AJ217*(AJ217&gt;0)*Paramètres!$F$25</f>
        <v>0</v>
      </c>
      <c r="AK218" s="152">
        <f>AK217*(AK217&gt;0)*Paramètres!$F$25</f>
        <v>0</v>
      </c>
      <c r="AL218" s="152">
        <f>AL217*(AL217&gt;0)*Paramètres!$F$25</f>
        <v>0</v>
      </c>
      <c r="AM218" s="152">
        <f>AM217*(AM217&gt;0)*Paramètres!$F$25</f>
        <v>0</v>
      </c>
      <c r="AN218" s="152">
        <f>AN217*(AN217&gt;0)*Paramètres!$F$25</f>
        <v>0</v>
      </c>
      <c r="AO218" s="152">
        <f>AO217*(AO217&gt;0)*Paramètres!$F$25</f>
        <v>0</v>
      </c>
      <c r="AP218" s="152">
        <f>AP217*(AP217&gt;0)*Paramètres!$F$25</f>
        <v>0</v>
      </c>
      <c r="AQ218" s="152">
        <f>AQ217*(AQ217&gt;0)*Paramètres!$F$25</f>
        <v>0</v>
      </c>
      <c r="AR218" s="152">
        <f>AR217*(AR217&gt;0)*Paramètres!$F$25</f>
        <v>0</v>
      </c>
      <c r="AS218" s="152">
        <f>AS217*(AS217&gt;0)*Paramètres!$F$25</f>
        <v>0</v>
      </c>
      <c r="AT218" s="152">
        <f>AT217*(AT217&gt;0)*Paramètres!$F$25</f>
        <v>0</v>
      </c>
      <c r="AU218" s="152">
        <f>AU217*(AU217&gt;0)*Paramètres!$F$25</f>
        <v>0</v>
      </c>
      <c r="AV218" s="152">
        <f>AV217*(AV217&gt;0)*Paramètres!$F$25</f>
        <v>0</v>
      </c>
      <c r="AW218" s="152">
        <f>AW217*(AW217&gt;0)*Paramètres!$F$25</f>
        <v>0</v>
      </c>
      <c r="AX218" s="152">
        <f>AX217*(AX217&gt;0)*Paramètres!$F$25</f>
        <v>0</v>
      </c>
      <c r="AY218" s="152">
        <f>AY217*(AY217&gt;0)*Paramètres!$F$25</f>
        <v>0</v>
      </c>
      <c r="AZ218" s="152">
        <f>AZ217*(AZ217&gt;0)*Paramètres!$F$25</f>
        <v>0</v>
      </c>
      <c r="BA218" s="152">
        <f>BA217*(BA217&gt;0)*Paramètres!$F$25</f>
        <v>0</v>
      </c>
      <c r="BB218" s="152">
        <f>BB217*(BB217&gt;0)*Paramètres!$F$25</f>
        <v>0</v>
      </c>
      <c r="BC218" s="152">
        <f>BC217*(BC217&gt;0)*Paramètres!$F$25</f>
        <v>0</v>
      </c>
      <c r="BD218" s="152">
        <f>BD217*(BD217&gt;0)*Paramètres!$F$25</f>
        <v>0</v>
      </c>
    </row>
    <row r="219" spans="3:56" ht="15" customHeight="1">
      <c r="C219" s="152"/>
      <c r="D219" s="57" t="s">
        <v>302</v>
      </c>
      <c r="E219" s="128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  <c r="AM219" s="152"/>
      <c r="AN219" s="152"/>
      <c r="AO219" s="152"/>
      <c r="AP219" s="152"/>
      <c r="AQ219" s="152"/>
      <c r="AR219" s="152"/>
      <c r="AS219" s="152"/>
      <c r="AT219" s="152"/>
      <c r="AU219" s="152"/>
      <c r="AV219" s="152"/>
      <c r="AW219" s="152"/>
      <c r="AX219" s="152"/>
      <c r="AY219" s="152"/>
      <c r="AZ219" s="152"/>
      <c r="BA219" s="152"/>
      <c r="BB219" s="152"/>
      <c r="BC219" s="152"/>
      <c r="BD219" s="152"/>
    </row>
    <row r="220" spans="3:56" ht="15" customHeight="1">
      <c r="C220" s="152">
        <f>SUM(G220:BD220)</f>
        <v>3696.7338076497381</v>
      </c>
      <c r="D220" s="55" t="s">
        <v>303</v>
      </c>
      <c r="E220" s="128" t="s">
        <v>195</v>
      </c>
      <c r="G220" s="152">
        <f t="shared" ref="G220:AL220" si="175">G215+G216</f>
        <v>123.38999999999999</v>
      </c>
      <c r="H220" s="152">
        <f t="shared" si="175"/>
        <v>235.27605600000004</v>
      </c>
      <c r="I220" s="152">
        <f t="shared" si="175"/>
        <v>170.85032639999997</v>
      </c>
      <c r="J220" s="152">
        <f t="shared" si="175"/>
        <v>403.25903999999991</v>
      </c>
      <c r="K220" s="152">
        <f t="shared" si="175"/>
        <v>394.00530623999998</v>
      </c>
      <c r="L220" s="152">
        <f t="shared" si="175"/>
        <v>433.90375565760007</v>
      </c>
      <c r="M220" s="152">
        <f t="shared" si="175"/>
        <v>469.60972883308807</v>
      </c>
      <c r="N220" s="152">
        <f t="shared" si="175"/>
        <v>319.79408987355953</v>
      </c>
      <c r="O220" s="152">
        <f t="shared" si="175"/>
        <v>88.998192087489201</v>
      </c>
      <c r="P220" s="152">
        <f t="shared" si="175"/>
        <v>113.4760710480551</v>
      </c>
      <c r="Q220" s="152">
        <f t="shared" si="175"/>
        <v>110.8786353477451</v>
      </c>
      <c r="R220" s="152">
        <f t="shared" si="175"/>
        <v>126.76872496210012</v>
      </c>
      <c r="S220" s="152">
        <f t="shared" si="175"/>
        <v>147.07559125600869</v>
      </c>
      <c r="T220" s="152">
        <f t="shared" si="175"/>
        <v>140.95707032341954</v>
      </c>
      <c r="U220" s="152">
        <f t="shared" si="175"/>
        <v>208.42301814314305</v>
      </c>
      <c r="V220" s="152">
        <f t="shared" si="175"/>
        <v>154.99423544642173</v>
      </c>
      <c r="W220" s="152">
        <f t="shared" si="175"/>
        <v>55.07396603110719</v>
      </c>
      <c r="X220" s="152">
        <f t="shared" si="175"/>
        <v>0</v>
      </c>
      <c r="Y220" s="152">
        <f t="shared" si="175"/>
        <v>0</v>
      </c>
      <c r="Z220" s="152">
        <f t="shared" si="175"/>
        <v>0</v>
      </c>
      <c r="AA220" s="152">
        <f t="shared" si="175"/>
        <v>0</v>
      </c>
      <c r="AB220" s="152">
        <f t="shared" si="175"/>
        <v>0</v>
      </c>
      <c r="AC220" s="152">
        <f t="shared" si="175"/>
        <v>0</v>
      </c>
      <c r="AD220" s="152">
        <f t="shared" si="175"/>
        <v>0</v>
      </c>
      <c r="AE220" s="152">
        <f t="shared" si="175"/>
        <v>0</v>
      </c>
      <c r="AF220" s="152">
        <f t="shared" si="175"/>
        <v>0</v>
      </c>
      <c r="AG220" s="152">
        <f t="shared" si="175"/>
        <v>0</v>
      </c>
      <c r="AH220" s="152">
        <f t="shared" si="175"/>
        <v>0</v>
      </c>
      <c r="AI220" s="152">
        <f t="shared" si="175"/>
        <v>0</v>
      </c>
      <c r="AJ220" s="152">
        <f t="shared" si="175"/>
        <v>0</v>
      </c>
      <c r="AK220" s="152">
        <f t="shared" si="175"/>
        <v>0</v>
      </c>
      <c r="AL220" s="152">
        <f t="shared" si="175"/>
        <v>0</v>
      </c>
      <c r="AM220" s="152">
        <f t="shared" ref="AM220:BD220" si="176">AM215+AM216</f>
        <v>0</v>
      </c>
      <c r="AN220" s="152">
        <f t="shared" si="176"/>
        <v>0</v>
      </c>
      <c r="AO220" s="152">
        <f t="shared" si="176"/>
        <v>0</v>
      </c>
      <c r="AP220" s="152">
        <f t="shared" si="176"/>
        <v>0</v>
      </c>
      <c r="AQ220" s="152">
        <f t="shared" si="176"/>
        <v>0</v>
      </c>
      <c r="AR220" s="152">
        <f t="shared" si="176"/>
        <v>0</v>
      </c>
      <c r="AS220" s="152">
        <f t="shared" si="176"/>
        <v>0</v>
      </c>
      <c r="AT220" s="152">
        <f t="shared" si="176"/>
        <v>0</v>
      </c>
      <c r="AU220" s="152">
        <f t="shared" si="176"/>
        <v>0</v>
      </c>
      <c r="AV220" s="152">
        <f t="shared" si="176"/>
        <v>0</v>
      </c>
      <c r="AW220" s="152">
        <f t="shared" si="176"/>
        <v>0</v>
      </c>
      <c r="AX220" s="152">
        <f t="shared" si="176"/>
        <v>0</v>
      </c>
      <c r="AY220" s="152">
        <f t="shared" si="176"/>
        <v>0</v>
      </c>
      <c r="AZ220" s="152">
        <f t="shared" si="176"/>
        <v>0</v>
      </c>
      <c r="BA220" s="152">
        <f t="shared" si="176"/>
        <v>0</v>
      </c>
      <c r="BB220" s="152">
        <f t="shared" si="176"/>
        <v>0</v>
      </c>
      <c r="BC220" s="152">
        <f t="shared" si="176"/>
        <v>0</v>
      </c>
      <c r="BD220" s="152">
        <f t="shared" si="176"/>
        <v>0</v>
      </c>
    </row>
    <row r="221" spans="3:56" ht="15" customHeight="1">
      <c r="C221" s="151"/>
      <c r="D221" s="55" t="s">
        <v>304</v>
      </c>
      <c r="E221" s="128" t="s">
        <v>26</v>
      </c>
      <c r="G221" s="198">
        <f>IFERROR(IRR($G$220:G220),0)</f>
        <v>0</v>
      </c>
      <c r="H221" s="198">
        <f>IFERROR(IRR($G$220:H220),0)</f>
        <v>0</v>
      </c>
      <c r="I221" s="198">
        <f>IFERROR(IRR($G$220:I220),0)</f>
        <v>0</v>
      </c>
      <c r="J221" s="198">
        <f>IFERROR(IRR($G$220:J220),0)</f>
        <v>0</v>
      </c>
      <c r="K221" s="198">
        <f>IFERROR(IRR($G$220:K220),0)</f>
        <v>0</v>
      </c>
      <c r="L221" s="198">
        <f>IFERROR(IRR($G$220:L220),0)</f>
        <v>0</v>
      </c>
      <c r="M221" s="198">
        <f>IFERROR(IRR($G$220:M220),0)</f>
        <v>0</v>
      </c>
      <c r="N221" s="198">
        <f>IFERROR(IRR($G$220:N220),0)</f>
        <v>0</v>
      </c>
      <c r="O221" s="198">
        <f>IFERROR(IRR($G$220:O220),0)</f>
        <v>0</v>
      </c>
      <c r="P221" s="198">
        <f>IFERROR(IRR($G$220:P220),0)</f>
        <v>0</v>
      </c>
      <c r="Q221" s="198">
        <f>IFERROR(IRR($G$220:Q220),0)</f>
        <v>0</v>
      </c>
      <c r="R221" s="198">
        <f>IFERROR(IRR($G$220:R220),0)</f>
        <v>0</v>
      </c>
      <c r="S221" s="198">
        <f>IFERROR(IRR($G$220:S220),0)</f>
        <v>0</v>
      </c>
      <c r="T221" s="198">
        <f>IFERROR(IRR($G$220:T220),0)</f>
        <v>0</v>
      </c>
      <c r="U221" s="198">
        <f>IFERROR(IRR($G$220:U220),0)</f>
        <v>0</v>
      </c>
      <c r="V221" s="198">
        <f>IFERROR(IRR($G$220:V220),0)</f>
        <v>0</v>
      </c>
      <c r="W221" s="198">
        <f>IFERROR(IRR($G$220:W220),0)</f>
        <v>0</v>
      </c>
      <c r="X221" s="198">
        <f>IFERROR(IRR($G$220:X220),0)</f>
        <v>0</v>
      </c>
      <c r="Y221" s="198">
        <f>IFERROR(IRR($G$220:Y220),0)</f>
        <v>0</v>
      </c>
      <c r="Z221" s="198">
        <f>IFERROR(IRR($G$220:Z220),0)</f>
        <v>0</v>
      </c>
      <c r="AA221" s="198">
        <f>IFERROR(IRR($G$220:AA220),0)</f>
        <v>0</v>
      </c>
      <c r="AB221" s="198">
        <f>IFERROR(IRR($G$220:AB220),0)</f>
        <v>0</v>
      </c>
      <c r="AC221" s="198">
        <f>IFERROR(IRR($G$220:AC220),0)</f>
        <v>0</v>
      </c>
      <c r="AD221" s="198">
        <f>IFERROR(IRR($G$220:AD220),0)</f>
        <v>0</v>
      </c>
      <c r="AE221" s="198">
        <f>IFERROR(IRR($G$220:AE220),0)</f>
        <v>0</v>
      </c>
      <c r="AF221" s="198">
        <f>IFERROR(IRR($G$220:AF220),0)</f>
        <v>0</v>
      </c>
      <c r="AG221" s="198">
        <f>IFERROR(IRR($G$220:AG220),0)</f>
        <v>0</v>
      </c>
      <c r="AH221" s="198">
        <f>IFERROR(IRR($G$220:AH220),0)</f>
        <v>0</v>
      </c>
      <c r="AI221" s="198">
        <f>IFERROR(IRR($G$220:AI220),0)</f>
        <v>0</v>
      </c>
      <c r="AJ221" s="198">
        <f>IFERROR(IRR($G$220:AJ220),0)</f>
        <v>0</v>
      </c>
      <c r="AK221" s="198">
        <f>IFERROR(IRR($G$220:AK220),0)</f>
        <v>0</v>
      </c>
      <c r="AL221" s="198">
        <f>IFERROR(IRR($G$220:AL220),0)</f>
        <v>0</v>
      </c>
      <c r="AM221" s="198">
        <f>IFERROR(IRR($G$220:AM220),0)</f>
        <v>0</v>
      </c>
      <c r="AN221" s="198">
        <f>IFERROR(IRR($G$220:AN220),0)</f>
        <v>0</v>
      </c>
      <c r="AO221" s="198">
        <f>IFERROR(IRR($G$220:AO220),0)</f>
        <v>0</v>
      </c>
      <c r="AP221" s="198">
        <f>IFERROR(IRR($G$220:AP220),0)</f>
        <v>0</v>
      </c>
      <c r="AQ221" s="198">
        <f>IFERROR(IRR($G$220:AQ220),0)</f>
        <v>0</v>
      </c>
      <c r="AR221" s="198">
        <f>IFERROR(IRR($G$220:AR220),0)</f>
        <v>0</v>
      </c>
      <c r="AS221" s="198">
        <f>IFERROR(IRR($G$220:AS220),0)</f>
        <v>0</v>
      </c>
      <c r="AT221" s="198">
        <f>IFERROR(IRR($G$220:AT220),0)</f>
        <v>0</v>
      </c>
      <c r="AU221" s="198">
        <f>IFERROR(IRR($G$220:AU220),0)</f>
        <v>0</v>
      </c>
      <c r="AV221" s="198">
        <f>IFERROR(IRR($G$220:AV220),0)</f>
        <v>0</v>
      </c>
      <c r="AW221" s="198">
        <f>IFERROR(IRR($G$220:AW220),0)</f>
        <v>0</v>
      </c>
      <c r="AX221" s="198">
        <f>IFERROR(IRR($G$220:AX220),0)</f>
        <v>0</v>
      </c>
      <c r="AY221" s="198">
        <f>IFERROR(IRR($G$220:AY220),0)</f>
        <v>0</v>
      </c>
      <c r="AZ221" s="198">
        <f>IFERROR(IRR($G$220:AZ220),0)</f>
        <v>0</v>
      </c>
      <c r="BA221" s="198">
        <f>IFERROR(IRR($G$220:BA220),0)</f>
        <v>0</v>
      </c>
      <c r="BB221" s="198">
        <f>IFERROR(IRR($G$220:BB220),0)</f>
        <v>0</v>
      </c>
      <c r="BC221" s="198">
        <f>IFERROR(IRR($G$220:BC220),0)</f>
        <v>0</v>
      </c>
      <c r="BD221" s="198">
        <f>IFERROR(IRR($G$220:BD220),0)</f>
        <v>0</v>
      </c>
    </row>
    <row r="222" spans="3:56" ht="15" customHeight="1">
      <c r="C222" s="193"/>
      <c r="D222" s="80"/>
      <c r="E222" s="196"/>
      <c r="F222" s="80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  <c r="AA222" s="194"/>
      <c r="AB222" s="194"/>
      <c r="AC222" s="194"/>
      <c r="AD222" s="194"/>
      <c r="AE222" s="194"/>
      <c r="AF222" s="194"/>
      <c r="AG222" s="194"/>
      <c r="AH222" s="194"/>
      <c r="AI222" s="194"/>
      <c r="AJ222" s="194"/>
      <c r="AK222" s="194"/>
      <c r="AL222" s="194"/>
      <c r="AM222" s="194"/>
      <c r="AN222" s="194"/>
      <c r="AO222" s="194"/>
      <c r="AP222" s="194"/>
      <c r="AQ222" s="194"/>
      <c r="AR222" s="194"/>
      <c r="AS222" s="194"/>
      <c r="AT222" s="194"/>
      <c r="AU222" s="194"/>
      <c r="AV222" s="194"/>
      <c r="AW222" s="194"/>
      <c r="AX222" s="194"/>
      <c r="AY222" s="194"/>
      <c r="AZ222" s="194"/>
      <c r="BA222" s="194"/>
      <c r="BB222" s="194"/>
      <c r="BC222" s="194"/>
      <c r="BD222" s="194"/>
    </row>
    <row r="223" spans="3:56" ht="15" customHeight="1">
      <c r="C223" s="151"/>
      <c r="D223" s="33" t="s">
        <v>305</v>
      </c>
      <c r="E223" s="128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</row>
    <row r="224" spans="3:56" ht="15" customHeight="1">
      <c r="C224" s="151"/>
      <c r="D224" s="55" t="s">
        <v>306</v>
      </c>
      <c r="E224" s="128" t="s">
        <v>195</v>
      </c>
      <c r="G224" s="177">
        <f t="shared" ref="G224:AL224" si="177">G189*(G189&gt;0)</f>
        <v>0</v>
      </c>
      <c r="H224" s="177">
        <f t="shared" si="177"/>
        <v>338.81205599999998</v>
      </c>
      <c r="I224" s="177">
        <f t="shared" si="177"/>
        <v>296.09192639999998</v>
      </c>
      <c r="J224" s="177">
        <f t="shared" si="177"/>
        <v>336.44279999999992</v>
      </c>
      <c r="K224" s="177">
        <f t="shared" si="177"/>
        <v>324.03940089599996</v>
      </c>
      <c r="L224" s="177">
        <f t="shared" si="177"/>
        <v>360.91135770432004</v>
      </c>
      <c r="M224" s="177">
        <f t="shared" si="177"/>
        <v>423.06259053093129</v>
      </c>
      <c r="N224" s="177">
        <f t="shared" si="177"/>
        <v>332.92191805132029</v>
      </c>
      <c r="O224" s="177">
        <f t="shared" si="177"/>
        <v>97.856616539725565</v>
      </c>
      <c r="P224" s="177">
        <f t="shared" si="177"/>
        <v>111.41084010338705</v>
      </c>
      <c r="Q224" s="177">
        <f t="shared" si="177"/>
        <v>103.60426959949675</v>
      </c>
      <c r="R224" s="177">
        <f t="shared" si="177"/>
        <v>111.868890783316</v>
      </c>
      <c r="S224" s="177">
        <f t="shared" si="177"/>
        <v>142.99884641921787</v>
      </c>
      <c r="T224" s="177">
        <f t="shared" si="177"/>
        <v>152.25941036204117</v>
      </c>
      <c r="U224" s="177">
        <f t="shared" si="177"/>
        <v>207.99731806422153</v>
      </c>
      <c r="V224" s="177">
        <f t="shared" si="177"/>
        <v>147.28866384762398</v>
      </c>
      <c r="W224" s="177">
        <f t="shared" si="177"/>
        <v>43.230365562262179</v>
      </c>
      <c r="X224" s="177">
        <f t="shared" si="177"/>
        <v>0</v>
      </c>
      <c r="Y224" s="177">
        <f t="shared" si="177"/>
        <v>0</v>
      </c>
      <c r="Z224" s="177">
        <f t="shared" si="177"/>
        <v>0</v>
      </c>
      <c r="AA224" s="177">
        <f t="shared" si="177"/>
        <v>0</v>
      </c>
      <c r="AB224" s="177">
        <f t="shared" si="177"/>
        <v>0</v>
      </c>
      <c r="AC224" s="177">
        <f t="shared" si="177"/>
        <v>0</v>
      </c>
      <c r="AD224" s="177">
        <f t="shared" si="177"/>
        <v>0</v>
      </c>
      <c r="AE224" s="177">
        <f t="shared" si="177"/>
        <v>0</v>
      </c>
      <c r="AF224" s="177">
        <f t="shared" si="177"/>
        <v>0</v>
      </c>
      <c r="AG224" s="177">
        <f t="shared" si="177"/>
        <v>0</v>
      </c>
      <c r="AH224" s="177">
        <f t="shared" si="177"/>
        <v>0</v>
      </c>
      <c r="AI224" s="177">
        <f t="shared" si="177"/>
        <v>0</v>
      </c>
      <c r="AJ224" s="177">
        <f t="shared" si="177"/>
        <v>0</v>
      </c>
      <c r="AK224" s="177">
        <f t="shared" si="177"/>
        <v>0</v>
      </c>
      <c r="AL224" s="177">
        <f t="shared" si="177"/>
        <v>0</v>
      </c>
      <c r="AM224" s="177">
        <f t="shared" ref="AM224:BD224" si="178">AM189*(AM189&gt;0)</f>
        <v>0</v>
      </c>
      <c r="AN224" s="177">
        <f t="shared" si="178"/>
        <v>0</v>
      </c>
      <c r="AO224" s="177">
        <f t="shared" si="178"/>
        <v>0</v>
      </c>
      <c r="AP224" s="177">
        <f t="shared" si="178"/>
        <v>0</v>
      </c>
      <c r="AQ224" s="177">
        <f t="shared" si="178"/>
        <v>0</v>
      </c>
      <c r="AR224" s="177">
        <f t="shared" si="178"/>
        <v>0</v>
      </c>
      <c r="AS224" s="177">
        <f t="shared" si="178"/>
        <v>0</v>
      </c>
      <c r="AT224" s="177">
        <f t="shared" si="178"/>
        <v>0</v>
      </c>
      <c r="AU224" s="177">
        <f t="shared" si="178"/>
        <v>0</v>
      </c>
      <c r="AV224" s="177">
        <f t="shared" si="178"/>
        <v>0</v>
      </c>
      <c r="AW224" s="177">
        <f t="shared" si="178"/>
        <v>0</v>
      </c>
      <c r="AX224" s="177">
        <f t="shared" si="178"/>
        <v>0</v>
      </c>
      <c r="AY224" s="177">
        <f t="shared" si="178"/>
        <v>0</v>
      </c>
      <c r="AZ224" s="177">
        <f t="shared" si="178"/>
        <v>0</v>
      </c>
      <c r="BA224" s="177">
        <f t="shared" si="178"/>
        <v>0</v>
      </c>
      <c r="BB224" s="177">
        <f t="shared" si="178"/>
        <v>0</v>
      </c>
      <c r="BC224" s="177">
        <f t="shared" si="178"/>
        <v>0</v>
      </c>
      <c r="BD224" s="177">
        <f t="shared" si="178"/>
        <v>0</v>
      </c>
    </row>
    <row r="225" spans="1:56" ht="15" customHeight="1">
      <c r="C225" s="151"/>
      <c r="D225" s="55" t="s">
        <v>307</v>
      </c>
      <c r="E225" s="128" t="s">
        <v>26</v>
      </c>
      <c r="G225" s="198">
        <f t="shared" ref="G225:AL225" si="179">IFERROR(G189/G45,"")</f>
        <v>0</v>
      </c>
      <c r="H225" s="198">
        <f t="shared" si="179"/>
        <v>0.57828809601835152</v>
      </c>
      <c r="I225" s="198">
        <f t="shared" si="179"/>
        <v>0.49408735422273481</v>
      </c>
      <c r="J225" s="198">
        <f t="shared" si="179"/>
        <v>0.49537119490241305</v>
      </c>
      <c r="K225" s="198">
        <f t="shared" si="179"/>
        <v>0.46775362245334617</v>
      </c>
      <c r="L225" s="198">
        <f t="shared" si="179"/>
        <v>0.51076333795366913</v>
      </c>
      <c r="M225" s="198">
        <f t="shared" si="179"/>
        <v>0.58698042697659691</v>
      </c>
      <c r="N225" s="198">
        <f t="shared" si="179"/>
        <v>0.56607141492821134</v>
      </c>
      <c r="O225" s="198">
        <f t="shared" si="179"/>
        <v>0.30173294788258231</v>
      </c>
      <c r="P225" s="198">
        <f t="shared" si="179"/>
        <v>0.33679048819294027</v>
      </c>
      <c r="Q225" s="198">
        <f t="shared" si="179"/>
        <v>0.30705052899477742</v>
      </c>
      <c r="R225" s="198">
        <f t="shared" si="179"/>
        <v>0.32504340347321181</v>
      </c>
      <c r="S225" s="198">
        <f t="shared" si="179"/>
        <v>0.40734687325723506</v>
      </c>
      <c r="T225" s="198">
        <f t="shared" si="179"/>
        <v>0.42522209703529273</v>
      </c>
      <c r="U225" s="198">
        <f t="shared" si="179"/>
        <v>0.56949412045599757</v>
      </c>
      <c r="V225" s="198">
        <f t="shared" si="179"/>
        <v>0.51427465601086508</v>
      </c>
      <c r="W225" s="198">
        <f t="shared" si="179"/>
        <v>0.35146181717819081</v>
      </c>
      <c r="X225" s="198" t="str">
        <f t="shared" si="179"/>
        <v/>
      </c>
      <c r="Y225" s="198" t="str">
        <f t="shared" si="179"/>
        <v/>
      </c>
      <c r="Z225" s="198" t="str">
        <f t="shared" si="179"/>
        <v/>
      </c>
      <c r="AA225" s="198" t="str">
        <f t="shared" si="179"/>
        <v/>
      </c>
      <c r="AB225" s="198" t="str">
        <f t="shared" si="179"/>
        <v/>
      </c>
      <c r="AC225" s="198" t="str">
        <f t="shared" si="179"/>
        <v/>
      </c>
      <c r="AD225" s="198" t="str">
        <f t="shared" si="179"/>
        <v/>
      </c>
      <c r="AE225" s="198" t="str">
        <f t="shared" si="179"/>
        <v/>
      </c>
      <c r="AF225" s="198" t="str">
        <f t="shared" si="179"/>
        <v/>
      </c>
      <c r="AG225" s="198" t="str">
        <f t="shared" si="179"/>
        <v/>
      </c>
      <c r="AH225" s="198" t="str">
        <f t="shared" si="179"/>
        <v/>
      </c>
      <c r="AI225" s="198" t="str">
        <f t="shared" si="179"/>
        <v/>
      </c>
      <c r="AJ225" s="198" t="str">
        <f t="shared" si="179"/>
        <v/>
      </c>
      <c r="AK225" s="198" t="str">
        <f t="shared" si="179"/>
        <v/>
      </c>
      <c r="AL225" s="198" t="str">
        <f t="shared" si="179"/>
        <v/>
      </c>
      <c r="AM225" s="198" t="str">
        <f t="shared" ref="AM225:BD225" si="180">IFERROR(AM189/AM45,"")</f>
        <v/>
      </c>
      <c r="AN225" s="198" t="str">
        <f t="shared" si="180"/>
        <v/>
      </c>
      <c r="AO225" s="198" t="str">
        <f t="shared" si="180"/>
        <v/>
      </c>
      <c r="AP225" s="198" t="str">
        <f t="shared" si="180"/>
        <v/>
      </c>
      <c r="AQ225" s="198" t="str">
        <f t="shared" si="180"/>
        <v/>
      </c>
      <c r="AR225" s="198" t="str">
        <f t="shared" si="180"/>
        <v/>
      </c>
      <c r="AS225" s="198" t="str">
        <f t="shared" si="180"/>
        <v/>
      </c>
      <c r="AT225" s="198" t="str">
        <f t="shared" si="180"/>
        <v/>
      </c>
      <c r="AU225" s="198" t="str">
        <f t="shared" si="180"/>
        <v/>
      </c>
      <c r="AV225" s="198" t="str">
        <f t="shared" si="180"/>
        <v/>
      </c>
      <c r="AW225" s="198" t="str">
        <f t="shared" si="180"/>
        <v/>
      </c>
      <c r="AX225" s="198" t="str">
        <f t="shared" si="180"/>
        <v/>
      </c>
      <c r="AY225" s="198" t="str">
        <f t="shared" si="180"/>
        <v/>
      </c>
      <c r="AZ225" s="198" t="str">
        <f t="shared" si="180"/>
        <v/>
      </c>
      <c r="BA225" s="198" t="str">
        <f t="shared" si="180"/>
        <v/>
      </c>
      <c r="BB225" s="198" t="str">
        <f t="shared" si="180"/>
        <v/>
      </c>
      <c r="BC225" s="198" t="str">
        <f t="shared" si="180"/>
        <v/>
      </c>
      <c r="BD225" s="198" t="str">
        <f t="shared" si="180"/>
        <v/>
      </c>
    </row>
    <row r="226" spans="1:56" ht="15" customHeight="1">
      <c r="C226" s="151"/>
      <c r="D226" s="55" t="s">
        <v>308</v>
      </c>
      <c r="E226" s="128" t="s">
        <v>26</v>
      </c>
      <c r="G226" s="198">
        <f>IFERROR(IF(Paramètres!$F$85-(Paramètres!$F$85*(Paramètres!$F$86/G225))&lt;Paramètres!$F$86,0,Paramètres!$F$85-(Paramètres!$F$85*(Paramètres!$F$86/G225))),0)</f>
        <v>0</v>
      </c>
      <c r="H226" s="198">
        <f>IFERROR(IF(Paramètres!$F$85-(Paramètres!$F$85*(Paramètres!$F$86/H225))&lt;Paramètres!$F$86,0,Paramètres!$F$85-(Paramètres!$F$85*(Paramètres!$F$86/H225))),0)</f>
        <v>0.12924909732255807</v>
      </c>
      <c r="I226" s="198">
        <f>IFERROR(IF(Paramètres!$F$85-(Paramètres!$F$85*(Paramètres!$F$86/I225))&lt;Paramètres!$F$86,0,Paramètres!$F$85-(Paramètres!$F$85*(Paramètres!$F$86/I225))),0)</f>
        <v>0.12571279674041122</v>
      </c>
      <c r="J226" s="198">
        <f>IFERROR(IF(Paramètres!$F$85-(Paramètres!$F$85*(Paramètres!$F$86/J225))&lt;Paramètres!$F$86,0,Paramètres!$F$85-(Paramètres!$F$85*(Paramètres!$F$86/J225))),0)</f>
        <v>0.1257757412552743</v>
      </c>
      <c r="K226" s="198">
        <f>IFERROR(IF(Paramètres!$F$85-(Paramètres!$F$85*(Paramètres!$F$86/K225))&lt;Paramètres!$F$86,0,Paramètres!$F$85-(Paramètres!$F$85*(Paramètres!$F$86/K225))),0)</f>
        <v>0.12434546858865453</v>
      </c>
      <c r="L226" s="198">
        <f>IFERROR(IF(Paramètres!$F$85-(Paramètres!$F$85*(Paramètres!$F$86/L225))&lt;Paramètres!$F$86,0,Paramètres!$F$85-(Paramètres!$F$85*(Paramètres!$F$86/L225))),0)</f>
        <v>0.12650575303999501</v>
      </c>
      <c r="M226" s="198">
        <f>IFERROR(IF(Paramètres!$F$85-(Paramètres!$F$85*(Paramètres!$F$86/M225))&lt;Paramètres!$F$86,0,Paramètres!$F$85-(Paramètres!$F$85*(Paramètres!$F$86/M225))),0)</f>
        <v>0.12955638817156259</v>
      </c>
      <c r="N226" s="198">
        <f>IFERROR(IF(Paramètres!$F$85-(Paramètres!$F$85*(Paramètres!$F$86/N225))&lt;Paramètres!$F$86,0,Paramètres!$F$85-(Paramètres!$F$85*(Paramètres!$F$86/N225))),0)</f>
        <v>0.12880126131872985</v>
      </c>
      <c r="O226" s="198">
        <f>IFERROR(IF(Paramètres!$F$85-(Paramètres!$F$85*(Paramètres!$F$86/O225))&lt;Paramètres!$F$86,0,Paramètres!$F$85-(Paramètres!$F$85*(Paramètres!$F$86/O225))),0)</f>
        <v>0.11022973266853928</v>
      </c>
      <c r="P226" s="198">
        <f>IFERROR(IF(Paramètres!$F$85-(Paramètres!$F$85*(Paramètres!$F$86/P225))&lt;Paramètres!$F$86,0,Paramètres!$F$85-(Paramètres!$F$85*(Paramètres!$F$86/P225))),0)</f>
        <v>0.11436954005326466</v>
      </c>
      <c r="Q226" s="198">
        <f>IFERROR(IF(Paramètres!$F$85-(Paramètres!$F$85*(Paramètres!$F$86/Q225))&lt;Paramètres!$F$86,0,Paramètres!$F$85-(Paramètres!$F$85*(Paramètres!$F$86/Q225))),0)</f>
        <v>0.11091848452668157</v>
      </c>
      <c r="R226" s="198">
        <f>IFERROR(IF(Paramètres!$F$85-(Paramètres!$F$85*(Paramètres!$F$86/R225))&lt;Paramètres!$F$86,0,Paramètres!$F$85-(Paramètres!$F$85*(Paramètres!$F$86/R225))),0)</f>
        <v>0.1130818534639514</v>
      </c>
      <c r="S226" s="198">
        <f>IFERROR(IF(Paramètres!$F$85-(Paramètres!$F$85*(Paramètres!$F$86/S225))&lt;Paramètres!$F$86,0,Paramètres!$F$85-(Paramètres!$F$85*(Paramètres!$F$86/S225))),0)</f>
        <v>0.12054107742611263</v>
      </c>
      <c r="T226" s="198">
        <f>IFERROR(IF(Paramètres!$F$85-(Paramètres!$F$85*(Paramètres!$F$86/T225))&lt;Paramètres!$F$86,0,Paramètres!$F$85-(Paramètres!$F$85*(Paramètres!$F$86/T225))),0)</f>
        <v>0.12177945341113347</v>
      </c>
      <c r="U226" s="198">
        <f>IFERROR(IF(Paramètres!$F$85-(Paramètres!$F$85*(Paramètres!$F$86/U225))&lt;Paramètres!$F$86,0,Paramètres!$F$85-(Paramètres!$F$85*(Paramètres!$F$86/U225))),0)</f>
        <v>0.12892866744543116</v>
      </c>
      <c r="V226" s="198">
        <f>IFERROR(IF(Paramètres!$F$85-(Paramètres!$F$85*(Paramètres!$F$86/V225))&lt;Paramètres!$F$86,0,Paramètres!$F$85-(Paramètres!$F$85*(Paramètres!$F$86/V225))),0)</f>
        <v>0.12666616493785282</v>
      </c>
      <c r="W226" s="198">
        <f>IFERROR(IF(Paramètres!$F$85-(Paramètres!$F$85*(Paramètres!$F$86/W225))&lt;Paramètres!$F$86,0,Paramètres!$F$85-(Paramètres!$F$85*(Paramètres!$F$86/W225))),0)</f>
        <v>0.11585688853388015</v>
      </c>
      <c r="X226" s="198">
        <f>IFERROR(IF(Paramètres!$F$85-(Paramètres!$F$85*(Paramètres!$F$86/X225))&lt;Paramètres!$F$86,0,Paramètres!$F$85-(Paramètres!$F$85*(Paramètres!$F$86/X225))),0)</f>
        <v>0</v>
      </c>
      <c r="Y226" s="198">
        <f>IFERROR(IF(Paramètres!$F$85-(Paramètres!$F$85*(Paramètres!$F$86/Y225))&lt;Paramètres!$F$86,0,Paramètres!$F$85-(Paramètres!$F$85*(Paramètres!$F$86/Y225))),0)</f>
        <v>0</v>
      </c>
      <c r="Z226" s="198">
        <f>IFERROR(IF(Paramètres!$F$85-(Paramètres!$F$85*(Paramètres!$F$86/Z225))&lt;Paramètres!$F$86,0,Paramètres!$F$85-(Paramètres!$F$85*(Paramètres!$F$86/Z225))),0)</f>
        <v>0</v>
      </c>
      <c r="AA226" s="198">
        <f>IFERROR(IF(Paramètres!$F$85-(Paramètres!$F$85*(Paramètres!$F$86/AA225))&lt;Paramètres!$F$86,0,Paramètres!$F$85-(Paramètres!$F$85*(Paramètres!$F$86/AA225))),0)</f>
        <v>0</v>
      </c>
      <c r="AB226" s="198">
        <f>IFERROR(IF(Paramètres!$F$85-(Paramètres!$F$85*(Paramètres!$F$86/AB225))&lt;Paramètres!$F$86,0,Paramètres!$F$85-(Paramètres!$F$85*(Paramètres!$F$86/AB225))),0)</f>
        <v>0</v>
      </c>
      <c r="AC226" s="198">
        <f>IFERROR(IF(Paramètres!$F$85-(Paramètres!$F$85*(Paramètres!$F$86/AC225))&lt;Paramètres!$F$86,0,Paramètres!$F$85-(Paramètres!$F$85*(Paramètres!$F$86/AC225))),0)</f>
        <v>0</v>
      </c>
      <c r="AD226" s="198">
        <f>IFERROR(IF(Paramètres!$F$85-(Paramètres!$F$85*(Paramètres!$F$86/AD225))&lt;Paramètres!$F$86,0,Paramètres!$F$85-(Paramètres!$F$85*(Paramètres!$F$86/AD225))),0)</f>
        <v>0</v>
      </c>
      <c r="AE226" s="198">
        <f>IFERROR(IF(Paramètres!$F$85-(Paramètres!$F$85*(Paramètres!$F$86/AE225))&lt;Paramètres!$F$86,0,Paramètres!$F$85-(Paramètres!$F$85*(Paramètres!$F$86/AE225))),0)</f>
        <v>0</v>
      </c>
      <c r="AF226" s="198">
        <f>IFERROR(IF(Paramètres!$F$85-(Paramètres!$F$85*(Paramètres!$F$86/AF225))&lt;Paramètres!$F$86,0,Paramètres!$F$85-(Paramètres!$F$85*(Paramètres!$F$86/AF225))),0)</f>
        <v>0</v>
      </c>
      <c r="AG226" s="198">
        <f>IFERROR(IF(Paramètres!$F$85-(Paramètres!$F$85*(Paramètres!$F$86/AG225))&lt;Paramètres!$F$86,0,Paramètres!$F$85-(Paramètres!$F$85*(Paramètres!$F$86/AG225))),0)</f>
        <v>0</v>
      </c>
      <c r="AH226" s="198">
        <f>IFERROR(IF(Paramètres!$F$85-(Paramètres!$F$85*(Paramètres!$F$86/AH225))&lt;Paramètres!$F$86,0,Paramètres!$F$85-(Paramètres!$F$85*(Paramètres!$F$86/AH225))),0)</f>
        <v>0</v>
      </c>
      <c r="AI226" s="198">
        <f>IFERROR(IF(Paramètres!$F$85-(Paramètres!$F$85*(Paramètres!$F$86/AI225))&lt;Paramètres!$F$86,0,Paramètres!$F$85-(Paramètres!$F$85*(Paramètres!$F$86/AI225))),0)</f>
        <v>0</v>
      </c>
      <c r="AJ226" s="198">
        <f>IFERROR(IF(Paramètres!$F$85-(Paramètres!$F$85*(Paramètres!$F$86/AJ225))&lt;Paramètres!$F$86,0,Paramètres!$F$85-(Paramètres!$F$85*(Paramètres!$F$86/AJ225))),0)</f>
        <v>0</v>
      </c>
      <c r="AK226" s="198">
        <f>IFERROR(IF(Paramètres!$F$85-(Paramètres!$F$85*(Paramètres!$F$86/AK225))&lt;Paramètres!$F$86,0,Paramètres!$F$85-(Paramètres!$F$85*(Paramètres!$F$86/AK225))),0)</f>
        <v>0</v>
      </c>
      <c r="AL226" s="198">
        <f>IFERROR(IF(Paramètres!$F$85-(Paramètres!$F$85*(Paramètres!$F$86/AL225))&lt;Paramètres!$F$86,0,Paramètres!$F$85-(Paramètres!$F$85*(Paramètres!$F$86/AL225))),0)</f>
        <v>0</v>
      </c>
      <c r="AM226" s="198">
        <f>IFERROR(IF(Paramètres!$F$85-(Paramètres!$F$85*(Paramètres!$F$86/AM225))&lt;Paramètres!$F$86,0,Paramètres!$F$85-(Paramètres!$F$85*(Paramètres!$F$86/AM225))),0)</f>
        <v>0</v>
      </c>
      <c r="AN226" s="198">
        <f>IFERROR(IF(Paramètres!$F$85-(Paramètres!$F$85*(Paramètres!$F$86/AN225))&lt;Paramètres!$F$86,0,Paramètres!$F$85-(Paramètres!$F$85*(Paramètres!$F$86/AN225))),0)</f>
        <v>0</v>
      </c>
      <c r="AO226" s="198">
        <f>IFERROR(IF(Paramètres!$F$85-(Paramètres!$F$85*(Paramètres!$F$86/AO225))&lt;Paramètres!$F$86,0,Paramètres!$F$85-(Paramètres!$F$85*(Paramètres!$F$86/AO225))),0)</f>
        <v>0</v>
      </c>
      <c r="AP226" s="198">
        <f>IFERROR(IF(Paramètres!$F$85-(Paramètres!$F$85*(Paramètres!$F$86/AP225))&lt;Paramètres!$F$86,0,Paramètres!$F$85-(Paramètres!$F$85*(Paramètres!$F$86/AP225))),0)</f>
        <v>0</v>
      </c>
      <c r="AQ226" s="198">
        <f>IFERROR(IF(Paramètres!$F$85-(Paramètres!$F$85*(Paramètres!$F$86/AQ225))&lt;Paramètres!$F$86,0,Paramètres!$F$85-(Paramètres!$F$85*(Paramètres!$F$86/AQ225))),0)</f>
        <v>0</v>
      </c>
      <c r="AR226" s="198">
        <f>IFERROR(IF(Paramètres!$F$85-(Paramètres!$F$85*(Paramètres!$F$86/AR225))&lt;Paramètres!$F$86,0,Paramètres!$F$85-(Paramètres!$F$85*(Paramètres!$F$86/AR225))),0)</f>
        <v>0</v>
      </c>
      <c r="AS226" s="198">
        <f>IFERROR(IF(Paramètres!$F$85-(Paramètres!$F$85*(Paramètres!$F$86/AS225))&lt;Paramètres!$F$86,0,Paramètres!$F$85-(Paramètres!$F$85*(Paramètres!$F$86/AS225))),0)</f>
        <v>0</v>
      </c>
      <c r="AT226" s="198">
        <f>IFERROR(IF(Paramètres!$F$85-(Paramètres!$F$85*(Paramètres!$F$86/AT225))&lt;Paramètres!$F$86,0,Paramètres!$F$85-(Paramètres!$F$85*(Paramètres!$F$86/AT225))),0)</f>
        <v>0</v>
      </c>
      <c r="AU226" s="198">
        <f>IFERROR(IF(Paramètres!$F$85-(Paramètres!$F$85*(Paramètres!$F$86/AU225))&lt;Paramètres!$F$86,0,Paramètres!$F$85-(Paramètres!$F$85*(Paramètres!$F$86/AU225))),0)</f>
        <v>0</v>
      </c>
      <c r="AV226" s="198">
        <f>IFERROR(IF(Paramètres!$F$85-(Paramètres!$F$85*(Paramètres!$F$86/AV225))&lt;Paramètres!$F$86,0,Paramètres!$F$85-(Paramètres!$F$85*(Paramètres!$F$86/AV225))),0)</f>
        <v>0</v>
      </c>
      <c r="AW226" s="198">
        <f>IFERROR(IF(Paramètres!$F$85-(Paramètres!$F$85*(Paramètres!$F$86/AW225))&lt;Paramètres!$F$86,0,Paramètres!$F$85-(Paramètres!$F$85*(Paramètres!$F$86/AW225))),0)</f>
        <v>0</v>
      </c>
      <c r="AX226" s="198">
        <f>IFERROR(IF(Paramètres!$F$85-(Paramètres!$F$85*(Paramètres!$F$86/AX225))&lt;Paramètres!$F$86,0,Paramètres!$F$85-(Paramètres!$F$85*(Paramètres!$F$86/AX225))),0)</f>
        <v>0</v>
      </c>
      <c r="AY226" s="198">
        <f>IFERROR(IF(Paramètres!$F$85-(Paramètres!$F$85*(Paramètres!$F$86/AY225))&lt;Paramètres!$F$86,0,Paramètres!$F$85-(Paramètres!$F$85*(Paramètres!$F$86/AY225))),0)</f>
        <v>0</v>
      </c>
      <c r="AZ226" s="198">
        <f>IFERROR(IF(Paramètres!$F$85-(Paramètres!$F$85*(Paramètres!$F$86/AZ225))&lt;Paramètres!$F$86,0,Paramètres!$F$85-(Paramètres!$F$85*(Paramètres!$F$86/AZ225))),0)</f>
        <v>0</v>
      </c>
      <c r="BA226" s="198">
        <f>IFERROR(IF(Paramètres!$F$85-(Paramètres!$F$85*(Paramètres!$F$86/BA225))&lt;Paramètres!$F$86,0,Paramètres!$F$85-(Paramètres!$F$85*(Paramètres!$F$86/BA225))),0)</f>
        <v>0</v>
      </c>
      <c r="BB226" s="198">
        <f>IFERROR(IF(Paramètres!$F$85-(Paramètres!$F$85*(Paramètres!$F$86/BB225))&lt;Paramètres!$F$86,0,Paramètres!$F$85-(Paramètres!$F$85*(Paramètres!$F$86/BB225))),0)</f>
        <v>0</v>
      </c>
      <c r="BC226" s="198">
        <f>IFERROR(IF(Paramètres!$F$85-(Paramètres!$F$85*(Paramètres!$F$86/BC225))&lt;Paramètres!$F$86,0,Paramètres!$F$85-(Paramètres!$F$85*(Paramètres!$F$86/BC225))),0)</f>
        <v>0</v>
      </c>
      <c r="BD226" s="198">
        <f>IFERROR(IF(Paramètres!$F$85-(Paramètres!$F$85*(Paramètres!$F$86/BD225))&lt;Paramètres!$F$86,0,Paramètres!$F$85-(Paramètres!$F$85*(Paramètres!$F$86/BD225))),0)</f>
        <v>0</v>
      </c>
    </row>
    <row r="227" spans="1:56" ht="15" customHeight="1">
      <c r="C227" s="151"/>
      <c r="D227" s="55" t="s">
        <v>309</v>
      </c>
      <c r="E227" s="128" t="s">
        <v>195</v>
      </c>
      <c r="G227" s="199">
        <f>IF(Paramètres!$F$29=2,G224*G226,0)</f>
        <v>0</v>
      </c>
      <c r="H227" s="199">
        <f>IF(Paramètres!$F$29=2,H224*H226,0)</f>
        <v>0</v>
      </c>
      <c r="I227" s="199">
        <f>IF(Paramètres!$F$29=2,I224*I226,0)</f>
        <v>0</v>
      </c>
      <c r="J227" s="199">
        <f>IF(Paramètres!$F$29=2,J224*J226,0)</f>
        <v>0</v>
      </c>
      <c r="K227" s="199">
        <f>IF(Paramètres!$F$29=2,K224*K226,0)</f>
        <v>0</v>
      </c>
      <c r="L227" s="199">
        <f>IF(Paramètres!$F$29=2,L224*L226,0)</f>
        <v>0</v>
      </c>
      <c r="M227" s="199">
        <f>IF(Paramètres!$F$29=2,M224*M226,0)</f>
        <v>0</v>
      </c>
      <c r="N227" s="199">
        <f>IF(Paramètres!$F$29=2,N224*N226,0)</f>
        <v>0</v>
      </c>
      <c r="O227" s="199">
        <f>IF(Paramètres!$F$29=2,O224*O226,0)</f>
        <v>0</v>
      </c>
      <c r="P227" s="199">
        <f>IF(Paramètres!$F$29=2,P224*P226,0)</f>
        <v>0</v>
      </c>
      <c r="Q227" s="199">
        <f>IF(Paramètres!$F$29=2,Q224*Q226,0)</f>
        <v>0</v>
      </c>
      <c r="R227" s="199">
        <f>IF(Paramètres!$F$29=2,R224*R226,0)</f>
        <v>0</v>
      </c>
      <c r="S227" s="199">
        <f>IF(Paramètres!$F$29=2,S224*S226,0)</f>
        <v>0</v>
      </c>
      <c r="T227" s="199">
        <f>IF(Paramètres!$F$29=2,T224*T226,0)</f>
        <v>0</v>
      </c>
      <c r="U227" s="199">
        <f>IF(Paramètres!$F$29=2,U224*U226,0)</f>
        <v>0</v>
      </c>
      <c r="V227" s="199">
        <f>IF(Paramètres!$F$29=2,V224*V226,0)</f>
        <v>0</v>
      </c>
      <c r="W227" s="199">
        <f>IF(Paramètres!$F$29=2,W224*W226,0)</f>
        <v>0</v>
      </c>
      <c r="X227" s="199">
        <f>IF(Paramètres!$F$29=2,X224*X226,0)</f>
        <v>0</v>
      </c>
      <c r="Y227" s="199">
        <f>IF(Paramètres!$F$29=2,Y224*Y226,0)</f>
        <v>0</v>
      </c>
      <c r="Z227" s="199">
        <f>IF(Paramètres!$F$29=2,Z224*Z226,0)</f>
        <v>0</v>
      </c>
      <c r="AA227" s="199">
        <f>IF(Paramètres!$F$29=2,AA224*AA226,0)</f>
        <v>0</v>
      </c>
      <c r="AB227" s="199">
        <f>IF(Paramètres!$F$29=2,AB224*AB226,0)</f>
        <v>0</v>
      </c>
      <c r="AC227" s="199">
        <f>IF(Paramètres!$F$29=2,AC224*AC226,0)</f>
        <v>0</v>
      </c>
      <c r="AD227" s="199">
        <f>IF(Paramètres!$F$29=2,AD224*AD226,0)</f>
        <v>0</v>
      </c>
      <c r="AE227" s="199">
        <f>IF(Paramètres!$F$29=2,AE224*AE226,0)</f>
        <v>0</v>
      </c>
      <c r="AF227" s="199">
        <f>IF(Paramètres!$F$29=2,AF224*AF226,0)</f>
        <v>0</v>
      </c>
      <c r="AG227" s="199">
        <f>IF(Paramètres!$F$29=2,AG224*AG226,0)</f>
        <v>0</v>
      </c>
      <c r="AH227" s="199">
        <f>IF(Paramètres!$F$29=2,AH224*AH226,0)</f>
        <v>0</v>
      </c>
      <c r="AI227" s="199">
        <f>IF(Paramètres!$F$29=2,AI224*AI226,0)</f>
        <v>0</v>
      </c>
      <c r="AJ227" s="199">
        <f>IF(Paramètres!$F$29=2,AJ224*AJ226,0)</f>
        <v>0</v>
      </c>
      <c r="AK227" s="199">
        <f>IF(Paramètres!$F$29=2,AK224*AK226,0)</f>
        <v>0</v>
      </c>
      <c r="AL227" s="199">
        <f>IF(Paramètres!$F$29=2,AL224*AL226,0)</f>
        <v>0</v>
      </c>
      <c r="AM227" s="199">
        <f>IF(Paramètres!$F$29=2,AM224*AM226,0)</f>
        <v>0</v>
      </c>
      <c r="AN227" s="199">
        <f>IF(Paramètres!$F$29=2,AN224*AN226,0)</f>
        <v>0</v>
      </c>
      <c r="AO227" s="199">
        <f>IF(Paramètres!$F$29=2,AO224*AO226,0)</f>
        <v>0</v>
      </c>
      <c r="AP227" s="199">
        <f>IF(Paramètres!$F$29=2,AP224*AP226,0)</f>
        <v>0</v>
      </c>
      <c r="AQ227" s="199">
        <f>IF(Paramètres!$F$29=2,AQ224*AQ226,0)</f>
        <v>0</v>
      </c>
      <c r="AR227" s="199">
        <f>IF(Paramètres!$F$29=2,AR224*AR226,0)</f>
        <v>0</v>
      </c>
      <c r="AS227" s="199">
        <f>IF(Paramètres!$F$29=2,AS224*AS226,0)</f>
        <v>0</v>
      </c>
      <c r="AT227" s="199">
        <f>IF(Paramètres!$F$29=2,AT224*AT226,0)</f>
        <v>0</v>
      </c>
      <c r="AU227" s="199">
        <f>IF(Paramètres!$F$29=2,AU224*AU226,0)</f>
        <v>0</v>
      </c>
      <c r="AV227" s="199">
        <f>IF(Paramètres!$F$29=2,AV224*AV226,0)</f>
        <v>0</v>
      </c>
      <c r="AW227" s="199">
        <f>IF(Paramètres!$F$29=2,AW224*AW226,0)</f>
        <v>0</v>
      </c>
      <c r="AX227" s="199">
        <f>IF(Paramètres!$F$29=2,AX224*AX226,0)</f>
        <v>0</v>
      </c>
      <c r="AY227" s="199">
        <f>IF(Paramètres!$F$29=2,AY224*AY226,0)</f>
        <v>0</v>
      </c>
      <c r="AZ227" s="199">
        <f>IF(Paramètres!$F$29=2,AZ224*AZ226,0)</f>
        <v>0</v>
      </c>
      <c r="BA227" s="199">
        <f>IF(Paramètres!$F$29=2,BA224*BA226,0)</f>
        <v>0</v>
      </c>
      <c r="BB227" s="199">
        <f>IF(Paramètres!$F$29=2,BB224*BB226,0)</f>
        <v>0</v>
      </c>
      <c r="BC227" s="199">
        <f>IF(Paramètres!$F$29=2,BC224*BC226,0)</f>
        <v>0</v>
      </c>
      <c r="BD227" s="199">
        <f>IF(Paramètres!$F$29=2,BD224*BD226,0)</f>
        <v>0</v>
      </c>
    </row>
    <row r="228" spans="1:56" ht="15" customHeight="1">
      <c r="C228" s="151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  <c r="AB228" s="80"/>
      <c r="AC228" s="80"/>
      <c r="AD228" s="80"/>
      <c r="AE228" s="80"/>
      <c r="AF228" s="80"/>
      <c r="AG228" s="80"/>
      <c r="AH228" s="80"/>
      <c r="AI228" s="80"/>
      <c r="AJ228" s="80"/>
      <c r="AK228" s="80"/>
      <c r="AL228" s="80"/>
      <c r="AM228" s="80"/>
      <c r="AN228" s="80"/>
      <c r="AO228" s="80"/>
      <c r="AP228" s="80"/>
      <c r="AQ228" s="80"/>
      <c r="AR228" s="80"/>
      <c r="AS228" s="80"/>
      <c r="AT228" s="80"/>
      <c r="AU228" s="80"/>
      <c r="AV228" s="80"/>
      <c r="AW228" s="80"/>
      <c r="AX228" s="80"/>
      <c r="AY228" s="80"/>
      <c r="AZ228" s="80"/>
      <c r="BA228" s="80"/>
      <c r="BB228" s="80"/>
      <c r="BC228" s="80"/>
      <c r="BD228" s="80"/>
    </row>
    <row r="229" spans="1:56" ht="15" customHeight="1">
      <c r="C229" s="200"/>
      <c r="D229" s="33" t="s">
        <v>310</v>
      </c>
      <c r="E229" s="128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  <c r="AO229" s="152"/>
      <c r="AP229" s="152"/>
      <c r="AQ229" s="152"/>
      <c r="AR229" s="152"/>
      <c r="AS229" s="152"/>
      <c r="AT229" s="152"/>
      <c r="AU229" s="152"/>
      <c r="AV229" s="152"/>
      <c r="AW229" s="152"/>
      <c r="AX229" s="152"/>
      <c r="AY229" s="152"/>
      <c r="AZ229" s="152"/>
      <c r="BA229" s="152"/>
      <c r="BB229" s="152"/>
      <c r="BC229" s="152"/>
      <c r="BD229" s="152"/>
    </row>
    <row r="230" spans="1:56" ht="15" customHeight="1">
      <c r="C230" s="152">
        <f t="shared" ref="C230:C237" si="181">SUM(G230:BD230)</f>
        <v>3696.7338076497381</v>
      </c>
      <c r="D230" s="55" t="s">
        <v>311</v>
      </c>
      <c r="E230" s="128" t="s">
        <v>195</v>
      </c>
      <c r="G230" s="152">
        <f t="shared" ref="G230:AL230" si="182">G149</f>
        <v>123.38999999999999</v>
      </c>
      <c r="H230" s="152">
        <f t="shared" si="182"/>
        <v>235.27605600000004</v>
      </c>
      <c r="I230" s="152">
        <f t="shared" si="182"/>
        <v>170.85032639999997</v>
      </c>
      <c r="J230" s="152">
        <f t="shared" si="182"/>
        <v>403.25903999999991</v>
      </c>
      <c r="K230" s="152">
        <f t="shared" si="182"/>
        <v>394.00530623999998</v>
      </c>
      <c r="L230" s="152">
        <f t="shared" si="182"/>
        <v>433.90375565760007</v>
      </c>
      <c r="M230" s="152">
        <f t="shared" si="182"/>
        <v>469.60972883308807</v>
      </c>
      <c r="N230" s="152">
        <f t="shared" si="182"/>
        <v>319.79408987355953</v>
      </c>
      <c r="O230" s="152">
        <f t="shared" si="182"/>
        <v>88.998192087489201</v>
      </c>
      <c r="P230" s="152">
        <f t="shared" si="182"/>
        <v>113.4760710480551</v>
      </c>
      <c r="Q230" s="152">
        <f t="shared" si="182"/>
        <v>110.8786353477451</v>
      </c>
      <c r="R230" s="152">
        <f t="shared" si="182"/>
        <v>126.76872496210012</v>
      </c>
      <c r="S230" s="152">
        <f t="shared" si="182"/>
        <v>147.07559125600869</v>
      </c>
      <c r="T230" s="152">
        <f t="shared" si="182"/>
        <v>140.95707032341954</v>
      </c>
      <c r="U230" s="152">
        <f t="shared" si="182"/>
        <v>208.42301814314305</v>
      </c>
      <c r="V230" s="152">
        <f t="shared" si="182"/>
        <v>154.99423544642173</v>
      </c>
      <c r="W230" s="152">
        <f t="shared" si="182"/>
        <v>55.07396603110719</v>
      </c>
      <c r="X230" s="152">
        <f t="shared" si="182"/>
        <v>0</v>
      </c>
      <c r="Y230" s="152">
        <f t="shared" si="182"/>
        <v>0</v>
      </c>
      <c r="Z230" s="152">
        <f t="shared" si="182"/>
        <v>0</v>
      </c>
      <c r="AA230" s="152">
        <f t="shared" si="182"/>
        <v>0</v>
      </c>
      <c r="AB230" s="152">
        <f t="shared" si="182"/>
        <v>0</v>
      </c>
      <c r="AC230" s="152">
        <f t="shared" si="182"/>
        <v>0</v>
      </c>
      <c r="AD230" s="152">
        <f t="shared" si="182"/>
        <v>0</v>
      </c>
      <c r="AE230" s="152">
        <f t="shared" si="182"/>
        <v>0</v>
      </c>
      <c r="AF230" s="152">
        <f t="shared" si="182"/>
        <v>0</v>
      </c>
      <c r="AG230" s="152">
        <f t="shared" si="182"/>
        <v>0</v>
      </c>
      <c r="AH230" s="152">
        <f t="shared" si="182"/>
        <v>0</v>
      </c>
      <c r="AI230" s="152">
        <f t="shared" si="182"/>
        <v>0</v>
      </c>
      <c r="AJ230" s="152">
        <f t="shared" si="182"/>
        <v>0</v>
      </c>
      <c r="AK230" s="152">
        <f t="shared" si="182"/>
        <v>0</v>
      </c>
      <c r="AL230" s="152">
        <f t="shared" si="182"/>
        <v>0</v>
      </c>
      <c r="AM230" s="152">
        <f t="shared" ref="AM230:BD230" si="183">AM149</f>
        <v>0</v>
      </c>
      <c r="AN230" s="152">
        <f t="shared" si="183"/>
        <v>0</v>
      </c>
      <c r="AO230" s="152">
        <f t="shared" si="183"/>
        <v>0</v>
      </c>
      <c r="AP230" s="152">
        <f t="shared" si="183"/>
        <v>0</v>
      </c>
      <c r="AQ230" s="152">
        <f t="shared" si="183"/>
        <v>0</v>
      </c>
      <c r="AR230" s="152">
        <f t="shared" si="183"/>
        <v>0</v>
      </c>
      <c r="AS230" s="152">
        <f t="shared" si="183"/>
        <v>0</v>
      </c>
      <c r="AT230" s="152">
        <f t="shared" si="183"/>
        <v>0</v>
      </c>
      <c r="AU230" s="152">
        <f t="shared" si="183"/>
        <v>0</v>
      </c>
      <c r="AV230" s="152">
        <f t="shared" si="183"/>
        <v>0</v>
      </c>
      <c r="AW230" s="152">
        <f t="shared" si="183"/>
        <v>0</v>
      </c>
      <c r="AX230" s="152">
        <f t="shared" si="183"/>
        <v>0</v>
      </c>
      <c r="AY230" s="152">
        <f t="shared" si="183"/>
        <v>0</v>
      </c>
      <c r="AZ230" s="152">
        <f t="shared" si="183"/>
        <v>0</v>
      </c>
      <c r="BA230" s="152">
        <f t="shared" si="183"/>
        <v>0</v>
      </c>
      <c r="BB230" s="152">
        <f t="shared" si="183"/>
        <v>0</v>
      </c>
      <c r="BC230" s="152">
        <f t="shared" si="183"/>
        <v>0</v>
      </c>
      <c r="BD230" s="152">
        <f t="shared" si="183"/>
        <v>0</v>
      </c>
    </row>
    <row r="231" spans="1:56" ht="15" customHeight="1">
      <c r="C231" s="152">
        <f t="shared" si="181"/>
        <v>0</v>
      </c>
      <c r="D231" s="55" t="s">
        <v>295</v>
      </c>
      <c r="E231" s="128" t="s">
        <v>195</v>
      </c>
      <c r="G231" s="152">
        <f t="shared" ref="G231:AL231" si="184">G209</f>
        <v>0</v>
      </c>
      <c r="H231" s="152">
        <f t="shared" si="184"/>
        <v>0</v>
      </c>
      <c r="I231" s="152">
        <f t="shared" si="184"/>
        <v>0</v>
      </c>
      <c r="J231" s="152">
        <f t="shared" si="184"/>
        <v>0</v>
      </c>
      <c r="K231" s="152">
        <f t="shared" si="184"/>
        <v>0</v>
      </c>
      <c r="L231" s="152">
        <f t="shared" si="184"/>
        <v>0</v>
      </c>
      <c r="M231" s="152">
        <f t="shared" si="184"/>
        <v>0</v>
      </c>
      <c r="N231" s="152">
        <f t="shared" si="184"/>
        <v>0</v>
      </c>
      <c r="O231" s="152">
        <f t="shared" si="184"/>
        <v>0</v>
      </c>
      <c r="P231" s="152">
        <f t="shared" si="184"/>
        <v>0</v>
      </c>
      <c r="Q231" s="152">
        <f t="shared" si="184"/>
        <v>0</v>
      </c>
      <c r="R231" s="152">
        <f t="shared" si="184"/>
        <v>0</v>
      </c>
      <c r="S231" s="152">
        <f t="shared" si="184"/>
        <v>0</v>
      </c>
      <c r="T231" s="152">
        <f t="shared" si="184"/>
        <v>0</v>
      </c>
      <c r="U231" s="152">
        <f t="shared" si="184"/>
        <v>0</v>
      </c>
      <c r="V231" s="152">
        <f t="shared" si="184"/>
        <v>0</v>
      </c>
      <c r="W231" s="152">
        <f t="shared" si="184"/>
        <v>0</v>
      </c>
      <c r="X231" s="152">
        <f t="shared" si="184"/>
        <v>0</v>
      </c>
      <c r="Y231" s="152">
        <f t="shared" si="184"/>
        <v>0</v>
      </c>
      <c r="Z231" s="152">
        <f t="shared" si="184"/>
        <v>0</v>
      </c>
      <c r="AA231" s="152">
        <f t="shared" si="184"/>
        <v>0</v>
      </c>
      <c r="AB231" s="152">
        <f t="shared" si="184"/>
        <v>0</v>
      </c>
      <c r="AC231" s="152">
        <f t="shared" si="184"/>
        <v>0</v>
      </c>
      <c r="AD231" s="152">
        <f t="shared" si="184"/>
        <v>0</v>
      </c>
      <c r="AE231" s="152">
        <f t="shared" si="184"/>
        <v>0</v>
      </c>
      <c r="AF231" s="152">
        <f t="shared" si="184"/>
        <v>0</v>
      </c>
      <c r="AG231" s="152">
        <f t="shared" si="184"/>
        <v>0</v>
      </c>
      <c r="AH231" s="152">
        <f t="shared" si="184"/>
        <v>0</v>
      </c>
      <c r="AI231" s="152">
        <f t="shared" si="184"/>
        <v>0</v>
      </c>
      <c r="AJ231" s="152">
        <f t="shared" si="184"/>
        <v>0</v>
      </c>
      <c r="AK231" s="152">
        <f t="shared" si="184"/>
        <v>0</v>
      </c>
      <c r="AL231" s="152">
        <f t="shared" si="184"/>
        <v>0</v>
      </c>
      <c r="AM231" s="152">
        <f t="shared" ref="AM231:BD231" si="185">AM209</f>
        <v>0</v>
      </c>
      <c r="AN231" s="152">
        <f t="shared" si="185"/>
        <v>0</v>
      </c>
      <c r="AO231" s="152">
        <f t="shared" si="185"/>
        <v>0</v>
      </c>
      <c r="AP231" s="152">
        <f t="shared" si="185"/>
        <v>0</v>
      </c>
      <c r="AQ231" s="152">
        <f t="shared" si="185"/>
        <v>0</v>
      </c>
      <c r="AR231" s="152">
        <f t="shared" si="185"/>
        <v>0</v>
      </c>
      <c r="AS231" s="152">
        <f t="shared" si="185"/>
        <v>0</v>
      </c>
      <c r="AT231" s="152">
        <f t="shared" si="185"/>
        <v>0</v>
      </c>
      <c r="AU231" s="152">
        <f t="shared" si="185"/>
        <v>0</v>
      </c>
      <c r="AV231" s="152">
        <f t="shared" si="185"/>
        <v>0</v>
      </c>
      <c r="AW231" s="152">
        <f t="shared" si="185"/>
        <v>0</v>
      </c>
      <c r="AX231" s="152">
        <f t="shared" si="185"/>
        <v>0</v>
      </c>
      <c r="AY231" s="152">
        <f t="shared" si="185"/>
        <v>0</v>
      </c>
      <c r="AZ231" s="152">
        <f t="shared" si="185"/>
        <v>0</v>
      </c>
      <c r="BA231" s="152">
        <f t="shared" si="185"/>
        <v>0</v>
      </c>
      <c r="BB231" s="152">
        <f t="shared" si="185"/>
        <v>0</v>
      </c>
      <c r="BC231" s="152">
        <f t="shared" si="185"/>
        <v>0</v>
      </c>
      <c r="BD231" s="152">
        <f t="shared" si="185"/>
        <v>0</v>
      </c>
    </row>
    <row r="232" spans="1:56" ht="15" customHeight="1">
      <c r="C232" s="152">
        <f t="shared" si="181"/>
        <v>882.69931771596566</v>
      </c>
      <c r="D232" s="55" t="s">
        <v>273</v>
      </c>
      <c r="E232" s="128" t="s">
        <v>195</v>
      </c>
      <c r="G232" s="152">
        <f t="shared" ref="G232:AL232" si="186">G190</f>
        <v>0</v>
      </c>
      <c r="H232" s="152">
        <f t="shared" si="186"/>
        <v>84.703013999999996</v>
      </c>
      <c r="I232" s="152">
        <f t="shared" si="186"/>
        <v>74.022981599999994</v>
      </c>
      <c r="J232" s="152">
        <f t="shared" si="186"/>
        <v>84.11069999999998</v>
      </c>
      <c r="K232" s="152">
        <f t="shared" si="186"/>
        <v>81.00985022399999</v>
      </c>
      <c r="L232" s="152">
        <f t="shared" si="186"/>
        <v>90.22783942608001</v>
      </c>
      <c r="M232" s="152">
        <f t="shared" si="186"/>
        <v>105.76564763273282</v>
      </c>
      <c r="N232" s="152">
        <f t="shared" si="186"/>
        <v>83.230479512830073</v>
      </c>
      <c r="O232" s="152">
        <f t="shared" si="186"/>
        <v>24.464154134931391</v>
      </c>
      <c r="P232" s="152">
        <f t="shared" si="186"/>
        <v>27.852710025846761</v>
      </c>
      <c r="Q232" s="152">
        <f t="shared" si="186"/>
        <v>25.901067399874186</v>
      </c>
      <c r="R232" s="152">
        <f t="shared" si="186"/>
        <v>27.967222695829001</v>
      </c>
      <c r="S232" s="152">
        <f t="shared" si="186"/>
        <v>35.749711604804467</v>
      </c>
      <c r="T232" s="152">
        <f t="shared" si="186"/>
        <v>38.064852590510291</v>
      </c>
      <c r="U232" s="152">
        <f t="shared" si="186"/>
        <v>51.999329516055383</v>
      </c>
      <c r="V232" s="152">
        <f t="shared" si="186"/>
        <v>36.822165961905995</v>
      </c>
      <c r="W232" s="152">
        <f t="shared" si="186"/>
        <v>10.807591390565545</v>
      </c>
      <c r="X232" s="152">
        <f t="shared" si="186"/>
        <v>0</v>
      </c>
      <c r="Y232" s="152">
        <f t="shared" si="186"/>
        <v>0</v>
      </c>
      <c r="Z232" s="152">
        <f t="shared" si="186"/>
        <v>0</v>
      </c>
      <c r="AA232" s="152">
        <f t="shared" si="186"/>
        <v>0</v>
      </c>
      <c r="AB232" s="152">
        <f t="shared" si="186"/>
        <v>0</v>
      </c>
      <c r="AC232" s="152">
        <f t="shared" si="186"/>
        <v>0</v>
      </c>
      <c r="AD232" s="152">
        <f t="shared" si="186"/>
        <v>0</v>
      </c>
      <c r="AE232" s="152">
        <f t="shared" si="186"/>
        <v>0</v>
      </c>
      <c r="AF232" s="152">
        <f t="shared" si="186"/>
        <v>0</v>
      </c>
      <c r="AG232" s="152">
        <f t="shared" si="186"/>
        <v>0</v>
      </c>
      <c r="AH232" s="152">
        <f t="shared" si="186"/>
        <v>0</v>
      </c>
      <c r="AI232" s="152">
        <f t="shared" si="186"/>
        <v>0</v>
      </c>
      <c r="AJ232" s="152">
        <f t="shared" si="186"/>
        <v>0</v>
      </c>
      <c r="AK232" s="152">
        <f t="shared" si="186"/>
        <v>0</v>
      </c>
      <c r="AL232" s="152">
        <f t="shared" si="186"/>
        <v>0</v>
      </c>
      <c r="AM232" s="152">
        <f t="shared" ref="AM232:BD232" si="187">AM190</f>
        <v>0</v>
      </c>
      <c r="AN232" s="152">
        <f t="shared" si="187"/>
        <v>0</v>
      </c>
      <c r="AO232" s="152">
        <f t="shared" si="187"/>
        <v>0</v>
      </c>
      <c r="AP232" s="152">
        <f t="shared" si="187"/>
        <v>0</v>
      </c>
      <c r="AQ232" s="152">
        <f t="shared" si="187"/>
        <v>0</v>
      </c>
      <c r="AR232" s="152">
        <f t="shared" si="187"/>
        <v>0</v>
      </c>
      <c r="AS232" s="152">
        <f t="shared" si="187"/>
        <v>0</v>
      </c>
      <c r="AT232" s="152">
        <f t="shared" si="187"/>
        <v>0</v>
      </c>
      <c r="AU232" s="152">
        <f t="shared" si="187"/>
        <v>0</v>
      </c>
      <c r="AV232" s="152">
        <f t="shared" si="187"/>
        <v>0</v>
      </c>
      <c r="AW232" s="152">
        <f t="shared" si="187"/>
        <v>0</v>
      </c>
      <c r="AX232" s="152">
        <f t="shared" si="187"/>
        <v>0</v>
      </c>
      <c r="AY232" s="152">
        <f t="shared" si="187"/>
        <v>0</v>
      </c>
      <c r="AZ232" s="152">
        <f t="shared" si="187"/>
        <v>0</v>
      </c>
      <c r="BA232" s="152">
        <f t="shared" si="187"/>
        <v>0</v>
      </c>
      <c r="BB232" s="152">
        <f t="shared" si="187"/>
        <v>0</v>
      </c>
      <c r="BC232" s="152">
        <f t="shared" si="187"/>
        <v>0</v>
      </c>
      <c r="BD232" s="152">
        <f t="shared" si="187"/>
        <v>0</v>
      </c>
    </row>
    <row r="233" spans="1:56" s="202" customFormat="1" ht="15" customHeight="1">
      <c r="A233" s="201"/>
      <c r="C233" s="152">
        <f t="shared" si="181"/>
        <v>0</v>
      </c>
      <c r="D233" s="55" t="s">
        <v>296</v>
      </c>
      <c r="E233" s="128" t="s">
        <v>195</v>
      </c>
      <c r="G233" s="152">
        <f t="shared" ref="G233:AL233" si="188">G218</f>
        <v>0</v>
      </c>
      <c r="H233" s="152">
        <f t="shared" si="188"/>
        <v>0</v>
      </c>
      <c r="I233" s="152">
        <f t="shared" si="188"/>
        <v>0</v>
      </c>
      <c r="J233" s="152">
        <f t="shared" si="188"/>
        <v>0</v>
      </c>
      <c r="K233" s="152">
        <f t="shared" si="188"/>
        <v>0</v>
      </c>
      <c r="L233" s="152">
        <f t="shared" si="188"/>
        <v>0</v>
      </c>
      <c r="M233" s="152">
        <f t="shared" si="188"/>
        <v>0</v>
      </c>
      <c r="N233" s="152">
        <f t="shared" si="188"/>
        <v>0</v>
      </c>
      <c r="O233" s="152">
        <f t="shared" si="188"/>
        <v>0</v>
      </c>
      <c r="P233" s="152">
        <f t="shared" si="188"/>
        <v>0</v>
      </c>
      <c r="Q233" s="152">
        <f t="shared" si="188"/>
        <v>0</v>
      </c>
      <c r="R233" s="152">
        <f t="shared" si="188"/>
        <v>0</v>
      </c>
      <c r="S233" s="152">
        <f t="shared" si="188"/>
        <v>0</v>
      </c>
      <c r="T233" s="152">
        <f t="shared" si="188"/>
        <v>0</v>
      </c>
      <c r="U233" s="152">
        <f t="shared" si="188"/>
        <v>0</v>
      </c>
      <c r="V233" s="152">
        <f t="shared" si="188"/>
        <v>0</v>
      </c>
      <c r="W233" s="152">
        <f t="shared" si="188"/>
        <v>0</v>
      </c>
      <c r="X233" s="152">
        <f t="shared" si="188"/>
        <v>0</v>
      </c>
      <c r="Y233" s="152">
        <f t="shared" si="188"/>
        <v>0</v>
      </c>
      <c r="Z233" s="152">
        <f t="shared" si="188"/>
        <v>0</v>
      </c>
      <c r="AA233" s="152">
        <f t="shared" si="188"/>
        <v>0</v>
      </c>
      <c r="AB233" s="152">
        <f t="shared" si="188"/>
        <v>0</v>
      </c>
      <c r="AC233" s="152">
        <f t="shared" si="188"/>
        <v>0</v>
      </c>
      <c r="AD233" s="152">
        <f t="shared" si="188"/>
        <v>0</v>
      </c>
      <c r="AE233" s="152">
        <f t="shared" si="188"/>
        <v>0</v>
      </c>
      <c r="AF233" s="152">
        <f t="shared" si="188"/>
        <v>0</v>
      </c>
      <c r="AG233" s="152">
        <f t="shared" si="188"/>
        <v>0</v>
      </c>
      <c r="AH233" s="152">
        <f t="shared" si="188"/>
        <v>0</v>
      </c>
      <c r="AI233" s="152">
        <f t="shared" si="188"/>
        <v>0</v>
      </c>
      <c r="AJ233" s="152">
        <f t="shared" si="188"/>
        <v>0</v>
      </c>
      <c r="AK233" s="152">
        <f t="shared" si="188"/>
        <v>0</v>
      </c>
      <c r="AL233" s="152">
        <f t="shared" si="188"/>
        <v>0</v>
      </c>
      <c r="AM233" s="152">
        <f t="shared" ref="AM233:BD233" si="189">AM218</f>
        <v>0</v>
      </c>
      <c r="AN233" s="152">
        <f t="shared" si="189"/>
        <v>0</v>
      </c>
      <c r="AO233" s="152">
        <f t="shared" si="189"/>
        <v>0</v>
      </c>
      <c r="AP233" s="152">
        <f t="shared" si="189"/>
        <v>0</v>
      </c>
      <c r="AQ233" s="152">
        <f t="shared" si="189"/>
        <v>0</v>
      </c>
      <c r="AR233" s="152">
        <f t="shared" si="189"/>
        <v>0</v>
      </c>
      <c r="AS233" s="152">
        <f t="shared" si="189"/>
        <v>0</v>
      </c>
      <c r="AT233" s="152">
        <f t="shared" si="189"/>
        <v>0</v>
      </c>
      <c r="AU233" s="152">
        <f t="shared" si="189"/>
        <v>0</v>
      </c>
      <c r="AV233" s="152">
        <f t="shared" si="189"/>
        <v>0</v>
      </c>
      <c r="AW233" s="152">
        <f t="shared" si="189"/>
        <v>0</v>
      </c>
      <c r="AX233" s="152">
        <f t="shared" si="189"/>
        <v>0</v>
      </c>
      <c r="AY233" s="152">
        <f t="shared" si="189"/>
        <v>0</v>
      </c>
      <c r="AZ233" s="152">
        <f t="shared" si="189"/>
        <v>0</v>
      </c>
      <c r="BA233" s="152">
        <f t="shared" si="189"/>
        <v>0</v>
      </c>
      <c r="BB233" s="152">
        <f t="shared" si="189"/>
        <v>0</v>
      </c>
      <c r="BC233" s="152">
        <f t="shared" si="189"/>
        <v>0</v>
      </c>
      <c r="BD233" s="152">
        <f t="shared" si="189"/>
        <v>0</v>
      </c>
    </row>
    <row r="234" spans="1:56" s="202" customFormat="1" ht="15" customHeight="1">
      <c r="A234" s="201"/>
      <c r="C234" s="152">
        <f t="shared" si="181"/>
        <v>0</v>
      </c>
      <c r="D234" s="55" t="s">
        <v>309</v>
      </c>
      <c r="E234" s="128" t="s">
        <v>195</v>
      </c>
      <c r="G234" s="152">
        <f t="shared" ref="G234:AL234" si="190">G227</f>
        <v>0</v>
      </c>
      <c r="H234" s="152">
        <f t="shared" si="190"/>
        <v>0</v>
      </c>
      <c r="I234" s="152">
        <f t="shared" si="190"/>
        <v>0</v>
      </c>
      <c r="J234" s="152">
        <f t="shared" si="190"/>
        <v>0</v>
      </c>
      <c r="K234" s="152">
        <f t="shared" si="190"/>
        <v>0</v>
      </c>
      <c r="L234" s="152">
        <f t="shared" si="190"/>
        <v>0</v>
      </c>
      <c r="M234" s="152">
        <f t="shared" si="190"/>
        <v>0</v>
      </c>
      <c r="N234" s="152">
        <f t="shared" si="190"/>
        <v>0</v>
      </c>
      <c r="O234" s="152">
        <f t="shared" si="190"/>
        <v>0</v>
      </c>
      <c r="P234" s="152">
        <f t="shared" si="190"/>
        <v>0</v>
      </c>
      <c r="Q234" s="152">
        <f t="shared" si="190"/>
        <v>0</v>
      </c>
      <c r="R234" s="152">
        <f t="shared" si="190"/>
        <v>0</v>
      </c>
      <c r="S234" s="152">
        <f t="shared" si="190"/>
        <v>0</v>
      </c>
      <c r="T234" s="152">
        <f t="shared" si="190"/>
        <v>0</v>
      </c>
      <c r="U234" s="152">
        <f t="shared" si="190"/>
        <v>0</v>
      </c>
      <c r="V234" s="152">
        <f t="shared" si="190"/>
        <v>0</v>
      </c>
      <c r="W234" s="152">
        <f t="shared" si="190"/>
        <v>0</v>
      </c>
      <c r="X234" s="152">
        <f t="shared" si="190"/>
        <v>0</v>
      </c>
      <c r="Y234" s="152">
        <f t="shared" si="190"/>
        <v>0</v>
      </c>
      <c r="Z234" s="152">
        <f t="shared" si="190"/>
        <v>0</v>
      </c>
      <c r="AA234" s="152">
        <f t="shared" si="190"/>
        <v>0</v>
      </c>
      <c r="AB234" s="152">
        <f t="shared" si="190"/>
        <v>0</v>
      </c>
      <c r="AC234" s="152">
        <f t="shared" si="190"/>
        <v>0</v>
      </c>
      <c r="AD234" s="152">
        <f t="shared" si="190"/>
        <v>0</v>
      </c>
      <c r="AE234" s="152">
        <f t="shared" si="190"/>
        <v>0</v>
      </c>
      <c r="AF234" s="152">
        <f t="shared" si="190"/>
        <v>0</v>
      </c>
      <c r="AG234" s="152">
        <f t="shared" si="190"/>
        <v>0</v>
      </c>
      <c r="AH234" s="152">
        <f t="shared" si="190"/>
        <v>0</v>
      </c>
      <c r="AI234" s="152">
        <f t="shared" si="190"/>
        <v>0</v>
      </c>
      <c r="AJ234" s="152">
        <f t="shared" si="190"/>
        <v>0</v>
      </c>
      <c r="AK234" s="152">
        <f t="shared" si="190"/>
        <v>0</v>
      </c>
      <c r="AL234" s="152">
        <f t="shared" si="190"/>
        <v>0</v>
      </c>
      <c r="AM234" s="152">
        <f t="shared" ref="AM234:BD234" si="191">AM227</f>
        <v>0</v>
      </c>
      <c r="AN234" s="152">
        <f t="shared" si="191"/>
        <v>0</v>
      </c>
      <c r="AO234" s="152">
        <f t="shared" si="191"/>
        <v>0</v>
      </c>
      <c r="AP234" s="152">
        <f t="shared" si="191"/>
        <v>0</v>
      </c>
      <c r="AQ234" s="152">
        <f t="shared" si="191"/>
        <v>0</v>
      </c>
      <c r="AR234" s="152">
        <f t="shared" si="191"/>
        <v>0</v>
      </c>
      <c r="AS234" s="152">
        <f t="shared" si="191"/>
        <v>0</v>
      </c>
      <c r="AT234" s="152">
        <f t="shared" si="191"/>
        <v>0</v>
      </c>
      <c r="AU234" s="152">
        <f t="shared" si="191"/>
        <v>0</v>
      </c>
      <c r="AV234" s="152">
        <f t="shared" si="191"/>
        <v>0</v>
      </c>
      <c r="AW234" s="152">
        <f t="shared" si="191"/>
        <v>0</v>
      </c>
      <c r="AX234" s="152">
        <f t="shared" si="191"/>
        <v>0</v>
      </c>
      <c r="AY234" s="152">
        <f t="shared" si="191"/>
        <v>0</v>
      </c>
      <c r="AZ234" s="152">
        <f t="shared" si="191"/>
        <v>0</v>
      </c>
      <c r="BA234" s="152">
        <f t="shared" si="191"/>
        <v>0</v>
      </c>
      <c r="BB234" s="152">
        <f t="shared" si="191"/>
        <v>0</v>
      </c>
      <c r="BC234" s="152">
        <f t="shared" si="191"/>
        <v>0</v>
      </c>
      <c r="BD234" s="152">
        <f t="shared" si="191"/>
        <v>0</v>
      </c>
    </row>
    <row r="235" spans="1:56" s="202" customFormat="1" ht="15" customHeight="1">
      <c r="A235" s="201"/>
      <c r="C235" s="152">
        <f t="shared" si="181"/>
        <v>0</v>
      </c>
      <c r="D235" s="153" t="s">
        <v>282</v>
      </c>
      <c r="E235" s="128" t="s">
        <v>195</v>
      </c>
      <c r="G235" s="152">
        <f t="shared" ref="G235:AL235" si="192">G195</f>
        <v>0</v>
      </c>
      <c r="H235" s="152">
        <f t="shared" si="192"/>
        <v>0</v>
      </c>
      <c r="I235" s="152">
        <f t="shared" si="192"/>
        <v>0</v>
      </c>
      <c r="J235" s="152">
        <f t="shared" si="192"/>
        <v>0</v>
      </c>
      <c r="K235" s="152">
        <f t="shared" si="192"/>
        <v>0</v>
      </c>
      <c r="L235" s="152">
        <f t="shared" si="192"/>
        <v>0</v>
      </c>
      <c r="M235" s="152">
        <f t="shared" si="192"/>
        <v>0</v>
      </c>
      <c r="N235" s="152">
        <f t="shared" si="192"/>
        <v>0</v>
      </c>
      <c r="O235" s="152">
        <f t="shared" si="192"/>
        <v>0</v>
      </c>
      <c r="P235" s="152">
        <f t="shared" si="192"/>
        <v>0</v>
      </c>
      <c r="Q235" s="152">
        <f t="shared" si="192"/>
        <v>0</v>
      </c>
      <c r="R235" s="152">
        <f t="shared" si="192"/>
        <v>0</v>
      </c>
      <c r="S235" s="152">
        <f t="shared" si="192"/>
        <v>0</v>
      </c>
      <c r="T235" s="152">
        <f t="shared" si="192"/>
        <v>0</v>
      </c>
      <c r="U235" s="152">
        <f t="shared" si="192"/>
        <v>0</v>
      </c>
      <c r="V235" s="152">
        <f t="shared" si="192"/>
        <v>0</v>
      </c>
      <c r="W235" s="152">
        <f t="shared" si="192"/>
        <v>0</v>
      </c>
      <c r="X235" s="152">
        <f t="shared" si="192"/>
        <v>0</v>
      </c>
      <c r="Y235" s="152">
        <f t="shared" si="192"/>
        <v>0</v>
      </c>
      <c r="Z235" s="152">
        <f t="shared" si="192"/>
        <v>0</v>
      </c>
      <c r="AA235" s="152">
        <f t="shared" si="192"/>
        <v>0</v>
      </c>
      <c r="AB235" s="152">
        <f t="shared" si="192"/>
        <v>0</v>
      </c>
      <c r="AC235" s="152">
        <f t="shared" si="192"/>
        <v>0</v>
      </c>
      <c r="AD235" s="152">
        <f t="shared" si="192"/>
        <v>0</v>
      </c>
      <c r="AE235" s="152">
        <f t="shared" si="192"/>
        <v>0</v>
      </c>
      <c r="AF235" s="152">
        <f t="shared" si="192"/>
        <v>0</v>
      </c>
      <c r="AG235" s="152">
        <f t="shared" si="192"/>
        <v>0</v>
      </c>
      <c r="AH235" s="152">
        <f t="shared" si="192"/>
        <v>0</v>
      </c>
      <c r="AI235" s="152">
        <f t="shared" si="192"/>
        <v>0</v>
      </c>
      <c r="AJ235" s="152">
        <f t="shared" si="192"/>
        <v>0</v>
      </c>
      <c r="AK235" s="152">
        <f t="shared" si="192"/>
        <v>0</v>
      </c>
      <c r="AL235" s="152">
        <f t="shared" si="192"/>
        <v>0</v>
      </c>
      <c r="AM235" s="152">
        <f t="shared" ref="AM235:BD235" si="193">AM195</f>
        <v>0</v>
      </c>
      <c r="AN235" s="152">
        <f t="shared" si="193"/>
        <v>0</v>
      </c>
      <c r="AO235" s="152">
        <f t="shared" si="193"/>
        <v>0</v>
      </c>
      <c r="AP235" s="152">
        <f t="shared" si="193"/>
        <v>0</v>
      </c>
      <c r="AQ235" s="152">
        <f t="shared" si="193"/>
        <v>0</v>
      </c>
      <c r="AR235" s="152">
        <f t="shared" si="193"/>
        <v>0</v>
      </c>
      <c r="AS235" s="152">
        <f t="shared" si="193"/>
        <v>0</v>
      </c>
      <c r="AT235" s="152">
        <f t="shared" si="193"/>
        <v>0</v>
      </c>
      <c r="AU235" s="152">
        <f t="shared" si="193"/>
        <v>0</v>
      </c>
      <c r="AV235" s="152">
        <f t="shared" si="193"/>
        <v>0</v>
      </c>
      <c r="AW235" s="152">
        <f t="shared" si="193"/>
        <v>0</v>
      </c>
      <c r="AX235" s="152">
        <f t="shared" si="193"/>
        <v>0</v>
      </c>
      <c r="AY235" s="152">
        <f t="shared" si="193"/>
        <v>0</v>
      </c>
      <c r="AZ235" s="152">
        <f t="shared" si="193"/>
        <v>0</v>
      </c>
      <c r="BA235" s="152">
        <f t="shared" si="193"/>
        <v>0</v>
      </c>
      <c r="BB235" s="152">
        <f t="shared" si="193"/>
        <v>0</v>
      </c>
      <c r="BC235" s="152">
        <f t="shared" si="193"/>
        <v>0</v>
      </c>
      <c r="BD235" s="152">
        <f t="shared" si="193"/>
        <v>0</v>
      </c>
    </row>
    <row r="236" spans="1:56" ht="15" customHeight="1">
      <c r="C236" s="152">
        <f t="shared" si="181"/>
        <v>2814.0344899337711</v>
      </c>
      <c r="D236" s="55" t="s">
        <v>312</v>
      </c>
      <c r="E236" s="128" t="s">
        <v>195</v>
      </c>
      <c r="G236" s="152">
        <f t="shared" ref="G236:AL236" si="194">G230-SUM(G231:G235)</f>
        <v>123.38999999999999</v>
      </c>
      <c r="H236" s="152">
        <f t="shared" si="194"/>
        <v>150.57304200000004</v>
      </c>
      <c r="I236" s="152">
        <f t="shared" si="194"/>
        <v>96.827344799999977</v>
      </c>
      <c r="J236" s="152">
        <f t="shared" si="194"/>
        <v>319.14833999999996</v>
      </c>
      <c r="K236" s="152">
        <f t="shared" si="194"/>
        <v>312.99545601599999</v>
      </c>
      <c r="L236" s="152">
        <f t="shared" si="194"/>
        <v>343.67591623152009</v>
      </c>
      <c r="M236" s="152">
        <f t="shared" si="194"/>
        <v>363.84408120035528</v>
      </c>
      <c r="N236" s="152">
        <f t="shared" si="194"/>
        <v>236.56361036072946</v>
      </c>
      <c r="O236" s="152">
        <f t="shared" si="194"/>
        <v>64.53403795255781</v>
      </c>
      <c r="P236" s="152">
        <f t="shared" si="194"/>
        <v>85.623361022208343</v>
      </c>
      <c r="Q236" s="152">
        <f t="shared" si="194"/>
        <v>84.977567947870909</v>
      </c>
      <c r="R236" s="152">
        <f t="shared" si="194"/>
        <v>98.801502266271115</v>
      </c>
      <c r="S236" s="152">
        <f t="shared" si="194"/>
        <v>111.32587965120422</v>
      </c>
      <c r="T236" s="152">
        <f t="shared" si="194"/>
        <v>102.89221773290924</v>
      </c>
      <c r="U236" s="152">
        <f t="shared" si="194"/>
        <v>156.42368862708767</v>
      </c>
      <c r="V236" s="152">
        <f t="shared" si="194"/>
        <v>118.17206948451573</v>
      </c>
      <c r="W236" s="152">
        <f t="shared" si="194"/>
        <v>44.266374640541642</v>
      </c>
      <c r="X236" s="152">
        <f t="shared" si="194"/>
        <v>0</v>
      </c>
      <c r="Y236" s="152">
        <f t="shared" si="194"/>
        <v>0</v>
      </c>
      <c r="Z236" s="152">
        <f t="shared" si="194"/>
        <v>0</v>
      </c>
      <c r="AA236" s="152">
        <f t="shared" si="194"/>
        <v>0</v>
      </c>
      <c r="AB236" s="152">
        <f t="shared" si="194"/>
        <v>0</v>
      </c>
      <c r="AC236" s="152">
        <f t="shared" si="194"/>
        <v>0</v>
      </c>
      <c r="AD236" s="152">
        <f t="shared" si="194"/>
        <v>0</v>
      </c>
      <c r="AE236" s="152">
        <f t="shared" si="194"/>
        <v>0</v>
      </c>
      <c r="AF236" s="152">
        <f t="shared" si="194"/>
        <v>0</v>
      </c>
      <c r="AG236" s="152">
        <f t="shared" si="194"/>
        <v>0</v>
      </c>
      <c r="AH236" s="152">
        <f t="shared" si="194"/>
        <v>0</v>
      </c>
      <c r="AI236" s="152">
        <f t="shared" si="194"/>
        <v>0</v>
      </c>
      <c r="AJ236" s="152">
        <f t="shared" si="194"/>
        <v>0</v>
      </c>
      <c r="AK236" s="152">
        <f t="shared" si="194"/>
        <v>0</v>
      </c>
      <c r="AL236" s="152">
        <f t="shared" si="194"/>
        <v>0</v>
      </c>
      <c r="AM236" s="152">
        <f t="shared" ref="AM236:BR236" si="195">AM230-SUM(AM231:AM235)</f>
        <v>0</v>
      </c>
      <c r="AN236" s="152">
        <f t="shared" si="195"/>
        <v>0</v>
      </c>
      <c r="AO236" s="152">
        <f t="shared" si="195"/>
        <v>0</v>
      </c>
      <c r="AP236" s="152">
        <f t="shared" si="195"/>
        <v>0</v>
      </c>
      <c r="AQ236" s="152">
        <f t="shared" si="195"/>
        <v>0</v>
      </c>
      <c r="AR236" s="152">
        <f t="shared" si="195"/>
        <v>0</v>
      </c>
      <c r="AS236" s="152">
        <f t="shared" si="195"/>
        <v>0</v>
      </c>
      <c r="AT236" s="152">
        <f t="shared" si="195"/>
        <v>0</v>
      </c>
      <c r="AU236" s="152">
        <f t="shared" si="195"/>
        <v>0</v>
      </c>
      <c r="AV236" s="152">
        <f t="shared" si="195"/>
        <v>0</v>
      </c>
      <c r="AW236" s="152">
        <f t="shared" si="195"/>
        <v>0</v>
      </c>
      <c r="AX236" s="152">
        <f t="shared" si="195"/>
        <v>0</v>
      </c>
      <c r="AY236" s="152">
        <f t="shared" si="195"/>
        <v>0</v>
      </c>
      <c r="AZ236" s="152">
        <f t="shared" si="195"/>
        <v>0</v>
      </c>
      <c r="BA236" s="152">
        <f t="shared" si="195"/>
        <v>0</v>
      </c>
      <c r="BB236" s="152">
        <f t="shared" si="195"/>
        <v>0</v>
      </c>
      <c r="BC236" s="152">
        <f t="shared" si="195"/>
        <v>0</v>
      </c>
      <c r="BD236" s="152">
        <f t="shared" si="195"/>
        <v>0</v>
      </c>
    </row>
    <row r="237" spans="1:56" ht="15" customHeight="1">
      <c r="C237" s="152">
        <f t="shared" si="181"/>
        <v>122022.92175927368</v>
      </c>
      <c r="D237" s="55" t="s">
        <v>313</v>
      </c>
      <c r="E237" s="128" t="s">
        <v>195</v>
      </c>
      <c r="G237" s="152">
        <f>SUM($G$236:G236)</f>
        <v>123.38999999999999</v>
      </c>
      <c r="H237" s="152">
        <f>SUM($G$236:H236)</f>
        <v>273.96304200000003</v>
      </c>
      <c r="I237" s="152">
        <f>SUM($G$236:I236)</f>
        <v>370.79038680000002</v>
      </c>
      <c r="J237" s="152">
        <f>SUM($G$236:J236)</f>
        <v>689.93872680000004</v>
      </c>
      <c r="K237" s="152">
        <f>SUM($G$236:K236)</f>
        <v>1002.934182816</v>
      </c>
      <c r="L237" s="152">
        <f>SUM($G$236:L236)</f>
        <v>1346.6100990475202</v>
      </c>
      <c r="M237" s="152">
        <f>SUM($G$236:M236)</f>
        <v>1710.4541802478755</v>
      </c>
      <c r="N237" s="152">
        <f>SUM($G$236:N236)</f>
        <v>1947.0177906086049</v>
      </c>
      <c r="O237" s="152">
        <f>SUM($G$236:O236)</f>
        <v>2011.5518285611627</v>
      </c>
      <c r="P237" s="152">
        <f>SUM($G$236:P236)</f>
        <v>2097.1751895833709</v>
      </c>
      <c r="Q237" s="152">
        <f>SUM($G$236:Q236)</f>
        <v>2182.1527575312416</v>
      </c>
      <c r="R237" s="152">
        <f>SUM($G$236:R236)</f>
        <v>2280.9542597975128</v>
      </c>
      <c r="S237" s="152">
        <f>SUM($G$236:S236)</f>
        <v>2392.2801394487169</v>
      </c>
      <c r="T237" s="152">
        <f>SUM($G$236:T236)</f>
        <v>2495.172357181626</v>
      </c>
      <c r="U237" s="152">
        <f>SUM($G$236:U236)</f>
        <v>2651.5960458087138</v>
      </c>
      <c r="V237" s="152">
        <f>SUM($G$236:V236)</f>
        <v>2769.7681152932296</v>
      </c>
      <c r="W237" s="152">
        <f>SUM($G$236:W236)</f>
        <v>2814.0344899337711</v>
      </c>
      <c r="X237" s="152">
        <f>SUM($G$236:X236)</f>
        <v>2814.0344899337711</v>
      </c>
      <c r="Y237" s="152">
        <f>SUM($G$236:Y236)</f>
        <v>2814.0344899337711</v>
      </c>
      <c r="Z237" s="152">
        <f>SUM($G$236:Z236)</f>
        <v>2814.0344899337711</v>
      </c>
      <c r="AA237" s="152">
        <f>SUM($G$236:AA236)</f>
        <v>2814.0344899337711</v>
      </c>
      <c r="AB237" s="152">
        <f>SUM($G$236:AB236)</f>
        <v>2814.0344899337711</v>
      </c>
      <c r="AC237" s="152">
        <f>SUM($G$236:AC236)</f>
        <v>2814.0344899337711</v>
      </c>
      <c r="AD237" s="152">
        <f>SUM($G$236:AD236)</f>
        <v>2814.0344899337711</v>
      </c>
      <c r="AE237" s="152">
        <f>SUM($G$236:AE236)</f>
        <v>2814.0344899337711</v>
      </c>
      <c r="AF237" s="152">
        <f>SUM($G$236:AF236)</f>
        <v>2814.0344899337711</v>
      </c>
      <c r="AG237" s="152">
        <f>SUM($G$236:AG236)</f>
        <v>2814.0344899337711</v>
      </c>
      <c r="AH237" s="152">
        <f>SUM($G$236:AH236)</f>
        <v>2814.0344899337711</v>
      </c>
      <c r="AI237" s="152">
        <f>SUM($G$236:AI236)</f>
        <v>2814.0344899337711</v>
      </c>
      <c r="AJ237" s="152">
        <f>SUM($G$236:AJ236)</f>
        <v>2814.0344899337711</v>
      </c>
      <c r="AK237" s="152">
        <f>SUM($G$236:AK236)</f>
        <v>2814.0344899337711</v>
      </c>
      <c r="AL237" s="152">
        <f>SUM($G$236:AL236)</f>
        <v>2814.0344899337711</v>
      </c>
      <c r="AM237" s="152">
        <f>SUM($G$236:AM236)</f>
        <v>2814.0344899337711</v>
      </c>
      <c r="AN237" s="152">
        <f>SUM($G$236:AN236)</f>
        <v>2814.0344899337711</v>
      </c>
      <c r="AO237" s="152">
        <f>SUM($G$236:AO236)</f>
        <v>2814.0344899337711</v>
      </c>
      <c r="AP237" s="152">
        <f>SUM($G$236:AP236)</f>
        <v>2814.0344899337711</v>
      </c>
      <c r="AQ237" s="152">
        <f>SUM($G$236:AQ236)</f>
        <v>2814.0344899337711</v>
      </c>
      <c r="AR237" s="152">
        <f>SUM($G$236:AR236)</f>
        <v>2814.0344899337711</v>
      </c>
      <c r="AS237" s="152">
        <f>SUM($G$236:AS236)</f>
        <v>2814.0344899337711</v>
      </c>
      <c r="AT237" s="152">
        <f>SUM($G$236:AT236)</f>
        <v>2814.0344899337711</v>
      </c>
      <c r="AU237" s="152">
        <f>SUM($G$236:AU236)</f>
        <v>2814.0344899337711</v>
      </c>
      <c r="AV237" s="152">
        <f>SUM($G$236:AV236)</f>
        <v>2814.0344899337711</v>
      </c>
      <c r="AW237" s="152">
        <f>SUM($G$236:AW236)</f>
        <v>2814.0344899337711</v>
      </c>
      <c r="AX237" s="152">
        <f>SUM($G$236:AX236)</f>
        <v>2814.0344899337711</v>
      </c>
      <c r="AY237" s="152">
        <f>SUM($G$236:AY236)</f>
        <v>2814.0344899337711</v>
      </c>
      <c r="AZ237" s="152">
        <f>SUM($G$236:AZ236)</f>
        <v>2814.0344899337711</v>
      </c>
      <c r="BA237" s="152">
        <f>SUM($G$236:BA236)</f>
        <v>2814.0344899337711</v>
      </c>
      <c r="BB237" s="152">
        <f>SUM($G$236:BB236)</f>
        <v>2814.0344899337711</v>
      </c>
      <c r="BC237" s="152">
        <f>SUM($G$236:BC236)</f>
        <v>2814.0344899337711</v>
      </c>
      <c r="BD237" s="152">
        <f>SUM($G$236:BD236)</f>
        <v>2814.0344899337711</v>
      </c>
    </row>
    <row r="238" spans="1:56" ht="15" customHeight="1">
      <c r="C238" s="151"/>
      <c r="E238" s="128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  <c r="AM238" s="152"/>
      <c r="AN238" s="152"/>
      <c r="AO238" s="152"/>
      <c r="AP238" s="152"/>
      <c r="AQ238" s="152"/>
      <c r="AR238" s="152"/>
      <c r="AS238" s="152"/>
      <c r="AT238" s="152"/>
      <c r="AU238" s="152"/>
      <c r="AV238" s="152"/>
      <c r="AW238" s="152"/>
      <c r="AX238" s="152"/>
      <c r="AY238" s="152"/>
      <c r="AZ238" s="152"/>
      <c r="BA238" s="152"/>
      <c r="BB238" s="152"/>
      <c r="BC238" s="152"/>
      <c r="BD238" s="152"/>
    </row>
    <row r="239" spans="1:56" ht="15" customHeight="1">
      <c r="C239" s="152">
        <f>SUM(G239:BD239)</f>
        <v>2814.0344899337711</v>
      </c>
      <c r="D239" s="55" t="s">
        <v>314</v>
      </c>
      <c r="E239" s="128" t="s">
        <v>195</v>
      </c>
      <c r="G239" s="152">
        <f t="shared" ref="G239:AL239" si="196">IF(G237&lt;0,0,MAX(0,MIN(G237,G236)))</f>
        <v>123.38999999999999</v>
      </c>
      <c r="H239" s="152">
        <f t="shared" si="196"/>
        <v>150.57304200000004</v>
      </c>
      <c r="I239" s="152">
        <f t="shared" si="196"/>
        <v>96.827344799999977</v>
      </c>
      <c r="J239" s="152">
        <f t="shared" si="196"/>
        <v>319.14833999999996</v>
      </c>
      <c r="K239" s="152">
        <f t="shared" si="196"/>
        <v>312.99545601599999</v>
      </c>
      <c r="L239" s="152">
        <f t="shared" si="196"/>
        <v>343.67591623152009</v>
      </c>
      <c r="M239" s="152">
        <f t="shared" si="196"/>
        <v>363.84408120035528</v>
      </c>
      <c r="N239" s="152">
        <f t="shared" si="196"/>
        <v>236.56361036072946</v>
      </c>
      <c r="O239" s="152">
        <f t="shared" si="196"/>
        <v>64.53403795255781</v>
      </c>
      <c r="P239" s="152">
        <f t="shared" si="196"/>
        <v>85.623361022208343</v>
      </c>
      <c r="Q239" s="152">
        <f t="shared" si="196"/>
        <v>84.977567947870909</v>
      </c>
      <c r="R239" s="152">
        <f t="shared" si="196"/>
        <v>98.801502266271115</v>
      </c>
      <c r="S239" s="152">
        <f t="shared" si="196"/>
        <v>111.32587965120422</v>
      </c>
      <c r="T239" s="152">
        <f t="shared" si="196"/>
        <v>102.89221773290924</v>
      </c>
      <c r="U239" s="152">
        <f t="shared" si="196"/>
        <v>156.42368862708767</v>
      </c>
      <c r="V239" s="152">
        <f t="shared" si="196"/>
        <v>118.17206948451573</v>
      </c>
      <c r="W239" s="152">
        <f t="shared" si="196"/>
        <v>44.266374640541642</v>
      </c>
      <c r="X239" s="152">
        <f t="shared" si="196"/>
        <v>0</v>
      </c>
      <c r="Y239" s="152">
        <f t="shared" si="196"/>
        <v>0</v>
      </c>
      <c r="Z239" s="152">
        <f t="shared" si="196"/>
        <v>0</v>
      </c>
      <c r="AA239" s="152">
        <f t="shared" si="196"/>
        <v>0</v>
      </c>
      <c r="AB239" s="152">
        <f t="shared" si="196"/>
        <v>0</v>
      </c>
      <c r="AC239" s="152">
        <f t="shared" si="196"/>
        <v>0</v>
      </c>
      <c r="AD239" s="152">
        <f t="shared" si="196"/>
        <v>0</v>
      </c>
      <c r="AE239" s="152">
        <f t="shared" si="196"/>
        <v>0</v>
      </c>
      <c r="AF239" s="152">
        <f t="shared" si="196"/>
        <v>0</v>
      </c>
      <c r="AG239" s="152">
        <f t="shared" si="196"/>
        <v>0</v>
      </c>
      <c r="AH239" s="152">
        <f t="shared" si="196"/>
        <v>0</v>
      </c>
      <c r="AI239" s="152">
        <f t="shared" si="196"/>
        <v>0</v>
      </c>
      <c r="AJ239" s="152">
        <f t="shared" si="196"/>
        <v>0</v>
      </c>
      <c r="AK239" s="152">
        <f t="shared" si="196"/>
        <v>0</v>
      </c>
      <c r="AL239" s="152">
        <f t="shared" si="196"/>
        <v>0</v>
      </c>
      <c r="AM239" s="152">
        <f t="shared" ref="AM239:BD239" si="197">IF(AM237&lt;0,0,MAX(0,MIN(AM237,AM236)))</f>
        <v>0</v>
      </c>
      <c r="AN239" s="152">
        <f t="shared" si="197"/>
        <v>0</v>
      </c>
      <c r="AO239" s="152">
        <f t="shared" si="197"/>
        <v>0</v>
      </c>
      <c r="AP239" s="152">
        <f t="shared" si="197"/>
        <v>0</v>
      </c>
      <c r="AQ239" s="152">
        <f t="shared" si="197"/>
        <v>0</v>
      </c>
      <c r="AR239" s="152">
        <f t="shared" si="197"/>
        <v>0</v>
      </c>
      <c r="AS239" s="152">
        <f t="shared" si="197"/>
        <v>0</v>
      </c>
      <c r="AT239" s="152">
        <f t="shared" si="197"/>
        <v>0</v>
      </c>
      <c r="AU239" s="152">
        <f t="shared" si="197"/>
        <v>0</v>
      </c>
      <c r="AV239" s="152">
        <f t="shared" si="197"/>
        <v>0</v>
      </c>
      <c r="AW239" s="152">
        <f t="shared" si="197"/>
        <v>0</v>
      </c>
      <c r="AX239" s="152">
        <f t="shared" si="197"/>
        <v>0</v>
      </c>
      <c r="AY239" s="152">
        <f t="shared" si="197"/>
        <v>0</v>
      </c>
      <c r="AZ239" s="152">
        <f t="shared" si="197"/>
        <v>0</v>
      </c>
      <c r="BA239" s="152">
        <f t="shared" si="197"/>
        <v>0</v>
      </c>
      <c r="BB239" s="152">
        <f t="shared" si="197"/>
        <v>0</v>
      </c>
      <c r="BC239" s="152">
        <f t="shared" si="197"/>
        <v>0</v>
      </c>
      <c r="BD239" s="152">
        <f t="shared" si="197"/>
        <v>0</v>
      </c>
    </row>
    <row r="240" spans="1:56" ht="15" customHeight="1">
      <c r="B240" s="188"/>
      <c r="C240" s="152">
        <f>SUM(G240:BD240)</f>
        <v>281.4034489933772</v>
      </c>
      <c r="D240" s="106" t="s">
        <v>315</v>
      </c>
      <c r="E240" s="128" t="s">
        <v>195</v>
      </c>
      <c r="G240" s="152">
        <f>G$239*Paramètres!$F$36*(G239&gt;0)</f>
        <v>12.338999999999999</v>
      </c>
      <c r="H240" s="152">
        <f>H$239*Paramètres!$F$36*(H239&gt;0)</f>
        <v>15.057304200000004</v>
      </c>
      <c r="I240" s="152">
        <f>I$239*Paramètres!$F$36*(I239&gt;0)</f>
        <v>9.6827344799999988</v>
      </c>
      <c r="J240" s="152">
        <f>J$239*Paramètres!$F$36*(J239&gt;0)</f>
        <v>31.914833999999999</v>
      </c>
      <c r="K240" s="152">
        <f>K$239*Paramètres!$F$36*(K239&gt;0)</f>
        <v>31.299545601600002</v>
      </c>
      <c r="L240" s="152">
        <f>L$239*Paramètres!$F$36*(L239&gt;0)</f>
        <v>34.367591623152009</v>
      </c>
      <c r="M240" s="152">
        <f>M$239*Paramètres!$F$36*(M239&gt;0)</f>
        <v>36.38440812003553</v>
      </c>
      <c r="N240" s="152">
        <f>N$239*Paramètres!$F$36*(N239&gt;0)</f>
        <v>23.656361036072948</v>
      </c>
      <c r="O240" s="152">
        <f>O$239*Paramètres!$F$36*(O239&gt;0)</f>
        <v>6.453403795255781</v>
      </c>
      <c r="P240" s="152">
        <f>P$239*Paramètres!$F$36*(P239&gt;0)</f>
        <v>8.5623361022208346</v>
      </c>
      <c r="Q240" s="152">
        <f>Q$239*Paramètres!$F$36*(Q239&gt;0)</f>
        <v>8.497756794787092</v>
      </c>
      <c r="R240" s="152">
        <f>R$239*Paramètres!$F$36*(R239&gt;0)</f>
        <v>9.8801502266271122</v>
      </c>
      <c r="S240" s="152">
        <f>S$239*Paramètres!$F$36*(S239&gt;0)</f>
        <v>11.132587965120422</v>
      </c>
      <c r="T240" s="152">
        <f>T$239*Paramètres!$F$36*(T239&gt;0)</f>
        <v>10.289221773290926</v>
      </c>
      <c r="U240" s="152">
        <f>U$239*Paramètres!$F$36*(U239&gt;0)</f>
        <v>15.642368862708768</v>
      </c>
      <c r="V240" s="152">
        <f>V$239*Paramètres!$F$36*(V239&gt;0)</f>
        <v>11.817206948451574</v>
      </c>
      <c r="W240" s="152">
        <f>W$239*Paramètres!$F$36*(W239&gt;0)</f>
        <v>4.4266374640541644</v>
      </c>
      <c r="X240" s="152">
        <f>X$239*Paramètres!$F$36*(X239&gt;0)</f>
        <v>0</v>
      </c>
      <c r="Y240" s="152">
        <f>Y$239*Paramètres!$F$36*(Y239&gt;0)</f>
        <v>0</v>
      </c>
      <c r="Z240" s="152">
        <f>Z$239*Paramètres!$F$36*(Z239&gt;0)</f>
        <v>0</v>
      </c>
      <c r="AA240" s="152">
        <f>AA$239*Paramètres!$F$36*(AA239&gt;0)</f>
        <v>0</v>
      </c>
      <c r="AB240" s="152">
        <f>AB$239*Paramètres!$F$36*(AB239&gt;0)</f>
        <v>0</v>
      </c>
      <c r="AC240" s="152">
        <f>AC$239*Paramètres!$F$36*(AC239&gt;0)</f>
        <v>0</v>
      </c>
      <c r="AD240" s="152">
        <f>AD$239*Paramètres!$F$36*(AD239&gt;0)</f>
        <v>0</v>
      </c>
      <c r="AE240" s="152">
        <f>AE$239*Paramètres!$F$36*(AE239&gt;0)</f>
        <v>0</v>
      </c>
      <c r="AF240" s="152">
        <f>AF$239*Paramètres!$F$36*(AF239&gt;0)</f>
        <v>0</v>
      </c>
      <c r="AG240" s="152">
        <f>AG$239*Paramètres!$F$36*(AG239&gt;0)</f>
        <v>0</v>
      </c>
      <c r="AH240" s="152">
        <f>AH$239*Paramètres!$F$36*(AH239&gt;0)</f>
        <v>0</v>
      </c>
      <c r="AI240" s="152">
        <f>AI$239*Paramètres!$F$36*(AI239&gt;0)</f>
        <v>0</v>
      </c>
      <c r="AJ240" s="152">
        <f>AJ$239*Paramètres!$F$36*(AJ239&gt;0)</f>
        <v>0</v>
      </c>
      <c r="AK240" s="152">
        <f>AK$239*Paramètres!$F$36*(AK239&gt;0)</f>
        <v>0</v>
      </c>
      <c r="AL240" s="152">
        <f>AL$239*Paramètres!$F$36*(AL239&gt;0)</f>
        <v>0</v>
      </c>
      <c r="AM240" s="152">
        <f>AM$239*Paramètres!$F$36*(AM239&gt;0)</f>
        <v>0</v>
      </c>
      <c r="AN240" s="152">
        <f>AN$239*Paramètres!$F$36*(AN239&gt;0)</f>
        <v>0</v>
      </c>
      <c r="AO240" s="152">
        <f>AO$239*Paramètres!$F$36*(AO239&gt;0)</f>
        <v>0</v>
      </c>
      <c r="AP240" s="152">
        <f>AP$239*Paramètres!$F$36*(AP239&gt;0)</f>
        <v>0</v>
      </c>
      <c r="AQ240" s="152">
        <f>AQ$239*Paramètres!$F$36*(AQ239&gt;0)</f>
        <v>0</v>
      </c>
      <c r="AR240" s="152">
        <f>AR$239*Paramètres!$F$36*(AR239&gt;0)</f>
        <v>0</v>
      </c>
      <c r="AS240" s="152">
        <f>AS$239*Paramètres!$F$36*(AS239&gt;0)</f>
        <v>0</v>
      </c>
      <c r="AT240" s="152">
        <f>AT$239*Paramètres!$F$36*(AT239&gt;0)</f>
        <v>0</v>
      </c>
      <c r="AU240" s="152">
        <f>AU$239*Paramètres!$F$36*(AU239&gt;0)</f>
        <v>0</v>
      </c>
      <c r="AV240" s="152">
        <f>AV$239*Paramètres!$F$36*(AV239&gt;0)</f>
        <v>0</v>
      </c>
      <c r="AW240" s="152">
        <f>AW$239*Paramètres!$F$36*(AW239&gt;0)</f>
        <v>0</v>
      </c>
      <c r="AX240" s="152">
        <f>AX$239*Paramètres!$F$36*(AX239&gt;0)</f>
        <v>0</v>
      </c>
      <c r="AY240" s="152">
        <f>AY$239*Paramètres!$F$36*(AY239&gt;0)</f>
        <v>0</v>
      </c>
      <c r="AZ240" s="152">
        <f>AZ$239*Paramètres!$F$36*(AZ239&gt;0)</f>
        <v>0</v>
      </c>
      <c r="BA240" s="152">
        <f>BA$239*Paramètres!$F$36*(BA239&gt;0)</f>
        <v>0</v>
      </c>
      <c r="BB240" s="152">
        <f>BB$239*Paramètres!$F$36*(BB239&gt;0)</f>
        <v>0</v>
      </c>
      <c r="BC240" s="152">
        <f>BC$239*Paramètres!$F$36*(BC239&gt;0)</f>
        <v>0</v>
      </c>
      <c r="BD240" s="152">
        <f>BD$239*Paramètres!$F$36*(BD239&gt;0)</f>
        <v>0</v>
      </c>
    </row>
    <row r="241" spans="2:56" ht="15" customHeight="1">
      <c r="C241" s="152">
        <f>SUM(G241:BD241)</f>
        <v>2532.6310409403945</v>
      </c>
      <c r="D241" s="106" t="s">
        <v>316</v>
      </c>
      <c r="E241" s="128" t="s">
        <v>195</v>
      </c>
      <c r="G241" s="152">
        <f t="shared" ref="G241:AL241" si="198">G239-G240</f>
        <v>111.05099999999999</v>
      </c>
      <c r="H241" s="152">
        <f t="shared" si="198"/>
        <v>135.51573780000004</v>
      </c>
      <c r="I241" s="152">
        <f t="shared" si="198"/>
        <v>87.144610319999984</v>
      </c>
      <c r="J241" s="152">
        <f t="shared" si="198"/>
        <v>287.23350599999998</v>
      </c>
      <c r="K241" s="152">
        <f t="shared" si="198"/>
        <v>281.69591041439998</v>
      </c>
      <c r="L241" s="152">
        <f t="shared" si="198"/>
        <v>309.30832460836808</v>
      </c>
      <c r="M241" s="152">
        <f t="shared" si="198"/>
        <v>327.45967308031976</v>
      </c>
      <c r="N241" s="152">
        <f t="shared" si="198"/>
        <v>212.9072493246565</v>
      </c>
      <c r="O241" s="152">
        <f t="shared" si="198"/>
        <v>58.080634157302029</v>
      </c>
      <c r="P241" s="152">
        <f t="shared" si="198"/>
        <v>77.061024919987503</v>
      </c>
      <c r="Q241" s="152">
        <f t="shared" si="198"/>
        <v>76.479811153083816</v>
      </c>
      <c r="R241" s="152">
        <f t="shared" si="198"/>
        <v>88.921352039644006</v>
      </c>
      <c r="S241" s="152">
        <f t="shared" si="198"/>
        <v>100.1932916860838</v>
      </c>
      <c r="T241" s="152">
        <f t="shared" si="198"/>
        <v>92.602995959618312</v>
      </c>
      <c r="U241" s="152">
        <f t="shared" si="198"/>
        <v>140.78131976437891</v>
      </c>
      <c r="V241" s="152">
        <f t="shared" si="198"/>
        <v>106.35486253606416</v>
      </c>
      <c r="W241" s="152">
        <f t="shared" si="198"/>
        <v>39.839737176487475</v>
      </c>
      <c r="X241" s="152">
        <f t="shared" si="198"/>
        <v>0</v>
      </c>
      <c r="Y241" s="152">
        <f t="shared" si="198"/>
        <v>0</v>
      </c>
      <c r="Z241" s="152">
        <f t="shared" si="198"/>
        <v>0</v>
      </c>
      <c r="AA241" s="152">
        <f t="shared" si="198"/>
        <v>0</v>
      </c>
      <c r="AB241" s="152">
        <f t="shared" si="198"/>
        <v>0</v>
      </c>
      <c r="AC241" s="152">
        <f t="shared" si="198"/>
        <v>0</v>
      </c>
      <c r="AD241" s="152">
        <f t="shared" si="198"/>
        <v>0</v>
      </c>
      <c r="AE241" s="152">
        <f t="shared" si="198"/>
        <v>0</v>
      </c>
      <c r="AF241" s="152">
        <f t="shared" si="198"/>
        <v>0</v>
      </c>
      <c r="AG241" s="152">
        <f t="shared" si="198"/>
        <v>0</v>
      </c>
      <c r="AH241" s="152">
        <f t="shared" si="198"/>
        <v>0</v>
      </c>
      <c r="AI241" s="152">
        <f t="shared" si="198"/>
        <v>0</v>
      </c>
      <c r="AJ241" s="152">
        <f t="shared" si="198"/>
        <v>0</v>
      </c>
      <c r="AK241" s="152">
        <f t="shared" si="198"/>
        <v>0</v>
      </c>
      <c r="AL241" s="152">
        <f t="shared" si="198"/>
        <v>0</v>
      </c>
      <c r="AM241" s="152">
        <f t="shared" ref="AM241:BR241" si="199">AM239-AM240</f>
        <v>0</v>
      </c>
      <c r="AN241" s="152">
        <f t="shared" si="199"/>
        <v>0</v>
      </c>
      <c r="AO241" s="152">
        <f t="shared" si="199"/>
        <v>0</v>
      </c>
      <c r="AP241" s="152">
        <f t="shared" si="199"/>
        <v>0</v>
      </c>
      <c r="AQ241" s="152">
        <f t="shared" si="199"/>
        <v>0</v>
      </c>
      <c r="AR241" s="152">
        <f t="shared" si="199"/>
        <v>0</v>
      </c>
      <c r="AS241" s="152">
        <f t="shared" si="199"/>
        <v>0</v>
      </c>
      <c r="AT241" s="152">
        <f t="shared" si="199"/>
        <v>0</v>
      </c>
      <c r="AU241" s="152">
        <f t="shared" si="199"/>
        <v>0</v>
      </c>
      <c r="AV241" s="152">
        <f t="shared" si="199"/>
        <v>0</v>
      </c>
      <c r="AW241" s="152">
        <f t="shared" si="199"/>
        <v>0</v>
      </c>
      <c r="AX241" s="152">
        <f t="shared" si="199"/>
        <v>0</v>
      </c>
      <c r="AY241" s="152">
        <f t="shared" si="199"/>
        <v>0</v>
      </c>
      <c r="AZ241" s="152">
        <f t="shared" si="199"/>
        <v>0</v>
      </c>
      <c r="BA241" s="152">
        <f t="shared" si="199"/>
        <v>0</v>
      </c>
      <c r="BB241" s="152">
        <f t="shared" si="199"/>
        <v>0</v>
      </c>
      <c r="BC241" s="152">
        <f t="shared" si="199"/>
        <v>0</v>
      </c>
      <c r="BD241" s="152">
        <f t="shared" si="199"/>
        <v>0</v>
      </c>
    </row>
    <row r="242" spans="2:56" ht="15" customHeight="1">
      <c r="B242" s="188"/>
      <c r="C242" s="152">
        <f>SUM(G242:BD242)</f>
        <v>253.26310409403951</v>
      </c>
      <c r="D242" s="55" t="s">
        <v>317</v>
      </c>
      <c r="E242" s="128" t="s">
        <v>195</v>
      </c>
      <c r="G242" s="152">
        <f>G241*Paramètres!$F$35</f>
        <v>11.1051</v>
      </c>
      <c r="H242" s="152">
        <f>H241*Paramètres!$F$35</f>
        <v>13.551573780000005</v>
      </c>
      <c r="I242" s="152">
        <f>I241*Paramètres!$F$35</f>
        <v>8.7144610319999991</v>
      </c>
      <c r="J242" s="152">
        <f>J241*Paramètres!$F$35</f>
        <v>28.7233506</v>
      </c>
      <c r="K242" s="152">
        <f>K241*Paramètres!$F$35</f>
        <v>28.16959104144</v>
      </c>
      <c r="L242" s="152">
        <f>L241*Paramètres!$F$35</f>
        <v>30.930832460836811</v>
      </c>
      <c r="M242" s="152">
        <f>M241*Paramètres!$F$35</f>
        <v>32.745967308031979</v>
      </c>
      <c r="N242" s="152">
        <f>N241*Paramètres!$F$35</f>
        <v>21.29072493246565</v>
      </c>
      <c r="O242" s="152">
        <f>O241*Paramètres!$F$35</f>
        <v>5.8080634157302029</v>
      </c>
      <c r="P242" s="152">
        <f>P241*Paramètres!$F$35</f>
        <v>7.7061024919987506</v>
      </c>
      <c r="Q242" s="152">
        <f>Q241*Paramètres!$F$35</f>
        <v>7.6479811153083821</v>
      </c>
      <c r="R242" s="152">
        <f>R241*Paramètres!$F$35</f>
        <v>8.8921352039644006</v>
      </c>
      <c r="S242" s="152">
        <f>S241*Paramètres!$F$35</f>
        <v>10.01932916860838</v>
      </c>
      <c r="T242" s="152">
        <f>T241*Paramètres!$F$35</f>
        <v>9.2602995959618308</v>
      </c>
      <c r="U242" s="152">
        <f>U241*Paramètres!$F$35</f>
        <v>14.078131976437891</v>
      </c>
      <c r="V242" s="152">
        <f>V241*Paramètres!$F$35</f>
        <v>10.635486253606416</v>
      </c>
      <c r="W242" s="152">
        <f>W241*Paramètres!$F$35</f>
        <v>3.9839737176487477</v>
      </c>
      <c r="X242" s="152">
        <f>X241*Paramètres!$F$35</f>
        <v>0</v>
      </c>
      <c r="Y242" s="152">
        <f>Y241*Paramètres!$F$35</f>
        <v>0</v>
      </c>
      <c r="Z242" s="152">
        <f>Z241*Paramètres!$F$35</f>
        <v>0</v>
      </c>
      <c r="AA242" s="152">
        <f>AA241*Paramètres!$F$35</f>
        <v>0</v>
      </c>
      <c r="AB242" s="152">
        <f>AB241*Paramètres!$F$35</f>
        <v>0</v>
      </c>
      <c r="AC242" s="152">
        <f>AC241*Paramètres!$F$35</f>
        <v>0</v>
      </c>
      <c r="AD242" s="152">
        <f>AD241*Paramètres!$F$35</f>
        <v>0</v>
      </c>
      <c r="AE242" s="152">
        <f>AE241*Paramètres!$F$35</f>
        <v>0</v>
      </c>
      <c r="AF242" s="152">
        <f>AF241*Paramètres!$F$35</f>
        <v>0</v>
      </c>
      <c r="AG242" s="152">
        <f>AG241*Paramètres!$F$35</f>
        <v>0</v>
      </c>
      <c r="AH242" s="152">
        <f>AH241*Paramètres!$F$35</f>
        <v>0</v>
      </c>
      <c r="AI242" s="152">
        <f>AI241*Paramètres!$F$35</f>
        <v>0</v>
      </c>
      <c r="AJ242" s="152">
        <f>AJ241*Paramètres!$F$35</f>
        <v>0</v>
      </c>
      <c r="AK242" s="152">
        <f>AK241*Paramètres!$F$35</f>
        <v>0</v>
      </c>
      <c r="AL242" s="152">
        <f>AL241*Paramètres!$F$35</f>
        <v>0</v>
      </c>
      <c r="AM242" s="152">
        <f>AM241*Paramètres!$F$35</f>
        <v>0</v>
      </c>
      <c r="AN242" s="152">
        <f>AN241*Paramètres!$F$35</f>
        <v>0</v>
      </c>
      <c r="AO242" s="152">
        <f>AO241*Paramètres!$F$35</f>
        <v>0</v>
      </c>
      <c r="AP242" s="152">
        <f>AP241*Paramètres!$F$35</f>
        <v>0</v>
      </c>
      <c r="AQ242" s="152">
        <f>AQ241*Paramètres!$F$35</f>
        <v>0</v>
      </c>
      <c r="AR242" s="152">
        <f>AR241*Paramètres!$F$35</f>
        <v>0</v>
      </c>
      <c r="AS242" s="152">
        <f>AS241*Paramètres!$F$35</f>
        <v>0</v>
      </c>
      <c r="AT242" s="152">
        <f>AT241*Paramètres!$F$35</f>
        <v>0</v>
      </c>
      <c r="AU242" s="152">
        <f>AU241*Paramètres!$F$35</f>
        <v>0</v>
      </c>
      <c r="AV242" s="152">
        <f>AV241*Paramètres!$F$35</f>
        <v>0</v>
      </c>
      <c r="AW242" s="152">
        <f>AW241*Paramètres!$F$35</f>
        <v>0</v>
      </c>
      <c r="AX242" s="152">
        <f>AX241*Paramètres!$F$35</f>
        <v>0</v>
      </c>
      <c r="AY242" s="152">
        <f>AY241*Paramètres!$F$35</f>
        <v>0</v>
      </c>
      <c r="AZ242" s="152">
        <f>AZ241*Paramètres!$F$35</f>
        <v>0</v>
      </c>
      <c r="BA242" s="152">
        <f>BA241*Paramètres!$F$35</f>
        <v>0</v>
      </c>
      <c r="BB242" s="152">
        <f>BB241*Paramètres!$F$35</f>
        <v>0</v>
      </c>
      <c r="BC242" s="152">
        <f>BC241*Paramètres!$F$35</f>
        <v>0</v>
      </c>
      <c r="BD242" s="152">
        <f>BD241*Paramètres!$F$35</f>
        <v>0</v>
      </c>
    </row>
    <row r="243" spans="2:56" ht="15" customHeight="1"/>
    <row r="244" spans="2:56" ht="15" customHeight="1">
      <c r="C244" s="152">
        <f>SUM(G244:BD244)</f>
        <v>2279.367936846355</v>
      </c>
      <c r="D244" s="55" t="s">
        <v>318</v>
      </c>
      <c r="E244" s="128" t="s">
        <v>195</v>
      </c>
      <c r="G244" s="152">
        <f t="shared" ref="G244:AL244" si="200">G236-G242-G240</f>
        <v>99.945899999999995</v>
      </c>
      <c r="H244" s="152">
        <f t="shared" si="200"/>
        <v>121.96416402000003</v>
      </c>
      <c r="I244" s="152">
        <f t="shared" si="200"/>
        <v>78.430149287999981</v>
      </c>
      <c r="J244" s="152">
        <f t="shared" si="200"/>
        <v>258.51015539999997</v>
      </c>
      <c r="K244" s="152">
        <f t="shared" si="200"/>
        <v>253.52631937295996</v>
      </c>
      <c r="L244" s="152">
        <f t="shared" si="200"/>
        <v>278.37749214753126</v>
      </c>
      <c r="M244" s="152">
        <f t="shared" si="200"/>
        <v>294.71370577228777</v>
      </c>
      <c r="N244" s="152">
        <f t="shared" si="200"/>
        <v>191.61652439219085</v>
      </c>
      <c r="O244" s="152">
        <f t="shared" si="200"/>
        <v>52.272570741571826</v>
      </c>
      <c r="P244" s="152">
        <f t="shared" si="200"/>
        <v>69.354922427988754</v>
      </c>
      <c r="Q244" s="152">
        <f t="shared" si="200"/>
        <v>68.831830037775433</v>
      </c>
      <c r="R244" s="152">
        <f t="shared" si="200"/>
        <v>80.029216835679605</v>
      </c>
      <c r="S244" s="152">
        <f t="shared" si="200"/>
        <v>90.173962517475417</v>
      </c>
      <c r="T244" s="152">
        <f t="shared" si="200"/>
        <v>83.342696363656501</v>
      </c>
      <c r="U244" s="152">
        <f t="shared" si="200"/>
        <v>126.703187787941</v>
      </c>
      <c r="V244" s="152">
        <f t="shared" si="200"/>
        <v>95.719376282457745</v>
      </c>
      <c r="W244" s="152">
        <f t="shared" si="200"/>
        <v>35.85576345883873</v>
      </c>
      <c r="X244" s="152">
        <f t="shared" si="200"/>
        <v>0</v>
      </c>
      <c r="Y244" s="152">
        <f t="shared" si="200"/>
        <v>0</v>
      </c>
      <c r="Z244" s="152">
        <f t="shared" si="200"/>
        <v>0</v>
      </c>
      <c r="AA244" s="152">
        <f t="shared" si="200"/>
        <v>0</v>
      </c>
      <c r="AB244" s="152">
        <f t="shared" si="200"/>
        <v>0</v>
      </c>
      <c r="AC244" s="152">
        <f t="shared" si="200"/>
        <v>0</v>
      </c>
      <c r="AD244" s="152">
        <f t="shared" si="200"/>
        <v>0</v>
      </c>
      <c r="AE244" s="152">
        <f t="shared" si="200"/>
        <v>0</v>
      </c>
      <c r="AF244" s="152">
        <f t="shared" si="200"/>
        <v>0</v>
      </c>
      <c r="AG244" s="152">
        <f t="shared" si="200"/>
        <v>0</v>
      </c>
      <c r="AH244" s="152">
        <f t="shared" si="200"/>
        <v>0</v>
      </c>
      <c r="AI244" s="152">
        <f t="shared" si="200"/>
        <v>0</v>
      </c>
      <c r="AJ244" s="152">
        <f t="shared" si="200"/>
        <v>0</v>
      </c>
      <c r="AK244" s="152">
        <f t="shared" si="200"/>
        <v>0</v>
      </c>
      <c r="AL244" s="152">
        <f t="shared" si="200"/>
        <v>0</v>
      </c>
      <c r="AM244" s="152">
        <f t="shared" ref="AM244:BD244" si="201">AM236-AM242-AM240</f>
        <v>0</v>
      </c>
      <c r="AN244" s="152">
        <f t="shared" si="201"/>
        <v>0</v>
      </c>
      <c r="AO244" s="152">
        <f t="shared" si="201"/>
        <v>0</v>
      </c>
      <c r="AP244" s="152">
        <f t="shared" si="201"/>
        <v>0</v>
      </c>
      <c r="AQ244" s="152">
        <f t="shared" si="201"/>
        <v>0</v>
      </c>
      <c r="AR244" s="152">
        <f t="shared" si="201"/>
        <v>0</v>
      </c>
      <c r="AS244" s="152">
        <f t="shared" si="201"/>
        <v>0</v>
      </c>
      <c r="AT244" s="152">
        <f t="shared" si="201"/>
        <v>0</v>
      </c>
      <c r="AU244" s="152">
        <f t="shared" si="201"/>
        <v>0</v>
      </c>
      <c r="AV244" s="152">
        <f t="shared" si="201"/>
        <v>0</v>
      </c>
      <c r="AW244" s="152">
        <f t="shared" si="201"/>
        <v>0</v>
      </c>
      <c r="AX244" s="152">
        <f t="shared" si="201"/>
        <v>0</v>
      </c>
      <c r="AY244" s="152">
        <f t="shared" si="201"/>
        <v>0</v>
      </c>
      <c r="AZ244" s="152">
        <f t="shared" si="201"/>
        <v>0</v>
      </c>
      <c r="BA244" s="152">
        <f t="shared" si="201"/>
        <v>0</v>
      </c>
      <c r="BB244" s="152">
        <f t="shared" si="201"/>
        <v>0</v>
      </c>
      <c r="BC244" s="152">
        <f t="shared" si="201"/>
        <v>0</v>
      </c>
      <c r="BD244" s="152">
        <f t="shared" si="201"/>
        <v>0</v>
      </c>
    </row>
    <row r="245" spans="2:56" ht="15" customHeight="1">
      <c r="C245" s="152"/>
      <c r="E245" s="128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  <c r="AM245" s="152"/>
      <c r="AN245" s="152"/>
      <c r="AO245" s="152"/>
      <c r="AP245" s="152"/>
      <c r="AQ245" s="152"/>
      <c r="AR245" s="152"/>
      <c r="AS245" s="152"/>
      <c r="AT245" s="152"/>
      <c r="AU245" s="152"/>
      <c r="AV245" s="152"/>
      <c r="AW245" s="152"/>
      <c r="AX245" s="152"/>
      <c r="AY245" s="152"/>
      <c r="AZ245" s="152"/>
      <c r="BA245" s="152"/>
      <c r="BB245" s="152"/>
      <c r="BC245" s="152"/>
      <c r="BD245" s="152"/>
    </row>
    <row r="246" spans="2:56" ht="15" customHeight="1">
      <c r="C246" s="151"/>
      <c r="D246" s="41"/>
      <c r="E246" s="41"/>
      <c r="F246" s="203"/>
      <c r="G246" s="126">
        <f t="shared" ref="G246:AL246" si="202">G$2</f>
        <v>1</v>
      </c>
      <c r="H246" s="126">
        <f t="shared" si="202"/>
        <v>2</v>
      </c>
      <c r="I246" s="126">
        <f t="shared" si="202"/>
        <v>3</v>
      </c>
      <c r="J246" s="126">
        <f t="shared" si="202"/>
        <v>4</v>
      </c>
      <c r="K246" s="126">
        <f t="shared" si="202"/>
        <v>5</v>
      </c>
      <c r="L246" s="126">
        <f t="shared" si="202"/>
        <v>6</v>
      </c>
      <c r="M246" s="126">
        <f t="shared" si="202"/>
        <v>7</v>
      </c>
      <c r="N246" s="126">
        <f t="shared" si="202"/>
        <v>8</v>
      </c>
      <c r="O246" s="126">
        <f t="shared" si="202"/>
        <v>9</v>
      </c>
      <c r="P246" s="126">
        <f t="shared" si="202"/>
        <v>10</v>
      </c>
      <c r="Q246" s="126">
        <f t="shared" si="202"/>
        <v>11</v>
      </c>
      <c r="R246" s="126">
        <f t="shared" si="202"/>
        <v>12</v>
      </c>
      <c r="S246" s="126">
        <f t="shared" si="202"/>
        <v>13</v>
      </c>
      <c r="T246" s="126">
        <f t="shared" si="202"/>
        <v>14</v>
      </c>
      <c r="U246" s="126">
        <f t="shared" si="202"/>
        <v>15</v>
      </c>
      <c r="V246" s="126">
        <f t="shared" si="202"/>
        <v>16</v>
      </c>
      <c r="W246" s="126">
        <f t="shared" si="202"/>
        <v>17</v>
      </c>
      <c r="X246" s="126">
        <f t="shared" si="202"/>
        <v>18</v>
      </c>
      <c r="Y246" s="126">
        <f t="shared" si="202"/>
        <v>19</v>
      </c>
      <c r="Z246" s="126">
        <f t="shared" si="202"/>
        <v>20</v>
      </c>
      <c r="AA246" s="126">
        <f t="shared" si="202"/>
        <v>21</v>
      </c>
      <c r="AB246" s="126">
        <f t="shared" si="202"/>
        <v>22</v>
      </c>
      <c r="AC246" s="126">
        <f t="shared" si="202"/>
        <v>23</v>
      </c>
      <c r="AD246" s="126">
        <f t="shared" si="202"/>
        <v>24</v>
      </c>
      <c r="AE246" s="126">
        <f t="shared" si="202"/>
        <v>25</v>
      </c>
      <c r="AF246" s="126">
        <f t="shared" si="202"/>
        <v>26</v>
      </c>
      <c r="AG246" s="126">
        <f t="shared" si="202"/>
        <v>27</v>
      </c>
      <c r="AH246" s="126">
        <f t="shared" si="202"/>
        <v>28</v>
      </c>
      <c r="AI246" s="126">
        <f t="shared" si="202"/>
        <v>29</v>
      </c>
      <c r="AJ246" s="126">
        <f t="shared" si="202"/>
        <v>30</v>
      </c>
      <c r="AK246" s="126">
        <f t="shared" si="202"/>
        <v>31</v>
      </c>
      <c r="AL246" s="126">
        <f t="shared" si="202"/>
        <v>32</v>
      </c>
      <c r="AM246" s="126">
        <f t="shared" ref="AM246:BD246" si="203">AM$2</f>
        <v>33</v>
      </c>
      <c r="AN246" s="126">
        <f t="shared" si="203"/>
        <v>34</v>
      </c>
      <c r="AO246" s="126">
        <f t="shared" si="203"/>
        <v>35</v>
      </c>
      <c r="AP246" s="126">
        <f t="shared" si="203"/>
        <v>36</v>
      </c>
      <c r="AQ246" s="126">
        <f t="shared" si="203"/>
        <v>37</v>
      </c>
      <c r="AR246" s="126">
        <f t="shared" si="203"/>
        <v>38</v>
      </c>
      <c r="AS246" s="126">
        <f t="shared" si="203"/>
        <v>39</v>
      </c>
      <c r="AT246" s="126">
        <f t="shared" si="203"/>
        <v>40</v>
      </c>
      <c r="AU246" s="126">
        <f t="shared" si="203"/>
        <v>41</v>
      </c>
      <c r="AV246" s="126">
        <f t="shared" si="203"/>
        <v>42</v>
      </c>
      <c r="AW246" s="126">
        <f t="shared" si="203"/>
        <v>43</v>
      </c>
      <c r="AX246" s="126">
        <f t="shared" si="203"/>
        <v>44</v>
      </c>
      <c r="AY246" s="126">
        <f t="shared" si="203"/>
        <v>45</v>
      </c>
      <c r="AZ246" s="126">
        <f t="shared" si="203"/>
        <v>46</v>
      </c>
      <c r="BA246" s="126">
        <f t="shared" si="203"/>
        <v>47</v>
      </c>
      <c r="BB246" s="126">
        <f t="shared" si="203"/>
        <v>48</v>
      </c>
      <c r="BC246" s="126">
        <f t="shared" si="203"/>
        <v>49</v>
      </c>
      <c r="BD246" s="126">
        <f t="shared" si="203"/>
        <v>50</v>
      </c>
    </row>
    <row r="247" spans="2:56" ht="15" customHeight="1">
      <c r="C247" s="151"/>
      <c r="D247" s="151"/>
      <c r="E247" s="151"/>
      <c r="F247" s="15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  <c r="AB247" s="151"/>
      <c r="AC247" s="151"/>
      <c r="AD247" s="151"/>
      <c r="AE247" s="151"/>
      <c r="AF247" s="151"/>
      <c r="AG247" s="151"/>
      <c r="AH247" s="151"/>
      <c r="AI247" s="151"/>
      <c r="AJ247" s="151"/>
      <c r="AK247" s="151"/>
      <c r="AL247" s="151"/>
      <c r="AM247" s="151"/>
      <c r="AN247" s="151"/>
      <c r="AO247" s="151"/>
      <c r="AP247" s="151"/>
      <c r="AQ247" s="151"/>
      <c r="AR247" s="151"/>
      <c r="AS247" s="151"/>
      <c r="AT247" s="151"/>
      <c r="AU247" s="151"/>
      <c r="AV247" s="151"/>
      <c r="AW247" s="151"/>
      <c r="AX247" s="151"/>
      <c r="AY247" s="151"/>
      <c r="AZ247" s="151"/>
      <c r="BA247" s="151"/>
      <c r="BB247" s="151"/>
      <c r="BC247" s="151"/>
      <c r="BD247" s="151"/>
    </row>
    <row r="248" spans="2:56" ht="15" customHeight="1">
      <c r="C248" s="151"/>
      <c r="D248" s="33" t="s">
        <v>319</v>
      </c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1"/>
      <c r="AF248" s="151"/>
      <c r="AG248" s="151"/>
      <c r="AH248" s="151"/>
      <c r="AI248" s="151"/>
      <c r="AJ248" s="151"/>
      <c r="AK248" s="151"/>
      <c r="AL248" s="151"/>
      <c r="AM248" s="151"/>
      <c r="AN248" s="151"/>
      <c r="AO248" s="151"/>
      <c r="AP248" s="151"/>
      <c r="AQ248" s="151"/>
      <c r="AR248" s="151"/>
      <c r="AS248" s="151"/>
      <c r="AT248" s="151"/>
      <c r="AU248" s="151"/>
      <c r="AV248" s="151"/>
      <c r="AW248" s="151"/>
      <c r="AX248" s="151"/>
      <c r="AY248" s="151"/>
      <c r="AZ248" s="151"/>
      <c r="BA248" s="151"/>
      <c r="BB248" s="151"/>
      <c r="BC248" s="151"/>
      <c r="BD248" s="151"/>
    </row>
    <row r="249" spans="2:56" ht="15" customHeight="1">
      <c r="C249" s="152">
        <f>SUM(G249:BD249)</f>
        <v>3696.7338076497381</v>
      </c>
      <c r="D249" s="153" t="s">
        <v>234</v>
      </c>
      <c r="E249" s="128" t="s">
        <v>195</v>
      </c>
      <c r="F249" s="151"/>
      <c r="G249" s="152">
        <f t="shared" ref="G249:AL249" si="204">G114</f>
        <v>123.39000000000001</v>
      </c>
      <c r="H249" s="152">
        <f t="shared" si="204"/>
        <v>235.27605600000004</v>
      </c>
      <c r="I249" s="152">
        <f t="shared" si="204"/>
        <v>170.85032639999997</v>
      </c>
      <c r="J249" s="152">
        <f t="shared" si="204"/>
        <v>403.25903999999991</v>
      </c>
      <c r="K249" s="152">
        <f t="shared" si="204"/>
        <v>394.00530623999998</v>
      </c>
      <c r="L249" s="152">
        <f t="shared" si="204"/>
        <v>433.90375565760002</v>
      </c>
      <c r="M249" s="152">
        <f t="shared" si="204"/>
        <v>469.60972883308801</v>
      </c>
      <c r="N249" s="152">
        <f t="shared" si="204"/>
        <v>319.79408987355947</v>
      </c>
      <c r="O249" s="152">
        <f t="shared" si="204"/>
        <v>88.998192087489215</v>
      </c>
      <c r="P249" s="152">
        <f t="shared" si="204"/>
        <v>113.47607104805509</v>
      </c>
      <c r="Q249" s="152">
        <f t="shared" si="204"/>
        <v>110.8786353477451</v>
      </c>
      <c r="R249" s="152">
        <f t="shared" si="204"/>
        <v>126.76872496210012</v>
      </c>
      <c r="S249" s="152">
        <f t="shared" si="204"/>
        <v>147.07559125600872</v>
      </c>
      <c r="T249" s="152">
        <f t="shared" si="204"/>
        <v>140.95707032341957</v>
      </c>
      <c r="U249" s="152">
        <f t="shared" si="204"/>
        <v>208.42301814314305</v>
      </c>
      <c r="V249" s="152">
        <f t="shared" si="204"/>
        <v>154.99423544642173</v>
      </c>
      <c r="W249" s="152">
        <f t="shared" si="204"/>
        <v>55.073966031107197</v>
      </c>
      <c r="X249" s="152">
        <f t="shared" si="204"/>
        <v>0</v>
      </c>
      <c r="Y249" s="152">
        <f t="shared" si="204"/>
        <v>0</v>
      </c>
      <c r="Z249" s="152">
        <f t="shared" si="204"/>
        <v>0</v>
      </c>
      <c r="AA249" s="152">
        <f t="shared" si="204"/>
        <v>0</v>
      </c>
      <c r="AB249" s="152">
        <f t="shared" si="204"/>
        <v>0</v>
      </c>
      <c r="AC249" s="152">
        <f t="shared" si="204"/>
        <v>0</v>
      </c>
      <c r="AD249" s="152">
        <f t="shared" si="204"/>
        <v>0</v>
      </c>
      <c r="AE249" s="152">
        <f t="shared" si="204"/>
        <v>0</v>
      </c>
      <c r="AF249" s="152">
        <f t="shared" si="204"/>
        <v>0</v>
      </c>
      <c r="AG249" s="152">
        <f t="shared" si="204"/>
        <v>0</v>
      </c>
      <c r="AH249" s="152">
        <f t="shared" si="204"/>
        <v>0</v>
      </c>
      <c r="AI249" s="152">
        <f t="shared" si="204"/>
        <v>0</v>
      </c>
      <c r="AJ249" s="152">
        <f t="shared" si="204"/>
        <v>0</v>
      </c>
      <c r="AK249" s="152">
        <f t="shared" si="204"/>
        <v>0</v>
      </c>
      <c r="AL249" s="152">
        <f t="shared" si="204"/>
        <v>0</v>
      </c>
      <c r="AM249" s="152">
        <f t="shared" ref="AM249:BD249" si="205">AM114</f>
        <v>0</v>
      </c>
      <c r="AN249" s="152">
        <f t="shared" si="205"/>
        <v>0</v>
      </c>
      <c r="AO249" s="152">
        <f t="shared" si="205"/>
        <v>0</v>
      </c>
      <c r="AP249" s="152">
        <f t="shared" si="205"/>
        <v>0</v>
      </c>
      <c r="AQ249" s="152">
        <f t="shared" si="205"/>
        <v>0</v>
      </c>
      <c r="AR249" s="152">
        <f t="shared" si="205"/>
        <v>0</v>
      </c>
      <c r="AS249" s="152">
        <f t="shared" si="205"/>
        <v>0</v>
      </c>
      <c r="AT249" s="152">
        <f t="shared" si="205"/>
        <v>0</v>
      </c>
      <c r="AU249" s="152">
        <f t="shared" si="205"/>
        <v>0</v>
      </c>
      <c r="AV249" s="152">
        <f t="shared" si="205"/>
        <v>0</v>
      </c>
      <c r="AW249" s="152">
        <f t="shared" si="205"/>
        <v>0</v>
      </c>
      <c r="AX249" s="152">
        <f t="shared" si="205"/>
        <v>0</v>
      </c>
      <c r="AY249" s="152">
        <f t="shared" si="205"/>
        <v>0</v>
      </c>
      <c r="AZ249" s="152">
        <f t="shared" si="205"/>
        <v>0</v>
      </c>
      <c r="BA249" s="152">
        <f t="shared" si="205"/>
        <v>0</v>
      </c>
      <c r="BB249" s="152">
        <f t="shared" si="205"/>
        <v>0</v>
      </c>
      <c r="BC249" s="152">
        <f t="shared" si="205"/>
        <v>0</v>
      </c>
      <c r="BD249" s="152">
        <f t="shared" si="205"/>
        <v>0</v>
      </c>
    </row>
    <row r="250" spans="2:56" ht="15" customHeight="1">
      <c r="C250" s="152">
        <f>SUM(G250:BD250)</f>
        <v>2984.1760519965687</v>
      </c>
      <c r="D250" s="153" t="s">
        <v>272</v>
      </c>
      <c r="E250" s="128" t="s">
        <v>195</v>
      </c>
      <c r="F250" s="151"/>
      <c r="G250" s="152">
        <f t="shared" ref="G250:AL250" si="206">G172</f>
        <v>107.79000000000002</v>
      </c>
      <c r="H250" s="152">
        <f t="shared" si="206"/>
        <v>189.89205600000003</v>
      </c>
      <c r="I250" s="152">
        <f t="shared" si="206"/>
        <v>82.809926399999966</v>
      </c>
      <c r="J250" s="152">
        <f t="shared" si="206"/>
        <v>309.91259999999988</v>
      </c>
      <c r="K250" s="152">
        <f t="shared" si="206"/>
        <v>294.81373257600001</v>
      </c>
      <c r="L250" s="152">
        <f t="shared" si="206"/>
        <v>347.66238806592003</v>
      </c>
      <c r="M250" s="152">
        <f t="shared" si="206"/>
        <v>410.67480391902723</v>
      </c>
      <c r="N250" s="152">
        <f t="shared" si="206"/>
        <v>296.16397668654326</v>
      </c>
      <c r="O250" s="152">
        <f t="shared" si="206"/>
        <v>63.878494490659882</v>
      </c>
      <c r="P250" s="152">
        <f t="shared" si="206"/>
        <v>89.899173868185443</v>
      </c>
      <c r="Q250" s="152">
        <f t="shared" si="206"/>
        <v>86.538347719570126</v>
      </c>
      <c r="R250" s="152">
        <f t="shared" si="206"/>
        <v>103.16527062455344</v>
      </c>
      <c r="S250" s="152">
        <f t="shared" si="206"/>
        <v>127.77994488446731</v>
      </c>
      <c r="T250" s="152">
        <f t="shared" si="206"/>
        <v>122.50645786160385</v>
      </c>
      <c r="U250" s="152">
        <f t="shared" si="206"/>
        <v>190.84409414440418</v>
      </c>
      <c r="V250" s="152">
        <f t="shared" si="206"/>
        <v>139.21345381767921</v>
      </c>
      <c r="W250" s="152">
        <f t="shared" si="206"/>
        <v>40.484794152080958</v>
      </c>
      <c r="X250" s="152">
        <f t="shared" si="206"/>
        <v>-11.545391572076127</v>
      </c>
      <c r="Y250" s="152">
        <f t="shared" si="206"/>
        <v>-5.5948010719886661</v>
      </c>
      <c r="Z250" s="152">
        <f t="shared" si="206"/>
        <v>-2.1641562880251994</v>
      </c>
      <c r="AA250" s="152">
        <f t="shared" si="206"/>
        <v>-0.54911428203624468</v>
      </c>
      <c r="AB250" s="152">
        <f t="shared" si="206"/>
        <v>0</v>
      </c>
      <c r="AC250" s="152">
        <f t="shared" si="206"/>
        <v>0</v>
      </c>
      <c r="AD250" s="152">
        <f t="shared" si="206"/>
        <v>0</v>
      </c>
      <c r="AE250" s="152">
        <f t="shared" si="206"/>
        <v>0</v>
      </c>
      <c r="AF250" s="152">
        <f t="shared" si="206"/>
        <v>0</v>
      </c>
      <c r="AG250" s="152">
        <f t="shared" si="206"/>
        <v>0</v>
      </c>
      <c r="AH250" s="152">
        <f t="shared" si="206"/>
        <v>0</v>
      </c>
      <c r="AI250" s="152">
        <f t="shared" si="206"/>
        <v>0</v>
      </c>
      <c r="AJ250" s="152">
        <f t="shared" si="206"/>
        <v>0</v>
      </c>
      <c r="AK250" s="152">
        <f t="shared" si="206"/>
        <v>0</v>
      </c>
      <c r="AL250" s="152">
        <f t="shared" si="206"/>
        <v>0</v>
      </c>
      <c r="AM250" s="152">
        <f t="shared" ref="AM250:BD250" si="207">AM172</f>
        <v>0</v>
      </c>
      <c r="AN250" s="152">
        <f t="shared" si="207"/>
        <v>0</v>
      </c>
      <c r="AO250" s="152">
        <f t="shared" si="207"/>
        <v>0</v>
      </c>
      <c r="AP250" s="152">
        <f t="shared" si="207"/>
        <v>0</v>
      </c>
      <c r="AQ250" s="152">
        <f t="shared" si="207"/>
        <v>0</v>
      </c>
      <c r="AR250" s="152">
        <f t="shared" si="207"/>
        <v>0</v>
      </c>
      <c r="AS250" s="152">
        <f t="shared" si="207"/>
        <v>0</v>
      </c>
      <c r="AT250" s="152">
        <f t="shared" si="207"/>
        <v>0</v>
      </c>
      <c r="AU250" s="152">
        <f t="shared" si="207"/>
        <v>0</v>
      </c>
      <c r="AV250" s="152">
        <f t="shared" si="207"/>
        <v>0</v>
      </c>
      <c r="AW250" s="152">
        <f t="shared" si="207"/>
        <v>0</v>
      </c>
      <c r="AX250" s="152">
        <f t="shared" si="207"/>
        <v>0</v>
      </c>
      <c r="AY250" s="152">
        <f t="shared" si="207"/>
        <v>0</v>
      </c>
      <c r="AZ250" s="152">
        <f t="shared" si="207"/>
        <v>0</v>
      </c>
      <c r="BA250" s="152">
        <f t="shared" si="207"/>
        <v>0</v>
      </c>
      <c r="BB250" s="152">
        <f t="shared" si="207"/>
        <v>0</v>
      </c>
      <c r="BC250" s="152">
        <f t="shared" si="207"/>
        <v>0</v>
      </c>
      <c r="BD250" s="152">
        <f t="shared" si="207"/>
        <v>0</v>
      </c>
    </row>
    <row r="251" spans="2:56" ht="15" customHeight="1">
      <c r="C251" s="152">
        <f>SUM(G251:BD251)</f>
        <v>2984.1760519965687</v>
      </c>
      <c r="D251" s="153" t="s">
        <v>320</v>
      </c>
      <c r="E251" s="128" t="s">
        <v>195</v>
      </c>
      <c r="F251" s="151"/>
      <c r="G251" s="152">
        <f t="shared" ref="G251:AL251" si="208">G172-G210</f>
        <v>107.79000000000002</v>
      </c>
      <c r="H251" s="152">
        <f t="shared" si="208"/>
        <v>189.89205600000003</v>
      </c>
      <c r="I251" s="152">
        <f t="shared" si="208"/>
        <v>82.809926399999966</v>
      </c>
      <c r="J251" s="152">
        <f t="shared" si="208"/>
        <v>309.91259999999988</v>
      </c>
      <c r="K251" s="152">
        <f t="shared" si="208"/>
        <v>294.81373257600001</v>
      </c>
      <c r="L251" s="152">
        <f t="shared" si="208"/>
        <v>347.66238806592003</v>
      </c>
      <c r="M251" s="152">
        <f t="shared" si="208"/>
        <v>410.67480391902723</v>
      </c>
      <c r="N251" s="152">
        <f t="shared" si="208"/>
        <v>296.16397668654326</v>
      </c>
      <c r="O251" s="152">
        <f t="shared" si="208"/>
        <v>63.878494490659882</v>
      </c>
      <c r="P251" s="152">
        <f t="shared" si="208"/>
        <v>89.899173868185443</v>
      </c>
      <c r="Q251" s="152">
        <f t="shared" si="208"/>
        <v>86.538347719570126</v>
      </c>
      <c r="R251" s="152">
        <f t="shared" si="208"/>
        <v>103.16527062455344</v>
      </c>
      <c r="S251" s="152">
        <f t="shared" si="208"/>
        <v>127.77994488446731</v>
      </c>
      <c r="T251" s="152">
        <f t="shared" si="208"/>
        <v>122.50645786160385</v>
      </c>
      <c r="U251" s="152">
        <f t="shared" si="208"/>
        <v>190.84409414440418</v>
      </c>
      <c r="V251" s="152">
        <f t="shared" si="208"/>
        <v>139.21345381767921</v>
      </c>
      <c r="W251" s="152">
        <f t="shared" si="208"/>
        <v>40.484794152080958</v>
      </c>
      <c r="X251" s="152">
        <f t="shared" si="208"/>
        <v>-11.545391572076127</v>
      </c>
      <c r="Y251" s="152">
        <f t="shared" si="208"/>
        <v>-5.5948010719886661</v>
      </c>
      <c r="Z251" s="152">
        <f t="shared" si="208"/>
        <v>-2.1641562880251994</v>
      </c>
      <c r="AA251" s="152">
        <f t="shared" si="208"/>
        <v>-0.54911428203624468</v>
      </c>
      <c r="AB251" s="152">
        <f t="shared" si="208"/>
        <v>0</v>
      </c>
      <c r="AC251" s="152">
        <f t="shared" si="208"/>
        <v>0</v>
      </c>
      <c r="AD251" s="152">
        <f t="shared" si="208"/>
        <v>0</v>
      </c>
      <c r="AE251" s="152">
        <f t="shared" si="208"/>
        <v>0</v>
      </c>
      <c r="AF251" s="152">
        <f t="shared" si="208"/>
        <v>0</v>
      </c>
      <c r="AG251" s="152">
        <f t="shared" si="208"/>
        <v>0</v>
      </c>
      <c r="AH251" s="152">
        <f t="shared" si="208"/>
        <v>0</v>
      </c>
      <c r="AI251" s="152">
        <f t="shared" si="208"/>
        <v>0</v>
      </c>
      <c r="AJ251" s="152">
        <f t="shared" si="208"/>
        <v>0</v>
      </c>
      <c r="AK251" s="152">
        <f t="shared" si="208"/>
        <v>0</v>
      </c>
      <c r="AL251" s="152">
        <f t="shared" si="208"/>
        <v>0</v>
      </c>
      <c r="AM251" s="152">
        <f t="shared" ref="AM251:BD251" si="209">AM172-AM210</f>
        <v>0</v>
      </c>
      <c r="AN251" s="152">
        <f t="shared" si="209"/>
        <v>0</v>
      </c>
      <c r="AO251" s="152">
        <f t="shared" si="209"/>
        <v>0</v>
      </c>
      <c r="AP251" s="152">
        <f t="shared" si="209"/>
        <v>0</v>
      </c>
      <c r="AQ251" s="152">
        <f t="shared" si="209"/>
        <v>0</v>
      </c>
      <c r="AR251" s="152">
        <f t="shared" si="209"/>
        <v>0</v>
      </c>
      <c r="AS251" s="152">
        <f t="shared" si="209"/>
        <v>0</v>
      </c>
      <c r="AT251" s="152">
        <f t="shared" si="209"/>
        <v>0</v>
      </c>
      <c r="AU251" s="152">
        <f t="shared" si="209"/>
        <v>0</v>
      </c>
      <c r="AV251" s="152">
        <f t="shared" si="209"/>
        <v>0</v>
      </c>
      <c r="AW251" s="152">
        <f t="shared" si="209"/>
        <v>0</v>
      </c>
      <c r="AX251" s="152">
        <f t="shared" si="209"/>
        <v>0</v>
      </c>
      <c r="AY251" s="152">
        <f t="shared" si="209"/>
        <v>0</v>
      </c>
      <c r="AZ251" s="152">
        <f t="shared" si="209"/>
        <v>0</v>
      </c>
      <c r="BA251" s="152">
        <f t="shared" si="209"/>
        <v>0</v>
      </c>
      <c r="BB251" s="152">
        <f t="shared" si="209"/>
        <v>0</v>
      </c>
      <c r="BC251" s="152">
        <f t="shared" si="209"/>
        <v>0</v>
      </c>
      <c r="BD251" s="152">
        <f t="shared" si="209"/>
        <v>0</v>
      </c>
    </row>
    <row r="252" spans="2:56" ht="15" customHeight="1">
      <c r="C252" s="151"/>
      <c r="D252" s="151"/>
      <c r="E252" s="151"/>
      <c r="F252" s="15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  <c r="AB252" s="151"/>
      <c r="AC252" s="151"/>
      <c r="AD252" s="151"/>
      <c r="AE252" s="151"/>
      <c r="AF252" s="151"/>
      <c r="AG252" s="151"/>
      <c r="AH252" s="151"/>
      <c r="AI252" s="151"/>
      <c r="AJ252" s="151"/>
      <c r="AK252" s="151"/>
      <c r="AL252" s="151"/>
      <c r="AM252" s="151"/>
      <c r="AN252" s="151"/>
      <c r="AO252" s="151"/>
      <c r="AP252" s="151"/>
      <c r="AQ252" s="151"/>
      <c r="AR252" s="151"/>
      <c r="AS252" s="151"/>
      <c r="AT252" s="151"/>
      <c r="AU252" s="151"/>
      <c r="AV252" s="151"/>
      <c r="AW252" s="151"/>
      <c r="AX252" s="151"/>
      <c r="AY252" s="151"/>
      <c r="AZ252" s="151"/>
      <c r="BA252" s="151"/>
      <c r="BB252" s="151"/>
      <c r="BC252" s="151"/>
      <c r="BD252" s="151"/>
    </row>
    <row r="253" spans="2:56" ht="15" customHeight="1">
      <c r="C253" s="170" t="s">
        <v>149</v>
      </c>
      <c r="D253" s="33" t="s">
        <v>321</v>
      </c>
      <c r="E253" s="128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152"/>
      <c r="AE253" s="152"/>
      <c r="AF253" s="152"/>
      <c r="AG253" s="152"/>
      <c r="AH253" s="152"/>
      <c r="AI253" s="152"/>
      <c r="AJ253" s="152"/>
      <c r="AK253" s="152"/>
      <c r="AL253" s="152"/>
      <c r="AM253" s="152"/>
      <c r="AN253" s="152"/>
      <c r="AO253" s="152"/>
      <c r="AP253" s="152"/>
      <c r="AQ253" s="152"/>
      <c r="AR253" s="152"/>
      <c r="AS253" s="152"/>
      <c r="AT253" s="152"/>
      <c r="AU253" s="152"/>
      <c r="AV253" s="152"/>
      <c r="AW253" s="152"/>
      <c r="AX253" s="152"/>
      <c r="AY253" s="152"/>
      <c r="AZ253" s="152"/>
      <c r="BA253" s="152"/>
      <c r="BB253" s="152"/>
      <c r="BC253" s="152"/>
      <c r="BD253" s="152"/>
    </row>
    <row r="254" spans="2:56" ht="15" customHeight="1">
      <c r="C254" s="152">
        <f t="shared" ref="C254:C262" si="210">SUM(G254:BD254)</f>
        <v>3696.7338076497381</v>
      </c>
      <c r="D254" s="55" t="s">
        <v>311</v>
      </c>
      <c r="E254" s="128" t="s">
        <v>195</v>
      </c>
      <c r="G254" s="152">
        <f t="shared" ref="G254:AL254" si="211">G149</f>
        <v>123.38999999999999</v>
      </c>
      <c r="H254" s="152">
        <f t="shared" si="211"/>
        <v>235.27605600000004</v>
      </c>
      <c r="I254" s="152">
        <f t="shared" si="211"/>
        <v>170.85032639999997</v>
      </c>
      <c r="J254" s="152">
        <f t="shared" si="211"/>
        <v>403.25903999999991</v>
      </c>
      <c r="K254" s="152">
        <f t="shared" si="211"/>
        <v>394.00530623999998</v>
      </c>
      <c r="L254" s="152">
        <f t="shared" si="211"/>
        <v>433.90375565760007</v>
      </c>
      <c r="M254" s="152">
        <f t="shared" si="211"/>
        <v>469.60972883308807</v>
      </c>
      <c r="N254" s="152">
        <f t="shared" si="211"/>
        <v>319.79408987355953</v>
      </c>
      <c r="O254" s="152">
        <f t="shared" si="211"/>
        <v>88.998192087489201</v>
      </c>
      <c r="P254" s="152">
        <f t="shared" si="211"/>
        <v>113.4760710480551</v>
      </c>
      <c r="Q254" s="152">
        <f t="shared" si="211"/>
        <v>110.8786353477451</v>
      </c>
      <c r="R254" s="152">
        <f t="shared" si="211"/>
        <v>126.76872496210012</v>
      </c>
      <c r="S254" s="152">
        <f t="shared" si="211"/>
        <v>147.07559125600869</v>
      </c>
      <c r="T254" s="152">
        <f t="shared" si="211"/>
        <v>140.95707032341954</v>
      </c>
      <c r="U254" s="152">
        <f t="shared" si="211"/>
        <v>208.42301814314305</v>
      </c>
      <c r="V254" s="152">
        <f t="shared" si="211"/>
        <v>154.99423544642173</v>
      </c>
      <c r="W254" s="152">
        <f t="shared" si="211"/>
        <v>55.07396603110719</v>
      </c>
      <c r="X254" s="152">
        <f t="shared" si="211"/>
        <v>0</v>
      </c>
      <c r="Y254" s="152">
        <f t="shared" si="211"/>
        <v>0</v>
      </c>
      <c r="Z254" s="152">
        <f t="shared" si="211"/>
        <v>0</v>
      </c>
      <c r="AA254" s="152">
        <f t="shared" si="211"/>
        <v>0</v>
      </c>
      <c r="AB254" s="152">
        <f t="shared" si="211"/>
        <v>0</v>
      </c>
      <c r="AC254" s="152">
        <f t="shared" si="211"/>
        <v>0</v>
      </c>
      <c r="AD254" s="152">
        <f t="shared" si="211"/>
        <v>0</v>
      </c>
      <c r="AE254" s="152">
        <f t="shared" si="211"/>
        <v>0</v>
      </c>
      <c r="AF254" s="152">
        <f t="shared" si="211"/>
        <v>0</v>
      </c>
      <c r="AG254" s="152">
        <f t="shared" si="211"/>
        <v>0</v>
      </c>
      <c r="AH254" s="152">
        <f t="shared" si="211"/>
        <v>0</v>
      </c>
      <c r="AI254" s="152">
        <f t="shared" si="211"/>
        <v>0</v>
      </c>
      <c r="AJ254" s="152">
        <f t="shared" si="211"/>
        <v>0</v>
      </c>
      <c r="AK254" s="152">
        <f t="shared" si="211"/>
        <v>0</v>
      </c>
      <c r="AL254" s="152">
        <f t="shared" si="211"/>
        <v>0</v>
      </c>
      <c r="AM254" s="152">
        <f t="shared" ref="AM254:BD254" si="212">AM149</f>
        <v>0</v>
      </c>
      <c r="AN254" s="152">
        <f t="shared" si="212"/>
        <v>0</v>
      </c>
      <c r="AO254" s="152">
        <f t="shared" si="212"/>
        <v>0</v>
      </c>
      <c r="AP254" s="152">
        <f t="shared" si="212"/>
        <v>0</v>
      </c>
      <c r="AQ254" s="152">
        <f t="shared" si="212"/>
        <v>0</v>
      </c>
      <c r="AR254" s="152">
        <f t="shared" si="212"/>
        <v>0</v>
      </c>
      <c r="AS254" s="152">
        <f t="shared" si="212"/>
        <v>0</v>
      </c>
      <c r="AT254" s="152">
        <f t="shared" si="212"/>
        <v>0</v>
      </c>
      <c r="AU254" s="152">
        <f t="shared" si="212"/>
        <v>0</v>
      </c>
      <c r="AV254" s="152">
        <f t="shared" si="212"/>
        <v>0</v>
      </c>
      <c r="AW254" s="152">
        <f t="shared" si="212"/>
        <v>0</v>
      </c>
      <c r="AX254" s="152">
        <f t="shared" si="212"/>
        <v>0</v>
      </c>
      <c r="AY254" s="152">
        <f t="shared" si="212"/>
        <v>0</v>
      </c>
      <c r="AZ254" s="152">
        <f t="shared" si="212"/>
        <v>0</v>
      </c>
      <c r="BA254" s="152">
        <f t="shared" si="212"/>
        <v>0</v>
      </c>
      <c r="BB254" s="152">
        <f t="shared" si="212"/>
        <v>0</v>
      </c>
      <c r="BC254" s="152">
        <f t="shared" si="212"/>
        <v>0</v>
      </c>
      <c r="BD254" s="152">
        <f t="shared" si="212"/>
        <v>0</v>
      </c>
    </row>
    <row r="255" spans="2:56" ht="15" customHeight="1">
      <c r="C255" s="152">
        <f t="shared" si="210"/>
        <v>0</v>
      </c>
      <c r="D255" s="55" t="s">
        <v>322</v>
      </c>
      <c r="E255" s="128" t="s">
        <v>195</v>
      </c>
      <c r="G255" s="152">
        <f t="shared" ref="G255:AL255" si="213">G209</f>
        <v>0</v>
      </c>
      <c r="H255" s="152">
        <f t="shared" si="213"/>
        <v>0</v>
      </c>
      <c r="I255" s="152">
        <f t="shared" si="213"/>
        <v>0</v>
      </c>
      <c r="J255" s="152">
        <f t="shared" si="213"/>
        <v>0</v>
      </c>
      <c r="K255" s="152">
        <f t="shared" si="213"/>
        <v>0</v>
      </c>
      <c r="L255" s="152">
        <f t="shared" si="213"/>
        <v>0</v>
      </c>
      <c r="M255" s="152">
        <f t="shared" si="213"/>
        <v>0</v>
      </c>
      <c r="N255" s="152">
        <f t="shared" si="213"/>
        <v>0</v>
      </c>
      <c r="O255" s="152">
        <f t="shared" si="213"/>
        <v>0</v>
      </c>
      <c r="P255" s="152">
        <f t="shared" si="213"/>
        <v>0</v>
      </c>
      <c r="Q255" s="152">
        <f t="shared" si="213"/>
        <v>0</v>
      </c>
      <c r="R255" s="152">
        <f t="shared" si="213"/>
        <v>0</v>
      </c>
      <c r="S255" s="152">
        <f t="shared" si="213"/>
        <v>0</v>
      </c>
      <c r="T255" s="152">
        <f t="shared" si="213"/>
        <v>0</v>
      </c>
      <c r="U255" s="152">
        <f t="shared" si="213"/>
        <v>0</v>
      </c>
      <c r="V255" s="152">
        <f t="shared" si="213"/>
        <v>0</v>
      </c>
      <c r="W255" s="152">
        <f t="shared" si="213"/>
        <v>0</v>
      </c>
      <c r="X255" s="152">
        <f t="shared" si="213"/>
        <v>0</v>
      </c>
      <c r="Y255" s="152">
        <f t="shared" si="213"/>
        <v>0</v>
      </c>
      <c r="Z255" s="152">
        <f t="shared" si="213"/>
        <v>0</v>
      </c>
      <c r="AA255" s="152">
        <f t="shared" si="213"/>
        <v>0</v>
      </c>
      <c r="AB255" s="152">
        <f t="shared" si="213"/>
        <v>0</v>
      </c>
      <c r="AC255" s="152">
        <f t="shared" si="213"/>
        <v>0</v>
      </c>
      <c r="AD255" s="152">
        <f t="shared" si="213"/>
        <v>0</v>
      </c>
      <c r="AE255" s="152">
        <f t="shared" si="213"/>
        <v>0</v>
      </c>
      <c r="AF255" s="152">
        <f t="shared" si="213"/>
        <v>0</v>
      </c>
      <c r="AG255" s="152">
        <f t="shared" si="213"/>
        <v>0</v>
      </c>
      <c r="AH255" s="152">
        <f t="shared" si="213"/>
        <v>0</v>
      </c>
      <c r="AI255" s="152">
        <f t="shared" si="213"/>
        <v>0</v>
      </c>
      <c r="AJ255" s="152">
        <f t="shared" si="213"/>
        <v>0</v>
      </c>
      <c r="AK255" s="152">
        <f t="shared" si="213"/>
        <v>0</v>
      </c>
      <c r="AL255" s="152">
        <f t="shared" si="213"/>
        <v>0</v>
      </c>
      <c r="AM255" s="152">
        <f t="shared" ref="AM255:BD255" si="214">AM209</f>
        <v>0</v>
      </c>
      <c r="AN255" s="152">
        <f t="shared" si="214"/>
        <v>0</v>
      </c>
      <c r="AO255" s="152">
        <f t="shared" si="214"/>
        <v>0</v>
      </c>
      <c r="AP255" s="152">
        <f t="shared" si="214"/>
        <v>0</v>
      </c>
      <c r="AQ255" s="152">
        <f t="shared" si="214"/>
        <v>0</v>
      </c>
      <c r="AR255" s="152">
        <f t="shared" si="214"/>
        <v>0</v>
      </c>
      <c r="AS255" s="152">
        <f t="shared" si="214"/>
        <v>0</v>
      </c>
      <c r="AT255" s="152">
        <f t="shared" si="214"/>
        <v>0</v>
      </c>
      <c r="AU255" s="152">
        <f t="shared" si="214"/>
        <v>0</v>
      </c>
      <c r="AV255" s="152">
        <f t="shared" si="214"/>
        <v>0</v>
      </c>
      <c r="AW255" s="152">
        <f t="shared" si="214"/>
        <v>0</v>
      </c>
      <c r="AX255" s="152">
        <f t="shared" si="214"/>
        <v>0</v>
      </c>
      <c r="AY255" s="152">
        <f t="shared" si="214"/>
        <v>0</v>
      </c>
      <c r="AZ255" s="152">
        <f t="shared" si="214"/>
        <v>0</v>
      </c>
      <c r="BA255" s="152">
        <f t="shared" si="214"/>
        <v>0</v>
      </c>
      <c r="BB255" s="152">
        <f t="shared" si="214"/>
        <v>0</v>
      </c>
      <c r="BC255" s="152">
        <f t="shared" si="214"/>
        <v>0</v>
      </c>
      <c r="BD255" s="152">
        <f t="shared" si="214"/>
        <v>0</v>
      </c>
    </row>
    <row r="256" spans="2:56" ht="15" customHeight="1">
      <c r="C256" s="152">
        <f t="shared" si="210"/>
        <v>882.69931771596566</v>
      </c>
      <c r="D256" s="55" t="s">
        <v>323</v>
      </c>
      <c r="E256" s="128" t="s">
        <v>195</v>
      </c>
      <c r="G256" s="152">
        <f t="shared" ref="G256:AL256" si="215">G190</f>
        <v>0</v>
      </c>
      <c r="H256" s="152">
        <f t="shared" si="215"/>
        <v>84.703013999999996</v>
      </c>
      <c r="I256" s="152">
        <f t="shared" si="215"/>
        <v>74.022981599999994</v>
      </c>
      <c r="J256" s="152">
        <f t="shared" si="215"/>
        <v>84.11069999999998</v>
      </c>
      <c r="K256" s="152">
        <f t="shared" si="215"/>
        <v>81.00985022399999</v>
      </c>
      <c r="L256" s="152">
        <f t="shared" si="215"/>
        <v>90.22783942608001</v>
      </c>
      <c r="M256" s="152">
        <f t="shared" si="215"/>
        <v>105.76564763273282</v>
      </c>
      <c r="N256" s="152">
        <f t="shared" si="215"/>
        <v>83.230479512830073</v>
      </c>
      <c r="O256" s="152">
        <f t="shared" si="215"/>
        <v>24.464154134931391</v>
      </c>
      <c r="P256" s="152">
        <f t="shared" si="215"/>
        <v>27.852710025846761</v>
      </c>
      <c r="Q256" s="152">
        <f t="shared" si="215"/>
        <v>25.901067399874186</v>
      </c>
      <c r="R256" s="152">
        <f t="shared" si="215"/>
        <v>27.967222695829001</v>
      </c>
      <c r="S256" s="152">
        <f t="shared" si="215"/>
        <v>35.749711604804467</v>
      </c>
      <c r="T256" s="152">
        <f t="shared" si="215"/>
        <v>38.064852590510291</v>
      </c>
      <c r="U256" s="152">
        <f t="shared" si="215"/>
        <v>51.999329516055383</v>
      </c>
      <c r="V256" s="152">
        <f t="shared" si="215"/>
        <v>36.822165961905995</v>
      </c>
      <c r="W256" s="152">
        <f t="shared" si="215"/>
        <v>10.807591390565545</v>
      </c>
      <c r="X256" s="152">
        <f t="shared" si="215"/>
        <v>0</v>
      </c>
      <c r="Y256" s="152">
        <f t="shared" si="215"/>
        <v>0</v>
      </c>
      <c r="Z256" s="152">
        <f t="shared" si="215"/>
        <v>0</v>
      </c>
      <c r="AA256" s="152">
        <f t="shared" si="215"/>
        <v>0</v>
      </c>
      <c r="AB256" s="152">
        <f t="shared" si="215"/>
        <v>0</v>
      </c>
      <c r="AC256" s="152">
        <f t="shared" si="215"/>
        <v>0</v>
      </c>
      <c r="AD256" s="152">
        <f t="shared" si="215"/>
        <v>0</v>
      </c>
      <c r="AE256" s="152">
        <f t="shared" si="215"/>
        <v>0</v>
      </c>
      <c r="AF256" s="152">
        <f t="shared" si="215"/>
        <v>0</v>
      </c>
      <c r="AG256" s="152">
        <f t="shared" si="215"/>
        <v>0</v>
      </c>
      <c r="AH256" s="152">
        <f t="shared" si="215"/>
        <v>0</v>
      </c>
      <c r="AI256" s="152">
        <f t="shared" si="215"/>
        <v>0</v>
      </c>
      <c r="AJ256" s="152">
        <f t="shared" si="215"/>
        <v>0</v>
      </c>
      <c r="AK256" s="152">
        <f t="shared" si="215"/>
        <v>0</v>
      </c>
      <c r="AL256" s="152">
        <f t="shared" si="215"/>
        <v>0</v>
      </c>
      <c r="AM256" s="152">
        <f t="shared" ref="AM256:BD256" si="216">AM190</f>
        <v>0</v>
      </c>
      <c r="AN256" s="152">
        <f t="shared" si="216"/>
        <v>0</v>
      </c>
      <c r="AO256" s="152">
        <f t="shared" si="216"/>
        <v>0</v>
      </c>
      <c r="AP256" s="152">
        <f t="shared" si="216"/>
        <v>0</v>
      </c>
      <c r="AQ256" s="152">
        <f t="shared" si="216"/>
        <v>0</v>
      </c>
      <c r="AR256" s="152">
        <f t="shared" si="216"/>
        <v>0</v>
      </c>
      <c r="AS256" s="152">
        <f t="shared" si="216"/>
        <v>0</v>
      </c>
      <c r="AT256" s="152">
        <f t="shared" si="216"/>
        <v>0</v>
      </c>
      <c r="AU256" s="152">
        <f t="shared" si="216"/>
        <v>0</v>
      </c>
      <c r="AV256" s="152">
        <f t="shared" si="216"/>
        <v>0</v>
      </c>
      <c r="AW256" s="152">
        <f t="shared" si="216"/>
        <v>0</v>
      </c>
      <c r="AX256" s="152">
        <f t="shared" si="216"/>
        <v>0</v>
      </c>
      <c r="AY256" s="152">
        <f t="shared" si="216"/>
        <v>0</v>
      </c>
      <c r="AZ256" s="152">
        <f t="shared" si="216"/>
        <v>0</v>
      </c>
      <c r="BA256" s="152">
        <f t="shared" si="216"/>
        <v>0</v>
      </c>
      <c r="BB256" s="152">
        <f t="shared" si="216"/>
        <v>0</v>
      </c>
      <c r="BC256" s="152">
        <f t="shared" si="216"/>
        <v>0</v>
      </c>
      <c r="BD256" s="152">
        <f t="shared" si="216"/>
        <v>0</v>
      </c>
    </row>
    <row r="257" spans="3:56" ht="15" customHeight="1">
      <c r="C257" s="152">
        <f t="shared" si="210"/>
        <v>0</v>
      </c>
      <c r="D257" s="55" t="s">
        <v>324</v>
      </c>
      <c r="E257" s="128" t="s">
        <v>195</v>
      </c>
      <c r="G257" s="152">
        <f t="shared" ref="G257:AL257" si="217">G218</f>
        <v>0</v>
      </c>
      <c r="H257" s="152">
        <f t="shared" si="217"/>
        <v>0</v>
      </c>
      <c r="I257" s="152">
        <f t="shared" si="217"/>
        <v>0</v>
      </c>
      <c r="J257" s="152">
        <f t="shared" si="217"/>
        <v>0</v>
      </c>
      <c r="K257" s="152">
        <f t="shared" si="217"/>
        <v>0</v>
      </c>
      <c r="L257" s="152">
        <f t="shared" si="217"/>
        <v>0</v>
      </c>
      <c r="M257" s="152">
        <f t="shared" si="217"/>
        <v>0</v>
      </c>
      <c r="N257" s="152">
        <f t="shared" si="217"/>
        <v>0</v>
      </c>
      <c r="O257" s="152">
        <f t="shared" si="217"/>
        <v>0</v>
      </c>
      <c r="P257" s="152">
        <f t="shared" si="217"/>
        <v>0</v>
      </c>
      <c r="Q257" s="152">
        <f t="shared" si="217"/>
        <v>0</v>
      </c>
      <c r="R257" s="152">
        <f t="shared" si="217"/>
        <v>0</v>
      </c>
      <c r="S257" s="152">
        <f t="shared" si="217"/>
        <v>0</v>
      </c>
      <c r="T257" s="152">
        <f t="shared" si="217"/>
        <v>0</v>
      </c>
      <c r="U257" s="152">
        <f t="shared" si="217"/>
        <v>0</v>
      </c>
      <c r="V257" s="152">
        <f t="shared" si="217"/>
        <v>0</v>
      </c>
      <c r="W257" s="152">
        <f t="shared" si="217"/>
        <v>0</v>
      </c>
      <c r="X257" s="152">
        <f t="shared" si="217"/>
        <v>0</v>
      </c>
      <c r="Y257" s="152">
        <f t="shared" si="217"/>
        <v>0</v>
      </c>
      <c r="Z257" s="152">
        <f t="shared" si="217"/>
        <v>0</v>
      </c>
      <c r="AA257" s="152">
        <f t="shared" si="217"/>
        <v>0</v>
      </c>
      <c r="AB257" s="152">
        <f t="shared" si="217"/>
        <v>0</v>
      </c>
      <c r="AC257" s="152">
        <f t="shared" si="217"/>
        <v>0</v>
      </c>
      <c r="AD257" s="152">
        <f t="shared" si="217"/>
        <v>0</v>
      </c>
      <c r="AE257" s="152">
        <f t="shared" si="217"/>
        <v>0</v>
      </c>
      <c r="AF257" s="152">
        <f t="shared" si="217"/>
        <v>0</v>
      </c>
      <c r="AG257" s="152">
        <f t="shared" si="217"/>
        <v>0</v>
      </c>
      <c r="AH257" s="152">
        <f t="shared" si="217"/>
        <v>0</v>
      </c>
      <c r="AI257" s="152">
        <f t="shared" si="217"/>
        <v>0</v>
      </c>
      <c r="AJ257" s="152">
        <f t="shared" si="217"/>
        <v>0</v>
      </c>
      <c r="AK257" s="152">
        <f t="shared" si="217"/>
        <v>0</v>
      </c>
      <c r="AL257" s="152">
        <f t="shared" si="217"/>
        <v>0</v>
      </c>
      <c r="AM257" s="152">
        <f t="shared" ref="AM257:BD257" si="218">AM218</f>
        <v>0</v>
      </c>
      <c r="AN257" s="152">
        <f t="shared" si="218"/>
        <v>0</v>
      </c>
      <c r="AO257" s="152">
        <f t="shared" si="218"/>
        <v>0</v>
      </c>
      <c r="AP257" s="152">
        <f t="shared" si="218"/>
        <v>0</v>
      </c>
      <c r="AQ257" s="152">
        <f t="shared" si="218"/>
        <v>0</v>
      </c>
      <c r="AR257" s="152">
        <f t="shared" si="218"/>
        <v>0</v>
      </c>
      <c r="AS257" s="152">
        <f t="shared" si="218"/>
        <v>0</v>
      </c>
      <c r="AT257" s="152">
        <f t="shared" si="218"/>
        <v>0</v>
      </c>
      <c r="AU257" s="152">
        <f t="shared" si="218"/>
        <v>0</v>
      </c>
      <c r="AV257" s="152">
        <f t="shared" si="218"/>
        <v>0</v>
      </c>
      <c r="AW257" s="152">
        <f t="shared" si="218"/>
        <v>0</v>
      </c>
      <c r="AX257" s="152">
        <f t="shared" si="218"/>
        <v>0</v>
      </c>
      <c r="AY257" s="152">
        <f t="shared" si="218"/>
        <v>0</v>
      </c>
      <c r="AZ257" s="152">
        <f t="shared" si="218"/>
        <v>0</v>
      </c>
      <c r="BA257" s="152">
        <f t="shared" si="218"/>
        <v>0</v>
      </c>
      <c r="BB257" s="152">
        <f t="shared" si="218"/>
        <v>0</v>
      </c>
      <c r="BC257" s="152">
        <f t="shared" si="218"/>
        <v>0</v>
      </c>
      <c r="BD257" s="152">
        <f t="shared" si="218"/>
        <v>0</v>
      </c>
    </row>
    <row r="258" spans="3:56" ht="15" customHeight="1">
      <c r="C258" s="152">
        <f t="shared" si="210"/>
        <v>0</v>
      </c>
      <c r="D258" s="55" t="s">
        <v>325</v>
      </c>
      <c r="E258" s="128" t="s">
        <v>195</v>
      </c>
      <c r="G258" s="152">
        <f t="shared" ref="G258:AL258" si="219">G227</f>
        <v>0</v>
      </c>
      <c r="H258" s="152">
        <f t="shared" si="219"/>
        <v>0</v>
      </c>
      <c r="I258" s="152">
        <f t="shared" si="219"/>
        <v>0</v>
      </c>
      <c r="J258" s="152">
        <f t="shared" si="219"/>
        <v>0</v>
      </c>
      <c r="K258" s="152">
        <f t="shared" si="219"/>
        <v>0</v>
      </c>
      <c r="L258" s="152">
        <f t="shared" si="219"/>
        <v>0</v>
      </c>
      <c r="M258" s="152">
        <f t="shared" si="219"/>
        <v>0</v>
      </c>
      <c r="N258" s="152">
        <f t="shared" si="219"/>
        <v>0</v>
      </c>
      <c r="O258" s="152">
        <f t="shared" si="219"/>
        <v>0</v>
      </c>
      <c r="P258" s="152">
        <f t="shared" si="219"/>
        <v>0</v>
      </c>
      <c r="Q258" s="152">
        <f t="shared" si="219"/>
        <v>0</v>
      </c>
      <c r="R258" s="152">
        <f t="shared" si="219"/>
        <v>0</v>
      </c>
      <c r="S258" s="152">
        <f t="shared" si="219"/>
        <v>0</v>
      </c>
      <c r="T258" s="152">
        <f t="shared" si="219"/>
        <v>0</v>
      </c>
      <c r="U258" s="152">
        <f t="shared" si="219"/>
        <v>0</v>
      </c>
      <c r="V258" s="152">
        <f t="shared" si="219"/>
        <v>0</v>
      </c>
      <c r="W258" s="152">
        <f t="shared" si="219"/>
        <v>0</v>
      </c>
      <c r="X258" s="152">
        <f t="shared" si="219"/>
        <v>0</v>
      </c>
      <c r="Y258" s="152">
        <f t="shared" si="219"/>
        <v>0</v>
      </c>
      <c r="Z258" s="152">
        <f t="shared" si="219"/>
        <v>0</v>
      </c>
      <c r="AA258" s="152">
        <f t="shared" si="219"/>
        <v>0</v>
      </c>
      <c r="AB258" s="152">
        <f t="shared" si="219"/>
        <v>0</v>
      </c>
      <c r="AC258" s="152">
        <f t="shared" si="219"/>
        <v>0</v>
      </c>
      <c r="AD258" s="152">
        <f t="shared" si="219"/>
        <v>0</v>
      </c>
      <c r="AE258" s="152">
        <f t="shared" si="219"/>
        <v>0</v>
      </c>
      <c r="AF258" s="152">
        <f t="shared" si="219"/>
        <v>0</v>
      </c>
      <c r="AG258" s="152">
        <f t="shared" si="219"/>
        <v>0</v>
      </c>
      <c r="AH258" s="152">
        <f t="shared" si="219"/>
        <v>0</v>
      </c>
      <c r="AI258" s="152">
        <f t="shared" si="219"/>
        <v>0</v>
      </c>
      <c r="AJ258" s="152">
        <f t="shared" si="219"/>
        <v>0</v>
      </c>
      <c r="AK258" s="152">
        <f t="shared" si="219"/>
        <v>0</v>
      </c>
      <c r="AL258" s="152">
        <f t="shared" si="219"/>
        <v>0</v>
      </c>
      <c r="AM258" s="152">
        <f t="shared" ref="AM258:BD258" si="220">AM227</f>
        <v>0</v>
      </c>
      <c r="AN258" s="152">
        <f t="shared" si="220"/>
        <v>0</v>
      </c>
      <c r="AO258" s="152">
        <f t="shared" si="220"/>
        <v>0</v>
      </c>
      <c r="AP258" s="152">
        <f t="shared" si="220"/>
        <v>0</v>
      </c>
      <c r="AQ258" s="152">
        <f t="shared" si="220"/>
        <v>0</v>
      </c>
      <c r="AR258" s="152">
        <f t="shared" si="220"/>
        <v>0</v>
      </c>
      <c r="AS258" s="152">
        <f t="shared" si="220"/>
        <v>0</v>
      </c>
      <c r="AT258" s="152">
        <f t="shared" si="220"/>
        <v>0</v>
      </c>
      <c r="AU258" s="152">
        <f t="shared" si="220"/>
        <v>0</v>
      </c>
      <c r="AV258" s="152">
        <f t="shared" si="220"/>
        <v>0</v>
      </c>
      <c r="AW258" s="152">
        <f t="shared" si="220"/>
        <v>0</v>
      </c>
      <c r="AX258" s="152">
        <f t="shared" si="220"/>
        <v>0</v>
      </c>
      <c r="AY258" s="152">
        <f t="shared" si="220"/>
        <v>0</v>
      </c>
      <c r="AZ258" s="152">
        <f t="shared" si="220"/>
        <v>0</v>
      </c>
      <c r="BA258" s="152">
        <f t="shared" si="220"/>
        <v>0</v>
      </c>
      <c r="BB258" s="152">
        <f t="shared" si="220"/>
        <v>0</v>
      </c>
      <c r="BC258" s="152">
        <f t="shared" si="220"/>
        <v>0</v>
      </c>
      <c r="BD258" s="152">
        <f t="shared" si="220"/>
        <v>0</v>
      </c>
    </row>
    <row r="259" spans="3:56" ht="15" customHeight="1">
      <c r="C259" s="152">
        <f t="shared" si="210"/>
        <v>0</v>
      </c>
      <c r="D259" s="153" t="s">
        <v>326</v>
      </c>
      <c r="E259" s="128" t="s">
        <v>195</v>
      </c>
      <c r="G259" s="152">
        <f t="shared" ref="G259:AL259" si="221">G195</f>
        <v>0</v>
      </c>
      <c r="H259" s="152">
        <f t="shared" si="221"/>
        <v>0</v>
      </c>
      <c r="I259" s="152">
        <f t="shared" si="221"/>
        <v>0</v>
      </c>
      <c r="J259" s="152">
        <f t="shared" si="221"/>
        <v>0</v>
      </c>
      <c r="K259" s="152">
        <f t="shared" si="221"/>
        <v>0</v>
      </c>
      <c r="L259" s="152">
        <f t="shared" si="221"/>
        <v>0</v>
      </c>
      <c r="M259" s="152">
        <f t="shared" si="221"/>
        <v>0</v>
      </c>
      <c r="N259" s="152">
        <f t="shared" si="221"/>
        <v>0</v>
      </c>
      <c r="O259" s="152">
        <f t="shared" si="221"/>
        <v>0</v>
      </c>
      <c r="P259" s="152">
        <f t="shared" si="221"/>
        <v>0</v>
      </c>
      <c r="Q259" s="152">
        <f t="shared" si="221"/>
        <v>0</v>
      </c>
      <c r="R259" s="152">
        <f t="shared" si="221"/>
        <v>0</v>
      </c>
      <c r="S259" s="152">
        <f t="shared" si="221"/>
        <v>0</v>
      </c>
      <c r="T259" s="152">
        <f t="shared" si="221"/>
        <v>0</v>
      </c>
      <c r="U259" s="152">
        <f t="shared" si="221"/>
        <v>0</v>
      </c>
      <c r="V259" s="152">
        <f t="shared" si="221"/>
        <v>0</v>
      </c>
      <c r="W259" s="152">
        <f t="shared" si="221"/>
        <v>0</v>
      </c>
      <c r="X259" s="152">
        <f t="shared" si="221"/>
        <v>0</v>
      </c>
      <c r="Y259" s="152">
        <f t="shared" si="221"/>
        <v>0</v>
      </c>
      <c r="Z259" s="152">
        <f t="shared" si="221"/>
        <v>0</v>
      </c>
      <c r="AA259" s="152">
        <f t="shared" si="221"/>
        <v>0</v>
      </c>
      <c r="AB259" s="152">
        <f t="shared" si="221"/>
        <v>0</v>
      </c>
      <c r="AC259" s="152">
        <f t="shared" si="221"/>
        <v>0</v>
      </c>
      <c r="AD259" s="152">
        <f t="shared" si="221"/>
        <v>0</v>
      </c>
      <c r="AE259" s="152">
        <f t="shared" si="221"/>
        <v>0</v>
      </c>
      <c r="AF259" s="152">
        <f t="shared" si="221"/>
        <v>0</v>
      </c>
      <c r="AG259" s="152">
        <f t="shared" si="221"/>
        <v>0</v>
      </c>
      <c r="AH259" s="152">
        <f t="shared" si="221"/>
        <v>0</v>
      </c>
      <c r="AI259" s="152">
        <f t="shared" si="221"/>
        <v>0</v>
      </c>
      <c r="AJ259" s="152">
        <f t="shared" si="221"/>
        <v>0</v>
      </c>
      <c r="AK259" s="152">
        <f t="shared" si="221"/>
        <v>0</v>
      </c>
      <c r="AL259" s="152">
        <f t="shared" si="221"/>
        <v>0</v>
      </c>
      <c r="AM259" s="152">
        <f t="shared" ref="AM259:BD259" si="222">AM195</f>
        <v>0</v>
      </c>
      <c r="AN259" s="152">
        <f t="shared" si="222"/>
        <v>0</v>
      </c>
      <c r="AO259" s="152">
        <f t="shared" si="222"/>
        <v>0</v>
      </c>
      <c r="AP259" s="152">
        <f t="shared" si="222"/>
        <v>0</v>
      </c>
      <c r="AQ259" s="152">
        <f t="shared" si="222"/>
        <v>0</v>
      </c>
      <c r="AR259" s="152">
        <f t="shared" si="222"/>
        <v>0</v>
      </c>
      <c r="AS259" s="152">
        <f t="shared" si="222"/>
        <v>0</v>
      </c>
      <c r="AT259" s="152">
        <f t="shared" si="222"/>
        <v>0</v>
      </c>
      <c r="AU259" s="152">
        <f t="shared" si="222"/>
        <v>0</v>
      </c>
      <c r="AV259" s="152">
        <f t="shared" si="222"/>
        <v>0</v>
      </c>
      <c r="AW259" s="152">
        <f t="shared" si="222"/>
        <v>0</v>
      </c>
      <c r="AX259" s="152">
        <f t="shared" si="222"/>
        <v>0</v>
      </c>
      <c r="AY259" s="152">
        <f t="shared" si="222"/>
        <v>0</v>
      </c>
      <c r="AZ259" s="152">
        <f t="shared" si="222"/>
        <v>0</v>
      </c>
      <c r="BA259" s="152">
        <f t="shared" si="222"/>
        <v>0</v>
      </c>
      <c r="BB259" s="152">
        <f t="shared" si="222"/>
        <v>0</v>
      </c>
      <c r="BC259" s="152">
        <f t="shared" si="222"/>
        <v>0</v>
      </c>
      <c r="BD259" s="152">
        <f t="shared" si="222"/>
        <v>0</v>
      </c>
    </row>
    <row r="260" spans="3:56" ht="15" customHeight="1">
      <c r="C260" s="152">
        <f t="shared" si="210"/>
        <v>281.4034489933772</v>
      </c>
      <c r="D260" s="55" t="s">
        <v>327</v>
      </c>
      <c r="E260" s="128" t="s">
        <v>195</v>
      </c>
      <c r="G260" s="152">
        <f t="shared" ref="G260:AL260" si="223">G240</f>
        <v>12.338999999999999</v>
      </c>
      <c r="H260" s="152">
        <f t="shared" si="223"/>
        <v>15.057304200000004</v>
      </c>
      <c r="I260" s="152">
        <f t="shared" si="223"/>
        <v>9.6827344799999988</v>
      </c>
      <c r="J260" s="152">
        <f t="shared" si="223"/>
        <v>31.914833999999999</v>
      </c>
      <c r="K260" s="152">
        <f t="shared" si="223"/>
        <v>31.299545601600002</v>
      </c>
      <c r="L260" s="152">
        <f t="shared" si="223"/>
        <v>34.367591623152009</v>
      </c>
      <c r="M260" s="152">
        <f t="shared" si="223"/>
        <v>36.38440812003553</v>
      </c>
      <c r="N260" s="152">
        <f t="shared" si="223"/>
        <v>23.656361036072948</v>
      </c>
      <c r="O260" s="152">
        <f t="shared" si="223"/>
        <v>6.453403795255781</v>
      </c>
      <c r="P260" s="152">
        <f t="shared" si="223"/>
        <v>8.5623361022208346</v>
      </c>
      <c r="Q260" s="152">
        <f t="shared" si="223"/>
        <v>8.497756794787092</v>
      </c>
      <c r="R260" s="152">
        <f t="shared" si="223"/>
        <v>9.8801502266271122</v>
      </c>
      <c r="S260" s="152">
        <f t="shared" si="223"/>
        <v>11.132587965120422</v>
      </c>
      <c r="T260" s="152">
        <f t="shared" si="223"/>
        <v>10.289221773290926</v>
      </c>
      <c r="U260" s="152">
        <f t="shared" si="223"/>
        <v>15.642368862708768</v>
      </c>
      <c r="V260" s="152">
        <f t="shared" si="223"/>
        <v>11.817206948451574</v>
      </c>
      <c r="W260" s="152">
        <f t="shared" si="223"/>
        <v>4.4266374640541644</v>
      </c>
      <c r="X260" s="152">
        <f t="shared" si="223"/>
        <v>0</v>
      </c>
      <c r="Y260" s="152">
        <f t="shared" si="223"/>
        <v>0</v>
      </c>
      <c r="Z260" s="152">
        <f t="shared" si="223"/>
        <v>0</v>
      </c>
      <c r="AA260" s="152">
        <f t="shared" si="223"/>
        <v>0</v>
      </c>
      <c r="AB260" s="152">
        <f t="shared" si="223"/>
        <v>0</v>
      </c>
      <c r="AC260" s="152">
        <f t="shared" si="223"/>
        <v>0</v>
      </c>
      <c r="AD260" s="152">
        <f t="shared" si="223"/>
        <v>0</v>
      </c>
      <c r="AE260" s="152">
        <f t="shared" si="223"/>
        <v>0</v>
      </c>
      <c r="AF260" s="152">
        <f t="shared" si="223"/>
        <v>0</v>
      </c>
      <c r="AG260" s="152">
        <f t="shared" si="223"/>
        <v>0</v>
      </c>
      <c r="AH260" s="152">
        <f t="shared" si="223"/>
        <v>0</v>
      </c>
      <c r="AI260" s="152">
        <f t="shared" si="223"/>
        <v>0</v>
      </c>
      <c r="AJ260" s="152">
        <f t="shared" si="223"/>
        <v>0</v>
      </c>
      <c r="AK260" s="152">
        <f t="shared" si="223"/>
        <v>0</v>
      </c>
      <c r="AL260" s="152">
        <f t="shared" si="223"/>
        <v>0</v>
      </c>
      <c r="AM260" s="152">
        <f t="shared" ref="AM260:BD260" si="224">AM240</f>
        <v>0</v>
      </c>
      <c r="AN260" s="152">
        <f t="shared" si="224"/>
        <v>0</v>
      </c>
      <c r="AO260" s="152">
        <f t="shared" si="224"/>
        <v>0</v>
      </c>
      <c r="AP260" s="152">
        <f t="shared" si="224"/>
        <v>0</v>
      </c>
      <c r="AQ260" s="152">
        <f t="shared" si="224"/>
        <v>0</v>
      </c>
      <c r="AR260" s="152">
        <f t="shared" si="224"/>
        <v>0</v>
      </c>
      <c r="AS260" s="152">
        <f t="shared" si="224"/>
        <v>0</v>
      </c>
      <c r="AT260" s="152">
        <f t="shared" si="224"/>
        <v>0</v>
      </c>
      <c r="AU260" s="152">
        <f t="shared" si="224"/>
        <v>0</v>
      </c>
      <c r="AV260" s="152">
        <f t="shared" si="224"/>
        <v>0</v>
      </c>
      <c r="AW260" s="152">
        <f t="shared" si="224"/>
        <v>0</v>
      </c>
      <c r="AX260" s="152">
        <f t="shared" si="224"/>
        <v>0</v>
      </c>
      <c r="AY260" s="152">
        <f t="shared" si="224"/>
        <v>0</v>
      </c>
      <c r="AZ260" s="152">
        <f t="shared" si="224"/>
        <v>0</v>
      </c>
      <c r="BA260" s="152">
        <f t="shared" si="224"/>
        <v>0</v>
      </c>
      <c r="BB260" s="152">
        <f t="shared" si="224"/>
        <v>0</v>
      </c>
      <c r="BC260" s="152">
        <f t="shared" si="224"/>
        <v>0</v>
      </c>
      <c r="BD260" s="152">
        <f t="shared" si="224"/>
        <v>0</v>
      </c>
    </row>
    <row r="261" spans="3:56" ht="15" customHeight="1">
      <c r="C261" s="152">
        <f t="shared" si="210"/>
        <v>253.26310409403951</v>
      </c>
      <c r="D261" s="55" t="s">
        <v>328</v>
      </c>
      <c r="E261" s="128" t="s">
        <v>195</v>
      </c>
      <c r="G261" s="152">
        <f t="shared" ref="G261:AL261" si="225">G242</f>
        <v>11.1051</v>
      </c>
      <c r="H261" s="152">
        <f t="shared" si="225"/>
        <v>13.551573780000005</v>
      </c>
      <c r="I261" s="152">
        <f t="shared" si="225"/>
        <v>8.7144610319999991</v>
      </c>
      <c r="J261" s="152">
        <f t="shared" si="225"/>
        <v>28.7233506</v>
      </c>
      <c r="K261" s="152">
        <f t="shared" si="225"/>
        <v>28.16959104144</v>
      </c>
      <c r="L261" s="152">
        <f t="shared" si="225"/>
        <v>30.930832460836811</v>
      </c>
      <c r="M261" s="152">
        <f t="shared" si="225"/>
        <v>32.745967308031979</v>
      </c>
      <c r="N261" s="152">
        <f t="shared" si="225"/>
        <v>21.29072493246565</v>
      </c>
      <c r="O261" s="152">
        <f t="shared" si="225"/>
        <v>5.8080634157302029</v>
      </c>
      <c r="P261" s="152">
        <f t="shared" si="225"/>
        <v>7.7061024919987506</v>
      </c>
      <c r="Q261" s="152">
        <f t="shared" si="225"/>
        <v>7.6479811153083821</v>
      </c>
      <c r="R261" s="152">
        <f t="shared" si="225"/>
        <v>8.8921352039644006</v>
      </c>
      <c r="S261" s="152">
        <f t="shared" si="225"/>
        <v>10.01932916860838</v>
      </c>
      <c r="T261" s="152">
        <f t="shared" si="225"/>
        <v>9.2602995959618308</v>
      </c>
      <c r="U261" s="152">
        <f t="shared" si="225"/>
        <v>14.078131976437891</v>
      </c>
      <c r="V261" s="152">
        <f t="shared" si="225"/>
        <v>10.635486253606416</v>
      </c>
      <c r="W261" s="152">
        <f t="shared" si="225"/>
        <v>3.9839737176487477</v>
      </c>
      <c r="X261" s="152">
        <f t="shared" si="225"/>
        <v>0</v>
      </c>
      <c r="Y261" s="152">
        <f t="shared" si="225"/>
        <v>0</v>
      </c>
      <c r="Z261" s="152">
        <f t="shared" si="225"/>
        <v>0</v>
      </c>
      <c r="AA261" s="152">
        <f t="shared" si="225"/>
        <v>0</v>
      </c>
      <c r="AB261" s="152">
        <f t="shared" si="225"/>
        <v>0</v>
      </c>
      <c r="AC261" s="152">
        <f t="shared" si="225"/>
        <v>0</v>
      </c>
      <c r="AD261" s="152">
        <f t="shared" si="225"/>
        <v>0</v>
      </c>
      <c r="AE261" s="152">
        <f t="shared" si="225"/>
        <v>0</v>
      </c>
      <c r="AF261" s="152">
        <f t="shared" si="225"/>
        <v>0</v>
      </c>
      <c r="AG261" s="152">
        <f t="shared" si="225"/>
        <v>0</v>
      </c>
      <c r="AH261" s="152">
        <f t="shared" si="225"/>
        <v>0</v>
      </c>
      <c r="AI261" s="152">
        <f t="shared" si="225"/>
        <v>0</v>
      </c>
      <c r="AJ261" s="152">
        <f t="shared" si="225"/>
        <v>0</v>
      </c>
      <c r="AK261" s="152">
        <f t="shared" si="225"/>
        <v>0</v>
      </c>
      <c r="AL261" s="152">
        <f t="shared" si="225"/>
        <v>0</v>
      </c>
      <c r="AM261" s="152">
        <f t="shared" ref="AM261:BD261" si="226">AM242</f>
        <v>0</v>
      </c>
      <c r="AN261" s="152">
        <f t="shared" si="226"/>
        <v>0</v>
      </c>
      <c r="AO261" s="152">
        <f t="shared" si="226"/>
        <v>0</v>
      </c>
      <c r="AP261" s="152">
        <f t="shared" si="226"/>
        <v>0</v>
      </c>
      <c r="AQ261" s="152">
        <f t="shared" si="226"/>
        <v>0</v>
      </c>
      <c r="AR261" s="152">
        <f t="shared" si="226"/>
        <v>0</v>
      </c>
      <c r="AS261" s="152">
        <f t="shared" si="226"/>
        <v>0</v>
      </c>
      <c r="AT261" s="152">
        <f t="shared" si="226"/>
        <v>0</v>
      </c>
      <c r="AU261" s="152">
        <f t="shared" si="226"/>
        <v>0</v>
      </c>
      <c r="AV261" s="152">
        <f t="shared" si="226"/>
        <v>0</v>
      </c>
      <c r="AW261" s="152">
        <f t="shared" si="226"/>
        <v>0</v>
      </c>
      <c r="AX261" s="152">
        <f t="shared" si="226"/>
        <v>0</v>
      </c>
      <c r="AY261" s="152">
        <f t="shared" si="226"/>
        <v>0</v>
      </c>
      <c r="AZ261" s="152">
        <f t="shared" si="226"/>
        <v>0</v>
      </c>
      <c r="BA261" s="152">
        <f t="shared" si="226"/>
        <v>0</v>
      </c>
      <c r="BB261" s="152">
        <f t="shared" si="226"/>
        <v>0</v>
      </c>
      <c r="BC261" s="152">
        <f t="shared" si="226"/>
        <v>0</v>
      </c>
      <c r="BD261" s="152">
        <f t="shared" si="226"/>
        <v>0</v>
      </c>
    </row>
    <row r="262" spans="3:56" ht="15" customHeight="1">
      <c r="C262" s="152">
        <f t="shared" si="210"/>
        <v>2279.367936846355</v>
      </c>
      <c r="D262" s="55" t="s">
        <v>329</v>
      </c>
      <c r="E262" s="128" t="s">
        <v>195</v>
      </c>
      <c r="G262" s="152">
        <f t="shared" ref="G262:AL262" si="227">G254-SUM(G255:G261)</f>
        <v>99.945899999999995</v>
      </c>
      <c r="H262" s="152">
        <f t="shared" si="227"/>
        <v>121.96416402000003</v>
      </c>
      <c r="I262" s="152">
        <f t="shared" si="227"/>
        <v>78.430149287999981</v>
      </c>
      <c r="J262" s="152">
        <f t="shared" si="227"/>
        <v>258.51015539999992</v>
      </c>
      <c r="K262" s="152">
        <f t="shared" si="227"/>
        <v>253.52631937295999</v>
      </c>
      <c r="L262" s="152">
        <f t="shared" si="227"/>
        <v>278.37749214753126</v>
      </c>
      <c r="M262" s="152">
        <f t="shared" si="227"/>
        <v>294.71370577228771</v>
      </c>
      <c r="N262" s="152">
        <f t="shared" si="227"/>
        <v>191.61652439219085</v>
      </c>
      <c r="O262" s="152">
        <f t="shared" si="227"/>
        <v>52.272570741571826</v>
      </c>
      <c r="P262" s="152">
        <f t="shared" si="227"/>
        <v>69.354922427988754</v>
      </c>
      <c r="Q262" s="152">
        <f t="shared" si="227"/>
        <v>68.831830037775433</v>
      </c>
      <c r="R262" s="152">
        <f t="shared" si="227"/>
        <v>80.029216835679605</v>
      </c>
      <c r="S262" s="152">
        <f t="shared" si="227"/>
        <v>90.173962517475417</v>
      </c>
      <c r="T262" s="152">
        <f t="shared" si="227"/>
        <v>83.342696363656501</v>
      </c>
      <c r="U262" s="152">
        <f t="shared" si="227"/>
        <v>126.70318778794102</v>
      </c>
      <c r="V262" s="152">
        <f t="shared" si="227"/>
        <v>95.719376282457745</v>
      </c>
      <c r="W262" s="152">
        <f t="shared" si="227"/>
        <v>35.855763458838737</v>
      </c>
      <c r="X262" s="152">
        <f t="shared" si="227"/>
        <v>0</v>
      </c>
      <c r="Y262" s="152">
        <f t="shared" si="227"/>
        <v>0</v>
      </c>
      <c r="Z262" s="152">
        <f t="shared" si="227"/>
        <v>0</v>
      </c>
      <c r="AA262" s="152">
        <f t="shared" si="227"/>
        <v>0</v>
      </c>
      <c r="AB262" s="152">
        <f t="shared" si="227"/>
        <v>0</v>
      </c>
      <c r="AC262" s="152">
        <f t="shared" si="227"/>
        <v>0</v>
      </c>
      <c r="AD262" s="152">
        <f t="shared" si="227"/>
        <v>0</v>
      </c>
      <c r="AE262" s="152">
        <f t="shared" si="227"/>
        <v>0</v>
      </c>
      <c r="AF262" s="152">
        <f t="shared" si="227"/>
        <v>0</v>
      </c>
      <c r="AG262" s="152">
        <f t="shared" si="227"/>
        <v>0</v>
      </c>
      <c r="AH262" s="152">
        <f t="shared" si="227"/>
        <v>0</v>
      </c>
      <c r="AI262" s="152">
        <f t="shared" si="227"/>
        <v>0</v>
      </c>
      <c r="AJ262" s="152">
        <f t="shared" si="227"/>
        <v>0</v>
      </c>
      <c r="AK262" s="152">
        <f t="shared" si="227"/>
        <v>0</v>
      </c>
      <c r="AL262" s="152">
        <f t="shared" si="227"/>
        <v>0</v>
      </c>
      <c r="AM262" s="152">
        <f t="shared" ref="AM262:BR262" si="228">AM254-SUM(AM255:AM261)</f>
        <v>0</v>
      </c>
      <c r="AN262" s="152">
        <f t="shared" si="228"/>
        <v>0</v>
      </c>
      <c r="AO262" s="152">
        <f t="shared" si="228"/>
        <v>0</v>
      </c>
      <c r="AP262" s="152">
        <f t="shared" si="228"/>
        <v>0</v>
      </c>
      <c r="AQ262" s="152">
        <f t="shared" si="228"/>
        <v>0</v>
      </c>
      <c r="AR262" s="152">
        <f t="shared" si="228"/>
        <v>0</v>
      </c>
      <c r="AS262" s="152">
        <f t="shared" si="228"/>
        <v>0</v>
      </c>
      <c r="AT262" s="152">
        <f t="shared" si="228"/>
        <v>0</v>
      </c>
      <c r="AU262" s="152">
        <f t="shared" si="228"/>
        <v>0</v>
      </c>
      <c r="AV262" s="152">
        <f t="shared" si="228"/>
        <v>0</v>
      </c>
      <c r="AW262" s="152">
        <f t="shared" si="228"/>
        <v>0</v>
      </c>
      <c r="AX262" s="152">
        <f t="shared" si="228"/>
        <v>0</v>
      </c>
      <c r="AY262" s="152">
        <f t="shared" si="228"/>
        <v>0</v>
      </c>
      <c r="AZ262" s="152">
        <f t="shared" si="228"/>
        <v>0</v>
      </c>
      <c r="BA262" s="152">
        <f t="shared" si="228"/>
        <v>0</v>
      </c>
      <c r="BB262" s="152">
        <f t="shared" si="228"/>
        <v>0</v>
      </c>
      <c r="BC262" s="152">
        <f t="shared" si="228"/>
        <v>0</v>
      </c>
      <c r="BD262" s="152">
        <f t="shared" si="228"/>
        <v>0</v>
      </c>
    </row>
    <row r="263" spans="3:56" ht="15" customHeight="1">
      <c r="C263" s="204">
        <f>IFERROR(IRR(G262:BD262),0)</f>
        <v>0</v>
      </c>
      <c r="D263" s="55" t="s">
        <v>330</v>
      </c>
      <c r="E263" s="128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  <c r="AM263" s="152"/>
      <c r="AN263" s="152"/>
      <c r="AO263" s="152"/>
      <c r="AP263" s="152"/>
      <c r="AQ263" s="152"/>
      <c r="AR263" s="152"/>
      <c r="AS263" s="152"/>
      <c r="AT263" s="152"/>
      <c r="AU263" s="152"/>
      <c r="AV263" s="152"/>
      <c r="AW263" s="152"/>
      <c r="AX263" s="152"/>
      <c r="AY263" s="152"/>
      <c r="AZ263" s="152"/>
      <c r="BA263" s="152"/>
      <c r="BB263" s="152"/>
      <c r="BC263" s="152"/>
      <c r="BD263" s="152"/>
    </row>
    <row r="264" spans="3:56" ht="15" customHeight="1">
      <c r="C264" s="152">
        <f>SUM(G264:BD264)</f>
        <v>0</v>
      </c>
      <c r="D264" s="55" t="s">
        <v>331</v>
      </c>
      <c r="E264" s="128" t="s">
        <v>195</v>
      </c>
      <c r="G264" s="152">
        <f t="shared" ref="G264:AL264" si="229">G75+G76+G77</f>
        <v>0</v>
      </c>
      <c r="H264" s="152">
        <f t="shared" si="229"/>
        <v>0</v>
      </c>
      <c r="I264" s="152">
        <f t="shared" si="229"/>
        <v>0</v>
      </c>
      <c r="J264" s="152">
        <f t="shared" si="229"/>
        <v>0</v>
      </c>
      <c r="K264" s="152">
        <f t="shared" si="229"/>
        <v>0</v>
      </c>
      <c r="L264" s="152">
        <f t="shared" si="229"/>
        <v>0</v>
      </c>
      <c r="M264" s="152">
        <f t="shared" si="229"/>
        <v>0</v>
      </c>
      <c r="N264" s="152">
        <f t="shared" si="229"/>
        <v>0</v>
      </c>
      <c r="O264" s="152">
        <f t="shared" si="229"/>
        <v>0</v>
      </c>
      <c r="P264" s="152">
        <f t="shared" si="229"/>
        <v>0</v>
      </c>
      <c r="Q264" s="152">
        <f t="shared" si="229"/>
        <v>0</v>
      </c>
      <c r="R264" s="152">
        <f t="shared" si="229"/>
        <v>0</v>
      </c>
      <c r="S264" s="152">
        <f t="shared" si="229"/>
        <v>0</v>
      </c>
      <c r="T264" s="152">
        <f t="shared" si="229"/>
        <v>0</v>
      </c>
      <c r="U264" s="152">
        <f t="shared" si="229"/>
        <v>0</v>
      </c>
      <c r="V264" s="152">
        <f t="shared" si="229"/>
        <v>0</v>
      </c>
      <c r="W264" s="152">
        <f t="shared" si="229"/>
        <v>0</v>
      </c>
      <c r="X264" s="152">
        <f t="shared" si="229"/>
        <v>0</v>
      </c>
      <c r="Y264" s="152">
        <f t="shared" si="229"/>
        <v>0</v>
      </c>
      <c r="Z264" s="152">
        <f t="shared" si="229"/>
        <v>0</v>
      </c>
      <c r="AA264" s="152">
        <f t="shared" si="229"/>
        <v>0</v>
      </c>
      <c r="AB264" s="152">
        <f t="shared" si="229"/>
        <v>0</v>
      </c>
      <c r="AC264" s="152">
        <f t="shared" si="229"/>
        <v>0</v>
      </c>
      <c r="AD264" s="152">
        <f t="shared" si="229"/>
        <v>0</v>
      </c>
      <c r="AE264" s="152">
        <f t="shared" si="229"/>
        <v>0</v>
      </c>
      <c r="AF264" s="152">
        <f t="shared" si="229"/>
        <v>0</v>
      </c>
      <c r="AG264" s="152">
        <f t="shared" si="229"/>
        <v>0</v>
      </c>
      <c r="AH264" s="152">
        <f t="shared" si="229"/>
        <v>0</v>
      </c>
      <c r="AI264" s="152">
        <f t="shared" si="229"/>
        <v>0</v>
      </c>
      <c r="AJ264" s="152">
        <f t="shared" si="229"/>
        <v>0</v>
      </c>
      <c r="AK264" s="152">
        <f t="shared" si="229"/>
        <v>0</v>
      </c>
      <c r="AL264" s="152">
        <f t="shared" si="229"/>
        <v>0</v>
      </c>
      <c r="AM264" s="152">
        <f t="shared" ref="AM264:BD264" si="230">AM75+AM76+AM77</f>
        <v>0</v>
      </c>
      <c r="AN264" s="152">
        <f t="shared" si="230"/>
        <v>0</v>
      </c>
      <c r="AO264" s="152">
        <f t="shared" si="230"/>
        <v>0</v>
      </c>
      <c r="AP264" s="152">
        <f t="shared" si="230"/>
        <v>0</v>
      </c>
      <c r="AQ264" s="152">
        <f t="shared" si="230"/>
        <v>0</v>
      </c>
      <c r="AR264" s="152">
        <f t="shared" si="230"/>
        <v>0</v>
      </c>
      <c r="AS264" s="152">
        <f t="shared" si="230"/>
        <v>0</v>
      </c>
      <c r="AT264" s="152">
        <f t="shared" si="230"/>
        <v>0</v>
      </c>
      <c r="AU264" s="152">
        <f t="shared" si="230"/>
        <v>0</v>
      </c>
      <c r="AV264" s="152">
        <f t="shared" si="230"/>
        <v>0</v>
      </c>
      <c r="AW264" s="152">
        <f t="shared" si="230"/>
        <v>0</v>
      </c>
      <c r="AX264" s="152">
        <f t="shared" si="230"/>
        <v>0</v>
      </c>
      <c r="AY264" s="152">
        <f t="shared" si="230"/>
        <v>0</v>
      </c>
      <c r="AZ264" s="152">
        <f t="shared" si="230"/>
        <v>0</v>
      </c>
      <c r="BA264" s="152">
        <f t="shared" si="230"/>
        <v>0</v>
      </c>
      <c r="BB264" s="152">
        <f t="shared" si="230"/>
        <v>0</v>
      </c>
      <c r="BC264" s="152">
        <f t="shared" si="230"/>
        <v>0</v>
      </c>
      <c r="BD264" s="152">
        <f t="shared" si="230"/>
        <v>0</v>
      </c>
    </row>
    <row r="265" spans="3:56" ht="15" customHeight="1">
      <c r="C265" s="152"/>
      <c r="E265" s="128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  <c r="AM265" s="152"/>
      <c r="AN265" s="152"/>
      <c r="AO265" s="152"/>
      <c r="AP265" s="152"/>
      <c r="AQ265" s="152"/>
      <c r="AR265" s="152"/>
      <c r="AS265" s="152"/>
      <c r="AT265" s="152"/>
      <c r="AU265" s="152"/>
      <c r="AV265" s="152"/>
      <c r="AW265" s="152"/>
      <c r="AX265" s="152"/>
      <c r="AY265" s="152"/>
      <c r="AZ265" s="152"/>
      <c r="BA265" s="152"/>
      <c r="BB265" s="152"/>
      <c r="BC265" s="152"/>
      <c r="BD265" s="152"/>
    </row>
    <row r="266" spans="3:56" ht="15" customHeight="1">
      <c r="C266" s="151"/>
      <c r="D266" s="33" t="s">
        <v>332</v>
      </c>
      <c r="E266" s="128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  <c r="AM266" s="152"/>
      <c r="AN266" s="152"/>
      <c r="AO266" s="152"/>
      <c r="AP266" s="152"/>
      <c r="AQ266" s="152"/>
      <c r="AR266" s="152"/>
      <c r="AS266" s="152"/>
      <c r="AT266" s="152"/>
      <c r="AU266" s="152"/>
      <c r="AV266" s="152"/>
      <c r="AW266" s="152"/>
      <c r="AX266" s="152"/>
      <c r="AY266" s="152"/>
      <c r="AZ266" s="152"/>
      <c r="BA266" s="152"/>
      <c r="BB266" s="152"/>
      <c r="BC266" s="152"/>
      <c r="BD266" s="152"/>
    </row>
    <row r="267" spans="3:56" ht="15" customHeight="1">
      <c r="D267" s="55" t="s">
        <v>191</v>
      </c>
      <c r="G267" s="168">
        <f t="shared" ref="G267:AL267" si="231">G40</f>
        <v>1</v>
      </c>
      <c r="H267" s="168">
        <f t="shared" si="231"/>
        <v>1.02</v>
      </c>
      <c r="I267" s="168">
        <f t="shared" si="231"/>
        <v>1.0404</v>
      </c>
      <c r="J267" s="168">
        <f t="shared" si="231"/>
        <v>1.0612079999999999</v>
      </c>
      <c r="K267" s="168">
        <f t="shared" si="231"/>
        <v>1.08243216</v>
      </c>
      <c r="L267" s="168">
        <f t="shared" si="231"/>
        <v>1.1040808032</v>
      </c>
      <c r="M267" s="168">
        <f t="shared" si="231"/>
        <v>1.1261624192640001</v>
      </c>
      <c r="N267" s="168">
        <f t="shared" si="231"/>
        <v>1.1486856676492798</v>
      </c>
      <c r="O267" s="168">
        <f t="shared" si="231"/>
        <v>1.1716593810022655</v>
      </c>
      <c r="P267" s="168">
        <f t="shared" si="231"/>
        <v>1.1950925686223108</v>
      </c>
      <c r="Q267" s="168">
        <f t="shared" si="231"/>
        <v>1.2189944199947571</v>
      </c>
      <c r="R267" s="168">
        <f t="shared" si="231"/>
        <v>1.243374308394652</v>
      </c>
      <c r="S267" s="168">
        <f t="shared" si="231"/>
        <v>1.2682417945625453</v>
      </c>
      <c r="T267" s="168">
        <f t="shared" si="231"/>
        <v>1.2936066304537961</v>
      </c>
      <c r="U267" s="168">
        <f t="shared" si="231"/>
        <v>1.3194787630628722</v>
      </c>
      <c r="V267" s="168">
        <f t="shared" si="231"/>
        <v>1.3458683383241292</v>
      </c>
      <c r="W267" s="168">
        <f t="shared" si="231"/>
        <v>1.372785705090612</v>
      </c>
      <c r="X267" s="168">
        <f t="shared" si="231"/>
        <v>1.4002414191924244</v>
      </c>
      <c r="Y267" s="168">
        <f t="shared" si="231"/>
        <v>1.4282462475762727</v>
      </c>
      <c r="Z267" s="168">
        <f t="shared" si="231"/>
        <v>1.4568111725277981</v>
      </c>
      <c r="AA267" s="168">
        <f t="shared" si="231"/>
        <v>1.4859473959783542</v>
      </c>
      <c r="AB267" s="168">
        <f t="shared" si="231"/>
        <v>1.5156663438979212</v>
      </c>
      <c r="AC267" s="168">
        <f t="shared" si="231"/>
        <v>1.5459796707758797</v>
      </c>
      <c r="AD267" s="168">
        <f t="shared" si="231"/>
        <v>1.576899264191397</v>
      </c>
      <c r="AE267" s="168">
        <f t="shared" si="231"/>
        <v>1.608437249475225</v>
      </c>
      <c r="AF267" s="168">
        <f t="shared" si="231"/>
        <v>1.6406059944647295</v>
      </c>
      <c r="AG267" s="168">
        <f t="shared" si="231"/>
        <v>1.6734181143540243</v>
      </c>
      <c r="AH267" s="168">
        <f t="shared" si="231"/>
        <v>1.7068864766411045</v>
      </c>
      <c r="AI267" s="168">
        <f t="shared" si="231"/>
        <v>1.7410242061739269</v>
      </c>
      <c r="AJ267" s="168">
        <f t="shared" si="231"/>
        <v>1.7758446902974052</v>
      </c>
      <c r="AK267" s="168">
        <f t="shared" si="231"/>
        <v>1.8113615841033535</v>
      </c>
      <c r="AL267" s="168">
        <f t="shared" si="231"/>
        <v>1.8475888157854201</v>
      </c>
      <c r="AM267" s="168">
        <f t="shared" ref="AM267:BD267" si="232">AM40</f>
        <v>1.8845405921011289</v>
      </c>
      <c r="AN267" s="168">
        <f t="shared" si="232"/>
        <v>1.9222314039431516</v>
      </c>
      <c r="AO267" s="168">
        <f t="shared" si="232"/>
        <v>1.9606760320220145</v>
      </c>
      <c r="AP267" s="168">
        <f t="shared" si="232"/>
        <v>1.9998895526624547</v>
      </c>
      <c r="AQ267" s="168">
        <f t="shared" si="232"/>
        <v>2.0398873437157037</v>
      </c>
      <c r="AR267" s="168">
        <f t="shared" si="232"/>
        <v>2.080685090590018</v>
      </c>
      <c r="AS267" s="168">
        <f t="shared" si="232"/>
        <v>2.1222987924018186</v>
      </c>
      <c r="AT267" s="168">
        <f t="shared" si="232"/>
        <v>2.1647447682498542</v>
      </c>
      <c r="AU267" s="168">
        <f t="shared" si="232"/>
        <v>2.2080396636148518</v>
      </c>
      <c r="AV267" s="168">
        <f t="shared" si="232"/>
        <v>2.2522004568871488</v>
      </c>
      <c r="AW267" s="168">
        <f t="shared" si="232"/>
        <v>2.2972444660248916</v>
      </c>
      <c r="AX267" s="168">
        <f t="shared" si="232"/>
        <v>2.3431893553453893</v>
      </c>
      <c r="AY267" s="168">
        <f t="shared" si="232"/>
        <v>2.3900531424522975</v>
      </c>
      <c r="AZ267" s="168">
        <f t="shared" si="232"/>
        <v>2.4378542053013432</v>
      </c>
      <c r="BA267" s="168">
        <f t="shared" si="232"/>
        <v>2.4866112894073704</v>
      </c>
      <c r="BB267" s="168">
        <f t="shared" si="232"/>
        <v>2.5363435151955169</v>
      </c>
      <c r="BC267" s="168">
        <f t="shared" si="232"/>
        <v>2.5870703854994277</v>
      </c>
      <c r="BD267" s="168">
        <f t="shared" si="232"/>
        <v>2.6388117932094164</v>
      </c>
    </row>
    <row r="268" spans="3:56" ht="15" customHeight="1">
      <c r="C268" s="152">
        <f>SUM(G268:BD268)</f>
        <v>3252.6666</v>
      </c>
      <c r="D268" s="55" t="s">
        <v>311</v>
      </c>
      <c r="E268" s="128" t="s">
        <v>153</v>
      </c>
      <c r="G268" s="152">
        <f t="shared" ref="G268:AL268" si="233">G254/G$267</f>
        <v>123.38999999999999</v>
      </c>
      <c r="H268" s="152">
        <f t="shared" si="233"/>
        <v>230.66280000000003</v>
      </c>
      <c r="I268" s="152">
        <f t="shared" si="233"/>
        <v>164.21599999999998</v>
      </c>
      <c r="J268" s="152">
        <f t="shared" si="233"/>
        <v>379.99999999999994</v>
      </c>
      <c r="K268" s="152">
        <f t="shared" si="233"/>
        <v>364</v>
      </c>
      <c r="L268" s="152">
        <f t="shared" si="233"/>
        <v>393.00000000000006</v>
      </c>
      <c r="M268" s="152">
        <f t="shared" si="233"/>
        <v>417.00000000000006</v>
      </c>
      <c r="N268" s="152">
        <f t="shared" si="233"/>
        <v>278.40000000000003</v>
      </c>
      <c r="O268" s="152">
        <f t="shared" si="233"/>
        <v>75.959100000000007</v>
      </c>
      <c r="P268" s="152">
        <f t="shared" si="233"/>
        <v>94.951700000000031</v>
      </c>
      <c r="Q268" s="152">
        <f t="shared" si="233"/>
        <v>90.959099999999992</v>
      </c>
      <c r="R268" s="152">
        <f t="shared" si="233"/>
        <v>101.95540000000001</v>
      </c>
      <c r="S268" s="152">
        <f t="shared" si="233"/>
        <v>115.96809999999999</v>
      </c>
      <c r="T268" s="152">
        <f t="shared" si="233"/>
        <v>108.96439999999994</v>
      </c>
      <c r="U268" s="152">
        <f t="shared" si="233"/>
        <v>157.95860000000005</v>
      </c>
      <c r="V268" s="152">
        <f t="shared" si="233"/>
        <v>115.16300000000003</v>
      </c>
      <c r="W268" s="152">
        <f t="shared" si="233"/>
        <v>40.118399999999987</v>
      </c>
      <c r="X268" s="152">
        <f t="shared" si="233"/>
        <v>0</v>
      </c>
      <c r="Y268" s="152">
        <f t="shared" si="233"/>
        <v>0</v>
      </c>
      <c r="Z268" s="152">
        <f t="shared" si="233"/>
        <v>0</v>
      </c>
      <c r="AA268" s="152">
        <f t="shared" si="233"/>
        <v>0</v>
      </c>
      <c r="AB268" s="152">
        <f t="shared" si="233"/>
        <v>0</v>
      </c>
      <c r="AC268" s="152">
        <f t="shared" si="233"/>
        <v>0</v>
      </c>
      <c r="AD268" s="152">
        <f t="shared" si="233"/>
        <v>0</v>
      </c>
      <c r="AE268" s="152">
        <f t="shared" si="233"/>
        <v>0</v>
      </c>
      <c r="AF268" s="152">
        <f t="shared" si="233"/>
        <v>0</v>
      </c>
      <c r="AG268" s="152">
        <f t="shared" si="233"/>
        <v>0</v>
      </c>
      <c r="AH268" s="152">
        <f t="shared" si="233"/>
        <v>0</v>
      </c>
      <c r="AI268" s="152">
        <f t="shared" si="233"/>
        <v>0</v>
      </c>
      <c r="AJ268" s="152">
        <f t="shared" si="233"/>
        <v>0</v>
      </c>
      <c r="AK268" s="152">
        <f t="shared" si="233"/>
        <v>0</v>
      </c>
      <c r="AL268" s="152">
        <f t="shared" si="233"/>
        <v>0</v>
      </c>
      <c r="AM268" s="152">
        <f t="shared" ref="AM268:BD268" si="234">AM254/AM$267</f>
        <v>0</v>
      </c>
      <c r="AN268" s="152">
        <f t="shared" si="234"/>
        <v>0</v>
      </c>
      <c r="AO268" s="152">
        <f t="shared" si="234"/>
        <v>0</v>
      </c>
      <c r="AP268" s="152">
        <f t="shared" si="234"/>
        <v>0</v>
      </c>
      <c r="AQ268" s="152">
        <f t="shared" si="234"/>
        <v>0</v>
      </c>
      <c r="AR268" s="152">
        <f t="shared" si="234"/>
        <v>0</v>
      </c>
      <c r="AS268" s="152">
        <f t="shared" si="234"/>
        <v>0</v>
      </c>
      <c r="AT268" s="152">
        <f t="shared" si="234"/>
        <v>0</v>
      </c>
      <c r="AU268" s="152">
        <f t="shared" si="234"/>
        <v>0</v>
      </c>
      <c r="AV268" s="152">
        <f t="shared" si="234"/>
        <v>0</v>
      </c>
      <c r="AW268" s="152">
        <f t="shared" si="234"/>
        <v>0</v>
      </c>
      <c r="AX268" s="152">
        <f t="shared" si="234"/>
        <v>0</v>
      </c>
      <c r="AY268" s="152">
        <f t="shared" si="234"/>
        <v>0</v>
      </c>
      <c r="AZ268" s="152">
        <f t="shared" si="234"/>
        <v>0</v>
      </c>
      <c r="BA268" s="152">
        <f t="shared" si="234"/>
        <v>0</v>
      </c>
      <c r="BB268" s="152">
        <f t="shared" si="234"/>
        <v>0</v>
      </c>
      <c r="BC268" s="152">
        <f t="shared" si="234"/>
        <v>0</v>
      </c>
      <c r="BD268" s="152">
        <f t="shared" si="234"/>
        <v>0</v>
      </c>
    </row>
    <row r="269" spans="3:56" ht="15" customHeight="1">
      <c r="C269" s="152">
        <f>SUM(G269:BD269)</f>
        <v>0</v>
      </c>
      <c r="D269" s="55" t="s">
        <v>322</v>
      </c>
      <c r="E269" s="128" t="s">
        <v>153</v>
      </c>
      <c r="G269" s="152">
        <f t="shared" ref="G269:AL269" si="235">G255/G$267</f>
        <v>0</v>
      </c>
      <c r="H269" s="152">
        <f t="shared" si="235"/>
        <v>0</v>
      </c>
      <c r="I269" s="152">
        <f t="shared" si="235"/>
        <v>0</v>
      </c>
      <c r="J269" s="152">
        <f t="shared" si="235"/>
        <v>0</v>
      </c>
      <c r="K269" s="152">
        <f t="shared" si="235"/>
        <v>0</v>
      </c>
      <c r="L269" s="152">
        <f t="shared" si="235"/>
        <v>0</v>
      </c>
      <c r="M269" s="152">
        <f t="shared" si="235"/>
        <v>0</v>
      </c>
      <c r="N269" s="152">
        <f t="shared" si="235"/>
        <v>0</v>
      </c>
      <c r="O269" s="152">
        <f t="shared" si="235"/>
        <v>0</v>
      </c>
      <c r="P269" s="152">
        <f t="shared" si="235"/>
        <v>0</v>
      </c>
      <c r="Q269" s="152">
        <f t="shared" si="235"/>
        <v>0</v>
      </c>
      <c r="R269" s="152">
        <f t="shared" si="235"/>
        <v>0</v>
      </c>
      <c r="S269" s="152">
        <f t="shared" si="235"/>
        <v>0</v>
      </c>
      <c r="T269" s="152">
        <f t="shared" si="235"/>
        <v>0</v>
      </c>
      <c r="U269" s="152">
        <f t="shared" si="235"/>
        <v>0</v>
      </c>
      <c r="V269" s="152">
        <f t="shared" si="235"/>
        <v>0</v>
      </c>
      <c r="W269" s="152">
        <f t="shared" si="235"/>
        <v>0</v>
      </c>
      <c r="X269" s="152">
        <f t="shared" si="235"/>
        <v>0</v>
      </c>
      <c r="Y269" s="152">
        <f t="shared" si="235"/>
        <v>0</v>
      </c>
      <c r="Z269" s="152">
        <f t="shared" si="235"/>
        <v>0</v>
      </c>
      <c r="AA269" s="152">
        <f t="shared" si="235"/>
        <v>0</v>
      </c>
      <c r="AB269" s="152">
        <f t="shared" si="235"/>
        <v>0</v>
      </c>
      <c r="AC269" s="152">
        <f t="shared" si="235"/>
        <v>0</v>
      </c>
      <c r="AD269" s="152">
        <f t="shared" si="235"/>
        <v>0</v>
      </c>
      <c r="AE269" s="152">
        <f t="shared" si="235"/>
        <v>0</v>
      </c>
      <c r="AF269" s="152">
        <f t="shared" si="235"/>
        <v>0</v>
      </c>
      <c r="AG269" s="152">
        <f t="shared" si="235"/>
        <v>0</v>
      </c>
      <c r="AH269" s="152">
        <f t="shared" si="235"/>
        <v>0</v>
      </c>
      <c r="AI269" s="152">
        <f t="shared" si="235"/>
        <v>0</v>
      </c>
      <c r="AJ269" s="152">
        <f t="shared" si="235"/>
        <v>0</v>
      </c>
      <c r="AK269" s="152">
        <f t="shared" si="235"/>
        <v>0</v>
      </c>
      <c r="AL269" s="152">
        <f t="shared" si="235"/>
        <v>0</v>
      </c>
      <c r="AM269" s="152">
        <f t="shared" ref="AM269:BD269" si="236">AM255/AM$267</f>
        <v>0</v>
      </c>
      <c r="AN269" s="152">
        <f t="shared" si="236"/>
        <v>0</v>
      </c>
      <c r="AO269" s="152">
        <f t="shared" si="236"/>
        <v>0</v>
      </c>
      <c r="AP269" s="152">
        <f t="shared" si="236"/>
        <v>0</v>
      </c>
      <c r="AQ269" s="152">
        <f t="shared" si="236"/>
        <v>0</v>
      </c>
      <c r="AR269" s="152">
        <f t="shared" si="236"/>
        <v>0</v>
      </c>
      <c r="AS269" s="152">
        <f t="shared" si="236"/>
        <v>0</v>
      </c>
      <c r="AT269" s="152">
        <f t="shared" si="236"/>
        <v>0</v>
      </c>
      <c r="AU269" s="152">
        <f t="shared" si="236"/>
        <v>0</v>
      </c>
      <c r="AV269" s="152">
        <f t="shared" si="236"/>
        <v>0</v>
      </c>
      <c r="AW269" s="152">
        <f t="shared" si="236"/>
        <v>0</v>
      </c>
      <c r="AX269" s="152">
        <f t="shared" si="236"/>
        <v>0</v>
      </c>
      <c r="AY269" s="152">
        <f t="shared" si="236"/>
        <v>0</v>
      </c>
      <c r="AZ269" s="152">
        <f t="shared" si="236"/>
        <v>0</v>
      </c>
      <c r="BA269" s="152">
        <f t="shared" si="236"/>
        <v>0</v>
      </c>
      <c r="BB269" s="152">
        <f t="shared" si="236"/>
        <v>0</v>
      </c>
      <c r="BC269" s="152">
        <f t="shared" si="236"/>
        <v>0</v>
      </c>
      <c r="BD269" s="152">
        <f t="shared" si="236"/>
        <v>0</v>
      </c>
    </row>
    <row r="270" spans="3:56" ht="15" customHeight="1">
      <c r="C270" s="152">
        <f>SUM(G270:BD270)</f>
        <v>776.56850806046259</v>
      </c>
      <c r="D270" s="55" t="s">
        <v>323</v>
      </c>
      <c r="E270" s="128" t="s">
        <v>153</v>
      </c>
      <c r="G270" s="152">
        <f t="shared" ref="G270:AL270" si="237">G256/G$267</f>
        <v>0</v>
      </c>
      <c r="H270" s="152">
        <f t="shared" si="237"/>
        <v>83.042170588235294</v>
      </c>
      <c r="I270" s="152">
        <f t="shared" si="237"/>
        <v>71.14857900807381</v>
      </c>
      <c r="J270" s="152">
        <f t="shared" si="237"/>
        <v>79.259391184386089</v>
      </c>
      <c r="K270" s="152">
        <f t="shared" si="237"/>
        <v>74.840579592535377</v>
      </c>
      <c r="L270" s="152">
        <f t="shared" si="237"/>
        <v>81.722134072587053</v>
      </c>
      <c r="M270" s="152">
        <f t="shared" si="237"/>
        <v>93.916868316255517</v>
      </c>
      <c r="N270" s="152">
        <f t="shared" si="237"/>
        <v>72.457141110811051</v>
      </c>
      <c r="O270" s="152">
        <f t="shared" si="237"/>
        <v>20.879919993474697</v>
      </c>
      <c r="P270" s="152">
        <f t="shared" si="237"/>
        <v>23.305901782951466</v>
      </c>
      <c r="Q270" s="152">
        <f t="shared" si="237"/>
        <v>21.247896606438598</v>
      </c>
      <c r="R270" s="152">
        <f t="shared" si="237"/>
        <v>22.493003520346257</v>
      </c>
      <c r="S270" s="152">
        <f t="shared" si="237"/>
        <v>28.188403629400668</v>
      </c>
      <c r="T270" s="152">
        <f t="shared" si="237"/>
        <v>29.425369114842255</v>
      </c>
      <c r="U270" s="152">
        <f t="shared" si="237"/>
        <v>39.408993135555036</v>
      </c>
      <c r="V270" s="152">
        <f t="shared" si="237"/>
        <v>27.359411699778029</v>
      </c>
      <c r="W270" s="152">
        <f t="shared" si="237"/>
        <v>7.8727447047914731</v>
      </c>
      <c r="X270" s="152">
        <f t="shared" si="237"/>
        <v>0</v>
      </c>
      <c r="Y270" s="152">
        <f t="shared" si="237"/>
        <v>0</v>
      </c>
      <c r="Z270" s="152">
        <f t="shared" si="237"/>
        <v>0</v>
      </c>
      <c r="AA270" s="152">
        <f t="shared" si="237"/>
        <v>0</v>
      </c>
      <c r="AB270" s="152">
        <f t="shared" si="237"/>
        <v>0</v>
      </c>
      <c r="AC270" s="152">
        <f t="shared" si="237"/>
        <v>0</v>
      </c>
      <c r="AD270" s="152">
        <f t="shared" si="237"/>
        <v>0</v>
      </c>
      <c r="AE270" s="152">
        <f t="shared" si="237"/>
        <v>0</v>
      </c>
      <c r="AF270" s="152">
        <f t="shared" si="237"/>
        <v>0</v>
      </c>
      <c r="AG270" s="152">
        <f t="shared" si="237"/>
        <v>0</v>
      </c>
      <c r="AH270" s="152">
        <f t="shared" si="237"/>
        <v>0</v>
      </c>
      <c r="AI270" s="152">
        <f t="shared" si="237"/>
        <v>0</v>
      </c>
      <c r="AJ270" s="152">
        <f t="shared" si="237"/>
        <v>0</v>
      </c>
      <c r="AK270" s="152">
        <f t="shared" si="237"/>
        <v>0</v>
      </c>
      <c r="AL270" s="152">
        <f t="shared" si="237"/>
        <v>0</v>
      </c>
      <c r="AM270" s="152">
        <f t="shared" ref="AM270:BD270" si="238">AM256/AM$267</f>
        <v>0</v>
      </c>
      <c r="AN270" s="152">
        <f t="shared" si="238"/>
        <v>0</v>
      </c>
      <c r="AO270" s="152">
        <f t="shared" si="238"/>
        <v>0</v>
      </c>
      <c r="AP270" s="152">
        <f t="shared" si="238"/>
        <v>0</v>
      </c>
      <c r="AQ270" s="152">
        <f t="shared" si="238"/>
        <v>0</v>
      </c>
      <c r="AR270" s="152">
        <f t="shared" si="238"/>
        <v>0</v>
      </c>
      <c r="AS270" s="152">
        <f t="shared" si="238"/>
        <v>0</v>
      </c>
      <c r="AT270" s="152">
        <f t="shared" si="238"/>
        <v>0</v>
      </c>
      <c r="AU270" s="152">
        <f t="shared" si="238"/>
        <v>0</v>
      </c>
      <c r="AV270" s="152">
        <f t="shared" si="238"/>
        <v>0</v>
      </c>
      <c r="AW270" s="152">
        <f t="shared" si="238"/>
        <v>0</v>
      </c>
      <c r="AX270" s="152">
        <f t="shared" si="238"/>
        <v>0</v>
      </c>
      <c r="AY270" s="152">
        <f t="shared" si="238"/>
        <v>0</v>
      </c>
      <c r="AZ270" s="152">
        <f t="shared" si="238"/>
        <v>0</v>
      </c>
      <c r="BA270" s="152">
        <f t="shared" si="238"/>
        <v>0</v>
      </c>
      <c r="BB270" s="152">
        <f t="shared" si="238"/>
        <v>0</v>
      </c>
      <c r="BC270" s="152">
        <f t="shared" si="238"/>
        <v>0</v>
      </c>
      <c r="BD270" s="152">
        <f t="shared" si="238"/>
        <v>0</v>
      </c>
    </row>
    <row r="271" spans="3:56" ht="15" customHeight="1">
      <c r="C271" s="152">
        <f>SUM(G271:BD271)</f>
        <v>0</v>
      </c>
      <c r="D271" s="55" t="s">
        <v>324</v>
      </c>
      <c r="E271" s="128" t="s">
        <v>153</v>
      </c>
      <c r="G271" s="152">
        <f t="shared" ref="G271:AL271" si="239">G257/G$267</f>
        <v>0</v>
      </c>
      <c r="H271" s="152">
        <f t="shared" si="239"/>
        <v>0</v>
      </c>
      <c r="I271" s="152">
        <f t="shared" si="239"/>
        <v>0</v>
      </c>
      <c r="J271" s="152">
        <f t="shared" si="239"/>
        <v>0</v>
      </c>
      <c r="K271" s="152">
        <f t="shared" si="239"/>
        <v>0</v>
      </c>
      <c r="L271" s="152">
        <f t="shared" si="239"/>
        <v>0</v>
      </c>
      <c r="M271" s="152">
        <f t="shared" si="239"/>
        <v>0</v>
      </c>
      <c r="N271" s="152">
        <f t="shared" si="239"/>
        <v>0</v>
      </c>
      <c r="O271" s="152">
        <f t="shared" si="239"/>
        <v>0</v>
      </c>
      <c r="P271" s="152">
        <f t="shared" si="239"/>
        <v>0</v>
      </c>
      <c r="Q271" s="152">
        <f t="shared" si="239"/>
        <v>0</v>
      </c>
      <c r="R271" s="152">
        <f t="shared" si="239"/>
        <v>0</v>
      </c>
      <c r="S271" s="152">
        <f t="shared" si="239"/>
        <v>0</v>
      </c>
      <c r="T271" s="152">
        <f t="shared" si="239"/>
        <v>0</v>
      </c>
      <c r="U271" s="152">
        <f t="shared" si="239"/>
        <v>0</v>
      </c>
      <c r="V271" s="152">
        <f t="shared" si="239"/>
        <v>0</v>
      </c>
      <c r="W271" s="152">
        <f t="shared" si="239"/>
        <v>0</v>
      </c>
      <c r="X271" s="152">
        <f t="shared" si="239"/>
        <v>0</v>
      </c>
      <c r="Y271" s="152">
        <f t="shared" si="239"/>
        <v>0</v>
      </c>
      <c r="Z271" s="152">
        <f t="shared" si="239"/>
        <v>0</v>
      </c>
      <c r="AA271" s="152">
        <f t="shared" si="239"/>
        <v>0</v>
      </c>
      <c r="AB271" s="152">
        <f t="shared" si="239"/>
        <v>0</v>
      </c>
      <c r="AC271" s="152">
        <f t="shared" si="239"/>
        <v>0</v>
      </c>
      <c r="AD271" s="152">
        <f t="shared" si="239"/>
        <v>0</v>
      </c>
      <c r="AE271" s="152">
        <f t="shared" si="239"/>
        <v>0</v>
      </c>
      <c r="AF271" s="152">
        <f t="shared" si="239"/>
        <v>0</v>
      </c>
      <c r="AG271" s="152">
        <f t="shared" si="239"/>
        <v>0</v>
      </c>
      <c r="AH271" s="152">
        <f t="shared" si="239"/>
        <v>0</v>
      </c>
      <c r="AI271" s="152">
        <f t="shared" si="239"/>
        <v>0</v>
      </c>
      <c r="AJ271" s="152">
        <f t="shared" si="239"/>
        <v>0</v>
      </c>
      <c r="AK271" s="152">
        <f t="shared" si="239"/>
        <v>0</v>
      </c>
      <c r="AL271" s="152">
        <f t="shared" si="239"/>
        <v>0</v>
      </c>
      <c r="AM271" s="152">
        <f t="shared" ref="AM271:BD271" si="240">AM257/AM$267</f>
        <v>0</v>
      </c>
      <c r="AN271" s="152">
        <f t="shared" si="240"/>
        <v>0</v>
      </c>
      <c r="AO271" s="152">
        <f t="shared" si="240"/>
        <v>0</v>
      </c>
      <c r="AP271" s="152">
        <f t="shared" si="240"/>
        <v>0</v>
      </c>
      <c r="AQ271" s="152">
        <f t="shared" si="240"/>
        <v>0</v>
      </c>
      <c r="AR271" s="152">
        <f t="shared" si="240"/>
        <v>0</v>
      </c>
      <c r="AS271" s="152">
        <f t="shared" si="240"/>
        <v>0</v>
      </c>
      <c r="AT271" s="152">
        <f t="shared" si="240"/>
        <v>0</v>
      </c>
      <c r="AU271" s="152">
        <f t="shared" si="240"/>
        <v>0</v>
      </c>
      <c r="AV271" s="152">
        <f t="shared" si="240"/>
        <v>0</v>
      </c>
      <c r="AW271" s="152">
        <f t="shared" si="240"/>
        <v>0</v>
      </c>
      <c r="AX271" s="152">
        <f t="shared" si="240"/>
        <v>0</v>
      </c>
      <c r="AY271" s="152">
        <f t="shared" si="240"/>
        <v>0</v>
      </c>
      <c r="AZ271" s="152">
        <f t="shared" si="240"/>
        <v>0</v>
      </c>
      <c r="BA271" s="152">
        <f t="shared" si="240"/>
        <v>0</v>
      </c>
      <c r="BB271" s="152">
        <f t="shared" si="240"/>
        <v>0</v>
      </c>
      <c r="BC271" s="152">
        <f t="shared" si="240"/>
        <v>0</v>
      </c>
      <c r="BD271" s="152">
        <f t="shared" si="240"/>
        <v>0</v>
      </c>
    </row>
    <row r="272" spans="3:56" ht="15" customHeight="1">
      <c r="C272" s="152"/>
      <c r="D272" s="55" t="s">
        <v>333</v>
      </c>
      <c r="E272" s="128" t="s">
        <v>153</v>
      </c>
      <c r="G272" s="152">
        <f t="shared" ref="G272:AL272" si="241">G258/G$267</f>
        <v>0</v>
      </c>
      <c r="H272" s="152">
        <f t="shared" si="241"/>
        <v>0</v>
      </c>
      <c r="I272" s="152">
        <f t="shared" si="241"/>
        <v>0</v>
      </c>
      <c r="J272" s="152">
        <f t="shared" si="241"/>
        <v>0</v>
      </c>
      <c r="K272" s="152">
        <f t="shared" si="241"/>
        <v>0</v>
      </c>
      <c r="L272" s="152">
        <f t="shared" si="241"/>
        <v>0</v>
      </c>
      <c r="M272" s="152">
        <f t="shared" si="241"/>
        <v>0</v>
      </c>
      <c r="N272" s="152">
        <f t="shared" si="241"/>
        <v>0</v>
      </c>
      <c r="O272" s="152">
        <f t="shared" si="241"/>
        <v>0</v>
      </c>
      <c r="P272" s="152">
        <f t="shared" si="241"/>
        <v>0</v>
      </c>
      <c r="Q272" s="152">
        <f t="shared" si="241"/>
        <v>0</v>
      </c>
      <c r="R272" s="152">
        <f t="shared" si="241"/>
        <v>0</v>
      </c>
      <c r="S272" s="152">
        <f t="shared" si="241"/>
        <v>0</v>
      </c>
      <c r="T272" s="152">
        <f t="shared" si="241"/>
        <v>0</v>
      </c>
      <c r="U272" s="152">
        <f t="shared" si="241"/>
        <v>0</v>
      </c>
      <c r="V272" s="152">
        <f t="shared" si="241"/>
        <v>0</v>
      </c>
      <c r="W272" s="152">
        <f t="shared" si="241"/>
        <v>0</v>
      </c>
      <c r="X272" s="152">
        <f t="shared" si="241"/>
        <v>0</v>
      </c>
      <c r="Y272" s="152">
        <f t="shared" si="241"/>
        <v>0</v>
      </c>
      <c r="Z272" s="152">
        <f t="shared" si="241"/>
        <v>0</v>
      </c>
      <c r="AA272" s="152">
        <f t="shared" si="241"/>
        <v>0</v>
      </c>
      <c r="AB272" s="152">
        <f t="shared" si="241"/>
        <v>0</v>
      </c>
      <c r="AC272" s="152">
        <f t="shared" si="241"/>
        <v>0</v>
      </c>
      <c r="AD272" s="152">
        <f t="shared" si="241"/>
        <v>0</v>
      </c>
      <c r="AE272" s="152">
        <f t="shared" si="241"/>
        <v>0</v>
      </c>
      <c r="AF272" s="152">
        <f t="shared" si="241"/>
        <v>0</v>
      </c>
      <c r="AG272" s="152">
        <f t="shared" si="241"/>
        <v>0</v>
      </c>
      <c r="AH272" s="152">
        <f t="shared" si="241"/>
        <v>0</v>
      </c>
      <c r="AI272" s="152">
        <f t="shared" si="241"/>
        <v>0</v>
      </c>
      <c r="AJ272" s="152">
        <f t="shared" si="241"/>
        <v>0</v>
      </c>
      <c r="AK272" s="152">
        <f t="shared" si="241"/>
        <v>0</v>
      </c>
      <c r="AL272" s="152">
        <f t="shared" si="241"/>
        <v>0</v>
      </c>
      <c r="AM272" s="152">
        <f t="shared" ref="AM272:BD272" si="242">AM258/AM$267</f>
        <v>0</v>
      </c>
      <c r="AN272" s="152">
        <f t="shared" si="242"/>
        <v>0</v>
      </c>
      <c r="AO272" s="152">
        <f t="shared" si="242"/>
        <v>0</v>
      </c>
      <c r="AP272" s="152">
        <f t="shared" si="242"/>
        <v>0</v>
      </c>
      <c r="AQ272" s="152">
        <f t="shared" si="242"/>
        <v>0</v>
      </c>
      <c r="AR272" s="152">
        <f t="shared" si="242"/>
        <v>0</v>
      </c>
      <c r="AS272" s="152">
        <f t="shared" si="242"/>
        <v>0</v>
      </c>
      <c r="AT272" s="152">
        <f t="shared" si="242"/>
        <v>0</v>
      </c>
      <c r="AU272" s="152">
        <f t="shared" si="242"/>
        <v>0</v>
      </c>
      <c r="AV272" s="152">
        <f t="shared" si="242"/>
        <v>0</v>
      </c>
      <c r="AW272" s="152">
        <f t="shared" si="242"/>
        <v>0</v>
      </c>
      <c r="AX272" s="152">
        <f t="shared" si="242"/>
        <v>0</v>
      </c>
      <c r="AY272" s="152">
        <f t="shared" si="242"/>
        <v>0</v>
      </c>
      <c r="AZ272" s="152">
        <f t="shared" si="242"/>
        <v>0</v>
      </c>
      <c r="BA272" s="152">
        <f t="shared" si="242"/>
        <v>0</v>
      </c>
      <c r="BB272" s="152">
        <f t="shared" si="242"/>
        <v>0</v>
      </c>
      <c r="BC272" s="152">
        <f t="shared" si="242"/>
        <v>0</v>
      </c>
      <c r="BD272" s="152">
        <f t="shared" si="242"/>
        <v>0</v>
      </c>
    </row>
    <row r="273" spans="3:56" ht="15" customHeight="1">
      <c r="C273" s="152">
        <f>SUM(G273:BD273)</f>
        <v>0</v>
      </c>
      <c r="D273" s="153" t="s">
        <v>326</v>
      </c>
      <c r="E273" s="128" t="s">
        <v>153</v>
      </c>
      <c r="G273" s="152">
        <f t="shared" ref="G273:AL273" si="243">G259/G$267</f>
        <v>0</v>
      </c>
      <c r="H273" s="152">
        <f t="shared" si="243"/>
        <v>0</v>
      </c>
      <c r="I273" s="152">
        <f t="shared" si="243"/>
        <v>0</v>
      </c>
      <c r="J273" s="152">
        <f t="shared" si="243"/>
        <v>0</v>
      </c>
      <c r="K273" s="152">
        <f t="shared" si="243"/>
        <v>0</v>
      </c>
      <c r="L273" s="152">
        <f t="shared" si="243"/>
        <v>0</v>
      </c>
      <c r="M273" s="152">
        <f t="shared" si="243"/>
        <v>0</v>
      </c>
      <c r="N273" s="152">
        <f t="shared" si="243"/>
        <v>0</v>
      </c>
      <c r="O273" s="152">
        <f t="shared" si="243"/>
        <v>0</v>
      </c>
      <c r="P273" s="152">
        <f t="shared" si="243"/>
        <v>0</v>
      </c>
      <c r="Q273" s="152">
        <f t="shared" si="243"/>
        <v>0</v>
      </c>
      <c r="R273" s="152">
        <f t="shared" si="243"/>
        <v>0</v>
      </c>
      <c r="S273" s="152">
        <f t="shared" si="243"/>
        <v>0</v>
      </c>
      <c r="T273" s="152">
        <f t="shared" si="243"/>
        <v>0</v>
      </c>
      <c r="U273" s="152">
        <f t="shared" si="243"/>
        <v>0</v>
      </c>
      <c r="V273" s="152">
        <f t="shared" si="243"/>
        <v>0</v>
      </c>
      <c r="W273" s="152">
        <f t="shared" si="243"/>
        <v>0</v>
      </c>
      <c r="X273" s="152">
        <f t="shared" si="243"/>
        <v>0</v>
      </c>
      <c r="Y273" s="152">
        <f t="shared" si="243"/>
        <v>0</v>
      </c>
      <c r="Z273" s="152">
        <f t="shared" si="243"/>
        <v>0</v>
      </c>
      <c r="AA273" s="152">
        <f t="shared" si="243"/>
        <v>0</v>
      </c>
      <c r="AB273" s="152">
        <f t="shared" si="243"/>
        <v>0</v>
      </c>
      <c r="AC273" s="152">
        <f t="shared" si="243"/>
        <v>0</v>
      </c>
      <c r="AD273" s="152">
        <f t="shared" si="243"/>
        <v>0</v>
      </c>
      <c r="AE273" s="152">
        <f t="shared" si="243"/>
        <v>0</v>
      </c>
      <c r="AF273" s="152">
        <f t="shared" si="243"/>
        <v>0</v>
      </c>
      <c r="AG273" s="152">
        <f t="shared" si="243"/>
        <v>0</v>
      </c>
      <c r="AH273" s="152">
        <f t="shared" si="243"/>
        <v>0</v>
      </c>
      <c r="AI273" s="152">
        <f t="shared" si="243"/>
        <v>0</v>
      </c>
      <c r="AJ273" s="152">
        <f t="shared" si="243"/>
        <v>0</v>
      </c>
      <c r="AK273" s="152">
        <f t="shared" si="243"/>
        <v>0</v>
      </c>
      <c r="AL273" s="152">
        <f t="shared" si="243"/>
        <v>0</v>
      </c>
      <c r="AM273" s="152">
        <f t="shared" ref="AM273:BD273" si="244">AM259/AM$267</f>
        <v>0</v>
      </c>
      <c r="AN273" s="152">
        <f t="shared" si="244"/>
        <v>0</v>
      </c>
      <c r="AO273" s="152">
        <f t="shared" si="244"/>
        <v>0</v>
      </c>
      <c r="AP273" s="152">
        <f t="shared" si="244"/>
        <v>0</v>
      </c>
      <c r="AQ273" s="152">
        <f t="shared" si="244"/>
        <v>0</v>
      </c>
      <c r="AR273" s="152">
        <f t="shared" si="244"/>
        <v>0</v>
      </c>
      <c r="AS273" s="152">
        <f t="shared" si="244"/>
        <v>0</v>
      </c>
      <c r="AT273" s="152">
        <f t="shared" si="244"/>
        <v>0</v>
      </c>
      <c r="AU273" s="152">
        <f t="shared" si="244"/>
        <v>0</v>
      </c>
      <c r="AV273" s="152">
        <f t="shared" si="244"/>
        <v>0</v>
      </c>
      <c r="AW273" s="152">
        <f t="shared" si="244"/>
        <v>0</v>
      </c>
      <c r="AX273" s="152">
        <f t="shared" si="244"/>
        <v>0</v>
      </c>
      <c r="AY273" s="152">
        <f t="shared" si="244"/>
        <v>0</v>
      </c>
      <c r="AZ273" s="152">
        <f t="shared" si="244"/>
        <v>0</v>
      </c>
      <c r="BA273" s="152">
        <f t="shared" si="244"/>
        <v>0</v>
      </c>
      <c r="BB273" s="152">
        <f t="shared" si="244"/>
        <v>0</v>
      </c>
      <c r="BC273" s="152">
        <f t="shared" si="244"/>
        <v>0</v>
      </c>
      <c r="BD273" s="152">
        <f t="shared" si="244"/>
        <v>0</v>
      </c>
    </row>
    <row r="274" spans="3:56" ht="15" customHeight="1">
      <c r="C274" s="152">
        <f>SUM(G274:BD274)</f>
        <v>247.60980919395377</v>
      </c>
      <c r="D274" s="55" t="s">
        <v>327</v>
      </c>
      <c r="E274" s="128" t="s">
        <v>153</v>
      </c>
      <c r="G274" s="152">
        <f t="shared" ref="G274:AL274" si="245">G260/G$267</f>
        <v>12.338999999999999</v>
      </c>
      <c r="H274" s="152">
        <f t="shared" si="245"/>
        <v>14.762062941176474</v>
      </c>
      <c r="I274" s="152">
        <f t="shared" si="245"/>
        <v>9.3067420991926166</v>
      </c>
      <c r="J274" s="152">
        <f t="shared" si="245"/>
        <v>30.07406088156139</v>
      </c>
      <c r="K274" s="152">
        <f t="shared" si="245"/>
        <v>28.915942040746465</v>
      </c>
      <c r="L274" s="152">
        <f t="shared" si="245"/>
        <v>31.127786592741302</v>
      </c>
      <c r="M274" s="152">
        <f t="shared" si="245"/>
        <v>32.308313168374461</v>
      </c>
      <c r="N274" s="152">
        <f t="shared" si="245"/>
        <v>20.5942858889189</v>
      </c>
      <c r="O274" s="152">
        <f t="shared" si="245"/>
        <v>5.5079180006525315</v>
      </c>
      <c r="P274" s="152">
        <f t="shared" si="245"/>
        <v>7.164579821704856</v>
      </c>
      <c r="Q274" s="152">
        <f t="shared" si="245"/>
        <v>6.9711203393561396</v>
      </c>
      <c r="R274" s="152">
        <f t="shared" si="245"/>
        <v>7.9462396479653759</v>
      </c>
      <c r="S274" s="152">
        <f t="shared" si="245"/>
        <v>8.7779696370599325</v>
      </c>
      <c r="T274" s="152">
        <f t="shared" si="245"/>
        <v>7.9539030885157693</v>
      </c>
      <c r="U274" s="152">
        <f t="shared" si="245"/>
        <v>11.854960686444501</v>
      </c>
      <c r="V274" s="152">
        <f t="shared" si="245"/>
        <v>8.7803588300222</v>
      </c>
      <c r="W274" s="152">
        <f t="shared" si="245"/>
        <v>3.2245655295208513</v>
      </c>
      <c r="X274" s="152">
        <f t="shared" si="245"/>
        <v>0</v>
      </c>
      <c r="Y274" s="152">
        <f t="shared" si="245"/>
        <v>0</v>
      </c>
      <c r="Z274" s="152">
        <f t="shared" si="245"/>
        <v>0</v>
      </c>
      <c r="AA274" s="152">
        <f t="shared" si="245"/>
        <v>0</v>
      </c>
      <c r="AB274" s="152">
        <f t="shared" si="245"/>
        <v>0</v>
      </c>
      <c r="AC274" s="152">
        <f t="shared" si="245"/>
        <v>0</v>
      </c>
      <c r="AD274" s="152">
        <f t="shared" si="245"/>
        <v>0</v>
      </c>
      <c r="AE274" s="152">
        <f t="shared" si="245"/>
        <v>0</v>
      </c>
      <c r="AF274" s="152">
        <f t="shared" si="245"/>
        <v>0</v>
      </c>
      <c r="AG274" s="152">
        <f t="shared" si="245"/>
        <v>0</v>
      </c>
      <c r="AH274" s="152">
        <f t="shared" si="245"/>
        <v>0</v>
      </c>
      <c r="AI274" s="152">
        <f t="shared" si="245"/>
        <v>0</v>
      </c>
      <c r="AJ274" s="152">
        <f t="shared" si="245"/>
        <v>0</v>
      </c>
      <c r="AK274" s="152">
        <f t="shared" si="245"/>
        <v>0</v>
      </c>
      <c r="AL274" s="152">
        <f t="shared" si="245"/>
        <v>0</v>
      </c>
      <c r="AM274" s="152">
        <f t="shared" ref="AM274:BD274" si="246">AM260/AM$267</f>
        <v>0</v>
      </c>
      <c r="AN274" s="152">
        <f t="shared" si="246"/>
        <v>0</v>
      </c>
      <c r="AO274" s="152">
        <f t="shared" si="246"/>
        <v>0</v>
      </c>
      <c r="AP274" s="152">
        <f t="shared" si="246"/>
        <v>0</v>
      </c>
      <c r="AQ274" s="152">
        <f t="shared" si="246"/>
        <v>0</v>
      </c>
      <c r="AR274" s="152">
        <f t="shared" si="246"/>
        <v>0</v>
      </c>
      <c r="AS274" s="152">
        <f t="shared" si="246"/>
        <v>0</v>
      </c>
      <c r="AT274" s="152">
        <f t="shared" si="246"/>
        <v>0</v>
      </c>
      <c r="AU274" s="152">
        <f t="shared" si="246"/>
        <v>0</v>
      </c>
      <c r="AV274" s="152">
        <f t="shared" si="246"/>
        <v>0</v>
      </c>
      <c r="AW274" s="152">
        <f t="shared" si="246"/>
        <v>0</v>
      </c>
      <c r="AX274" s="152">
        <f t="shared" si="246"/>
        <v>0</v>
      </c>
      <c r="AY274" s="152">
        <f t="shared" si="246"/>
        <v>0</v>
      </c>
      <c r="AZ274" s="152">
        <f t="shared" si="246"/>
        <v>0</v>
      </c>
      <c r="BA274" s="152">
        <f t="shared" si="246"/>
        <v>0</v>
      </c>
      <c r="BB274" s="152">
        <f t="shared" si="246"/>
        <v>0</v>
      </c>
      <c r="BC274" s="152">
        <f t="shared" si="246"/>
        <v>0</v>
      </c>
      <c r="BD274" s="152">
        <f t="shared" si="246"/>
        <v>0</v>
      </c>
    </row>
    <row r="275" spans="3:56" ht="15" customHeight="1">
      <c r="C275" s="152">
        <f>SUM(G275:BD275)</f>
        <v>222.84882827455837</v>
      </c>
      <c r="D275" s="55" t="s">
        <v>328</v>
      </c>
      <c r="E275" s="128" t="s">
        <v>153</v>
      </c>
      <c r="G275" s="152">
        <f t="shared" ref="G275:AL275" si="247">G261/G$267</f>
        <v>11.1051</v>
      </c>
      <c r="H275" s="152">
        <f t="shared" si="247"/>
        <v>13.285856647058829</v>
      </c>
      <c r="I275" s="152">
        <f t="shared" si="247"/>
        <v>8.3760678892733562</v>
      </c>
      <c r="J275" s="152">
        <f t="shared" si="247"/>
        <v>27.066654793405252</v>
      </c>
      <c r="K275" s="152">
        <f t="shared" si="247"/>
        <v>26.024347836671815</v>
      </c>
      <c r="L275" s="152">
        <f t="shared" si="247"/>
        <v>28.015007933467174</v>
      </c>
      <c r="M275" s="152">
        <f t="shared" si="247"/>
        <v>29.077481851537012</v>
      </c>
      <c r="N275" s="152">
        <f t="shared" si="247"/>
        <v>18.534857300027006</v>
      </c>
      <c r="O275" s="152">
        <f t="shared" si="247"/>
        <v>4.957126200587278</v>
      </c>
      <c r="P275" s="152">
        <f t="shared" si="247"/>
        <v>6.4481218395343705</v>
      </c>
      <c r="Q275" s="152">
        <f t="shared" si="247"/>
        <v>6.2740083054205256</v>
      </c>
      <c r="R275" s="152">
        <f t="shared" si="247"/>
        <v>7.1516156831688376</v>
      </c>
      <c r="S275" s="152">
        <f t="shared" si="247"/>
        <v>7.9001726733539384</v>
      </c>
      <c r="T275" s="152">
        <f t="shared" si="247"/>
        <v>7.1585127796641901</v>
      </c>
      <c r="U275" s="152">
        <f t="shared" si="247"/>
        <v>10.669464617800051</v>
      </c>
      <c r="V275" s="152">
        <f t="shared" si="247"/>
        <v>7.9023229470199796</v>
      </c>
      <c r="W275" s="152">
        <f t="shared" si="247"/>
        <v>2.902108976568766</v>
      </c>
      <c r="X275" s="152">
        <f t="shared" si="247"/>
        <v>0</v>
      </c>
      <c r="Y275" s="152">
        <f t="shared" si="247"/>
        <v>0</v>
      </c>
      <c r="Z275" s="152">
        <f t="shared" si="247"/>
        <v>0</v>
      </c>
      <c r="AA275" s="152">
        <f t="shared" si="247"/>
        <v>0</v>
      </c>
      <c r="AB275" s="152">
        <f t="shared" si="247"/>
        <v>0</v>
      </c>
      <c r="AC275" s="152">
        <f t="shared" si="247"/>
        <v>0</v>
      </c>
      <c r="AD275" s="152">
        <f t="shared" si="247"/>
        <v>0</v>
      </c>
      <c r="AE275" s="152">
        <f t="shared" si="247"/>
        <v>0</v>
      </c>
      <c r="AF275" s="152">
        <f t="shared" si="247"/>
        <v>0</v>
      </c>
      <c r="AG275" s="152">
        <f t="shared" si="247"/>
        <v>0</v>
      </c>
      <c r="AH275" s="152">
        <f t="shared" si="247"/>
        <v>0</v>
      </c>
      <c r="AI275" s="152">
        <f t="shared" si="247"/>
        <v>0</v>
      </c>
      <c r="AJ275" s="152">
        <f t="shared" si="247"/>
        <v>0</v>
      </c>
      <c r="AK275" s="152">
        <f t="shared" si="247"/>
        <v>0</v>
      </c>
      <c r="AL275" s="152">
        <f t="shared" si="247"/>
        <v>0</v>
      </c>
      <c r="AM275" s="152">
        <f t="shared" ref="AM275:BD275" si="248">AM261/AM$267</f>
        <v>0</v>
      </c>
      <c r="AN275" s="152">
        <f t="shared" si="248"/>
        <v>0</v>
      </c>
      <c r="AO275" s="152">
        <f t="shared" si="248"/>
        <v>0</v>
      </c>
      <c r="AP275" s="152">
        <f t="shared" si="248"/>
        <v>0</v>
      </c>
      <c r="AQ275" s="152">
        <f t="shared" si="248"/>
        <v>0</v>
      </c>
      <c r="AR275" s="152">
        <f t="shared" si="248"/>
        <v>0</v>
      </c>
      <c r="AS275" s="152">
        <f t="shared" si="248"/>
        <v>0</v>
      </c>
      <c r="AT275" s="152">
        <f t="shared" si="248"/>
        <v>0</v>
      </c>
      <c r="AU275" s="152">
        <f t="shared" si="248"/>
        <v>0</v>
      </c>
      <c r="AV275" s="152">
        <f t="shared" si="248"/>
        <v>0</v>
      </c>
      <c r="AW275" s="152">
        <f t="shared" si="248"/>
        <v>0</v>
      </c>
      <c r="AX275" s="152">
        <f t="shared" si="248"/>
        <v>0</v>
      </c>
      <c r="AY275" s="152">
        <f t="shared" si="248"/>
        <v>0</v>
      </c>
      <c r="AZ275" s="152">
        <f t="shared" si="248"/>
        <v>0</v>
      </c>
      <c r="BA275" s="152">
        <f t="shared" si="248"/>
        <v>0</v>
      </c>
      <c r="BB275" s="152">
        <f t="shared" si="248"/>
        <v>0</v>
      </c>
      <c r="BC275" s="152">
        <f t="shared" si="248"/>
        <v>0</v>
      </c>
      <c r="BD275" s="152">
        <f t="shared" si="248"/>
        <v>0</v>
      </c>
    </row>
    <row r="276" spans="3:56" ht="15" customHeight="1">
      <c r="C276" s="152">
        <f>SUM(G276:BD276)</f>
        <v>2005.6394544710256</v>
      </c>
      <c r="D276" s="55" t="s">
        <v>329</v>
      </c>
      <c r="E276" s="128" t="s">
        <v>153</v>
      </c>
      <c r="G276" s="152">
        <f t="shared" ref="G276:AL276" si="249">G268-SUM(G269:G275)</f>
        <v>99.945899999999995</v>
      </c>
      <c r="H276" s="152">
        <f t="shared" si="249"/>
        <v>119.57270982352944</v>
      </c>
      <c r="I276" s="152">
        <f t="shared" si="249"/>
        <v>75.384611003460194</v>
      </c>
      <c r="J276" s="152">
        <f t="shared" si="249"/>
        <v>243.5998931406472</v>
      </c>
      <c r="K276" s="152">
        <f t="shared" si="249"/>
        <v>234.21913053004636</v>
      </c>
      <c r="L276" s="152">
        <f t="shared" si="249"/>
        <v>252.13507140120453</v>
      </c>
      <c r="M276" s="152">
        <f t="shared" si="249"/>
        <v>261.69733666383308</v>
      </c>
      <c r="N276" s="152">
        <f t="shared" si="249"/>
        <v>166.81371570024308</v>
      </c>
      <c r="O276" s="152">
        <f t="shared" si="249"/>
        <v>44.6141358052855</v>
      </c>
      <c r="P276" s="152">
        <f t="shared" si="249"/>
        <v>58.033096555809337</v>
      </c>
      <c r="Q276" s="152">
        <f t="shared" si="249"/>
        <v>56.466074748784727</v>
      </c>
      <c r="R276" s="152">
        <f t="shared" si="249"/>
        <v>64.36454114851955</v>
      </c>
      <c r="S276" s="152">
        <f t="shared" si="249"/>
        <v>71.101554060185464</v>
      </c>
      <c r="T276" s="152">
        <f t="shared" si="249"/>
        <v>64.426615016977721</v>
      </c>
      <c r="U276" s="152">
        <f t="shared" si="249"/>
        <v>96.025181560200451</v>
      </c>
      <c r="V276" s="152">
        <f t="shared" si="249"/>
        <v>71.120906523179812</v>
      </c>
      <c r="W276" s="152">
        <f t="shared" si="249"/>
        <v>26.118980789118897</v>
      </c>
      <c r="X276" s="152">
        <f t="shared" si="249"/>
        <v>0</v>
      </c>
      <c r="Y276" s="152">
        <f t="shared" si="249"/>
        <v>0</v>
      </c>
      <c r="Z276" s="152">
        <f t="shared" si="249"/>
        <v>0</v>
      </c>
      <c r="AA276" s="152">
        <f t="shared" si="249"/>
        <v>0</v>
      </c>
      <c r="AB276" s="152">
        <f t="shared" si="249"/>
        <v>0</v>
      </c>
      <c r="AC276" s="152">
        <f t="shared" si="249"/>
        <v>0</v>
      </c>
      <c r="AD276" s="152">
        <f t="shared" si="249"/>
        <v>0</v>
      </c>
      <c r="AE276" s="152">
        <f t="shared" si="249"/>
        <v>0</v>
      </c>
      <c r="AF276" s="152">
        <f t="shared" si="249"/>
        <v>0</v>
      </c>
      <c r="AG276" s="152">
        <f t="shared" si="249"/>
        <v>0</v>
      </c>
      <c r="AH276" s="152">
        <f t="shared" si="249"/>
        <v>0</v>
      </c>
      <c r="AI276" s="152">
        <f t="shared" si="249"/>
        <v>0</v>
      </c>
      <c r="AJ276" s="152">
        <f t="shared" si="249"/>
        <v>0</v>
      </c>
      <c r="AK276" s="152">
        <f t="shared" si="249"/>
        <v>0</v>
      </c>
      <c r="AL276" s="152">
        <f t="shared" si="249"/>
        <v>0</v>
      </c>
      <c r="AM276" s="152">
        <f t="shared" ref="AM276:BR276" si="250">AM268-SUM(AM269:AM275)</f>
        <v>0</v>
      </c>
      <c r="AN276" s="152">
        <f t="shared" si="250"/>
        <v>0</v>
      </c>
      <c r="AO276" s="152">
        <f t="shared" si="250"/>
        <v>0</v>
      </c>
      <c r="AP276" s="152">
        <f t="shared" si="250"/>
        <v>0</v>
      </c>
      <c r="AQ276" s="152">
        <f t="shared" si="250"/>
        <v>0</v>
      </c>
      <c r="AR276" s="152">
        <f t="shared" si="250"/>
        <v>0</v>
      </c>
      <c r="AS276" s="152">
        <f t="shared" si="250"/>
        <v>0</v>
      </c>
      <c r="AT276" s="152">
        <f t="shared" si="250"/>
        <v>0</v>
      </c>
      <c r="AU276" s="152">
        <f t="shared" si="250"/>
        <v>0</v>
      </c>
      <c r="AV276" s="152">
        <f t="shared" si="250"/>
        <v>0</v>
      </c>
      <c r="AW276" s="152">
        <f t="shared" si="250"/>
        <v>0</v>
      </c>
      <c r="AX276" s="152">
        <f t="shared" si="250"/>
        <v>0</v>
      </c>
      <c r="AY276" s="152">
        <f t="shared" si="250"/>
        <v>0</v>
      </c>
      <c r="AZ276" s="152">
        <f t="shared" si="250"/>
        <v>0</v>
      </c>
      <c r="BA276" s="152">
        <f t="shared" si="250"/>
        <v>0</v>
      </c>
      <c r="BB276" s="152">
        <f t="shared" si="250"/>
        <v>0</v>
      </c>
      <c r="BC276" s="152">
        <f t="shared" si="250"/>
        <v>0</v>
      </c>
      <c r="BD276" s="152">
        <f t="shared" si="250"/>
        <v>0</v>
      </c>
    </row>
    <row r="277" spans="3:56" ht="15" customHeight="1">
      <c r="C277" s="198">
        <f>IFERROR(IRR(G276:BD276),0)</f>
        <v>0</v>
      </c>
      <c r="D277" s="55" t="s">
        <v>330</v>
      </c>
      <c r="E277" s="128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152"/>
      <c r="AE277" s="152"/>
      <c r="AF277" s="152"/>
      <c r="AG277" s="152"/>
      <c r="AH277" s="152"/>
      <c r="AI277" s="152"/>
      <c r="AJ277" s="152"/>
      <c r="AK277" s="152"/>
      <c r="AL277" s="152"/>
      <c r="AM277" s="152"/>
      <c r="AN277" s="152"/>
      <c r="AO277" s="152"/>
      <c r="AP277" s="152"/>
      <c r="AQ277" s="152"/>
      <c r="AR277" s="152"/>
      <c r="AS277" s="152"/>
      <c r="AT277" s="152"/>
      <c r="AU277" s="152"/>
      <c r="AV277" s="152"/>
      <c r="AW277" s="152"/>
      <c r="AX277" s="152"/>
      <c r="AY277" s="152"/>
      <c r="AZ277" s="152"/>
      <c r="BA277" s="152"/>
      <c r="BB277" s="152"/>
      <c r="BC277" s="152"/>
      <c r="BD277" s="152"/>
    </row>
    <row r="278" spans="3:56" ht="15" customHeight="1">
      <c r="C278" s="152">
        <f>SUM(G278:BD278)</f>
        <v>0</v>
      </c>
      <c r="D278" s="55" t="s">
        <v>331</v>
      </c>
      <c r="E278" s="128" t="s">
        <v>153</v>
      </c>
      <c r="G278" s="152">
        <f t="shared" ref="G278:AL278" si="251">G264/G$267</f>
        <v>0</v>
      </c>
      <c r="H278" s="152">
        <f t="shared" si="251"/>
        <v>0</v>
      </c>
      <c r="I278" s="152">
        <f t="shared" si="251"/>
        <v>0</v>
      </c>
      <c r="J278" s="152">
        <f t="shared" si="251"/>
        <v>0</v>
      </c>
      <c r="K278" s="152">
        <f t="shared" si="251"/>
        <v>0</v>
      </c>
      <c r="L278" s="152">
        <f t="shared" si="251"/>
        <v>0</v>
      </c>
      <c r="M278" s="152">
        <f t="shared" si="251"/>
        <v>0</v>
      </c>
      <c r="N278" s="152">
        <f t="shared" si="251"/>
        <v>0</v>
      </c>
      <c r="O278" s="152">
        <f t="shared" si="251"/>
        <v>0</v>
      </c>
      <c r="P278" s="152">
        <f t="shared" si="251"/>
        <v>0</v>
      </c>
      <c r="Q278" s="152">
        <f t="shared" si="251"/>
        <v>0</v>
      </c>
      <c r="R278" s="152">
        <f t="shared" si="251"/>
        <v>0</v>
      </c>
      <c r="S278" s="152">
        <f t="shared" si="251"/>
        <v>0</v>
      </c>
      <c r="T278" s="152">
        <f t="shared" si="251"/>
        <v>0</v>
      </c>
      <c r="U278" s="152">
        <f t="shared" si="251"/>
        <v>0</v>
      </c>
      <c r="V278" s="152">
        <f t="shared" si="251"/>
        <v>0</v>
      </c>
      <c r="W278" s="152">
        <f t="shared" si="251"/>
        <v>0</v>
      </c>
      <c r="X278" s="152">
        <f t="shared" si="251"/>
        <v>0</v>
      </c>
      <c r="Y278" s="152">
        <f t="shared" si="251"/>
        <v>0</v>
      </c>
      <c r="Z278" s="152">
        <f t="shared" si="251"/>
        <v>0</v>
      </c>
      <c r="AA278" s="152">
        <f t="shared" si="251"/>
        <v>0</v>
      </c>
      <c r="AB278" s="152">
        <f t="shared" si="251"/>
        <v>0</v>
      </c>
      <c r="AC278" s="152">
        <f t="shared" si="251"/>
        <v>0</v>
      </c>
      <c r="AD278" s="152">
        <f t="shared" si="251"/>
        <v>0</v>
      </c>
      <c r="AE278" s="152">
        <f t="shared" si="251"/>
        <v>0</v>
      </c>
      <c r="AF278" s="152">
        <f t="shared" si="251"/>
        <v>0</v>
      </c>
      <c r="AG278" s="152">
        <f t="shared" si="251"/>
        <v>0</v>
      </c>
      <c r="AH278" s="152">
        <f t="shared" si="251"/>
        <v>0</v>
      </c>
      <c r="AI278" s="152">
        <f t="shared" si="251"/>
        <v>0</v>
      </c>
      <c r="AJ278" s="152">
        <f t="shared" si="251"/>
        <v>0</v>
      </c>
      <c r="AK278" s="152">
        <f t="shared" si="251"/>
        <v>0</v>
      </c>
      <c r="AL278" s="152">
        <f t="shared" si="251"/>
        <v>0</v>
      </c>
      <c r="AM278" s="152">
        <f t="shared" ref="AM278:BD278" si="252">AM264/AM$267</f>
        <v>0</v>
      </c>
      <c r="AN278" s="152">
        <f t="shared" si="252"/>
        <v>0</v>
      </c>
      <c r="AO278" s="152">
        <f t="shared" si="252"/>
        <v>0</v>
      </c>
      <c r="AP278" s="152">
        <f t="shared" si="252"/>
        <v>0</v>
      </c>
      <c r="AQ278" s="152">
        <f t="shared" si="252"/>
        <v>0</v>
      </c>
      <c r="AR278" s="152">
        <f t="shared" si="252"/>
        <v>0</v>
      </c>
      <c r="AS278" s="152">
        <f t="shared" si="252"/>
        <v>0</v>
      </c>
      <c r="AT278" s="152">
        <f t="shared" si="252"/>
        <v>0</v>
      </c>
      <c r="AU278" s="152">
        <f t="shared" si="252"/>
        <v>0</v>
      </c>
      <c r="AV278" s="152">
        <f t="shared" si="252"/>
        <v>0</v>
      </c>
      <c r="AW278" s="152">
        <f t="shared" si="252"/>
        <v>0</v>
      </c>
      <c r="AX278" s="152">
        <f t="shared" si="252"/>
        <v>0</v>
      </c>
      <c r="AY278" s="152">
        <f t="shared" si="252"/>
        <v>0</v>
      </c>
      <c r="AZ278" s="152">
        <f t="shared" si="252"/>
        <v>0</v>
      </c>
      <c r="BA278" s="152">
        <f t="shared" si="252"/>
        <v>0</v>
      </c>
      <c r="BB278" s="152">
        <f t="shared" si="252"/>
        <v>0</v>
      </c>
      <c r="BC278" s="152">
        <f t="shared" si="252"/>
        <v>0</v>
      </c>
      <c r="BD278" s="152">
        <f t="shared" si="252"/>
        <v>0</v>
      </c>
    </row>
    <row r="279" spans="3:56" ht="15" customHeight="1">
      <c r="C279" s="152"/>
      <c r="E279" s="128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2"/>
      <c r="AJ279" s="152"/>
      <c r="AK279" s="152"/>
      <c r="AL279" s="152"/>
      <c r="AM279" s="152"/>
      <c r="AN279" s="152"/>
      <c r="AO279" s="152"/>
      <c r="AP279" s="152"/>
      <c r="AQ279" s="152"/>
      <c r="AR279" s="152"/>
      <c r="AS279" s="152"/>
      <c r="AT279" s="152"/>
      <c r="AU279" s="152"/>
      <c r="AV279" s="152"/>
      <c r="AW279" s="152"/>
      <c r="AX279" s="152"/>
      <c r="AY279" s="152"/>
      <c r="AZ279" s="152"/>
      <c r="BA279" s="152"/>
      <c r="BB279" s="152"/>
      <c r="BC279" s="152"/>
      <c r="BD279" s="152"/>
    </row>
    <row r="280" spans="3:56" ht="15" customHeight="1">
      <c r="C280" s="152"/>
      <c r="D280" s="33" t="s">
        <v>334</v>
      </c>
      <c r="E280" s="128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152"/>
      <c r="AE280" s="152"/>
      <c r="AF280" s="152"/>
      <c r="AG280" s="152"/>
      <c r="AH280" s="152"/>
      <c r="AI280" s="152"/>
      <c r="AJ280" s="152"/>
      <c r="AK280" s="152"/>
      <c r="AL280" s="152"/>
      <c r="AM280" s="152"/>
      <c r="AN280" s="152"/>
      <c r="AO280" s="152"/>
      <c r="AP280" s="152"/>
      <c r="AQ280" s="152"/>
      <c r="AR280" s="152"/>
      <c r="AS280" s="152"/>
      <c r="AT280" s="152"/>
      <c r="AU280" s="152"/>
      <c r="AV280" s="152"/>
      <c r="AW280" s="152"/>
      <c r="AX280" s="152"/>
      <c r="AY280" s="152"/>
      <c r="AZ280" s="152"/>
      <c r="BA280" s="152"/>
      <c r="BB280" s="152"/>
      <c r="BC280" s="152"/>
      <c r="BD280" s="152"/>
    </row>
    <row r="281" spans="3:56" ht="15" customHeight="1">
      <c r="C281" s="152">
        <f>SUM(G281:BD281)</f>
        <v>2005.6394544710256</v>
      </c>
      <c r="D281" s="55" t="s">
        <v>329</v>
      </c>
      <c r="E281" s="128" t="s">
        <v>153</v>
      </c>
      <c r="G281" s="152">
        <f t="shared" ref="G281:AL281" si="253">G276</f>
        <v>99.945899999999995</v>
      </c>
      <c r="H281" s="152">
        <f t="shared" si="253"/>
        <v>119.57270982352944</v>
      </c>
      <c r="I281" s="152">
        <f t="shared" si="253"/>
        <v>75.384611003460194</v>
      </c>
      <c r="J281" s="152">
        <f t="shared" si="253"/>
        <v>243.5998931406472</v>
      </c>
      <c r="K281" s="152">
        <f t="shared" si="253"/>
        <v>234.21913053004636</v>
      </c>
      <c r="L281" s="152">
        <f t="shared" si="253"/>
        <v>252.13507140120453</v>
      </c>
      <c r="M281" s="152">
        <f t="shared" si="253"/>
        <v>261.69733666383308</v>
      </c>
      <c r="N281" s="152">
        <f t="shared" si="253"/>
        <v>166.81371570024308</v>
      </c>
      <c r="O281" s="152">
        <f t="shared" si="253"/>
        <v>44.6141358052855</v>
      </c>
      <c r="P281" s="152">
        <f t="shared" si="253"/>
        <v>58.033096555809337</v>
      </c>
      <c r="Q281" s="152">
        <f t="shared" si="253"/>
        <v>56.466074748784727</v>
      </c>
      <c r="R281" s="152">
        <f t="shared" si="253"/>
        <v>64.36454114851955</v>
      </c>
      <c r="S281" s="152">
        <f t="shared" si="253"/>
        <v>71.101554060185464</v>
      </c>
      <c r="T281" s="152">
        <f t="shared" si="253"/>
        <v>64.426615016977721</v>
      </c>
      <c r="U281" s="152">
        <f t="shared" si="253"/>
        <v>96.025181560200451</v>
      </c>
      <c r="V281" s="152">
        <f t="shared" si="253"/>
        <v>71.120906523179812</v>
      </c>
      <c r="W281" s="152">
        <f t="shared" si="253"/>
        <v>26.118980789118897</v>
      </c>
      <c r="X281" s="152">
        <f t="shared" si="253"/>
        <v>0</v>
      </c>
      <c r="Y281" s="152">
        <f t="shared" si="253"/>
        <v>0</v>
      </c>
      <c r="Z281" s="152">
        <f t="shared" si="253"/>
        <v>0</v>
      </c>
      <c r="AA281" s="152">
        <f t="shared" si="253"/>
        <v>0</v>
      </c>
      <c r="AB281" s="152">
        <f t="shared" si="253"/>
        <v>0</v>
      </c>
      <c r="AC281" s="152">
        <f t="shared" si="253"/>
        <v>0</v>
      </c>
      <c r="AD281" s="152">
        <f t="shared" si="253"/>
        <v>0</v>
      </c>
      <c r="AE281" s="152">
        <f t="shared" si="253"/>
        <v>0</v>
      </c>
      <c r="AF281" s="152">
        <f t="shared" si="253"/>
        <v>0</v>
      </c>
      <c r="AG281" s="152">
        <f t="shared" si="253"/>
        <v>0</v>
      </c>
      <c r="AH281" s="152">
        <f t="shared" si="253"/>
        <v>0</v>
      </c>
      <c r="AI281" s="152">
        <f t="shared" si="253"/>
        <v>0</v>
      </c>
      <c r="AJ281" s="152">
        <f t="shared" si="253"/>
        <v>0</v>
      </c>
      <c r="AK281" s="152">
        <f t="shared" si="253"/>
        <v>0</v>
      </c>
      <c r="AL281" s="152">
        <f t="shared" si="253"/>
        <v>0</v>
      </c>
      <c r="AM281" s="152">
        <f t="shared" ref="AM281:BD281" si="254">AM276</f>
        <v>0</v>
      </c>
      <c r="AN281" s="152">
        <f t="shared" si="254"/>
        <v>0</v>
      </c>
      <c r="AO281" s="152">
        <f t="shared" si="254"/>
        <v>0</v>
      </c>
      <c r="AP281" s="152">
        <f t="shared" si="254"/>
        <v>0</v>
      </c>
      <c r="AQ281" s="152">
        <f t="shared" si="254"/>
        <v>0</v>
      </c>
      <c r="AR281" s="152">
        <f t="shared" si="254"/>
        <v>0</v>
      </c>
      <c r="AS281" s="152">
        <f t="shared" si="254"/>
        <v>0</v>
      </c>
      <c r="AT281" s="152">
        <f t="shared" si="254"/>
        <v>0</v>
      </c>
      <c r="AU281" s="152">
        <f t="shared" si="254"/>
        <v>0</v>
      </c>
      <c r="AV281" s="152">
        <f t="shared" si="254"/>
        <v>0</v>
      </c>
      <c r="AW281" s="152">
        <f t="shared" si="254"/>
        <v>0</v>
      </c>
      <c r="AX281" s="152">
        <f t="shared" si="254"/>
        <v>0</v>
      </c>
      <c r="AY281" s="152">
        <f t="shared" si="254"/>
        <v>0</v>
      </c>
      <c r="AZ281" s="152">
        <f t="shared" si="254"/>
        <v>0</v>
      </c>
      <c r="BA281" s="152">
        <f t="shared" si="254"/>
        <v>0</v>
      </c>
      <c r="BB281" s="152">
        <f t="shared" si="254"/>
        <v>0</v>
      </c>
      <c r="BC281" s="152">
        <f t="shared" si="254"/>
        <v>0</v>
      </c>
      <c r="BD281" s="152">
        <f t="shared" si="254"/>
        <v>0</v>
      </c>
    </row>
    <row r="282" spans="3:56" ht="15" customHeight="1">
      <c r="C282" s="152">
        <f>SUM(G282:BD282)</f>
        <v>87673.683071462481</v>
      </c>
      <c r="D282" s="55" t="s">
        <v>335</v>
      </c>
      <c r="E282" s="128" t="s">
        <v>153</v>
      </c>
      <c r="G282" s="152">
        <f t="shared" ref="G282:AL282" si="255">G281+F282</f>
        <v>99.945899999999995</v>
      </c>
      <c r="H282" s="152">
        <f t="shared" si="255"/>
        <v>219.51860982352943</v>
      </c>
      <c r="I282" s="152">
        <f t="shared" si="255"/>
        <v>294.90322082698964</v>
      </c>
      <c r="J282" s="152">
        <f t="shared" si="255"/>
        <v>538.50311396763686</v>
      </c>
      <c r="K282" s="152">
        <f t="shared" si="255"/>
        <v>772.72224449768328</v>
      </c>
      <c r="L282" s="152">
        <f t="shared" si="255"/>
        <v>1024.8573158988879</v>
      </c>
      <c r="M282" s="152">
        <f t="shared" si="255"/>
        <v>1286.554652562721</v>
      </c>
      <c r="N282" s="152">
        <f t="shared" si="255"/>
        <v>1453.3683682629642</v>
      </c>
      <c r="O282" s="152">
        <f t="shared" si="255"/>
        <v>1497.9825040682497</v>
      </c>
      <c r="P282" s="152">
        <f t="shared" si="255"/>
        <v>1556.0156006240591</v>
      </c>
      <c r="Q282" s="152">
        <f t="shared" si="255"/>
        <v>1612.4816753728437</v>
      </c>
      <c r="R282" s="152">
        <f t="shared" si="255"/>
        <v>1676.8462165213632</v>
      </c>
      <c r="S282" s="152">
        <f t="shared" si="255"/>
        <v>1747.9477705815486</v>
      </c>
      <c r="T282" s="152">
        <f t="shared" si="255"/>
        <v>1812.3743855985263</v>
      </c>
      <c r="U282" s="152">
        <f t="shared" si="255"/>
        <v>1908.3995671587268</v>
      </c>
      <c r="V282" s="152">
        <f t="shared" si="255"/>
        <v>1979.5204736819067</v>
      </c>
      <c r="W282" s="152">
        <f t="shared" si="255"/>
        <v>2005.6394544710256</v>
      </c>
      <c r="X282" s="152">
        <f t="shared" si="255"/>
        <v>2005.6394544710256</v>
      </c>
      <c r="Y282" s="152">
        <f t="shared" si="255"/>
        <v>2005.6394544710256</v>
      </c>
      <c r="Z282" s="152">
        <f t="shared" si="255"/>
        <v>2005.6394544710256</v>
      </c>
      <c r="AA282" s="152">
        <f t="shared" si="255"/>
        <v>2005.6394544710256</v>
      </c>
      <c r="AB282" s="152">
        <f t="shared" si="255"/>
        <v>2005.6394544710256</v>
      </c>
      <c r="AC282" s="152">
        <f t="shared" si="255"/>
        <v>2005.6394544710256</v>
      </c>
      <c r="AD282" s="152">
        <f t="shared" si="255"/>
        <v>2005.6394544710256</v>
      </c>
      <c r="AE282" s="152">
        <f t="shared" si="255"/>
        <v>2005.6394544710256</v>
      </c>
      <c r="AF282" s="152">
        <f t="shared" si="255"/>
        <v>2005.6394544710256</v>
      </c>
      <c r="AG282" s="152">
        <f t="shared" si="255"/>
        <v>2005.6394544710256</v>
      </c>
      <c r="AH282" s="152">
        <f t="shared" si="255"/>
        <v>2005.6394544710256</v>
      </c>
      <c r="AI282" s="152">
        <f t="shared" si="255"/>
        <v>2005.6394544710256</v>
      </c>
      <c r="AJ282" s="152">
        <f t="shared" si="255"/>
        <v>2005.6394544710256</v>
      </c>
      <c r="AK282" s="152">
        <f t="shared" si="255"/>
        <v>2005.6394544710256</v>
      </c>
      <c r="AL282" s="152">
        <f t="shared" si="255"/>
        <v>2005.6394544710256</v>
      </c>
      <c r="AM282" s="152">
        <f t="shared" ref="AM282:BR282" si="256">AM281+AL282</f>
        <v>2005.6394544710256</v>
      </c>
      <c r="AN282" s="152">
        <f t="shared" si="256"/>
        <v>2005.6394544710256</v>
      </c>
      <c r="AO282" s="152">
        <f t="shared" si="256"/>
        <v>2005.6394544710256</v>
      </c>
      <c r="AP282" s="152">
        <f t="shared" si="256"/>
        <v>2005.6394544710256</v>
      </c>
      <c r="AQ282" s="152">
        <f t="shared" si="256"/>
        <v>2005.6394544710256</v>
      </c>
      <c r="AR282" s="152">
        <f t="shared" si="256"/>
        <v>2005.6394544710256</v>
      </c>
      <c r="AS282" s="152">
        <f t="shared" si="256"/>
        <v>2005.6394544710256</v>
      </c>
      <c r="AT282" s="152">
        <f t="shared" si="256"/>
        <v>2005.6394544710256</v>
      </c>
      <c r="AU282" s="152">
        <f t="shared" si="256"/>
        <v>2005.6394544710256</v>
      </c>
      <c r="AV282" s="152">
        <f t="shared" si="256"/>
        <v>2005.6394544710256</v>
      </c>
      <c r="AW282" s="152">
        <f t="shared" si="256"/>
        <v>2005.6394544710256</v>
      </c>
      <c r="AX282" s="152">
        <f t="shared" si="256"/>
        <v>2005.6394544710256</v>
      </c>
      <c r="AY282" s="152">
        <f t="shared" si="256"/>
        <v>2005.6394544710256</v>
      </c>
      <c r="AZ282" s="152">
        <f t="shared" si="256"/>
        <v>2005.6394544710256</v>
      </c>
      <c r="BA282" s="152">
        <f t="shared" si="256"/>
        <v>2005.6394544710256</v>
      </c>
      <c r="BB282" s="152">
        <f t="shared" si="256"/>
        <v>2005.6394544710256</v>
      </c>
      <c r="BC282" s="152">
        <f t="shared" si="256"/>
        <v>2005.6394544710256</v>
      </c>
      <c r="BD282" s="152">
        <f t="shared" si="256"/>
        <v>2005.6394544710256</v>
      </c>
    </row>
    <row r="283" spans="3:56" ht="15" customHeight="1">
      <c r="C283" s="152">
        <f>SUM(G283:BD283)</f>
        <v>0</v>
      </c>
      <c r="D283" s="55" t="s">
        <v>336</v>
      </c>
      <c r="E283" s="128" t="s">
        <v>171</v>
      </c>
      <c r="G283" s="168">
        <f t="shared" ref="G283:AL283" si="257">IF(AND(G282&lt;=0,H282&gt;0),G$28+(-G282/H281),0)</f>
        <v>0</v>
      </c>
      <c r="H283" s="168">
        <f t="shared" si="257"/>
        <v>0</v>
      </c>
      <c r="I283" s="168">
        <f t="shared" si="257"/>
        <v>0</v>
      </c>
      <c r="J283" s="168">
        <f t="shared" si="257"/>
        <v>0</v>
      </c>
      <c r="K283" s="168">
        <f t="shared" si="257"/>
        <v>0</v>
      </c>
      <c r="L283" s="168">
        <f t="shared" si="257"/>
        <v>0</v>
      </c>
      <c r="M283" s="168">
        <f t="shared" si="257"/>
        <v>0</v>
      </c>
      <c r="N283" s="168">
        <f t="shared" si="257"/>
        <v>0</v>
      </c>
      <c r="O283" s="168">
        <f t="shared" si="257"/>
        <v>0</v>
      </c>
      <c r="P283" s="168">
        <f t="shared" si="257"/>
        <v>0</v>
      </c>
      <c r="Q283" s="168">
        <f t="shared" si="257"/>
        <v>0</v>
      </c>
      <c r="R283" s="168">
        <f t="shared" si="257"/>
        <v>0</v>
      </c>
      <c r="S283" s="168">
        <f t="shared" si="257"/>
        <v>0</v>
      </c>
      <c r="T283" s="168">
        <f t="shared" si="257"/>
        <v>0</v>
      </c>
      <c r="U283" s="168">
        <f t="shared" si="257"/>
        <v>0</v>
      </c>
      <c r="V283" s="168">
        <f t="shared" si="257"/>
        <v>0</v>
      </c>
      <c r="W283" s="168">
        <f t="shared" si="257"/>
        <v>0</v>
      </c>
      <c r="X283" s="168">
        <f t="shared" si="257"/>
        <v>0</v>
      </c>
      <c r="Y283" s="168">
        <f t="shared" si="257"/>
        <v>0</v>
      </c>
      <c r="Z283" s="168">
        <f t="shared" si="257"/>
        <v>0</v>
      </c>
      <c r="AA283" s="168">
        <f t="shared" si="257"/>
        <v>0</v>
      </c>
      <c r="AB283" s="168">
        <f t="shared" si="257"/>
        <v>0</v>
      </c>
      <c r="AC283" s="168">
        <f t="shared" si="257"/>
        <v>0</v>
      </c>
      <c r="AD283" s="168">
        <f t="shared" si="257"/>
        <v>0</v>
      </c>
      <c r="AE283" s="168">
        <f t="shared" si="257"/>
        <v>0</v>
      </c>
      <c r="AF283" s="168">
        <f t="shared" si="257"/>
        <v>0</v>
      </c>
      <c r="AG283" s="168">
        <f t="shared" si="257"/>
        <v>0</v>
      </c>
      <c r="AH283" s="168">
        <f t="shared" si="257"/>
        <v>0</v>
      </c>
      <c r="AI283" s="168">
        <f t="shared" si="257"/>
        <v>0</v>
      </c>
      <c r="AJ283" s="168">
        <f t="shared" si="257"/>
        <v>0</v>
      </c>
      <c r="AK283" s="168">
        <f t="shared" si="257"/>
        <v>0</v>
      </c>
      <c r="AL283" s="168">
        <f t="shared" si="257"/>
        <v>0</v>
      </c>
      <c r="AM283" s="168">
        <f t="shared" ref="AM283:BR283" si="258">IF(AND(AM282&lt;=0,AN282&gt;0),AM$28+(-AM282/AN281),0)</f>
        <v>0</v>
      </c>
      <c r="AN283" s="168">
        <f t="shared" si="258"/>
        <v>0</v>
      </c>
      <c r="AO283" s="168">
        <f t="shared" si="258"/>
        <v>0</v>
      </c>
      <c r="AP283" s="168">
        <f t="shared" si="258"/>
        <v>0</v>
      </c>
      <c r="AQ283" s="168">
        <f t="shared" si="258"/>
        <v>0</v>
      </c>
      <c r="AR283" s="168">
        <f t="shared" si="258"/>
        <v>0</v>
      </c>
      <c r="AS283" s="168">
        <f t="shared" si="258"/>
        <v>0</v>
      </c>
      <c r="AT283" s="168">
        <f t="shared" si="258"/>
        <v>0</v>
      </c>
      <c r="AU283" s="168">
        <f t="shared" si="258"/>
        <v>0</v>
      </c>
      <c r="AV283" s="168">
        <f t="shared" si="258"/>
        <v>0</v>
      </c>
      <c r="AW283" s="168">
        <f t="shared" si="258"/>
        <v>0</v>
      </c>
      <c r="AX283" s="168">
        <f t="shared" si="258"/>
        <v>0</v>
      </c>
      <c r="AY283" s="168">
        <f t="shared" si="258"/>
        <v>0</v>
      </c>
      <c r="AZ283" s="168">
        <f t="shared" si="258"/>
        <v>0</v>
      </c>
      <c r="BA283" s="168">
        <f t="shared" si="258"/>
        <v>0</v>
      </c>
      <c r="BB283" s="168">
        <f t="shared" si="258"/>
        <v>0</v>
      </c>
      <c r="BC283" s="168">
        <f t="shared" si="258"/>
        <v>0</v>
      </c>
      <c r="BD283" s="168">
        <f t="shared" si="258"/>
        <v>0</v>
      </c>
    </row>
    <row r="284" spans="3:56" ht="15" customHeight="1">
      <c r="C284" s="152"/>
      <c r="E284" s="128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2"/>
      <c r="AJ284" s="152"/>
      <c r="AK284" s="152"/>
      <c r="AL284" s="152"/>
      <c r="AM284" s="152"/>
      <c r="AN284" s="152"/>
      <c r="AO284" s="152"/>
      <c r="AP284" s="152"/>
      <c r="AQ284" s="152"/>
      <c r="AR284" s="152"/>
      <c r="AS284" s="152"/>
      <c r="AT284" s="152"/>
      <c r="AU284" s="152"/>
      <c r="AV284" s="152"/>
      <c r="AW284" s="152"/>
      <c r="AX284" s="152"/>
      <c r="AY284" s="152"/>
      <c r="AZ284" s="152"/>
      <c r="BA284" s="152"/>
      <c r="BB284" s="152"/>
      <c r="BC284" s="152"/>
      <c r="BD284" s="152"/>
    </row>
    <row r="285" spans="3:56" ht="15" customHeight="1">
      <c r="C285" s="152"/>
      <c r="D285" s="55" t="s">
        <v>337</v>
      </c>
      <c r="E285" s="128"/>
      <c r="G285" s="205">
        <f>(1+Paramètres!$F$94)^(G246-1)</f>
        <v>1</v>
      </c>
      <c r="H285" s="205">
        <f>(1+Paramètres!$F$94)^(H246-1)</f>
        <v>1.125</v>
      </c>
      <c r="I285" s="205">
        <f>(1+Paramètres!$F$94)^(I246-1)</f>
        <v>1.265625</v>
      </c>
      <c r="J285" s="205">
        <f>(1+Paramètres!$F$94)^(J246-1)</f>
        <v>1.423828125</v>
      </c>
      <c r="K285" s="205">
        <f>(1+Paramètres!$F$94)^(K246-1)</f>
        <v>1.601806640625</v>
      </c>
      <c r="L285" s="205">
        <f>(1+Paramètres!$F$94)^(L246-1)</f>
        <v>1.802032470703125</v>
      </c>
      <c r="M285" s="205">
        <f>(1+Paramètres!$F$94)^(M246-1)</f>
        <v>2.0272865295410156</v>
      </c>
      <c r="N285" s="205">
        <f>(1+Paramètres!$F$94)^(N246-1)</f>
        <v>2.2806973457336426</v>
      </c>
      <c r="O285" s="205">
        <f>(1+Paramètres!$F$94)^(O246-1)</f>
        <v>2.5657845139503479</v>
      </c>
      <c r="P285" s="205">
        <f>(1+Paramètres!$F$94)^(P246-1)</f>
        <v>2.8865075781941414</v>
      </c>
      <c r="Q285" s="205">
        <f>(1+Paramètres!$F$94)^(Q246-1)</f>
        <v>3.2473210254684091</v>
      </c>
      <c r="R285" s="205">
        <f>(1+Paramètres!$F$94)^(R246-1)</f>
        <v>3.6532361536519602</v>
      </c>
      <c r="S285" s="205">
        <f>(1+Paramètres!$F$94)^(S246-1)</f>
        <v>4.1098906728584552</v>
      </c>
      <c r="T285" s="205">
        <f>(1+Paramètres!$F$94)^(T246-1)</f>
        <v>4.6236270069657621</v>
      </c>
      <c r="U285" s="205">
        <f>(1+Paramètres!$F$94)^(U246-1)</f>
        <v>5.2015803828364824</v>
      </c>
      <c r="V285" s="205">
        <f>(1+Paramètres!$F$94)^(V246-1)</f>
        <v>5.8517779306910427</v>
      </c>
      <c r="W285" s="205">
        <f>(1+Paramètres!$F$94)^(W246-1)</f>
        <v>6.583250172027423</v>
      </c>
      <c r="X285" s="205">
        <f>(1+Paramètres!$F$94)^(X246-1)</f>
        <v>7.4061564435308505</v>
      </c>
      <c r="Y285" s="205">
        <f>(1+Paramètres!$F$94)^(Y246-1)</f>
        <v>8.3319259989722081</v>
      </c>
      <c r="Z285" s="205">
        <f>(1+Paramètres!$F$94)^(Z246-1)</f>
        <v>9.3734167488437325</v>
      </c>
      <c r="AA285" s="205">
        <f>(1+Paramètres!$F$94)^(AA246-1)</f>
        <v>10.5450938424492</v>
      </c>
      <c r="AB285" s="205">
        <f>(1+Paramètres!$F$94)^(AB246-1)</f>
        <v>11.86323057275535</v>
      </c>
      <c r="AC285" s="205">
        <f>(1+Paramètres!$F$94)^(AC246-1)</f>
        <v>13.346134394349768</v>
      </c>
      <c r="AD285" s="205">
        <f>(1+Paramètres!$F$94)^(AD246-1)</f>
        <v>15.01440119364349</v>
      </c>
      <c r="AE285" s="205">
        <f>(1+Paramètres!$F$94)^(AE246-1)</f>
        <v>16.891201342848927</v>
      </c>
      <c r="AF285" s="205">
        <f>(1+Paramètres!$F$94)^(AF246-1)</f>
        <v>19.002601510705041</v>
      </c>
      <c r="AG285" s="205">
        <f>(1+Paramètres!$F$94)^(AG246-1)</f>
        <v>21.37792669954317</v>
      </c>
      <c r="AH285" s="205">
        <f>(1+Paramètres!$F$94)^(AH246-1)</f>
        <v>24.05016753698607</v>
      </c>
      <c r="AI285" s="205">
        <f>(1+Paramètres!$F$94)^(AI246-1)</f>
        <v>27.056438479109328</v>
      </c>
      <c r="AJ285" s="205">
        <f>(1+Paramètres!$F$94)^(AJ246-1)</f>
        <v>30.438493288997993</v>
      </c>
      <c r="AK285" s="205">
        <f>(1+Paramètres!$F$94)^(AK246-1)</f>
        <v>34.243304950122742</v>
      </c>
      <c r="AL285" s="205">
        <f>(1+Paramètres!$F$94)^(AL246-1)</f>
        <v>38.523718068888087</v>
      </c>
      <c r="AM285" s="205">
        <f>(1+Paramètres!$F$94)^(AM246-1)</f>
        <v>43.339182827499094</v>
      </c>
      <c r="AN285" s="205">
        <f>(1+Paramètres!$F$94)^(AN246-1)</f>
        <v>48.75658068093648</v>
      </c>
      <c r="AO285" s="205">
        <f>(1+Paramètres!$F$94)^(AO246-1)</f>
        <v>54.851153266053544</v>
      </c>
      <c r="AP285" s="205">
        <f>(1+Paramètres!$F$94)^(AP246-1)</f>
        <v>61.707547424310235</v>
      </c>
      <c r="AQ285" s="205">
        <f>(1+Paramètres!$F$94)^(AQ246-1)</f>
        <v>69.420990852349007</v>
      </c>
      <c r="AR285" s="205">
        <f>(1+Paramètres!$F$94)^(AR246-1)</f>
        <v>78.09861470889264</v>
      </c>
      <c r="AS285" s="205">
        <f>(1+Paramètres!$F$94)^(AS246-1)</f>
        <v>87.860941547504225</v>
      </c>
      <c r="AT285" s="205">
        <f>(1+Paramètres!$F$94)^(AT246-1)</f>
        <v>98.843559240942241</v>
      </c>
      <c r="AU285" s="205">
        <f>(1+Paramètres!$F$94)^(AU246-1)</f>
        <v>111.19900414606003</v>
      </c>
      <c r="AV285" s="205">
        <f>(1+Paramètres!$F$94)^(AV246-1)</f>
        <v>125.09887966431754</v>
      </c>
      <c r="AW285" s="205">
        <f>(1+Paramètres!$F$94)^(AW246-1)</f>
        <v>140.73623962235723</v>
      </c>
      <c r="AX285" s="205">
        <f>(1+Paramètres!$F$94)^(AX246-1)</f>
        <v>158.32826957515186</v>
      </c>
      <c r="AY285" s="205">
        <f>(1+Paramètres!$F$94)^(AY246-1)</f>
        <v>178.11930327204587</v>
      </c>
      <c r="AZ285" s="205">
        <f>(1+Paramètres!$F$94)^(AZ246-1)</f>
        <v>200.38421618105158</v>
      </c>
      <c r="BA285" s="205">
        <f>(1+Paramètres!$F$94)^(BA246-1)</f>
        <v>225.43224320368304</v>
      </c>
      <c r="BB285" s="205">
        <f>(1+Paramètres!$F$94)^(BB246-1)</f>
        <v>253.61127360414343</v>
      </c>
      <c r="BC285" s="205">
        <f>(1+Paramètres!$F$94)^(BC246-1)</f>
        <v>285.31268280466134</v>
      </c>
      <c r="BD285" s="205">
        <f>(1+Paramètres!$F$94)^(BD246-1)</f>
        <v>320.97676815524397</v>
      </c>
    </row>
    <row r="286" spans="3:56" ht="15" customHeight="1">
      <c r="C286" s="152">
        <f>SUM(G286:BD286)</f>
        <v>1063.5682091438011</v>
      </c>
      <c r="D286" s="55" t="s">
        <v>338</v>
      </c>
      <c r="E286" s="128" t="s">
        <v>153</v>
      </c>
      <c r="G286" s="152">
        <f t="shared" ref="G286:AL286" si="259">G281/G285</f>
        <v>99.945899999999995</v>
      </c>
      <c r="H286" s="152">
        <f t="shared" si="259"/>
        <v>106.28685317647061</v>
      </c>
      <c r="I286" s="152">
        <f t="shared" si="259"/>
        <v>59.563149434832745</v>
      </c>
      <c r="J286" s="152">
        <f t="shared" si="259"/>
        <v>171.08799079288252</v>
      </c>
      <c r="K286" s="152">
        <f t="shared" si="259"/>
        <v>146.2218501220957</v>
      </c>
      <c r="L286" s="152">
        <f t="shared" si="259"/>
        <v>139.91705227310658</v>
      </c>
      <c r="M286" s="152">
        <f t="shared" si="259"/>
        <v>129.08749347981029</v>
      </c>
      <c r="N286" s="152">
        <f t="shared" si="259"/>
        <v>73.141539806801205</v>
      </c>
      <c r="O286" s="152">
        <f t="shared" si="259"/>
        <v>17.388107053696583</v>
      </c>
      <c r="P286" s="152">
        <f t="shared" si="259"/>
        <v>20.104952086117869</v>
      </c>
      <c r="Q286" s="152">
        <f t="shared" si="259"/>
        <v>17.388510192225233</v>
      </c>
      <c r="R286" s="152">
        <f t="shared" si="259"/>
        <v>17.618499993266926</v>
      </c>
      <c r="S286" s="152">
        <f t="shared" si="259"/>
        <v>17.300108377514061</v>
      </c>
      <c r="T286" s="152">
        <f t="shared" si="259"/>
        <v>13.934215480598953</v>
      </c>
      <c r="U286" s="152">
        <f t="shared" si="259"/>
        <v>18.460770476036899</v>
      </c>
      <c r="V286" s="152">
        <f t="shared" si="259"/>
        <v>12.153726160756936</v>
      </c>
      <c r="W286" s="152">
        <f t="shared" si="259"/>
        <v>3.9674902375880872</v>
      </c>
      <c r="X286" s="152">
        <f t="shared" si="259"/>
        <v>0</v>
      </c>
      <c r="Y286" s="152">
        <f t="shared" si="259"/>
        <v>0</v>
      </c>
      <c r="Z286" s="152">
        <f t="shared" si="259"/>
        <v>0</v>
      </c>
      <c r="AA286" s="152">
        <f t="shared" si="259"/>
        <v>0</v>
      </c>
      <c r="AB286" s="152">
        <f t="shared" si="259"/>
        <v>0</v>
      </c>
      <c r="AC286" s="152">
        <f t="shared" si="259"/>
        <v>0</v>
      </c>
      <c r="AD286" s="152">
        <f t="shared" si="259"/>
        <v>0</v>
      </c>
      <c r="AE286" s="152">
        <f t="shared" si="259"/>
        <v>0</v>
      </c>
      <c r="AF286" s="152">
        <f t="shared" si="259"/>
        <v>0</v>
      </c>
      <c r="AG286" s="152">
        <f t="shared" si="259"/>
        <v>0</v>
      </c>
      <c r="AH286" s="152">
        <f t="shared" si="259"/>
        <v>0</v>
      </c>
      <c r="AI286" s="152">
        <f t="shared" si="259"/>
        <v>0</v>
      </c>
      <c r="AJ286" s="152">
        <f t="shared" si="259"/>
        <v>0</v>
      </c>
      <c r="AK286" s="152">
        <f t="shared" si="259"/>
        <v>0</v>
      </c>
      <c r="AL286" s="152">
        <f t="shared" si="259"/>
        <v>0</v>
      </c>
      <c r="AM286" s="152">
        <f t="shared" ref="AM286:BR286" si="260">AM281/AM285</f>
        <v>0</v>
      </c>
      <c r="AN286" s="152">
        <f t="shared" si="260"/>
        <v>0</v>
      </c>
      <c r="AO286" s="152">
        <f t="shared" si="260"/>
        <v>0</v>
      </c>
      <c r="AP286" s="152">
        <f t="shared" si="260"/>
        <v>0</v>
      </c>
      <c r="AQ286" s="152">
        <f t="shared" si="260"/>
        <v>0</v>
      </c>
      <c r="AR286" s="152">
        <f t="shared" si="260"/>
        <v>0</v>
      </c>
      <c r="AS286" s="152">
        <f t="shared" si="260"/>
        <v>0</v>
      </c>
      <c r="AT286" s="152">
        <f t="shared" si="260"/>
        <v>0</v>
      </c>
      <c r="AU286" s="152">
        <f t="shared" si="260"/>
        <v>0</v>
      </c>
      <c r="AV286" s="152">
        <f t="shared" si="260"/>
        <v>0</v>
      </c>
      <c r="AW286" s="152">
        <f t="shared" si="260"/>
        <v>0</v>
      </c>
      <c r="AX286" s="152">
        <f t="shared" si="260"/>
        <v>0</v>
      </c>
      <c r="AY286" s="152">
        <f t="shared" si="260"/>
        <v>0</v>
      </c>
      <c r="AZ286" s="152">
        <f t="shared" si="260"/>
        <v>0</v>
      </c>
      <c r="BA286" s="152">
        <f t="shared" si="260"/>
        <v>0</v>
      </c>
      <c r="BB286" s="152">
        <f t="shared" si="260"/>
        <v>0</v>
      </c>
      <c r="BC286" s="152">
        <f t="shared" si="260"/>
        <v>0</v>
      </c>
      <c r="BD286" s="152">
        <f t="shared" si="260"/>
        <v>0</v>
      </c>
    </row>
    <row r="287" spans="3:56" ht="15" customHeight="1">
      <c r="C287" s="152">
        <f>SUM(G287:BD287)</f>
        <v>48288.024279676778</v>
      </c>
      <c r="D287" s="55" t="s">
        <v>339</v>
      </c>
      <c r="E287" s="128" t="s">
        <v>153</v>
      </c>
      <c r="G287" s="152">
        <f t="shared" ref="G287:AL287" si="261">G286+F287</f>
        <v>99.945899999999995</v>
      </c>
      <c r="H287" s="152">
        <f t="shared" si="261"/>
        <v>206.23275317647062</v>
      </c>
      <c r="I287" s="152">
        <f t="shared" si="261"/>
        <v>265.79590261130335</v>
      </c>
      <c r="J287" s="152">
        <f t="shared" si="261"/>
        <v>436.88389340418587</v>
      </c>
      <c r="K287" s="152">
        <f t="shared" si="261"/>
        <v>583.10574352628157</v>
      </c>
      <c r="L287" s="152">
        <f t="shared" si="261"/>
        <v>723.02279579938818</v>
      </c>
      <c r="M287" s="152">
        <f t="shared" si="261"/>
        <v>852.11028927919847</v>
      </c>
      <c r="N287" s="152">
        <f t="shared" si="261"/>
        <v>925.2518290859997</v>
      </c>
      <c r="O287" s="152">
        <f t="shared" si="261"/>
        <v>942.63993613969626</v>
      </c>
      <c r="P287" s="152">
        <f t="shared" si="261"/>
        <v>962.74488822581418</v>
      </c>
      <c r="Q287" s="152">
        <f t="shared" si="261"/>
        <v>980.13339841803941</v>
      </c>
      <c r="R287" s="152">
        <f t="shared" si="261"/>
        <v>997.75189841130634</v>
      </c>
      <c r="S287" s="152">
        <f t="shared" si="261"/>
        <v>1015.0520067888204</v>
      </c>
      <c r="T287" s="152">
        <f t="shared" si="261"/>
        <v>1028.9862222694194</v>
      </c>
      <c r="U287" s="206">
        <f t="shared" si="261"/>
        <v>1047.4469927454563</v>
      </c>
      <c r="V287" s="152">
        <f t="shared" si="261"/>
        <v>1059.6007189062132</v>
      </c>
      <c r="W287" s="206">
        <f t="shared" si="261"/>
        <v>1063.5682091438011</v>
      </c>
      <c r="X287" s="152">
        <f t="shared" si="261"/>
        <v>1063.5682091438011</v>
      </c>
      <c r="Y287" s="152">
        <f t="shared" si="261"/>
        <v>1063.5682091438011</v>
      </c>
      <c r="Z287" s="152">
        <f t="shared" si="261"/>
        <v>1063.5682091438011</v>
      </c>
      <c r="AA287" s="152">
        <f t="shared" si="261"/>
        <v>1063.5682091438011</v>
      </c>
      <c r="AB287" s="152">
        <f t="shared" si="261"/>
        <v>1063.5682091438011</v>
      </c>
      <c r="AC287" s="152">
        <f t="shared" si="261"/>
        <v>1063.5682091438011</v>
      </c>
      <c r="AD287" s="152">
        <f t="shared" si="261"/>
        <v>1063.5682091438011</v>
      </c>
      <c r="AE287" s="152">
        <f t="shared" si="261"/>
        <v>1063.5682091438011</v>
      </c>
      <c r="AF287" s="152">
        <f t="shared" si="261"/>
        <v>1063.5682091438011</v>
      </c>
      <c r="AG287" s="152">
        <f t="shared" si="261"/>
        <v>1063.5682091438011</v>
      </c>
      <c r="AH287" s="152">
        <f t="shared" si="261"/>
        <v>1063.5682091438011</v>
      </c>
      <c r="AI287" s="152">
        <f t="shared" si="261"/>
        <v>1063.5682091438011</v>
      </c>
      <c r="AJ287" s="152">
        <f t="shared" si="261"/>
        <v>1063.5682091438011</v>
      </c>
      <c r="AK287" s="152">
        <f t="shared" si="261"/>
        <v>1063.5682091438011</v>
      </c>
      <c r="AL287" s="152">
        <f t="shared" si="261"/>
        <v>1063.5682091438011</v>
      </c>
      <c r="AM287" s="152">
        <f t="shared" ref="AM287:BR287" si="262">AM286+AL287</f>
        <v>1063.5682091438011</v>
      </c>
      <c r="AN287" s="152">
        <f t="shared" si="262"/>
        <v>1063.5682091438011</v>
      </c>
      <c r="AO287" s="152">
        <f t="shared" si="262"/>
        <v>1063.5682091438011</v>
      </c>
      <c r="AP287" s="152">
        <f t="shared" si="262"/>
        <v>1063.5682091438011</v>
      </c>
      <c r="AQ287" s="152">
        <f t="shared" si="262"/>
        <v>1063.5682091438011</v>
      </c>
      <c r="AR287" s="152">
        <f t="shared" si="262"/>
        <v>1063.5682091438011</v>
      </c>
      <c r="AS287" s="152">
        <f t="shared" si="262"/>
        <v>1063.5682091438011</v>
      </c>
      <c r="AT287" s="152">
        <f t="shared" si="262"/>
        <v>1063.5682091438011</v>
      </c>
      <c r="AU287" s="152">
        <f t="shared" si="262"/>
        <v>1063.5682091438011</v>
      </c>
      <c r="AV287" s="152">
        <f t="shared" si="262"/>
        <v>1063.5682091438011</v>
      </c>
      <c r="AW287" s="152">
        <f t="shared" si="262"/>
        <v>1063.5682091438011</v>
      </c>
      <c r="AX287" s="152">
        <f t="shared" si="262"/>
        <v>1063.5682091438011</v>
      </c>
      <c r="AY287" s="152">
        <f t="shared" si="262"/>
        <v>1063.5682091438011</v>
      </c>
      <c r="AZ287" s="152">
        <f t="shared" si="262"/>
        <v>1063.5682091438011</v>
      </c>
      <c r="BA287" s="152">
        <f t="shared" si="262"/>
        <v>1063.5682091438011</v>
      </c>
      <c r="BB287" s="152">
        <f t="shared" si="262"/>
        <v>1063.5682091438011</v>
      </c>
      <c r="BC287" s="152">
        <f t="shared" si="262"/>
        <v>1063.5682091438011</v>
      </c>
      <c r="BD287" s="152">
        <f t="shared" si="262"/>
        <v>1063.5682091438011</v>
      </c>
    </row>
    <row r="288" spans="3:56" ht="15" customHeight="1">
      <c r="C288" s="152">
        <f>SUM(G288:BD288)</f>
        <v>0</v>
      </c>
      <c r="D288" s="55" t="s">
        <v>340</v>
      </c>
      <c r="E288" s="128" t="s">
        <v>171</v>
      </c>
      <c r="G288" s="168">
        <f t="shared" ref="G288:AL288" si="263">IF(AND(G287&lt;=0,H287&gt;0),G$28+(-G287/H286),0)</f>
        <v>0</v>
      </c>
      <c r="H288" s="168">
        <f t="shared" si="263"/>
        <v>0</v>
      </c>
      <c r="I288" s="168">
        <f t="shared" si="263"/>
        <v>0</v>
      </c>
      <c r="J288" s="168">
        <f t="shared" si="263"/>
        <v>0</v>
      </c>
      <c r="K288" s="168">
        <f t="shared" si="263"/>
        <v>0</v>
      </c>
      <c r="L288" s="168">
        <f t="shared" si="263"/>
        <v>0</v>
      </c>
      <c r="M288" s="168">
        <f t="shared" si="263"/>
        <v>0</v>
      </c>
      <c r="N288" s="168">
        <f t="shared" si="263"/>
        <v>0</v>
      </c>
      <c r="O288" s="168">
        <f t="shared" si="263"/>
        <v>0</v>
      </c>
      <c r="P288" s="168">
        <f t="shared" si="263"/>
        <v>0</v>
      </c>
      <c r="Q288" s="168">
        <f t="shared" si="263"/>
        <v>0</v>
      </c>
      <c r="R288" s="168">
        <f t="shared" si="263"/>
        <v>0</v>
      </c>
      <c r="S288" s="168">
        <f t="shared" si="263"/>
        <v>0</v>
      </c>
      <c r="T288" s="168">
        <f t="shared" si="263"/>
        <v>0</v>
      </c>
      <c r="U288" s="168">
        <f t="shared" si="263"/>
        <v>0</v>
      </c>
      <c r="V288" s="168">
        <f t="shared" si="263"/>
        <v>0</v>
      </c>
      <c r="W288" s="168">
        <f t="shared" si="263"/>
        <v>0</v>
      </c>
      <c r="X288" s="168">
        <f t="shared" si="263"/>
        <v>0</v>
      </c>
      <c r="Y288" s="168">
        <f t="shared" si="263"/>
        <v>0</v>
      </c>
      <c r="Z288" s="168">
        <f t="shared" si="263"/>
        <v>0</v>
      </c>
      <c r="AA288" s="168">
        <f t="shared" si="263"/>
        <v>0</v>
      </c>
      <c r="AB288" s="168">
        <f t="shared" si="263"/>
        <v>0</v>
      </c>
      <c r="AC288" s="168">
        <f t="shared" si="263"/>
        <v>0</v>
      </c>
      <c r="AD288" s="168">
        <f t="shared" si="263"/>
        <v>0</v>
      </c>
      <c r="AE288" s="168">
        <f t="shared" si="263"/>
        <v>0</v>
      </c>
      <c r="AF288" s="168">
        <f t="shared" si="263"/>
        <v>0</v>
      </c>
      <c r="AG288" s="168">
        <f t="shared" si="263"/>
        <v>0</v>
      </c>
      <c r="AH288" s="168">
        <f t="shared" si="263"/>
        <v>0</v>
      </c>
      <c r="AI288" s="168">
        <f t="shared" si="263"/>
        <v>0</v>
      </c>
      <c r="AJ288" s="168">
        <f t="shared" si="263"/>
        <v>0</v>
      </c>
      <c r="AK288" s="168">
        <f t="shared" si="263"/>
        <v>0</v>
      </c>
      <c r="AL288" s="168">
        <f t="shared" si="263"/>
        <v>0</v>
      </c>
      <c r="AM288" s="168">
        <f t="shared" ref="AM288:BR288" si="264">IF(AND(AM287&lt;=0,AN287&gt;0),AM$28+(-AM287/AN286),0)</f>
        <v>0</v>
      </c>
      <c r="AN288" s="168">
        <f t="shared" si="264"/>
        <v>0</v>
      </c>
      <c r="AO288" s="168">
        <f t="shared" si="264"/>
        <v>0</v>
      </c>
      <c r="AP288" s="168">
        <f t="shared" si="264"/>
        <v>0</v>
      </c>
      <c r="AQ288" s="168">
        <f t="shared" si="264"/>
        <v>0</v>
      </c>
      <c r="AR288" s="168">
        <f t="shared" si="264"/>
        <v>0</v>
      </c>
      <c r="AS288" s="168">
        <f t="shared" si="264"/>
        <v>0</v>
      </c>
      <c r="AT288" s="168">
        <f t="shared" si="264"/>
        <v>0</v>
      </c>
      <c r="AU288" s="168">
        <f t="shared" si="264"/>
        <v>0</v>
      </c>
      <c r="AV288" s="168">
        <f t="shared" si="264"/>
        <v>0</v>
      </c>
      <c r="AW288" s="168">
        <f t="shared" si="264"/>
        <v>0</v>
      </c>
      <c r="AX288" s="168">
        <f t="shared" si="264"/>
        <v>0</v>
      </c>
      <c r="AY288" s="168">
        <f t="shared" si="264"/>
        <v>0</v>
      </c>
      <c r="AZ288" s="168">
        <f t="shared" si="264"/>
        <v>0</v>
      </c>
      <c r="BA288" s="168">
        <f t="shared" si="264"/>
        <v>0</v>
      </c>
      <c r="BB288" s="168">
        <f t="shared" si="264"/>
        <v>0</v>
      </c>
      <c r="BC288" s="168">
        <f t="shared" si="264"/>
        <v>0</v>
      </c>
      <c r="BD288" s="168">
        <f t="shared" si="264"/>
        <v>0</v>
      </c>
    </row>
    <row r="289" spans="1:56" s="202" customFormat="1" ht="15" customHeight="1">
      <c r="A289" s="201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7"/>
      <c r="AD289" s="207"/>
      <c r="AE289" s="207"/>
      <c r="AF289" s="207"/>
      <c r="AG289" s="207"/>
      <c r="AH289" s="207"/>
      <c r="AI289" s="207"/>
      <c r="AJ289" s="207"/>
      <c r="AK289" s="207"/>
      <c r="AL289" s="207"/>
      <c r="AM289" s="207"/>
      <c r="AN289" s="207"/>
      <c r="AO289" s="207"/>
      <c r="AP289" s="207"/>
      <c r="AQ289" s="207"/>
      <c r="AR289" s="207"/>
      <c r="AS289" s="207"/>
      <c r="AT289" s="207"/>
      <c r="AU289" s="207"/>
      <c r="AV289" s="207"/>
      <c r="AW289" s="207"/>
      <c r="AX289" s="207"/>
      <c r="AY289" s="207"/>
      <c r="AZ289" s="207"/>
      <c r="BA289" s="207"/>
      <c r="BB289" s="207"/>
      <c r="BC289" s="207"/>
      <c r="BD289" s="207"/>
    </row>
    <row r="290" spans="1:56" ht="15" customHeight="1">
      <c r="C290" s="151"/>
      <c r="D290" s="33" t="s">
        <v>341</v>
      </c>
      <c r="E290" s="128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  <c r="AJ290" s="152"/>
      <c r="AK290" s="152"/>
      <c r="AL290" s="152"/>
      <c r="AM290" s="152"/>
      <c r="AN290" s="152"/>
      <c r="AO290" s="152"/>
      <c r="AP290" s="152"/>
      <c r="AQ290" s="152"/>
      <c r="AR290" s="152"/>
      <c r="AS290" s="152"/>
      <c r="AT290" s="152"/>
      <c r="AU290" s="152"/>
      <c r="AV290" s="152"/>
      <c r="AW290" s="152"/>
      <c r="AX290" s="152"/>
      <c r="AY290" s="152"/>
      <c r="AZ290" s="152"/>
      <c r="BA290" s="152"/>
      <c r="BB290" s="152"/>
      <c r="BC290" s="152"/>
      <c r="BD290" s="152"/>
    </row>
    <row r="291" spans="1:56" ht="15" customHeight="1">
      <c r="C291" s="152">
        <f t="shared" ref="C291:C303" si="265">SUM(G291:BD291)</f>
        <v>0</v>
      </c>
      <c r="D291" s="55" t="s">
        <v>64</v>
      </c>
      <c r="E291" s="128" t="s">
        <v>195</v>
      </c>
      <c r="G291" s="152">
        <f t="shared" ref="G291:AL291" si="266">G111</f>
        <v>0</v>
      </c>
      <c r="H291" s="152">
        <f t="shared" si="266"/>
        <v>0</v>
      </c>
      <c r="I291" s="152">
        <f t="shared" si="266"/>
        <v>0</v>
      </c>
      <c r="J291" s="152">
        <f t="shared" si="266"/>
        <v>0</v>
      </c>
      <c r="K291" s="152">
        <f t="shared" si="266"/>
        <v>0</v>
      </c>
      <c r="L291" s="152">
        <f t="shared" si="266"/>
        <v>0</v>
      </c>
      <c r="M291" s="152">
        <f t="shared" si="266"/>
        <v>0</v>
      </c>
      <c r="N291" s="152">
        <f t="shared" si="266"/>
        <v>0</v>
      </c>
      <c r="O291" s="152">
        <f t="shared" si="266"/>
        <v>0</v>
      </c>
      <c r="P291" s="152">
        <f t="shared" si="266"/>
        <v>0</v>
      </c>
      <c r="Q291" s="152">
        <f t="shared" si="266"/>
        <v>0</v>
      </c>
      <c r="R291" s="152">
        <f t="shared" si="266"/>
        <v>0</v>
      </c>
      <c r="S291" s="152">
        <f t="shared" si="266"/>
        <v>0</v>
      </c>
      <c r="T291" s="152">
        <f t="shared" si="266"/>
        <v>0</v>
      </c>
      <c r="U291" s="152">
        <f t="shared" si="266"/>
        <v>0</v>
      </c>
      <c r="V291" s="152">
        <f t="shared" si="266"/>
        <v>0</v>
      </c>
      <c r="W291" s="152">
        <f t="shared" si="266"/>
        <v>0</v>
      </c>
      <c r="X291" s="152">
        <f t="shared" si="266"/>
        <v>0</v>
      </c>
      <c r="Y291" s="152">
        <f t="shared" si="266"/>
        <v>0</v>
      </c>
      <c r="Z291" s="152">
        <f t="shared" si="266"/>
        <v>0</v>
      </c>
      <c r="AA291" s="152">
        <f t="shared" si="266"/>
        <v>0</v>
      </c>
      <c r="AB291" s="152">
        <f t="shared" si="266"/>
        <v>0</v>
      </c>
      <c r="AC291" s="152">
        <f t="shared" si="266"/>
        <v>0</v>
      </c>
      <c r="AD291" s="152">
        <f t="shared" si="266"/>
        <v>0</v>
      </c>
      <c r="AE291" s="152">
        <f t="shared" si="266"/>
        <v>0</v>
      </c>
      <c r="AF291" s="152">
        <f t="shared" si="266"/>
        <v>0</v>
      </c>
      <c r="AG291" s="152">
        <f t="shared" si="266"/>
        <v>0</v>
      </c>
      <c r="AH291" s="152">
        <f t="shared" si="266"/>
        <v>0</v>
      </c>
      <c r="AI291" s="152">
        <f t="shared" si="266"/>
        <v>0</v>
      </c>
      <c r="AJ291" s="152">
        <f t="shared" si="266"/>
        <v>0</v>
      </c>
      <c r="AK291" s="152">
        <f t="shared" si="266"/>
        <v>0</v>
      </c>
      <c r="AL291" s="152">
        <f t="shared" si="266"/>
        <v>0</v>
      </c>
      <c r="AM291" s="152">
        <f t="shared" ref="AM291:BD291" si="267">AM111</f>
        <v>0</v>
      </c>
      <c r="AN291" s="152">
        <f t="shared" si="267"/>
        <v>0</v>
      </c>
      <c r="AO291" s="152">
        <f t="shared" si="267"/>
        <v>0</v>
      </c>
      <c r="AP291" s="152">
        <f t="shared" si="267"/>
        <v>0</v>
      </c>
      <c r="AQ291" s="152">
        <f t="shared" si="267"/>
        <v>0</v>
      </c>
      <c r="AR291" s="152">
        <f t="shared" si="267"/>
        <v>0</v>
      </c>
      <c r="AS291" s="152">
        <f t="shared" si="267"/>
        <v>0</v>
      </c>
      <c r="AT291" s="152">
        <f t="shared" si="267"/>
        <v>0</v>
      </c>
      <c r="AU291" s="152">
        <f t="shared" si="267"/>
        <v>0</v>
      </c>
      <c r="AV291" s="152">
        <f t="shared" si="267"/>
        <v>0</v>
      </c>
      <c r="AW291" s="152">
        <f t="shared" si="267"/>
        <v>0</v>
      </c>
      <c r="AX291" s="152">
        <f t="shared" si="267"/>
        <v>0</v>
      </c>
      <c r="AY291" s="152">
        <f t="shared" si="267"/>
        <v>0</v>
      </c>
      <c r="AZ291" s="152">
        <f t="shared" si="267"/>
        <v>0</v>
      </c>
      <c r="BA291" s="152">
        <f t="shared" si="267"/>
        <v>0</v>
      </c>
      <c r="BB291" s="152">
        <f t="shared" si="267"/>
        <v>0</v>
      </c>
      <c r="BC291" s="152">
        <f t="shared" si="267"/>
        <v>0</v>
      </c>
      <c r="BD291" s="152">
        <f t="shared" si="267"/>
        <v>0</v>
      </c>
    </row>
    <row r="292" spans="1:56" ht="15" customHeight="1">
      <c r="C292" s="152">
        <f t="shared" si="265"/>
        <v>0</v>
      </c>
      <c r="D292" s="55" t="s">
        <v>232</v>
      </c>
      <c r="E292" s="128" t="s">
        <v>195</v>
      </c>
      <c r="G292" s="152">
        <f t="shared" ref="G292:AL292" si="268">G108</f>
        <v>0</v>
      </c>
      <c r="H292" s="152">
        <f t="shared" si="268"/>
        <v>0</v>
      </c>
      <c r="I292" s="152">
        <f t="shared" si="268"/>
        <v>0</v>
      </c>
      <c r="J292" s="152">
        <f t="shared" si="268"/>
        <v>0</v>
      </c>
      <c r="K292" s="152">
        <f t="shared" si="268"/>
        <v>0</v>
      </c>
      <c r="L292" s="152">
        <f t="shared" si="268"/>
        <v>0</v>
      </c>
      <c r="M292" s="152">
        <f t="shared" si="268"/>
        <v>0</v>
      </c>
      <c r="N292" s="152">
        <f t="shared" si="268"/>
        <v>0</v>
      </c>
      <c r="O292" s="152">
        <f t="shared" si="268"/>
        <v>0</v>
      </c>
      <c r="P292" s="152">
        <f t="shared" si="268"/>
        <v>0</v>
      </c>
      <c r="Q292" s="152">
        <f t="shared" si="268"/>
        <v>0</v>
      </c>
      <c r="R292" s="152">
        <f t="shared" si="268"/>
        <v>0</v>
      </c>
      <c r="S292" s="152">
        <f t="shared" si="268"/>
        <v>0</v>
      </c>
      <c r="T292" s="152">
        <f t="shared" si="268"/>
        <v>0</v>
      </c>
      <c r="U292" s="152">
        <f t="shared" si="268"/>
        <v>0</v>
      </c>
      <c r="V292" s="152">
        <f t="shared" si="268"/>
        <v>0</v>
      </c>
      <c r="W292" s="152">
        <f t="shared" si="268"/>
        <v>0</v>
      </c>
      <c r="X292" s="152">
        <f t="shared" si="268"/>
        <v>0</v>
      </c>
      <c r="Y292" s="152">
        <f t="shared" si="268"/>
        <v>0</v>
      </c>
      <c r="Z292" s="152">
        <f t="shared" si="268"/>
        <v>0</v>
      </c>
      <c r="AA292" s="152">
        <f t="shared" si="268"/>
        <v>0</v>
      </c>
      <c r="AB292" s="152">
        <f t="shared" si="268"/>
        <v>0</v>
      </c>
      <c r="AC292" s="152">
        <f t="shared" si="268"/>
        <v>0</v>
      </c>
      <c r="AD292" s="152">
        <f t="shared" si="268"/>
        <v>0</v>
      </c>
      <c r="AE292" s="152">
        <f t="shared" si="268"/>
        <v>0</v>
      </c>
      <c r="AF292" s="152">
        <f t="shared" si="268"/>
        <v>0</v>
      </c>
      <c r="AG292" s="152">
        <f t="shared" si="268"/>
        <v>0</v>
      </c>
      <c r="AH292" s="152">
        <f t="shared" si="268"/>
        <v>0</v>
      </c>
      <c r="AI292" s="152">
        <f t="shared" si="268"/>
        <v>0</v>
      </c>
      <c r="AJ292" s="152">
        <f t="shared" si="268"/>
        <v>0</v>
      </c>
      <c r="AK292" s="152">
        <f t="shared" si="268"/>
        <v>0</v>
      </c>
      <c r="AL292" s="152">
        <f t="shared" si="268"/>
        <v>0</v>
      </c>
      <c r="AM292" s="152">
        <f t="shared" ref="AM292:BD292" si="269">AM108</f>
        <v>0</v>
      </c>
      <c r="AN292" s="152">
        <f t="shared" si="269"/>
        <v>0</v>
      </c>
      <c r="AO292" s="152">
        <f t="shared" si="269"/>
        <v>0</v>
      </c>
      <c r="AP292" s="152">
        <f t="shared" si="269"/>
        <v>0</v>
      </c>
      <c r="AQ292" s="152">
        <f t="shared" si="269"/>
        <v>0</v>
      </c>
      <c r="AR292" s="152">
        <f t="shared" si="269"/>
        <v>0</v>
      </c>
      <c r="AS292" s="152">
        <f t="shared" si="269"/>
        <v>0</v>
      </c>
      <c r="AT292" s="152">
        <f t="shared" si="269"/>
        <v>0</v>
      </c>
      <c r="AU292" s="152">
        <f t="shared" si="269"/>
        <v>0</v>
      </c>
      <c r="AV292" s="152">
        <f t="shared" si="269"/>
        <v>0</v>
      </c>
      <c r="AW292" s="152">
        <f t="shared" si="269"/>
        <v>0</v>
      </c>
      <c r="AX292" s="152">
        <f t="shared" si="269"/>
        <v>0</v>
      </c>
      <c r="AY292" s="152">
        <f t="shared" si="269"/>
        <v>0</v>
      </c>
      <c r="AZ292" s="152">
        <f t="shared" si="269"/>
        <v>0</v>
      </c>
      <c r="BA292" s="152">
        <f t="shared" si="269"/>
        <v>0</v>
      </c>
      <c r="BB292" s="152">
        <f t="shared" si="269"/>
        <v>0</v>
      </c>
      <c r="BC292" s="152">
        <f t="shared" si="269"/>
        <v>0</v>
      </c>
      <c r="BD292" s="152">
        <f t="shared" si="269"/>
        <v>0</v>
      </c>
    </row>
    <row r="293" spans="1:56" ht="15" customHeight="1">
      <c r="C293" s="152">
        <f t="shared" si="265"/>
        <v>389.25125887597414</v>
      </c>
      <c r="D293" s="55" t="s">
        <v>66</v>
      </c>
      <c r="E293" s="128" t="s">
        <v>195</v>
      </c>
      <c r="G293" s="152">
        <f t="shared" ref="G293:AL293" si="270">G86</f>
        <v>19.600000000000001</v>
      </c>
      <c r="H293" s="152">
        <f t="shared" si="270"/>
        <v>29.294400000000003</v>
      </c>
      <c r="I293" s="152">
        <f t="shared" si="270"/>
        <v>29.963520000000003</v>
      </c>
      <c r="J293" s="152">
        <f t="shared" si="270"/>
        <v>33.958655999999998</v>
      </c>
      <c r="K293" s="152">
        <f t="shared" si="270"/>
        <v>34.637829119999999</v>
      </c>
      <c r="L293" s="152">
        <f t="shared" si="270"/>
        <v>35.330585702400008</v>
      </c>
      <c r="M293" s="152">
        <f t="shared" si="270"/>
        <v>36.037197416448002</v>
      </c>
      <c r="N293" s="152">
        <f t="shared" si="270"/>
        <v>29.406353091821565</v>
      </c>
      <c r="O293" s="152">
        <f t="shared" si="270"/>
        <v>16.215765833071355</v>
      </c>
      <c r="P293" s="152">
        <f t="shared" si="270"/>
        <v>16.540081149732782</v>
      </c>
      <c r="Q293" s="152">
        <f t="shared" si="270"/>
        <v>16.870882772727438</v>
      </c>
      <c r="R293" s="152">
        <f t="shared" si="270"/>
        <v>17.208300428181985</v>
      </c>
      <c r="S293" s="152">
        <f t="shared" si="270"/>
        <v>17.552466436745629</v>
      </c>
      <c r="T293" s="152">
        <f t="shared" si="270"/>
        <v>17.903515765480538</v>
      </c>
      <c r="U293" s="152">
        <f t="shared" si="270"/>
        <v>18.261586080790153</v>
      </c>
      <c r="V293" s="152">
        <f t="shared" si="270"/>
        <v>14.320039119768737</v>
      </c>
      <c r="W293" s="152">
        <f t="shared" si="270"/>
        <v>6.150079958805942</v>
      </c>
      <c r="X293" s="152">
        <f t="shared" si="270"/>
        <v>0</v>
      </c>
      <c r="Y293" s="152">
        <f t="shared" si="270"/>
        <v>0</v>
      </c>
      <c r="Z293" s="152">
        <f t="shared" si="270"/>
        <v>0</v>
      </c>
      <c r="AA293" s="152">
        <f t="shared" si="270"/>
        <v>0</v>
      </c>
      <c r="AB293" s="152">
        <f t="shared" si="270"/>
        <v>0</v>
      </c>
      <c r="AC293" s="152">
        <f t="shared" si="270"/>
        <v>0</v>
      </c>
      <c r="AD293" s="152">
        <f t="shared" si="270"/>
        <v>0</v>
      </c>
      <c r="AE293" s="152">
        <f t="shared" si="270"/>
        <v>0</v>
      </c>
      <c r="AF293" s="152">
        <f t="shared" si="270"/>
        <v>0</v>
      </c>
      <c r="AG293" s="152">
        <f t="shared" si="270"/>
        <v>0</v>
      </c>
      <c r="AH293" s="152">
        <f t="shared" si="270"/>
        <v>0</v>
      </c>
      <c r="AI293" s="152">
        <f t="shared" si="270"/>
        <v>0</v>
      </c>
      <c r="AJ293" s="152">
        <f t="shared" si="270"/>
        <v>0</v>
      </c>
      <c r="AK293" s="152">
        <f t="shared" si="270"/>
        <v>0</v>
      </c>
      <c r="AL293" s="152">
        <f t="shared" si="270"/>
        <v>0</v>
      </c>
      <c r="AM293" s="152">
        <f t="shared" ref="AM293:BD293" si="271">AM86</f>
        <v>0</v>
      </c>
      <c r="AN293" s="152">
        <f t="shared" si="271"/>
        <v>0</v>
      </c>
      <c r="AO293" s="152">
        <f t="shared" si="271"/>
        <v>0</v>
      </c>
      <c r="AP293" s="152">
        <f t="shared" si="271"/>
        <v>0</v>
      </c>
      <c r="AQ293" s="152">
        <f t="shared" si="271"/>
        <v>0</v>
      </c>
      <c r="AR293" s="152">
        <f t="shared" si="271"/>
        <v>0</v>
      </c>
      <c r="AS293" s="152">
        <f t="shared" si="271"/>
        <v>0</v>
      </c>
      <c r="AT293" s="152">
        <f t="shared" si="271"/>
        <v>0</v>
      </c>
      <c r="AU293" s="152">
        <f t="shared" si="271"/>
        <v>0</v>
      </c>
      <c r="AV293" s="152">
        <f t="shared" si="271"/>
        <v>0</v>
      </c>
      <c r="AW293" s="152">
        <f t="shared" si="271"/>
        <v>0</v>
      </c>
      <c r="AX293" s="152">
        <f t="shared" si="271"/>
        <v>0</v>
      </c>
      <c r="AY293" s="152">
        <f t="shared" si="271"/>
        <v>0</v>
      </c>
      <c r="AZ293" s="152">
        <f t="shared" si="271"/>
        <v>0</v>
      </c>
      <c r="BA293" s="152">
        <f t="shared" si="271"/>
        <v>0</v>
      </c>
      <c r="BB293" s="152">
        <f t="shared" si="271"/>
        <v>0</v>
      </c>
      <c r="BC293" s="152">
        <f t="shared" si="271"/>
        <v>0</v>
      </c>
      <c r="BD293" s="152">
        <f t="shared" si="271"/>
        <v>0</v>
      </c>
    </row>
    <row r="294" spans="1:56" ht="15" customHeight="1">
      <c r="C294" s="152">
        <f t="shared" si="265"/>
        <v>0</v>
      </c>
      <c r="D294" s="55" t="s">
        <v>221</v>
      </c>
      <c r="E294" s="128" t="s">
        <v>195</v>
      </c>
      <c r="G294" s="152">
        <f t="shared" ref="G294:AL294" si="272">G90</f>
        <v>0</v>
      </c>
      <c r="H294" s="152">
        <f t="shared" si="272"/>
        <v>0</v>
      </c>
      <c r="I294" s="152">
        <f t="shared" si="272"/>
        <v>0</v>
      </c>
      <c r="J294" s="152">
        <f t="shared" si="272"/>
        <v>0</v>
      </c>
      <c r="K294" s="152">
        <f t="shared" si="272"/>
        <v>0</v>
      </c>
      <c r="L294" s="152">
        <f t="shared" si="272"/>
        <v>0</v>
      </c>
      <c r="M294" s="152">
        <f t="shared" si="272"/>
        <v>0</v>
      </c>
      <c r="N294" s="152">
        <f t="shared" si="272"/>
        <v>0</v>
      </c>
      <c r="O294" s="152">
        <f t="shared" si="272"/>
        <v>0</v>
      </c>
      <c r="P294" s="152">
        <f t="shared" si="272"/>
        <v>0</v>
      </c>
      <c r="Q294" s="152">
        <f t="shared" si="272"/>
        <v>0</v>
      </c>
      <c r="R294" s="152">
        <f t="shared" si="272"/>
        <v>0</v>
      </c>
      <c r="S294" s="152">
        <f t="shared" si="272"/>
        <v>0</v>
      </c>
      <c r="T294" s="152">
        <f t="shared" si="272"/>
        <v>0</v>
      </c>
      <c r="U294" s="152">
        <f t="shared" si="272"/>
        <v>0</v>
      </c>
      <c r="V294" s="152">
        <f t="shared" si="272"/>
        <v>0</v>
      </c>
      <c r="W294" s="152">
        <f t="shared" si="272"/>
        <v>0</v>
      </c>
      <c r="X294" s="152">
        <f t="shared" si="272"/>
        <v>0</v>
      </c>
      <c r="Y294" s="152">
        <f t="shared" si="272"/>
        <v>0</v>
      </c>
      <c r="Z294" s="152">
        <f t="shared" si="272"/>
        <v>0</v>
      </c>
      <c r="AA294" s="152">
        <f t="shared" si="272"/>
        <v>0</v>
      </c>
      <c r="AB294" s="152">
        <f t="shared" si="272"/>
        <v>0</v>
      </c>
      <c r="AC294" s="152">
        <f t="shared" si="272"/>
        <v>0</v>
      </c>
      <c r="AD294" s="152">
        <f t="shared" si="272"/>
        <v>0</v>
      </c>
      <c r="AE294" s="152">
        <f t="shared" si="272"/>
        <v>0</v>
      </c>
      <c r="AF294" s="152">
        <f t="shared" si="272"/>
        <v>0</v>
      </c>
      <c r="AG294" s="152">
        <f t="shared" si="272"/>
        <v>0</v>
      </c>
      <c r="AH294" s="152">
        <f t="shared" si="272"/>
        <v>0</v>
      </c>
      <c r="AI294" s="152">
        <f t="shared" si="272"/>
        <v>0</v>
      </c>
      <c r="AJ294" s="152">
        <f t="shared" si="272"/>
        <v>0</v>
      </c>
      <c r="AK294" s="152">
        <f t="shared" si="272"/>
        <v>0</v>
      </c>
      <c r="AL294" s="152">
        <f t="shared" si="272"/>
        <v>0</v>
      </c>
      <c r="AM294" s="152">
        <f t="shared" ref="AM294:BD294" si="273">AM90</f>
        <v>0</v>
      </c>
      <c r="AN294" s="152">
        <f t="shared" si="273"/>
        <v>0</v>
      </c>
      <c r="AO294" s="152">
        <f t="shared" si="273"/>
        <v>0</v>
      </c>
      <c r="AP294" s="152">
        <f t="shared" si="273"/>
        <v>0</v>
      </c>
      <c r="AQ294" s="152">
        <f t="shared" si="273"/>
        <v>0</v>
      </c>
      <c r="AR294" s="152">
        <f t="shared" si="273"/>
        <v>0</v>
      </c>
      <c r="AS294" s="152">
        <f t="shared" si="273"/>
        <v>0</v>
      </c>
      <c r="AT294" s="152">
        <f t="shared" si="273"/>
        <v>0</v>
      </c>
      <c r="AU294" s="152">
        <f t="shared" si="273"/>
        <v>0</v>
      </c>
      <c r="AV294" s="152">
        <f t="shared" si="273"/>
        <v>0</v>
      </c>
      <c r="AW294" s="152">
        <f t="shared" si="273"/>
        <v>0</v>
      </c>
      <c r="AX294" s="152">
        <f t="shared" si="273"/>
        <v>0</v>
      </c>
      <c r="AY294" s="152">
        <f t="shared" si="273"/>
        <v>0</v>
      </c>
      <c r="AZ294" s="152">
        <f t="shared" si="273"/>
        <v>0</v>
      </c>
      <c r="BA294" s="152">
        <f t="shared" si="273"/>
        <v>0</v>
      </c>
      <c r="BB294" s="152">
        <f t="shared" si="273"/>
        <v>0</v>
      </c>
      <c r="BC294" s="152">
        <f t="shared" si="273"/>
        <v>0</v>
      </c>
      <c r="BD294" s="152">
        <f t="shared" si="273"/>
        <v>0</v>
      </c>
    </row>
    <row r="295" spans="1:56" ht="15" customHeight="1">
      <c r="C295" s="152">
        <f t="shared" si="265"/>
        <v>0</v>
      </c>
      <c r="D295" s="103" t="s">
        <v>115</v>
      </c>
      <c r="E295" s="128" t="s">
        <v>195</v>
      </c>
      <c r="G295" s="152">
        <f t="shared" ref="G295:AL295" si="274">G105</f>
        <v>0</v>
      </c>
      <c r="H295" s="152">
        <f t="shared" si="274"/>
        <v>0</v>
      </c>
      <c r="I295" s="152">
        <f t="shared" si="274"/>
        <v>0</v>
      </c>
      <c r="J295" s="152">
        <f t="shared" si="274"/>
        <v>0</v>
      </c>
      <c r="K295" s="152">
        <f t="shared" si="274"/>
        <v>0</v>
      </c>
      <c r="L295" s="152">
        <f t="shared" si="274"/>
        <v>0</v>
      </c>
      <c r="M295" s="152">
        <f t="shared" si="274"/>
        <v>0</v>
      </c>
      <c r="N295" s="152">
        <f t="shared" si="274"/>
        <v>0</v>
      </c>
      <c r="O295" s="152">
        <f t="shared" si="274"/>
        <v>0</v>
      </c>
      <c r="P295" s="152">
        <f t="shared" si="274"/>
        <v>0</v>
      </c>
      <c r="Q295" s="152">
        <f t="shared" si="274"/>
        <v>0</v>
      </c>
      <c r="R295" s="152">
        <f t="shared" si="274"/>
        <v>0</v>
      </c>
      <c r="S295" s="152">
        <f t="shared" si="274"/>
        <v>0</v>
      </c>
      <c r="T295" s="152">
        <f t="shared" si="274"/>
        <v>0</v>
      </c>
      <c r="U295" s="152">
        <f t="shared" si="274"/>
        <v>0</v>
      </c>
      <c r="V295" s="152">
        <f t="shared" si="274"/>
        <v>0</v>
      </c>
      <c r="W295" s="152">
        <f t="shared" si="274"/>
        <v>0</v>
      </c>
      <c r="X295" s="152">
        <f t="shared" si="274"/>
        <v>0</v>
      </c>
      <c r="Y295" s="152">
        <f t="shared" si="274"/>
        <v>0</v>
      </c>
      <c r="Z295" s="152">
        <f t="shared" si="274"/>
        <v>0</v>
      </c>
      <c r="AA295" s="152">
        <f t="shared" si="274"/>
        <v>0</v>
      </c>
      <c r="AB295" s="152">
        <f t="shared" si="274"/>
        <v>0</v>
      </c>
      <c r="AC295" s="152">
        <f t="shared" si="274"/>
        <v>0</v>
      </c>
      <c r="AD295" s="152">
        <f t="shared" si="274"/>
        <v>0</v>
      </c>
      <c r="AE295" s="152">
        <f t="shared" si="274"/>
        <v>0</v>
      </c>
      <c r="AF295" s="152">
        <f t="shared" si="274"/>
        <v>0</v>
      </c>
      <c r="AG295" s="152">
        <f t="shared" si="274"/>
        <v>0</v>
      </c>
      <c r="AH295" s="152">
        <f t="shared" si="274"/>
        <v>0</v>
      </c>
      <c r="AI295" s="152">
        <f t="shared" si="274"/>
        <v>0</v>
      </c>
      <c r="AJ295" s="152">
        <f t="shared" si="274"/>
        <v>0</v>
      </c>
      <c r="AK295" s="152">
        <f t="shared" si="274"/>
        <v>0</v>
      </c>
      <c r="AL295" s="152">
        <f t="shared" si="274"/>
        <v>0</v>
      </c>
      <c r="AM295" s="152">
        <f t="shared" ref="AM295:BD295" si="275">AM105</f>
        <v>0</v>
      </c>
      <c r="AN295" s="152">
        <f t="shared" si="275"/>
        <v>0</v>
      </c>
      <c r="AO295" s="152">
        <f t="shared" si="275"/>
        <v>0</v>
      </c>
      <c r="AP295" s="152">
        <f t="shared" si="275"/>
        <v>0</v>
      </c>
      <c r="AQ295" s="152">
        <f t="shared" si="275"/>
        <v>0</v>
      </c>
      <c r="AR295" s="152">
        <f t="shared" si="275"/>
        <v>0</v>
      </c>
      <c r="AS295" s="152">
        <f t="shared" si="275"/>
        <v>0</v>
      </c>
      <c r="AT295" s="152">
        <f t="shared" si="275"/>
        <v>0</v>
      </c>
      <c r="AU295" s="152">
        <f t="shared" si="275"/>
        <v>0</v>
      </c>
      <c r="AV295" s="152">
        <f t="shared" si="275"/>
        <v>0</v>
      </c>
      <c r="AW295" s="152">
        <f t="shared" si="275"/>
        <v>0</v>
      </c>
      <c r="AX295" s="152">
        <f t="shared" si="275"/>
        <v>0</v>
      </c>
      <c r="AY295" s="152">
        <f t="shared" si="275"/>
        <v>0</v>
      </c>
      <c r="AZ295" s="152">
        <f t="shared" si="275"/>
        <v>0</v>
      </c>
      <c r="BA295" s="152">
        <f t="shared" si="275"/>
        <v>0</v>
      </c>
      <c r="BB295" s="152">
        <f t="shared" si="275"/>
        <v>0</v>
      </c>
      <c r="BC295" s="152">
        <f t="shared" si="275"/>
        <v>0</v>
      </c>
      <c r="BD295" s="152">
        <f t="shared" si="275"/>
        <v>0</v>
      </c>
    </row>
    <row r="296" spans="1:56" ht="15" customHeight="1">
      <c r="C296" s="152">
        <f t="shared" si="265"/>
        <v>0</v>
      </c>
      <c r="D296" s="103" t="s">
        <v>124</v>
      </c>
      <c r="E296" s="128" t="s">
        <v>195</v>
      </c>
      <c r="G296" s="152">
        <f t="shared" ref="G296:AL296" si="276">G139</f>
        <v>0</v>
      </c>
      <c r="H296" s="152">
        <f t="shared" si="276"/>
        <v>0</v>
      </c>
      <c r="I296" s="152">
        <f t="shared" si="276"/>
        <v>0</v>
      </c>
      <c r="J296" s="152">
        <f t="shared" si="276"/>
        <v>0</v>
      </c>
      <c r="K296" s="152">
        <f t="shared" si="276"/>
        <v>0</v>
      </c>
      <c r="L296" s="152">
        <f t="shared" si="276"/>
        <v>0</v>
      </c>
      <c r="M296" s="152">
        <f t="shared" si="276"/>
        <v>0</v>
      </c>
      <c r="N296" s="152">
        <f t="shared" si="276"/>
        <v>0</v>
      </c>
      <c r="O296" s="152">
        <f t="shared" si="276"/>
        <v>0</v>
      </c>
      <c r="P296" s="152">
        <f t="shared" si="276"/>
        <v>0</v>
      </c>
      <c r="Q296" s="152">
        <f t="shared" si="276"/>
        <v>0</v>
      </c>
      <c r="R296" s="152">
        <f t="shared" si="276"/>
        <v>0</v>
      </c>
      <c r="S296" s="152">
        <f t="shared" si="276"/>
        <v>0</v>
      </c>
      <c r="T296" s="152">
        <f t="shared" si="276"/>
        <v>0</v>
      </c>
      <c r="U296" s="152">
        <f t="shared" si="276"/>
        <v>0</v>
      </c>
      <c r="V296" s="152">
        <f t="shared" si="276"/>
        <v>0</v>
      </c>
      <c r="W296" s="152">
        <f t="shared" si="276"/>
        <v>0</v>
      </c>
      <c r="X296" s="152">
        <f t="shared" si="276"/>
        <v>0</v>
      </c>
      <c r="Y296" s="152">
        <f t="shared" si="276"/>
        <v>0</v>
      </c>
      <c r="Z296" s="152">
        <f t="shared" si="276"/>
        <v>0</v>
      </c>
      <c r="AA296" s="152">
        <f t="shared" si="276"/>
        <v>0</v>
      </c>
      <c r="AB296" s="152">
        <f t="shared" si="276"/>
        <v>0</v>
      </c>
      <c r="AC296" s="152">
        <f t="shared" si="276"/>
        <v>0</v>
      </c>
      <c r="AD296" s="152">
        <f t="shared" si="276"/>
        <v>0</v>
      </c>
      <c r="AE296" s="152">
        <f t="shared" si="276"/>
        <v>0</v>
      </c>
      <c r="AF296" s="152">
        <f t="shared" si="276"/>
        <v>0</v>
      </c>
      <c r="AG296" s="152">
        <f t="shared" si="276"/>
        <v>0</v>
      </c>
      <c r="AH296" s="152">
        <f t="shared" si="276"/>
        <v>0</v>
      </c>
      <c r="AI296" s="152">
        <f t="shared" si="276"/>
        <v>0</v>
      </c>
      <c r="AJ296" s="152">
        <f t="shared" si="276"/>
        <v>0</v>
      </c>
      <c r="AK296" s="152">
        <f t="shared" si="276"/>
        <v>0</v>
      </c>
      <c r="AL296" s="152">
        <f t="shared" si="276"/>
        <v>0</v>
      </c>
      <c r="AM296" s="152">
        <f t="shared" ref="AM296:BD296" si="277">AM139</f>
        <v>0</v>
      </c>
      <c r="AN296" s="152">
        <f t="shared" si="277"/>
        <v>0</v>
      </c>
      <c r="AO296" s="152">
        <f t="shared" si="277"/>
        <v>0</v>
      </c>
      <c r="AP296" s="152">
        <f t="shared" si="277"/>
        <v>0</v>
      </c>
      <c r="AQ296" s="152">
        <f t="shared" si="277"/>
        <v>0</v>
      </c>
      <c r="AR296" s="152">
        <f t="shared" si="277"/>
        <v>0</v>
      </c>
      <c r="AS296" s="152">
        <f t="shared" si="277"/>
        <v>0</v>
      </c>
      <c r="AT296" s="152">
        <f t="shared" si="277"/>
        <v>0</v>
      </c>
      <c r="AU296" s="152">
        <f t="shared" si="277"/>
        <v>0</v>
      </c>
      <c r="AV296" s="152">
        <f t="shared" si="277"/>
        <v>0</v>
      </c>
      <c r="AW296" s="152">
        <f t="shared" si="277"/>
        <v>0</v>
      </c>
      <c r="AX296" s="152">
        <f t="shared" si="277"/>
        <v>0</v>
      </c>
      <c r="AY296" s="152">
        <f t="shared" si="277"/>
        <v>0</v>
      </c>
      <c r="AZ296" s="152">
        <f t="shared" si="277"/>
        <v>0</v>
      </c>
      <c r="BA296" s="152">
        <f t="shared" si="277"/>
        <v>0</v>
      </c>
      <c r="BB296" s="152">
        <f t="shared" si="277"/>
        <v>0</v>
      </c>
      <c r="BC296" s="152">
        <f t="shared" si="277"/>
        <v>0</v>
      </c>
      <c r="BD296" s="152">
        <f t="shared" si="277"/>
        <v>0</v>
      </c>
    </row>
    <row r="297" spans="1:56" ht="15" customHeight="1">
      <c r="C297" s="152">
        <f t="shared" si="265"/>
        <v>882.69931771596566</v>
      </c>
      <c r="D297" s="103" t="s">
        <v>273</v>
      </c>
      <c r="E297" s="128" t="s">
        <v>195</v>
      </c>
      <c r="G297" s="152">
        <f t="shared" ref="G297:AL297" si="278">G190</f>
        <v>0</v>
      </c>
      <c r="H297" s="152">
        <f t="shared" si="278"/>
        <v>84.703013999999996</v>
      </c>
      <c r="I297" s="152">
        <f t="shared" si="278"/>
        <v>74.022981599999994</v>
      </c>
      <c r="J297" s="152">
        <f t="shared" si="278"/>
        <v>84.11069999999998</v>
      </c>
      <c r="K297" s="152">
        <f t="shared" si="278"/>
        <v>81.00985022399999</v>
      </c>
      <c r="L297" s="152">
        <f t="shared" si="278"/>
        <v>90.22783942608001</v>
      </c>
      <c r="M297" s="152">
        <f t="shared" si="278"/>
        <v>105.76564763273282</v>
      </c>
      <c r="N297" s="152">
        <f t="shared" si="278"/>
        <v>83.230479512830073</v>
      </c>
      <c r="O297" s="152">
        <f t="shared" si="278"/>
        <v>24.464154134931391</v>
      </c>
      <c r="P297" s="152">
        <f t="shared" si="278"/>
        <v>27.852710025846761</v>
      </c>
      <c r="Q297" s="152">
        <f t="shared" si="278"/>
        <v>25.901067399874186</v>
      </c>
      <c r="R297" s="152">
        <f t="shared" si="278"/>
        <v>27.967222695829001</v>
      </c>
      <c r="S297" s="152">
        <f t="shared" si="278"/>
        <v>35.749711604804467</v>
      </c>
      <c r="T297" s="152">
        <f t="shared" si="278"/>
        <v>38.064852590510291</v>
      </c>
      <c r="U297" s="152">
        <f t="shared" si="278"/>
        <v>51.999329516055383</v>
      </c>
      <c r="V297" s="152">
        <f t="shared" si="278"/>
        <v>36.822165961905995</v>
      </c>
      <c r="W297" s="152">
        <f t="shared" si="278"/>
        <v>10.807591390565545</v>
      </c>
      <c r="X297" s="152">
        <f t="shared" si="278"/>
        <v>0</v>
      </c>
      <c r="Y297" s="152">
        <f t="shared" si="278"/>
        <v>0</v>
      </c>
      <c r="Z297" s="152">
        <f t="shared" si="278"/>
        <v>0</v>
      </c>
      <c r="AA297" s="152">
        <f t="shared" si="278"/>
        <v>0</v>
      </c>
      <c r="AB297" s="152">
        <f t="shared" si="278"/>
        <v>0</v>
      </c>
      <c r="AC297" s="152">
        <f t="shared" si="278"/>
        <v>0</v>
      </c>
      <c r="AD297" s="152">
        <f t="shared" si="278"/>
        <v>0</v>
      </c>
      <c r="AE297" s="152">
        <f t="shared" si="278"/>
        <v>0</v>
      </c>
      <c r="AF297" s="152">
        <f t="shared" si="278"/>
        <v>0</v>
      </c>
      <c r="AG297" s="152">
        <f t="shared" si="278"/>
        <v>0</v>
      </c>
      <c r="AH297" s="152">
        <f t="shared" si="278"/>
        <v>0</v>
      </c>
      <c r="AI297" s="152">
        <f t="shared" si="278"/>
        <v>0</v>
      </c>
      <c r="AJ297" s="152">
        <f t="shared" si="278"/>
        <v>0</v>
      </c>
      <c r="AK297" s="152">
        <f t="shared" si="278"/>
        <v>0</v>
      </c>
      <c r="AL297" s="152">
        <f t="shared" si="278"/>
        <v>0</v>
      </c>
      <c r="AM297" s="152">
        <f t="shared" ref="AM297:BD297" si="279">AM190</f>
        <v>0</v>
      </c>
      <c r="AN297" s="152">
        <f t="shared" si="279"/>
        <v>0</v>
      </c>
      <c r="AO297" s="152">
        <f t="shared" si="279"/>
        <v>0</v>
      </c>
      <c r="AP297" s="152">
        <f t="shared" si="279"/>
        <v>0</v>
      </c>
      <c r="AQ297" s="152">
        <f t="shared" si="279"/>
        <v>0</v>
      </c>
      <c r="AR297" s="152">
        <f t="shared" si="279"/>
        <v>0</v>
      </c>
      <c r="AS297" s="152">
        <f t="shared" si="279"/>
        <v>0</v>
      </c>
      <c r="AT297" s="152">
        <f t="shared" si="279"/>
        <v>0</v>
      </c>
      <c r="AU297" s="152">
        <f t="shared" si="279"/>
        <v>0</v>
      </c>
      <c r="AV297" s="152">
        <f t="shared" si="279"/>
        <v>0</v>
      </c>
      <c r="AW297" s="152">
        <f t="shared" si="279"/>
        <v>0</v>
      </c>
      <c r="AX297" s="152">
        <f t="shared" si="279"/>
        <v>0</v>
      </c>
      <c r="AY297" s="152">
        <f t="shared" si="279"/>
        <v>0</v>
      </c>
      <c r="AZ297" s="152">
        <f t="shared" si="279"/>
        <v>0</v>
      </c>
      <c r="BA297" s="152">
        <f t="shared" si="279"/>
        <v>0</v>
      </c>
      <c r="BB297" s="152">
        <f t="shared" si="279"/>
        <v>0</v>
      </c>
      <c r="BC297" s="152">
        <f t="shared" si="279"/>
        <v>0</v>
      </c>
      <c r="BD297" s="152">
        <f t="shared" si="279"/>
        <v>0</v>
      </c>
    </row>
    <row r="298" spans="1:56" ht="15" customHeight="1">
      <c r="C298" s="152">
        <f t="shared" si="265"/>
        <v>0</v>
      </c>
      <c r="D298" s="103" t="s">
        <v>296</v>
      </c>
      <c r="E298" s="128" t="s">
        <v>195</v>
      </c>
      <c r="G298" s="152">
        <f t="shared" ref="G298:AL298" si="280">G218</f>
        <v>0</v>
      </c>
      <c r="H298" s="152">
        <f t="shared" si="280"/>
        <v>0</v>
      </c>
      <c r="I298" s="152">
        <f t="shared" si="280"/>
        <v>0</v>
      </c>
      <c r="J298" s="152">
        <f t="shared" si="280"/>
        <v>0</v>
      </c>
      <c r="K298" s="152">
        <f t="shared" si="280"/>
        <v>0</v>
      </c>
      <c r="L298" s="152">
        <f t="shared" si="280"/>
        <v>0</v>
      </c>
      <c r="M298" s="152">
        <f t="shared" si="280"/>
        <v>0</v>
      </c>
      <c r="N298" s="152">
        <f t="shared" si="280"/>
        <v>0</v>
      </c>
      <c r="O298" s="152">
        <f t="shared" si="280"/>
        <v>0</v>
      </c>
      <c r="P298" s="152">
        <f t="shared" si="280"/>
        <v>0</v>
      </c>
      <c r="Q298" s="152">
        <f t="shared" si="280"/>
        <v>0</v>
      </c>
      <c r="R298" s="152">
        <f t="shared" si="280"/>
        <v>0</v>
      </c>
      <c r="S298" s="152">
        <f t="shared" si="280"/>
        <v>0</v>
      </c>
      <c r="T298" s="152">
        <f t="shared" si="280"/>
        <v>0</v>
      </c>
      <c r="U298" s="152">
        <f t="shared" si="280"/>
        <v>0</v>
      </c>
      <c r="V298" s="152">
        <f t="shared" si="280"/>
        <v>0</v>
      </c>
      <c r="W298" s="152">
        <f t="shared" si="280"/>
        <v>0</v>
      </c>
      <c r="X298" s="152">
        <f t="shared" si="280"/>
        <v>0</v>
      </c>
      <c r="Y298" s="152">
        <f t="shared" si="280"/>
        <v>0</v>
      </c>
      <c r="Z298" s="152">
        <f t="shared" si="280"/>
        <v>0</v>
      </c>
      <c r="AA298" s="152">
        <f t="shared" si="280"/>
        <v>0</v>
      </c>
      <c r="AB298" s="152">
        <f t="shared" si="280"/>
        <v>0</v>
      </c>
      <c r="AC298" s="152">
        <f t="shared" si="280"/>
        <v>0</v>
      </c>
      <c r="AD298" s="152">
        <f t="shared" si="280"/>
        <v>0</v>
      </c>
      <c r="AE298" s="152">
        <f t="shared" si="280"/>
        <v>0</v>
      </c>
      <c r="AF298" s="152">
        <f t="shared" si="280"/>
        <v>0</v>
      </c>
      <c r="AG298" s="152">
        <f t="shared" si="280"/>
        <v>0</v>
      </c>
      <c r="AH298" s="152">
        <f t="shared" si="280"/>
        <v>0</v>
      </c>
      <c r="AI298" s="152">
        <f t="shared" si="280"/>
        <v>0</v>
      </c>
      <c r="AJ298" s="152">
        <f t="shared" si="280"/>
        <v>0</v>
      </c>
      <c r="AK298" s="152">
        <f t="shared" si="280"/>
        <v>0</v>
      </c>
      <c r="AL298" s="152">
        <f t="shared" si="280"/>
        <v>0</v>
      </c>
      <c r="AM298" s="152">
        <f t="shared" ref="AM298:BD298" si="281">AM218</f>
        <v>0</v>
      </c>
      <c r="AN298" s="152">
        <f t="shared" si="281"/>
        <v>0</v>
      </c>
      <c r="AO298" s="152">
        <f t="shared" si="281"/>
        <v>0</v>
      </c>
      <c r="AP298" s="152">
        <f t="shared" si="281"/>
        <v>0</v>
      </c>
      <c r="AQ298" s="152">
        <f t="shared" si="281"/>
        <v>0</v>
      </c>
      <c r="AR298" s="152">
        <f t="shared" si="281"/>
        <v>0</v>
      </c>
      <c r="AS298" s="152">
        <f t="shared" si="281"/>
        <v>0</v>
      </c>
      <c r="AT298" s="152">
        <f t="shared" si="281"/>
        <v>0</v>
      </c>
      <c r="AU298" s="152">
        <f t="shared" si="281"/>
        <v>0</v>
      </c>
      <c r="AV298" s="152">
        <f t="shared" si="281"/>
        <v>0</v>
      </c>
      <c r="AW298" s="152">
        <f t="shared" si="281"/>
        <v>0</v>
      </c>
      <c r="AX298" s="152">
        <f t="shared" si="281"/>
        <v>0</v>
      </c>
      <c r="AY298" s="152">
        <f t="shared" si="281"/>
        <v>0</v>
      </c>
      <c r="AZ298" s="152">
        <f t="shared" si="281"/>
        <v>0</v>
      </c>
      <c r="BA298" s="152">
        <f t="shared" si="281"/>
        <v>0</v>
      </c>
      <c r="BB298" s="152">
        <f t="shared" si="281"/>
        <v>0</v>
      </c>
      <c r="BC298" s="152">
        <f t="shared" si="281"/>
        <v>0</v>
      </c>
      <c r="BD298" s="152">
        <f t="shared" si="281"/>
        <v>0</v>
      </c>
    </row>
    <row r="299" spans="1:56" ht="15" customHeight="1">
      <c r="C299" s="152">
        <f t="shared" si="265"/>
        <v>0</v>
      </c>
      <c r="D299" s="103" t="s">
        <v>305</v>
      </c>
      <c r="E299" s="128" t="s">
        <v>195</v>
      </c>
      <c r="G299" s="152">
        <f t="shared" ref="G299:AL299" si="282">G227</f>
        <v>0</v>
      </c>
      <c r="H299" s="152">
        <f t="shared" si="282"/>
        <v>0</v>
      </c>
      <c r="I299" s="152">
        <f t="shared" si="282"/>
        <v>0</v>
      </c>
      <c r="J299" s="152">
        <f t="shared" si="282"/>
        <v>0</v>
      </c>
      <c r="K299" s="152">
        <f t="shared" si="282"/>
        <v>0</v>
      </c>
      <c r="L299" s="152">
        <f t="shared" si="282"/>
        <v>0</v>
      </c>
      <c r="M299" s="152">
        <f t="shared" si="282"/>
        <v>0</v>
      </c>
      <c r="N299" s="152">
        <f t="shared" si="282"/>
        <v>0</v>
      </c>
      <c r="O299" s="152">
        <f t="shared" si="282"/>
        <v>0</v>
      </c>
      <c r="P299" s="152">
        <f t="shared" si="282"/>
        <v>0</v>
      </c>
      <c r="Q299" s="152">
        <f t="shared" si="282"/>
        <v>0</v>
      </c>
      <c r="R299" s="152">
        <f t="shared" si="282"/>
        <v>0</v>
      </c>
      <c r="S299" s="152">
        <f t="shared" si="282"/>
        <v>0</v>
      </c>
      <c r="T299" s="152">
        <f t="shared" si="282"/>
        <v>0</v>
      </c>
      <c r="U299" s="152">
        <f t="shared" si="282"/>
        <v>0</v>
      </c>
      <c r="V299" s="152">
        <f t="shared" si="282"/>
        <v>0</v>
      </c>
      <c r="W299" s="152">
        <f t="shared" si="282"/>
        <v>0</v>
      </c>
      <c r="X299" s="152">
        <f t="shared" si="282"/>
        <v>0</v>
      </c>
      <c r="Y299" s="152">
        <f t="shared" si="282"/>
        <v>0</v>
      </c>
      <c r="Z299" s="152">
        <f t="shared" si="282"/>
        <v>0</v>
      </c>
      <c r="AA299" s="152">
        <f t="shared" si="282"/>
        <v>0</v>
      </c>
      <c r="AB299" s="152">
        <f t="shared" si="282"/>
        <v>0</v>
      </c>
      <c r="AC299" s="152">
        <f t="shared" si="282"/>
        <v>0</v>
      </c>
      <c r="AD299" s="152">
        <f t="shared" si="282"/>
        <v>0</v>
      </c>
      <c r="AE299" s="152">
        <f t="shared" si="282"/>
        <v>0</v>
      </c>
      <c r="AF299" s="152">
        <f t="shared" si="282"/>
        <v>0</v>
      </c>
      <c r="AG299" s="152">
        <f t="shared" si="282"/>
        <v>0</v>
      </c>
      <c r="AH299" s="152">
        <f t="shared" si="282"/>
        <v>0</v>
      </c>
      <c r="AI299" s="152">
        <f t="shared" si="282"/>
        <v>0</v>
      </c>
      <c r="AJ299" s="152">
        <f t="shared" si="282"/>
        <v>0</v>
      </c>
      <c r="AK299" s="152">
        <f t="shared" si="282"/>
        <v>0</v>
      </c>
      <c r="AL299" s="152">
        <f t="shared" si="282"/>
        <v>0</v>
      </c>
      <c r="AM299" s="152">
        <f t="shared" ref="AM299:BD299" si="283">AM227</f>
        <v>0</v>
      </c>
      <c r="AN299" s="152">
        <f t="shared" si="283"/>
        <v>0</v>
      </c>
      <c r="AO299" s="152">
        <f t="shared" si="283"/>
        <v>0</v>
      </c>
      <c r="AP299" s="152">
        <f t="shared" si="283"/>
        <v>0</v>
      </c>
      <c r="AQ299" s="152">
        <f t="shared" si="283"/>
        <v>0</v>
      </c>
      <c r="AR299" s="152">
        <f t="shared" si="283"/>
        <v>0</v>
      </c>
      <c r="AS299" s="152">
        <f t="shared" si="283"/>
        <v>0</v>
      </c>
      <c r="AT299" s="152">
        <f t="shared" si="283"/>
        <v>0</v>
      </c>
      <c r="AU299" s="152">
        <f t="shared" si="283"/>
        <v>0</v>
      </c>
      <c r="AV299" s="152">
        <f t="shared" si="283"/>
        <v>0</v>
      </c>
      <c r="AW299" s="152">
        <f t="shared" si="283"/>
        <v>0</v>
      </c>
      <c r="AX299" s="152">
        <f t="shared" si="283"/>
        <v>0</v>
      </c>
      <c r="AY299" s="152">
        <f t="shared" si="283"/>
        <v>0</v>
      </c>
      <c r="AZ299" s="152">
        <f t="shared" si="283"/>
        <v>0</v>
      </c>
      <c r="BA299" s="152">
        <f t="shared" si="283"/>
        <v>0</v>
      </c>
      <c r="BB299" s="152">
        <f t="shared" si="283"/>
        <v>0</v>
      </c>
      <c r="BC299" s="152">
        <f t="shared" si="283"/>
        <v>0</v>
      </c>
      <c r="BD299" s="152">
        <f t="shared" si="283"/>
        <v>0</v>
      </c>
    </row>
    <row r="300" spans="1:56" ht="15" customHeight="1">
      <c r="C300" s="152">
        <f t="shared" si="265"/>
        <v>0</v>
      </c>
      <c r="D300" s="103" t="s">
        <v>282</v>
      </c>
      <c r="E300" s="128" t="s">
        <v>195</v>
      </c>
      <c r="G300" s="152">
        <f t="shared" ref="G300:AL300" si="284">G195</f>
        <v>0</v>
      </c>
      <c r="H300" s="152">
        <f t="shared" si="284"/>
        <v>0</v>
      </c>
      <c r="I300" s="152">
        <f t="shared" si="284"/>
        <v>0</v>
      </c>
      <c r="J300" s="152">
        <f t="shared" si="284"/>
        <v>0</v>
      </c>
      <c r="K300" s="152">
        <f t="shared" si="284"/>
        <v>0</v>
      </c>
      <c r="L300" s="152">
        <f t="shared" si="284"/>
        <v>0</v>
      </c>
      <c r="M300" s="152">
        <f t="shared" si="284"/>
        <v>0</v>
      </c>
      <c r="N300" s="152">
        <f t="shared" si="284"/>
        <v>0</v>
      </c>
      <c r="O300" s="152">
        <f t="shared" si="284"/>
        <v>0</v>
      </c>
      <c r="P300" s="152">
        <f t="shared" si="284"/>
        <v>0</v>
      </c>
      <c r="Q300" s="152">
        <f t="shared" si="284"/>
        <v>0</v>
      </c>
      <c r="R300" s="152">
        <f t="shared" si="284"/>
        <v>0</v>
      </c>
      <c r="S300" s="152">
        <f t="shared" si="284"/>
        <v>0</v>
      </c>
      <c r="T300" s="152">
        <f t="shared" si="284"/>
        <v>0</v>
      </c>
      <c r="U300" s="152">
        <f t="shared" si="284"/>
        <v>0</v>
      </c>
      <c r="V300" s="152">
        <f t="shared" si="284"/>
        <v>0</v>
      </c>
      <c r="W300" s="152">
        <f t="shared" si="284"/>
        <v>0</v>
      </c>
      <c r="X300" s="152">
        <f t="shared" si="284"/>
        <v>0</v>
      </c>
      <c r="Y300" s="152">
        <f t="shared" si="284"/>
        <v>0</v>
      </c>
      <c r="Z300" s="152">
        <f t="shared" si="284"/>
        <v>0</v>
      </c>
      <c r="AA300" s="152">
        <f t="shared" si="284"/>
        <v>0</v>
      </c>
      <c r="AB300" s="152">
        <f t="shared" si="284"/>
        <v>0</v>
      </c>
      <c r="AC300" s="152">
        <f t="shared" si="284"/>
        <v>0</v>
      </c>
      <c r="AD300" s="152">
        <f t="shared" si="284"/>
        <v>0</v>
      </c>
      <c r="AE300" s="152">
        <f t="shared" si="284"/>
        <v>0</v>
      </c>
      <c r="AF300" s="152">
        <f t="shared" si="284"/>
        <v>0</v>
      </c>
      <c r="AG300" s="152">
        <f t="shared" si="284"/>
        <v>0</v>
      </c>
      <c r="AH300" s="152">
        <f t="shared" si="284"/>
        <v>0</v>
      </c>
      <c r="AI300" s="152">
        <f t="shared" si="284"/>
        <v>0</v>
      </c>
      <c r="AJ300" s="152">
        <f t="shared" si="284"/>
        <v>0</v>
      </c>
      <c r="AK300" s="152">
        <f t="shared" si="284"/>
        <v>0</v>
      </c>
      <c r="AL300" s="152">
        <f t="shared" si="284"/>
        <v>0</v>
      </c>
      <c r="AM300" s="152">
        <f t="shared" ref="AM300:BD300" si="285">AM195</f>
        <v>0</v>
      </c>
      <c r="AN300" s="152">
        <f t="shared" si="285"/>
        <v>0</v>
      </c>
      <c r="AO300" s="152">
        <f t="shared" si="285"/>
        <v>0</v>
      </c>
      <c r="AP300" s="152">
        <f t="shared" si="285"/>
        <v>0</v>
      </c>
      <c r="AQ300" s="152">
        <f t="shared" si="285"/>
        <v>0</v>
      </c>
      <c r="AR300" s="152">
        <f t="shared" si="285"/>
        <v>0</v>
      </c>
      <c r="AS300" s="152">
        <f t="shared" si="285"/>
        <v>0</v>
      </c>
      <c r="AT300" s="152">
        <f t="shared" si="285"/>
        <v>0</v>
      </c>
      <c r="AU300" s="152">
        <f t="shared" si="285"/>
        <v>0</v>
      </c>
      <c r="AV300" s="152">
        <f t="shared" si="285"/>
        <v>0</v>
      </c>
      <c r="AW300" s="152">
        <f t="shared" si="285"/>
        <v>0</v>
      </c>
      <c r="AX300" s="152">
        <f t="shared" si="285"/>
        <v>0</v>
      </c>
      <c r="AY300" s="152">
        <f t="shared" si="285"/>
        <v>0</v>
      </c>
      <c r="AZ300" s="152">
        <f t="shared" si="285"/>
        <v>0</v>
      </c>
      <c r="BA300" s="152">
        <f t="shared" si="285"/>
        <v>0</v>
      </c>
      <c r="BB300" s="152">
        <f t="shared" si="285"/>
        <v>0</v>
      </c>
      <c r="BC300" s="152">
        <f t="shared" si="285"/>
        <v>0</v>
      </c>
      <c r="BD300" s="152">
        <f t="shared" si="285"/>
        <v>0</v>
      </c>
    </row>
    <row r="301" spans="1:56" ht="15" customHeight="1">
      <c r="C301" s="152">
        <f t="shared" si="265"/>
        <v>281.4034489933772</v>
      </c>
      <c r="D301" s="103" t="s">
        <v>315</v>
      </c>
      <c r="E301" s="128" t="s">
        <v>195</v>
      </c>
      <c r="G301" s="152">
        <f t="shared" ref="G301:AL301" si="286">G240</f>
        <v>12.338999999999999</v>
      </c>
      <c r="H301" s="152">
        <f t="shared" si="286"/>
        <v>15.057304200000004</v>
      </c>
      <c r="I301" s="152">
        <f t="shared" si="286"/>
        <v>9.6827344799999988</v>
      </c>
      <c r="J301" s="152">
        <f t="shared" si="286"/>
        <v>31.914833999999999</v>
      </c>
      <c r="K301" s="152">
        <f t="shared" si="286"/>
        <v>31.299545601600002</v>
      </c>
      <c r="L301" s="152">
        <f t="shared" si="286"/>
        <v>34.367591623152009</v>
      </c>
      <c r="M301" s="152">
        <f t="shared" si="286"/>
        <v>36.38440812003553</v>
      </c>
      <c r="N301" s="152">
        <f t="shared" si="286"/>
        <v>23.656361036072948</v>
      </c>
      <c r="O301" s="152">
        <f t="shared" si="286"/>
        <v>6.453403795255781</v>
      </c>
      <c r="P301" s="152">
        <f t="shared" si="286"/>
        <v>8.5623361022208346</v>
      </c>
      <c r="Q301" s="152">
        <f t="shared" si="286"/>
        <v>8.497756794787092</v>
      </c>
      <c r="R301" s="152">
        <f t="shared" si="286"/>
        <v>9.8801502266271122</v>
      </c>
      <c r="S301" s="152">
        <f t="shared" si="286"/>
        <v>11.132587965120422</v>
      </c>
      <c r="T301" s="152">
        <f t="shared" si="286"/>
        <v>10.289221773290926</v>
      </c>
      <c r="U301" s="152">
        <f t="shared" si="286"/>
        <v>15.642368862708768</v>
      </c>
      <c r="V301" s="152">
        <f t="shared" si="286"/>
        <v>11.817206948451574</v>
      </c>
      <c r="W301" s="152">
        <f t="shared" si="286"/>
        <v>4.4266374640541644</v>
      </c>
      <c r="X301" s="152">
        <f t="shared" si="286"/>
        <v>0</v>
      </c>
      <c r="Y301" s="152">
        <f t="shared" si="286"/>
        <v>0</v>
      </c>
      <c r="Z301" s="152">
        <f t="shared" si="286"/>
        <v>0</v>
      </c>
      <c r="AA301" s="152">
        <f t="shared" si="286"/>
        <v>0</v>
      </c>
      <c r="AB301" s="152">
        <f t="shared" si="286"/>
        <v>0</v>
      </c>
      <c r="AC301" s="152">
        <f t="shared" si="286"/>
        <v>0</v>
      </c>
      <c r="AD301" s="152">
        <f t="shared" si="286"/>
        <v>0</v>
      </c>
      <c r="AE301" s="152">
        <f t="shared" si="286"/>
        <v>0</v>
      </c>
      <c r="AF301" s="152">
        <f t="shared" si="286"/>
        <v>0</v>
      </c>
      <c r="AG301" s="152">
        <f t="shared" si="286"/>
        <v>0</v>
      </c>
      <c r="AH301" s="152">
        <f t="shared" si="286"/>
        <v>0</v>
      </c>
      <c r="AI301" s="152">
        <f t="shared" si="286"/>
        <v>0</v>
      </c>
      <c r="AJ301" s="152">
        <f t="shared" si="286"/>
        <v>0</v>
      </c>
      <c r="AK301" s="152">
        <f t="shared" si="286"/>
        <v>0</v>
      </c>
      <c r="AL301" s="152">
        <f t="shared" si="286"/>
        <v>0</v>
      </c>
      <c r="AM301" s="152">
        <f t="shared" ref="AM301:BD301" si="287">AM240</f>
        <v>0</v>
      </c>
      <c r="AN301" s="152">
        <f t="shared" si="287"/>
        <v>0</v>
      </c>
      <c r="AO301" s="152">
        <f t="shared" si="287"/>
        <v>0</v>
      </c>
      <c r="AP301" s="152">
        <f t="shared" si="287"/>
        <v>0</v>
      </c>
      <c r="AQ301" s="152">
        <f t="shared" si="287"/>
        <v>0</v>
      </c>
      <c r="AR301" s="152">
        <f t="shared" si="287"/>
        <v>0</v>
      </c>
      <c r="AS301" s="152">
        <f t="shared" si="287"/>
        <v>0</v>
      </c>
      <c r="AT301" s="152">
        <f t="shared" si="287"/>
        <v>0</v>
      </c>
      <c r="AU301" s="152">
        <f t="shared" si="287"/>
        <v>0</v>
      </c>
      <c r="AV301" s="152">
        <f t="shared" si="287"/>
        <v>0</v>
      </c>
      <c r="AW301" s="152">
        <f t="shared" si="287"/>
        <v>0</v>
      </c>
      <c r="AX301" s="152">
        <f t="shared" si="287"/>
        <v>0</v>
      </c>
      <c r="AY301" s="152">
        <f t="shared" si="287"/>
        <v>0</v>
      </c>
      <c r="AZ301" s="152">
        <f t="shared" si="287"/>
        <v>0</v>
      </c>
      <c r="BA301" s="152">
        <f t="shared" si="287"/>
        <v>0</v>
      </c>
      <c r="BB301" s="152">
        <f t="shared" si="287"/>
        <v>0</v>
      </c>
      <c r="BC301" s="152">
        <f t="shared" si="287"/>
        <v>0</v>
      </c>
      <c r="BD301" s="152">
        <f t="shared" si="287"/>
        <v>0</v>
      </c>
    </row>
    <row r="302" spans="1:56" ht="15" customHeight="1">
      <c r="C302" s="152">
        <f t="shared" si="265"/>
        <v>253.26310409403951</v>
      </c>
      <c r="D302" s="103" t="s">
        <v>317</v>
      </c>
      <c r="E302" s="128" t="s">
        <v>195</v>
      </c>
      <c r="G302" s="152">
        <f t="shared" ref="G302:AL302" si="288">G242</f>
        <v>11.1051</v>
      </c>
      <c r="H302" s="152">
        <f t="shared" si="288"/>
        <v>13.551573780000005</v>
      </c>
      <c r="I302" s="152">
        <f t="shared" si="288"/>
        <v>8.7144610319999991</v>
      </c>
      <c r="J302" s="152">
        <f t="shared" si="288"/>
        <v>28.7233506</v>
      </c>
      <c r="K302" s="152">
        <f t="shared" si="288"/>
        <v>28.16959104144</v>
      </c>
      <c r="L302" s="152">
        <f t="shared" si="288"/>
        <v>30.930832460836811</v>
      </c>
      <c r="M302" s="152">
        <f t="shared" si="288"/>
        <v>32.745967308031979</v>
      </c>
      <c r="N302" s="152">
        <f t="shared" si="288"/>
        <v>21.29072493246565</v>
      </c>
      <c r="O302" s="152">
        <f t="shared" si="288"/>
        <v>5.8080634157302029</v>
      </c>
      <c r="P302" s="152">
        <f t="shared" si="288"/>
        <v>7.7061024919987506</v>
      </c>
      <c r="Q302" s="152">
        <f t="shared" si="288"/>
        <v>7.6479811153083821</v>
      </c>
      <c r="R302" s="152">
        <f t="shared" si="288"/>
        <v>8.8921352039644006</v>
      </c>
      <c r="S302" s="152">
        <f t="shared" si="288"/>
        <v>10.01932916860838</v>
      </c>
      <c r="T302" s="152">
        <f t="shared" si="288"/>
        <v>9.2602995959618308</v>
      </c>
      <c r="U302" s="152">
        <f t="shared" si="288"/>
        <v>14.078131976437891</v>
      </c>
      <c r="V302" s="152">
        <f t="shared" si="288"/>
        <v>10.635486253606416</v>
      </c>
      <c r="W302" s="152">
        <f t="shared" si="288"/>
        <v>3.9839737176487477</v>
      </c>
      <c r="X302" s="152">
        <f t="shared" si="288"/>
        <v>0</v>
      </c>
      <c r="Y302" s="152">
        <f t="shared" si="288"/>
        <v>0</v>
      </c>
      <c r="Z302" s="152">
        <f t="shared" si="288"/>
        <v>0</v>
      </c>
      <c r="AA302" s="152">
        <f t="shared" si="288"/>
        <v>0</v>
      </c>
      <c r="AB302" s="152">
        <f t="shared" si="288"/>
        <v>0</v>
      </c>
      <c r="AC302" s="152">
        <f t="shared" si="288"/>
        <v>0</v>
      </c>
      <c r="AD302" s="152">
        <f t="shared" si="288"/>
        <v>0</v>
      </c>
      <c r="AE302" s="152">
        <f t="shared" si="288"/>
        <v>0</v>
      </c>
      <c r="AF302" s="152">
        <f t="shared" si="288"/>
        <v>0</v>
      </c>
      <c r="AG302" s="152">
        <f t="shared" si="288"/>
        <v>0</v>
      </c>
      <c r="AH302" s="152">
        <f t="shared" si="288"/>
        <v>0</v>
      </c>
      <c r="AI302" s="152">
        <f t="shared" si="288"/>
        <v>0</v>
      </c>
      <c r="AJ302" s="152">
        <f t="shared" si="288"/>
        <v>0</v>
      </c>
      <c r="AK302" s="152">
        <f t="shared" si="288"/>
        <v>0</v>
      </c>
      <c r="AL302" s="152">
        <f t="shared" si="288"/>
        <v>0</v>
      </c>
      <c r="AM302" s="152">
        <f t="shared" ref="AM302:BD302" si="289">AM242</f>
        <v>0</v>
      </c>
      <c r="AN302" s="152">
        <f t="shared" si="289"/>
        <v>0</v>
      </c>
      <c r="AO302" s="152">
        <f t="shared" si="289"/>
        <v>0</v>
      </c>
      <c r="AP302" s="152">
        <f t="shared" si="289"/>
        <v>0</v>
      </c>
      <c r="AQ302" s="152">
        <f t="shared" si="289"/>
        <v>0</v>
      </c>
      <c r="AR302" s="152">
        <f t="shared" si="289"/>
        <v>0</v>
      </c>
      <c r="AS302" s="152">
        <f t="shared" si="289"/>
        <v>0</v>
      </c>
      <c r="AT302" s="152">
        <f t="shared" si="289"/>
        <v>0</v>
      </c>
      <c r="AU302" s="152">
        <f t="shared" si="289"/>
        <v>0</v>
      </c>
      <c r="AV302" s="152">
        <f t="shared" si="289"/>
        <v>0</v>
      </c>
      <c r="AW302" s="152">
        <f t="shared" si="289"/>
        <v>0</v>
      </c>
      <c r="AX302" s="152">
        <f t="shared" si="289"/>
        <v>0</v>
      </c>
      <c r="AY302" s="152">
        <f t="shared" si="289"/>
        <v>0</v>
      </c>
      <c r="AZ302" s="152">
        <f t="shared" si="289"/>
        <v>0</v>
      </c>
      <c r="BA302" s="152">
        <f t="shared" si="289"/>
        <v>0</v>
      </c>
      <c r="BB302" s="152">
        <f t="shared" si="289"/>
        <v>0</v>
      </c>
      <c r="BC302" s="152">
        <f t="shared" si="289"/>
        <v>0</v>
      </c>
      <c r="BD302" s="152">
        <f t="shared" si="289"/>
        <v>0</v>
      </c>
    </row>
    <row r="303" spans="1:56" ht="15" customHeight="1">
      <c r="C303" s="152">
        <f t="shared" si="265"/>
        <v>1806.6171296793564</v>
      </c>
      <c r="D303" s="103" t="s">
        <v>342</v>
      </c>
      <c r="E303" s="128" t="s">
        <v>195</v>
      </c>
      <c r="G303" s="152">
        <f t="shared" ref="G303:AL303" si="290">SUM(G291:G302)</f>
        <v>43.0441</v>
      </c>
      <c r="H303" s="152">
        <f t="shared" si="290"/>
        <v>142.60629198000001</v>
      </c>
      <c r="I303" s="152">
        <f t="shared" si="290"/>
        <v>122.38369711199999</v>
      </c>
      <c r="J303" s="152">
        <f t="shared" si="290"/>
        <v>178.70754059999996</v>
      </c>
      <c r="K303" s="152">
        <f t="shared" si="290"/>
        <v>175.11681598704001</v>
      </c>
      <c r="L303" s="152">
        <f t="shared" si="290"/>
        <v>190.85684921246883</v>
      </c>
      <c r="M303" s="152">
        <f t="shared" si="290"/>
        <v>210.93322047724837</v>
      </c>
      <c r="N303" s="152">
        <f t="shared" si="290"/>
        <v>157.58391857319023</v>
      </c>
      <c r="O303" s="152">
        <f t="shared" si="290"/>
        <v>52.941387178988734</v>
      </c>
      <c r="P303" s="152">
        <f t="shared" si="290"/>
        <v>60.661229769799128</v>
      </c>
      <c r="Q303" s="152">
        <f t="shared" si="290"/>
        <v>58.917688082697097</v>
      </c>
      <c r="R303" s="152">
        <f t="shared" si="290"/>
        <v>63.947808554602503</v>
      </c>
      <c r="S303" s="152">
        <f t="shared" si="290"/>
        <v>74.454095175278894</v>
      </c>
      <c r="T303" s="152">
        <f t="shared" si="290"/>
        <v>75.517889725243592</v>
      </c>
      <c r="U303" s="152">
        <f t="shared" si="290"/>
        <v>99.981416435992188</v>
      </c>
      <c r="V303" s="152">
        <f t="shared" si="290"/>
        <v>73.594898283732718</v>
      </c>
      <c r="W303" s="152">
        <f t="shared" si="290"/>
        <v>25.368282531074399</v>
      </c>
      <c r="X303" s="152">
        <f t="shared" si="290"/>
        <v>0</v>
      </c>
      <c r="Y303" s="152">
        <f t="shared" si="290"/>
        <v>0</v>
      </c>
      <c r="Z303" s="152">
        <f t="shared" si="290"/>
        <v>0</v>
      </c>
      <c r="AA303" s="152">
        <f t="shared" si="290"/>
        <v>0</v>
      </c>
      <c r="AB303" s="152">
        <f t="shared" si="290"/>
        <v>0</v>
      </c>
      <c r="AC303" s="152">
        <f t="shared" si="290"/>
        <v>0</v>
      </c>
      <c r="AD303" s="152">
        <f t="shared" si="290"/>
        <v>0</v>
      </c>
      <c r="AE303" s="152">
        <f t="shared" si="290"/>
        <v>0</v>
      </c>
      <c r="AF303" s="152">
        <f t="shared" si="290"/>
        <v>0</v>
      </c>
      <c r="AG303" s="152">
        <f t="shared" si="290"/>
        <v>0</v>
      </c>
      <c r="AH303" s="152">
        <f t="shared" si="290"/>
        <v>0</v>
      </c>
      <c r="AI303" s="152">
        <f t="shared" si="290"/>
        <v>0</v>
      </c>
      <c r="AJ303" s="152">
        <f t="shared" si="290"/>
        <v>0</v>
      </c>
      <c r="AK303" s="152">
        <f t="shared" si="290"/>
        <v>0</v>
      </c>
      <c r="AL303" s="152">
        <f t="shared" si="290"/>
        <v>0</v>
      </c>
      <c r="AM303" s="152">
        <f t="shared" ref="AM303:BR303" si="291">SUM(AM291:AM302)</f>
        <v>0</v>
      </c>
      <c r="AN303" s="152">
        <f t="shared" si="291"/>
        <v>0</v>
      </c>
      <c r="AO303" s="152">
        <f t="shared" si="291"/>
        <v>0</v>
      </c>
      <c r="AP303" s="152">
        <f t="shared" si="291"/>
        <v>0</v>
      </c>
      <c r="AQ303" s="152">
        <f t="shared" si="291"/>
        <v>0</v>
      </c>
      <c r="AR303" s="152">
        <f t="shared" si="291"/>
        <v>0</v>
      </c>
      <c r="AS303" s="152">
        <f t="shared" si="291"/>
        <v>0</v>
      </c>
      <c r="AT303" s="152">
        <f t="shared" si="291"/>
        <v>0</v>
      </c>
      <c r="AU303" s="152">
        <f t="shared" si="291"/>
        <v>0</v>
      </c>
      <c r="AV303" s="152">
        <f t="shared" si="291"/>
        <v>0</v>
      </c>
      <c r="AW303" s="152">
        <f t="shared" si="291"/>
        <v>0</v>
      </c>
      <c r="AX303" s="152">
        <f t="shared" si="291"/>
        <v>0</v>
      </c>
      <c r="AY303" s="152">
        <f t="shared" si="291"/>
        <v>0</v>
      </c>
      <c r="AZ303" s="152">
        <f t="shared" si="291"/>
        <v>0</v>
      </c>
      <c r="BA303" s="152">
        <f t="shared" si="291"/>
        <v>0</v>
      </c>
      <c r="BB303" s="152">
        <f t="shared" si="291"/>
        <v>0</v>
      </c>
      <c r="BC303" s="152">
        <f t="shared" si="291"/>
        <v>0</v>
      </c>
      <c r="BD303" s="152">
        <f t="shared" si="291"/>
        <v>0</v>
      </c>
    </row>
    <row r="304" spans="1:56" ht="15" customHeight="1">
      <c r="C304" s="112">
        <f>IFERROR(C303/C54,0)</f>
        <v>0.44214971427086297</v>
      </c>
      <c r="D304" s="103" t="s">
        <v>44</v>
      </c>
      <c r="E304" s="128" t="s">
        <v>26</v>
      </c>
      <c r="G304" s="112">
        <f t="shared" ref="G304:AL304" si="292">IFERROR(G303/G54,0)</f>
        <v>0.30102874326876006</v>
      </c>
      <c r="H304" s="112">
        <f t="shared" si="292"/>
        <v>0.53901064440845958</v>
      </c>
      <c r="I304" s="112">
        <f t="shared" si="292"/>
        <v>0.60943853875606058</v>
      </c>
      <c r="J304" s="112">
        <f t="shared" si="292"/>
        <v>0.40873812344503091</v>
      </c>
      <c r="K304" s="112">
        <f t="shared" si="292"/>
        <v>0.40853754916654972</v>
      </c>
      <c r="L304" s="112">
        <f t="shared" si="292"/>
        <v>0.40674100846775418</v>
      </c>
      <c r="M304" s="112">
        <f t="shared" si="292"/>
        <v>0.41715515219636307</v>
      </c>
      <c r="N304" s="112">
        <f t="shared" si="292"/>
        <v>0.45127067203867421</v>
      </c>
      <c r="O304" s="112">
        <f t="shared" si="292"/>
        <v>0.50317836364411772</v>
      </c>
      <c r="P304" s="112">
        <f t="shared" si="292"/>
        <v>0.46656687453354145</v>
      </c>
      <c r="Q304" s="112">
        <f t="shared" si="292"/>
        <v>0.46119694969914116</v>
      </c>
      <c r="R304" s="112">
        <f t="shared" si="292"/>
        <v>0.44415286662061249</v>
      </c>
      <c r="S304" s="112">
        <f t="shared" si="292"/>
        <v>0.45225641496805313</v>
      </c>
      <c r="T304" s="112">
        <f t="shared" si="292"/>
        <v>0.47537209564984834</v>
      </c>
      <c r="U304" s="112">
        <f t="shared" si="292"/>
        <v>0.44105958046107224</v>
      </c>
      <c r="V304" s="112">
        <f t="shared" si="292"/>
        <v>0.43466446330230751</v>
      </c>
      <c r="W304" s="112">
        <f t="shared" si="292"/>
        <v>0.41435161823924388</v>
      </c>
      <c r="X304" s="112">
        <f t="shared" si="292"/>
        <v>0</v>
      </c>
      <c r="Y304" s="112">
        <f t="shared" si="292"/>
        <v>0</v>
      </c>
      <c r="Z304" s="112">
        <f t="shared" si="292"/>
        <v>0</v>
      </c>
      <c r="AA304" s="112">
        <f t="shared" si="292"/>
        <v>0</v>
      </c>
      <c r="AB304" s="112">
        <f t="shared" si="292"/>
        <v>0</v>
      </c>
      <c r="AC304" s="112">
        <f t="shared" si="292"/>
        <v>0</v>
      </c>
      <c r="AD304" s="112">
        <f t="shared" si="292"/>
        <v>0</v>
      </c>
      <c r="AE304" s="112">
        <f t="shared" si="292"/>
        <v>0</v>
      </c>
      <c r="AF304" s="112">
        <f t="shared" si="292"/>
        <v>0</v>
      </c>
      <c r="AG304" s="112">
        <f t="shared" si="292"/>
        <v>0</v>
      </c>
      <c r="AH304" s="112">
        <f t="shared" si="292"/>
        <v>0</v>
      </c>
      <c r="AI304" s="112">
        <f t="shared" si="292"/>
        <v>0</v>
      </c>
      <c r="AJ304" s="112">
        <f t="shared" si="292"/>
        <v>0</v>
      </c>
      <c r="AK304" s="112">
        <f t="shared" si="292"/>
        <v>0</v>
      </c>
      <c r="AL304" s="112">
        <f t="shared" si="292"/>
        <v>0</v>
      </c>
      <c r="AM304" s="112">
        <f t="shared" ref="AM304:BR304" si="293">IFERROR(AM303/AM54,0)</f>
        <v>0</v>
      </c>
      <c r="AN304" s="112">
        <f t="shared" si="293"/>
        <v>0</v>
      </c>
      <c r="AO304" s="112">
        <f t="shared" si="293"/>
        <v>0</v>
      </c>
      <c r="AP304" s="112">
        <f t="shared" si="293"/>
        <v>0</v>
      </c>
      <c r="AQ304" s="112">
        <f t="shared" si="293"/>
        <v>0</v>
      </c>
      <c r="AR304" s="112">
        <f t="shared" si="293"/>
        <v>0</v>
      </c>
      <c r="AS304" s="112">
        <f t="shared" si="293"/>
        <v>0</v>
      </c>
      <c r="AT304" s="112">
        <f t="shared" si="293"/>
        <v>0</v>
      </c>
      <c r="AU304" s="112">
        <f t="shared" si="293"/>
        <v>0</v>
      </c>
      <c r="AV304" s="112">
        <f t="shared" si="293"/>
        <v>0</v>
      </c>
      <c r="AW304" s="112">
        <f t="shared" si="293"/>
        <v>0</v>
      </c>
      <c r="AX304" s="112">
        <f t="shared" si="293"/>
        <v>0</v>
      </c>
      <c r="AY304" s="112">
        <f t="shared" si="293"/>
        <v>0</v>
      </c>
      <c r="AZ304" s="112">
        <f t="shared" si="293"/>
        <v>0</v>
      </c>
      <c r="BA304" s="112">
        <f t="shared" si="293"/>
        <v>0</v>
      </c>
      <c r="BB304" s="112">
        <f t="shared" si="293"/>
        <v>0</v>
      </c>
      <c r="BC304" s="112">
        <f t="shared" si="293"/>
        <v>0</v>
      </c>
      <c r="BD304" s="112">
        <f t="shared" si="293"/>
        <v>0</v>
      </c>
    </row>
    <row r="305" spans="3:56" ht="15" customHeight="1">
      <c r="D305" s="103"/>
    </row>
    <row r="306" spans="3:56" ht="15" customHeight="1">
      <c r="C306" s="151"/>
      <c r="D306" s="33" t="s">
        <v>343</v>
      </c>
      <c r="E306" s="128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152"/>
      <c r="AE306" s="152"/>
      <c r="AF306" s="152"/>
      <c r="AG306" s="152"/>
      <c r="AH306" s="152"/>
      <c r="AI306" s="152"/>
      <c r="AJ306" s="152"/>
      <c r="AK306" s="152"/>
      <c r="AL306" s="152"/>
      <c r="AM306" s="152"/>
      <c r="AN306" s="152"/>
      <c r="AO306" s="152"/>
      <c r="AP306" s="152"/>
      <c r="AQ306" s="152"/>
      <c r="AR306" s="152"/>
      <c r="AS306" s="152"/>
      <c r="AT306" s="152"/>
      <c r="AU306" s="152"/>
      <c r="AV306" s="152"/>
      <c r="AW306" s="152"/>
      <c r="AX306" s="152"/>
      <c r="AY306" s="152"/>
      <c r="AZ306" s="152"/>
      <c r="BA306" s="152"/>
      <c r="BB306" s="152"/>
      <c r="BC306" s="152"/>
      <c r="BD306" s="152"/>
    </row>
    <row r="307" spans="3:56" ht="15" customHeight="1">
      <c r="C307" s="152">
        <f t="shared" ref="C307:C319" si="294">SUM(G307:BD307)</f>
        <v>0</v>
      </c>
      <c r="D307" s="55" t="s">
        <v>64</v>
      </c>
      <c r="E307" s="128" t="s">
        <v>153</v>
      </c>
      <c r="G307" s="152">
        <f t="shared" ref="G307:AL307" si="295">G291/G$267</f>
        <v>0</v>
      </c>
      <c r="H307" s="152">
        <f t="shared" si="295"/>
        <v>0</v>
      </c>
      <c r="I307" s="152">
        <f t="shared" si="295"/>
        <v>0</v>
      </c>
      <c r="J307" s="152">
        <f t="shared" si="295"/>
        <v>0</v>
      </c>
      <c r="K307" s="152">
        <f t="shared" si="295"/>
        <v>0</v>
      </c>
      <c r="L307" s="152">
        <f t="shared" si="295"/>
        <v>0</v>
      </c>
      <c r="M307" s="152">
        <f t="shared" si="295"/>
        <v>0</v>
      </c>
      <c r="N307" s="152">
        <f t="shared" si="295"/>
        <v>0</v>
      </c>
      <c r="O307" s="152">
        <f t="shared" si="295"/>
        <v>0</v>
      </c>
      <c r="P307" s="152">
        <f t="shared" si="295"/>
        <v>0</v>
      </c>
      <c r="Q307" s="152">
        <f t="shared" si="295"/>
        <v>0</v>
      </c>
      <c r="R307" s="152">
        <f t="shared" si="295"/>
        <v>0</v>
      </c>
      <c r="S307" s="152">
        <f t="shared" si="295"/>
        <v>0</v>
      </c>
      <c r="T307" s="152">
        <f t="shared" si="295"/>
        <v>0</v>
      </c>
      <c r="U307" s="152">
        <f t="shared" si="295"/>
        <v>0</v>
      </c>
      <c r="V307" s="152">
        <f t="shared" si="295"/>
        <v>0</v>
      </c>
      <c r="W307" s="152">
        <f t="shared" si="295"/>
        <v>0</v>
      </c>
      <c r="X307" s="152">
        <f t="shared" si="295"/>
        <v>0</v>
      </c>
      <c r="Y307" s="152">
        <f t="shared" si="295"/>
        <v>0</v>
      </c>
      <c r="Z307" s="152">
        <f t="shared" si="295"/>
        <v>0</v>
      </c>
      <c r="AA307" s="152">
        <f t="shared" si="295"/>
        <v>0</v>
      </c>
      <c r="AB307" s="152">
        <f t="shared" si="295"/>
        <v>0</v>
      </c>
      <c r="AC307" s="152">
        <f t="shared" si="295"/>
        <v>0</v>
      </c>
      <c r="AD307" s="152">
        <f t="shared" si="295"/>
        <v>0</v>
      </c>
      <c r="AE307" s="152">
        <f t="shared" si="295"/>
        <v>0</v>
      </c>
      <c r="AF307" s="152">
        <f t="shared" si="295"/>
        <v>0</v>
      </c>
      <c r="AG307" s="152">
        <f t="shared" si="295"/>
        <v>0</v>
      </c>
      <c r="AH307" s="152">
        <f t="shared" si="295"/>
        <v>0</v>
      </c>
      <c r="AI307" s="152">
        <f t="shared" si="295"/>
        <v>0</v>
      </c>
      <c r="AJ307" s="152">
        <f t="shared" si="295"/>
        <v>0</v>
      </c>
      <c r="AK307" s="152">
        <f t="shared" si="295"/>
        <v>0</v>
      </c>
      <c r="AL307" s="152">
        <f t="shared" si="295"/>
        <v>0</v>
      </c>
      <c r="AM307" s="152">
        <f t="shared" ref="AM307:BD307" si="296">AM291/AM$267</f>
        <v>0</v>
      </c>
      <c r="AN307" s="152">
        <f t="shared" si="296"/>
        <v>0</v>
      </c>
      <c r="AO307" s="152">
        <f t="shared" si="296"/>
        <v>0</v>
      </c>
      <c r="AP307" s="152">
        <f t="shared" si="296"/>
        <v>0</v>
      </c>
      <c r="AQ307" s="152">
        <f t="shared" si="296"/>
        <v>0</v>
      </c>
      <c r="AR307" s="152">
        <f t="shared" si="296"/>
        <v>0</v>
      </c>
      <c r="AS307" s="152">
        <f t="shared" si="296"/>
        <v>0</v>
      </c>
      <c r="AT307" s="152">
        <f t="shared" si="296"/>
        <v>0</v>
      </c>
      <c r="AU307" s="152">
        <f t="shared" si="296"/>
        <v>0</v>
      </c>
      <c r="AV307" s="152">
        <f t="shared" si="296"/>
        <v>0</v>
      </c>
      <c r="AW307" s="152">
        <f t="shared" si="296"/>
        <v>0</v>
      </c>
      <c r="AX307" s="152">
        <f t="shared" si="296"/>
        <v>0</v>
      </c>
      <c r="AY307" s="152">
        <f t="shared" si="296"/>
        <v>0</v>
      </c>
      <c r="AZ307" s="152">
        <f t="shared" si="296"/>
        <v>0</v>
      </c>
      <c r="BA307" s="152">
        <f t="shared" si="296"/>
        <v>0</v>
      </c>
      <c r="BB307" s="152">
        <f t="shared" si="296"/>
        <v>0</v>
      </c>
      <c r="BC307" s="152">
        <f t="shared" si="296"/>
        <v>0</v>
      </c>
      <c r="BD307" s="152">
        <f t="shared" si="296"/>
        <v>0</v>
      </c>
    </row>
    <row r="308" spans="3:56" ht="15" customHeight="1">
      <c r="C308" s="152">
        <f t="shared" si="294"/>
        <v>0</v>
      </c>
      <c r="D308" s="55" t="s">
        <v>232</v>
      </c>
      <c r="E308" s="128" t="s">
        <v>153</v>
      </c>
      <c r="G308" s="152">
        <f t="shared" ref="G308:AL308" si="297">G292/G$267</f>
        <v>0</v>
      </c>
      <c r="H308" s="152">
        <f t="shared" si="297"/>
        <v>0</v>
      </c>
      <c r="I308" s="152">
        <f t="shared" si="297"/>
        <v>0</v>
      </c>
      <c r="J308" s="152">
        <f t="shared" si="297"/>
        <v>0</v>
      </c>
      <c r="K308" s="152">
        <f t="shared" si="297"/>
        <v>0</v>
      </c>
      <c r="L308" s="152">
        <f t="shared" si="297"/>
        <v>0</v>
      </c>
      <c r="M308" s="152">
        <f t="shared" si="297"/>
        <v>0</v>
      </c>
      <c r="N308" s="152">
        <f t="shared" si="297"/>
        <v>0</v>
      </c>
      <c r="O308" s="152">
        <f t="shared" si="297"/>
        <v>0</v>
      </c>
      <c r="P308" s="152">
        <f t="shared" si="297"/>
        <v>0</v>
      </c>
      <c r="Q308" s="152">
        <f t="shared" si="297"/>
        <v>0</v>
      </c>
      <c r="R308" s="152">
        <f t="shared" si="297"/>
        <v>0</v>
      </c>
      <c r="S308" s="152">
        <f t="shared" si="297"/>
        <v>0</v>
      </c>
      <c r="T308" s="152">
        <f t="shared" si="297"/>
        <v>0</v>
      </c>
      <c r="U308" s="152">
        <f t="shared" si="297"/>
        <v>0</v>
      </c>
      <c r="V308" s="152">
        <f t="shared" si="297"/>
        <v>0</v>
      </c>
      <c r="W308" s="152">
        <f t="shared" si="297"/>
        <v>0</v>
      </c>
      <c r="X308" s="152">
        <f t="shared" si="297"/>
        <v>0</v>
      </c>
      <c r="Y308" s="152">
        <f t="shared" si="297"/>
        <v>0</v>
      </c>
      <c r="Z308" s="152">
        <f t="shared" si="297"/>
        <v>0</v>
      </c>
      <c r="AA308" s="152">
        <f t="shared" si="297"/>
        <v>0</v>
      </c>
      <c r="AB308" s="152">
        <f t="shared" si="297"/>
        <v>0</v>
      </c>
      <c r="AC308" s="152">
        <f t="shared" si="297"/>
        <v>0</v>
      </c>
      <c r="AD308" s="152">
        <f t="shared" si="297"/>
        <v>0</v>
      </c>
      <c r="AE308" s="152">
        <f t="shared" si="297"/>
        <v>0</v>
      </c>
      <c r="AF308" s="152">
        <f t="shared" si="297"/>
        <v>0</v>
      </c>
      <c r="AG308" s="152">
        <f t="shared" si="297"/>
        <v>0</v>
      </c>
      <c r="AH308" s="152">
        <f t="shared" si="297"/>
        <v>0</v>
      </c>
      <c r="AI308" s="152">
        <f t="shared" si="297"/>
        <v>0</v>
      </c>
      <c r="AJ308" s="152">
        <f t="shared" si="297"/>
        <v>0</v>
      </c>
      <c r="AK308" s="152">
        <f t="shared" si="297"/>
        <v>0</v>
      </c>
      <c r="AL308" s="152">
        <f t="shared" si="297"/>
        <v>0</v>
      </c>
      <c r="AM308" s="152">
        <f t="shared" ref="AM308:BD308" si="298">AM292/AM$267</f>
        <v>0</v>
      </c>
      <c r="AN308" s="152">
        <f t="shared" si="298"/>
        <v>0</v>
      </c>
      <c r="AO308" s="152">
        <f t="shared" si="298"/>
        <v>0</v>
      </c>
      <c r="AP308" s="152">
        <f t="shared" si="298"/>
        <v>0</v>
      </c>
      <c r="AQ308" s="152">
        <f t="shared" si="298"/>
        <v>0</v>
      </c>
      <c r="AR308" s="152">
        <f t="shared" si="298"/>
        <v>0</v>
      </c>
      <c r="AS308" s="152">
        <f t="shared" si="298"/>
        <v>0</v>
      </c>
      <c r="AT308" s="152">
        <f t="shared" si="298"/>
        <v>0</v>
      </c>
      <c r="AU308" s="152">
        <f t="shared" si="298"/>
        <v>0</v>
      </c>
      <c r="AV308" s="152">
        <f t="shared" si="298"/>
        <v>0</v>
      </c>
      <c r="AW308" s="152">
        <f t="shared" si="298"/>
        <v>0</v>
      </c>
      <c r="AX308" s="152">
        <f t="shared" si="298"/>
        <v>0</v>
      </c>
      <c r="AY308" s="152">
        <f t="shared" si="298"/>
        <v>0</v>
      </c>
      <c r="AZ308" s="152">
        <f t="shared" si="298"/>
        <v>0</v>
      </c>
      <c r="BA308" s="152">
        <f t="shared" si="298"/>
        <v>0</v>
      </c>
      <c r="BB308" s="152">
        <f t="shared" si="298"/>
        <v>0</v>
      </c>
      <c r="BC308" s="152">
        <f t="shared" si="298"/>
        <v>0</v>
      </c>
      <c r="BD308" s="152">
        <f t="shared" si="298"/>
        <v>0</v>
      </c>
    </row>
    <row r="309" spans="3:56" ht="15" customHeight="1">
      <c r="C309" s="152">
        <f t="shared" si="294"/>
        <v>342.71999999999986</v>
      </c>
      <c r="D309" s="55" t="s">
        <v>66</v>
      </c>
      <c r="E309" s="128" t="s">
        <v>153</v>
      </c>
      <c r="G309" s="152">
        <f t="shared" ref="G309:AL309" si="299">G293/G$267</f>
        <v>19.600000000000001</v>
      </c>
      <c r="H309" s="152">
        <f t="shared" si="299"/>
        <v>28.720000000000002</v>
      </c>
      <c r="I309" s="152">
        <f t="shared" si="299"/>
        <v>28.800000000000004</v>
      </c>
      <c r="J309" s="152">
        <f t="shared" si="299"/>
        <v>32</v>
      </c>
      <c r="K309" s="152">
        <f t="shared" si="299"/>
        <v>32</v>
      </c>
      <c r="L309" s="152">
        <f t="shared" si="299"/>
        <v>32.000000000000007</v>
      </c>
      <c r="M309" s="152">
        <f t="shared" si="299"/>
        <v>32</v>
      </c>
      <c r="N309" s="152">
        <f t="shared" si="299"/>
        <v>25.6</v>
      </c>
      <c r="O309" s="152">
        <f t="shared" si="299"/>
        <v>13.84</v>
      </c>
      <c r="P309" s="152">
        <f t="shared" si="299"/>
        <v>13.84</v>
      </c>
      <c r="Q309" s="152">
        <f t="shared" si="299"/>
        <v>13.84</v>
      </c>
      <c r="R309" s="152">
        <f t="shared" si="299"/>
        <v>13.840000000000002</v>
      </c>
      <c r="S309" s="152">
        <f t="shared" si="299"/>
        <v>13.840000000000002</v>
      </c>
      <c r="T309" s="152">
        <f t="shared" si="299"/>
        <v>13.84</v>
      </c>
      <c r="U309" s="152">
        <f t="shared" si="299"/>
        <v>13.840000000000002</v>
      </c>
      <c r="V309" s="152">
        <f t="shared" si="299"/>
        <v>10.64</v>
      </c>
      <c r="W309" s="152">
        <f t="shared" si="299"/>
        <v>4.4800000000000004</v>
      </c>
      <c r="X309" s="152">
        <f t="shared" si="299"/>
        <v>0</v>
      </c>
      <c r="Y309" s="152">
        <f t="shared" si="299"/>
        <v>0</v>
      </c>
      <c r="Z309" s="152">
        <f t="shared" si="299"/>
        <v>0</v>
      </c>
      <c r="AA309" s="152">
        <f t="shared" si="299"/>
        <v>0</v>
      </c>
      <c r="AB309" s="152">
        <f t="shared" si="299"/>
        <v>0</v>
      </c>
      <c r="AC309" s="152">
        <f t="shared" si="299"/>
        <v>0</v>
      </c>
      <c r="AD309" s="152">
        <f t="shared" si="299"/>
        <v>0</v>
      </c>
      <c r="AE309" s="152">
        <f t="shared" si="299"/>
        <v>0</v>
      </c>
      <c r="AF309" s="152">
        <f t="shared" si="299"/>
        <v>0</v>
      </c>
      <c r="AG309" s="152">
        <f t="shared" si="299"/>
        <v>0</v>
      </c>
      <c r="AH309" s="152">
        <f t="shared" si="299"/>
        <v>0</v>
      </c>
      <c r="AI309" s="152">
        <f t="shared" si="299"/>
        <v>0</v>
      </c>
      <c r="AJ309" s="152">
        <f t="shared" si="299"/>
        <v>0</v>
      </c>
      <c r="AK309" s="152">
        <f t="shared" si="299"/>
        <v>0</v>
      </c>
      <c r="AL309" s="152">
        <f t="shared" si="299"/>
        <v>0</v>
      </c>
      <c r="AM309" s="152">
        <f t="shared" ref="AM309:BD309" si="300">AM293/AM$267</f>
        <v>0</v>
      </c>
      <c r="AN309" s="152">
        <f t="shared" si="300"/>
        <v>0</v>
      </c>
      <c r="AO309" s="152">
        <f t="shared" si="300"/>
        <v>0</v>
      </c>
      <c r="AP309" s="152">
        <f t="shared" si="300"/>
        <v>0</v>
      </c>
      <c r="AQ309" s="152">
        <f t="shared" si="300"/>
        <v>0</v>
      </c>
      <c r="AR309" s="152">
        <f t="shared" si="300"/>
        <v>0</v>
      </c>
      <c r="AS309" s="152">
        <f t="shared" si="300"/>
        <v>0</v>
      </c>
      <c r="AT309" s="152">
        <f t="shared" si="300"/>
        <v>0</v>
      </c>
      <c r="AU309" s="152">
        <f t="shared" si="300"/>
        <v>0</v>
      </c>
      <c r="AV309" s="152">
        <f t="shared" si="300"/>
        <v>0</v>
      </c>
      <c r="AW309" s="152">
        <f t="shared" si="300"/>
        <v>0</v>
      </c>
      <c r="AX309" s="152">
        <f t="shared" si="300"/>
        <v>0</v>
      </c>
      <c r="AY309" s="152">
        <f t="shared" si="300"/>
        <v>0</v>
      </c>
      <c r="AZ309" s="152">
        <f t="shared" si="300"/>
        <v>0</v>
      </c>
      <c r="BA309" s="152">
        <f t="shared" si="300"/>
        <v>0</v>
      </c>
      <c r="BB309" s="152">
        <f t="shared" si="300"/>
        <v>0</v>
      </c>
      <c r="BC309" s="152">
        <f t="shared" si="300"/>
        <v>0</v>
      </c>
      <c r="BD309" s="152">
        <f t="shared" si="300"/>
        <v>0</v>
      </c>
    </row>
    <row r="310" spans="3:56" ht="15" customHeight="1">
      <c r="C310" s="152">
        <f t="shared" si="294"/>
        <v>0</v>
      </c>
      <c r="D310" s="55" t="s">
        <v>221</v>
      </c>
      <c r="E310" s="128" t="s">
        <v>153</v>
      </c>
      <c r="G310" s="152">
        <f t="shared" ref="G310:AL310" si="301">G294/G$267</f>
        <v>0</v>
      </c>
      <c r="H310" s="152">
        <f t="shared" si="301"/>
        <v>0</v>
      </c>
      <c r="I310" s="152">
        <f t="shared" si="301"/>
        <v>0</v>
      </c>
      <c r="J310" s="152">
        <f t="shared" si="301"/>
        <v>0</v>
      </c>
      <c r="K310" s="152">
        <f t="shared" si="301"/>
        <v>0</v>
      </c>
      <c r="L310" s="152">
        <f t="shared" si="301"/>
        <v>0</v>
      </c>
      <c r="M310" s="152">
        <f t="shared" si="301"/>
        <v>0</v>
      </c>
      <c r="N310" s="152">
        <f t="shared" si="301"/>
        <v>0</v>
      </c>
      <c r="O310" s="152">
        <f t="shared" si="301"/>
        <v>0</v>
      </c>
      <c r="P310" s="152">
        <f t="shared" si="301"/>
        <v>0</v>
      </c>
      <c r="Q310" s="152">
        <f t="shared" si="301"/>
        <v>0</v>
      </c>
      <c r="R310" s="152">
        <f t="shared" si="301"/>
        <v>0</v>
      </c>
      <c r="S310" s="152">
        <f t="shared" si="301"/>
        <v>0</v>
      </c>
      <c r="T310" s="152">
        <f t="shared" si="301"/>
        <v>0</v>
      </c>
      <c r="U310" s="152">
        <f t="shared" si="301"/>
        <v>0</v>
      </c>
      <c r="V310" s="152">
        <f t="shared" si="301"/>
        <v>0</v>
      </c>
      <c r="W310" s="152">
        <f t="shared" si="301"/>
        <v>0</v>
      </c>
      <c r="X310" s="152">
        <f t="shared" si="301"/>
        <v>0</v>
      </c>
      <c r="Y310" s="152">
        <f t="shared" si="301"/>
        <v>0</v>
      </c>
      <c r="Z310" s="152">
        <f t="shared" si="301"/>
        <v>0</v>
      </c>
      <c r="AA310" s="152">
        <f t="shared" si="301"/>
        <v>0</v>
      </c>
      <c r="AB310" s="152">
        <f t="shared" si="301"/>
        <v>0</v>
      </c>
      <c r="AC310" s="152">
        <f t="shared" si="301"/>
        <v>0</v>
      </c>
      <c r="AD310" s="152">
        <f t="shared" si="301"/>
        <v>0</v>
      </c>
      <c r="AE310" s="152">
        <f t="shared" si="301"/>
        <v>0</v>
      </c>
      <c r="AF310" s="152">
        <f t="shared" si="301"/>
        <v>0</v>
      </c>
      <c r="AG310" s="152">
        <f t="shared" si="301"/>
        <v>0</v>
      </c>
      <c r="AH310" s="152">
        <f t="shared" si="301"/>
        <v>0</v>
      </c>
      <c r="AI310" s="152">
        <f t="shared" si="301"/>
        <v>0</v>
      </c>
      <c r="AJ310" s="152">
        <f t="shared" si="301"/>
        <v>0</v>
      </c>
      <c r="AK310" s="152">
        <f t="shared" si="301"/>
        <v>0</v>
      </c>
      <c r="AL310" s="152">
        <f t="shared" si="301"/>
        <v>0</v>
      </c>
      <c r="AM310" s="152">
        <f t="shared" ref="AM310:BD310" si="302">AM294/AM$267</f>
        <v>0</v>
      </c>
      <c r="AN310" s="152">
        <f t="shared" si="302"/>
        <v>0</v>
      </c>
      <c r="AO310" s="152">
        <f t="shared" si="302"/>
        <v>0</v>
      </c>
      <c r="AP310" s="152">
        <f t="shared" si="302"/>
        <v>0</v>
      </c>
      <c r="AQ310" s="152">
        <f t="shared" si="302"/>
        <v>0</v>
      </c>
      <c r="AR310" s="152">
        <f t="shared" si="302"/>
        <v>0</v>
      </c>
      <c r="AS310" s="152">
        <f t="shared" si="302"/>
        <v>0</v>
      </c>
      <c r="AT310" s="152">
        <f t="shared" si="302"/>
        <v>0</v>
      </c>
      <c r="AU310" s="152">
        <f t="shared" si="302"/>
        <v>0</v>
      </c>
      <c r="AV310" s="152">
        <f t="shared" si="302"/>
        <v>0</v>
      </c>
      <c r="AW310" s="152">
        <f t="shared" si="302"/>
        <v>0</v>
      </c>
      <c r="AX310" s="152">
        <f t="shared" si="302"/>
        <v>0</v>
      </c>
      <c r="AY310" s="152">
        <f t="shared" si="302"/>
        <v>0</v>
      </c>
      <c r="AZ310" s="152">
        <f t="shared" si="302"/>
        <v>0</v>
      </c>
      <c r="BA310" s="152">
        <f t="shared" si="302"/>
        <v>0</v>
      </c>
      <c r="BB310" s="152">
        <f t="shared" si="302"/>
        <v>0</v>
      </c>
      <c r="BC310" s="152">
        <f t="shared" si="302"/>
        <v>0</v>
      </c>
      <c r="BD310" s="152">
        <f t="shared" si="302"/>
        <v>0</v>
      </c>
    </row>
    <row r="311" spans="3:56" ht="15" customHeight="1">
      <c r="C311" s="152">
        <f t="shared" si="294"/>
        <v>0</v>
      </c>
      <c r="D311" s="103" t="s">
        <v>115</v>
      </c>
      <c r="E311" s="128" t="s">
        <v>153</v>
      </c>
      <c r="G311" s="152">
        <f t="shared" ref="G311:AL311" si="303">G295/G$267</f>
        <v>0</v>
      </c>
      <c r="H311" s="152">
        <f t="shared" si="303"/>
        <v>0</v>
      </c>
      <c r="I311" s="152">
        <f t="shared" si="303"/>
        <v>0</v>
      </c>
      <c r="J311" s="152">
        <f t="shared" si="303"/>
        <v>0</v>
      </c>
      <c r="K311" s="152">
        <f t="shared" si="303"/>
        <v>0</v>
      </c>
      <c r="L311" s="152">
        <f t="shared" si="303"/>
        <v>0</v>
      </c>
      <c r="M311" s="152">
        <f t="shared" si="303"/>
        <v>0</v>
      </c>
      <c r="N311" s="152">
        <f t="shared" si="303"/>
        <v>0</v>
      </c>
      <c r="O311" s="152">
        <f t="shared" si="303"/>
        <v>0</v>
      </c>
      <c r="P311" s="152">
        <f t="shared" si="303"/>
        <v>0</v>
      </c>
      <c r="Q311" s="152">
        <f t="shared" si="303"/>
        <v>0</v>
      </c>
      <c r="R311" s="152">
        <f t="shared" si="303"/>
        <v>0</v>
      </c>
      <c r="S311" s="152">
        <f t="shared" si="303"/>
        <v>0</v>
      </c>
      <c r="T311" s="152">
        <f t="shared" si="303"/>
        <v>0</v>
      </c>
      <c r="U311" s="152">
        <f t="shared" si="303"/>
        <v>0</v>
      </c>
      <c r="V311" s="152">
        <f t="shared" si="303"/>
        <v>0</v>
      </c>
      <c r="W311" s="152">
        <f t="shared" si="303"/>
        <v>0</v>
      </c>
      <c r="X311" s="152">
        <f t="shared" si="303"/>
        <v>0</v>
      </c>
      <c r="Y311" s="152">
        <f t="shared" si="303"/>
        <v>0</v>
      </c>
      <c r="Z311" s="152">
        <f t="shared" si="303"/>
        <v>0</v>
      </c>
      <c r="AA311" s="152">
        <f t="shared" si="303"/>
        <v>0</v>
      </c>
      <c r="AB311" s="152">
        <f t="shared" si="303"/>
        <v>0</v>
      </c>
      <c r="AC311" s="152">
        <f t="shared" si="303"/>
        <v>0</v>
      </c>
      <c r="AD311" s="152">
        <f t="shared" si="303"/>
        <v>0</v>
      </c>
      <c r="AE311" s="152">
        <f t="shared" si="303"/>
        <v>0</v>
      </c>
      <c r="AF311" s="152">
        <f t="shared" si="303"/>
        <v>0</v>
      </c>
      <c r="AG311" s="152">
        <f t="shared" si="303"/>
        <v>0</v>
      </c>
      <c r="AH311" s="152">
        <f t="shared" si="303"/>
        <v>0</v>
      </c>
      <c r="AI311" s="152">
        <f t="shared" si="303"/>
        <v>0</v>
      </c>
      <c r="AJ311" s="152">
        <f t="shared" si="303"/>
        <v>0</v>
      </c>
      <c r="AK311" s="152">
        <f t="shared" si="303"/>
        <v>0</v>
      </c>
      <c r="AL311" s="152">
        <f t="shared" si="303"/>
        <v>0</v>
      </c>
      <c r="AM311" s="152">
        <f t="shared" ref="AM311:BD311" si="304">AM295/AM$267</f>
        <v>0</v>
      </c>
      <c r="AN311" s="152">
        <f t="shared" si="304"/>
        <v>0</v>
      </c>
      <c r="AO311" s="152">
        <f t="shared" si="304"/>
        <v>0</v>
      </c>
      <c r="AP311" s="152">
        <f t="shared" si="304"/>
        <v>0</v>
      </c>
      <c r="AQ311" s="152">
        <f t="shared" si="304"/>
        <v>0</v>
      </c>
      <c r="AR311" s="152">
        <f t="shared" si="304"/>
        <v>0</v>
      </c>
      <c r="AS311" s="152">
        <f t="shared" si="304"/>
        <v>0</v>
      </c>
      <c r="AT311" s="152">
        <f t="shared" si="304"/>
        <v>0</v>
      </c>
      <c r="AU311" s="152">
        <f t="shared" si="304"/>
        <v>0</v>
      </c>
      <c r="AV311" s="152">
        <f t="shared" si="304"/>
        <v>0</v>
      </c>
      <c r="AW311" s="152">
        <f t="shared" si="304"/>
        <v>0</v>
      </c>
      <c r="AX311" s="152">
        <f t="shared" si="304"/>
        <v>0</v>
      </c>
      <c r="AY311" s="152">
        <f t="shared" si="304"/>
        <v>0</v>
      </c>
      <c r="AZ311" s="152">
        <f t="shared" si="304"/>
        <v>0</v>
      </c>
      <c r="BA311" s="152">
        <f t="shared" si="304"/>
        <v>0</v>
      </c>
      <c r="BB311" s="152">
        <f t="shared" si="304"/>
        <v>0</v>
      </c>
      <c r="BC311" s="152">
        <f t="shared" si="304"/>
        <v>0</v>
      </c>
      <c r="BD311" s="152">
        <f t="shared" si="304"/>
        <v>0</v>
      </c>
    </row>
    <row r="312" spans="3:56" ht="15" customHeight="1">
      <c r="C312" s="152">
        <f t="shared" si="294"/>
        <v>0</v>
      </c>
      <c r="D312" s="103" t="s">
        <v>124</v>
      </c>
      <c r="E312" s="128" t="s">
        <v>153</v>
      </c>
      <c r="G312" s="152">
        <f t="shared" ref="G312:AL312" si="305">G296/G$267</f>
        <v>0</v>
      </c>
      <c r="H312" s="152">
        <f t="shared" si="305"/>
        <v>0</v>
      </c>
      <c r="I312" s="152">
        <f t="shared" si="305"/>
        <v>0</v>
      </c>
      <c r="J312" s="152">
        <f t="shared" si="305"/>
        <v>0</v>
      </c>
      <c r="K312" s="152">
        <f t="shared" si="305"/>
        <v>0</v>
      </c>
      <c r="L312" s="152">
        <f t="shared" si="305"/>
        <v>0</v>
      </c>
      <c r="M312" s="152">
        <f t="shared" si="305"/>
        <v>0</v>
      </c>
      <c r="N312" s="152">
        <f t="shared" si="305"/>
        <v>0</v>
      </c>
      <c r="O312" s="152">
        <f t="shared" si="305"/>
        <v>0</v>
      </c>
      <c r="P312" s="152">
        <f t="shared" si="305"/>
        <v>0</v>
      </c>
      <c r="Q312" s="152">
        <f t="shared" si="305"/>
        <v>0</v>
      </c>
      <c r="R312" s="152">
        <f t="shared" si="305"/>
        <v>0</v>
      </c>
      <c r="S312" s="152">
        <f t="shared" si="305"/>
        <v>0</v>
      </c>
      <c r="T312" s="152">
        <f t="shared" si="305"/>
        <v>0</v>
      </c>
      <c r="U312" s="152">
        <f t="shared" si="305"/>
        <v>0</v>
      </c>
      <c r="V312" s="152">
        <f t="shared" si="305"/>
        <v>0</v>
      </c>
      <c r="W312" s="152">
        <f t="shared" si="305"/>
        <v>0</v>
      </c>
      <c r="X312" s="152">
        <f t="shared" si="305"/>
        <v>0</v>
      </c>
      <c r="Y312" s="152">
        <f t="shared" si="305"/>
        <v>0</v>
      </c>
      <c r="Z312" s="152">
        <f t="shared" si="305"/>
        <v>0</v>
      </c>
      <c r="AA312" s="152">
        <f t="shared" si="305"/>
        <v>0</v>
      </c>
      <c r="AB312" s="152">
        <f t="shared" si="305"/>
        <v>0</v>
      </c>
      <c r="AC312" s="152">
        <f t="shared" si="305"/>
        <v>0</v>
      </c>
      <c r="AD312" s="152">
        <f t="shared" si="305"/>
        <v>0</v>
      </c>
      <c r="AE312" s="152">
        <f t="shared" si="305"/>
        <v>0</v>
      </c>
      <c r="AF312" s="152">
        <f t="shared" si="305"/>
        <v>0</v>
      </c>
      <c r="AG312" s="152">
        <f t="shared" si="305"/>
        <v>0</v>
      </c>
      <c r="AH312" s="152">
        <f t="shared" si="305"/>
        <v>0</v>
      </c>
      <c r="AI312" s="152">
        <f t="shared" si="305"/>
        <v>0</v>
      </c>
      <c r="AJ312" s="152">
        <f t="shared" si="305"/>
        <v>0</v>
      </c>
      <c r="AK312" s="152">
        <f t="shared" si="305"/>
        <v>0</v>
      </c>
      <c r="AL312" s="152">
        <f t="shared" si="305"/>
        <v>0</v>
      </c>
      <c r="AM312" s="152">
        <f t="shared" ref="AM312:BD312" si="306">AM296/AM$267</f>
        <v>0</v>
      </c>
      <c r="AN312" s="152">
        <f t="shared" si="306"/>
        <v>0</v>
      </c>
      <c r="AO312" s="152">
        <f t="shared" si="306"/>
        <v>0</v>
      </c>
      <c r="AP312" s="152">
        <f t="shared" si="306"/>
        <v>0</v>
      </c>
      <c r="AQ312" s="152">
        <f t="shared" si="306"/>
        <v>0</v>
      </c>
      <c r="AR312" s="152">
        <f t="shared" si="306"/>
        <v>0</v>
      </c>
      <c r="AS312" s="152">
        <f t="shared" si="306"/>
        <v>0</v>
      </c>
      <c r="AT312" s="152">
        <f t="shared" si="306"/>
        <v>0</v>
      </c>
      <c r="AU312" s="152">
        <f t="shared" si="306"/>
        <v>0</v>
      </c>
      <c r="AV312" s="152">
        <f t="shared" si="306"/>
        <v>0</v>
      </c>
      <c r="AW312" s="152">
        <f t="shared" si="306"/>
        <v>0</v>
      </c>
      <c r="AX312" s="152">
        <f t="shared" si="306"/>
        <v>0</v>
      </c>
      <c r="AY312" s="152">
        <f t="shared" si="306"/>
        <v>0</v>
      </c>
      <c r="AZ312" s="152">
        <f t="shared" si="306"/>
        <v>0</v>
      </c>
      <c r="BA312" s="152">
        <f t="shared" si="306"/>
        <v>0</v>
      </c>
      <c r="BB312" s="152">
        <f t="shared" si="306"/>
        <v>0</v>
      </c>
      <c r="BC312" s="152">
        <f t="shared" si="306"/>
        <v>0</v>
      </c>
      <c r="BD312" s="152">
        <f t="shared" si="306"/>
        <v>0</v>
      </c>
    </row>
    <row r="313" spans="3:56" ht="15" customHeight="1">
      <c r="C313" s="152">
        <f t="shared" si="294"/>
        <v>776.56850806046259</v>
      </c>
      <c r="D313" s="103" t="s">
        <v>273</v>
      </c>
      <c r="E313" s="128" t="s">
        <v>153</v>
      </c>
      <c r="G313" s="152">
        <f t="shared" ref="G313:AL313" si="307">G297/G$267</f>
        <v>0</v>
      </c>
      <c r="H313" s="152">
        <f t="shared" si="307"/>
        <v>83.042170588235294</v>
      </c>
      <c r="I313" s="152">
        <f t="shared" si="307"/>
        <v>71.14857900807381</v>
      </c>
      <c r="J313" s="152">
        <f t="shared" si="307"/>
        <v>79.259391184386089</v>
      </c>
      <c r="K313" s="152">
        <f t="shared" si="307"/>
        <v>74.840579592535377</v>
      </c>
      <c r="L313" s="152">
        <f t="shared" si="307"/>
        <v>81.722134072587053</v>
      </c>
      <c r="M313" s="152">
        <f t="shared" si="307"/>
        <v>93.916868316255517</v>
      </c>
      <c r="N313" s="152">
        <f t="shared" si="307"/>
        <v>72.457141110811051</v>
      </c>
      <c r="O313" s="152">
        <f t="shared" si="307"/>
        <v>20.879919993474697</v>
      </c>
      <c r="P313" s="152">
        <f t="shared" si="307"/>
        <v>23.305901782951466</v>
      </c>
      <c r="Q313" s="152">
        <f t="shared" si="307"/>
        <v>21.247896606438598</v>
      </c>
      <c r="R313" s="152">
        <f t="shared" si="307"/>
        <v>22.493003520346257</v>
      </c>
      <c r="S313" s="152">
        <f t="shared" si="307"/>
        <v>28.188403629400668</v>
      </c>
      <c r="T313" s="152">
        <f t="shared" si="307"/>
        <v>29.425369114842255</v>
      </c>
      <c r="U313" s="152">
        <f t="shared" si="307"/>
        <v>39.408993135555036</v>
      </c>
      <c r="V313" s="152">
        <f t="shared" si="307"/>
        <v>27.359411699778029</v>
      </c>
      <c r="W313" s="152">
        <f t="shared" si="307"/>
        <v>7.8727447047914731</v>
      </c>
      <c r="X313" s="152">
        <f t="shared" si="307"/>
        <v>0</v>
      </c>
      <c r="Y313" s="152">
        <f t="shared" si="307"/>
        <v>0</v>
      </c>
      <c r="Z313" s="152">
        <f t="shared" si="307"/>
        <v>0</v>
      </c>
      <c r="AA313" s="152">
        <f t="shared" si="307"/>
        <v>0</v>
      </c>
      <c r="AB313" s="152">
        <f t="shared" si="307"/>
        <v>0</v>
      </c>
      <c r="AC313" s="152">
        <f t="shared" si="307"/>
        <v>0</v>
      </c>
      <c r="AD313" s="152">
        <f t="shared" si="307"/>
        <v>0</v>
      </c>
      <c r="AE313" s="152">
        <f t="shared" si="307"/>
        <v>0</v>
      </c>
      <c r="AF313" s="152">
        <f t="shared" si="307"/>
        <v>0</v>
      </c>
      <c r="AG313" s="152">
        <f t="shared" si="307"/>
        <v>0</v>
      </c>
      <c r="AH313" s="152">
        <f t="shared" si="307"/>
        <v>0</v>
      </c>
      <c r="AI313" s="152">
        <f t="shared" si="307"/>
        <v>0</v>
      </c>
      <c r="AJ313" s="152">
        <f t="shared" si="307"/>
        <v>0</v>
      </c>
      <c r="AK313" s="152">
        <f t="shared" si="307"/>
        <v>0</v>
      </c>
      <c r="AL313" s="152">
        <f t="shared" si="307"/>
        <v>0</v>
      </c>
      <c r="AM313" s="152">
        <f t="shared" ref="AM313:BD313" si="308">AM297/AM$267</f>
        <v>0</v>
      </c>
      <c r="AN313" s="152">
        <f t="shared" si="308"/>
        <v>0</v>
      </c>
      <c r="AO313" s="152">
        <f t="shared" si="308"/>
        <v>0</v>
      </c>
      <c r="AP313" s="152">
        <f t="shared" si="308"/>
        <v>0</v>
      </c>
      <c r="AQ313" s="152">
        <f t="shared" si="308"/>
        <v>0</v>
      </c>
      <c r="AR313" s="152">
        <f t="shared" si="308"/>
        <v>0</v>
      </c>
      <c r="AS313" s="152">
        <f t="shared" si="308"/>
        <v>0</v>
      </c>
      <c r="AT313" s="152">
        <f t="shared" si="308"/>
        <v>0</v>
      </c>
      <c r="AU313" s="152">
        <f t="shared" si="308"/>
        <v>0</v>
      </c>
      <c r="AV313" s="152">
        <f t="shared" si="308"/>
        <v>0</v>
      </c>
      <c r="AW313" s="152">
        <f t="shared" si="308"/>
        <v>0</v>
      </c>
      <c r="AX313" s="152">
        <f t="shared" si="308"/>
        <v>0</v>
      </c>
      <c r="AY313" s="152">
        <f t="shared" si="308"/>
        <v>0</v>
      </c>
      <c r="AZ313" s="152">
        <f t="shared" si="308"/>
        <v>0</v>
      </c>
      <c r="BA313" s="152">
        <f t="shared" si="308"/>
        <v>0</v>
      </c>
      <c r="BB313" s="152">
        <f t="shared" si="308"/>
        <v>0</v>
      </c>
      <c r="BC313" s="152">
        <f t="shared" si="308"/>
        <v>0</v>
      </c>
      <c r="BD313" s="152">
        <f t="shared" si="308"/>
        <v>0</v>
      </c>
    </row>
    <row r="314" spans="3:56" ht="15" customHeight="1">
      <c r="C314" s="152">
        <f t="shared" si="294"/>
        <v>0</v>
      </c>
      <c r="D314" s="103" t="s">
        <v>296</v>
      </c>
      <c r="E314" s="128" t="s">
        <v>153</v>
      </c>
      <c r="G314" s="152">
        <f t="shared" ref="G314:AL314" si="309">G298/G$267</f>
        <v>0</v>
      </c>
      <c r="H314" s="152">
        <f t="shared" si="309"/>
        <v>0</v>
      </c>
      <c r="I314" s="152">
        <f t="shared" si="309"/>
        <v>0</v>
      </c>
      <c r="J314" s="152">
        <f t="shared" si="309"/>
        <v>0</v>
      </c>
      <c r="K314" s="152">
        <f t="shared" si="309"/>
        <v>0</v>
      </c>
      <c r="L314" s="152">
        <f t="shared" si="309"/>
        <v>0</v>
      </c>
      <c r="M314" s="152">
        <f t="shared" si="309"/>
        <v>0</v>
      </c>
      <c r="N314" s="152">
        <f t="shared" si="309"/>
        <v>0</v>
      </c>
      <c r="O314" s="152">
        <f t="shared" si="309"/>
        <v>0</v>
      </c>
      <c r="P314" s="152">
        <f t="shared" si="309"/>
        <v>0</v>
      </c>
      <c r="Q314" s="152">
        <f t="shared" si="309"/>
        <v>0</v>
      </c>
      <c r="R314" s="152">
        <f t="shared" si="309"/>
        <v>0</v>
      </c>
      <c r="S314" s="152">
        <f t="shared" si="309"/>
        <v>0</v>
      </c>
      <c r="T314" s="152">
        <f t="shared" si="309"/>
        <v>0</v>
      </c>
      <c r="U314" s="152">
        <f t="shared" si="309"/>
        <v>0</v>
      </c>
      <c r="V314" s="152">
        <f t="shared" si="309"/>
        <v>0</v>
      </c>
      <c r="W314" s="152">
        <f t="shared" si="309"/>
        <v>0</v>
      </c>
      <c r="X314" s="152">
        <f t="shared" si="309"/>
        <v>0</v>
      </c>
      <c r="Y314" s="152">
        <f t="shared" si="309"/>
        <v>0</v>
      </c>
      <c r="Z314" s="152">
        <f t="shared" si="309"/>
        <v>0</v>
      </c>
      <c r="AA314" s="152">
        <f t="shared" si="309"/>
        <v>0</v>
      </c>
      <c r="AB314" s="152">
        <f t="shared" si="309"/>
        <v>0</v>
      </c>
      <c r="AC314" s="152">
        <f t="shared" si="309"/>
        <v>0</v>
      </c>
      <c r="AD314" s="152">
        <f t="shared" si="309"/>
        <v>0</v>
      </c>
      <c r="AE314" s="152">
        <f t="shared" si="309"/>
        <v>0</v>
      </c>
      <c r="AF314" s="152">
        <f t="shared" si="309"/>
        <v>0</v>
      </c>
      <c r="AG314" s="152">
        <f t="shared" si="309"/>
        <v>0</v>
      </c>
      <c r="AH314" s="152">
        <f t="shared" si="309"/>
        <v>0</v>
      </c>
      <c r="AI314" s="152">
        <f t="shared" si="309"/>
        <v>0</v>
      </c>
      <c r="AJ314" s="152">
        <f t="shared" si="309"/>
        <v>0</v>
      </c>
      <c r="AK314" s="152">
        <f t="shared" si="309"/>
        <v>0</v>
      </c>
      <c r="AL314" s="152">
        <f t="shared" si="309"/>
        <v>0</v>
      </c>
      <c r="AM314" s="152">
        <f t="shared" ref="AM314:BD314" si="310">AM298/AM$267</f>
        <v>0</v>
      </c>
      <c r="AN314" s="152">
        <f t="shared" si="310"/>
        <v>0</v>
      </c>
      <c r="AO314" s="152">
        <f t="shared" si="310"/>
        <v>0</v>
      </c>
      <c r="AP314" s="152">
        <f t="shared" si="310"/>
        <v>0</v>
      </c>
      <c r="AQ314" s="152">
        <f t="shared" si="310"/>
        <v>0</v>
      </c>
      <c r="AR314" s="152">
        <f t="shared" si="310"/>
        <v>0</v>
      </c>
      <c r="AS314" s="152">
        <f t="shared" si="310"/>
        <v>0</v>
      </c>
      <c r="AT314" s="152">
        <f t="shared" si="310"/>
        <v>0</v>
      </c>
      <c r="AU314" s="152">
        <f t="shared" si="310"/>
        <v>0</v>
      </c>
      <c r="AV314" s="152">
        <f t="shared" si="310"/>
        <v>0</v>
      </c>
      <c r="AW314" s="152">
        <f t="shared" si="310"/>
        <v>0</v>
      </c>
      <c r="AX314" s="152">
        <f t="shared" si="310"/>
        <v>0</v>
      </c>
      <c r="AY314" s="152">
        <f t="shared" si="310"/>
        <v>0</v>
      </c>
      <c r="AZ314" s="152">
        <f t="shared" si="310"/>
        <v>0</v>
      </c>
      <c r="BA314" s="152">
        <f t="shared" si="310"/>
        <v>0</v>
      </c>
      <c r="BB314" s="152">
        <f t="shared" si="310"/>
        <v>0</v>
      </c>
      <c r="BC314" s="152">
        <f t="shared" si="310"/>
        <v>0</v>
      </c>
      <c r="BD314" s="152">
        <f t="shared" si="310"/>
        <v>0</v>
      </c>
    </row>
    <row r="315" spans="3:56" ht="15" customHeight="1">
      <c r="C315" s="152">
        <f t="shared" si="294"/>
        <v>0</v>
      </c>
      <c r="D315" s="103" t="s">
        <v>305</v>
      </c>
      <c r="E315" s="128" t="s">
        <v>153</v>
      </c>
      <c r="G315" s="152">
        <f t="shared" ref="G315:AL315" si="311">G299/G$267</f>
        <v>0</v>
      </c>
      <c r="H315" s="152">
        <f t="shared" si="311"/>
        <v>0</v>
      </c>
      <c r="I315" s="152">
        <f t="shared" si="311"/>
        <v>0</v>
      </c>
      <c r="J315" s="152">
        <f t="shared" si="311"/>
        <v>0</v>
      </c>
      <c r="K315" s="152">
        <f t="shared" si="311"/>
        <v>0</v>
      </c>
      <c r="L315" s="152">
        <f t="shared" si="311"/>
        <v>0</v>
      </c>
      <c r="M315" s="152">
        <f t="shared" si="311"/>
        <v>0</v>
      </c>
      <c r="N315" s="152">
        <f t="shared" si="311"/>
        <v>0</v>
      </c>
      <c r="O315" s="152">
        <f t="shared" si="311"/>
        <v>0</v>
      </c>
      <c r="P315" s="152">
        <f t="shared" si="311"/>
        <v>0</v>
      </c>
      <c r="Q315" s="152">
        <f t="shared" si="311"/>
        <v>0</v>
      </c>
      <c r="R315" s="152">
        <f t="shared" si="311"/>
        <v>0</v>
      </c>
      <c r="S315" s="152">
        <f t="shared" si="311"/>
        <v>0</v>
      </c>
      <c r="T315" s="152">
        <f t="shared" si="311"/>
        <v>0</v>
      </c>
      <c r="U315" s="152">
        <f t="shared" si="311"/>
        <v>0</v>
      </c>
      <c r="V315" s="152">
        <f t="shared" si="311"/>
        <v>0</v>
      </c>
      <c r="W315" s="152">
        <f t="shared" si="311"/>
        <v>0</v>
      </c>
      <c r="X315" s="152">
        <f t="shared" si="311"/>
        <v>0</v>
      </c>
      <c r="Y315" s="152">
        <f t="shared" si="311"/>
        <v>0</v>
      </c>
      <c r="Z315" s="152">
        <f t="shared" si="311"/>
        <v>0</v>
      </c>
      <c r="AA315" s="152">
        <f t="shared" si="311"/>
        <v>0</v>
      </c>
      <c r="AB315" s="152">
        <f t="shared" si="311"/>
        <v>0</v>
      </c>
      <c r="AC315" s="152">
        <f t="shared" si="311"/>
        <v>0</v>
      </c>
      <c r="AD315" s="152">
        <f t="shared" si="311"/>
        <v>0</v>
      </c>
      <c r="AE315" s="152">
        <f t="shared" si="311"/>
        <v>0</v>
      </c>
      <c r="AF315" s="152">
        <f t="shared" si="311"/>
        <v>0</v>
      </c>
      <c r="AG315" s="152">
        <f t="shared" si="311"/>
        <v>0</v>
      </c>
      <c r="AH315" s="152">
        <f t="shared" si="311"/>
        <v>0</v>
      </c>
      <c r="AI315" s="152">
        <f t="shared" si="311"/>
        <v>0</v>
      </c>
      <c r="AJ315" s="152">
        <f t="shared" si="311"/>
        <v>0</v>
      </c>
      <c r="AK315" s="152">
        <f t="shared" si="311"/>
        <v>0</v>
      </c>
      <c r="AL315" s="152">
        <f t="shared" si="311"/>
        <v>0</v>
      </c>
      <c r="AM315" s="152">
        <f t="shared" ref="AM315:BD315" si="312">AM299/AM$267</f>
        <v>0</v>
      </c>
      <c r="AN315" s="152">
        <f t="shared" si="312"/>
        <v>0</v>
      </c>
      <c r="AO315" s="152">
        <f t="shared" si="312"/>
        <v>0</v>
      </c>
      <c r="AP315" s="152">
        <f t="shared" si="312"/>
        <v>0</v>
      </c>
      <c r="AQ315" s="152">
        <f t="shared" si="312"/>
        <v>0</v>
      </c>
      <c r="AR315" s="152">
        <f t="shared" si="312"/>
        <v>0</v>
      </c>
      <c r="AS315" s="152">
        <f t="shared" si="312"/>
        <v>0</v>
      </c>
      <c r="AT315" s="152">
        <f t="shared" si="312"/>
        <v>0</v>
      </c>
      <c r="AU315" s="152">
        <f t="shared" si="312"/>
        <v>0</v>
      </c>
      <c r="AV315" s="152">
        <f t="shared" si="312"/>
        <v>0</v>
      </c>
      <c r="AW315" s="152">
        <f t="shared" si="312"/>
        <v>0</v>
      </c>
      <c r="AX315" s="152">
        <f t="shared" si="312"/>
        <v>0</v>
      </c>
      <c r="AY315" s="152">
        <f t="shared" si="312"/>
        <v>0</v>
      </c>
      <c r="AZ315" s="152">
        <f t="shared" si="312"/>
        <v>0</v>
      </c>
      <c r="BA315" s="152">
        <f t="shared" si="312"/>
        <v>0</v>
      </c>
      <c r="BB315" s="152">
        <f t="shared" si="312"/>
        <v>0</v>
      </c>
      <c r="BC315" s="152">
        <f t="shared" si="312"/>
        <v>0</v>
      </c>
      <c r="BD315" s="152">
        <f t="shared" si="312"/>
        <v>0</v>
      </c>
    </row>
    <row r="316" spans="3:56" ht="15" customHeight="1">
      <c r="C316" s="152">
        <f t="shared" si="294"/>
        <v>0</v>
      </c>
      <c r="D316" s="103" t="s">
        <v>282</v>
      </c>
      <c r="E316" s="128" t="s">
        <v>153</v>
      </c>
      <c r="G316" s="152">
        <f t="shared" ref="G316:AL316" si="313">G300/G$267</f>
        <v>0</v>
      </c>
      <c r="H316" s="152">
        <f t="shared" si="313"/>
        <v>0</v>
      </c>
      <c r="I316" s="152">
        <f t="shared" si="313"/>
        <v>0</v>
      </c>
      <c r="J316" s="152">
        <f t="shared" si="313"/>
        <v>0</v>
      </c>
      <c r="K316" s="152">
        <f t="shared" si="313"/>
        <v>0</v>
      </c>
      <c r="L316" s="152">
        <f t="shared" si="313"/>
        <v>0</v>
      </c>
      <c r="M316" s="152">
        <f t="shared" si="313"/>
        <v>0</v>
      </c>
      <c r="N316" s="152">
        <f t="shared" si="313"/>
        <v>0</v>
      </c>
      <c r="O316" s="152">
        <f t="shared" si="313"/>
        <v>0</v>
      </c>
      <c r="P316" s="152">
        <f t="shared" si="313"/>
        <v>0</v>
      </c>
      <c r="Q316" s="152">
        <f t="shared" si="313"/>
        <v>0</v>
      </c>
      <c r="R316" s="152">
        <f t="shared" si="313"/>
        <v>0</v>
      </c>
      <c r="S316" s="152">
        <f t="shared" si="313"/>
        <v>0</v>
      </c>
      <c r="T316" s="152">
        <f t="shared" si="313"/>
        <v>0</v>
      </c>
      <c r="U316" s="152">
        <f t="shared" si="313"/>
        <v>0</v>
      </c>
      <c r="V316" s="152">
        <f t="shared" si="313"/>
        <v>0</v>
      </c>
      <c r="W316" s="152">
        <f t="shared" si="313"/>
        <v>0</v>
      </c>
      <c r="X316" s="152">
        <f t="shared" si="313"/>
        <v>0</v>
      </c>
      <c r="Y316" s="152">
        <f t="shared" si="313"/>
        <v>0</v>
      </c>
      <c r="Z316" s="152">
        <f t="shared" si="313"/>
        <v>0</v>
      </c>
      <c r="AA316" s="152">
        <f t="shared" si="313"/>
        <v>0</v>
      </c>
      <c r="AB316" s="152">
        <f t="shared" si="313"/>
        <v>0</v>
      </c>
      <c r="AC316" s="152">
        <f t="shared" si="313"/>
        <v>0</v>
      </c>
      <c r="AD316" s="152">
        <f t="shared" si="313"/>
        <v>0</v>
      </c>
      <c r="AE316" s="152">
        <f t="shared" si="313"/>
        <v>0</v>
      </c>
      <c r="AF316" s="152">
        <f t="shared" si="313"/>
        <v>0</v>
      </c>
      <c r="AG316" s="152">
        <f t="shared" si="313"/>
        <v>0</v>
      </c>
      <c r="AH316" s="152">
        <f t="shared" si="313"/>
        <v>0</v>
      </c>
      <c r="AI316" s="152">
        <f t="shared" si="313"/>
        <v>0</v>
      </c>
      <c r="AJ316" s="152">
        <f t="shared" si="313"/>
        <v>0</v>
      </c>
      <c r="AK316" s="152">
        <f t="shared" si="313"/>
        <v>0</v>
      </c>
      <c r="AL316" s="152">
        <f t="shared" si="313"/>
        <v>0</v>
      </c>
      <c r="AM316" s="152">
        <f t="shared" ref="AM316:BD316" si="314">AM300/AM$267</f>
        <v>0</v>
      </c>
      <c r="AN316" s="152">
        <f t="shared" si="314"/>
        <v>0</v>
      </c>
      <c r="AO316" s="152">
        <f t="shared" si="314"/>
        <v>0</v>
      </c>
      <c r="AP316" s="152">
        <f t="shared" si="314"/>
        <v>0</v>
      </c>
      <c r="AQ316" s="152">
        <f t="shared" si="314"/>
        <v>0</v>
      </c>
      <c r="AR316" s="152">
        <f t="shared" si="314"/>
        <v>0</v>
      </c>
      <c r="AS316" s="152">
        <f t="shared" si="314"/>
        <v>0</v>
      </c>
      <c r="AT316" s="152">
        <f t="shared" si="314"/>
        <v>0</v>
      </c>
      <c r="AU316" s="152">
        <f t="shared" si="314"/>
        <v>0</v>
      </c>
      <c r="AV316" s="152">
        <f t="shared" si="314"/>
        <v>0</v>
      </c>
      <c r="AW316" s="152">
        <f t="shared" si="314"/>
        <v>0</v>
      </c>
      <c r="AX316" s="152">
        <f t="shared" si="314"/>
        <v>0</v>
      </c>
      <c r="AY316" s="152">
        <f t="shared" si="314"/>
        <v>0</v>
      </c>
      <c r="AZ316" s="152">
        <f t="shared" si="314"/>
        <v>0</v>
      </c>
      <c r="BA316" s="152">
        <f t="shared" si="314"/>
        <v>0</v>
      </c>
      <c r="BB316" s="152">
        <f t="shared" si="314"/>
        <v>0</v>
      </c>
      <c r="BC316" s="152">
        <f t="shared" si="314"/>
        <v>0</v>
      </c>
      <c r="BD316" s="152">
        <f t="shared" si="314"/>
        <v>0</v>
      </c>
    </row>
    <row r="317" spans="3:56" ht="15" customHeight="1">
      <c r="C317" s="152">
        <f t="shared" si="294"/>
        <v>247.60980919395377</v>
      </c>
      <c r="D317" s="103" t="s">
        <v>315</v>
      </c>
      <c r="E317" s="128" t="s">
        <v>153</v>
      </c>
      <c r="G317" s="152">
        <f t="shared" ref="G317:AL317" si="315">G301/G$267</f>
        <v>12.338999999999999</v>
      </c>
      <c r="H317" s="152">
        <f t="shared" si="315"/>
        <v>14.762062941176474</v>
      </c>
      <c r="I317" s="152">
        <f t="shared" si="315"/>
        <v>9.3067420991926166</v>
      </c>
      <c r="J317" s="152">
        <f t="shared" si="315"/>
        <v>30.07406088156139</v>
      </c>
      <c r="K317" s="152">
        <f t="shared" si="315"/>
        <v>28.915942040746465</v>
      </c>
      <c r="L317" s="152">
        <f t="shared" si="315"/>
        <v>31.127786592741302</v>
      </c>
      <c r="M317" s="152">
        <f t="shared" si="315"/>
        <v>32.308313168374461</v>
      </c>
      <c r="N317" s="152">
        <f t="shared" si="315"/>
        <v>20.5942858889189</v>
      </c>
      <c r="O317" s="152">
        <f t="shared" si="315"/>
        <v>5.5079180006525315</v>
      </c>
      <c r="P317" s="152">
        <f t="shared" si="315"/>
        <v>7.164579821704856</v>
      </c>
      <c r="Q317" s="152">
        <f t="shared" si="315"/>
        <v>6.9711203393561396</v>
      </c>
      <c r="R317" s="152">
        <f t="shared" si="315"/>
        <v>7.9462396479653759</v>
      </c>
      <c r="S317" s="152">
        <f t="shared" si="315"/>
        <v>8.7779696370599325</v>
      </c>
      <c r="T317" s="152">
        <f t="shared" si="315"/>
        <v>7.9539030885157693</v>
      </c>
      <c r="U317" s="152">
        <f t="shared" si="315"/>
        <v>11.854960686444501</v>
      </c>
      <c r="V317" s="152">
        <f t="shared" si="315"/>
        <v>8.7803588300222</v>
      </c>
      <c r="W317" s="152">
        <f t="shared" si="315"/>
        <v>3.2245655295208513</v>
      </c>
      <c r="X317" s="152">
        <f t="shared" si="315"/>
        <v>0</v>
      </c>
      <c r="Y317" s="152">
        <f t="shared" si="315"/>
        <v>0</v>
      </c>
      <c r="Z317" s="152">
        <f t="shared" si="315"/>
        <v>0</v>
      </c>
      <c r="AA317" s="152">
        <f t="shared" si="315"/>
        <v>0</v>
      </c>
      <c r="AB317" s="152">
        <f t="shared" si="315"/>
        <v>0</v>
      </c>
      <c r="AC317" s="152">
        <f t="shared" si="315"/>
        <v>0</v>
      </c>
      <c r="AD317" s="152">
        <f t="shared" si="315"/>
        <v>0</v>
      </c>
      <c r="AE317" s="152">
        <f t="shared" si="315"/>
        <v>0</v>
      </c>
      <c r="AF317" s="152">
        <f t="shared" si="315"/>
        <v>0</v>
      </c>
      <c r="AG317" s="152">
        <f t="shared" si="315"/>
        <v>0</v>
      </c>
      <c r="AH317" s="152">
        <f t="shared" si="315"/>
        <v>0</v>
      </c>
      <c r="AI317" s="152">
        <f t="shared" si="315"/>
        <v>0</v>
      </c>
      <c r="AJ317" s="152">
        <f t="shared" si="315"/>
        <v>0</v>
      </c>
      <c r="AK317" s="152">
        <f t="shared" si="315"/>
        <v>0</v>
      </c>
      <c r="AL317" s="152">
        <f t="shared" si="315"/>
        <v>0</v>
      </c>
      <c r="AM317" s="152">
        <f t="shared" ref="AM317:BD317" si="316">AM301/AM$267</f>
        <v>0</v>
      </c>
      <c r="AN317" s="152">
        <f t="shared" si="316"/>
        <v>0</v>
      </c>
      <c r="AO317" s="152">
        <f t="shared" si="316"/>
        <v>0</v>
      </c>
      <c r="AP317" s="152">
        <f t="shared" si="316"/>
        <v>0</v>
      </c>
      <c r="AQ317" s="152">
        <f t="shared" si="316"/>
        <v>0</v>
      </c>
      <c r="AR317" s="152">
        <f t="shared" si="316"/>
        <v>0</v>
      </c>
      <c r="AS317" s="152">
        <f t="shared" si="316"/>
        <v>0</v>
      </c>
      <c r="AT317" s="152">
        <f t="shared" si="316"/>
        <v>0</v>
      </c>
      <c r="AU317" s="152">
        <f t="shared" si="316"/>
        <v>0</v>
      </c>
      <c r="AV317" s="152">
        <f t="shared" si="316"/>
        <v>0</v>
      </c>
      <c r="AW317" s="152">
        <f t="shared" si="316"/>
        <v>0</v>
      </c>
      <c r="AX317" s="152">
        <f t="shared" si="316"/>
        <v>0</v>
      </c>
      <c r="AY317" s="152">
        <f t="shared" si="316"/>
        <v>0</v>
      </c>
      <c r="AZ317" s="152">
        <f t="shared" si="316"/>
        <v>0</v>
      </c>
      <c r="BA317" s="152">
        <f t="shared" si="316"/>
        <v>0</v>
      </c>
      <c r="BB317" s="152">
        <f t="shared" si="316"/>
        <v>0</v>
      </c>
      <c r="BC317" s="152">
        <f t="shared" si="316"/>
        <v>0</v>
      </c>
      <c r="BD317" s="152">
        <f t="shared" si="316"/>
        <v>0</v>
      </c>
    </row>
    <row r="318" spans="3:56" ht="15" customHeight="1">
      <c r="C318" s="152">
        <f t="shared" si="294"/>
        <v>222.84882827455837</v>
      </c>
      <c r="D318" s="103" t="s">
        <v>317</v>
      </c>
      <c r="E318" s="128" t="s">
        <v>153</v>
      </c>
      <c r="G318" s="152">
        <f t="shared" ref="G318:AL318" si="317">G302/G$267</f>
        <v>11.1051</v>
      </c>
      <c r="H318" s="152">
        <f t="shared" si="317"/>
        <v>13.285856647058829</v>
      </c>
      <c r="I318" s="152">
        <f t="shared" si="317"/>
        <v>8.3760678892733562</v>
      </c>
      <c r="J318" s="152">
        <f t="shared" si="317"/>
        <v>27.066654793405252</v>
      </c>
      <c r="K318" s="152">
        <f t="shared" si="317"/>
        <v>26.024347836671815</v>
      </c>
      <c r="L318" s="152">
        <f t="shared" si="317"/>
        <v>28.015007933467174</v>
      </c>
      <c r="M318" s="152">
        <f t="shared" si="317"/>
        <v>29.077481851537012</v>
      </c>
      <c r="N318" s="152">
        <f t="shared" si="317"/>
        <v>18.534857300027006</v>
      </c>
      <c r="O318" s="152">
        <f t="shared" si="317"/>
        <v>4.957126200587278</v>
      </c>
      <c r="P318" s="152">
        <f t="shared" si="317"/>
        <v>6.4481218395343705</v>
      </c>
      <c r="Q318" s="152">
        <f t="shared" si="317"/>
        <v>6.2740083054205256</v>
      </c>
      <c r="R318" s="152">
        <f t="shared" si="317"/>
        <v>7.1516156831688376</v>
      </c>
      <c r="S318" s="152">
        <f t="shared" si="317"/>
        <v>7.9001726733539384</v>
      </c>
      <c r="T318" s="152">
        <f t="shared" si="317"/>
        <v>7.1585127796641901</v>
      </c>
      <c r="U318" s="152">
        <f t="shared" si="317"/>
        <v>10.669464617800051</v>
      </c>
      <c r="V318" s="152">
        <f t="shared" si="317"/>
        <v>7.9023229470199796</v>
      </c>
      <c r="W318" s="152">
        <f t="shared" si="317"/>
        <v>2.902108976568766</v>
      </c>
      <c r="X318" s="152">
        <f t="shared" si="317"/>
        <v>0</v>
      </c>
      <c r="Y318" s="152">
        <f t="shared" si="317"/>
        <v>0</v>
      </c>
      <c r="Z318" s="152">
        <f t="shared" si="317"/>
        <v>0</v>
      </c>
      <c r="AA318" s="152">
        <f t="shared" si="317"/>
        <v>0</v>
      </c>
      <c r="AB318" s="152">
        <f t="shared" si="317"/>
        <v>0</v>
      </c>
      <c r="AC318" s="152">
        <f t="shared" si="317"/>
        <v>0</v>
      </c>
      <c r="AD318" s="152">
        <f t="shared" si="317"/>
        <v>0</v>
      </c>
      <c r="AE318" s="152">
        <f t="shared" si="317"/>
        <v>0</v>
      </c>
      <c r="AF318" s="152">
        <f t="shared" si="317"/>
        <v>0</v>
      </c>
      <c r="AG318" s="152">
        <f t="shared" si="317"/>
        <v>0</v>
      </c>
      <c r="AH318" s="152">
        <f t="shared" si="317"/>
        <v>0</v>
      </c>
      <c r="AI318" s="152">
        <f t="shared" si="317"/>
        <v>0</v>
      </c>
      <c r="AJ318" s="152">
        <f t="shared" si="317"/>
        <v>0</v>
      </c>
      <c r="AK318" s="152">
        <f t="shared" si="317"/>
        <v>0</v>
      </c>
      <c r="AL318" s="152">
        <f t="shared" si="317"/>
        <v>0</v>
      </c>
      <c r="AM318" s="152">
        <f t="shared" ref="AM318:BD318" si="318">AM302/AM$267</f>
        <v>0</v>
      </c>
      <c r="AN318" s="152">
        <f t="shared" si="318"/>
        <v>0</v>
      </c>
      <c r="AO318" s="152">
        <f t="shared" si="318"/>
        <v>0</v>
      </c>
      <c r="AP318" s="152">
        <f t="shared" si="318"/>
        <v>0</v>
      </c>
      <c r="AQ318" s="152">
        <f t="shared" si="318"/>
        <v>0</v>
      </c>
      <c r="AR318" s="152">
        <f t="shared" si="318"/>
        <v>0</v>
      </c>
      <c r="AS318" s="152">
        <f t="shared" si="318"/>
        <v>0</v>
      </c>
      <c r="AT318" s="152">
        <f t="shared" si="318"/>
        <v>0</v>
      </c>
      <c r="AU318" s="152">
        <f t="shared" si="318"/>
        <v>0</v>
      </c>
      <c r="AV318" s="152">
        <f t="shared" si="318"/>
        <v>0</v>
      </c>
      <c r="AW318" s="152">
        <f t="shared" si="318"/>
        <v>0</v>
      </c>
      <c r="AX318" s="152">
        <f t="shared" si="318"/>
        <v>0</v>
      </c>
      <c r="AY318" s="152">
        <f t="shared" si="318"/>
        <v>0</v>
      </c>
      <c r="AZ318" s="152">
        <f t="shared" si="318"/>
        <v>0</v>
      </c>
      <c r="BA318" s="152">
        <f t="shared" si="318"/>
        <v>0</v>
      </c>
      <c r="BB318" s="152">
        <f t="shared" si="318"/>
        <v>0</v>
      </c>
      <c r="BC318" s="152">
        <f t="shared" si="318"/>
        <v>0</v>
      </c>
      <c r="BD318" s="152">
        <f t="shared" si="318"/>
        <v>0</v>
      </c>
    </row>
    <row r="319" spans="3:56" ht="15" customHeight="1">
      <c r="C319" s="152">
        <f t="shared" si="294"/>
        <v>1589.7471455289747</v>
      </c>
      <c r="D319" s="103" t="s">
        <v>342</v>
      </c>
      <c r="E319" s="128" t="s">
        <v>153</v>
      </c>
      <c r="G319" s="152">
        <f t="shared" ref="G319:AL319" si="319">SUM(G307:G318)</f>
        <v>43.0441</v>
      </c>
      <c r="H319" s="152">
        <f t="shared" si="319"/>
        <v>139.8100901764706</v>
      </c>
      <c r="I319" s="152">
        <f t="shared" si="319"/>
        <v>117.63138899653978</v>
      </c>
      <c r="J319" s="152">
        <f t="shared" si="319"/>
        <v>168.40010685935275</v>
      </c>
      <c r="K319" s="152">
        <f t="shared" si="319"/>
        <v>161.78086946995364</v>
      </c>
      <c r="L319" s="152">
        <f t="shared" si="319"/>
        <v>172.86492859879553</v>
      </c>
      <c r="M319" s="152">
        <f t="shared" si="319"/>
        <v>187.302663336167</v>
      </c>
      <c r="N319" s="152">
        <f t="shared" si="319"/>
        <v>137.18628429975695</v>
      </c>
      <c r="O319" s="152">
        <f t="shared" si="319"/>
        <v>45.184964194714503</v>
      </c>
      <c r="P319" s="152">
        <f t="shared" si="319"/>
        <v>50.758603444190697</v>
      </c>
      <c r="Q319" s="152">
        <f t="shared" si="319"/>
        <v>48.333025251215261</v>
      </c>
      <c r="R319" s="152">
        <f t="shared" si="319"/>
        <v>51.430858851480473</v>
      </c>
      <c r="S319" s="152">
        <f t="shared" si="319"/>
        <v>58.706545939814539</v>
      </c>
      <c r="T319" s="152">
        <f t="shared" si="319"/>
        <v>58.377784983022224</v>
      </c>
      <c r="U319" s="152">
        <f t="shared" si="319"/>
        <v>75.773418439799585</v>
      </c>
      <c r="V319" s="152">
        <f t="shared" si="319"/>
        <v>54.682093476820214</v>
      </c>
      <c r="W319" s="152">
        <f t="shared" si="319"/>
        <v>18.47941921088109</v>
      </c>
      <c r="X319" s="152">
        <f t="shared" si="319"/>
        <v>0</v>
      </c>
      <c r="Y319" s="152">
        <f t="shared" si="319"/>
        <v>0</v>
      </c>
      <c r="Z319" s="152">
        <f t="shared" si="319"/>
        <v>0</v>
      </c>
      <c r="AA319" s="152">
        <f t="shared" si="319"/>
        <v>0</v>
      </c>
      <c r="AB319" s="152">
        <f t="shared" si="319"/>
        <v>0</v>
      </c>
      <c r="AC319" s="152">
        <f t="shared" si="319"/>
        <v>0</v>
      </c>
      <c r="AD319" s="152">
        <f t="shared" si="319"/>
        <v>0</v>
      </c>
      <c r="AE319" s="152">
        <f t="shared" si="319"/>
        <v>0</v>
      </c>
      <c r="AF319" s="152">
        <f t="shared" si="319"/>
        <v>0</v>
      </c>
      <c r="AG319" s="152">
        <f t="shared" si="319"/>
        <v>0</v>
      </c>
      <c r="AH319" s="152">
        <f t="shared" si="319"/>
        <v>0</v>
      </c>
      <c r="AI319" s="152">
        <f t="shared" si="319"/>
        <v>0</v>
      </c>
      <c r="AJ319" s="152">
        <f t="shared" si="319"/>
        <v>0</v>
      </c>
      <c r="AK319" s="152">
        <f t="shared" si="319"/>
        <v>0</v>
      </c>
      <c r="AL319" s="152">
        <f t="shared" si="319"/>
        <v>0</v>
      </c>
      <c r="AM319" s="152">
        <f t="shared" ref="AM319:BR319" si="320">SUM(AM307:AM318)</f>
        <v>0</v>
      </c>
      <c r="AN319" s="152">
        <f t="shared" si="320"/>
        <v>0</v>
      </c>
      <c r="AO319" s="152">
        <f t="shared" si="320"/>
        <v>0</v>
      </c>
      <c r="AP319" s="152">
        <f t="shared" si="320"/>
        <v>0</v>
      </c>
      <c r="AQ319" s="152">
        <f t="shared" si="320"/>
        <v>0</v>
      </c>
      <c r="AR319" s="152">
        <f t="shared" si="320"/>
        <v>0</v>
      </c>
      <c r="AS319" s="152">
        <f t="shared" si="320"/>
        <v>0</v>
      </c>
      <c r="AT319" s="152">
        <f t="shared" si="320"/>
        <v>0</v>
      </c>
      <c r="AU319" s="152">
        <f t="shared" si="320"/>
        <v>0</v>
      </c>
      <c r="AV319" s="152">
        <f t="shared" si="320"/>
        <v>0</v>
      </c>
      <c r="AW319" s="152">
        <f t="shared" si="320"/>
        <v>0</v>
      </c>
      <c r="AX319" s="152">
        <f t="shared" si="320"/>
        <v>0</v>
      </c>
      <c r="AY319" s="152">
        <f t="shared" si="320"/>
        <v>0</v>
      </c>
      <c r="AZ319" s="152">
        <f t="shared" si="320"/>
        <v>0</v>
      </c>
      <c r="BA319" s="152">
        <f t="shared" si="320"/>
        <v>0</v>
      </c>
      <c r="BB319" s="152">
        <f t="shared" si="320"/>
        <v>0</v>
      </c>
      <c r="BC319" s="152">
        <f t="shared" si="320"/>
        <v>0</v>
      </c>
      <c r="BD319" s="152">
        <f t="shared" si="320"/>
        <v>0</v>
      </c>
    </row>
    <row r="320" spans="3:56" ht="15" customHeight="1">
      <c r="C320" s="112">
        <f>IFERROR(C319/C21,0)</f>
        <v>0.44216306127663002</v>
      </c>
      <c r="D320" s="103" t="s">
        <v>44</v>
      </c>
      <c r="E320" s="128" t="s">
        <v>26</v>
      </c>
      <c r="G320" s="112">
        <f t="shared" ref="G320:AL320" si="321">IFERROR(G319/G21,0)</f>
        <v>0.30102874326876006</v>
      </c>
      <c r="H320" s="112">
        <f t="shared" si="321"/>
        <v>0.53901064440845969</v>
      </c>
      <c r="I320" s="112">
        <f t="shared" si="321"/>
        <v>0.60943853875606069</v>
      </c>
      <c r="J320" s="112">
        <f t="shared" si="321"/>
        <v>0.40873812344503097</v>
      </c>
      <c r="K320" s="112">
        <f t="shared" si="321"/>
        <v>0.40853754916654961</v>
      </c>
      <c r="L320" s="112">
        <f t="shared" si="321"/>
        <v>0.40674100846775418</v>
      </c>
      <c r="M320" s="112">
        <f t="shared" si="321"/>
        <v>0.41715515219636301</v>
      </c>
      <c r="N320" s="112">
        <f t="shared" si="321"/>
        <v>0.45127067203867416</v>
      </c>
      <c r="O320" s="112">
        <f t="shared" si="321"/>
        <v>0.50317836364411783</v>
      </c>
      <c r="P320" s="112">
        <f t="shared" si="321"/>
        <v>0.46656687453354151</v>
      </c>
      <c r="Q320" s="112">
        <f t="shared" si="321"/>
        <v>0.4611969496991411</v>
      </c>
      <c r="R320" s="112">
        <f t="shared" si="321"/>
        <v>0.44415286662061249</v>
      </c>
      <c r="S320" s="112">
        <f t="shared" si="321"/>
        <v>0.45225641496805308</v>
      </c>
      <c r="T320" s="112">
        <f t="shared" si="321"/>
        <v>0.47537209564984828</v>
      </c>
      <c r="U320" s="112">
        <f t="shared" si="321"/>
        <v>0.4410595804610723</v>
      </c>
      <c r="V320" s="112">
        <f t="shared" si="321"/>
        <v>0.43466446330230762</v>
      </c>
      <c r="W320" s="112">
        <f t="shared" si="321"/>
        <v>0.41435161823924388</v>
      </c>
      <c r="X320" s="112">
        <f t="shared" si="321"/>
        <v>0</v>
      </c>
      <c r="Y320" s="112">
        <f t="shared" si="321"/>
        <v>0</v>
      </c>
      <c r="Z320" s="112">
        <f t="shared" si="321"/>
        <v>0</v>
      </c>
      <c r="AA320" s="112">
        <f t="shared" si="321"/>
        <v>0</v>
      </c>
      <c r="AB320" s="112">
        <f t="shared" si="321"/>
        <v>0</v>
      </c>
      <c r="AC320" s="112">
        <f t="shared" si="321"/>
        <v>0</v>
      </c>
      <c r="AD320" s="112">
        <f t="shared" si="321"/>
        <v>0</v>
      </c>
      <c r="AE320" s="112">
        <f t="shared" si="321"/>
        <v>0</v>
      </c>
      <c r="AF320" s="112">
        <f t="shared" si="321"/>
        <v>0</v>
      </c>
      <c r="AG320" s="112">
        <f t="shared" si="321"/>
        <v>0</v>
      </c>
      <c r="AH320" s="112">
        <f t="shared" si="321"/>
        <v>0</v>
      </c>
      <c r="AI320" s="112">
        <f t="shared" si="321"/>
        <v>0</v>
      </c>
      <c r="AJ320" s="112">
        <f t="shared" si="321"/>
        <v>0</v>
      </c>
      <c r="AK320" s="112">
        <f t="shared" si="321"/>
        <v>0</v>
      </c>
      <c r="AL320" s="112">
        <f t="shared" si="321"/>
        <v>0</v>
      </c>
      <c r="AM320" s="112">
        <f t="shared" ref="AM320:BR320" si="322">IFERROR(AM319/AM21,0)</f>
        <v>0</v>
      </c>
      <c r="AN320" s="112">
        <f t="shared" si="322"/>
        <v>0</v>
      </c>
      <c r="AO320" s="112">
        <f t="shared" si="322"/>
        <v>0</v>
      </c>
      <c r="AP320" s="112">
        <f t="shared" si="322"/>
        <v>0</v>
      </c>
      <c r="AQ320" s="112">
        <f t="shared" si="322"/>
        <v>0</v>
      </c>
      <c r="AR320" s="112">
        <f t="shared" si="322"/>
        <v>0</v>
      </c>
      <c r="AS320" s="112">
        <f t="shared" si="322"/>
        <v>0</v>
      </c>
      <c r="AT320" s="112">
        <f t="shared" si="322"/>
        <v>0</v>
      </c>
      <c r="AU320" s="112">
        <f t="shared" si="322"/>
        <v>0</v>
      </c>
      <c r="AV320" s="112">
        <f t="shared" si="322"/>
        <v>0</v>
      </c>
      <c r="AW320" s="112">
        <f t="shared" si="322"/>
        <v>0</v>
      </c>
      <c r="AX320" s="112">
        <f t="shared" si="322"/>
        <v>0</v>
      </c>
      <c r="AY320" s="112">
        <f t="shared" si="322"/>
        <v>0</v>
      </c>
      <c r="AZ320" s="112">
        <f t="shared" si="322"/>
        <v>0</v>
      </c>
      <c r="BA320" s="112">
        <f t="shared" si="322"/>
        <v>0</v>
      </c>
      <c r="BB320" s="112">
        <f t="shared" si="322"/>
        <v>0</v>
      </c>
      <c r="BC320" s="112">
        <f t="shared" si="322"/>
        <v>0</v>
      </c>
      <c r="BD320" s="112">
        <f t="shared" si="322"/>
        <v>0</v>
      </c>
    </row>
    <row r="321" spans="1:56" ht="15" customHeight="1"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</row>
    <row r="322" spans="1:56" ht="15" customHeight="1">
      <c r="D322" s="33" t="s">
        <v>344</v>
      </c>
    </row>
    <row r="323" spans="1:56" ht="15" customHeight="1">
      <c r="C323" s="152">
        <f>SUM(G323:BD323)</f>
        <v>4085.9850665257113</v>
      </c>
      <c r="D323" s="55" t="s">
        <v>345</v>
      </c>
      <c r="E323" s="128" t="s">
        <v>195</v>
      </c>
      <c r="G323" s="127">
        <f t="shared" ref="G323:AL323" si="323">G262+G303+G209</f>
        <v>142.99</v>
      </c>
      <c r="H323" s="127">
        <f t="shared" si="323"/>
        <v>264.57045600000004</v>
      </c>
      <c r="I323" s="127">
        <f t="shared" si="323"/>
        <v>200.81384639999999</v>
      </c>
      <c r="J323" s="127">
        <f t="shared" si="323"/>
        <v>437.21769599999988</v>
      </c>
      <c r="K323" s="127">
        <f t="shared" si="323"/>
        <v>428.64313535999997</v>
      </c>
      <c r="L323" s="127">
        <f t="shared" si="323"/>
        <v>469.23434136000009</v>
      </c>
      <c r="M323" s="127">
        <f t="shared" si="323"/>
        <v>505.64692624953608</v>
      </c>
      <c r="N323" s="127">
        <f t="shared" si="323"/>
        <v>349.20044296538106</v>
      </c>
      <c r="O323" s="127">
        <f t="shared" si="323"/>
        <v>105.21395792056056</v>
      </c>
      <c r="P323" s="127">
        <f t="shared" si="323"/>
        <v>130.01615219778787</v>
      </c>
      <c r="Q323" s="127">
        <f t="shared" si="323"/>
        <v>127.74951812047253</v>
      </c>
      <c r="R323" s="127">
        <f t="shared" si="323"/>
        <v>143.97702539028211</v>
      </c>
      <c r="S323" s="127">
        <f t="shared" si="323"/>
        <v>164.62805769275431</v>
      </c>
      <c r="T323" s="127">
        <f t="shared" si="323"/>
        <v>158.86058608890011</v>
      </c>
      <c r="U323" s="127">
        <f t="shared" si="323"/>
        <v>226.68460422393321</v>
      </c>
      <c r="V323" s="127">
        <f t="shared" si="323"/>
        <v>169.31427456619048</v>
      </c>
      <c r="W323" s="127">
        <f t="shared" si="323"/>
        <v>61.224045989913137</v>
      </c>
      <c r="X323" s="127">
        <f t="shared" si="323"/>
        <v>0</v>
      </c>
      <c r="Y323" s="127">
        <f t="shared" si="323"/>
        <v>0</v>
      </c>
      <c r="Z323" s="127">
        <f t="shared" si="323"/>
        <v>0</v>
      </c>
      <c r="AA323" s="127">
        <f t="shared" si="323"/>
        <v>0</v>
      </c>
      <c r="AB323" s="127">
        <f t="shared" si="323"/>
        <v>0</v>
      </c>
      <c r="AC323" s="127">
        <f t="shared" si="323"/>
        <v>0</v>
      </c>
      <c r="AD323" s="127">
        <f t="shared" si="323"/>
        <v>0</v>
      </c>
      <c r="AE323" s="127">
        <f t="shared" si="323"/>
        <v>0</v>
      </c>
      <c r="AF323" s="127">
        <f t="shared" si="323"/>
        <v>0</v>
      </c>
      <c r="AG323" s="127">
        <f t="shared" si="323"/>
        <v>0</v>
      </c>
      <c r="AH323" s="127">
        <f t="shared" si="323"/>
        <v>0</v>
      </c>
      <c r="AI323" s="127">
        <f t="shared" si="323"/>
        <v>0</v>
      </c>
      <c r="AJ323" s="127">
        <f t="shared" si="323"/>
        <v>0</v>
      </c>
      <c r="AK323" s="127">
        <f t="shared" si="323"/>
        <v>0</v>
      </c>
      <c r="AL323" s="127">
        <f t="shared" si="323"/>
        <v>0</v>
      </c>
      <c r="AM323" s="127">
        <f t="shared" ref="AM323:BD323" si="324">AM262+AM303+AM209</f>
        <v>0</v>
      </c>
      <c r="AN323" s="127">
        <f t="shared" si="324"/>
        <v>0</v>
      </c>
      <c r="AO323" s="127">
        <f t="shared" si="324"/>
        <v>0</v>
      </c>
      <c r="AP323" s="127">
        <f t="shared" si="324"/>
        <v>0</v>
      </c>
      <c r="AQ323" s="127">
        <f t="shared" si="324"/>
        <v>0</v>
      </c>
      <c r="AR323" s="127">
        <f t="shared" si="324"/>
        <v>0</v>
      </c>
      <c r="AS323" s="127">
        <f t="shared" si="324"/>
        <v>0</v>
      </c>
      <c r="AT323" s="127">
        <f t="shared" si="324"/>
        <v>0</v>
      </c>
      <c r="AU323" s="127">
        <f t="shared" si="324"/>
        <v>0</v>
      </c>
      <c r="AV323" s="127">
        <f t="shared" si="324"/>
        <v>0</v>
      </c>
      <c r="AW323" s="127">
        <f t="shared" si="324"/>
        <v>0</v>
      </c>
      <c r="AX323" s="127">
        <f t="shared" si="324"/>
        <v>0</v>
      </c>
      <c r="AY323" s="127">
        <f t="shared" si="324"/>
        <v>0</v>
      </c>
      <c r="AZ323" s="127">
        <f t="shared" si="324"/>
        <v>0</v>
      </c>
      <c r="BA323" s="127">
        <f t="shared" si="324"/>
        <v>0</v>
      </c>
      <c r="BB323" s="127">
        <f t="shared" si="324"/>
        <v>0</v>
      </c>
      <c r="BC323" s="127">
        <f t="shared" si="324"/>
        <v>0</v>
      </c>
      <c r="BD323" s="127">
        <f t="shared" si="324"/>
        <v>0</v>
      </c>
    </row>
    <row r="324" spans="1:56" ht="15" customHeight="1">
      <c r="C324" s="152">
        <f>SUM(G324:BD324)</f>
        <v>0</v>
      </c>
      <c r="D324" s="55" t="s">
        <v>346</v>
      </c>
      <c r="E324" s="128" t="s">
        <v>195</v>
      </c>
      <c r="G324" s="127">
        <f t="shared" ref="G324:AL324" si="325">G264</f>
        <v>0</v>
      </c>
      <c r="H324" s="127">
        <f t="shared" si="325"/>
        <v>0</v>
      </c>
      <c r="I324" s="127">
        <f t="shared" si="325"/>
        <v>0</v>
      </c>
      <c r="J324" s="127">
        <f t="shared" si="325"/>
        <v>0</v>
      </c>
      <c r="K324" s="127">
        <f t="shared" si="325"/>
        <v>0</v>
      </c>
      <c r="L324" s="127">
        <f t="shared" si="325"/>
        <v>0</v>
      </c>
      <c r="M324" s="127">
        <f t="shared" si="325"/>
        <v>0</v>
      </c>
      <c r="N324" s="127">
        <f t="shared" si="325"/>
        <v>0</v>
      </c>
      <c r="O324" s="127">
        <f t="shared" si="325"/>
        <v>0</v>
      </c>
      <c r="P324" s="127">
        <f t="shared" si="325"/>
        <v>0</v>
      </c>
      <c r="Q324" s="127">
        <f t="shared" si="325"/>
        <v>0</v>
      </c>
      <c r="R324" s="127">
        <f t="shared" si="325"/>
        <v>0</v>
      </c>
      <c r="S324" s="127">
        <f t="shared" si="325"/>
        <v>0</v>
      </c>
      <c r="T324" s="127">
        <f t="shared" si="325"/>
        <v>0</v>
      </c>
      <c r="U324" s="127">
        <f t="shared" si="325"/>
        <v>0</v>
      </c>
      <c r="V324" s="127">
        <f t="shared" si="325"/>
        <v>0</v>
      </c>
      <c r="W324" s="127">
        <f t="shared" si="325"/>
        <v>0</v>
      </c>
      <c r="X324" s="127">
        <f t="shared" si="325"/>
        <v>0</v>
      </c>
      <c r="Y324" s="127">
        <f t="shared" si="325"/>
        <v>0</v>
      </c>
      <c r="Z324" s="127">
        <f t="shared" si="325"/>
        <v>0</v>
      </c>
      <c r="AA324" s="127">
        <f t="shared" si="325"/>
        <v>0</v>
      </c>
      <c r="AB324" s="127">
        <f t="shared" si="325"/>
        <v>0</v>
      </c>
      <c r="AC324" s="127">
        <f t="shared" si="325"/>
        <v>0</v>
      </c>
      <c r="AD324" s="127">
        <f t="shared" si="325"/>
        <v>0</v>
      </c>
      <c r="AE324" s="127">
        <f t="shared" si="325"/>
        <v>0</v>
      </c>
      <c r="AF324" s="127">
        <f t="shared" si="325"/>
        <v>0</v>
      </c>
      <c r="AG324" s="127">
        <f t="shared" si="325"/>
        <v>0</v>
      </c>
      <c r="AH324" s="127">
        <f t="shared" si="325"/>
        <v>0</v>
      </c>
      <c r="AI324" s="127">
        <f t="shared" si="325"/>
        <v>0</v>
      </c>
      <c r="AJ324" s="127">
        <f t="shared" si="325"/>
        <v>0</v>
      </c>
      <c r="AK324" s="127">
        <f t="shared" si="325"/>
        <v>0</v>
      </c>
      <c r="AL324" s="127">
        <f t="shared" si="325"/>
        <v>0</v>
      </c>
      <c r="AM324" s="127">
        <f t="shared" ref="AM324:BD324" si="326">AM264</f>
        <v>0</v>
      </c>
      <c r="AN324" s="127">
        <f t="shared" si="326"/>
        <v>0</v>
      </c>
      <c r="AO324" s="127">
        <f t="shared" si="326"/>
        <v>0</v>
      </c>
      <c r="AP324" s="127">
        <f t="shared" si="326"/>
        <v>0</v>
      </c>
      <c r="AQ324" s="127">
        <f t="shared" si="326"/>
        <v>0</v>
      </c>
      <c r="AR324" s="127">
        <f t="shared" si="326"/>
        <v>0</v>
      </c>
      <c r="AS324" s="127">
        <f t="shared" si="326"/>
        <v>0</v>
      </c>
      <c r="AT324" s="127">
        <f t="shared" si="326"/>
        <v>0</v>
      </c>
      <c r="AU324" s="127">
        <f t="shared" si="326"/>
        <v>0</v>
      </c>
      <c r="AV324" s="127">
        <f t="shared" si="326"/>
        <v>0</v>
      </c>
      <c r="AW324" s="127">
        <f t="shared" si="326"/>
        <v>0</v>
      </c>
      <c r="AX324" s="127">
        <f t="shared" si="326"/>
        <v>0</v>
      </c>
      <c r="AY324" s="127">
        <f t="shared" si="326"/>
        <v>0</v>
      </c>
      <c r="AZ324" s="127">
        <f t="shared" si="326"/>
        <v>0</v>
      </c>
      <c r="BA324" s="127">
        <f t="shared" si="326"/>
        <v>0</v>
      </c>
      <c r="BB324" s="127">
        <f t="shared" si="326"/>
        <v>0</v>
      </c>
      <c r="BC324" s="127">
        <f t="shared" si="326"/>
        <v>0</v>
      </c>
      <c r="BD324" s="127">
        <f t="shared" si="326"/>
        <v>0</v>
      </c>
    </row>
    <row r="325" spans="1:56" ht="15" customHeight="1">
      <c r="C325" s="152">
        <f>SUM(G325:BD325)</f>
        <v>4085.9850665257113</v>
      </c>
      <c r="D325" s="55" t="s">
        <v>347</v>
      </c>
      <c r="E325" s="128" t="s">
        <v>195</v>
      </c>
      <c r="G325" s="127">
        <f t="shared" ref="G325:AL325" si="327">SUM(G323:G324)</f>
        <v>142.99</v>
      </c>
      <c r="H325" s="127">
        <f t="shared" si="327"/>
        <v>264.57045600000004</v>
      </c>
      <c r="I325" s="127">
        <f t="shared" si="327"/>
        <v>200.81384639999999</v>
      </c>
      <c r="J325" s="127">
        <f t="shared" si="327"/>
        <v>437.21769599999988</v>
      </c>
      <c r="K325" s="127">
        <f t="shared" si="327"/>
        <v>428.64313535999997</v>
      </c>
      <c r="L325" s="127">
        <f t="shared" si="327"/>
        <v>469.23434136000009</v>
      </c>
      <c r="M325" s="127">
        <f t="shared" si="327"/>
        <v>505.64692624953608</v>
      </c>
      <c r="N325" s="127">
        <f t="shared" si="327"/>
        <v>349.20044296538106</v>
      </c>
      <c r="O325" s="127">
        <f t="shared" si="327"/>
        <v>105.21395792056056</v>
      </c>
      <c r="P325" s="127">
        <f t="shared" si="327"/>
        <v>130.01615219778787</v>
      </c>
      <c r="Q325" s="127">
        <f t="shared" si="327"/>
        <v>127.74951812047253</v>
      </c>
      <c r="R325" s="127">
        <f t="shared" si="327"/>
        <v>143.97702539028211</v>
      </c>
      <c r="S325" s="127">
        <f t="shared" si="327"/>
        <v>164.62805769275431</v>
      </c>
      <c r="T325" s="127">
        <f t="shared" si="327"/>
        <v>158.86058608890011</v>
      </c>
      <c r="U325" s="127">
        <f t="shared" si="327"/>
        <v>226.68460422393321</v>
      </c>
      <c r="V325" s="127">
        <f t="shared" si="327"/>
        <v>169.31427456619048</v>
      </c>
      <c r="W325" s="127">
        <f t="shared" si="327"/>
        <v>61.224045989913137</v>
      </c>
      <c r="X325" s="127">
        <f t="shared" si="327"/>
        <v>0</v>
      </c>
      <c r="Y325" s="127">
        <f t="shared" si="327"/>
        <v>0</v>
      </c>
      <c r="Z325" s="127">
        <f t="shared" si="327"/>
        <v>0</v>
      </c>
      <c r="AA325" s="127">
        <f t="shared" si="327"/>
        <v>0</v>
      </c>
      <c r="AB325" s="127">
        <f t="shared" si="327"/>
        <v>0</v>
      </c>
      <c r="AC325" s="127">
        <f t="shared" si="327"/>
        <v>0</v>
      </c>
      <c r="AD325" s="127">
        <f t="shared" si="327"/>
        <v>0</v>
      </c>
      <c r="AE325" s="127">
        <f t="shared" si="327"/>
        <v>0</v>
      </c>
      <c r="AF325" s="127">
        <f t="shared" si="327"/>
        <v>0</v>
      </c>
      <c r="AG325" s="127">
        <f t="shared" si="327"/>
        <v>0</v>
      </c>
      <c r="AH325" s="127">
        <f t="shared" si="327"/>
        <v>0</v>
      </c>
      <c r="AI325" s="127">
        <f t="shared" si="327"/>
        <v>0</v>
      </c>
      <c r="AJ325" s="127">
        <f t="shared" si="327"/>
        <v>0</v>
      </c>
      <c r="AK325" s="127">
        <f t="shared" si="327"/>
        <v>0</v>
      </c>
      <c r="AL325" s="127">
        <f t="shared" si="327"/>
        <v>0</v>
      </c>
      <c r="AM325" s="127">
        <f t="shared" ref="AM325:BR325" si="328">SUM(AM323:AM324)</f>
        <v>0</v>
      </c>
      <c r="AN325" s="127">
        <f t="shared" si="328"/>
        <v>0</v>
      </c>
      <c r="AO325" s="127">
        <f t="shared" si="328"/>
        <v>0</v>
      </c>
      <c r="AP325" s="127">
        <f t="shared" si="328"/>
        <v>0</v>
      </c>
      <c r="AQ325" s="127">
        <f t="shared" si="328"/>
        <v>0</v>
      </c>
      <c r="AR325" s="127">
        <f t="shared" si="328"/>
        <v>0</v>
      </c>
      <c r="AS325" s="127">
        <f t="shared" si="328"/>
        <v>0</v>
      </c>
      <c r="AT325" s="127">
        <f t="shared" si="328"/>
        <v>0</v>
      </c>
      <c r="AU325" s="127">
        <f t="shared" si="328"/>
        <v>0</v>
      </c>
      <c r="AV325" s="127">
        <f t="shared" si="328"/>
        <v>0</v>
      </c>
      <c r="AW325" s="127">
        <f t="shared" si="328"/>
        <v>0</v>
      </c>
      <c r="AX325" s="127">
        <f t="shared" si="328"/>
        <v>0</v>
      </c>
      <c r="AY325" s="127">
        <f t="shared" si="328"/>
        <v>0</v>
      </c>
      <c r="AZ325" s="127">
        <f t="shared" si="328"/>
        <v>0</v>
      </c>
      <c r="BA325" s="127">
        <f t="shared" si="328"/>
        <v>0</v>
      </c>
      <c r="BB325" s="127">
        <f t="shared" si="328"/>
        <v>0</v>
      </c>
      <c r="BC325" s="127">
        <f t="shared" si="328"/>
        <v>0</v>
      </c>
      <c r="BD325" s="127">
        <f t="shared" si="328"/>
        <v>0</v>
      </c>
    </row>
    <row r="326" spans="1:56" ht="15" customHeight="1">
      <c r="C326" s="152">
        <f>SUM(G326:BD326)</f>
        <v>4085.9850665257113</v>
      </c>
      <c r="D326" s="55" t="s">
        <v>348</v>
      </c>
      <c r="E326" s="128" t="s">
        <v>195</v>
      </c>
      <c r="G326" s="127">
        <f t="shared" ref="G326:AL326" si="329">G54</f>
        <v>142.99</v>
      </c>
      <c r="H326" s="127">
        <f t="shared" si="329"/>
        <v>264.57045600000004</v>
      </c>
      <c r="I326" s="127">
        <f t="shared" si="329"/>
        <v>200.81384639999999</v>
      </c>
      <c r="J326" s="127">
        <f t="shared" si="329"/>
        <v>437.21769599999993</v>
      </c>
      <c r="K326" s="127">
        <f t="shared" si="329"/>
        <v>428.64313535999997</v>
      </c>
      <c r="L326" s="127">
        <f t="shared" si="329"/>
        <v>469.23434136000003</v>
      </c>
      <c r="M326" s="127">
        <f t="shared" si="329"/>
        <v>505.64692624953602</v>
      </c>
      <c r="N326" s="127">
        <f t="shared" si="329"/>
        <v>349.20044296538106</v>
      </c>
      <c r="O326" s="127">
        <f t="shared" si="329"/>
        <v>105.21395792056057</v>
      </c>
      <c r="P326" s="127">
        <f t="shared" si="329"/>
        <v>130.01615219778787</v>
      </c>
      <c r="Q326" s="127">
        <f t="shared" si="329"/>
        <v>127.74951812047254</v>
      </c>
      <c r="R326" s="127">
        <f t="shared" si="329"/>
        <v>143.97702539028211</v>
      </c>
      <c r="S326" s="127">
        <f t="shared" si="329"/>
        <v>164.62805769275434</v>
      </c>
      <c r="T326" s="127">
        <f t="shared" si="329"/>
        <v>158.86058608890011</v>
      </c>
      <c r="U326" s="127">
        <f t="shared" si="329"/>
        <v>226.68460422393321</v>
      </c>
      <c r="V326" s="127">
        <f t="shared" si="329"/>
        <v>169.31427456619048</v>
      </c>
      <c r="W326" s="127">
        <f t="shared" si="329"/>
        <v>61.224045989913137</v>
      </c>
      <c r="X326" s="127">
        <f t="shared" si="329"/>
        <v>0</v>
      </c>
      <c r="Y326" s="127">
        <f t="shared" si="329"/>
        <v>0</v>
      </c>
      <c r="Z326" s="127">
        <f t="shared" si="329"/>
        <v>0</v>
      </c>
      <c r="AA326" s="127">
        <f t="shared" si="329"/>
        <v>0</v>
      </c>
      <c r="AB326" s="127">
        <f t="shared" si="329"/>
        <v>0</v>
      </c>
      <c r="AC326" s="127">
        <f t="shared" si="329"/>
        <v>0</v>
      </c>
      <c r="AD326" s="127">
        <f t="shared" si="329"/>
        <v>0</v>
      </c>
      <c r="AE326" s="127">
        <f t="shared" si="329"/>
        <v>0</v>
      </c>
      <c r="AF326" s="127">
        <f t="shared" si="329"/>
        <v>0</v>
      </c>
      <c r="AG326" s="127">
        <f t="shared" si="329"/>
        <v>0</v>
      </c>
      <c r="AH326" s="127">
        <f t="shared" si="329"/>
        <v>0</v>
      </c>
      <c r="AI326" s="127">
        <f t="shared" si="329"/>
        <v>0</v>
      </c>
      <c r="AJ326" s="127">
        <f t="shared" si="329"/>
        <v>0</v>
      </c>
      <c r="AK326" s="127">
        <f t="shared" si="329"/>
        <v>0</v>
      </c>
      <c r="AL326" s="127">
        <f t="shared" si="329"/>
        <v>0</v>
      </c>
      <c r="AM326" s="127">
        <f t="shared" ref="AM326:BD326" si="330">AM54</f>
        <v>0</v>
      </c>
      <c r="AN326" s="127">
        <f t="shared" si="330"/>
        <v>0</v>
      </c>
      <c r="AO326" s="127">
        <f t="shared" si="330"/>
        <v>0</v>
      </c>
      <c r="AP326" s="127">
        <f t="shared" si="330"/>
        <v>0</v>
      </c>
      <c r="AQ326" s="127">
        <f t="shared" si="330"/>
        <v>0</v>
      </c>
      <c r="AR326" s="127">
        <f t="shared" si="330"/>
        <v>0</v>
      </c>
      <c r="AS326" s="127">
        <f t="shared" si="330"/>
        <v>0</v>
      </c>
      <c r="AT326" s="127">
        <f t="shared" si="330"/>
        <v>0</v>
      </c>
      <c r="AU326" s="127">
        <f t="shared" si="330"/>
        <v>0</v>
      </c>
      <c r="AV326" s="127">
        <f t="shared" si="330"/>
        <v>0</v>
      </c>
      <c r="AW326" s="127">
        <f t="shared" si="330"/>
        <v>0</v>
      </c>
      <c r="AX326" s="127">
        <f t="shared" si="330"/>
        <v>0</v>
      </c>
      <c r="AY326" s="127">
        <f t="shared" si="330"/>
        <v>0</v>
      </c>
      <c r="AZ326" s="127">
        <f t="shared" si="330"/>
        <v>0</v>
      </c>
      <c r="BA326" s="127">
        <f t="shared" si="330"/>
        <v>0</v>
      </c>
      <c r="BB326" s="127">
        <f t="shared" si="330"/>
        <v>0</v>
      </c>
      <c r="BC326" s="127">
        <f t="shared" si="330"/>
        <v>0</v>
      </c>
      <c r="BD326" s="127">
        <f t="shared" si="330"/>
        <v>0</v>
      </c>
    </row>
    <row r="327" spans="1:56" ht="15" customHeight="1">
      <c r="A327" s="158" t="b">
        <f>ROUND(C327,5)=0</f>
        <v>1</v>
      </c>
      <c r="C327" s="152">
        <f>SUM(G327:BD327)</f>
        <v>0</v>
      </c>
      <c r="D327" s="55" t="s">
        <v>302</v>
      </c>
      <c r="G327" s="127">
        <f t="shared" ref="G327:AL327" si="331">G325-G326</f>
        <v>0</v>
      </c>
      <c r="H327" s="127">
        <f t="shared" si="331"/>
        <v>0</v>
      </c>
      <c r="I327" s="127">
        <f t="shared" si="331"/>
        <v>0</v>
      </c>
      <c r="J327" s="127">
        <f t="shared" si="331"/>
        <v>0</v>
      </c>
      <c r="K327" s="127">
        <f t="shared" si="331"/>
        <v>0</v>
      </c>
      <c r="L327" s="127">
        <f t="shared" si="331"/>
        <v>0</v>
      </c>
      <c r="M327" s="127">
        <f t="shared" si="331"/>
        <v>0</v>
      </c>
      <c r="N327" s="127">
        <f t="shared" si="331"/>
        <v>0</v>
      </c>
      <c r="O327" s="127">
        <f t="shared" si="331"/>
        <v>0</v>
      </c>
      <c r="P327" s="127">
        <f t="shared" si="331"/>
        <v>0</v>
      </c>
      <c r="Q327" s="127">
        <f t="shared" si="331"/>
        <v>0</v>
      </c>
      <c r="R327" s="127">
        <f t="shared" si="331"/>
        <v>0</v>
      </c>
      <c r="S327" s="127">
        <f t="shared" si="331"/>
        <v>0</v>
      </c>
      <c r="T327" s="127">
        <f t="shared" si="331"/>
        <v>0</v>
      </c>
      <c r="U327" s="127">
        <f t="shared" si="331"/>
        <v>0</v>
      </c>
      <c r="V327" s="127">
        <f t="shared" si="331"/>
        <v>0</v>
      </c>
      <c r="W327" s="127">
        <f t="shared" si="331"/>
        <v>0</v>
      </c>
      <c r="X327" s="127">
        <f t="shared" si="331"/>
        <v>0</v>
      </c>
      <c r="Y327" s="127">
        <f t="shared" si="331"/>
        <v>0</v>
      </c>
      <c r="Z327" s="127">
        <f t="shared" si="331"/>
        <v>0</v>
      </c>
      <c r="AA327" s="127">
        <f t="shared" si="331"/>
        <v>0</v>
      </c>
      <c r="AB327" s="127">
        <f t="shared" si="331"/>
        <v>0</v>
      </c>
      <c r="AC327" s="127">
        <f t="shared" si="331"/>
        <v>0</v>
      </c>
      <c r="AD327" s="127">
        <f t="shared" si="331"/>
        <v>0</v>
      </c>
      <c r="AE327" s="127">
        <f t="shared" si="331"/>
        <v>0</v>
      </c>
      <c r="AF327" s="127">
        <f t="shared" si="331"/>
        <v>0</v>
      </c>
      <c r="AG327" s="127">
        <f t="shared" si="331"/>
        <v>0</v>
      </c>
      <c r="AH327" s="127">
        <f t="shared" si="331"/>
        <v>0</v>
      </c>
      <c r="AI327" s="127">
        <f t="shared" si="331"/>
        <v>0</v>
      </c>
      <c r="AJ327" s="127">
        <f t="shared" si="331"/>
        <v>0</v>
      </c>
      <c r="AK327" s="127">
        <f t="shared" si="331"/>
        <v>0</v>
      </c>
      <c r="AL327" s="127">
        <f t="shared" si="331"/>
        <v>0</v>
      </c>
      <c r="AM327" s="127">
        <f t="shared" ref="AM327:BR327" si="332">AM325-AM326</f>
        <v>0</v>
      </c>
      <c r="AN327" s="127">
        <f t="shared" si="332"/>
        <v>0</v>
      </c>
      <c r="AO327" s="127">
        <f t="shared" si="332"/>
        <v>0</v>
      </c>
      <c r="AP327" s="127">
        <f t="shared" si="332"/>
        <v>0</v>
      </c>
      <c r="AQ327" s="127">
        <f t="shared" si="332"/>
        <v>0</v>
      </c>
      <c r="AR327" s="127">
        <f t="shared" si="332"/>
        <v>0</v>
      </c>
      <c r="AS327" s="127">
        <f t="shared" si="332"/>
        <v>0</v>
      </c>
      <c r="AT327" s="127">
        <f t="shared" si="332"/>
        <v>0</v>
      </c>
      <c r="AU327" s="127">
        <f t="shared" si="332"/>
        <v>0</v>
      </c>
      <c r="AV327" s="127">
        <f t="shared" si="332"/>
        <v>0</v>
      </c>
      <c r="AW327" s="127">
        <f t="shared" si="332"/>
        <v>0</v>
      </c>
      <c r="AX327" s="127">
        <f t="shared" si="332"/>
        <v>0</v>
      </c>
      <c r="AY327" s="127">
        <f t="shared" si="332"/>
        <v>0</v>
      </c>
      <c r="AZ327" s="127">
        <f t="shared" si="332"/>
        <v>0</v>
      </c>
      <c r="BA327" s="127">
        <f t="shared" si="332"/>
        <v>0</v>
      </c>
      <c r="BB327" s="127">
        <f t="shared" si="332"/>
        <v>0</v>
      </c>
      <c r="BC327" s="127">
        <f t="shared" si="332"/>
        <v>0</v>
      </c>
      <c r="BD327" s="127">
        <f t="shared" si="332"/>
        <v>0</v>
      </c>
    </row>
    <row r="328" spans="1:56" ht="15" customHeight="1">
      <c r="A328" s="55"/>
      <c r="C328" s="152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  <c r="AA328" s="127"/>
      <c r="AB328" s="127"/>
      <c r="AC328" s="127"/>
      <c r="AD328" s="127"/>
      <c r="AE328" s="127"/>
      <c r="AF328" s="127"/>
      <c r="AG328" s="127"/>
      <c r="AH328" s="127"/>
      <c r="AI328" s="127"/>
      <c r="AJ328" s="127"/>
      <c r="AK328" s="127"/>
      <c r="AL328" s="127"/>
      <c r="AM328" s="127"/>
      <c r="AN328" s="127"/>
      <c r="AO328" s="127"/>
      <c r="AP328" s="127"/>
      <c r="AQ328" s="127"/>
      <c r="AR328" s="127"/>
      <c r="AS328" s="127"/>
      <c r="AT328" s="127"/>
      <c r="AU328" s="127"/>
      <c r="AV328" s="127"/>
      <c r="AW328" s="127"/>
      <c r="AX328" s="127"/>
      <c r="AY328" s="127"/>
      <c r="AZ328" s="127"/>
      <c r="BA328" s="127"/>
      <c r="BB328" s="127"/>
      <c r="BC328" s="127"/>
      <c r="BD328" s="127"/>
    </row>
    <row r="329" spans="1:56" ht="15" customHeight="1">
      <c r="A329" s="55"/>
      <c r="D329" s="33" t="s">
        <v>349</v>
      </c>
    </row>
    <row r="330" spans="1:56" ht="15" customHeight="1">
      <c r="A330" s="55"/>
      <c r="C330" s="152">
        <f>SUM(G330:BD330)</f>
        <v>3595.3866000000007</v>
      </c>
      <c r="D330" s="55" t="s">
        <v>345</v>
      </c>
      <c r="E330" s="128" t="s">
        <v>153</v>
      </c>
      <c r="G330" s="127">
        <f t="shared" ref="G330:AL330" si="333">G323/G267</f>
        <v>142.99</v>
      </c>
      <c r="H330" s="127">
        <f t="shared" si="333"/>
        <v>259.38280000000003</v>
      </c>
      <c r="I330" s="127">
        <f t="shared" si="333"/>
        <v>193.01599999999999</v>
      </c>
      <c r="J330" s="127">
        <f t="shared" si="333"/>
        <v>411.99999999999989</v>
      </c>
      <c r="K330" s="127">
        <f t="shared" si="333"/>
        <v>396</v>
      </c>
      <c r="L330" s="127">
        <f t="shared" si="333"/>
        <v>425.00000000000006</v>
      </c>
      <c r="M330" s="127">
        <f t="shared" si="333"/>
        <v>449.00000000000006</v>
      </c>
      <c r="N330" s="127">
        <f t="shared" si="333"/>
        <v>304</v>
      </c>
      <c r="O330" s="127">
        <f t="shared" si="333"/>
        <v>89.79910000000001</v>
      </c>
      <c r="P330" s="127">
        <f t="shared" si="333"/>
        <v>108.79170000000002</v>
      </c>
      <c r="Q330" s="127">
        <f t="shared" si="333"/>
        <v>104.79909999999998</v>
      </c>
      <c r="R330" s="127">
        <f t="shared" si="333"/>
        <v>115.79540000000001</v>
      </c>
      <c r="S330" s="127">
        <f t="shared" si="333"/>
        <v>129.8081</v>
      </c>
      <c r="T330" s="127">
        <f t="shared" si="333"/>
        <v>122.80439999999996</v>
      </c>
      <c r="U330" s="127">
        <f t="shared" si="333"/>
        <v>171.79860000000005</v>
      </c>
      <c r="V330" s="127">
        <f t="shared" si="333"/>
        <v>125.80300000000004</v>
      </c>
      <c r="W330" s="127">
        <f t="shared" si="333"/>
        <v>44.598399999999991</v>
      </c>
      <c r="X330" s="127">
        <f t="shared" si="333"/>
        <v>0</v>
      </c>
      <c r="Y330" s="127">
        <f t="shared" si="333"/>
        <v>0</v>
      </c>
      <c r="Z330" s="127">
        <f t="shared" si="333"/>
        <v>0</v>
      </c>
      <c r="AA330" s="127">
        <f t="shared" si="333"/>
        <v>0</v>
      </c>
      <c r="AB330" s="127">
        <f t="shared" si="333"/>
        <v>0</v>
      </c>
      <c r="AC330" s="127">
        <f t="shared" si="333"/>
        <v>0</v>
      </c>
      <c r="AD330" s="127">
        <f t="shared" si="333"/>
        <v>0</v>
      </c>
      <c r="AE330" s="127">
        <f t="shared" si="333"/>
        <v>0</v>
      </c>
      <c r="AF330" s="127">
        <f t="shared" si="333"/>
        <v>0</v>
      </c>
      <c r="AG330" s="127">
        <f t="shared" si="333"/>
        <v>0</v>
      </c>
      <c r="AH330" s="127">
        <f t="shared" si="333"/>
        <v>0</v>
      </c>
      <c r="AI330" s="127">
        <f t="shared" si="333"/>
        <v>0</v>
      </c>
      <c r="AJ330" s="127">
        <f t="shared" si="333"/>
        <v>0</v>
      </c>
      <c r="AK330" s="127">
        <f t="shared" si="333"/>
        <v>0</v>
      </c>
      <c r="AL330" s="127">
        <f t="shared" si="333"/>
        <v>0</v>
      </c>
      <c r="AM330" s="127">
        <f t="shared" ref="AM330:BD330" si="334">AM323/AM267</f>
        <v>0</v>
      </c>
      <c r="AN330" s="127">
        <f t="shared" si="334"/>
        <v>0</v>
      </c>
      <c r="AO330" s="127">
        <f t="shared" si="334"/>
        <v>0</v>
      </c>
      <c r="AP330" s="127">
        <f t="shared" si="334"/>
        <v>0</v>
      </c>
      <c r="AQ330" s="127">
        <f t="shared" si="334"/>
        <v>0</v>
      </c>
      <c r="AR330" s="127">
        <f t="shared" si="334"/>
        <v>0</v>
      </c>
      <c r="AS330" s="127">
        <f t="shared" si="334"/>
        <v>0</v>
      </c>
      <c r="AT330" s="127">
        <f t="shared" si="334"/>
        <v>0</v>
      </c>
      <c r="AU330" s="127">
        <f t="shared" si="334"/>
        <v>0</v>
      </c>
      <c r="AV330" s="127">
        <f t="shared" si="334"/>
        <v>0</v>
      </c>
      <c r="AW330" s="127">
        <f t="shared" si="334"/>
        <v>0</v>
      </c>
      <c r="AX330" s="127">
        <f t="shared" si="334"/>
        <v>0</v>
      </c>
      <c r="AY330" s="127">
        <f t="shared" si="334"/>
        <v>0</v>
      </c>
      <c r="AZ330" s="127">
        <f t="shared" si="334"/>
        <v>0</v>
      </c>
      <c r="BA330" s="127">
        <f t="shared" si="334"/>
        <v>0</v>
      </c>
      <c r="BB330" s="127">
        <f t="shared" si="334"/>
        <v>0</v>
      </c>
      <c r="BC330" s="127">
        <f t="shared" si="334"/>
        <v>0</v>
      </c>
      <c r="BD330" s="127">
        <f t="shared" si="334"/>
        <v>0</v>
      </c>
    </row>
    <row r="331" spans="1:56" ht="15" customHeight="1">
      <c r="A331" s="55"/>
      <c r="C331" s="152">
        <f>SUM(G331:BD331)</f>
        <v>0</v>
      </c>
      <c r="D331" s="55" t="s">
        <v>346</v>
      </c>
      <c r="E331" s="128" t="s">
        <v>153</v>
      </c>
      <c r="G331" s="127">
        <f t="shared" ref="G331:AL331" si="335">G278</f>
        <v>0</v>
      </c>
      <c r="H331" s="127">
        <f t="shared" si="335"/>
        <v>0</v>
      </c>
      <c r="I331" s="127">
        <f t="shared" si="335"/>
        <v>0</v>
      </c>
      <c r="J331" s="127">
        <f t="shared" si="335"/>
        <v>0</v>
      </c>
      <c r="K331" s="127">
        <f t="shared" si="335"/>
        <v>0</v>
      </c>
      <c r="L331" s="127">
        <f t="shared" si="335"/>
        <v>0</v>
      </c>
      <c r="M331" s="127">
        <f t="shared" si="335"/>
        <v>0</v>
      </c>
      <c r="N331" s="127">
        <f t="shared" si="335"/>
        <v>0</v>
      </c>
      <c r="O331" s="127">
        <f t="shared" si="335"/>
        <v>0</v>
      </c>
      <c r="P331" s="127">
        <f t="shared" si="335"/>
        <v>0</v>
      </c>
      <c r="Q331" s="127">
        <f t="shared" si="335"/>
        <v>0</v>
      </c>
      <c r="R331" s="127">
        <f t="shared" si="335"/>
        <v>0</v>
      </c>
      <c r="S331" s="127">
        <f t="shared" si="335"/>
        <v>0</v>
      </c>
      <c r="T331" s="127">
        <f t="shared" si="335"/>
        <v>0</v>
      </c>
      <c r="U331" s="127">
        <f t="shared" si="335"/>
        <v>0</v>
      </c>
      <c r="V331" s="127">
        <f t="shared" si="335"/>
        <v>0</v>
      </c>
      <c r="W331" s="127">
        <f t="shared" si="335"/>
        <v>0</v>
      </c>
      <c r="X331" s="127">
        <f t="shared" si="335"/>
        <v>0</v>
      </c>
      <c r="Y331" s="127">
        <f t="shared" si="335"/>
        <v>0</v>
      </c>
      <c r="Z331" s="127">
        <f t="shared" si="335"/>
        <v>0</v>
      </c>
      <c r="AA331" s="127">
        <f t="shared" si="335"/>
        <v>0</v>
      </c>
      <c r="AB331" s="127">
        <f t="shared" si="335"/>
        <v>0</v>
      </c>
      <c r="AC331" s="127">
        <f t="shared" si="335"/>
        <v>0</v>
      </c>
      <c r="AD331" s="127">
        <f t="shared" si="335"/>
        <v>0</v>
      </c>
      <c r="AE331" s="127">
        <f t="shared" si="335"/>
        <v>0</v>
      </c>
      <c r="AF331" s="127">
        <f t="shared" si="335"/>
        <v>0</v>
      </c>
      <c r="AG331" s="127">
        <f t="shared" si="335"/>
        <v>0</v>
      </c>
      <c r="AH331" s="127">
        <f t="shared" si="335"/>
        <v>0</v>
      </c>
      <c r="AI331" s="127">
        <f t="shared" si="335"/>
        <v>0</v>
      </c>
      <c r="AJ331" s="127">
        <f t="shared" si="335"/>
        <v>0</v>
      </c>
      <c r="AK331" s="127">
        <f t="shared" si="335"/>
        <v>0</v>
      </c>
      <c r="AL331" s="127">
        <f t="shared" si="335"/>
        <v>0</v>
      </c>
      <c r="AM331" s="127">
        <f t="shared" ref="AM331:BD331" si="336">AM278</f>
        <v>0</v>
      </c>
      <c r="AN331" s="127">
        <f t="shared" si="336"/>
        <v>0</v>
      </c>
      <c r="AO331" s="127">
        <f t="shared" si="336"/>
        <v>0</v>
      </c>
      <c r="AP331" s="127">
        <f t="shared" si="336"/>
        <v>0</v>
      </c>
      <c r="AQ331" s="127">
        <f t="shared" si="336"/>
        <v>0</v>
      </c>
      <c r="AR331" s="127">
        <f t="shared" si="336"/>
        <v>0</v>
      </c>
      <c r="AS331" s="127">
        <f t="shared" si="336"/>
        <v>0</v>
      </c>
      <c r="AT331" s="127">
        <f t="shared" si="336"/>
        <v>0</v>
      </c>
      <c r="AU331" s="127">
        <f t="shared" si="336"/>
        <v>0</v>
      </c>
      <c r="AV331" s="127">
        <f t="shared" si="336"/>
        <v>0</v>
      </c>
      <c r="AW331" s="127">
        <f t="shared" si="336"/>
        <v>0</v>
      </c>
      <c r="AX331" s="127">
        <f t="shared" si="336"/>
        <v>0</v>
      </c>
      <c r="AY331" s="127">
        <f t="shared" si="336"/>
        <v>0</v>
      </c>
      <c r="AZ331" s="127">
        <f t="shared" si="336"/>
        <v>0</v>
      </c>
      <c r="BA331" s="127">
        <f t="shared" si="336"/>
        <v>0</v>
      </c>
      <c r="BB331" s="127">
        <f t="shared" si="336"/>
        <v>0</v>
      </c>
      <c r="BC331" s="127">
        <f t="shared" si="336"/>
        <v>0</v>
      </c>
      <c r="BD331" s="127">
        <f t="shared" si="336"/>
        <v>0</v>
      </c>
    </row>
    <row r="332" spans="1:56" ht="15" customHeight="1">
      <c r="C332" s="152">
        <f>SUM(G332:BD332)</f>
        <v>3595.3866000000007</v>
      </c>
      <c r="D332" s="55" t="s">
        <v>347</v>
      </c>
      <c r="E332" s="128" t="s">
        <v>153</v>
      </c>
      <c r="G332" s="127">
        <f t="shared" ref="G332:AL332" si="337">SUM(G330:G331)</f>
        <v>142.99</v>
      </c>
      <c r="H332" s="127">
        <f t="shared" si="337"/>
        <v>259.38280000000003</v>
      </c>
      <c r="I332" s="127">
        <f t="shared" si="337"/>
        <v>193.01599999999999</v>
      </c>
      <c r="J332" s="127">
        <f t="shared" si="337"/>
        <v>411.99999999999989</v>
      </c>
      <c r="K332" s="127">
        <f t="shared" si="337"/>
        <v>396</v>
      </c>
      <c r="L332" s="127">
        <f t="shared" si="337"/>
        <v>425.00000000000006</v>
      </c>
      <c r="M332" s="127">
        <f t="shared" si="337"/>
        <v>449.00000000000006</v>
      </c>
      <c r="N332" s="127">
        <f t="shared" si="337"/>
        <v>304</v>
      </c>
      <c r="O332" s="127">
        <f t="shared" si="337"/>
        <v>89.79910000000001</v>
      </c>
      <c r="P332" s="127">
        <f t="shared" si="337"/>
        <v>108.79170000000002</v>
      </c>
      <c r="Q332" s="127">
        <f t="shared" si="337"/>
        <v>104.79909999999998</v>
      </c>
      <c r="R332" s="127">
        <f t="shared" si="337"/>
        <v>115.79540000000001</v>
      </c>
      <c r="S332" s="127">
        <f t="shared" si="337"/>
        <v>129.8081</v>
      </c>
      <c r="T332" s="127">
        <f t="shared" si="337"/>
        <v>122.80439999999996</v>
      </c>
      <c r="U332" s="127">
        <f t="shared" si="337"/>
        <v>171.79860000000005</v>
      </c>
      <c r="V332" s="127">
        <f t="shared" si="337"/>
        <v>125.80300000000004</v>
      </c>
      <c r="W332" s="127">
        <f t="shared" si="337"/>
        <v>44.598399999999991</v>
      </c>
      <c r="X332" s="127">
        <f t="shared" si="337"/>
        <v>0</v>
      </c>
      <c r="Y332" s="127">
        <f t="shared" si="337"/>
        <v>0</v>
      </c>
      <c r="Z332" s="127">
        <f t="shared" si="337"/>
        <v>0</v>
      </c>
      <c r="AA332" s="127">
        <f t="shared" si="337"/>
        <v>0</v>
      </c>
      <c r="AB332" s="127">
        <f t="shared" si="337"/>
        <v>0</v>
      </c>
      <c r="AC332" s="127">
        <f t="shared" si="337"/>
        <v>0</v>
      </c>
      <c r="AD332" s="127">
        <f t="shared" si="337"/>
        <v>0</v>
      </c>
      <c r="AE332" s="127">
        <f t="shared" si="337"/>
        <v>0</v>
      </c>
      <c r="AF332" s="127">
        <f t="shared" si="337"/>
        <v>0</v>
      </c>
      <c r="AG332" s="127">
        <f t="shared" si="337"/>
        <v>0</v>
      </c>
      <c r="AH332" s="127">
        <f t="shared" si="337"/>
        <v>0</v>
      </c>
      <c r="AI332" s="127">
        <f t="shared" si="337"/>
        <v>0</v>
      </c>
      <c r="AJ332" s="127">
        <f t="shared" si="337"/>
        <v>0</v>
      </c>
      <c r="AK332" s="127">
        <f t="shared" si="337"/>
        <v>0</v>
      </c>
      <c r="AL332" s="127">
        <f t="shared" si="337"/>
        <v>0</v>
      </c>
      <c r="AM332" s="127">
        <f t="shared" ref="AM332:BR332" si="338">SUM(AM330:AM331)</f>
        <v>0</v>
      </c>
      <c r="AN332" s="127">
        <f t="shared" si="338"/>
        <v>0</v>
      </c>
      <c r="AO332" s="127">
        <f t="shared" si="338"/>
        <v>0</v>
      </c>
      <c r="AP332" s="127">
        <f t="shared" si="338"/>
        <v>0</v>
      </c>
      <c r="AQ332" s="127">
        <f t="shared" si="338"/>
        <v>0</v>
      </c>
      <c r="AR332" s="127">
        <f t="shared" si="338"/>
        <v>0</v>
      </c>
      <c r="AS332" s="127">
        <f t="shared" si="338"/>
        <v>0</v>
      </c>
      <c r="AT332" s="127">
        <f t="shared" si="338"/>
        <v>0</v>
      </c>
      <c r="AU332" s="127">
        <f t="shared" si="338"/>
        <v>0</v>
      </c>
      <c r="AV332" s="127">
        <f t="shared" si="338"/>
        <v>0</v>
      </c>
      <c r="AW332" s="127">
        <f t="shared" si="338"/>
        <v>0</v>
      </c>
      <c r="AX332" s="127">
        <f t="shared" si="338"/>
        <v>0</v>
      </c>
      <c r="AY332" s="127">
        <f t="shared" si="338"/>
        <v>0</v>
      </c>
      <c r="AZ332" s="127">
        <f t="shared" si="338"/>
        <v>0</v>
      </c>
      <c r="BA332" s="127">
        <f t="shared" si="338"/>
        <v>0</v>
      </c>
      <c r="BB332" s="127">
        <f t="shared" si="338"/>
        <v>0</v>
      </c>
      <c r="BC332" s="127">
        <f t="shared" si="338"/>
        <v>0</v>
      </c>
      <c r="BD332" s="127">
        <f t="shared" si="338"/>
        <v>0</v>
      </c>
    </row>
    <row r="333" spans="1:56" ht="15" customHeight="1">
      <c r="A333" s="55"/>
      <c r="C333" s="152">
        <f>SUM(G333:BD333)</f>
        <v>3595.3866000000003</v>
      </c>
      <c r="D333" s="55" t="s">
        <v>350</v>
      </c>
      <c r="E333" s="128" t="s">
        <v>153</v>
      </c>
      <c r="G333" s="127">
        <f t="shared" ref="G333:AL333" si="339">G21</f>
        <v>142.99</v>
      </c>
      <c r="H333" s="127">
        <f t="shared" si="339"/>
        <v>259.38279999999997</v>
      </c>
      <c r="I333" s="127">
        <f t="shared" si="339"/>
        <v>193.01599999999996</v>
      </c>
      <c r="J333" s="127">
        <f t="shared" si="339"/>
        <v>412</v>
      </c>
      <c r="K333" s="127">
        <f t="shared" si="339"/>
        <v>396</v>
      </c>
      <c r="L333" s="127">
        <f t="shared" si="339"/>
        <v>425</v>
      </c>
      <c r="M333" s="127">
        <f t="shared" si="339"/>
        <v>449</v>
      </c>
      <c r="N333" s="127">
        <f t="shared" si="339"/>
        <v>304</v>
      </c>
      <c r="O333" s="127">
        <f t="shared" si="339"/>
        <v>89.79910000000001</v>
      </c>
      <c r="P333" s="127">
        <f t="shared" si="339"/>
        <v>108.79170000000002</v>
      </c>
      <c r="Q333" s="127">
        <f t="shared" si="339"/>
        <v>104.79910000000001</v>
      </c>
      <c r="R333" s="127">
        <f t="shared" si="339"/>
        <v>115.7954</v>
      </c>
      <c r="S333" s="127">
        <f t="shared" si="339"/>
        <v>129.80810000000002</v>
      </c>
      <c r="T333" s="127">
        <f t="shared" si="339"/>
        <v>122.80439999999999</v>
      </c>
      <c r="U333" s="127">
        <f t="shared" si="339"/>
        <v>171.79860000000002</v>
      </c>
      <c r="V333" s="127">
        <f t="shared" si="339"/>
        <v>125.80300000000001</v>
      </c>
      <c r="W333" s="127">
        <f t="shared" si="339"/>
        <v>44.598399999999991</v>
      </c>
      <c r="X333" s="127">
        <f t="shared" si="339"/>
        <v>0</v>
      </c>
      <c r="Y333" s="127">
        <f t="shared" si="339"/>
        <v>0</v>
      </c>
      <c r="Z333" s="127">
        <f t="shared" si="339"/>
        <v>0</v>
      </c>
      <c r="AA333" s="127">
        <f t="shared" si="339"/>
        <v>0</v>
      </c>
      <c r="AB333" s="127">
        <f t="shared" si="339"/>
        <v>0</v>
      </c>
      <c r="AC333" s="127">
        <f t="shared" si="339"/>
        <v>0</v>
      </c>
      <c r="AD333" s="127">
        <f t="shared" si="339"/>
        <v>0</v>
      </c>
      <c r="AE333" s="127">
        <f t="shared" si="339"/>
        <v>0</v>
      </c>
      <c r="AF333" s="127">
        <f t="shared" si="339"/>
        <v>0</v>
      </c>
      <c r="AG333" s="127">
        <f t="shared" si="339"/>
        <v>0</v>
      </c>
      <c r="AH333" s="127">
        <f t="shared" si="339"/>
        <v>0</v>
      </c>
      <c r="AI333" s="127">
        <f t="shared" si="339"/>
        <v>0</v>
      </c>
      <c r="AJ333" s="127">
        <f t="shared" si="339"/>
        <v>0</v>
      </c>
      <c r="AK333" s="127">
        <f t="shared" si="339"/>
        <v>0</v>
      </c>
      <c r="AL333" s="127">
        <f t="shared" si="339"/>
        <v>0</v>
      </c>
      <c r="AM333" s="127">
        <f t="shared" ref="AM333:BD333" si="340">AM21</f>
        <v>0</v>
      </c>
      <c r="AN333" s="127">
        <f t="shared" si="340"/>
        <v>0</v>
      </c>
      <c r="AO333" s="127">
        <f t="shared" si="340"/>
        <v>0</v>
      </c>
      <c r="AP333" s="127">
        <f t="shared" si="340"/>
        <v>0</v>
      </c>
      <c r="AQ333" s="127">
        <f t="shared" si="340"/>
        <v>0</v>
      </c>
      <c r="AR333" s="127">
        <f t="shared" si="340"/>
        <v>0</v>
      </c>
      <c r="AS333" s="127">
        <f t="shared" si="340"/>
        <v>0</v>
      </c>
      <c r="AT333" s="127">
        <f t="shared" si="340"/>
        <v>0</v>
      </c>
      <c r="AU333" s="127">
        <f t="shared" si="340"/>
        <v>0</v>
      </c>
      <c r="AV333" s="127">
        <f t="shared" si="340"/>
        <v>0</v>
      </c>
      <c r="AW333" s="127">
        <f t="shared" si="340"/>
        <v>0</v>
      </c>
      <c r="AX333" s="127">
        <f t="shared" si="340"/>
        <v>0</v>
      </c>
      <c r="AY333" s="127">
        <f t="shared" si="340"/>
        <v>0</v>
      </c>
      <c r="AZ333" s="127">
        <f t="shared" si="340"/>
        <v>0</v>
      </c>
      <c r="BA333" s="127">
        <f t="shared" si="340"/>
        <v>0</v>
      </c>
      <c r="BB333" s="127">
        <f t="shared" si="340"/>
        <v>0</v>
      </c>
      <c r="BC333" s="127">
        <f t="shared" si="340"/>
        <v>0</v>
      </c>
      <c r="BD333" s="127">
        <f t="shared" si="340"/>
        <v>0</v>
      </c>
    </row>
    <row r="334" spans="1:56" ht="15" customHeight="1">
      <c r="A334" s="158" t="b">
        <f>ROUND(C334,5)=0</f>
        <v>1</v>
      </c>
      <c r="C334" s="152">
        <f>SUM(G334:BD334)</f>
        <v>0</v>
      </c>
      <c r="D334" s="55" t="s">
        <v>302</v>
      </c>
      <c r="G334" s="208">
        <f t="shared" ref="G334:AL334" si="341">G332-G333</f>
        <v>0</v>
      </c>
      <c r="H334" s="208">
        <f t="shared" si="341"/>
        <v>0</v>
      </c>
      <c r="I334" s="208">
        <f t="shared" si="341"/>
        <v>0</v>
      </c>
      <c r="J334" s="208">
        <f t="shared" si="341"/>
        <v>0</v>
      </c>
      <c r="K334" s="208">
        <f t="shared" si="341"/>
        <v>0</v>
      </c>
      <c r="L334" s="208">
        <f t="shared" si="341"/>
        <v>0</v>
      </c>
      <c r="M334" s="208">
        <f t="shared" si="341"/>
        <v>0</v>
      </c>
      <c r="N334" s="208">
        <f t="shared" si="341"/>
        <v>0</v>
      </c>
      <c r="O334" s="208">
        <f t="shared" si="341"/>
        <v>0</v>
      </c>
      <c r="P334" s="208">
        <f t="shared" si="341"/>
        <v>0</v>
      </c>
      <c r="Q334" s="208">
        <f t="shared" si="341"/>
        <v>0</v>
      </c>
      <c r="R334" s="208">
        <f t="shared" si="341"/>
        <v>0</v>
      </c>
      <c r="S334" s="208">
        <f t="shared" si="341"/>
        <v>0</v>
      </c>
      <c r="T334" s="208">
        <f t="shared" si="341"/>
        <v>0</v>
      </c>
      <c r="U334" s="208">
        <f t="shared" si="341"/>
        <v>0</v>
      </c>
      <c r="V334" s="208">
        <f t="shared" si="341"/>
        <v>0</v>
      </c>
      <c r="W334" s="208">
        <f t="shared" si="341"/>
        <v>0</v>
      </c>
      <c r="X334" s="208">
        <f t="shared" si="341"/>
        <v>0</v>
      </c>
      <c r="Y334" s="208">
        <f t="shared" si="341"/>
        <v>0</v>
      </c>
      <c r="Z334" s="127">
        <f t="shared" si="341"/>
        <v>0</v>
      </c>
      <c r="AA334" s="127">
        <f t="shared" si="341"/>
        <v>0</v>
      </c>
      <c r="AB334" s="127">
        <f t="shared" si="341"/>
        <v>0</v>
      </c>
      <c r="AC334" s="127">
        <f t="shared" si="341"/>
        <v>0</v>
      </c>
      <c r="AD334" s="127">
        <f t="shared" si="341"/>
        <v>0</v>
      </c>
      <c r="AE334" s="127">
        <f t="shared" si="341"/>
        <v>0</v>
      </c>
      <c r="AF334" s="127">
        <f t="shared" si="341"/>
        <v>0</v>
      </c>
      <c r="AG334" s="127">
        <f t="shared" si="341"/>
        <v>0</v>
      </c>
      <c r="AH334" s="127">
        <f t="shared" si="341"/>
        <v>0</v>
      </c>
      <c r="AI334" s="127">
        <f t="shared" si="341"/>
        <v>0</v>
      </c>
      <c r="AJ334" s="127">
        <f t="shared" si="341"/>
        <v>0</v>
      </c>
      <c r="AK334" s="127">
        <f t="shared" si="341"/>
        <v>0</v>
      </c>
      <c r="AL334" s="127">
        <f t="shared" si="341"/>
        <v>0</v>
      </c>
      <c r="AM334" s="127">
        <f t="shared" ref="AM334:BR334" si="342">AM332-AM333</f>
        <v>0</v>
      </c>
      <c r="AN334" s="127">
        <f t="shared" si="342"/>
        <v>0</v>
      </c>
      <c r="AO334" s="127">
        <f t="shared" si="342"/>
        <v>0</v>
      </c>
      <c r="AP334" s="127">
        <f t="shared" si="342"/>
        <v>0</v>
      </c>
      <c r="AQ334" s="127">
        <f t="shared" si="342"/>
        <v>0</v>
      </c>
      <c r="AR334" s="127">
        <f t="shared" si="342"/>
        <v>0</v>
      </c>
      <c r="AS334" s="127">
        <f t="shared" si="342"/>
        <v>0</v>
      </c>
      <c r="AT334" s="127">
        <f t="shared" si="342"/>
        <v>0</v>
      </c>
      <c r="AU334" s="127">
        <f t="shared" si="342"/>
        <v>0</v>
      </c>
      <c r="AV334" s="127">
        <f t="shared" si="342"/>
        <v>0</v>
      </c>
      <c r="AW334" s="127">
        <f t="shared" si="342"/>
        <v>0</v>
      </c>
      <c r="AX334" s="127">
        <f t="shared" si="342"/>
        <v>0</v>
      </c>
      <c r="AY334" s="127">
        <f t="shared" si="342"/>
        <v>0</v>
      </c>
      <c r="AZ334" s="127">
        <f t="shared" si="342"/>
        <v>0</v>
      </c>
      <c r="BA334" s="127">
        <f t="shared" si="342"/>
        <v>0</v>
      </c>
      <c r="BB334" s="127">
        <f t="shared" si="342"/>
        <v>0</v>
      </c>
      <c r="BC334" s="127">
        <f t="shared" si="342"/>
        <v>0</v>
      </c>
      <c r="BD334" s="127">
        <f t="shared" si="342"/>
        <v>0</v>
      </c>
    </row>
    <row r="335" spans="1:56" ht="15" customHeight="1"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</row>
    <row r="336" spans="1:56" ht="15" customHeight="1">
      <c r="D336" s="33" t="s">
        <v>351</v>
      </c>
    </row>
    <row r="337" spans="1:56" ht="15" customHeight="1">
      <c r="C337" s="152">
        <f>SUM(G337:BD337)</f>
        <v>4085.9850665257113</v>
      </c>
      <c r="D337" s="55" t="s">
        <v>347</v>
      </c>
      <c r="E337" s="128" t="s">
        <v>195</v>
      </c>
      <c r="G337" s="127">
        <f t="shared" ref="G337:AL337" si="343">G54</f>
        <v>142.99</v>
      </c>
      <c r="H337" s="127">
        <f t="shared" si="343"/>
        <v>264.57045600000004</v>
      </c>
      <c r="I337" s="127">
        <f t="shared" si="343"/>
        <v>200.81384639999999</v>
      </c>
      <c r="J337" s="127">
        <f t="shared" si="343"/>
        <v>437.21769599999993</v>
      </c>
      <c r="K337" s="127">
        <f t="shared" si="343"/>
        <v>428.64313535999997</v>
      </c>
      <c r="L337" s="127">
        <f t="shared" si="343"/>
        <v>469.23434136000003</v>
      </c>
      <c r="M337" s="127">
        <f t="shared" si="343"/>
        <v>505.64692624953602</v>
      </c>
      <c r="N337" s="127">
        <f t="shared" si="343"/>
        <v>349.20044296538106</v>
      </c>
      <c r="O337" s="127">
        <f t="shared" si="343"/>
        <v>105.21395792056057</v>
      </c>
      <c r="P337" s="127">
        <f t="shared" si="343"/>
        <v>130.01615219778787</v>
      </c>
      <c r="Q337" s="127">
        <f t="shared" si="343"/>
        <v>127.74951812047254</v>
      </c>
      <c r="R337" s="127">
        <f t="shared" si="343"/>
        <v>143.97702539028211</v>
      </c>
      <c r="S337" s="127">
        <f t="shared" si="343"/>
        <v>164.62805769275434</v>
      </c>
      <c r="T337" s="127">
        <f t="shared" si="343"/>
        <v>158.86058608890011</v>
      </c>
      <c r="U337" s="127">
        <f t="shared" si="343"/>
        <v>226.68460422393321</v>
      </c>
      <c r="V337" s="127">
        <f t="shared" si="343"/>
        <v>169.31427456619048</v>
      </c>
      <c r="W337" s="127">
        <f t="shared" si="343"/>
        <v>61.224045989913137</v>
      </c>
      <c r="X337" s="127">
        <f t="shared" si="343"/>
        <v>0</v>
      </c>
      <c r="Y337" s="127">
        <f t="shared" si="343"/>
        <v>0</v>
      </c>
      <c r="Z337" s="127">
        <f t="shared" si="343"/>
        <v>0</v>
      </c>
      <c r="AA337" s="127">
        <f t="shared" si="343"/>
        <v>0</v>
      </c>
      <c r="AB337" s="127">
        <f t="shared" si="343"/>
        <v>0</v>
      </c>
      <c r="AC337" s="127">
        <f t="shared" si="343"/>
        <v>0</v>
      </c>
      <c r="AD337" s="127">
        <f t="shared" si="343"/>
        <v>0</v>
      </c>
      <c r="AE337" s="127">
        <f t="shared" si="343"/>
        <v>0</v>
      </c>
      <c r="AF337" s="127">
        <f t="shared" si="343"/>
        <v>0</v>
      </c>
      <c r="AG337" s="127">
        <f t="shared" si="343"/>
        <v>0</v>
      </c>
      <c r="AH337" s="127">
        <f t="shared" si="343"/>
        <v>0</v>
      </c>
      <c r="AI337" s="127">
        <f t="shared" si="343"/>
        <v>0</v>
      </c>
      <c r="AJ337" s="127">
        <f t="shared" si="343"/>
        <v>0</v>
      </c>
      <c r="AK337" s="127">
        <f t="shared" si="343"/>
        <v>0</v>
      </c>
      <c r="AL337" s="127">
        <f t="shared" si="343"/>
        <v>0</v>
      </c>
      <c r="AM337" s="127">
        <f t="shared" ref="AM337:BD337" si="344">AM54</f>
        <v>0</v>
      </c>
      <c r="AN337" s="127">
        <f t="shared" si="344"/>
        <v>0</v>
      </c>
      <c r="AO337" s="127">
        <f t="shared" si="344"/>
        <v>0</v>
      </c>
      <c r="AP337" s="127">
        <f t="shared" si="344"/>
        <v>0</v>
      </c>
      <c r="AQ337" s="127">
        <f t="shared" si="344"/>
        <v>0</v>
      </c>
      <c r="AR337" s="127">
        <f t="shared" si="344"/>
        <v>0</v>
      </c>
      <c r="AS337" s="127">
        <f t="shared" si="344"/>
        <v>0</v>
      </c>
      <c r="AT337" s="127">
        <f t="shared" si="344"/>
        <v>0</v>
      </c>
      <c r="AU337" s="127">
        <f t="shared" si="344"/>
        <v>0</v>
      </c>
      <c r="AV337" s="127">
        <f t="shared" si="344"/>
        <v>0</v>
      </c>
      <c r="AW337" s="127">
        <f t="shared" si="344"/>
        <v>0</v>
      </c>
      <c r="AX337" s="127">
        <f t="shared" si="344"/>
        <v>0</v>
      </c>
      <c r="AY337" s="127">
        <f t="shared" si="344"/>
        <v>0</v>
      </c>
      <c r="AZ337" s="127">
        <f t="shared" si="344"/>
        <v>0</v>
      </c>
      <c r="BA337" s="127">
        <f t="shared" si="344"/>
        <v>0</v>
      </c>
      <c r="BB337" s="127">
        <f t="shared" si="344"/>
        <v>0</v>
      </c>
      <c r="BC337" s="127">
        <f t="shared" si="344"/>
        <v>0</v>
      </c>
      <c r="BD337" s="127">
        <f t="shared" si="344"/>
        <v>0</v>
      </c>
    </row>
    <row r="338" spans="1:56" ht="15" customHeight="1">
      <c r="C338" s="152">
        <f>SUM(G338:BD338)</f>
        <v>1806.6171296793564</v>
      </c>
      <c r="D338" s="103" t="s">
        <v>342</v>
      </c>
      <c r="E338" s="128" t="s">
        <v>195</v>
      </c>
      <c r="G338" s="127">
        <f t="shared" ref="G338:AL338" si="345">G303</f>
        <v>43.0441</v>
      </c>
      <c r="H338" s="127">
        <f t="shared" si="345"/>
        <v>142.60629198000001</v>
      </c>
      <c r="I338" s="127">
        <f t="shared" si="345"/>
        <v>122.38369711199999</v>
      </c>
      <c r="J338" s="127">
        <f t="shared" si="345"/>
        <v>178.70754059999996</v>
      </c>
      <c r="K338" s="127">
        <f t="shared" si="345"/>
        <v>175.11681598704001</v>
      </c>
      <c r="L338" s="127">
        <f t="shared" si="345"/>
        <v>190.85684921246883</v>
      </c>
      <c r="M338" s="127">
        <f t="shared" si="345"/>
        <v>210.93322047724837</v>
      </c>
      <c r="N338" s="127">
        <f t="shared" si="345"/>
        <v>157.58391857319023</v>
      </c>
      <c r="O338" s="127">
        <f t="shared" si="345"/>
        <v>52.941387178988734</v>
      </c>
      <c r="P338" s="127">
        <f t="shared" si="345"/>
        <v>60.661229769799128</v>
      </c>
      <c r="Q338" s="127">
        <f t="shared" si="345"/>
        <v>58.917688082697097</v>
      </c>
      <c r="R338" s="127">
        <f t="shared" si="345"/>
        <v>63.947808554602503</v>
      </c>
      <c r="S338" s="127">
        <f t="shared" si="345"/>
        <v>74.454095175278894</v>
      </c>
      <c r="T338" s="127">
        <f t="shared" si="345"/>
        <v>75.517889725243592</v>
      </c>
      <c r="U338" s="127">
        <f t="shared" si="345"/>
        <v>99.981416435992188</v>
      </c>
      <c r="V338" s="127">
        <f t="shared" si="345"/>
        <v>73.594898283732718</v>
      </c>
      <c r="W338" s="127">
        <f t="shared" si="345"/>
        <v>25.368282531074399</v>
      </c>
      <c r="X338" s="127">
        <f t="shared" si="345"/>
        <v>0</v>
      </c>
      <c r="Y338" s="127">
        <f t="shared" si="345"/>
        <v>0</v>
      </c>
      <c r="Z338" s="127">
        <f t="shared" si="345"/>
        <v>0</v>
      </c>
      <c r="AA338" s="127">
        <f t="shared" si="345"/>
        <v>0</v>
      </c>
      <c r="AB338" s="127">
        <f t="shared" si="345"/>
        <v>0</v>
      </c>
      <c r="AC338" s="127">
        <f t="shared" si="345"/>
        <v>0</v>
      </c>
      <c r="AD338" s="127">
        <f t="shared" si="345"/>
        <v>0</v>
      </c>
      <c r="AE338" s="127">
        <f t="shared" si="345"/>
        <v>0</v>
      </c>
      <c r="AF338" s="127">
        <f t="shared" si="345"/>
        <v>0</v>
      </c>
      <c r="AG338" s="127">
        <f t="shared" si="345"/>
        <v>0</v>
      </c>
      <c r="AH338" s="127">
        <f t="shared" si="345"/>
        <v>0</v>
      </c>
      <c r="AI338" s="127">
        <f t="shared" si="345"/>
        <v>0</v>
      </c>
      <c r="AJ338" s="127">
        <f t="shared" si="345"/>
        <v>0</v>
      </c>
      <c r="AK338" s="127">
        <f t="shared" si="345"/>
        <v>0</v>
      </c>
      <c r="AL338" s="127">
        <f t="shared" si="345"/>
        <v>0</v>
      </c>
      <c r="AM338" s="127">
        <f t="shared" ref="AM338:BD338" si="346">AM303</f>
        <v>0</v>
      </c>
      <c r="AN338" s="127">
        <f t="shared" si="346"/>
        <v>0</v>
      </c>
      <c r="AO338" s="127">
        <f t="shared" si="346"/>
        <v>0</v>
      </c>
      <c r="AP338" s="127">
        <f t="shared" si="346"/>
        <v>0</v>
      </c>
      <c r="AQ338" s="127">
        <f t="shared" si="346"/>
        <v>0</v>
      </c>
      <c r="AR338" s="127">
        <f t="shared" si="346"/>
        <v>0</v>
      </c>
      <c r="AS338" s="127">
        <f t="shared" si="346"/>
        <v>0</v>
      </c>
      <c r="AT338" s="127">
        <f t="shared" si="346"/>
        <v>0</v>
      </c>
      <c r="AU338" s="127">
        <f t="shared" si="346"/>
        <v>0</v>
      </c>
      <c r="AV338" s="127">
        <f t="shared" si="346"/>
        <v>0</v>
      </c>
      <c r="AW338" s="127">
        <f t="shared" si="346"/>
        <v>0</v>
      </c>
      <c r="AX338" s="127">
        <f t="shared" si="346"/>
        <v>0</v>
      </c>
      <c r="AY338" s="127">
        <f t="shared" si="346"/>
        <v>0</v>
      </c>
      <c r="AZ338" s="127">
        <f t="shared" si="346"/>
        <v>0</v>
      </c>
      <c r="BA338" s="127">
        <f t="shared" si="346"/>
        <v>0</v>
      </c>
      <c r="BB338" s="127">
        <f t="shared" si="346"/>
        <v>0</v>
      </c>
      <c r="BC338" s="127">
        <f t="shared" si="346"/>
        <v>0</v>
      </c>
      <c r="BD338" s="127">
        <f t="shared" si="346"/>
        <v>0</v>
      </c>
    </row>
    <row r="339" spans="1:56" ht="15" customHeight="1">
      <c r="A339" s="158" t="b">
        <f>ROUND(C337-(C338+C339+C340+C264),5)=0</f>
        <v>1</v>
      </c>
      <c r="C339" s="152">
        <f>SUM(G339:BD339)</f>
        <v>2279.367936846355</v>
      </c>
      <c r="D339" s="55" t="s">
        <v>329</v>
      </c>
      <c r="E339" s="128" t="s">
        <v>195</v>
      </c>
      <c r="G339" s="127">
        <f>G262</f>
        <v>99.945899999999995</v>
      </c>
      <c r="H339" s="127">
        <f t="shared" ref="H339:AM339" si="347">H244</f>
        <v>121.96416402000003</v>
      </c>
      <c r="I339" s="127">
        <f t="shared" si="347"/>
        <v>78.430149287999981</v>
      </c>
      <c r="J339" s="127">
        <f t="shared" si="347"/>
        <v>258.51015539999997</v>
      </c>
      <c r="K339" s="127">
        <f t="shared" si="347"/>
        <v>253.52631937295996</v>
      </c>
      <c r="L339" s="127">
        <f t="shared" si="347"/>
        <v>278.37749214753126</v>
      </c>
      <c r="M339" s="127">
        <f t="shared" si="347"/>
        <v>294.71370577228777</v>
      </c>
      <c r="N339" s="127">
        <f t="shared" si="347"/>
        <v>191.61652439219085</v>
      </c>
      <c r="O339" s="127">
        <f t="shared" si="347"/>
        <v>52.272570741571826</v>
      </c>
      <c r="P339" s="127">
        <f t="shared" si="347"/>
        <v>69.354922427988754</v>
      </c>
      <c r="Q339" s="127">
        <f t="shared" si="347"/>
        <v>68.831830037775433</v>
      </c>
      <c r="R339" s="127">
        <f t="shared" si="347"/>
        <v>80.029216835679605</v>
      </c>
      <c r="S339" s="127">
        <f t="shared" si="347"/>
        <v>90.173962517475417</v>
      </c>
      <c r="T339" s="127">
        <f t="shared" si="347"/>
        <v>83.342696363656501</v>
      </c>
      <c r="U339" s="127">
        <f t="shared" si="347"/>
        <v>126.703187787941</v>
      </c>
      <c r="V339" s="127">
        <f t="shared" si="347"/>
        <v>95.719376282457745</v>
      </c>
      <c r="W339" s="127">
        <f t="shared" si="347"/>
        <v>35.85576345883873</v>
      </c>
      <c r="X339" s="127">
        <f t="shared" si="347"/>
        <v>0</v>
      </c>
      <c r="Y339" s="127">
        <f t="shared" si="347"/>
        <v>0</v>
      </c>
      <c r="Z339" s="127">
        <f t="shared" si="347"/>
        <v>0</v>
      </c>
      <c r="AA339" s="127">
        <f t="shared" si="347"/>
        <v>0</v>
      </c>
      <c r="AB339" s="127">
        <f t="shared" si="347"/>
        <v>0</v>
      </c>
      <c r="AC339" s="127">
        <f t="shared" si="347"/>
        <v>0</v>
      </c>
      <c r="AD339" s="127">
        <f t="shared" si="347"/>
        <v>0</v>
      </c>
      <c r="AE339" s="127">
        <f t="shared" si="347"/>
        <v>0</v>
      </c>
      <c r="AF339" s="127">
        <f t="shared" si="347"/>
        <v>0</v>
      </c>
      <c r="AG339" s="127">
        <f t="shared" si="347"/>
        <v>0</v>
      </c>
      <c r="AH339" s="127">
        <f t="shared" si="347"/>
        <v>0</v>
      </c>
      <c r="AI339" s="127">
        <f t="shared" si="347"/>
        <v>0</v>
      </c>
      <c r="AJ339" s="127">
        <f t="shared" si="347"/>
        <v>0</v>
      </c>
      <c r="AK339" s="127">
        <f t="shared" si="347"/>
        <v>0</v>
      </c>
      <c r="AL339" s="127">
        <f t="shared" si="347"/>
        <v>0</v>
      </c>
      <c r="AM339" s="127">
        <f t="shared" si="347"/>
        <v>0</v>
      </c>
      <c r="AN339" s="127">
        <f t="shared" ref="AN339:BD339" si="348">AN244</f>
        <v>0</v>
      </c>
      <c r="AO339" s="127">
        <f t="shared" si="348"/>
        <v>0</v>
      </c>
      <c r="AP339" s="127">
        <f t="shared" si="348"/>
        <v>0</v>
      </c>
      <c r="AQ339" s="127">
        <f t="shared" si="348"/>
        <v>0</v>
      </c>
      <c r="AR339" s="127">
        <f t="shared" si="348"/>
        <v>0</v>
      </c>
      <c r="AS339" s="127">
        <f t="shared" si="348"/>
        <v>0</v>
      </c>
      <c r="AT339" s="127">
        <f t="shared" si="348"/>
        <v>0</v>
      </c>
      <c r="AU339" s="127">
        <f t="shared" si="348"/>
        <v>0</v>
      </c>
      <c r="AV339" s="127">
        <f t="shared" si="348"/>
        <v>0</v>
      </c>
      <c r="AW339" s="127">
        <f t="shared" si="348"/>
        <v>0</v>
      </c>
      <c r="AX339" s="127">
        <f t="shared" si="348"/>
        <v>0</v>
      </c>
      <c r="AY339" s="127">
        <f t="shared" si="348"/>
        <v>0</v>
      </c>
      <c r="AZ339" s="127">
        <f t="shared" si="348"/>
        <v>0</v>
      </c>
      <c r="BA339" s="127">
        <f t="shared" si="348"/>
        <v>0</v>
      </c>
      <c r="BB339" s="127">
        <f t="shared" si="348"/>
        <v>0</v>
      </c>
      <c r="BC339" s="127">
        <f t="shared" si="348"/>
        <v>0</v>
      </c>
      <c r="BD339" s="127">
        <f t="shared" si="348"/>
        <v>0</v>
      </c>
    </row>
    <row r="340" spans="1:56" ht="15" customHeight="1">
      <c r="C340" s="152">
        <f>SUM(G340:BD340)</f>
        <v>0</v>
      </c>
      <c r="D340" s="55" t="s">
        <v>292</v>
      </c>
      <c r="E340" s="128" t="s">
        <v>195</v>
      </c>
      <c r="G340" s="127">
        <f t="shared" ref="G340:AL340" si="349">G209</f>
        <v>0</v>
      </c>
      <c r="H340" s="127">
        <f t="shared" si="349"/>
        <v>0</v>
      </c>
      <c r="I340" s="127">
        <f t="shared" si="349"/>
        <v>0</v>
      </c>
      <c r="J340" s="127">
        <f t="shared" si="349"/>
        <v>0</v>
      </c>
      <c r="K340" s="127">
        <f t="shared" si="349"/>
        <v>0</v>
      </c>
      <c r="L340" s="127">
        <f t="shared" si="349"/>
        <v>0</v>
      </c>
      <c r="M340" s="127">
        <f t="shared" si="349"/>
        <v>0</v>
      </c>
      <c r="N340" s="127">
        <f t="shared" si="349"/>
        <v>0</v>
      </c>
      <c r="O340" s="127">
        <f t="shared" si="349"/>
        <v>0</v>
      </c>
      <c r="P340" s="127">
        <f t="shared" si="349"/>
        <v>0</v>
      </c>
      <c r="Q340" s="127">
        <f t="shared" si="349"/>
        <v>0</v>
      </c>
      <c r="R340" s="127">
        <f t="shared" si="349"/>
        <v>0</v>
      </c>
      <c r="S340" s="127">
        <f t="shared" si="349"/>
        <v>0</v>
      </c>
      <c r="T340" s="127">
        <f t="shared" si="349"/>
        <v>0</v>
      </c>
      <c r="U340" s="127">
        <f t="shared" si="349"/>
        <v>0</v>
      </c>
      <c r="V340" s="127">
        <f t="shared" si="349"/>
        <v>0</v>
      </c>
      <c r="W340" s="127">
        <f t="shared" si="349"/>
        <v>0</v>
      </c>
      <c r="X340" s="127">
        <f t="shared" si="349"/>
        <v>0</v>
      </c>
      <c r="Y340" s="127">
        <f t="shared" si="349"/>
        <v>0</v>
      </c>
      <c r="Z340" s="127">
        <f t="shared" si="349"/>
        <v>0</v>
      </c>
      <c r="AA340" s="127">
        <f t="shared" si="349"/>
        <v>0</v>
      </c>
      <c r="AB340" s="127">
        <f t="shared" si="349"/>
        <v>0</v>
      </c>
      <c r="AC340" s="127">
        <f t="shared" si="349"/>
        <v>0</v>
      </c>
      <c r="AD340" s="127">
        <f t="shared" si="349"/>
        <v>0</v>
      </c>
      <c r="AE340" s="127">
        <f t="shared" si="349"/>
        <v>0</v>
      </c>
      <c r="AF340" s="127">
        <f t="shared" si="349"/>
        <v>0</v>
      </c>
      <c r="AG340" s="127">
        <f t="shared" si="349"/>
        <v>0</v>
      </c>
      <c r="AH340" s="127">
        <f t="shared" si="349"/>
        <v>0</v>
      </c>
      <c r="AI340" s="127">
        <f t="shared" si="349"/>
        <v>0</v>
      </c>
      <c r="AJ340" s="127">
        <f t="shared" si="349"/>
        <v>0</v>
      </c>
      <c r="AK340" s="127">
        <f t="shared" si="349"/>
        <v>0</v>
      </c>
      <c r="AL340" s="127">
        <f t="shared" si="349"/>
        <v>0</v>
      </c>
      <c r="AM340" s="127">
        <f t="shared" ref="AM340:BD340" si="350">AM209</f>
        <v>0</v>
      </c>
      <c r="AN340" s="127">
        <f t="shared" si="350"/>
        <v>0</v>
      </c>
      <c r="AO340" s="127">
        <f t="shared" si="350"/>
        <v>0</v>
      </c>
      <c r="AP340" s="127">
        <f t="shared" si="350"/>
        <v>0</v>
      </c>
      <c r="AQ340" s="127">
        <f t="shared" si="350"/>
        <v>0</v>
      </c>
      <c r="AR340" s="127">
        <f t="shared" si="350"/>
        <v>0</v>
      </c>
      <c r="AS340" s="127">
        <f t="shared" si="350"/>
        <v>0</v>
      </c>
      <c r="AT340" s="127">
        <f t="shared" si="350"/>
        <v>0</v>
      </c>
      <c r="AU340" s="127">
        <f t="shared" si="350"/>
        <v>0</v>
      </c>
      <c r="AV340" s="127">
        <f t="shared" si="350"/>
        <v>0</v>
      </c>
      <c r="AW340" s="127">
        <f t="shared" si="350"/>
        <v>0</v>
      </c>
      <c r="AX340" s="127">
        <f t="shared" si="350"/>
        <v>0</v>
      </c>
      <c r="AY340" s="127">
        <f t="shared" si="350"/>
        <v>0</v>
      </c>
      <c r="AZ340" s="127">
        <f t="shared" si="350"/>
        <v>0</v>
      </c>
      <c r="BA340" s="127">
        <f t="shared" si="350"/>
        <v>0</v>
      </c>
      <c r="BB340" s="127">
        <f t="shared" si="350"/>
        <v>0</v>
      </c>
      <c r="BC340" s="127">
        <f t="shared" si="350"/>
        <v>0</v>
      </c>
      <c r="BD340" s="127">
        <f t="shared" si="350"/>
        <v>0</v>
      </c>
    </row>
    <row r="341" spans="1:56" ht="15" customHeight="1">
      <c r="C341" s="152">
        <f>SUM(G341:BD341)</f>
        <v>4524.2330267665784</v>
      </c>
      <c r="D341" s="55" t="s">
        <v>352</v>
      </c>
      <c r="E341" s="128" t="s">
        <v>195</v>
      </c>
      <c r="G341" s="127">
        <f t="shared" ref="G341:AL341" si="351">G337+G46+G47+G48</f>
        <v>179.99</v>
      </c>
      <c r="H341" s="127">
        <f t="shared" si="351"/>
        <v>375.75045600000004</v>
      </c>
      <c r="I341" s="127">
        <f t="shared" si="351"/>
        <v>367.27784639999999</v>
      </c>
      <c r="J341" s="127">
        <f t="shared" si="351"/>
        <v>437.21769599999993</v>
      </c>
      <c r="K341" s="127">
        <f t="shared" si="351"/>
        <v>428.64313535999997</v>
      </c>
      <c r="L341" s="127">
        <f t="shared" si="351"/>
        <v>469.23434136000003</v>
      </c>
      <c r="M341" s="127">
        <f t="shared" si="351"/>
        <v>505.64692624953602</v>
      </c>
      <c r="N341" s="127">
        <f t="shared" si="351"/>
        <v>376.76889898896377</v>
      </c>
      <c r="O341" s="127">
        <f t="shared" si="351"/>
        <v>132.16212368361269</v>
      </c>
      <c r="P341" s="127">
        <f t="shared" si="351"/>
        <v>140.77198531538866</v>
      </c>
      <c r="Q341" s="127">
        <f t="shared" si="351"/>
        <v>130.18750696046206</v>
      </c>
      <c r="R341" s="127">
        <f t="shared" si="351"/>
        <v>145.22039969867677</v>
      </c>
      <c r="S341" s="127">
        <f t="shared" si="351"/>
        <v>176.04223384381726</v>
      </c>
      <c r="T341" s="127">
        <f t="shared" si="351"/>
        <v>182.14550543706844</v>
      </c>
      <c r="U341" s="127">
        <f t="shared" si="351"/>
        <v>239.87939185456193</v>
      </c>
      <c r="V341" s="127">
        <f t="shared" si="351"/>
        <v>174.697747919487</v>
      </c>
      <c r="W341" s="127">
        <f t="shared" si="351"/>
        <v>62.59683169500375</v>
      </c>
      <c r="X341" s="127">
        <f t="shared" si="351"/>
        <v>0</v>
      </c>
      <c r="Y341" s="127">
        <f t="shared" si="351"/>
        <v>0</v>
      </c>
      <c r="Z341" s="127">
        <f t="shared" si="351"/>
        <v>0</v>
      </c>
      <c r="AA341" s="127">
        <f t="shared" si="351"/>
        <v>0</v>
      </c>
      <c r="AB341" s="127">
        <f t="shared" si="351"/>
        <v>0</v>
      </c>
      <c r="AC341" s="127">
        <f t="shared" si="351"/>
        <v>0</v>
      </c>
      <c r="AD341" s="127">
        <f t="shared" si="351"/>
        <v>0</v>
      </c>
      <c r="AE341" s="127">
        <f t="shared" si="351"/>
        <v>0</v>
      </c>
      <c r="AF341" s="127">
        <f t="shared" si="351"/>
        <v>0</v>
      </c>
      <c r="AG341" s="127">
        <f t="shared" si="351"/>
        <v>0</v>
      </c>
      <c r="AH341" s="127">
        <f t="shared" si="351"/>
        <v>0</v>
      </c>
      <c r="AI341" s="127">
        <f t="shared" si="351"/>
        <v>0</v>
      </c>
      <c r="AJ341" s="127">
        <f t="shared" si="351"/>
        <v>0</v>
      </c>
      <c r="AK341" s="127">
        <f t="shared" si="351"/>
        <v>0</v>
      </c>
      <c r="AL341" s="127">
        <f t="shared" si="351"/>
        <v>0</v>
      </c>
      <c r="AM341" s="127">
        <f t="shared" ref="AM341:BD341" si="352">AM337+AM46+AM47+AM48</f>
        <v>0</v>
      </c>
      <c r="AN341" s="127">
        <f t="shared" si="352"/>
        <v>0</v>
      </c>
      <c r="AO341" s="127">
        <f t="shared" si="352"/>
        <v>0</v>
      </c>
      <c r="AP341" s="127">
        <f t="shared" si="352"/>
        <v>0</v>
      </c>
      <c r="AQ341" s="127">
        <f t="shared" si="352"/>
        <v>0</v>
      </c>
      <c r="AR341" s="127">
        <f t="shared" si="352"/>
        <v>0</v>
      </c>
      <c r="AS341" s="127">
        <f t="shared" si="352"/>
        <v>0</v>
      </c>
      <c r="AT341" s="127">
        <f t="shared" si="352"/>
        <v>0</v>
      </c>
      <c r="AU341" s="127">
        <f t="shared" si="352"/>
        <v>0</v>
      </c>
      <c r="AV341" s="127">
        <f t="shared" si="352"/>
        <v>0</v>
      </c>
      <c r="AW341" s="127">
        <f t="shared" si="352"/>
        <v>0</v>
      </c>
      <c r="AX341" s="127">
        <f t="shared" si="352"/>
        <v>0</v>
      </c>
      <c r="AY341" s="127">
        <f t="shared" si="352"/>
        <v>0</v>
      </c>
      <c r="AZ341" s="127">
        <f t="shared" si="352"/>
        <v>0</v>
      </c>
      <c r="BA341" s="127">
        <f t="shared" si="352"/>
        <v>0</v>
      </c>
      <c r="BB341" s="127">
        <f t="shared" si="352"/>
        <v>0</v>
      </c>
      <c r="BC341" s="127">
        <f t="shared" si="352"/>
        <v>0</v>
      </c>
      <c r="BD341" s="127">
        <f t="shared" si="352"/>
        <v>0</v>
      </c>
    </row>
    <row r="342" spans="1:56" ht="15" customHeight="1">
      <c r="A342" s="55"/>
    </row>
    <row r="343" spans="1:56" ht="15" customHeight="1">
      <c r="A343" s="55"/>
      <c r="D343" s="33" t="s">
        <v>353</v>
      </c>
    </row>
    <row r="344" spans="1:56" ht="15" customHeight="1">
      <c r="C344" s="152">
        <f>SUM(G344:BD344)</f>
        <v>3595.3866000000003</v>
      </c>
      <c r="D344" s="55" t="s">
        <v>347</v>
      </c>
      <c r="E344" s="128" t="s">
        <v>153</v>
      </c>
      <c r="G344" s="127">
        <f t="shared" ref="G344:AL344" si="353">G337/G$267</f>
        <v>142.99</v>
      </c>
      <c r="H344" s="127">
        <f t="shared" si="353"/>
        <v>259.38280000000003</v>
      </c>
      <c r="I344" s="127">
        <f t="shared" si="353"/>
        <v>193.01599999999999</v>
      </c>
      <c r="J344" s="127">
        <f t="shared" si="353"/>
        <v>411.99999999999994</v>
      </c>
      <c r="K344" s="127">
        <f t="shared" si="353"/>
        <v>396</v>
      </c>
      <c r="L344" s="127">
        <f t="shared" si="353"/>
        <v>425</v>
      </c>
      <c r="M344" s="127">
        <f t="shared" si="353"/>
        <v>449</v>
      </c>
      <c r="N344" s="127">
        <f t="shared" si="353"/>
        <v>304</v>
      </c>
      <c r="O344" s="127">
        <f t="shared" si="353"/>
        <v>89.799100000000024</v>
      </c>
      <c r="P344" s="127">
        <f t="shared" si="353"/>
        <v>108.79170000000002</v>
      </c>
      <c r="Q344" s="127">
        <f t="shared" si="353"/>
        <v>104.7991</v>
      </c>
      <c r="R344" s="127">
        <f t="shared" si="353"/>
        <v>115.79540000000001</v>
      </c>
      <c r="S344" s="127">
        <f t="shared" si="353"/>
        <v>129.8081</v>
      </c>
      <c r="T344" s="127">
        <f t="shared" si="353"/>
        <v>122.80439999999996</v>
      </c>
      <c r="U344" s="127">
        <f t="shared" si="353"/>
        <v>171.79860000000005</v>
      </c>
      <c r="V344" s="127">
        <f t="shared" si="353"/>
        <v>125.80300000000004</v>
      </c>
      <c r="W344" s="127">
        <f t="shared" si="353"/>
        <v>44.598399999999991</v>
      </c>
      <c r="X344" s="127">
        <f t="shared" si="353"/>
        <v>0</v>
      </c>
      <c r="Y344" s="127">
        <f t="shared" si="353"/>
        <v>0</v>
      </c>
      <c r="Z344" s="127">
        <f t="shared" si="353"/>
        <v>0</v>
      </c>
      <c r="AA344" s="127">
        <f t="shared" si="353"/>
        <v>0</v>
      </c>
      <c r="AB344" s="127">
        <f t="shared" si="353"/>
        <v>0</v>
      </c>
      <c r="AC344" s="127">
        <f t="shared" si="353"/>
        <v>0</v>
      </c>
      <c r="AD344" s="127">
        <f t="shared" si="353"/>
        <v>0</v>
      </c>
      <c r="AE344" s="127">
        <f t="shared" si="353"/>
        <v>0</v>
      </c>
      <c r="AF344" s="127">
        <f t="shared" si="353"/>
        <v>0</v>
      </c>
      <c r="AG344" s="127">
        <f t="shared" si="353"/>
        <v>0</v>
      </c>
      <c r="AH344" s="127">
        <f t="shared" si="353"/>
        <v>0</v>
      </c>
      <c r="AI344" s="127">
        <f t="shared" si="353"/>
        <v>0</v>
      </c>
      <c r="AJ344" s="127">
        <f t="shared" si="353"/>
        <v>0</v>
      </c>
      <c r="AK344" s="127">
        <f t="shared" si="353"/>
        <v>0</v>
      </c>
      <c r="AL344" s="127">
        <f t="shared" si="353"/>
        <v>0</v>
      </c>
      <c r="AM344" s="127">
        <f t="shared" ref="AM344:BD344" si="354">AM337/AM$267</f>
        <v>0</v>
      </c>
      <c r="AN344" s="127">
        <f t="shared" si="354"/>
        <v>0</v>
      </c>
      <c r="AO344" s="127">
        <f t="shared" si="354"/>
        <v>0</v>
      </c>
      <c r="AP344" s="127">
        <f t="shared" si="354"/>
        <v>0</v>
      </c>
      <c r="AQ344" s="127">
        <f t="shared" si="354"/>
        <v>0</v>
      </c>
      <c r="AR344" s="127">
        <f t="shared" si="354"/>
        <v>0</v>
      </c>
      <c r="AS344" s="127">
        <f t="shared" si="354"/>
        <v>0</v>
      </c>
      <c r="AT344" s="127">
        <f t="shared" si="354"/>
        <v>0</v>
      </c>
      <c r="AU344" s="127">
        <f t="shared" si="354"/>
        <v>0</v>
      </c>
      <c r="AV344" s="127">
        <f t="shared" si="354"/>
        <v>0</v>
      </c>
      <c r="AW344" s="127">
        <f t="shared" si="354"/>
        <v>0</v>
      </c>
      <c r="AX344" s="127">
        <f t="shared" si="354"/>
        <v>0</v>
      </c>
      <c r="AY344" s="127">
        <f t="shared" si="354"/>
        <v>0</v>
      </c>
      <c r="AZ344" s="127">
        <f t="shared" si="354"/>
        <v>0</v>
      </c>
      <c r="BA344" s="127">
        <f t="shared" si="354"/>
        <v>0</v>
      </c>
      <c r="BB344" s="127">
        <f t="shared" si="354"/>
        <v>0</v>
      </c>
      <c r="BC344" s="127">
        <f t="shared" si="354"/>
        <v>0</v>
      </c>
      <c r="BD344" s="127">
        <f t="shared" si="354"/>
        <v>0</v>
      </c>
    </row>
    <row r="345" spans="1:56" ht="15" customHeight="1">
      <c r="C345" s="152">
        <f>SUM(G345:BD345)</f>
        <v>1589.7471455289747</v>
      </c>
      <c r="D345" s="103" t="s">
        <v>342</v>
      </c>
      <c r="E345" s="128" t="s">
        <v>153</v>
      </c>
      <c r="G345" s="127">
        <f t="shared" ref="G345:AL345" si="355">G338/G$267</f>
        <v>43.0441</v>
      </c>
      <c r="H345" s="127">
        <f t="shared" si="355"/>
        <v>139.8100901764706</v>
      </c>
      <c r="I345" s="127">
        <f t="shared" si="355"/>
        <v>117.63138899653978</v>
      </c>
      <c r="J345" s="127">
        <f t="shared" si="355"/>
        <v>168.40010685935272</v>
      </c>
      <c r="K345" s="127">
        <f t="shared" si="355"/>
        <v>161.78086946995367</v>
      </c>
      <c r="L345" s="127">
        <f t="shared" si="355"/>
        <v>172.86492859879553</v>
      </c>
      <c r="M345" s="127">
        <f t="shared" si="355"/>
        <v>187.302663336167</v>
      </c>
      <c r="N345" s="127">
        <f t="shared" si="355"/>
        <v>137.18628429975695</v>
      </c>
      <c r="O345" s="127">
        <f t="shared" si="355"/>
        <v>45.18496419471451</v>
      </c>
      <c r="P345" s="127">
        <f t="shared" si="355"/>
        <v>50.75860344419069</v>
      </c>
      <c r="Q345" s="127">
        <f t="shared" si="355"/>
        <v>48.333025251215261</v>
      </c>
      <c r="R345" s="127">
        <f t="shared" si="355"/>
        <v>51.430858851480473</v>
      </c>
      <c r="S345" s="127">
        <f t="shared" si="355"/>
        <v>58.706545939814539</v>
      </c>
      <c r="T345" s="127">
        <f t="shared" si="355"/>
        <v>58.377784983022217</v>
      </c>
      <c r="U345" s="127">
        <f t="shared" si="355"/>
        <v>75.773418439799585</v>
      </c>
      <c r="V345" s="127">
        <f t="shared" si="355"/>
        <v>54.682093476820206</v>
      </c>
      <c r="W345" s="127">
        <f t="shared" si="355"/>
        <v>18.47941921088109</v>
      </c>
      <c r="X345" s="127">
        <f t="shared" si="355"/>
        <v>0</v>
      </c>
      <c r="Y345" s="127">
        <f t="shared" si="355"/>
        <v>0</v>
      </c>
      <c r="Z345" s="127">
        <f t="shared" si="355"/>
        <v>0</v>
      </c>
      <c r="AA345" s="127">
        <f t="shared" si="355"/>
        <v>0</v>
      </c>
      <c r="AB345" s="127">
        <f t="shared" si="355"/>
        <v>0</v>
      </c>
      <c r="AC345" s="127">
        <f t="shared" si="355"/>
        <v>0</v>
      </c>
      <c r="AD345" s="127">
        <f t="shared" si="355"/>
        <v>0</v>
      </c>
      <c r="AE345" s="127">
        <f t="shared" si="355"/>
        <v>0</v>
      </c>
      <c r="AF345" s="127">
        <f t="shared" si="355"/>
        <v>0</v>
      </c>
      <c r="AG345" s="127">
        <f t="shared" si="355"/>
        <v>0</v>
      </c>
      <c r="AH345" s="127">
        <f t="shared" si="355"/>
        <v>0</v>
      </c>
      <c r="AI345" s="127">
        <f t="shared" si="355"/>
        <v>0</v>
      </c>
      <c r="AJ345" s="127">
        <f t="shared" si="355"/>
        <v>0</v>
      </c>
      <c r="AK345" s="127">
        <f t="shared" si="355"/>
        <v>0</v>
      </c>
      <c r="AL345" s="127">
        <f t="shared" si="355"/>
        <v>0</v>
      </c>
      <c r="AM345" s="127">
        <f t="shared" ref="AM345:BD345" si="356">AM338/AM$267</f>
        <v>0</v>
      </c>
      <c r="AN345" s="127">
        <f t="shared" si="356"/>
        <v>0</v>
      </c>
      <c r="AO345" s="127">
        <f t="shared" si="356"/>
        <v>0</v>
      </c>
      <c r="AP345" s="127">
        <f t="shared" si="356"/>
        <v>0</v>
      </c>
      <c r="AQ345" s="127">
        <f t="shared" si="356"/>
        <v>0</v>
      </c>
      <c r="AR345" s="127">
        <f t="shared" si="356"/>
        <v>0</v>
      </c>
      <c r="AS345" s="127">
        <f t="shared" si="356"/>
        <v>0</v>
      </c>
      <c r="AT345" s="127">
        <f t="shared" si="356"/>
        <v>0</v>
      </c>
      <c r="AU345" s="127">
        <f t="shared" si="356"/>
        <v>0</v>
      </c>
      <c r="AV345" s="127">
        <f t="shared" si="356"/>
        <v>0</v>
      </c>
      <c r="AW345" s="127">
        <f t="shared" si="356"/>
        <v>0</v>
      </c>
      <c r="AX345" s="127">
        <f t="shared" si="356"/>
        <v>0</v>
      </c>
      <c r="AY345" s="127">
        <f t="shared" si="356"/>
        <v>0</v>
      </c>
      <c r="AZ345" s="127">
        <f t="shared" si="356"/>
        <v>0</v>
      </c>
      <c r="BA345" s="127">
        <f t="shared" si="356"/>
        <v>0</v>
      </c>
      <c r="BB345" s="127">
        <f t="shared" si="356"/>
        <v>0</v>
      </c>
      <c r="BC345" s="127">
        <f t="shared" si="356"/>
        <v>0</v>
      </c>
      <c r="BD345" s="127">
        <f t="shared" si="356"/>
        <v>0</v>
      </c>
    </row>
    <row r="346" spans="1:56" ht="15" customHeight="1">
      <c r="A346" s="158" t="b">
        <f>ROUND(C344-(C345+C346+C347+C278),5)=0</f>
        <v>1</v>
      </c>
      <c r="C346" s="152">
        <f>SUM(G346:BD346)</f>
        <v>2005.6394544710256</v>
      </c>
      <c r="D346" s="55" t="s">
        <v>329</v>
      </c>
      <c r="E346" s="128" t="s">
        <v>153</v>
      </c>
      <c r="G346" s="127">
        <f t="shared" ref="G346:AL346" si="357">G339/G$267</f>
        <v>99.945899999999995</v>
      </c>
      <c r="H346" s="127">
        <f t="shared" si="357"/>
        <v>119.57270982352944</v>
      </c>
      <c r="I346" s="127">
        <f t="shared" si="357"/>
        <v>75.384611003460194</v>
      </c>
      <c r="J346" s="127">
        <f t="shared" si="357"/>
        <v>243.59989314064725</v>
      </c>
      <c r="K346" s="127">
        <f t="shared" si="357"/>
        <v>234.2191305300463</v>
      </c>
      <c r="L346" s="127">
        <f t="shared" si="357"/>
        <v>252.13507140120453</v>
      </c>
      <c r="M346" s="127">
        <f t="shared" si="357"/>
        <v>261.69733666383308</v>
      </c>
      <c r="N346" s="127">
        <f t="shared" si="357"/>
        <v>166.81371570024305</v>
      </c>
      <c r="O346" s="127">
        <f t="shared" si="357"/>
        <v>44.614135805285507</v>
      </c>
      <c r="P346" s="127">
        <f t="shared" si="357"/>
        <v>58.03309655580933</v>
      </c>
      <c r="Q346" s="127">
        <f t="shared" si="357"/>
        <v>56.46607474878472</v>
      </c>
      <c r="R346" s="127">
        <f t="shared" si="357"/>
        <v>64.364541148519535</v>
      </c>
      <c r="S346" s="127">
        <f t="shared" si="357"/>
        <v>71.10155406018545</v>
      </c>
      <c r="T346" s="127">
        <f t="shared" si="357"/>
        <v>64.426615016977735</v>
      </c>
      <c r="U346" s="127">
        <f t="shared" si="357"/>
        <v>96.025181560200451</v>
      </c>
      <c r="V346" s="127">
        <f t="shared" si="357"/>
        <v>71.120906523179812</v>
      </c>
      <c r="W346" s="127">
        <f t="shared" si="357"/>
        <v>26.118980789118893</v>
      </c>
      <c r="X346" s="127">
        <f t="shared" si="357"/>
        <v>0</v>
      </c>
      <c r="Y346" s="127">
        <f t="shared" si="357"/>
        <v>0</v>
      </c>
      <c r="Z346" s="127">
        <f t="shared" si="357"/>
        <v>0</v>
      </c>
      <c r="AA346" s="127">
        <f t="shared" si="357"/>
        <v>0</v>
      </c>
      <c r="AB346" s="127">
        <f t="shared" si="357"/>
        <v>0</v>
      </c>
      <c r="AC346" s="127">
        <f t="shared" si="357"/>
        <v>0</v>
      </c>
      <c r="AD346" s="127">
        <f t="shared" si="357"/>
        <v>0</v>
      </c>
      <c r="AE346" s="127">
        <f t="shared" si="357"/>
        <v>0</v>
      </c>
      <c r="AF346" s="127">
        <f t="shared" si="357"/>
        <v>0</v>
      </c>
      <c r="AG346" s="127">
        <f t="shared" si="357"/>
        <v>0</v>
      </c>
      <c r="AH346" s="127">
        <f t="shared" si="357"/>
        <v>0</v>
      </c>
      <c r="AI346" s="127">
        <f t="shared" si="357"/>
        <v>0</v>
      </c>
      <c r="AJ346" s="127">
        <f t="shared" si="357"/>
        <v>0</v>
      </c>
      <c r="AK346" s="127">
        <f t="shared" si="357"/>
        <v>0</v>
      </c>
      <c r="AL346" s="127">
        <f t="shared" si="357"/>
        <v>0</v>
      </c>
      <c r="AM346" s="127">
        <f t="shared" ref="AM346:BD346" si="358">AM339/AM$267</f>
        <v>0</v>
      </c>
      <c r="AN346" s="127">
        <f t="shared" si="358"/>
        <v>0</v>
      </c>
      <c r="AO346" s="127">
        <f t="shared" si="358"/>
        <v>0</v>
      </c>
      <c r="AP346" s="127">
        <f t="shared" si="358"/>
        <v>0</v>
      </c>
      <c r="AQ346" s="127">
        <f t="shared" si="358"/>
        <v>0</v>
      </c>
      <c r="AR346" s="127">
        <f t="shared" si="358"/>
        <v>0</v>
      </c>
      <c r="AS346" s="127">
        <f t="shared" si="358"/>
        <v>0</v>
      </c>
      <c r="AT346" s="127">
        <f t="shared" si="358"/>
        <v>0</v>
      </c>
      <c r="AU346" s="127">
        <f t="shared" si="358"/>
        <v>0</v>
      </c>
      <c r="AV346" s="127">
        <f t="shared" si="358"/>
        <v>0</v>
      </c>
      <c r="AW346" s="127">
        <f t="shared" si="358"/>
        <v>0</v>
      </c>
      <c r="AX346" s="127">
        <f t="shared" si="358"/>
        <v>0</v>
      </c>
      <c r="AY346" s="127">
        <f t="shared" si="358"/>
        <v>0</v>
      </c>
      <c r="AZ346" s="127">
        <f t="shared" si="358"/>
        <v>0</v>
      </c>
      <c r="BA346" s="127">
        <f t="shared" si="358"/>
        <v>0</v>
      </c>
      <c r="BB346" s="127">
        <f t="shared" si="358"/>
        <v>0</v>
      </c>
      <c r="BC346" s="127">
        <f t="shared" si="358"/>
        <v>0</v>
      </c>
      <c r="BD346" s="127">
        <f t="shared" si="358"/>
        <v>0</v>
      </c>
    </row>
    <row r="347" spans="1:56" ht="15" customHeight="1">
      <c r="C347" s="152">
        <f>SUM(G347:BD347)</f>
        <v>0</v>
      </c>
      <c r="D347" s="55" t="s">
        <v>292</v>
      </c>
      <c r="E347" s="128" t="s">
        <v>153</v>
      </c>
      <c r="G347" s="127">
        <f t="shared" ref="G347:AL347" si="359">G340/G$267</f>
        <v>0</v>
      </c>
      <c r="H347" s="127">
        <f t="shared" si="359"/>
        <v>0</v>
      </c>
      <c r="I347" s="127">
        <f t="shared" si="359"/>
        <v>0</v>
      </c>
      <c r="J347" s="127">
        <f t="shared" si="359"/>
        <v>0</v>
      </c>
      <c r="K347" s="127">
        <f t="shared" si="359"/>
        <v>0</v>
      </c>
      <c r="L347" s="127">
        <f t="shared" si="359"/>
        <v>0</v>
      </c>
      <c r="M347" s="127">
        <f t="shared" si="359"/>
        <v>0</v>
      </c>
      <c r="N347" s="127">
        <f t="shared" si="359"/>
        <v>0</v>
      </c>
      <c r="O347" s="127">
        <f t="shared" si="359"/>
        <v>0</v>
      </c>
      <c r="P347" s="127">
        <f t="shared" si="359"/>
        <v>0</v>
      </c>
      <c r="Q347" s="127">
        <f t="shared" si="359"/>
        <v>0</v>
      </c>
      <c r="R347" s="127">
        <f t="shared" si="359"/>
        <v>0</v>
      </c>
      <c r="S347" s="127">
        <f t="shared" si="359"/>
        <v>0</v>
      </c>
      <c r="T347" s="127">
        <f t="shared" si="359"/>
        <v>0</v>
      </c>
      <c r="U347" s="127">
        <f t="shared" si="359"/>
        <v>0</v>
      </c>
      <c r="V347" s="127">
        <f t="shared" si="359"/>
        <v>0</v>
      </c>
      <c r="W347" s="127">
        <f t="shared" si="359"/>
        <v>0</v>
      </c>
      <c r="X347" s="127">
        <f t="shared" si="359"/>
        <v>0</v>
      </c>
      <c r="Y347" s="127">
        <f t="shared" si="359"/>
        <v>0</v>
      </c>
      <c r="Z347" s="127">
        <f t="shared" si="359"/>
        <v>0</v>
      </c>
      <c r="AA347" s="127">
        <f t="shared" si="359"/>
        <v>0</v>
      </c>
      <c r="AB347" s="127">
        <f t="shared" si="359"/>
        <v>0</v>
      </c>
      <c r="AC347" s="127">
        <f t="shared" si="359"/>
        <v>0</v>
      </c>
      <c r="AD347" s="127">
        <f t="shared" si="359"/>
        <v>0</v>
      </c>
      <c r="AE347" s="127">
        <f t="shared" si="359"/>
        <v>0</v>
      </c>
      <c r="AF347" s="127">
        <f t="shared" si="359"/>
        <v>0</v>
      </c>
      <c r="AG347" s="127">
        <f t="shared" si="359"/>
        <v>0</v>
      </c>
      <c r="AH347" s="127">
        <f t="shared" si="359"/>
        <v>0</v>
      </c>
      <c r="AI347" s="127">
        <f t="shared" si="359"/>
        <v>0</v>
      </c>
      <c r="AJ347" s="127">
        <f t="shared" si="359"/>
        <v>0</v>
      </c>
      <c r="AK347" s="127">
        <f t="shared" si="359"/>
        <v>0</v>
      </c>
      <c r="AL347" s="127">
        <f t="shared" si="359"/>
        <v>0</v>
      </c>
      <c r="AM347" s="127">
        <f t="shared" ref="AM347:BD347" si="360">AM340/AM$267</f>
        <v>0</v>
      </c>
      <c r="AN347" s="127">
        <f t="shared" si="360"/>
        <v>0</v>
      </c>
      <c r="AO347" s="127">
        <f t="shared" si="360"/>
        <v>0</v>
      </c>
      <c r="AP347" s="127">
        <f t="shared" si="360"/>
        <v>0</v>
      </c>
      <c r="AQ347" s="127">
        <f t="shared" si="360"/>
        <v>0</v>
      </c>
      <c r="AR347" s="127">
        <f t="shared" si="360"/>
        <v>0</v>
      </c>
      <c r="AS347" s="127">
        <f t="shared" si="360"/>
        <v>0</v>
      </c>
      <c r="AT347" s="127">
        <f t="shared" si="360"/>
        <v>0</v>
      </c>
      <c r="AU347" s="127">
        <f t="shared" si="360"/>
        <v>0</v>
      </c>
      <c r="AV347" s="127">
        <f t="shared" si="360"/>
        <v>0</v>
      </c>
      <c r="AW347" s="127">
        <f t="shared" si="360"/>
        <v>0</v>
      </c>
      <c r="AX347" s="127">
        <f t="shared" si="360"/>
        <v>0</v>
      </c>
      <c r="AY347" s="127">
        <f t="shared" si="360"/>
        <v>0</v>
      </c>
      <c r="AZ347" s="127">
        <f t="shared" si="360"/>
        <v>0</v>
      </c>
      <c r="BA347" s="127">
        <f t="shared" si="360"/>
        <v>0</v>
      </c>
      <c r="BB347" s="127">
        <f t="shared" si="360"/>
        <v>0</v>
      </c>
      <c r="BC347" s="127">
        <f t="shared" si="360"/>
        <v>0</v>
      </c>
      <c r="BD347" s="127">
        <f t="shared" si="360"/>
        <v>0</v>
      </c>
    </row>
    <row r="348" spans="1:56" ht="15" customHeight="1">
      <c r="C348" s="152">
        <f>SUM(G348:BD348)</f>
        <v>4002.3866000000003</v>
      </c>
      <c r="D348" s="55" t="s">
        <v>352</v>
      </c>
      <c r="E348" s="128" t="s">
        <v>153</v>
      </c>
      <c r="G348" s="127">
        <f t="shared" ref="G348:AL348" si="361">G341/G$267</f>
        <v>179.99</v>
      </c>
      <c r="H348" s="127">
        <f t="shared" si="361"/>
        <v>368.38280000000003</v>
      </c>
      <c r="I348" s="127">
        <f t="shared" si="361"/>
        <v>353.01599999999996</v>
      </c>
      <c r="J348" s="127">
        <f t="shared" si="361"/>
        <v>411.99999999999994</v>
      </c>
      <c r="K348" s="127">
        <f t="shared" si="361"/>
        <v>396</v>
      </c>
      <c r="L348" s="127">
        <f t="shared" si="361"/>
        <v>425</v>
      </c>
      <c r="M348" s="127">
        <f t="shared" si="361"/>
        <v>449</v>
      </c>
      <c r="N348" s="127">
        <f t="shared" si="361"/>
        <v>328</v>
      </c>
      <c r="O348" s="127">
        <f t="shared" si="361"/>
        <v>112.79910000000004</v>
      </c>
      <c r="P348" s="127">
        <f t="shared" si="361"/>
        <v>117.79170000000001</v>
      </c>
      <c r="Q348" s="127">
        <f t="shared" si="361"/>
        <v>106.7991</v>
      </c>
      <c r="R348" s="127">
        <f t="shared" si="361"/>
        <v>116.79540000000003</v>
      </c>
      <c r="S348" s="127">
        <f t="shared" si="361"/>
        <v>138.80810000000002</v>
      </c>
      <c r="T348" s="127">
        <f t="shared" si="361"/>
        <v>140.80439999999996</v>
      </c>
      <c r="U348" s="127">
        <f t="shared" si="361"/>
        <v>181.79860000000005</v>
      </c>
      <c r="V348" s="127">
        <f t="shared" si="361"/>
        <v>129.80300000000005</v>
      </c>
      <c r="W348" s="127">
        <f t="shared" si="361"/>
        <v>45.598399999999991</v>
      </c>
      <c r="X348" s="127">
        <f t="shared" si="361"/>
        <v>0</v>
      </c>
      <c r="Y348" s="127">
        <f t="shared" si="361"/>
        <v>0</v>
      </c>
      <c r="Z348" s="127">
        <f t="shared" si="361"/>
        <v>0</v>
      </c>
      <c r="AA348" s="127">
        <f t="shared" si="361"/>
        <v>0</v>
      </c>
      <c r="AB348" s="127">
        <f t="shared" si="361"/>
        <v>0</v>
      </c>
      <c r="AC348" s="127">
        <f t="shared" si="361"/>
        <v>0</v>
      </c>
      <c r="AD348" s="127">
        <f t="shared" si="361"/>
        <v>0</v>
      </c>
      <c r="AE348" s="127">
        <f t="shared" si="361"/>
        <v>0</v>
      </c>
      <c r="AF348" s="127">
        <f t="shared" si="361"/>
        <v>0</v>
      </c>
      <c r="AG348" s="127">
        <f t="shared" si="361"/>
        <v>0</v>
      </c>
      <c r="AH348" s="127">
        <f t="shared" si="361"/>
        <v>0</v>
      </c>
      <c r="AI348" s="127">
        <f t="shared" si="361"/>
        <v>0</v>
      </c>
      <c r="AJ348" s="127">
        <f t="shared" si="361"/>
        <v>0</v>
      </c>
      <c r="AK348" s="127">
        <f t="shared" si="361"/>
        <v>0</v>
      </c>
      <c r="AL348" s="127">
        <f t="shared" si="361"/>
        <v>0</v>
      </c>
      <c r="AM348" s="127">
        <f t="shared" ref="AM348:BD348" si="362">AM341/AM$267</f>
        <v>0</v>
      </c>
      <c r="AN348" s="127">
        <f t="shared" si="362"/>
        <v>0</v>
      </c>
      <c r="AO348" s="127">
        <f t="shared" si="362"/>
        <v>0</v>
      </c>
      <c r="AP348" s="127">
        <f t="shared" si="362"/>
        <v>0</v>
      </c>
      <c r="AQ348" s="127">
        <f t="shared" si="362"/>
        <v>0</v>
      </c>
      <c r="AR348" s="127">
        <f t="shared" si="362"/>
        <v>0</v>
      </c>
      <c r="AS348" s="127">
        <f t="shared" si="362"/>
        <v>0</v>
      </c>
      <c r="AT348" s="127">
        <f t="shared" si="362"/>
        <v>0</v>
      </c>
      <c r="AU348" s="127">
        <f t="shared" si="362"/>
        <v>0</v>
      </c>
      <c r="AV348" s="127">
        <f t="shared" si="362"/>
        <v>0</v>
      </c>
      <c r="AW348" s="127">
        <f t="shared" si="362"/>
        <v>0</v>
      </c>
      <c r="AX348" s="127">
        <f t="shared" si="362"/>
        <v>0</v>
      </c>
      <c r="AY348" s="127">
        <f t="shared" si="362"/>
        <v>0</v>
      </c>
      <c r="AZ348" s="127">
        <f t="shared" si="362"/>
        <v>0</v>
      </c>
      <c r="BA348" s="127">
        <f t="shared" si="362"/>
        <v>0</v>
      </c>
      <c r="BB348" s="127">
        <f t="shared" si="362"/>
        <v>0</v>
      </c>
      <c r="BC348" s="127">
        <f t="shared" si="362"/>
        <v>0</v>
      </c>
      <c r="BD348" s="127">
        <f t="shared" si="362"/>
        <v>0</v>
      </c>
    </row>
    <row r="349" spans="1:56" ht="15" customHeight="1">
      <c r="C349" s="151"/>
      <c r="E349" s="128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  <c r="AA349" s="127"/>
      <c r="AB349" s="127"/>
      <c r="AC349" s="127"/>
      <c r="AD349" s="127"/>
      <c r="AE349" s="127"/>
      <c r="AF349" s="127"/>
      <c r="AG349" s="127"/>
      <c r="AH349" s="127"/>
      <c r="AI349" s="127"/>
      <c r="AJ349" s="127"/>
      <c r="AK349" s="127"/>
      <c r="AL349" s="127"/>
      <c r="AM349" s="127"/>
      <c r="AN349" s="127"/>
      <c r="AO349" s="127"/>
      <c r="AP349" s="127"/>
      <c r="AQ349" s="127"/>
      <c r="AR349" s="127"/>
      <c r="AS349" s="127"/>
      <c r="AT349" s="127"/>
      <c r="AU349" s="127"/>
      <c r="AV349" s="127"/>
      <c r="AW349" s="127"/>
      <c r="AX349" s="127"/>
      <c r="AY349" s="127"/>
      <c r="AZ349" s="127"/>
      <c r="BA349" s="127"/>
      <c r="BB349" s="127"/>
      <c r="BC349" s="127"/>
      <c r="BD349" s="127"/>
    </row>
    <row r="350" spans="1:56" ht="15" customHeight="1">
      <c r="C350" s="152">
        <f>SUM(G350:BD350)</f>
        <v>2005.6394544710256</v>
      </c>
      <c r="D350" s="55" t="s">
        <v>354</v>
      </c>
      <c r="E350" s="128" t="s">
        <v>153</v>
      </c>
      <c r="G350" s="127">
        <f t="shared" ref="G350:AL350" si="363">G346+G347</f>
        <v>99.945899999999995</v>
      </c>
      <c r="H350" s="127">
        <f t="shared" si="363"/>
        <v>119.57270982352944</v>
      </c>
      <c r="I350" s="127">
        <f t="shared" si="363"/>
        <v>75.384611003460194</v>
      </c>
      <c r="J350" s="127">
        <f t="shared" si="363"/>
        <v>243.59989314064725</v>
      </c>
      <c r="K350" s="127">
        <f t="shared" si="363"/>
        <v>234.2191305300463</v>
      </c>
      <c r="L350" s="127">
        <f t="shared" si="363"/>
        <v>252.13507140120453</v>
      </c>
      <c r="M350" s="127">
        <f t="shared" si="363"/>
        <v>261.69733666383308</v>
      </c>
      <c r="N350" s="127">
        <f t="shared" si="363"/>
        <v>166.81371570024305</v>
      </c>
      <c r="O350" s="127">
        <f t="shared" si="363"/>
        <v>44.614135805285507</v>
      </c>
      <c r="P350" s="127">
        <f t="shared" si="363"/>
        <v>58.03309655580933</v>
      </c>
      <c r="Q350" s="127">
        <f t="shared" si="363"/>
        <v>56.46607474878472</v>
      </c>
      <c r="R350" s="127">
        <f t="shared" si="363"/>
        <v>64.364541148519535</v>
      </c>
      <c r="S350" s="127">
        <f t="shared" si="363"/>
        <v>71.10155406018545</v>
      </c>
      <c r="T350" s="127">
        <f t="shared" si="363"/>
        <v>64.426615016977735</v>
      </c>
      <c r="U350" s="127">
        <f t="shared" si="363"/>
        <v>96.025181560200451</v>
      </c>
      <c r="V350" s="127">
        <f t="shared" si="363"/>
        <v>71.120906523179812</v>
      </c>
      <c r="W350" s="127">
        <f t="shared" si="363"/>
        <v>26.118980789118893</v>
      </c>
      <c r="X350" s="127">
        <f t="shared" si="363"/>
        <v>0</v>
      </c>
      <c r="Y350" s="127">
        <f t="shared" si="363"/>
        <v>0</v>
      </c>
      <c r="Z350" s="127">
        <f t="shared" si="363"/>
        <v>0</v>
      </c>
      <c r="AA350" s="127">
        <f t="shared" si="363"/>
        <v>0</v>
      </c>
      <c r="AB350" s="127">
        <f t="shared" si="363"/>
        <v>0</v>
      </c>
      <c r="AC350" s="127">
        <f t="shared" si="363"/>
        <v>0</v>
      </c>
      <c r="AD350" s="127">
        <f t="shared" si="363"/>
        <v>0</v>
      </c>
      <c r="AE350" s="127">
        <f t="shared" si="363"/>
        <v>0</v>
      </c>
      <c r="AF350" s="127">
        <f t="shared" si="363"/>
        <v>0</v>
      </c>
      <c r="AG350" s="127">
        <f t="shared" si="363"/>
        <v>0</v>
      </c>
      <c r="AH350" s="127">
        <f t="shared" si="363"/>
        <v>0</v>
      </c>
      <c r="AI350" s="127">
        <f t="shared" si="363"/>
        <v>0</v>
      </c>
      <c r="AJ350" s="127">
        <f t="shared" si="363"/>
        <v>0</v>
      </c>
      <c r="AK350" s="127">
        <f t="shared" si="363"/>
        <v>0</v>
      </c>
      <c r="AL350" s="127">
        <f t="shared" si="363"/>
        <v>0</v>
      </c>
      <c r="AM350" s="127">
        <f t="shared" ref="AM350:BD350" si="364">AM346+AM347</f>
        <v>0</v>
      </c>
      <c r="AN350" s="127">
        <f t="shared" si="364"/>
        <v>0</v>
      </c>
      <c r="AO350" s="127">
        <f t="shared" si="364"/>
        <v>0</v>
      </c>
      <c r="AP350" s="127">
        <f t="shared" si="364"/>
        <v>0</v>
      </c>
      <c r="AQ350" s="127">
        <f t="shared" si="364"/>
        <v>0</v>
      </c>
      <c r="AR350" s="127">
        <f t="shared" si="364"/>
        <v>0</v>
      </c>
      <c r="AS350" s="127">
        <f t="shared" si="364"/>
        <v>0</v>
      </c>
      <c r="AT350" s="127">
        <f t="shared" si="364"/>
        <v>0</v>
      </c>
      <c r="AU350" s="127">
        <f t="shared" si="364"/>
        <v>0</v>
      </c>
      <c r="AV350" s="127">
        <f t="shared" si="364"/>
        <v>0</v>
      </c>
      <c r="AW350" s="127">
        <f t="shared" si="364"/>
        <v>0</v>
      </c>
      <c r="AX350" s="127">
        <f t="shared" si="364"/>
        <v>0</v>
      </c>
      <c r="AY350" s="127">
        <f t="shared" si="364"/>
        <v>0</v>
      </c>
      <c r="AZ350" s="127">
        <f t="shared" si="364"/>
        <v>0</v>
      </c>
      <c r="BA350" s="127">
        <f t="shared" si="364"/>
        <v>0</v>
      </c>
      <c r="BB350" s="127">
        <f t="shared" si="364"/>
        <v>0</v>
      </c>
      <c r="BC350" s="127">
        <f t="shared" si="364"/>
        <v>0</v>
      </c>
      <c r="BD350" s="127">
        <f t="shared" si="364"/>
        <v>0</v>
      </c>
    </row>
    <row r="351" spans="1:56" ht="15" customHeight="1">
      <c r="C351" s="112">
        <f>IFERROR(IRR(G350:BD350),0)</f>
        <v>0</v>
      </c>
      <c r="D351" s="33" t="s">
        <v>355</v>
      </c>
      <c r="E351" s="128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</row>
    <row r="352" spans="1:56" s="210" customFormat="1" ht="15" customHeight="1">
      <c r="A352" s="209"/>
      <c r="C352" s="211"/>
      <c r="E352" s="212"/>
      <c r="G352" s="192"/>
      <c r="V352" s="192"/>
      <c r="W352" s="127"/>
      <c r="X352" s="127"/>
      <c r="Y352" s="127"/>
      <c r="Z352" s="127"/>
      <c r="AA352" s="127"/>
      <c r="AB352" s="127"/>
      <c r="AC352" s="127"/>
      <c r="AD352" s="127"/>
      <c r="AE352" s="127"/>
      <c r="AF352" s="127"/>
      <c r="AG352" s="127"/>
      <c r="AH352" s="192"/>
      <c r="AI352" s="192"/>
      <c r="AJ352" s="192"/>
      <c r="AK352" s="192"/>
      <c r="AL352" s="192"/>
      <c r="AM352" s="192"/>
      <c r="AN352" s="192"/>
      <c r="AO352" s="192"/>
      <c r="AP352" s="192"/>
    </row>
    <row r="353" spans="1:42" s="210" customFormat="1" ht="15" customHeight="1">
      <c r="A353" s="209"/>
      <c r="C353" s="211"/>
      <c r="D353" s="213" t="s">
        <v>356</v>
      </c>
      <c r="E353" s="214"/>
      <c r="F353" s="215"/>
      <c r="G353" s="216">
        <v>0</v>
      </c>
      <c r="H353" s="216">
        <f>G353+0.05</f>
        <v>0.05</v>
      </c>
      <c r="I353" s="216">
        <f>H353+0.05</f>
        <v>0.1</v>
      </c>
      <c r="J353" s="216">
        <f>I353+0.05</f>
        <v>0.15000000000000002</v>
      </c>
      <c r="K353" s="217">
        <f>J353+0.05</f>
        <v>0.2</v>
      </c>
      <c r="V353" s="192"/>
      <c r="W353" s="127"/>
      <c r="X353" s="127"/>
      <c r="Y353" s="127"/>
      <c r="Z353" s="127"/>
      <c r="AA353" s="127"/>
      <c r="AB353" s="127"/>
      <c r="AC353" s="127"/>
      <c r="AD353" s="127"/>
      <c r="AE353" s="127"/>
      <c r="AF353" s="127"/>
      <c r="AG353" s="127"/>
      <c r="AH353" s="192"/>
      <c r="AI353" s="192"/>
      <c r="AJ353" s="192"/>
      <c r="AK353" s="192"/>
      <c r="AL353" s="192"/>
      <c r="AM353" s="192"/>
      <c r="AN353" s="192"/>
      <c r="AO353" s="192"/>
      <c r="AP353" s="192"/>
    </row>
    <row r="354" spans="1:42" s="210" customFormat="1" ht="15" customHeight="1">
      <c r="A354" s="209"/>
      <c r="C354" s="211"/>
      <c r="D354" s="218" t="s">
        <v>347</v>
      </c>
      <c r="E354" s="128" t="s">
        <v>153</v>
      </c>
      <c r="G354" s="219">
        <f>NPV(G$353,$H$344:$BD$344)+$G$344</f>
        <v>3595.3866000000007</v>
      </c>
      <c r="H354" s="219">
        <f>NPV(H$353,$H$344:$BD$344)+$G$344</f>
        <v>2698.9507673649487</v>
      </c>
      <c r="I354" s="219">
        <f>NPV(I$353,$H$344:$BD$344)+$G$344</f>
        <v>2122.6807782108376</v>
      </c>
      <c r="J354" s="219">
        <f>NPV(J$353,$H$344:$BD$344)+$G$344</f>
        <v>1731.3019389917135</v>
      </c>
      <c r="K354" s="220">
        <f>NPV(K$353,$H$344:$BD$344)+$G$344</f>
        <v>1453.0615783971891</v>
      </c>
      <c r="V354" s="192"/>
      <c r="W354" s="127"/>
      <c r="X354" s="127"/>
      <c r="Y354" s="127"/>
      <c r="Z354" s="127"/>
      <c r="AA354" s="127"/>
      <c r="AB354" s="127"/>
      <c r="AC354" s="127"/>
      <c r="AD354" s="127"/>
      <c r="AE354" s="127"/>
      <c r="AF354" s="127"/>
      <c r="AG354" s="127"/>
      <c r="AH354" s="192"/>
      <c r="AI354" s="192"/>
      <c r="AJ354" s="192"/>
      <c r="AK354" s="192"/>
      <c r="AL354" s="192"/>
      <c r="AM354" s="192"/>
      <c r="AN354" s="192"/>
      <c r="AO354" s="192"/>
      <c r="AP354" s="192"/>
    </row>
    <row r="355" spans="1:42" s="210" customFormat="1" ht="15" customHeight="1">
      <c r="A355" s="209"/>
      <c r="C355" s="211"/>
      <c r="D355" s="89" t="s">
        <v>342</v>
      </c>
      <c r="E355" s="128" t="s">
        <v>153</v>
      </c>
      <c r="G355" s="219">
        <f>NPV(G$353,$H$345:$BD$345)+$G$345</f>
        <v>1589.7471455289749</v>
      </c>
      <c r="H355" s="219">
        <f>NPV(H$353,$H$345:$BD$345)+$G$345</f>
        <v>1193.9012497169338</v>
      </c>
      <c r="I355" s="219">
        <f>NPV(I$353,$H$345:$BD$345)+$G$345</f>
        <v>939.78916083545425</v>
      </c>
      <c r="J355" s="219">
        <f>NPV(J$353,$H$345:$BD$345)+$G$345</f>
        <v>767.34908359275278</v>
      </c>
      <c r="K355" s="220">
        <f>NPV(K$353,$H$345:$BD$345)+$G$345</f>
        <v>644.76297753840026</v>
      </c>
      <c r="V355" s="192"/>
      <c r="W355" s="127"/>
      <c r="X355" s="127"/>
      <c r="Y355" s="127"/>
      <c r="Z355" s="127"/>
      <c r="AA355" s="127"/>
      <c r="AB355" s="127"/>
      <c r="AC355" s="127"/>
      <c r="AD355" s="127"/>
      <c r="AE355" s="127"/>
      <c r="AF355" s="127"/>
      <c r="AG355" s="127"/>
      <c r="AH355" s="192"/>
      <c r="AI355" s="192"/>
      <c r="AJ355" s="192"/>
      <c r="AK355" s="192"/>
      <c r="AL355" s="192"/>
      <c r="AM355" s="192"/>
      <c r="AN355" s="192"/>
      <c r="AO355" s="192"/>
      <c r="AP355" s="192"/>
    </row>
    <row r="356" spans="1:42" s="210" customFormat="1" ht="15" customHeight="1">
      <c r="A356" s="209"/>
      <c r="C356" s="211"/>
      <c r="D356" s="73" t="s">
        <v>329</v>
      </c>
      <c r="E356" s="128" t="s">
        <v>153</v>
      </c>
      <c r="G356" s="219">
        <f>NPV(G$353,$H$346:$BD$346)+$G$346</f>
        <v>2005.6394544710254</v>
      </c>
      <c r="H356" s="219">
        <f>NPV(H$353,$H$346:$BD$346)+$G$346</f>
        <v>1505.0495176480138</v>
      </c>
      <c r="I356" s="219">
        <f>NPV(I$353,$H$346:$BD$346)+$G$346</f>
        <v>1182.8916173753835</v>
      </c>
      <c r="J356" s="219">
        <f>NPV(J$353,$H$346:$BD$346)+$G$346</f>
        <v>963.95285539896122</v>
      </c>
      <c r="K356" s="220">
        <f>NPV(K$353,$H$346:$BD$346)+$G$346</f>
        <v>808.29860085878886</v>
      </c>
      <c r="V356" s="192"/>
      <c r="W356" s="127"/>
      <c r="X356" s="127"/>
      <c r="Y356" s="127"/>
      <c r="Z356" s="127"/>
      <c r="AA356" s="127"/>
      <c r="AB356" s="127"/>
      <c r="AC356" s="127"/>
      <c r="AD356" s="127"/>
      <c r="AE356" s="127"/>
      <c r="AF356" s="127"/>
      <c r="AG356" s="127"/>
      <c r="AH356" s="192"/>
      <c r="AI356" s="192"/>
      <c r="AJ356" s="192"/>
      <c r="AK356" s="192"/>
      <c r="AL356" s="192"/>
      <c r="AM356" s="192"/>
      <c r="AN356" s="192"/>
      <c r="AO356" s="192"/>
      <c r="AP356" s="192"/>
    </row>
    <row r="357" spans="1:42" s="210" customFormat="1" ht="15" customHeight="1">
      <c r="A357" s="209"/>
      <c r="C357" s="211"/>
      <c r="D357" s="73" t="s">
        <v>292</v>
      </c>
      <c r="E357" s="128" t="s">
        <v>153</v>
      </c>
      <c r="G357" s="221">
        <f>NPV(G$353,$H$347:$S$347)+$G$347</f>
        <v>0</v>
      </c>
      <c r="H357" s="221">
        <f>NPV(H$353,$H$347:$S$347)+$G$347</f>
        <v>0</v>
      </c>
      <c r="I357" s="221">
        <f>NPV(I$353,$H$347:$S$347)+$G$347</f>
        <v>0</v>
      </c>
      <c r="J357" s="221">
        <f>NPV(J$353,$H$347:$S$347)+$G$347</f>
        <v>0</v>
      </c>
      <c r="K357" s="222">
        <f>NPV(K$353,$H$347:$S$347)+$G$347</f>
        <v>0</v>
      </c>
      <c r="V357" s="192"/>
      <c r="W357" s="127"/>
      <c r="X357" s="127"/>
      <c r="Y357" s="127"/>
      <c r="Z357" s="127"/>
      <c r="AA357" s="127"/>
      <c r="AB357" s="127"/>
      <c r="AC357" s="127"/>
      <c r="AD357" s="127"/>
      <c r="AE357" s="127"/>
      <c r="AF357" s="127"/>
      <c r="AG357" s="127"/>
      <c r="AH357" s="192"/>
      <c r="AI357" s="192"/>
      <c r="AJ357" s="192"/>
      <c r="AK357" s="192"/>
      <c r="AL357" s="192"/>
      <c r="AM357" s="192"/>
      <c r="AN357" s="192"/>
      <c r="AO357" s="192"/>
      <c r="AP357" s="192"/>
    </row>
    <row r="358" spans="1:42" s="210" customFormat="1" ht="15" customHeight="1">
      <c r="A358" s="209"/>
      <c r="C358" s="211"/>
      <c r="D358" s="223" t="s">
        <v>357</v>
      </c>
      <c r="E358" s="212" t="s">
        <v>358</v>
      </c>
      <c r="G358" s="224">
        <f>G355/G354</f>
        <v>0.44216306127663008</v>
      </c>
      <c r="H358" s="224">
        <f>H355/H354</f>
        <v>0.44235755025741674</v>
      </c>
      <c r="I358" s="224">
        <f>I355/I354</f>
        <v>0.44273692515724505</v>
      </c>
      <c r="J358" s="224">
        <f>J355/J354</f>
        <v>0.44322083070018758</v>
      </c>
      <c r="K358" s="225">
        <f>K355/K354</f>
        <v>0.44372722197335301</v>
      </c>
      <c r="W358" s="226"/>
      <c r="X358" s="226"/>
      <c r="Y358" s="226"/>
      <c r="Z358" s="226"/>
      <c r="AA358" s="226"/>
      <c r="AB358" s="226"/>
      <c r="AC358" s="226"/>
      <c r="AD358" s="226"/>
      <c r="AE358" s="226"/>
      <c r="AF358" s="226"/>
      <c r="AG358" s="226"/>
    </row>
    <row r="359" spans="1:42" s="210" customFormat="1" ht="15" customHeight="1">
      <c r="A359" s="209"/>
      <c r="C359" s="211"/>
      <c r="D359" s="223" t="s">
        <v>352</v>
      </c>
      <c r="E359" s="128" t="s">
        <v>153</v>
      </c>
      <c r="G359" s="219">
        <f>NPV(G$353,$H$348:$BD$348)+$G$348</f>
        <v>4002.3866000000007</v>
      </c>
      <c r="H359" s="219">
        <f>NPV(H$353,$H$348:$BD$348)+$G$348</f>
        <v>3047.1128315391934</v>
      </c>
      <c r="I359" s="219">
        <f>NPV(I$353,$H$348:$BD$348)+$G$348</f>
        <v>2430.8771619574591</v>
      </c>
      <c r="J359" s="219">
        <f>NPV(J$353,$B$348:$BD$348)+$G$348</f>
        <v>5180.5498679903258</v>
      </c>
      <c r="K359" s="220">
        <f>NPV(K$353,$B$348:$BD$348)+$G$348</f>
        <v>4702.8394179717707</v>
      </c>
      <c r="W359" s="226"/>
      <c r="X359" s="226"/>
      <c r="Y359" s="226"/>
      <c r="Z359" s="226"/>
      <c r="AA359" s="226"/>
      <c r="AB359" s="226"/>
      <c r="AC359" s="226"/>
      <c r="AD359" s="226"/>
      <c r="AE359" s="226"/>
      <c r="AF359" s="226"/>
      <c r="AG359" s="226"/>
    </row>
    <row r="360" spans="1:42" s="210" customFormat="1" ht="15" customHeight="1">
      <c r="A360" s="209"/>
      <c r="C360" s="211"/>
      <c r="D360" s="223" t="s">
        <v>359</v>
      </c>
      <c r="E360" s="212" t="s">
        <v>358</v>
      </c>
      <c r="G360" s="224">
        <f>G355/G359</f>
        <v>0.39719979712329007</v>
      </c>
      <c r="H360" s="224">
        <f>H355/H359</f>
        <v>0.39181392869979692</v>
      </c>
      <c r="I360" s="224">
        <f>I355/I359</f>
        <v>0.3866049570677158</v>
      </c>
      <c r="J360" s="224">
        <f>J355/J359</f>
        <v>0.14812116534850153</v>
      </c>
      <c r="K360" s="225">
        <f>K355/K359</f>
        <v>0.13710078534139533</v>
      </c>
      <c r="W360" s="226"/>
      <c r="X360" s="226"/>
      <c r="Y360" s="226"/>
      <c r="Z360" s="226"/>
      <c r="AA360" s="226"/>
      <c r="AB360" s="226"/>
      <c r="AC360" s="226"/>
      <c r="AD360" s="226"/>
      <c r="AE360" s="226"/>
      <c r="AF360" s="226"/>
      <c r="AG360" s="226"/>
    </row>
    <row r="361" spans="1:42" s="210" customFormat="1" ht="15" customHeight="1">
      <c r="A361" s="209"/>
      <c r="C361" s="211"/>
      <c r="D361" s="73" t="s">
        <v>346</v>
      </c>
      <c r="E361" s="128" t="s">
        <v>153</v>
      </c>
      <c r="G361" s="211">
        <f>NPV(G$353,$H$278:$S$278)+$G$278</f>
        <v>0</v>
      </c>
      <c r="H361" s="211">
        <f>NPV(H$353,$H$278:$S$278)+$G$278</f>
        <v>0</v>
      </c>
      <c r="I361" s="211">
        <f>NPV(I$353,$H$278:$S$278)+$G$278</f>
        <v>0</v>
      </c>
      <c r="J361" s="211">
        <f>NPV(J$353,$H$278:$S$278)+$G$278</f>
        <v>0</v>
      </c>
      <c r="K361" s="227">
        <f>NPV(K$353,$H$278:$S$278)+$G$278</f>
        <v>0</v>
      </c>
      <c r="W361" s="226"/>
      <c r="X361" s="226"/>
      <c r="Y361" s="226"/>
      <c r="Z361" s="226"/>
      <c r="AA361" s="226"/>
      <c r="AB361" s="226"/>
      <c r="AC361" s="226"/>
      <c r="AD361" s="226"/>
      <c r="AE361" s="226"/>
      <c r="AF361" s="226"/>
      <c r="AG361" s="226"/>
    </row>
    <row r="362" spans="1:42" s="210" customFormat="1" ht="15" customHeight="1">
      <c r="A362" s="209"/>
      <c r="C362" s="211"/>
      <c r="D362" s="228" t="s">
        <v>360</v>
      </c>
      <c r="E362" s="229"/>
      <c r="F362" s="230"/>
      <c r="G362" s="231" t="b">
        <f>ROUND(G354-SUM(G355:G357,G361),5)=0</f>
        <v>1</v>
      </c>
      <c r="H362" s="231" t="b">
        <f>ROUND(H354-SUM(H355:H357,H361),5)=0</f>
        <v>1</v>
      </c>
      <c r="I362" s="231" t="b">
        <f>ROUND(I354-SUM(I355:I357,I361),5)=0</f>
        <v>1</v>
      </c>
      <c r="J362" s="231" t="b">
        <f>ROUND(J354-SUM(J355:J357,J361),5)=0</f>
        <v>1</v>
      </c>
      <c r="K362" s="232" t="b">
        <f>ROUND(K354-SUM(K355:K357,K361),5)=0</f>
        <v>1</v>
      </c>
      <c r="W362" s="226"/>
      <c r="X362" s="226"/>
      <c r="Y362" s="226"/>
      <c r="Z362" s="226"/>
      <c r="AA362" s="226"/>
      <c r="AB362" s="226"/>
      <c r="AC362" s="226"/>
      <c r="AD362" s="226"/>
      <c r="AE362" s="226"/>
      <c r="AF362" s="226"/>
      <c r="AG362" s="226"/>
    </row>
    <row r="363" spans="1:42" ht="15" customHeight="1">
      <c r="C363" s="112"/>
      <c r="D363" s="33"/>
    </row>
    <row r="364" spans="1:42" ht="15" customHeight="1">
      <c r="C364" s="112"/>
      <c r="D364" s="33"/>
    </row>
    <row r="365" spans="1:42" ht="15" customHeight="1">
      <c r="C365" s="112"/>
      <c r="D365" s="233" t="s">
        <v>361</v>
      </c>
      <c r="E365" s="64"/>
      <c r="F365" s="64"/>
      <c r="G365" s="216">
        <v>0</v>
      </c>
      <c r="H365" s="216">
        <f>G365+0.05</f>
        <v>0.05</v>
      </c>
      <c r="I365" s="216">
        <f>H365+0.05</f>
        <v>0.1</v>
      </c>
      <c r="J365" s="216">
        <f>I365+0.05</f>
        <v>0.15000000000000002</v>
      </c>
      <c r="K365" s="217">
        <f>J365+0.05</f>
        <v>0.2</v>
      </c>
    </row>
    <row r="366" spans="1:42" ht="15" customHeight="1">
      <c r="C366" s="112"/>
      <c r="D366" s="73"/>
      <c r="F366" s="55" t="s">
        <v>362</v>
      </c>
      <c r="G366" s="112">
        <f>G355/G359</f>
        <v>0.39719979712329007</v>
      </c>
      <c r="H366" s="112">
        <f>H355/H359</f>
        <v>0.39181392869979692</v>
      </c>
      <c r="I366" s="112">
        <f>I355/I359</f>
        <v>0.3866049570677158</v>
      </c>
      <c r="J366" s="112">
        <f>J355/J359</f>
        <v>0.14812116534850153</v>
      </c>
      <c r="K366" s="234">
        <f>K355/K359</f>
        <v>0.13710078534139533</v>
      </c>
    </row>
    <row r="367" spans="1:42" ht="15" customHeight="1">
      <c r="C367" s="112"/>
      <c r="D367" s="73"/>
      <c r="F367" s="55" t="s">
        <v>363</v>
      </c>
      <c r="G367" s="112">
        <f>G356/G359</f>
        <v>0.50111087581370206</v>
      </c>
      <c r="H367" s="112">
        <f>H356/H359</f>
        <v>0.49392641521835784</v>
      </c>
      <c r="I367" s="112">
        <f>I356/I359</f>
        <v>0.48661102086411573</v>
      </c>
      <c r="J367" s="112">
        <f>J356/J359</f>
        <v>0.18607153293804782</v>
      </c>
      <c r="K367" s="234">
        <f>K356/K359</f>
        <v>0.17187459086310669</v>
      </c>
    </row>
    <row r="368" spans="1:42" ht="15" customHeight="1">
      <c r="C368" s="112"/>
      <c r="D368" s="73"/>
      <c r="F368" s="55" t="s">
        <v>364</v>
      </c>
      <c r="G368" s="112">
        <f>G357/G359</f>
        <v>0</v>
      </c>
      <c r="H368" s="112">
        <f>H357/H359</f>
        <v>0</v>
      </c>
      <c r="I368" s="112">
        <f>I357/I359</f>
        <v>0</v>
      </c>
      <c r="J368" s="112">
        <f>J357/J359</f>
        <v>0</v>
      </c>
      <c r="K368" s="234">
        <f>K357/K359</f>
        <v>0</v>
      </c>
    </row>
    <row r="369" spans="1:56" ht="15" customHeight="1">
      <c r="C369" s="112"/>
      <c r="D369" s="79"/>
      <c r="E369" s="80"/>
      <c r="F369" s="80" t="s">
        <v>365</v>
      </c>
      <c r="G369" s="235">
        <f>1-SUM(G366:G368)</f>
        <v>0.10168932706300793</v>
      </c>
      <c r="H369" s="235">
        <f>1-SUM(H366:H368)</f>
        <v>0.11425965608184518</v>
      </c>
      <c r="I369" s="235">
        <f>1-SUM(I366:I368)</f>
        <v>0.12678402206816841</v>
      </c>
      <c r="J369" s="235">
        <f>1-SUM(J366:J368)</f>
        <v>0.66580730171345071</v>
      </c>
      <c r="K369" s="236">
        <f>1-SUM(K366:K368)</f>
        <v>0.69102462379549801</v>
      </c>
    </row>
    <row r="370" spans="1:56" ht="15" customHeight="1">
      <c r="C370" s="112"/>
      <c r="G370" s="112"/>
    </row>
    <row r="371" spans="1:56" s="149" customFormat="1" ht="30" customHeight="1">
      <c r="A371" s="148" t="s">
        <v>7</v>
      </c>
    </row>
    <row r="372" spans="1:56" s="210" customFormat="1" ht="15" customHeight="1">
      <c r="A372" s="209"/>
      <c r="B372" s="237"/>
      <c r="C372" s="211"/>
      <c r="E372" s="212"/>
      <c r="W372" s="226"/>
      <c r="X372" s="226"/>
      <c r="Y372" s="226"/>
      <c r="Z372" s="226"/>
      <c r="AA372" s="226"/>
      <c r="AB372" s="226"/>
      <c r="AC372" s="226"/>
      <c r="AD372" s="226"/>
      <c r="AE372" s="226"/>
      <c r="AF372" s="226"/>
      <c r="AG372" s="226"/>
    </row>
    <row r="373" spans="1:56" ht="15" customHeight="1">
      <c r="C373" s="170" t="s">
        <v>149</v>
      </c>
      <c r="D373" s="238" t="s">
        <v>366</v>
      </c>
      <c r="E373" s="41"/>
      <c r="F373" s="203"/>
      <c r="G373" s="126">
        <f t="shared" ref="G373:AL373" si="365">G$2</f>
        <v>1</v>
      </c>
      <c r="H373" s="126">
        <f t="shared" si="365"/>
        <v>2</v>
      </c>
      <c r="I373" s="126">
        <f t="shared" si="365"/>
        <v>3</v>
      </c>
      <c r="J373" s="126">
        <f t="shared" si="365"/>
        <v>4</v>
      </c>
      <c r="K373" s="126">
        <f t="shared" si="365"/>
        <v>5</v>
      </c>
      <c r="L373" s="126">
        <f t="shared" si="365"/>
        <v>6</v>
      </c>
      <c r="M373" s="126">
        <f t="shared" si="365"/>
        <v>7</v>
      </c>
      <c r="N373" s="126">
        <f t="shared" si="365"/>
        <v>8</v>
      </c>
      <c r="O373" s="126">
        <f t="shared" si="365"/>
        <v>9</v>
      </c>
      <c r="P373" s="126">
        <f t="shared" si="365"/>
        <v>10</v>
      </c>
      <c r="Q373" s="126">
        <f t="shared" si="365"/>
        <v>11</v>
      </c>
      <c r="R373" s="126">
        <f t="shared" si="365"/>
        <v>12</v>
      </c>
      <c r="S373" s="126">
        <f t="shared" si="365"/>
        <v>13</v>
      </c>
      <c r="T373" s="126">
        <f t="shared" si="365"/>
        <v>14</v>
      </c>
      <c r="U373" s="126">
        <f t="shared" si="365"/>
        <v>15</v>
      </c>
      <c r="V373" s="126">
        <f t="shared" si="365"/>
        <v>16</v>
      </c>
      <c r="W373" s="126">
        <f t="shared" si="365"/>
        <v>17</v>
      </c>
      <c r="X373" s="126">
        <f t="shared" si="365"/>
        <v>18</v>
      </c>
      <c r="Y373" s="126">
        <f t="shared" si="365"/>
        <v>19</v>
      </c>
      <c r="Z373" s="126">
        <f t="shared" si="365"/>
        <v>20</v>
      </c>
      <c r="AA373" s="126">
        <f t="shared" si="365"/>
        <v>21</v>
      </c>
      <c r="AB373" s="126">
        <f t="shared" si="365"/>
        <v>22</v>
      </c>
      <c r="AC373" s="126">
        <f t="shared" si="365"/>
        <v>23</v>
      </c>
      <c r="AD373" s="126">
        <f t="shared" si="365"/>
        <v>24</v>
      </c>
      <c r="AE373" s="126">
        <f t="shared" si="365"/>
        <v>25</v>
      </c>
      <c r="AF373" s="126">
        <f t="shared" si="365"/>
        <v>26</v>
      </c>
      <c r="AG373" s="126">
        <f t="shared" si="365"/>
        <v>27</v>
      </c>
      <c r="AH373" s="126">
        <f t="shared" si="365"/>
        <v>28</v>
      </c>
      <c r="AI373" s="126">
        <f t="shared" si="365"/>
        <v>29</v>
      </c>
      <c r="AJ373" s="126">
        <f t="shared" si="365"/>
        <v>30</v>
      </c>
      <c r="AK373" s="126">
        <f t="shared" si="365"/>
        <v>31</v>
      </c>
      <c r="AL373" s="126">
        <f t="shared" si="365"/>
        <v>32</v>
      </c>
      <c r="AM373" s="126">
        <f t="shared" ref="AM373:BD373" si="366">AM$2</f>
        <v>33</v>
      </c>
      <c r="AN373" s="126">
        <f t="shared" si="366"/>
        <v>34</v>
      </c>
      <c r="AO373" s="126">
        <f t="shared" si="366"/>
        <v>35</v>
      </c>
      <c r="AP373" s="126">
        <f t="shared" si="366"/>
        <v>36</v>
      </c>
      <c r="AQ373" s="126">
        <f t="shared" si="366"/>
        <v>37</v>
      </c>
      <c r="AR373" s="126">
        <f t="shared" si="366"/>
        <v>38</v>
      </c>
      <c r="AS373" s="126">
        <f t="shared" si="366"/>
        <v>39</v>
      </c>
      <c r="AT373" s="126">
        <f t="shared" si="366"/>
        <v>40</v>
      </c>
      <c r="AU373" s="126">
        <f t="shared" si="366"/>
        <v>41</v>
      </c>
      <c r="AV373" s="126">
        <f t="shared" si="366"/>
        <v>42</v>
      </c>
      <c r="AW373" s="126">
        <f t="shared" si="366"/>
        <v>43</v>
      </c>
      <c r="AX373" s="126">
        <f t="shared" si="366"/>
        <v>44</v>
      </c>
      <c r="AY373" s="126">
        <f t="shared" si="366"/>
        <v>45</v>
      </c>
      <c r="AZ373" s="126">
        <f t="shared" si="366"/>
        <v>46</v>
      </c>
      <c r="BA373" s="126">
        <f t="shared" si="366"/>
        <v>47</v>
      </c>
      <c r="BB373" s="126">
        <f t="shared" si="366"/>
        <v>48</v>
      </c>
      <c r="BC373" s="126">
        <f t="shared" si="366"/>
        <v>49</v>
      </c>
      <c r="BD373" s="126">
        <f t="shared" si="366"/>
        <v>50</v>
      </c>
    </row>
    <row r="374" spans="1:56" s="210" customFormat="1" ht="15" customHeight="1">
      <c r="A374" s="209"/>
      <c r="B374" s="237"/>
      <c r="C374" s="152">
        <f t="shared" ref="C374:C386" si="367">SUM(G374:BD374)</f>
        <v>0</v>
      </c>
      <c r="D374" s="55" t="s">
        <v>64</v>
      </c>
      <c r="E374" s="128" t="s">
        <v>153</v>
      </c>
      <c r="G374" s="210">
        <f t="shared" ref="G374:AL374" si="368">G307</f>
        <v>0</v>
      </c>
      <c r="H374" s="210">
        <f t="shared" si="368"/>
        <v>0</v>
      </c>
      <c r="I374" s="210">
        <f t="shared" si="368"/>
        <v>0</v>
      </c>
      <c r="J374" s="210">
        <f t="shared" si="368"/>
        <v>0</v>
      </c>
      <c r="K374" s="210">
        <f t="shared" si="368"/>
        <v>0</v>
      </c>
      <c r="L374" s="210">
        <f t="shared" si="368"/>
        <v>0</v>
      </c>
      <c r="M374" s="210">
        <f t="shared" si="368"/>
        <v>0</v>
      </c>
      <c r="N374" s="210">
        <f t="shared" si="368"/>
        <v>0</v>
      </c>
      <c r="O374" s="210">
        <f t="shared" si="368"/>
        <v>0</v>
      </c>
      <c r="P374" s="210">
        <f t="shared" si="368"/>
        <v>0</v>
      </c>
      <c r="Q374" s="210">
        <f t="shared" si="368"/>
        <v>0</v>
      </c>
      <c r="R374" s="210">
        <f t="shared" si="368"/>
        <v>0</v>
      </c>
      <c r="S374" s="210">
        <f t="shared" si="368"/>
        <v>0</v>
      </c>
      <c r="T374" s="210">
        <f t="shared" si="368"/>
        <v>0</v>
      </c>
      <c r="U374" s="210">
        <f t="shared" si="368"/>
        <v>0</v>
      </c>
      <c r="V374" s="210">
        <f t="shared" si="368"/>
        <v>0</v>
      </c>
      <c r="W374" s="210">
        <f t="shared" si="368"/>
        <v>0</v>
      </c>
      <c r="X374" s="210">
        <f t="shared" si="368"/>
        <v>0</v>
      </c>
      <c r="Y374" s="210">
        <f t="shared" si="368"/>
        <v>0</v>
      </c>
      <c r="Z374" s="210">
        <f t="shared" si="368"/>
        <v>0</v>
      </c>
      <c r="AA374" s="210">
        <f t="shared" si="368"/>
        <v>0</v>
      </c>
      <c r="AB374" s="210">
        <f t="shared" si="368"/>
        <v>0</v>
      </c>
      <c r="AC374" s="210">
        <f t="shared" si="368"/>
        <v>0</v>
      </c>
      <c r="AD374" s="210">
        <f t="shared" si="368"/>
        <v>0</v>
      </c>
      <c r="AE374" s="210">
        <f t="shared" si="368"/>
        <v>0</v>
      </c>
      <c r="AF374" s="210">
        <f t="shared" si="368"/>
        <v>0</v>
      </c>
      <c r="AG374" s="210">
        <f t="shared" si="368"/>
        <v>0</v>
      </c>
      <c r="AH374" s="210">
        <f t="shared" si="368"/>
        <v>0</v>
      </c>
      <c r="AI374" s="210">
        <f t="shared" si="368"/>
        <v>0</v>
      </c>
      <c r="AJ374" s="210">
        <f t="shared" si="368"/>
        <v>0</v>
      </c>
      <c r="AK374" s="210">
        <f t="shared" si="368"/>
        <v>0</v>
      </c>
      <c r="AL374" s="210">
        <f t="shared" si="368"/>
        <v>0</v>
      </c>
      <c r="AM374" s="210">
        <f t="shared" ref="AM374:BD374" si="369">AM307</f>
        <v>0</v>
      </c>
      <c r="AN374" s="210">
        <f t="shared" si="369"/>
        <v>0</v>
      </c>
      <c r="AO374" s="210">
        <f t="shared" si="369"/>
        <v>0</v>
      </c>
      <c r="AP374" s="210">
        <f t="shared" si="369"/>
        <v>0</v>
      </c>
      <c r="AQ374" s="210">
        <f t="shared" si="369"/>
        <v>0</v>
      </c>
      <c r="AR374" s="210">
        <f t="shared" si="369"/>
        <v>0</v>
      </c>
      <c r="AS374" s="210">
        <f t="shared" si="369"/>
        <v>0</v>
      </c>
      <c r="AT374" s="210">
        <f t="shared" si="369"/>
        <v>0</v>
      </c>
      <c r="AU374" s="210">
        <f t="shared" si="369"/>
        <v>0</v>
      </c>
      <c r="AV374" s="210">
        <f t="shared" si="369"/>
        <v>0</v>
      </c>
      <c r="AW374" s="210">
        <f t="shared" si="369"/>
        <v>0</v>
      </c>
      <c r="AX374" s="210">
        <f t="shared" si="369"/>
        <v>0</v>
      </c>
      <c r="AY374" s="210">
        <f t="shared" si="369"/>
        <v>0</v>
      </c>
      <c r="AZ374" s="210">
        <f t="shared" si="369"/>
        <v>0</v>
      </c>
      <c r="BA374" s="210">
        <f t="shared" si="369"/>
        <v>0</v>
      </c>
      <c r="BB374" s="210">
        <f t="shared" si="369"/>
        <v>0</v>
      </c>
      <c r="BC374" s="210">
        <f t="shared" si="369"/>
        <v>0</v>
      </c>
      <c r="BD374" s="210">
        <f t="shared" si="369"/>
        <v>0</v>
      </c>
    </row>
    <row r="375" spans="1:56" s="210" customFormat="1" ht="15" customHeight="1">
      <c r="A375" s="209"/>
      <c r="B375" s="237"/>
      <c r="C375" s="152">
        <f t="shared" si="367"/>
        <v>0</v>
      </c>
      <c r="D375" s="55" t="s">
        <v>232</v>
      </c>
      <c r="E375" s="212" t="s">
        <v>153</v>
      </c>
      <c r="G375" s="210">
        <f t="shared" ref="G375:AL375" si="370">G308</f>
        <v>0</v>
      </c>
      <c r="H375" s="210">
        <f t="shared" si="370"/>
        <v>0</v>
      </c>
      <c r="I375" s="210">
        <f t="shared" si="370"/>
        <v>0</v>
      </c>
      <c r="J375" s="210">
        <f t="shared" si="370"/>
        <v>0</v>
      </c>
      <c r="K375" s="210">
        <f t="shared" si="370"/>
        <v>0</v>
      </c>
      <c r="L375" s="210">
        <f t="shared" si="370"/>
        <v>0</v>
      </c>
      <c r="M375" s="210">
        <f t="shared" si="370"/>
        <v>0</v>
      </c>
      <c r="N375" s="210">
        <f t="shared" si="370"/>
        <v>0</v>
      </c>
      <c r="O375" s="210">
        <f t="shared" si="370"/>
        <v>0</v>
      </c>
      <c r="P375" s="210">
        <f t="shared" si="370"/>
        <v>0</v>
      </c>
      <c r="Q375" s="210">
        <f t="shared" si="370"/>
        <v>0</v>
      </c>
      <c r="R375" s="210">
        <f t="shared" si="370"/>
        <v>0</v>
      </c>
      <c r="S375" s="210">
        <f t="shared" si="370"/>
        <v>0</v>
      </c>
      <c r="T375" s="210">
        <f t="shared" si="370"/>
        <v>0</v>
      </c>
      <c r="U375" s="210">
        <f t="shared" si="370"/>
        <v>0</v>
      </c>
      <c r="V375" s="210">
        <f t="shared" si="370"/>
        <v>0</v>
      </c>
      <c r="W375" s="210">
        <f t="shared" si="370"/>
        <v>0</v>
      </c>
      <c r="X375" s="210">
        <f t="shared" si="370"/>
        <v>0</v>
      </c>
      <c r="Y375" s="210">
        <f t="shared" si="370"/>
        <v>0</v>
      </c>
      <c r="Z375" s="210">
        <f t="shared" si="370"/>
        <v>0</v>
      </c>
      <c r="AA375" s="210">
        <f t="shared" si="370"/>
        <v>0</v>
      </c>
      <c r="AB375" s="210">
        <f t="shared" si="370"/>
        <v>0</v>
      </c>
      <c r="AC375" s="210">
        <f t="shared" si="370"/>
        <v>0</v>
      </c>
      <c r="AD375" s="210">
        <f t="shared" si="370"/>
        <v>0</v>
      </c>
      <c r="AE375" s="210">
        <f t="shared" si="370"/>
        <v>0</v>
      </c>
      <c r="AF375" s="210">
        <f t="shared" si="370"/>
        <v>0</v>
      </c>
      <c r="AG375" s="210">
        <f t="shared" si="370"/>
        <v>0</v>
      </c>
      <c r="AH375" s="210">
        <f t="shared" si="370"/>
        <v>0</v>
      </c>
      <c r="AI375" s="210">
        <f t="shared" si="370"/>
        <v>0</v>
      </c>
      <c r="AJ375" s="210">
        <f t="shared" si="370"/>
        <v>0</v>
      </c>
      <c r="AK375" s="210">
        <f t="shared" si="370"/>
        <v>0</v>
      </c>
      <c r="AL375" s="210">
        <f t="shared" si="370"/>
        <v>0</v>
      </c>
      <c r="AM375" s="210">
        <f t="shared" ref="AM375:BD375" si="371">AM308</f>
        <v>0</v>
      </c>
      <c r="AN375" s="210">
        <f t="shared" si="371"/>
        <v>0</v>
      </c>
      <c r="AO375" s="210">
        <f t="shared" si="371"/>
        <v>0</v>
      </c>
      <c r="AP375" s="210">
        <f t="shared" si="371"/>
        <v>0</v>
      </c>
      <c r="AQ375" s="210">
        <f t="shared" si="371"/>
        <v>0</v>
      </c>
      <c r="AR375" s="210">
        <f t="shared" si="371"/>
        <v>0</v>
      </c>
      <c r="AS375" s="210">
        <f t="shared" si="371"/>
        <v>0</v>
      </c>
      <c r="AT375" s="210">
        <f t="shared" si="371"/>
        <v>0</v>
      </c>
      <c r="AU375" s="210">
        <f t="shared" si="371"/>
        <v>0</v>
      </c>
      <c r="AV375" s="210">
        <f t="shared" si="371"/>
        <v>0</v>
      </c>
      <c r="AW375" s="210">
        <f t="shared" si="371"/>
        <v>0</v>
      </c>
      <c r="AX375" s="210">
        <f t="shared" si="371"/>
        <v>0</v>
      </c>
      <c r="AY375" s="210">
        <f t="shared" si="371"/>
        <v>0</v>
      </c>
      <c r="AZ375" s="210">
        <f t="shared" si="371"/>
        <v>0</v>
      </c>
      <c r="BA375" s="210">
        <f t="shared" si="371"/>
        <v>0</v>
      </c>
      <c r="BB375" s="210">
        <f t="shared" si="371"/>
        <v>0</v>
      </c>
      <c r="BC375" s="210">
        <f t="shared" si="371"/>
        <v>0</v>
      </c>
      <c r="BD375" s="210">
        <f t="shared" si="371"/>
        <v>0</v>
      </c>
    </row>
    <row r="376" spans="1:56" s="210" customFormat="1" ht="15" customHeight="1">
      <c r="A376" s="209"/>
      <c r="B376" s="237"/>
      <c r="C376" s="152">
        <f t="shared" si="367"/>
        <v>342.71999999999986</v>
      </c>
      <c r="D376" s="55" t="s">
        <v>66</v>
      </c>
      <c r="E376" s="212" t="s">
        <v>153</v>
      </c>
      <c r="G376" s="210">
        <f t="shared" ref="G376:AL376" si="372">G309</f>
        <v>19.600000000000001</v>
      </c>
      <c r="H376" s="210">
        <f t="shared" si="372"/>
        <v>28.720000000000002</v>
      </c>
      <c r="I376" s="210">
        <f t="shared" si="372"/>
        <v>28.800000000000004</v>
      </c>
      <c r="J376" s="210">
        <f t="shared" si="372"/>
        <v>32</v>
      </c>
      <c r="K376" s="210">
        <f t="shared" si="372"/>
        <v>32</v>
      </c>
      <c r="L376" s="210">
        <f t="shared" si="372"/>
        <v>32.000000000000007</v>
      </c>
      <c r="M376" s="210">
        <f t="shared" si="372"/>
        <v>32</v>
      </c>
      <c r="N376" s="210">
        <f t="shared" si="372"/>
        <v>25.6</v>
      </c>
      <c r="O376" s="210">
        <f t="shared" si="372"/>
        <v>13.84</v>
      </c>
      <c r="P376" s="210">
        <f t="shared" si="372"/>
        <v>13.84</v>
      </c>
      <c r="Q376" s="210">
        <f t="shared" si="372"/>
        <v>13.84</v>
      </c>
      <c r="R376" s="210">
        <f t="shared" si="372"/>
        <v>13.840000000000002</v>
      </c>
      <c r="S376" s="210">
        <f t="shared" si="372"/>
        <v>13.840000000000002</v>
      </c>
      <c r="T376" s="210">
        <f t="shared" si="372"/>
        <v>13.84</v>
      </c>
      <c r="U376" s="210">
        <f t="shared" si="372"/>
        <v>13.840000000000002</v>
      </c>
      <c r="V376" s="210">
        <f t="shared" si="372"/>
        <v>10.64</v>
      </c>
      <c r="W376" s="210">
        <f t="shared" si="372"/>
        <v>4.4800000000000004</v>
      </c>
      <c r="X376" s="210">
        <f t="shared" si="372"/>
        <v>0</v>
      </c>
      <c r="Y376" s="210">
        <f t="shared" si="372"/>
        <v>0</v>
      </c>
      <c r="Z376" s="210">
        <f t="shared" si="372"/>
        <v>0</v>
      </c>
      <c r="AA376" s="210">
        <f t="shared" si="372"/>
        <v>0</v>
      </c>
      <c r="AB376" s="210">
        <f t="shared" si="372"/>
        <v>0</v>
      </c>
      <c r="AC376" s="210">
        <f t="shared" si="372"/>
        <v>0</v>
      </c>
      <c r="AD376" s="210">
        <f t="shared" si="372"/>
        <v>0</v>
      </c>
      <c r="AE376" s="210">
        <f t="shared" si="372"/>
        <v>0</v>
      </c>
      <c r="AF376" s="210">
        <f t="shared" si="372"/>
        <v>0</v>
      </c>
      <c r="AG376" s="210">
        <f t="shared" si="372"/>
        <v>0</v>
      </c>
      <c r="AH376" s="210">
        <f t="shared" si="372"/>
        <v>0</v>
      </c>
      <c r="AI376" s="210">
        <f t="shared" si="372"/>
        <v>0</v>
      </c>
      <c r="AJ376" s="210">
        <f t="shared" si="372"/>
        <v>0</v>
      </c>
      <c r="AK376" s="210">
        <f t="shared" si="372"/>
        <v>0</v>
      </c>
      <c r="AL376" s="210">
        <f t="shared" si="372"/>
        <v>0</v>
      </c>
      <c r="AM376" s="210">
        <f t="shared" ref="AM376:BD376" si="373">AM309</f>
        <v>0</v>
      </c>
      <c r="AN376" s="210">
        <f t="shared" si="373"/>
        <v>0</v>
      </c>
      <c r="AO376" s="210">
        <f t="shared" si="373"/>
        <v>0</v>
      </c>
      <c r="AP376" s="210">
        <f t="shared" si="373"/>
        <v>0</v>
      </c>
      <c r="AQ376" s="210">
        <f t="shared" si="373"/>
        <v>0</v>
      </c>
      <c r="AR376" s="210">
        <f t="shared" si="373"/>
        <v>0</v>
      </c>
      <c r="AS376" s="210">
        <f t="shared" si="373"/>
        <v>0</v>
      </c>
      <c r="AT376" s="210">
        <f t="shared" si="373"/>
        <v>0</v>
      </c>
      <c r="AU376" s="210">
        <f t="shared" si="373"/>
        <v>0</v>
      </c>
      <c r="AV376" s="210">
        <f t="shared" si="373"/>
        <v>0</v>
      </c>
      <c r="AW376" s="210">
        <f t="shared" si="373"/>
        <v>0</v>
      </c>
      <c r="AX376" s="210">
        <f t="shared" si="373"/>
        <v>0</v>
      </c>
      <c r="AY376" s="210">
        <f t="shared" si="373"/>
        <v>0</v>
      </c>
      <c r="AZ376" s="210">
        <f t="shared" si="373"/>
        <v>0</v>
      </c>
      <c r="BA376" s="210">
        <f t="shared" si="373"/>
        <v>0</v>
      </c>
      <c r="BB376" s="210">
        <f t="shared" si="373"/>
        <v>0</v>
      </c>
      <c r="BC376" s="210">
        <f t="shared" si="373"/>
        <v>0</v>
      </c>
      <c r="BD376" s="210">
        <f t="shared" si="373"/>
        <v>0</v>
      </c>
    </row>
    <row r="377" spans="1:56" s="210" customFormat="1" ht="15" customHeight="1">
      <c r="A377" s="209"/>
      <c r="B377" s="237"/>
      <c r="C377" s="152">
        <f t="shared" si="367"/>
        <v>0</v>
      </c>
      <c r="D377" s="55" t="s">
        <v>221</v>
      </c>
      <c r="E377" s="212" t="s">
        <v>153</v>
      </c>
      <c r="G377" s="210">
        <f t="shared" ref="G377:AL377" si="374">G310</f>
        <v>0</v>
      </c>
      <c r="H377" s="210">
        <f t="shared" si="374"/>
        <v>0</v>
      </c>
      <c r="I377" s="210">
        <f t="shared" si="374"/>
        <v>0</v>
      </c>
      <c r="J377" s="210">
        <f t="shared" si="374"/>
        <v>0</v>
      </c>
      <c r="K377" s="210">
        <f t="shared" si="374"/>
        <v>0</v>
      </c>
      <c r="L377" s="210">
        <f t="shared" si="374"/>
        <v>0</v>
      </c>
      <c r="M377" s="210">
        <f t="shared" si="374"/>
        <v>0</v>
      </c>
      <c r="N377" s="210">
        <f t="shared" si="374"/>
        <v>0</v>
      </c>
      <c r="O377" s="210">
        <f t="shared" si="374"/>
        <v>0</v>
      </c>
      <c r="P377" s="210">
        <f t="shared" si="374"/>
        <v>0</v>
      </c>
      <c r="Q377" s="210">
        <f t="shared" si="374"/>
        <v>0</v>
      </c>
      <c r="R377" s="210">
        <f t="shared" si="374"/>
        <v>0</v>
      </c>
      <c r="S377" s="210">
        <f t="shared" si="374"/>
        <v>0</v>
      </c>
      <c r="T377" s="210">
        <f t="shared" si="374"/>
        <v>0</v>
      </c>
      <c r="U377" s="210">
        <f t="shared" si="374"/>
        <v>0</v>
      </c>
      <c r="V377" s="210">
        <f t="shared" si="374"/>
        <v>0</v>
      </c>
      <c r="W377" s="210">
        <f t="shared" si="374"/>
        <v>0</v>
      </c>
      <c r="X377" s="210">
        <f t="shared" si="374"/>
        <v>0</v>
      </c>
      <c r="Y377" s="210">
        <f t="shared" si="374"/>
        <v>0</v>
      </c>
      <c r="Z377" s="210">
        <f t="shared" si="374"/>
        <v>0</v>
      </c>
      <c r="AA377" s="210">
        <f t="shared" si="374"/>
        <v>0</v>
      </c>
      <c r="AB377" s="210">
        <f t="shared" si="374"/>
        <v>0</v>
      </c>
      <c r="AC377" s="210">
        <f t="shared" si="374"/>
        <v>0</v>
      </c>
      <c r="AD377" s="210">
        <f t="shared" si="374"/>
        <v>0</v>
      </c>
      <c r="AE377" s="210">
        <f t="shared" si="374"/>
        <v>0</v>
      </c>
      <c r="AF377" s="210">
        <f t="shared" si="374"/>
        <v>0</v>
      </c>
      <c r="AG377" s="210">
        <f t="shared" si="374"/>
        <v>0</v>
      </c>
      <c r="AH377" s="210">
        <f t="shared" si="374"/>
        <v>0</v>
      </c>
      <c r="AI377" s="210">
        <f t="shared" si="374"/>
        <v>0</v>
      </c>
      <c r="AJ377" s="210">
        <f t="shared" si="374"/>
        <v>0</v>
      </c>
      <c r="AK377" s="210">
        <f t="shared" si="374"/>
        <v>0</v>
      </c>
      <c r="AL377" s="210">
        <f t="shared" si="374"/>
        <v>0</v>
      </c>
      <c r="AM377" s="210">
        <f t="shared" ref="AM377:BD377" si="375">AM310</f>
        <v>0</v>
      </c>
      <c r="AN377" s="210">
        <f t="shared" si="375"/>
        <v>0</v>
      </c>
      <c r="AO377" s="210">
        <f t="shared" si="375"/>
        <v>0</v>
      </c>
      <c r="AP377" s="210">
        <f t="shared" si="375"/>
        <v>0</v>
      </c>
      <c r="AQ377" s="210">
        <f t="shared" si="375"/>
        <v>0</v>
      </c>
      <c r="AR377" s="210">
        <f t="shared" si="375"/>
        <v>0</v>
      </c>
      <c r="AS377" s="210">
        <f t="shared" si="375"/>
        <v>0</v>
      </c>
      <c r="AT377" s="210">
        <f t="shared" si="375"/>
        <v>0</v>
      </c>
      <c r="AU377" s="210">
        <f t="shared" si="375"/>
        <v>0</v>
      </c>
      <c r="AV377" s="210">
        <f t="shared" si="375"/>
        <v>0</v>
      </c>
      <c r="AW377" s="210">
        <f t="shared" si="375"/>
        <v>0</v>
      </c>
      <c r="AX377" s="210">
        <f t="shared" si="375"/>
        <v>0</v>
      </c>
      <c r="AY377" s="210">
        <f t="shared" si="375"/>
        <v>0</v>
      </c>
      <c r="AZ377" s="210">
        <f t="shared" si="375"/>
        <v>0</v>
      </c>
      <c r="BA377" s="210">
        <f t="shared" si="375"/>
        <v>0</v>
      </c>
      <c r="BB377" s="210">
        <f t="shared" si="375"/>
        <v>0</v>
      </c>
      <c r="BC377" s="210">
        <f t="shared" si="375"/>
        <v>0</v>
      </c>
      <c r="BD377" s="210">
        <f t="shared" si="375"/>
        <v>0</v>
      </c>
    </row>
    <row r="378" spans="1:56" s="210" customFormat="1" ht="15" customHeight="1">
      <c r="A378" s="209"/>
      <c r="B378" s="237"/>
      <c r="C378" s="152">
        <f t="shared" si="367"/>
        <v>0</v>
      </c>
      <c r="D378" s="103" t="s">
        <v>367</v>
      </c>
      <c r="E378" s="212" t="s">
        <v>153</v>
      </c>
      <c r="G378" s="210">
        <f t="shared" ref="G378:AL378" si="376">G311</f>
        <v>0</v>
      </c>
      <c r="H378" s="210">
        <f t="shared" si="376"/>
        <v>0</v>
      </c>
      <c r="I378" s="210">
        <f t="shared" si="376"/>
        <v>0</v>
      </c>
      <c r="J378" s="210">
        <f t="shared" si="376"/>
        <v>0</v>
      </c>
      <c r="K378" s="210">
        <f t="shared" si="376"/>
        <v>0</v>
      </c>
      <c r="L378" s="210">
        <f t="shared" si="376"/>
        <v>0</v>
      </c>
      <c r="M378" s="210">
        <f t="shared" si="376"/>
        <v>0</v>
      </c>
      <c r="N378" s="210">
        <f t="shared" si="376"/>
        <v>0</v>
      </c>
      <c r="O378" s="210">
        <f t="shared" si="376"/>
        <v>0</v>
      </c>
      <c r="P378" s="210">
        <f t="shared" si="376"/>
        <v>0</v>
      </c>
      <c r="Q378" s="210">
        <f t="shared" si="376"/>
        <v>0</v>
      </c>
      <c r="R378" s="210">
        <f t="shared" si="376"/>
        <v>0</v>
      </c>
      <c r="S378" s="210">
        <f t="shared" si="376"/>
        <v>0</v>
      </c>
      <c r="T378" s="210">
        <f t="shared" si="376"/>
        <v>0</v>
      </c>
      <c r="U378" s="210">
        <f t="shared" si="376"/>
        <v>0</v>
      </c>
      <c r="V378" s="210">
        <f t="shared" si="376"/>
        <v>0</v>
      </c>
      <c r="W378" s="210">
        <f t="shared" si="376"/>
        <v>0</v>
      </c>
      <c r="X378" s="210">
        <f t="shared" si="376"/>
        <v>0</v>
      </c>
      <c r="Y378" s="210">
        <f t="shared" si="376"/>
        <v>0</v>
      </c>
      <c r="Z378" s="210">
        <f t="shared" si="376"/>
        <v>0</v>
      </c>
      <c r="AA378" s="210">
        <f t="shared" si="376"/>
        <v>0</v>
      </c>
      <c r="AB378" s="210">
        <f t="shared" si="376"/>
        <v>0</v>
      </c>
      <c r="AC378" s="210">
        <f t="shared" si="376"/>
        <v>0</v>
      </c>
      <c r="AD378" s="210">
        <f t="shared" si="376"/>
        <v>0</v>
      </c>
      <c r="AE378" s="210">
        <f t="shared" si="376"/>
        <v>0</v>
      </c>
      <c r="AF378" s="210">
        <f t="shared" si="376"/>
        <v>0</v>
      </c>
      <c r="AG378" s="210">
        <f t="shared" si="376"/>
        <v>0</v>
      </c>
      <c r="AH378" s="210">
        <f t="shared" si="376"/>
        <v>0</v>
      </c>
      <c r="AI378" s="210">
        <f t="shared" si="376"/>
        <v>0</v>
      </c>
      <c r="AJ378" s="210">
        <f t="shared" si="376"/>
        <v>0</v>
      </c>
      <c r="AK378" s="210">
        <f t="shared" si="376"/>
        <v>0</v>
      </c>
      <c r="AL378" s="210">
        <f t="shared" si="376"/>
        <v>0</v>
      </c>
      <c r="AM378" s="210">
        <f t="shared" ref="AM378:BD378" si="377">AM311</f>
        <v>0</v>
      </c>
      <c r="AN378" s="210">
        <f t="shared" si="377"/>
        <v>0</v>
      </c>
      <c r="AO378" s="210">
        <f t="shared" si="377"/>
        <v>0</v>
      </c>
      <c r="AP378" s="210">
        <f t="shared" si="377"/>
        <v>0</v>
      </c>
      <c r="AQ378" s="210">
        <f t="shared" si="377"/>
        <v>0</v>
      </c>
      <c r="AR378" s="210">
        <f t="shared" si="377"/>
        <v>0</v>
      </c>
      <c r="AS378" s="210">
        <f t="shared" si="377"/>
        <v>0</v>
      </c>
      <c r="AT378" s="210">
        <f t="shared" si="377"/>
        <v>0</v>
      </c>
      <c r="AU378" s="210">
        <f t="shared" si="377"/>
        <v>0</v>
      </c>
      <c r="AV378" s="210">
        <f t="shared" si="377"/>
        <v>0</v>
      </c>
      <c r="AW378" s="210">
        <f t="shared" si="377"/>
        <v>0</v>
      </c>
      <c r="AX378" s="210">
        <f t="shared" si="377"/>
        <v>0</v>
      </c>
      <c r="AY378" s="210">
        <f t="shared" si="377"/>
        <v>0</v>
      </c>
      <c r="AZ378" s="210">
        <f t="shared" si="377"/>
        <v>0</v>
      </c>
      <c r="BA378" s="210">
        <f t="shared" si="377"/>
        <v>0</v>
      </c>
      <c r="BB378" s="210">
        <f t="shared" si="377"/>
        <v>0</v>
      </c>
      <c r="BC378" s="210">
        <f t="shared" si="377"/>
        <v>0</v>
      </c>
      <c r="BD378" s="210">
        <f t="shared" si="377"/>
        <v>0</v>
      </c>
    </row>
    <row r="379" spans="1:56" s="210" customFormat="1" ht="15" customHeight="1">
      <c r="A379" s="209"/>
      <c r="B379" s="237"/>
      <c r="C379" s="152">
        <f t="shared" si="367"/>
        <v>0</v>
      </c>
      <c r="D379" s="103" t="s">
        <v>124</v>
      </c>
      <c r="E379" s="212" t="s">
        <v>153</v>
      </c>
      <c r="G379" s="210">
        <f t="shared" ref="G379:AL379" si="378">G312</f>
        <v>0</v>
      </c>
      <c r="H379" s="210">
        <f t="shared" si="378"/>
        <v>0</v>
      </c>
      <c r="I379" s="210">
        <f t="shared" si="378"/>
        <v>0</v>
      </c>
      <c r="J379" s="210">
        <f t="shared" si="378"/>
        <v>0</v>
      </c>
      <c r="K379" s="210">
        <f t="shared" si="378"/>
        <v>0</v>
      </c>
      <c r="L379" s="210">
        <f t="shared" si="378"/>
        <v>0</v>
      </c>
      <c r="M379" s="210">
        <f t="shared" si="378"/>
        <v>0</v>
      </c>
      <c r="N379" s="210">
        <f t="shared" si="378"/>
        <v>0</v>
      </c>
      <c r="O379" s="210">
        <f t="shared" si="378"/>
        <v>0</v>
      </c>
      <c r="P379" s="210">
        <f t="shared" si="378"/>
        <v>0</v>
      </c>
      <c r="Q379" s="210">
        <f t="shared" si="378"/>
        <v>0</v>
      </c>
      <c r="R379" s="210">
        <f t="shared" si="378"/>
        <v>0</v>
      </c>
      <c r="S379" s="210">
        <f t="shared" si="378"/>
        <v>0</v>
      </c>
      <c r="T379" s="210">
        <f t="shared" si="378"/>
        <v>0</v>
      </c>
      <c r="U379" s="210">
        <f t="shared" si="378"/>
        <v>0</v>
      </c>
      <c r="V379" s="210">
        <f t="shared" si="378"/>
        <v>0</v>
      </c>
      <c r="W379" s="210">
        <f t="shared" si="378"/>
        <v>0</v>
      </c>
      <c r="X379" s="210">
        <f t="shared" si="378"/>
        <v>0</v>
      </c>
      <c r="Y379" s="210">
        <f t="shared" si="378"/>
        <v>0</v>
      </c>
      <c r="Z379" s="210">
        <f t="shared" si="378"/>
        <v>0</v>
      </c>
      <c r="AA379" s="210">
        <f t="shared" si="378"/>
        <v>0</v>
      </c>
      <c r="AB379" s="210">
        <f t="shared" si="378"/>
        <v>0</v>
      </c>
      <c r="AC379" s="210">
        <f t="shared" si="378"/>
        <v>0</v>
      </c>
      <c r="AD379" s="210">
        <f t="shared" si="378"/>
        <v>0</v>
      </c>
      <c r="AE379" s="210">
        <f t="shared" si="378"/>
        <v>0</v>
      </c>
      <c r="AF379" s="210">
        <f t="shared" si="378"/>
        <v>0</v>
      </c>
      <c r="AG379" s="210">
        <f t="shared" si="378"/>
        <v>0</v>
      </c>
      <c r="AH379" s="210">
        <f t="shared" si="378"/>
        <v>0</v>
      </c>
      <c r="AI379" s="210">
        <f t="shared" si="378"/>
        <v>0</v>
      </c>
      <c r="AJ379" s="210">
        <f t="shared" si="378"/>
        <v>0</v>
      </c>
      <c r="AK379" s="210">
        <f t="shared" si="378"/>
        <v>0</v>
      </c>
      <c r="AL379" s="210">
        <f t="shared" si="378"/>
        <v>0</v>
      </c>
      <c r="AM379" s="210">
        <f t="shared" ref="AM379:BD379" si="379">AM312</f>
        <v>0</v>
      </c>
      <c r="AN379" s="210">
        <f t="shared" si="379"/>
        <v>0</v>
      </c>
      <c r="AO379" s="210">
        <f t="shared" si="379"/>
        <v>0</v>
      </c>
      <c r="AP379" s="210">
        <f t="shared" si="379"/>
        <v>0</v>
      </c>
      <c r="AQ379" s="210">
        <f t="shared" si="379"/>
        <v>0</v>
      </c>
      <c r="AR379" s="210">
        <f t="shared" si="379"/>
        <v>0</v>
      </c>
      <c r="AS379" s="210">
        <f t="shared" si="379"/>
        <v>0</v>
      </c>
      <c r="AT379" s="210">
        <f t="shared" si="379"/>
        <v>0</v>
      </c>
      <c r="AU379" s="210">
        <f t="shared" si="379"/>
        <v>0</v>
      </c>
      <c r="AV379" s="210">
        <f t="shared" si="379"/>
        <v>0</v>
      </c>
      <c r="AW379" s="210">
        <f t="shared" si="379"/>
        <v>0</v>
      </c>
      <c r="AX379" s="210">
        <f t="shared" si="379"/>
        <v>0</v>
      </c>
      <c r="AY379" s="210">
        <f t="shared" si="379"/>
        <v>0</v>
      </c>
      <c r="AZ379" s="210">
        <f t="shared" si="379"/>
        <v>0</v>
      </c>
      <c r="BA379" s="210">
        <f t="shared" si="379"/>
        <v>0</v>
      </c>
      <c r="BB379" s="210">
        <f t="shared" si="379"/>
        <v>0</v>
      </c>
      <c r="BC379" s="210">
        <f t="shared" si="379"/>
        <v>0</v>
      </c>
      <c r="BD379" s="210">
        <f t="shared" si="379"/>
        <v>0</v>
      </c>
    </row>
    <row r="380" spans="1:56" s="210" customFormat="1" ht="15" customHeight="1">
      <c r="A380" s="209"/>
      <c r="B380" s="237"/>
      <c r="C380" s="152">
        <f t="shared" si="367"/>
        <v>776.56850806046259</v>
      </c>
      <c r="D380" s="103" t="s">
        <v>273</v>
      </c>
      <c r="E380" s="212" t="s">
        <v>153</v>
      </c>
      <c r="G380" s="210">
        <f t="shared" ref="G380:AL380" si="380">G313</f>
        <v>0</v>
      </c>
      <c r="H380" s="210">
        <f t="shared" si="380"/>
        <v>83.042170588235294</v>
      </c>
      <c r="I380" s="210">
        <f t="shared" si="380"/>
        <v>71.14857900807381</v>
      </c>
      <c r="J380" s="210">
        <f t="shared" si="380"/>
        <v>79.259391184386089</v>
      </c>
      <c r="K380" s="210">
        <f t="shared" si="380"/>
        <v>74.840579592535377</v>
      </c>
      <c r="L380" s="210">
        <f t="shared" si="380"/>
        <v>81.722134072587053</v>
      </c>
      <c r="M380" s="210">
        <f t="shared" si="380"/>
        <v>93.916868316255517</v>
      </c>
      <c r="N380" s="210">
        <f t="shared" si="380"/>
        <v>72.457141110811051</v>
      </c>
      <c r="O380" s="210">
        <f t="shared" si="380"/>
        <v>20.879919993474697</v>
      </c>
      <c r="P380" s="210">
        <f t="shared" si="380"/>
        <v>23.305901782951466</v>
      </c>
      <c r="Q380" s="210">
        <f t="shared" si="380"/>
        <v>21.247896606438598</v>
      </c>
      <c r="R380" s="210">
        <f t="shared" si="380"/>
        <v>22.493003520346257</v>
      </c>
      <c r="S380" s="210">
        <f t="shared" si="380"/>
        <v>28.188403629400668</v>
      </c>
      <c r="T380" s="210">
        <f t="shared" si="380"/>
        <v>29.425369114842255</v>
      </c>
      <c r="U380" s="210">
        <f t="shared" si="380"/>
        <v>39.408993135555036</v>
      </c>
      <c r="V380" s="210">
        <f t="shared" si="380"/>
        <v>27.359411699778029</v>
      </c>
      <c r="W380" s="210">
        <f t="shared" si="380"/>
        <v>7.8727447047914731</v>
      </c>
      <c r="X380" s="210">
        <f t="shared" si="380"/>
        <v>0</v>
      </c>
      <c r="Y380" s="210">
        <f t="shared" si="380"/>
        <v>0</v>
      </c>
      <c r="Z380" s="210">
        <f t="shared" si="380"/>
        <v>0</v>
      </c>
      <c r="AA380" s="210">
        <f t="shared" si="380"/>
        <v>0</v>
      </c>
      <c r="AB380" s="210">
        <f t="shared" si="380"/>
        <v>0</v>
      </c>
      <c r="AC380" s="210">
        <f t="shared" si="380"/>
        <v>0</v>
      </c>
      <c r="AD380" s="210">
        <f t="shared" si="380"/>
        <v>0</v>
      </c>
      <c r="AE380" s="210">
        <f t="shared" si="380"/>
        <v>0</v>
      </c>
      <c r="AF380" s="210">
        <f t="shared" si="380"/>
        <v>0</v>
      </c>
      <c r="AG380" s="210">
        <f t="shared" si="380"/>
        <v>0</v>
      </c>
      <c r="AH380" s="210">
        <f t="shared" si="380"/>
        <v>0</v>
      </c>
      <c r="AI380" s="210">
        <f t="shared" si="380"/>
        <v>0</v>
      </c>
      <c r="AJ380" s="210">
        <f t="shared" si="380"/>
        <v>0</v>
      </c>
      <c r="AK380" s="210">
        <f t="shared" si="380"/>
        <v>0</v>
      </c>
      <c r="AL380" s="210">
        <f t="shared" si="380"/>
        <v>0</v>
      </c>
      <c r="AM380" s="210">
        <f t="shared" ref="AM380:BD380" si="381">AM313</f>
        <v>0</v>
      </c>
      <c r="AN380" s="210">
        <f t="shared" si="381"/>
        <v>0</v>
      </c>
      <c r="AO380" s="210">
        <f t="shared" si="381"/>
        <v>0</v>
      </c>
      <c r="AP380" s="210">
        <f t="shared" si="381"/>
        <v>0</v>
      </c>
      <c r="AQ380" s="210">
        <f t="shared" si="381"/>
        <v>0</v>
      </c>
      <c r="AR380" s="210">
        <f t="shared" si="381"/>
        <v>0</v>
      </c>
      <c r="AS380" s="210">
        <f t="shared" si="381"/>
        <v>0</v>
      </c>
      <c r="AT380" s="210">
        <f t="shared" si="381"/>
        <v>0</v>
      </c>
      <c r="AU380" s="210">
        <f t="shared" si="381"/>
        <v>0</v>
      </c>
      <c r="AV380" s="210">
        <f t="shared" si="381"/>
        <v>0</v>
      </c>
      <c r="AW380" s="210">
        <f t="shared" si="381"/>
        <v>0</v>
      </c>
      <c r="AX380" s="210">
        <f t="shared" si="381"/>
        <v>0</v>
      </c>
      <c r="AY380" s="210">
        <f t="shared" si="381"/>
        <v>0</v>
      </c>
      <c r="AZ380" s="210">
        <f t="shared" si="381"/>
        <v>0</v>
      </c>
      <c r="BA380" s="210">
        <f t="shared" si="381"/>
        <v>0</v>
      </c>
      <c r="BB380" s="210">
        <f t="shared" si="381"/>
        <v>0</v>
      </c>
      <c r="BC380" s="210">
        <f t="shared" si="381"/>
        <v>0</v>
      </c>
      <c r="BD380" s="210">
        <f t="shared" si="381"/>
        <v>0</v>
      </c>
    </row>
    <row r="381" spans="1:56" s="210" customFormat="1" ht="15" customHeight="1">
      <c r="A381" s="209"/>
      <c r="B381" s="237"/>
      <c r="C381" s="152">
        <f t="shared" si="367"/>
        <v>0</v>
      </c>
      <c r="D381" s="103" t="s">
        <v>296</v>
      </c>
      <c r="E381" s="212" t="s">
        <v>153</v>
      </c>
      <c r="G381" s="210">
        <f t="shared" ref="G381:AL381" si="382">G314</f>
        <v>0</v>
      </c>
      <c r="H381" s="210">
        <f t="shared" si="382"/>
        <v>0</v>
      </c>
      <c r="I381" s="210">
        <f t="shared" si="382"/>
        <v>0</v>
      </c>
      <c r="J381" s="210">
        <f t="shared" si="382"/>
        <v>0</v>
      </c>
      <c r="K381" s="210">
        <f t="shared" si="382"/>
        <v>0</v>
      </c>
      <c r="L381" s="210">
        <f t="shared" si="382"/>
        <v>0</v>
      </c>
      <c r="M381" s="210">
        <f t="shared" si="382"/>
        <v>0</v>
      </c>
      <c r="N381" s="210">
        <f t="shared" si="382"/>
        <v>0</v>
      </c>
      <c r="O381" s="210">
        <f t="shared" si="382"/>
        <v>0</v>
      </c>
      <c r="P381" s="210">
        <f t="shared" si="382"/>
        <v>0</v>
      </c>
      <c r="Q381" s="210">
        <f t="shared" si="382"/>
        <v>0</v>
      </c>
      <c r="R381" s="210">
        <f t="shared" si="382"/>
        <v>0</v>
      </c>
      <c r="S381" s="210">
        <f t="shared" si="382"/>
        <v>0</v>
      </c>
      <c r="T381" s="210">
        <f t="shared" si="382"/>
        <v>0</v>
      </c>
      <c r="U381" s="210">
        <f t="shared" si="382"/>
        <v>0</v>
      </c>
      <c r="V381" s="210">
        <f t="shared" si="382"/>
        <v>0</v>
      </c>
      <c r="W381" s="210">
        <f t="shared" si="382"/>
        <v>0</v>
      </c>
      <c r="X381" s="210">
        <f t="shared" si="382"/>
        <v>0</v>
      </c>
      <c r="Y381" s="210">
        <f t="shared" si="382"/>
        <v>0</v>
      </c>
      <c r="Z381" s="210">
        <f t="shared" si="382"/>
        <v>0</v>
      </c>
      <c r="AA381" s="210">
        <f t="shared" si="382"/>
        <v>0</v>
      </c>
      <c r="AB381" s="210">
        <f t="shared" si="382"/>
        <v>0</v>
      </c>
      <c r="AC381" s="210">
        <f t="shared" si="382"/>
        <v>0</v>
      </c>
      <c r="AD381" s="210">
        <f t="shared" si="382"/>
        <v>0</v>
      </c>
      <c r="AE381" s="210">
        <f t="shared" si="382"/>
        <v>0</v>
      </c>
      <c r="AF381" s="210">
        <f t="shared" si="382"/>
        <v>0</v>
      </c>
      <c r="AG381" s="210">
        <f t="shared" si="382"/>
        <v>0</v>
      </c>
      <c r="AH381" s="210">
        <f t="shared" si="382"/>
        <v>0</v>
      </c>
      <c r="AI381" s="210">
        <f t="shared" si="382"/>
        <v>0</v>
      </c>
      <c r="AJ381" s="210">
        <f t="shared" si="382"/>
        <v>0</v>
      </c>
      <c r="AK381" s="210">
        <f t="shared" si="382"/>
        <v>0</v>
      </c>
      <c r="AL381" s="210">
        <f t="shared" si="382"/>
        <v>0</v>
      </c>
      <c r="AM381" s="210">
        <f t="shared" ref="AM381:BD381" si="383">AM314</f>
        <v>0</v>
      </c>
      <c r="AN381" s="210">
        <f t="shared" si="383"/>
        <v>0</v>
      </c>
      <c r="AO381" s="210">
        <f t="shared" si="383"/>
        <v>0</v>
      </c>
      <c r="AP381" s="210">
        <f t="shared" si="383"/>
        <v>0</v>
      </c>
      <c r="AQ381" s="210">
        <f t="shared" si="383"/>
        <v>0</v>
      </c>
      <c r="AR381" s="210">
        <f t="shared" si="383"/>
        <v>0</v>
      </c>
      <c r="AS381" s="210">
        <f t="shared" si="383"/>
        <v>0</v>
      </c>
      <c r="AT381" s="210">
        <f t="shared" si="383"/>
        <v>0</v>
      </c>
      <c r="AU381" s="210">
        <f t="shared" si="383"/>
        <v>0</v>
      </c>
      <c r="AV381" s="210">
        <f t="shared" si="383"/>
        <v>0</v>
      </c>
      <c r="AW381" s="210">
        <f t="shared" si="383"/>
        <v>0</v>
      </c>
      <c r="AX381" s="210">
        <f t="shared" si="383"/>
        <v>0</v>
      </c>
      <c r="AY381" s="210">
        <f t="shared" si="383"/>
        <v>0</v>
      </c>
      <c r="AZ381" s="210">
        <f t="shared" si="383"/>
        <v>0</v>
      </c>
      <c r="BA381" s="210">
        <f t="shared" si="383"/>
        <v>0</v>
      </c>
      <c r="BB381" s="210">
        <f t="shared" si="383"/>
        <v>0</v>
      </c>
      <c r="BC381" s="210">
        <f t="shared" si="383"/>
        <v>0</v>
      </c>
      <c r="BD381" s="210">
        <f t="shared" si="383"/>
        <v>0</v>
      </c>
    </row>
    <row r="382" spans="1:56" s="210" customFormat="1" ht="15" customHeight="1">
      <c r="A382" s="209"/>
      <c r="B382" s="237"/>
      <c r="C382" s="152">
        <f t="shared" si="367"/>
        <v>0</v>
      </c>
      <c r="D382" s="103" t="s">
        <v>305</v>
      </c>
      <c r="E382" s="212" t="s">
        <v>153</v>
      </c>
      <c r="G382" s="210">
        <f t="shared" ref="G382:AL382" si="384">G315</f>
        <v>0</v>
      </c>
      <c r="H382" s="210">
        <f t="shared" si="384"/>
        <v>0</v>
      </c>
      <c r="I382" s="210">
        <f t="shared" si="384"/>
        <v>0</v>
      </c>
      <c r="J382" s="210">
        <f t="shared" si="384"/>
        <v>0</v>
      </c>
      <c r="K382" s="210">
        <f t="shared" si="384"/>
        <v>0</v>
      </c>
      <c r="L382" s="210">
        <f t="shared" si="384"/>
        <v>0</v>
      </c>
      <c r="M382" s="210">
        <f t="shared" si="384"/>
        <v>0</v>
      </c>
      <c r="N382" s="210">
        <f t="shared" si="384"/>
        <v>0</v>
      </c>
      <c r="O382" s="210">
        <f t="shared" si="384"/>
        <v>0</v>
      </c>
      <c r="P382" s="210">
        <f t="shared" si="384"/>
        <v>0</v>
      </c>
      <c r="Q382" s="210">
        <f t="shared" si="384"/>
        <v>0</v>
      </c>
      <c r="R382" s="210">
        <f t="shared" si="384"/>
        <v>0</v>
      </c>
      <c r="S382" s="210">
        <f t="shared" si="384"/>
        <v>0</v>
      </c>
      <c r="T382" s="210">
        <f t="shared" si="384"/>
        <v>0</v>
      </c>
      <c r="U382" s="210">
        <f t="shared" si="384"/>
        <v>0</v>
      </c>
      <c r="V382" s="210">
        <f t="shared" si="384"/>
        <v>0</v>
      </c>
      <c r="W382" s="210">
        <f t="shared" si="384"/>
        <v>0</v>
      </c>
      <c r="X382" s="210">
        <f t="shared" si="384"/>
        <v>0</v>
      </c>
      <c r="Y382" s="210">
        <f t="shared" si="384"/>
        <v>0</v>
      </c>
      <c r="Z382" s="210">
        <f t="shared" si="384"/>
        <v>0</v>
      </c>
      <c r="AA382" s="210">
        <f t="shared" si="384"/>
        <v>0</v>
      </c>
      <c r="AB382" s="210">
        <f t="shared" si="384"/>
        <v>0</v>
      </c>
      <c r="AC382" s="210">
        <f t="shared" si="384"/>
        <v>0</v>
      </c>
      <c r="AD382" s="210">
        <f t="shared" si="384"/>
        <v>0</v>
      </c>
      <c r="AE382" s="210">
        <f t="shared" si="384"/>
        <v>0</v>
      </c>
      <c r="AF382" s="210">
        <f t="shared" si="384"/>
        <v>0</v>
      </c>
      <c r="AG382" s="210">
        <f t="shared" si="384"/>
        <v>0</v>
      </c>
      <c r="AH382" s="210">
        <f t="shared" si="384"/>
        <v>0</v>
      </c>
      <c r="AI382" s="210">
        <f t="shared" si="384"/>
        <v>0</v>
      </c>
      <c r="AJ382" s="210">
        <f t="shared" si="384"/>
        <v>0</v>
      </c>
      <c r="AK382" s="210">
        <f t="shared" si="384"/>
        <v>0</v>
      </c>
      <c r="AL382" s="210">
        <f t="shared" si="384"/>
        <v>0</v>
      </c>
      <c r="AM382" s="210">
        <f t="shared" ref="AM382:BD382" si="385">AM315</f>
        <v>0</v>
      </c>
      <c r="AN382" s="210">
        <f t="shared" si="385"/>
        <v>0</v>
      </c>
      <c r="AO382" s="210">
        <f t="shared" si="385"/>
        <v>0</v>
      </c>
      <c r="AP382" s="210">
        <f t="shared" si="385"/>
        <v>0</v>
      </c>
      <c r="AQ382" s="210">
        <f t="shared" si="385"/>
        <v>0</v>
      </c>
      <c r="AR382" s="210">
        <f t="shared" si="385"/>
        <v>0</v>
      </c>
      <c r="AS382" s="210">
        <f t="shared" si="385"/>
        <v>0</v>
      </c>
      <c r="AT382" s="210">
        <f t="shared" si="385"/>
        <v>0</v>
      </c>
      <c r="AU382" s="210">
        <f t="shared" si="385"/>
        <v>0</v>
      </c>
      <c r="AV382" s="210">
        <f t="shared" si="385"/>
        <v>0</v>
      </c>
      <c r="AW382" s="210">
        <f t="shared" si="385"/>
        <v>0</v>
      </c>
      <c r="AX382" s="210">
        <f t="shared" si="385"/>
        <v>0</v>
      </c>
      <c r="AY382" s="210">
        <f t="shared" si="385"/>
        <v>0</v>
      </c>
      <c r="AZ382" s="210">
        <f t="shared" si="385"/>
        <v>0</v>
      </c>
      <c r="BA382" s="210">
        <f t="shared" si="385"/>
        <v>0</v>
      </c>
      <c r="BB382" s="210">
        <f t="shared" si="385"/>
        <v>0</v>
      </c>
      <c r="BC382" s="210">
        <f t="shared" si="385"/>
        <v>0</v>
      </c>
      <c r="BD382" s="210">
        <f t="shared" si="385"/>
        <v>0</v>
      </c>
    </row>
    <row r="383" spans="1:56" s="210" customFormat="1" ht="15" customHeight="1">
      <c r="A383" s="209"/>
      <c r="B383" s="237"/>
      <c r="C383" s="152">
        <f t="shared" si="367"/>
        <v>0</v>
      </c>
      <c r="D383" s="103" t="s">
        <v>282</v>
      </c>
      <c r="E383" s="212" t="s">
        <v>153</v>
      </c>
      <c r="G383" s="210">
        <f t="shared" ref="G383:AL383" si="386">G316</f>
        <v>0</v>
      </c>
      <c r="H383" s="210">
        <f t="shared" si="386"/>
        <v>0</v>
      </c>
      <c r="I383" s="210">
        <f t="shared" si="386"/>
        <v>0</v>
      </c>
      <c r="J383" s="210">
        <f t="shared" si="386"/>
        <v>0</v>
      </c>
      <c r="K383" s="210">
        <f t="shared" si="386"/>
        <v>0</v>
      </c>
      <c r="L383" s="210">
        <f t="shared" si="386"/>
        <v>0</v>
      </c>
      <c r="M383" s="210">
        <f t="shared" si="386"/>
        <v>0</v>
      </c>
      <c r="N383" s="210">
        <f t="shared" si="386"/>
        <v>0</v>
      </c>
      <c r="O383" s="210">
        <f t="shared" si="386"/>
        <v>0</v>
      </c>
      <c r="P383" s="210">
        <f t="shared" si="386"/>
        <v>0</v>
      </c>
      <c r="Q383" s="210">
        <f t="shared" si="386"/>
        <v>0</v>
      </c>
      <c r="R383" s="210">
        <f t="shared" si="386"/>
        <v>0</v>
      </c>
      <c r="S383" s="210">
        <f t="shared" si="386"/>
        <v>0</v>
      </c>
      <c r="T383" s="210">
        <f t="shared" si="386"/>
        <v>0</v>
      </c>
      <c r="U383" s="210">
        <f t="shared" si="386"/>
        <v>0</v>
      </c>
      <c r="V383" s="210">
        <f t="shared" si="386"/>
        <v>0</v>
      </c>
      <c r="W383" s="210">
        <f t="shared" si="386"/>
        <v>0</v>
      </c>
      <c r="X383" s="210">
        <f t="shared" si="386"/>
        <v>0</v>
      </c>
      <c r="Y383" s="210">
        <f t="shared" si="386"/>
        <v>0</v>
      </c>
      <c r="Z383" s="210">
        <f t="shared" si="386"/>
        <v>0</v>
      </c>
      <c r="AA383" s="210">
        <f t="shared" si="386"/>
        <v>0</v>
      </c>
      <c r="AB383" s="210">
        <f t="shared" si="386"/>
        <v>0</v>
      </c>
      <c r="AC383" s="210">
        <f t="shared" si="386"/>
        <v>0</v>
      </c>
      <c r="AD383" s="210">
        <f t="shared" si="386"/>
        <v>0</v>
      </c>
      <c r="AE383" s="210">
        <f t="shared" si="386"/>
        <v>0</v>
      </c>
      <c r="AF383" s="210">
        <f t="shared" si="386"/>
        <v>0</v>
      </c>
      <c r="AG383" s="210">
        <f t="shared" si="386"/>
        <v>0</v>
      </c>
      <c r="AH383" s="210">
        <f t="shared" si="386"/>
        <v>0</v>
      </c>
      <c r="AI383" s="210">
        <f t="shared" si="386"/>
        <v>0</v>
      </c>
      <c r="AJ383" s="210">
        <f t="shared" si="386"/>
        <v>0</v>
      </c>
      <c r="AK383" s="210">
        <f t="shared" si="386"/>
        <v>0</v>
      </c>
      <c r="AL383" s="210">
        <f t="shared" si="386"/>
        <v>0</v>
      </c>
      <c r="AM383" s="210">
        <f t="shared" ref="AM383:BD383" si="387">AM316</f>
        <v>0</v>
      </c>
      <c r="AN383" s="210">
        <f t="shared" si="387"/>
        <v>0</v>
      </c>
      <c r="AO383" s="210">
        <f t="shared" si="387"/>
        <v>0</v>
      </c>
      <c r="AP383" s="210">
        <f t="shared" si="387"/>
        <v>0</v>
      </c>
      <c r="AQ383" s="210">
        <f t="shared" si="387"/>
        <v>0</v>
      </c>
      <c r="AR383" s="210">
        <f t="shared" si="387"/>
        <v>0</v>
      </c>
      <c r="AS383" s="210">
        <f t="shared" si="387"/>
        <v>0</v>
      </c>
      <c r="AT383" s="210">
        <f t="shared" si="387"/>
        <v>0</v>
      </c>
      <c r="AU383" s="210">
        <f t="shared" si="387"/>
        <v>0</v>
      </c>
      <c r="AV383" s="210">
        <f t="shared" si="387"/>
        <v>0</v>
      </c>
      <c r="AW383" s="210">
        <f t="shared" si="387"/>
        <v>0</v>
      </c>
      <c r="AX383" s="210">
        <f t="shared" si="387"/>
        <v>0</v>
      </c>
      <c r="AY383" s="210">
        <f t="shared" si="387"/>
        <v>0</v>
      </c>
      <c r="AZ383" s="210">
        <f t="shared" si="387"/>
        <v>0</v>
      </c>
      <c r="BA383" s="210">
        <f t="shared" si="387"/>
        <v>0</v>
      </c>
      <c r="BB383" s="210">
        <f t="shared" si="387"/>
        <v>0</v>
      </c>
      <c r="BC383" s="210">
        <f t="shared" si="387"/>
        <v>0</v>
      </c>
      <c r="BD383" s="210">
        <f t="shared" si="387"/>
        <v>0</v>
      </c>
    </row>
    <row r="384" spans="1:56" s="210" customFormat="1" ht="15" customHeight="1">
      <c r="A384" s="209"/>
      <c r="B384" s="237"/>
      <c r="C384" s="152">
        <f t="shared" si="367"/>
        <v>247.60980919395377</v>
      </c>
      <c r="D384" s="103" t="s">
        <v>315</v>
      </c>
      <c r="E384" s="212" t="s">
        <v>153</v>
      </c>
      <c r="G384" s="210">
        <f t="shared" ref="G384:AL384" si="388">G317</f>
        <v>12.338999999999999</v>
      </c>
      <c r="H384" s="210">
        <f t="shared" si="388"/>
        <v>14.762062941176474</v>
      </c>
      <c r="I384" s="210">
        <f t="shared" si="388"/>
        <v>9.3067420991926166</v>
      </c>
      <c r="J384" s="210">
        <f t="shared" si="388"/>
        <v>30.07406088156139</v>
      </c>
      <c r="K384" s="210">
        <f t="shared" si="388"/>
        <v>28.915942040746465</v>
      </c>
      <c r="L384" s="210">
        <f t="shared" si="388"/>
        <v>31.127786592741302</v>
      </c>
      <c r="M384" s="210">
        <f t="shared" si="388"/>
        <v>32.308313168374461</v>
      </c>
      <c r="N384" s="210">
        <f t="shared" si="388"/>
        <v>20.5942858889189</v>
      </c>
      <c r="O384" s="210">
        <f t="shared" si="388"/>
        <v>5.5079180006525315</v>
      </c>
      <c r="P384" s="210">
        <f t="shared" si="388"/>
        <v>7.164579821704856</v>
      </c>
      <c r="Q384" s="210">
        <f t="shared" si="388"/>
        <v>6.9711203393561396</v>
      </c>
      <c r="R384" s="210">
        <f t="shared" si="388"/>
        <v>7.9462396479653759</v>
      </c>
      <c r="S384" s="210">
        <f t="shared" si="388"/>
        <v>8.7779696370599325</v>
      </c>
      <c r="T384" s="210">
        <f t="shared" si="388"/>
        <v>7.9539030885157693</v>
      </c>
      <c r="U384" s="210">
        <f t="shared" si="388"/>
        <v>11.854960686444501</v>
      </c>
      <c r="V384" s="210">
        <f t="shared" si="388"/>
        <v>8.7803588300222</v>
      </c>
      <c r="W384" s="210">
        <f t="shared" si="388"/>
        <v>3.2245655295208513</v>
      </c>
      <c r="X384" s="210">
        <f t="shared" si="388"/>
        <v>0</v>
      </c>
      <c r="Y384" s="210">
        <f t="shared" si="388"/>
        <v>0</v>
      </c>
      <c r="Z384" s="210">
        <f t="shared" si="388"/>
        <v>0</v>
      </c>
      <c r="AA384" s="210">
        <f t="shared" si="388"/>
        <v>0</v>
      </c>
      <c r="AB384" s="210">
        <f t="shared" si="388"/>
        <v>0</v>
      </c>
      <c r="AC384" s="210">
        <f t="shared" si="388"/>
        <v>0</v>
      </c>
      <c r="AD384" s="210">
        <f t="shared" si="388"/>
        <v>0</v>
      </c>
      <c r="AE384" s="210">
        <f t="shared" si="388"/>
        <v>0</v>
      </c>
      <c r="AF384" s="210">
        <f t="shared" si="388"/>
        <v>0</v>
      </c>
      <c r="AG384" s="210">
        <f t="shared" si="388"/>
        <v>0</v>
      </c>
      <c r="AH384" s="210">
        <f t="shared" si="388"/>
        <v>0</v>
      </c>
      <c r="AI384" s="210">
        <f t="shared" si="388"/>
        <v>0</v>
      </c>
      <c r="AJ384" s="210">
        <f t="shared" si="388"/>
        <v>0</v>
      </c>
      <c r="AK384" s="210">
        <f t="shared" si="388"/>
        <v>0</v>
      </c>
      <c r="AL384" s="210">
        <f t="shared" si="388"/>
        <v>0</v>
      </c>
      <c r="AM384" s="210">
        <f t="shared" ref="AM384:BD384" si="389">AM317</f>
        <v>0</v>
      </c>
      <c r="AN384" s="210">
        <f t="shared" si="389"/>
        <v>0</v>
      </c>
      <c r="AO384" s="210">
        <f t="shared" si="389"/>
        <v>0</v>
      </c>
      <c r="AP384" s="210">
        <f t="shared" si="389"/>
        <v>0</v>
      </c>
      <c r="AQ384" s="210">
        <f t="shared" si="389"/>
        <v>0</v>
      </c>
      <c r="AR384" s="210">
        <f t="shared" si="389"/>
        <v>0</v>
      </c>
      <c r="AS384" s="210">
        <f t="shared" si="389"/>
        <v>0</v>
      </c>
      <c r="AT384" s="210">
        <f t="shared" si="389"/>
        <v>0</v>
      </c>
      <c r="AU384" s="210">
        <f t="shared" si="389"/>
        <v>0</v>
      </c>
      <c r="AV384" s="210">
        <f t="shared" si="389"/>
        <v>0</v>
      </c>
      <c r="AW384" s="210">
        <f t="shared" si="389"/>
        <v>0</v>
      </c>
      <c r="AX384" s="210">
        <f t="shared" si="389"/>
        <v>0</v>
      </c>
      <c r="AY384" s="210">
        <f t="shared" si="389"/>
        <v>0</v>
      </c>
      <c r="AZ384" s="210">
        <f t="shared" si="389"/>
        <v>0</v>
      </c>
      <c r="BA384" s="210">
        <f t="shared" si="389"/>
        <v>0</v>
      </c>
      <c r="BB384" s="210">
        <f t="shared" si="389"/>
        <v>0</v>
      </c>
      <c r="BC384" s="210">
        <f t="shared" si="389"/>
        <v>0</v>
      </c>
      <c r="BD384" s="210">
        <f t="shared" si="389"/>
        <v>0</v>
      </c>
    </row>
    <row r="385" spans="1:56" s="210" customFormat="1" ht="15" customHeight="1">
      <c r="A385" s="209"/>
      <c r="B385" s="237"/>
      <c r="C385" s="152">
        <f t="shared" si="367"/>
        <v>222.84882827455837</v>
      </c>
      <c r="D385" s="103" t="s">
        <v>317</v>
      </c>
      <c r="E385" s="212" t="s">
        <v>153</v>
      </c>
      <c r="G385" s="210">
        <f t="shared" ref="G385:AL385" si="390">G318</f>
        <v>11.1051</v>
      </c>
      <c r="H385" s="210">
        <f t="shared" si="390"/>
        <v>13.285856647058829</v>
      </c>
      <c r="I385" s="210">
        <f t="shared" si="390"/>
        <v>8.3760678892733562</v>
      </c>
      <c r="J385" s="210">
        <f t="shared" si="390"/>
        <v>27.066654793405252</v>
      </c>
      <c r="K385" s="210">
        <f t="shared" si="390"/>
        <v>26.024347836671815</v>
      </c>
      <c r="L385" s="210">
        <f t="shared" si="390"/>
        <v>28.015007933467174</v>
      </c>
      <c r="M385" s="210">
        <f t="shared" si="390"/>
        <v>29.077481851537012</v>
      </c>
      <c r="N385" s="210">
        <f t="shared" si="390"/>
        <v>18.534857300027006</v>
      </c>
      <c r="O385" s="210">
        <f t="shared" si="390"/>
        <v>4.957126200587278</v>
      </c>
      <c r="P385" s="210">
        <f t="shared" si="390"/>
        <v>6.4481218395343705</v>
      </c>
      <c r="Q385" s="210">
        <f t="shared" si="390"/>
        <v>6.2740083054205256</v>
      </c>
      <c r="R385" s="210">
        <f t="shared" si="390"/>
        <v>7.1516156831688376</v>
      </c>
      <c r="S385" s="210">
        <f t="shared" si="390"/>
        <v>7.9001726733539384</v>
      </c>
      <c r="T385" s="210">
        <f t="shared" si="390"/>
        <v>7.1585127796641901</v>
      </c>
      <c r="U385" s="210">
        <f t="shared" si="390"/>
        <v>10.669464617800051</v>
      </c>
      <c r="V385" s="210">
        <f t="shared" si="390"/>
        <v>7.9023229470199796</v>
      </c>
      <c r="W385" s="210">
        <f t="shared" si="390"/>
        <v>2.902108976568766</v>
      </c>
      <c r="X385" s="210">
        <f t="shared" si="390"/>
        <v>0</v>
      </c>
      <c r="Y385" s="210">
        <f t="shared" si="390"/>
        <v>0</v>
      </c>
      <c r="Z385" s="210">
        <f t="shared" si="390"/>
        <v>0</v>
      </c>
      <c r="AA385" s="210">
        <f t="shared" si="390"/>
        <v>0</v>
      </c>
      <c r="AB385" s="210">
        <f t="shared" si="390"/>
        <v>0</v>
      </c>
      <c r="AC385" s="210">
        <f t="shared" si="390"/>
        <v>0</v>
      </c>
      <c r="AD385" s="210">
        <f t="shared" si="390"/>
        <v>0</v>
      </c>
      <c r="AE385" s="210">
        <f t="shared" si="390"/>
        <v>0</v>
      </c>
      <c r="AF385" s="210">
        <f t="shared" si="390"/>
        <v>0</v>
      </c>
      <c r="AG385" s="210">
        <f t="shared" si="390"/>
        <v>0</v>
      </c>
      <c r="AH385" s="210">
        <f t="shared" si="390"/>
        <v>0</v>
      </c>
      <c r="AI385" s="210">
        <f t="shared" si="390"/>
        <v>0</v>
      </c>
      <c r="AJ385" s="210">
        <f t="shared" si="390"/>
        <v>0</v>
      </c>
      <c r="AK385" s="210">
        <f t="shared" si="390"/>
        <v>0</v>
      </c>
      <c r="AL385" s="210">
        <f t="shared" si="390"/>
        <v>0</v>
      </c>
      <c r="AM385" s="210">
        <f t="shared" ref="AM385:BD385" si="391">AM318</f>
        <v>0</v>
      </c>
      <c r="AN385" s="210">
        <f t="shared" si="391"/>
        <v>0</v>
      </c>
      <c r="AO385" s="210">
        <f t="shared" si="391"/>
        <v>0</v>
      </c>
      <c r="AP385" s="210">
        <f t="shared" si="391"/>
        <v>0</v>
      </c>
      <c r="AQ385" s="210">
        <f t="shared" si="391"/>
        <v>0</v>
      </c>
      <c r="AR385" s="210">
        <f t="shared" si="391"/>
        <v>0</v>
      </c>
      <c r="AS385" s="210">
        <f t="shared" si="391"/>
        <v>0</v>
      </c>
      <c r="AT385" s="210">
        <f t="shared" si="391"/>
        <v>0</v>
      </c>
      <c r="AU385" s="210">
        <f t="shared" si="391"/>
        <v>0</v>
      </c>
      <c r="AV385" s="210">
        <f t="shared" si="391"/>
        <v>0</v>
      </c>
      <c r="AW385" s="210">
        <f t="shared" si="391"/>
        <v>0</v>
      </c>
      <c r="AX385" s="210">
        <f t="shared" si="391"/>
        <v>0</v>
      </c>
      <c r="AY385" s="210">
        <f t="shared" si="391"/>
        <v>0</v>
      </c>
      <c r="AZ385" s="210">
        <f t="shared" si="391"/>
        <v>0</v>
      </c>
      <c r="BA385" s="210">
        <f t="shared" si="391"/>
        <v>0</v>
      </c>
      <c r="BB385" s="210">
        <f t="shared" si="391"/>
        <v>0</v>
      </c>
      <c r="BC385" s="210">
        <f t="shared" si="391"/>
        <v>0</v>
      </c>
      <c r="BD385" s="210">
        <f t="shared" si="391"/>
        <v>0</v>
      </c>
    </row>
    <row r="386" spans="1:56" s="239" customFormat="1" ht="15" customHeight="1">
      <c r="C386" s="240">
        <f t="shared" si="367"/>
        <v>1589.7471455289747</v>
      </c>
      <c r="D386" s="241" t="s">
        <v>368</v>
      </c>
      <c r="E386" s="241" t="s">
        <v>153</v>
      </c>
      <c r="F386" s="242"/>
      <c r="G386" s="243">
        <f t="shared" ref="G386:AL386" si="392">SUM(G374:G385)</f>
        <v>43.0441</v>
      </c>
      <c r="H386" s="243">
        <f t="shared" si="392"/>
        <v>139.8100901764706</v>
      </c>
      <c r="I386" s="243">
        <f t="shared" si="392"/>
        <v>117.63138899653978</v>
      </c>
      <c r="J386" s="243">
        <f t="shared" si="392"/>
        <v>168.40010685935275</v>
      </c>
      <c r="K386" s="243">
        <f t="shared" si="392"/>
        <v>161.78086946995364</v>
      </c>
      <c r="L386" s="243">
        <f t="shared" si="392"/>
        <v>172.86492859879553</v>
      </c>
      <c r="M386" s="243">
        <f t="shared" si="392"/>
        <v>187.302663336167</v>
      </c>
      <c r="N386" s="243">
        <f t="shared" si="392"/>
        <v>137.18628429975695</v>
      </c>
      <c r="O386" s="243">
        <f t="shared" si="392"/>
        <v>45.184964194714503</v>
      </c>
      <c r="P386" s="243">
        <f t="shared" si="392"/>
        <v>50.758603444190697</v>
      </c>
      <c r="Q386" s="243">
        <f t="shared" si="392"/>
        <v>48.333025251215261</v>
      </c>
      <c r="R386" s="243">
        <f t="shared" si="392"/>
        <v>51.430858851480473</v>
      </c>
      <c r="S386" s="243">
        <f t="shared" si="392"/>
        <v>58.706545939814539</v>
      </c>
      <c r="T386" s="243">
        <f t="shared" si="392"/>
        <v>58.377784983022224</v>
      </c>
      <c r="U386" s="243">
        <f t="shared" si="392"/>
        <v>75.773418439799585</v>
      </c>
      <c r="V386" s="243">
        <f t="shared" si="392"/>
        <v>54.682093476820214</v>
      </c>
      <c r="W386" s="243">
        <f t="shared" si="392"/>
        <v>18.47941921088109</v>
      </c>
      <c r="X386" s="243">
        <f t="shared" si="392"/>
        <v>0</v>
      </c>
      <c r="Y386" s="243">
        <f t="shared" si="392"/>
        <v>0</v>
      </c>
      <c r="Z386" s="243">
        <f t="shared" si="392"/>
        <v>0</v>
      </c>
      <c r="AA386" s="243">
        <f t="shared" si="392"/>
        <v>0</v>
      </c>
      <c r="AB386" s="243">
        <f t="shared" si="392"/>
        <v>0</v>
      </c>
      <c r="AC386" s="243">
        <f t="shared" si="392"/>
        <v>0</v>
      </c>
      <c r="AD386" s="243">
        <f t="shared" si="392"/>
        <v>0</v>
      </c>
      <c r="AE386" s="243">
        <f t="shared" si="392"/>
        <v>0</v>
      </c>
      <c r="AF386" s="243">
        <f t="shared" si="392"/>
        <v>0</v>
      </c>
      <c r="AG386" s="243">
        <f t="shared" si="392"/>
        <v>0</v>
      </c>
      <c r="AH386" s="243">
        <f t="shared" si="392"/>
        <v>0</v>
      </c>
      <c r="AI386" s="243">
        <f t="shared" si="392"/>
        <v>0</v>
      </c>
      <c r="AJ386" s="243">
        <f t="shared" si="392"/>
        <v>0</v>
      </c>
      <c r="AK386" s="243">
        <f t="shared" si="392"/>
        <v>0</v>
      </c>
      <c r="AL386" s="243">
        <f t="shared" si="392"/>
        <v>0</v>
      </c>
      <c r="AM386" s="243">
        <f t="shared" ref="AM386:BR386" si="393">SUM(AM374:AM385)</f>
        <v>0</v>
      </c>
      <c r="AN386" s="243">
        <f t="shared" si="393"/>
        <v>0</v>
      </c>
      <c r="AO386" s="243">
        <f t="shared" si="393"/>
        <v>0</v>
      </c>
      <c r="AP386" s="243">
        <f t="shared" si="393"/>
        <v>0</v>
      </c>
      <c r="AQ386" s="243">
        <f t="shared" si="393"/>
        <v>0</v>
      </c>
      <c r="AR386" s="243">
        <f t="shared" si="393"/>
        <v>0</v>
      </c>
      <c r="AS386" s="243">
        <f t="shared" si="393"/>
        <v>0</v>
      </c>
      <c r="AT386" s="243">
        <f t="shared" si="393"/>
        <v>0</v>
      </c>
      <c r="AU386" s="243">
        <f t="shared" si="393"/>
        <v>0</v>
      </c>
      <c r="AV386" s="243">
        <f t="shared" si="393"/>
        <v>0</v>
      </c>
      <c r="AW386" s="243">
        <f t="shared" si="393"/>
        <v>0</v>
      </c>
      <c r="AX386" s="243">
        <f t="shared" si="393"/>
        <v>0</v>
      </c>
      <c r="AY386" s="243">
        <f t="shared" si="393"/>
        <v>0</v>
      </c>
      <c r="AZ386" s="243">
        <f t="shared" si="393"/>
        <v>0</v>
      </c>
      <c r="BA386" s="243">
        <f t="shared" si="393"/>
        <v>0</v>
      </c>
      <c r="BB386" s="243">
        <f t="shared" si="393"/>
        <v>0</v>
      </c>
      <c r="BC386" s="243">
        <f t="shared" si="393"/>
        <v>0</v>
      </c>
      <c r="BD386" s="243">
        <f t="shared" si="393"/>
        <v>0</v>
      </c>
    </row>
    <row r="387" spans="1:56" s="239" customFormat="1" ht="15" customHeight="1">
      <c r="C387" s="244"/>
      <c r="D387" s="245"/>
      <c r="E387" s="245"/>
      <c r="F387" s="246"/>
      <c r="G387" s="247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8"/>
      <c r="U387" s="248"/>
    </row>
    <row r="388" spans="1:56" ht="15" customHeight="1">
      <c r="C388" s="151"/>
      <c r="D388" s="41" t="s">
        <v>369</v>
      </c>
      <c r="E388" s="41"/>
      <c r="F388" s="203"/>
      <c r="G388" s="203"/>
      <c r="H388" s="203"/>
      <c r="I388" s="203"/>
      <c r="J388" s="203"/>
      <c r="K388" s="203"/>
      <c r="L388" s="203"/>
      <c r="M388" s="203"/>
      <c r="N388" s="203"/>
      <c r="O388" s="203"/>
      <c r="P388" s="203"/>
      <c r="Q388" s="203"/>
      <c r="R388" s="203"/>
      <c r="S388" s="203"/>
    </row>
    <row r="389" spans="1:56" s="210" customFormat="1" ht="41.25" customHeight="1">
      <c r="A389" s="209"/>
      <c r="B389" s="237"/>
      <c r="C389" s="211"/>
      <c r="D389" s="212" t="s">
        <v>370</v>
      </c>
      <c r="E389" s="212"/>
      <c r="G389" s="249" t="str">
        <f>Paramètres!H7</f>
        <v>RDC - 2002</v>
      </c>
      <c r="H389" s="249" t="str">
        <f>Paramètres!I7</f>
        <v>RDC - amendement</v>
      </c>
      <c r="I389" s="249" t="str">
        <f>Paramètres!J7</f>
        <v>Chili</v>
      </c>
      <c r="J389" s="249" t="str">
        <f>Paramètres!K7</f>
        <v>Perou</v>
      </c>
      <c r="K389" s="249" t="str">
        <f>Paramètres!L7</f>
        <v>Australie Occidentale</v>
      </c>
      <c r="L389" s="249" t="str">
        <f>Paramètres!M7</f>
        <v>Tanzanie</v>
      </c>
      <c r="M389" s="249" t="str">
        <f>Paramètres!N7</f>
        <v>Ghana</v>
      </c>
      <c r="N389" s="249" t="str">
        <f>Paramètres!O7</f>
        <v>Zambie - 2016</v>
      </c>
      <c r="O389" s="249" t="str">
        <f>Paramètres!P7</f>
        <v>RDC - redevance a taux variable</v>
      </c>
      <c r="P389" s="249" t="str">
        <f>Paramètres!Q7</f>
        <v>RDC - taxe sur la rente</v>
      </c>
      <c r="Q389" s="249" t="str">
        <f>Paramètres!R7</f>
        <v>Sénégal (SGO - Convention Sabodala)</v>
      </c>
      <c r="W389" s="226"/>
      <c r="X389" s="226"/>
      <c r="Y389" s="226"/>
      <c r="Z389" s="226"/>
      <c r="AA389" s="226"/>
      <c r="AB389" s="226"/>
      <c r="AC389" s="226"/>
      <c r="AD389" s="226"/>
      <c r="AE389" s="226"/>
      <c r="AF389" s="226"/>
      <c r="AG389" s="226"/>
    </row>
    <row r="390" spans="1:56" s="210" customFormat="1" ht="12" customHeight="1">
      <c r="A390" s="209"/>
      <c r="B390" s="237"/>
      <c r="C390" s="211"/>
      <c r="D390" s="212"/>
      <c r="E390" s="212"/>
      <c r="F390" s="250">
        <f>Paramètres!F6</f>
        <v>11</v>
      </c>
      <c r="G390" s="251">
        <v>1</v>
      </c>
      <c r="H390" s="251">
        <v>2</v>
      </c>
      <c r="I390" s="251">
        <v>3</v>
      </c>
      <c r="J390" s="251">
        <v>4</v>
      </c>
      <c r="K390" s="251">
        <v>5</v>
      </c>
      <c r="L390" s="251">
        <v>6</v>
      </c>
      <c r="M390" s="251">
        <v>7</v>
      </c>
      <c r="N390" s="251">
        <v>8</v>
      </c>
      <c r="O390" s="251">
        <v>9</v>
      </c>
      <c r="P390" s="251">
        <v>8</v>
      </c>
      <c r="Q390" s="251">
        <v>9</v>
      </c>
      <c r="W390" s="226"/>
      <c r="X390" s="226"/>
      <c r="Y390" s="226"/>
      <c r="Z390" s="226"/>
      <c r="AA390" s="226"/>
      <c r="AB390" s="226"/>
      <c r="AC390" s="226"/>
      <c r="AD390" s="226"/>
      <c r="AE390" s="226"/>
      <c r="AF390" s="226"/>
      <c r="AG390" s="226"/>
    </row>
    <row r="391" spans="1:56" s="210" customFormat="1" ht="15" customHeight="1">
      <c r="A391" s="209"/>
      <c r="B391" s="237"/>
      <c r="C391" s="211"/>
      <c r="D391" s="212" t="str">
        <f t="shared" ref="D391:D403" si="394">D374</f>
        <v>Bonus de signature</v>
      </c>
      <c r="E391" s="212" t="s">
        <v>153</v>
      </c>
      <c r="F391" s="252">
        <f t="shared" ref="F391:F403" si="395">C374</f>
        <v>0</v>
      </c>
      <c r="G391" s="253">
        <v>0</v>
      </c>
      <c r="H391" s="253">
        <v>0</v>
      </c>
      <c r="I391" s="253">
        <v>0</v>
      </c>
      <c r="J391" s="253">
        <v>0</v>
      </c>
      <c r="K391" s="253">
        <v>0</v>
      </c>
      <c r="L391" s="253">
        <v>0</v>
      </c>
      <c r="M391" s="253">
        <v>0</v>
      </c>
      <c r="N391" s="253">
        <v>0</v>
      </c>
      <c r="O391" s="253">
        <v>0</v>
      </c>
      <c r="P391" s="253">
        <v>0</v>
      </c>
      <c r="Q391" s="253">
        <v>0</v>
      </c>
      <c r="W391" s="226"/>
      <c r="X391" s="226"/>
      <c r="Y391" s="226"/>
      <c r="Z391" s="226"/>
      <c r="AA391" s="226"/>
      <c r="AB391" s="226"/>
      <c r="AC391" s="226"/>
      <c r="AD391" s="226"/>
      <c r="AE391" s="226"/>
      <c r="AF391" s="226"/>
      <c r="AG391" s="226"/>
    </row>
    <row r="392" spans="1:56" s="210" customFormat="1" ht="15" customHeight="1">
      <c r="A392" s="209"/>
      <c r="B392" s="237"/>
      <c r="C392" s="211"/>
      <c r="D392" s="212" t="str">
        <f t="shared" si="394"/>
        <v>Droits de douane</v>
      </c>
      <c r="E392" s="212" t="s">
        <v>153</v>
      </c>
      <c r="F392" s="252">
        <f t="shared" si="395"/>
        <v>0</v>
      </c>
      <c r="G392" s="253">
        <v>129.70067</v>
      </c>
      <c r="H392" s="253">
        <v>129.70067</v>
      </c>
      <c r="I392" s="253">
        <v>0</v>
      </c>
      <c r="J392" s="253">
        <v>0</v>
      </c>
      <c r="K392" s="253">
        <v>0</v>
      </c>
      <c r="L392" s="253">
        <v>0</v>
      </c>
      <c r="M392" s="253">
        <v>0</v>
      </c>
      <c r="N392" s="253">
        <v>0</v>
      </c>
      <c r="O392" s="253">
        <v>129.70067</v>
      </c>
      <c r="P392" s="253">
        <v>0</v>
      </c>
      <c r="Q392" s="253">
        <v>129.70067</v>
      </c>
      <c r="W392" s="226"/>
      <c r="X392" s="226"/>
      <c r="Y392" s="226"/>
      <c r="Z392" s="226"/>
      <c r="AA392" s="226"/>
      <c r="AB392" s="226"/>
      <c r="AC392" s="226"/>
      <c r="AD392" s="226"/>
      <c r="AE392" s="226"/>
      <c r="AF392" s="226"/>
      <c r="AG392" s="226"/>
    </row>
    <row r="393" spans="1:56" s="210" customFormat="1" ht="15" customHeight="1">
      <c r="A393" s="209"/>
      <c r="B393" s="237"/>
      <c r="C393" s="211"/>
      <c r="D393" s="212" t="str">
        <f t="shared" si="394"/>
        <v>Redevance</v>
      </c>
      <c r="E393" s="212" t="s">
        <v>153</v>
      </c>
      <c r="F393" s="252">
        <f t="shared" si="395"/>
        <v>342.71999999999986</v>
      </c>
      <c r="G393" s="253">
        <v>316.76400000000001</v>
      </c>
      <c r="H393" s="253">
        <v>239.904</v>
      </c>
      <c r="I393" s="253">
        <v>0</v>
      </c>
      <c r="J393" s="253">
        <v>0</v>
      </c>
      <c r="K393" s="253">
        <v>171.36</v>
      </c>
      <c r="L393" s="253">
        <v>274.17599999999999</v>
      </c>
      <c r="M393" s="253">
        <v>342.72</v>
      </c>
      <c r="N393" s="253">
        <v>342.72</v>
      </c>
      <c r="O393" s="253">
        <v>171.36</v>
      </c>
      <c r="P393" s="253">
        <v>342.72</v>
      </c>
      <c r="Q393" s="253">
        <v>171.36</v>
      </c>
      <c r="W393" s="226"/>
      <c r="X393" s="226"/>
      <c r="Y393" s="226"/>
      <c r="Z393" s="226"/>
      <c r="AA393" s="226"/>
      <c r="AB393" s="226"/>
      <c r="AC393" s="226"/>
      <c r="AD393" s="226"/>
      <c r="AE393" s="226"/>
      <c r="AF393" s="226"/>
      <c r="AG393" s="226"/>
    </row>
    <row r="394" spans="1:56" s="210" customFormat="1" ht="15" customHeight="1">
      <c r="A394" s="209"/>
      <c r="B394" s="237"/>
      <c r="C394" s="211"/>
      <c r="D394" s="212" t="str">
        <f t="shared" si="394"/>
        <v>Taxe provinciale</v>
      </c>
      <c r="E394" s="212" t="s">
        <v>153</v>
      </c>
      <c r="F394" s="252">
        <f t="shared" si="395"/>
        <v>0</v>
      </c>
      <c r="G394" s="253">
        <v>0</v>
      </c>
      <c r="H394" s="253">
        <v>0</v>
      </c>
      <c r="I394" s="253">
        <v>0</v>
      </c>
      <c r="J394" s="253">
        <v>0</v>
      </c>
      <c r="K394" s="253">
        <v>0</v>
      </c>
      <c r="L394" s="253">
        <v>0</v>
      </c>
      <c r="M394" s="253">
        <v>0</v>
      </c>
      <c r="N394" s="253">
        <v>0</v>
      </c>
      <c r="O394" s="253">
        <v>0</v>
      </c>
      <c r="P394" s="253">
        <v>0</v>
      </c>
      <c r="Q394" s="253">
        <v>0</v>
      </c>
      <c r="W394" s="226"/>
      <c r="X394" s="226"/>
      <c r="Y394" s="226"/>
      <c r="Z394" s="226"/>
      <c r="AA394" s="226"/>
      <c r="AB394" s="226"/>
      <c r="AC394" s="226"/>
      <c r="AD394" s="226"/>
      <c r="AE394" s="226"/>
      <c r="AF394" s="226"/>
      <c r="AG394" s="226"/>
    </row>
    <row r="395" spans="1:56" s="210" customFormat="1" ht="15" customHeight="1">
      <c r="A395" s="209"/>
      <c r="B395" s="237"/>
      <c r="C395" s="211"/>
      <c r="D395" s="212" t="str">
        <f t="shared" si="394"/>
        <v>Redevance a taux variable - sur les prix</v>
      </c>
      <c r="E395" s="212" t="s">
        <v>153</v>
      </c>
      <c r="F395" s="252">
        <f t="shared" si="395"/>
        <v>0</v>
      </c>
      <c r="G395" s="253">
        <v>0</v>
      </c>
      <c r="H395" s="253">
        <v>0</v>
      </c>
      <c r="I395" s="253">
        <v>0</v>
      </c>
      <c r="J395" s="253">
        <v>0</v>
      </c>
      <c r="K395" s="253">
        <v>0</v>
      </c>
      <c r="L395" s="253">
        <v>0</v>
      </c>
      <c r="M395" s="253">
        <v>0</v>
      </c>
      <c r="N395" s="253">
        <v>0</v>
      </c>
      <c r="O395" s="253">
        <v>0</v>
      </c>
      <c r="P395" s="253">
        <v>0</v>
      </c>
      <c r="Q395" s="253">
        <v>0</v>
      </c>
      <c r="W395" s="226"/>
      <c r="X395" s="226"/>
      <c r="Y395" s="226"/>
      <c r="Z395" s="226"/>
      <c r="AA395" s="226"/>
      <c r="AB395" s="226"/>
      <c r="AC395" s="226"/>
      <c r="AD395" s="226"/>
      <c r="AE395" s="226"/>
      <c r="AF395" s="226"/>
      <c r="AG395" s="226"/>
    </row>
    <row r="396" spans="1:56" s="210" customFormat="1" ht="15" customHeight="1">
      <c r="A396" s="209"/>
      <c r="B396" s="237"/>
      <c r="C396" s="211"/>
      <c r="D396" s="212" t="str">
        <f t="shared" si="394"/>
        <v>Impot sur la marge operationnelle</v>
      </c>
      <c r="E396" s="212" t="s">
        <v>153</v>
      </c>
      <c r="F396" s="252">
        <f t="shared" si="395"/>
        <v>0</v>
      </c>
      <c r="G396" s="253">
        <v>0</v>
      </c>
      <c r="H396" s="253">
        <v>0</v>
      </c>
      <c r="I396" s="253">
        <v>283.28685300000001</v>
      </c>
      <c r="J396" s="253">
        <v>280.15100884999998</v>
      </c>
      <c r="K396" s="253">
        <v>0</v>
      </c>
      <c r="L396" s="253">
        <v>0</v>
      </c>
      <c r="M396" s="253">
        <v>0</v>
      </c>
      <c r="N396" s="253">
        <v>0</v>
      </c>
      <c r="O396" s="253">
        <v>0</v>
      </c>
      <c r="P396" s="253">
        <v>0</v>
      </c>
      <c r="Q396" s="253">
        <v>0</v>
      </c>
      <c r="W396" s="226"/>
      <c r="X396" s="226"/>
      <c r="Y396" s="226"/>
      <c r="Z396" s="226"/>
      <c r="AA396" s="226"/>
      <c r="AB396" s="226"/>
      <c r="AC396" s="226"/>
      <c r="AD396" s="226"/>
      <c r="AE396" s="226"/>
      <c r="AF396" s="226"/>
      <c r="AG396" s="226"/>
    </row>
    <row r="397" spans="1:56" s="210" customFormat="1" ht="15" customHeight="1">
      <c r="A397" s="209"/>
      <c r="B397" s="237"/>
      <c r="C397" s="211"/>
      <c r="D397" s="212" t="str">
        <f t="shared" si="394"/>
        <v>Impot sur les benefices et profits</v>
      </c>
      <c r="E397" s="212" t="s">
        <v>153</v>
      </c>
      <c r="F397" s="252">
        <f t="shared" si="395"/>
        <v>776.56850806046259</v>
      </c>
      <c r="G397" s="253">
        <v>938.39494497292606</v>
      </c>
      <c r="H397" s="253">
        <v>1121.12351128465</v>
      </c>
      <c r="I397" s="253">
        <v>717.78284122820298</v>
      </c>
      <c r="J397" s="253">
        <v>898.31575069725295</v>
      </c>
      <c r="K397" s="253">
        <v>1078.74419055817</v>
      </c>
      <c r="L397" s="253">
        <v>958.17017999999996</v>
      </c>
      <c r="M397" s="253">
        <v>1087.19591128465</v>
      </c>
      <c r="N397" s="253">
        <v>956.47217577311903</v>
      </c>
      <c r="O397" s="253">
        <v>980.35020967255502</v>
      </c>
      <c r="P397" s="253">
        <v>956.47217577311903</v>
      </c>
      <c r="Q397" s="253">
        <v>980.35020967255502</v>
      </c>
      <c r="W397" s="226"/>
      <c r="X397" s="226"/>
      <c r="Y397" s="226"/>
      <c r="Z397" s="226"/>
      <c r="AA397" s="226"/>
      <c r="AB397" s="226"/>
      <c r="AC397" s="226"/>
      <c r="AD397" s="226"/>
      <c r="AE397" s="226"/>
      <c r="AF397" s="226"/>
      <c r="AG397" s="226"/>
    </row>
    <row r="398" spans="1:56" s="210" customFormat="1" ht="15" customHeight="1">
      <c r="A398" s="209"/>
      <c r="B398" s="237"/>
      <c r="C398" s="211"/>
      <c r="D398" s="212" t="str">
        <f t="shared" si="394"/>
        <v>Impot sur la rente</v>
      </c>
      <c r="E398" s="212" t="s">
        <v>153</v>
      </c>
      <c r="F398" s="252">
        <f t="shared" si="395"/>
        <v>0</v>
      </c>
      <c r="G398" s="253">
        <v>0</v>
      </c>
      <c r="H398" s="253">
        <v>0</v>
      </c>
      <c r="I398" s="253">
        <v>0</v>
      </c>
      <c r="J398" s="253">
        <v>0</v>
      </c>
      <c r="K398" s="253">
        <v>0</v>
      </c>
      <c r="L398" s="253">
        <v>0</v>
      </c>
      <c r="M398" s="253">
        <v>0</v>
      </c>
      <c r="N398" s="253">
        <v>0</v>
      </c>
      <c r="O398" s="253">
        <v>0</v>
      </c>
      <c r="P398" s="253">
        <v>0</v>
      </c>
      <c r="Q398" s="253">
        <v>0</v>
      </c>
      <c r="W398" s="226"/>
      <c r="X398" s="226"/>
      <c r="Y398" s="226"/>
      <c r="Z398" s="226"/>
      <c r="AA398" s="226"/>
      <c r="AB398" s="226"/>
      <c r="AC398" s="226"/>
      <c r="AD398" s="226"/>
      <c r="AE398" s="226"/>
      <c r="AF398" s="226"/>
      <c r="AG398" s="226"/>
    </row>
    <row r="399" spans="1:56" s="210" customFormat="1" ht="15" customHeight="1">
      <c r="A399" s="209"/>
      <c r="B399" s="237"/>
      <c r="C399" s="211"/>
      <c r="D399" s="212" t="str">
        <f t="shared" si="394"/>
        <v>Impot sur les benefices a taux variable</v>
      </c>
      <c r="E399" s="212" t="s">
        <v>153</v>
      </c>
      <c r="F399" s="252">
        <f t="shared" si="395"/>
        <v>0</v>
      </c>
      <c r="G399" s="253">
        <v>0</v>
      </c>
      <c r="H399" s="253">
        <v>0</v>
      </c>
      <c r="I399" s="253">
        <v>0</v>
      </c>
      <c r="J399" s="253">
        <v>0</v>
      </c>
      <c r="K399" s="253">
        <v>0</v>
      </c>
      <c r="L399" s="253">
        <v>0</v>
      </c>
      <c r="M399" s="253">
        <v>0</v>
      </c>
      <c r="N399" s="253">
        <v>0</v>
      </c>
      <c r="O399" s="253">
        <v>0</v>
      </c>
      <c r="P399" s="253">
        <v>0</v>
      </c>
      <c r="Q399" s="253">
        <v>0</v>
      </c>
      <c r="W399" s="226"/>
      <c r="X399" s="226"/>
      <c r="Y399" s="226"/>
      <c r="Z399" s="226"/>
      <c r="AA399" s="226"/>
      <c r="AB399" s="226"/>
      <c r="AC399" s="226"/>
      <c r="AD399" s="226"/>
      <c r="AE399" s="226"/>
      <c r="AF399" s="226"/>
      <c r="AG399" s="226"/>
    </row>
    <row r="400" spans="1:56" s="210" customFormat="1" ht="15" customHeight="1">
      <c r="A400" s="209"/>
      <c r="B400" s="237"/>
      <c r="C400" s="211"/>
      <c r="D400" s="212" t="str">
        <f t="shared" si="394"/>
        <v>Impot sur les profits excedentaires</v>
      </c>
      <c r="E400" s="212" t="s">
        <v>153</v>
      </c>
      <c r="F400" s="252">
        <f t="shared" si="395"/>
        <v>0</v>
      </c>
      <c r="G400" s="253">
        <v>0</v>
      </c>
      <c r="H400" s="253">
        <v>224.91</v>
      </c>
      <c r="I400" s="253">
        <v>0</v>
      </c>
      <c r="J400" s="253">
        <v>0</v>
      </c>
      <c r="K400" s="253">
        <v>0</v>
      </c>
      <c r="L400" s="253">
        <v>0</v>
      </c>
      <c r="M400" s="253">
        <v>0</v>
      </c>
      <c r="N400" s="253">
        <v>0</v>
      </c>
      <c r="O400" s="253">
        <v>0</v>
      </c>
      <c r="P400" s="253">
        <v>0</v>
      </c>
      <c r="Q400" s="253">
        <v>0</v>
      </c>
      <c r="W400" s="226"/>
      <c r="X400" s="226"/>
      <c r="Y400" s="226"/>
      <c r="Z400" s="226"/>
      <c r="AA400" s="226"/>
      <c r="AB400" s="226"/>
      <c r="AC400" s="226"/>
      <c r="AD400" s="226"/>
      <c r="AE400" s="226"/>
      <c r="AF400" s="226"/>
      <c r="AG400" s="226"/>
    </row>
    <row r="401" spans="1:56" s="210" customFormat="1" ht="15" customHeight="1">
      <c r="A401" s="209"/>
      <c r="B401" s="237"/>
      <c r="C401" s="211"/>
      <c r="D401" s="212" t="str">
        <f t="shared" si="394"/>
        <v>Participation de l'Etat</v>
      </c>
      <c r="E401" s="212" t="s">
        <v>153</v>
      </c>
      <c r="F401" s="252">
        <f t="shared" si="395"/>
        <v>247.60980919395377</v>
      </c>
      <c r="G401" s="253">
        <v>110.52634925135401</v>
      </c>
      <c r="H401" s="253">
        <v>187.97484187153501</v>
      </c>
      <c r="I401" s="253">
        <v>0</v>
      </c>
      <c r="J401" s="253">
        <v>0</v>
      </c>
      <c r="K401" s="253">
        <v>0</v>
      </c>
      <c r="L401" s="253">
        <v>0</v>
      </c>
      <c r="M401" s="253">
        <v>216.547068871535</v>
      </c>
      <c r="N401" s="253">
        <v>0</v>
      </c>
      <c r="O401" s="253">
        <v>115.698786016372</v>
      </c>
      <c r="P401" s="253">
        <v>0</v>
      </c>
      <c r="Q401" s="253">
        <v>115.698786016372</v>
      </c>
      <c r="W401" s="226"/>
      <c r="X401" s="226"/>
      <c r="Y401" s="226"/>
      <c r="Z401" s="226"/>
      <c r="AA401" s="226"/>
      <c r="AB401" s="226"/>
      <c r="AC401" s="226"/>
      <c r="AD401" s="226"/>
      <c r="AE401" s="226"/>
      <c r="AF401" s="226"/>
      <c r="AG401" s="226"/>
    </row>
    <row r="402" spans="1:56" s="210" customFormat="1" ht="15" customHeight="1">
      <c r="A402" s="209"/>
      <c r="B402" s="237"/>
      <c r="C402" s="211"/>
      <c r="D402" s="212" t="str">
        <f t="shared" si="394"/>
        <v>Prelevement a la source sur les dividendes</v>
      </c>
      <c r="E402" s="212" t="s">
        <v>153</v>
      </c>
      <c r="F402" s="252">
        <f t="shared" si="395"/>
        <v>222.84882827455837</v>
      </c>
      <c r="G402" s="253">
        <v>210.00006357757201</v>
      </c>
      <c r="H402" s="253">
        <v>169.177357684382</v>
      </c>
      <c r="I402" s="253">
        <v>908.010917020129</v>
      </c>
      <c r="J402" s="253">
        <v>164.350549150787</v>
      </c>
      <c r="K402" s="253">
        <v>703.58472283254901</v>
      </c>
      <c r="L402" s="253">
        <v>236.30404200000001</v>
      </c>
      <c r="M402" s="253">
        <v>155.913889587505</v>
      </c>
      <c r="N402" s="253">
        <v>229.619442422688</v>
      </c>
      <c r="O402" s="253">
        <v>219.82769343110701</v>
      </c>
      <c r="P402" s="253">
        <v>229.619442422688</v>
      </c>
      <c r="Q402" s="253">
        <v>219.82769343110701</v>
      </c>
      <c r="W402" s="226"/>
      <c r="X402" s="226"/>
      <c r="Y402" s="226"/>
      <c r="Z402" s="226"/>
      <c r="AA402" s="226"/>
      <c r="AB402" s="226"/>
      <c r="AC402" s="226"/>
      <c r="AD402" s="226"/>
      <c r="AE402" s="226"/>
      <c r="AF402" s="226"/>
      <c r="AG402" s="226"/>
    </row>
    <row r="403" spans="1:56" s="210" customFormat="1" ht="15" customHeight="1">
      <c r="A403" s="209"/>
      <c r="B403" s="237"/>
      <c r="C403" s="211"/>
      <c r="D403" s="212" t="str">
        <f t="shared" si="394"/>
        <v>Recettes totales de l'Etat</v>
      </c>
      <c r="E403" s="212" t="s">
        <v>153</v>
      </c>
      <c r="F403" s="252">
        <f t="shared" si="395"/>
        <v>1589.7471455289747</v>
      </c>
      <c r="G403" s="254">
        <v>1705.3860278018501</v>
      </c>
      <c r="H403" s="254">
        <v>2072.7903808405699</v>
      </c>
      <c r="I403" s="254">
        <v>1909.0806112483299</v>
      </c>
      <c r="J403" s="254">
        <v>1342.8173086980401</v>
      </c>
      <c r="K403" s="254">
        <v>1953.68891339072</v>
      </c>
      <c r="L403" s="254">
        <v>1468.650222</v>
      </c>
      <c r="M403" s="254">
        <v>1802.3768697436899</v>
      </c>
      <c r="N403" s="254">
        <v>1528.8116181958101</v>
      </c>
      <c r="O403" s="254">
        <v>1616.9373591200299</v>
      </c>
      <c r="P403" s="254">
        <v>1528.8116181958101</v>
      </c>
      <c r="Q403" s="254">
        <v>1616.9373591200299</v>
      </c>
      <c r="W403" s="226"/>
      <c r="X403" s="226"/>
      <c r="Y403" s="226"/>
      <c r="Z403" s="226"/>
      <c r="AA403" s="226"/>
      <c r="AB403" s="226"/>
      <c r="AC403" s="226"/>
      <c r="AD403" s="226"/>
      <c r="AE403" s="226"/>
      <c r="AF403" s="226"/>
      <c r="AG403" s="226"/>
    </row>
    <row r="404" spans="1:56" s="239" customFormat="1" ht="15" customHeight="1">
      <c r="C404" s="244"/>
      <c r="D404" s="245"/>
      <c r="E404" s="245"/>
      <c r="F404" s="246"/>
      <c r="G404" s="247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8"/>
      <c r="U404" s="248"/>
    </row>
    <row r="405" spans="1:56" ht="15" customHeight="1">
      <c r="C405" s="151"/>
      <c r="D405" s="41" t="s">
        <v>371</v>
      </c>
      <c r="E405" s="41"/>
      <c r="F405" s="203"/>
      <c r="G405" s="126">
        <f t="shared" ref="G405:AL405" si="396">G$2</f>
        <v>1</v>
      </c>
      <c r="H405" s="126">
        <f t="shared" si="396"/>
        <v>2</v>
      </c>
      <c r="I405" s="126">
        <f t="shared" si="396"/>
        <v>3</v>
      </c>
      <c r="J405" s="126">
        <f t="shared" si="396"/>
        <v>4</v>
      </c>
      <c r="K405" s="126">
        <f t="shared" si="396"/>
        <v>5</v>
      </c>
      <c r="L405" s="126">
        <f t="shared" si="396"/>
        <v>6</v>
      </c>
      <c r="M405" s="126">
        <f t="shared" si="396"/>
        <v>7</v>
      </c>
      <c r="N405" s="126">
        <f t="shared" si="396"/>
        <v>8</v>
      </c>
      <c r="O405" s="126">
        <f t="shared" si="396"/>
        <v>9</v>
      </c>
      <c r="P405" s="126">
        <f t="shared" si="396"/>
        <v>10</v>
      </c>
      <c r="Q405" s="126">
        <f t="shared" si="396"/>
        <v>11</v>
      </c>
      <c r="R405" s="126">
        <f t="shared" si="396"/>
        <v>12</v>
      </c>
      <c r="S405" s="126">
        <f t="shared" si="396"/>
        <v>13</v>
      </c>
      <c r="T405" s="126">
        <f t="shared" si="396"/>
        <v>14</v>
      </c>
      <c r="U405" s="126">
        <f t="shared" si="396"/>
        <v>15</v>
      </c>
      <c r="V405" s="126">
        <f t="shared" si="396"/>
        <v>16</v>
      </c>
      <c r="W405" s="126">
        <f t="shared" si="396"/>
        <v>17</v>
      </c>
      <c r="X405" s="126">
        <f t="shared" si="396"/>
        <v>18</v>
      </c>
      <c r="Y405" s="126">
        <f t="shared" si="396"/>
        <v>19</v>
      </c>
      <c r="Z405" s="126">
        <f t="shared" si="396"/>
        <v>20</v>
      </c>
      <c r="AA405" s="126">
        <f t="shared" si="396"/>
        <v>21</v>
      </c>
      <c r="AB405" s="126">
        <f t="shared" si="396"/>
        <v>22</v>
      </c>
      <c r="AC405" s="126">
        <f t="shared" si="396"/>
        <v>23</v>
      </c>
      <c r="AD405" s="126">
        <f t="shared" si="396"/>
        <v>24</v>
      </c>
      <c r="AE405" s="126">
        <f t="shared" si="396"/>
        <v>25</v>
      </c>
      <c r="AF405" s="126">
        <f t="shared" si="396"/>
        <v>26</v>
      </c>
      <c r="AG405" s="126">
        <f t="shared" si="396"/>
        <v>27</v>
      </c>
      <c r="AH405" s="126">
        <f t="shared" si="396"/>
        <v>28</v>
      </c>
      <c r="AI405" s="126">
        <f t="shared" si="396"/>
        <v>29</v>
      </c>
      <c r="AJ405" s="126">
        <f t="shared" si="396"/>
        <v>30</v>
      </c>
      <c r="AK405" s="126">
        <f t="shared" si="396"/>
        <v>31</v>
      </c>
      <c r="AL405" s="126">
        <f t="shared" si="396"/>
        <v>32</v>
      </c>
      <c r="AM405" s="126">
        <f t="shared" ref="AM405:BD405" si="397">AM$2</f>
        <v>33</v>
      </c>
      <c r="AN405" s="126">
        <f t="shared" si="397"/>
        <v>34</v>
      </c>
      <c r="AO405" s="126">
        <f t="shared" si="397"/>
        <v>35</v>
      </c>
      <c r="AP405" s="126">
        <f t="shared" si="397"/>
        <v>36</v>
      </c>
      <c r="AQ405" s="126">
        <f t="shared" si="397"/>
        <v>37</v>
      </c>
      <c r="AR405" s="126">
        <f t="shared" si="397"/>
        <v>38</v>
      </c>
      <c r="AS405" s="126">
        <f t="shared" si="397"/>
        <v>39</v>
      </c>
      <c r="AT405" s="126">
        <f t="shared" si="397"/>
        <v>40</v>
      </c>
      <c r="AU405" s="126">
        <f t="shared" si="397"/>
        <v>41</v>
      </c>
      <c r="AV405" s="126">
        <f t="shared" si="397"/>
        <v>42</v>
      </c>
      <c r="AW405" s="126">
        <f t="shared" si="397"/>
        <v>43</v>
      </c>
      <c r="AX405" s="126">
        <f t="shared" si="397"/>
        <v>44</v>
      </c>
      <c r="AY405" s="126">
        <f t="shared" si="397"/>
        <v>45</v>
      </c>
      <c r="AZ405" s="126">
        <f t="shared" si="397"/>
        <v>46</v>
      </c>
      <c r="BA405" s="126">
        <f t="shared" si="397"/>
        <v>47</v>
      </c>
      <c r="BB405" s="126">
        <f t="shared" si="397"/>
        <v>48</v>
      </c>
      <c r="BC405" s="126">
        <f t="shared" si="397"/>
        <v>49</v>
      </c>
      <c r="BD405" s="126">
        <f t="shared" si="397"/>
        <v>50</v>
      </c>
    </row>
    <row r="406" spans="1:56" s="255" customFormat="1" ht="15" customHeight="1">
      <c r="C406" s="152">
        <f t="shared" ref="C406:C417" si="398">SUM(G406:BD406)</f>
        <v>1589.7471455289747</v>
      </c>
      <c r="D406" s="256" t="s">
        <v>372</v>
      </c>
      <c r="E406" s="212" t="s">
        <v>153</v>
      </c>
      <c r="F406" s="204"/>
      <c r="G406" s="127">
        <f t="shared" ref="G406:AL406" si="399">G386</f>
        <v>43.0441</v>
      </c>
      <c r="H406" s="127">
        <f t="shared" si="399"/>
        <v>139.8100901764706</v>
      </c>
      <c r="I406" s="127">
        <f t="shared" si="399"/>
        <v>117.63138899653978</v>
      </c>
      <c r="J406" s="127">
        <f t="shared" si="399"/>
        <v>168.40010685935275</v>
      </c>
      <c r="K406" s="127">
        <f t="shared" si="399"/>
        <v>161.78086946995364</v>
      </c>
      <c r="L406" s="127">
        <f t="shared" si="399"/>
        <v>172.86492859879553</v>
      </c>
      <c r="M406" s="127">
        <f t="shared" si="399"/>
        <v>187.302663336167</v>
      </c>
      <c r="N406" s="127">
        <f t="shared" si="399"/>
        <v>137.18628429975695</v>
      </c>
      <c r="O406" s="127">
        <f t="shared" si="399"/>
        <v>45.184964194714503</v>
      </c>
      <c r="P406" s="127">
        <f t="shared" si="399"/>
        <v>50.758603444190697</v>
      </c>
      <c r="Q406" s="127">
        <f t="shared" si="399"/>
        <v>48.333025251215261</v>
      </c>
      <c r="R406" s="127">
        <f t="shared" si="399"/>
        <v>51.430858851480473</v>
      </c>
      <c r="S406" s="127">
        <f t="shared" si="399"/>
        <v>58.706545939814539</v>
      </c>
      <c r="T406" s="127">
        <f t="shared" si="399"/>
        <v>58.377784983022224</v>
      </c>
      <c r="U406" s="127">
        <f t="shared" si="399"/>
        <v>75.773418439799585</v>
      </c>
      <c r="V406" s="127">
        <f t="shared" si="399"/>
        <v>54.682093476820214</v>
      </c>
      <c r="W406" s="127">
        <f t="shared" si="399"/>
        <v>18.47941921088109</v>
      </c>
      <c r="X406" s="127">
        <f t="shared" si="399"/>
        <v>0</v>
      </c>
      <c r="Y406" s="127">
        <f t="shared" si="399"/>
        <v>0</v>
      </c>
      <c r="Z406" s="127">
        <f t="shared" si="399"/>
        <v>0</v>
      </c>
      <c r="AA406" s="127">
        <f t="shared" si="399"/>
        <v>0</v>
      </c>
      <c r="AB406" s="127">
        <f t="shared" si="399"/>
        <v>0</v>
      </c>
      <c r="AC406" s="127">
        <f t="shared" si="399"/>
        <v>0</v>
      </c>
      <c r="AD406" s="127">
        <f t="shared" si="399"/>
        <v>0</v>
      </c>
      <c r="AE406" s="127">
        <f t="shared" si="399"/>
        <v>0</v>
      </c>
      <c r="AF406" s="127">
        <f t="shared" si="399"/>
        <v>0</v>
      </c>
      <c r="AG406" s="127">
        <f t="shared" si="399"/>
        <v>0</v>
      </c>
      <c r="AH406" s="127">
        <f t="shared" si="399"/>
        <v>0</v>
      </c>
      <c r="AI406" s="127">
        <f t="shared" si="399"/>
        <v>0</v>
      </c>
      <c r="AJ406" s="127">
        <f t="shared" si="399"/>
        <v>0</v>
      </c>
      <c r="AK406" s="127">
        <f t="shared" si="399"/>
        <v>0</v>
      </c>
      <c r="AL406" s="127">
        <f t="shared" si="399"/>
        <v>0</v>
      </c>
      <c r="AM406" s="127">
        <f t="shared" ref="AM406:BD406" si="400">AM386</f>
        <v>0</v>
      </c>
      <c r="AN406" s="127">
        <f t="shared" si="400"/>
        <v>0</v>
      </c>
      <c r="AO406" s="127">
        <f t="shared" si="400"/>
        <v>0</v>
      </c>
      <c r="AP406" s="127">
        <f t="shared" si="400"/>
        <v>0</v>
      </c>
      <c r="AQ406" s="127">
        <f t="shared" si="400"/>
        <v>0</v>
      </c>
      <c r="AR406" s="127">
        <f t="shared" si="400"/>
        <v>0</v>
      </c>
      <c r="AS406" s="127">
        <f t="shared" si="400"/>
        <v>0</v>
      </c>
      <c r="AT406" s="127">
        <f t="shared" si="400"/>
        <v>0</v>
      </c>
      <c r="AU406" s="127">
        <f t="shared" si="400"/>
        <v>0</v>
      </c>
      <c r="AV406" s="127">
        <f t="shared" si="400"/>
        <v>0</v>
      </c>
      <c r="AW406" s="127">
        <f t="shared" si="400"/>
        <v>0</v>
      </c>
      <c r="AX406" s="127">
        <f t="shared" si="400"/>
        <v>0</v>
      </c>
      <c r="AY406" s="127">
        <f t="shared" si="400"/>
        <v>0</v>
      </c>
      <c r="AZ406" s="127">
        <f t="shared" si="400"/>
        <v>0</v>
      </c>
      <c r="BA406" s="127">
        <f t="shared" si="400"/>
        <v>0</v>
      </c>
      <c r="BB406" s="127">
        <f t="shared" si="400"/>
        <v>0</v>
      </c>
      <c r="BC406" s="127">
        <f t="shared" si="400"/>
        <v>0</v>
      </c>
      <c r="BD406" s="127">
        <f t="shared" si="400"/>
        <v>0</v>
      </c>
    </row>
    <row r="407" spans="1:56" ht="15" customHeight="1">
      <c r="C407" s="152">
        <f t="shared" si="398"/>
        <v>1618.3617338018516</v>
      </c>
      <c r="D407" s="257" t="str">
        <f>Paramètres!H7</f>
        <v>RDC - 2002</v>
      </c>
      <c r="E407" s="212" t="s">
        <v>153</v>
      </c>
      <c r="F407" s="258">
        <v>1</v>
      </c>
      <c r="G407" s="177">
        <v>36.423227500000003</v>
      </c>
      <c r="H407" s="177">
        <v>131.01879832352901</v>
      </c>
      <c r="I407" s="177">
        <v>105.490188442907</v>
      </c>
      <c r="J407" s="177">
        <v>171.38482276613101</v>
      </c>
      <c r="K407" s="177">
        <v>171.616911087631</v>
      </c>
      <c r="L407" s="177">
        <v>183.94132176678099</v>
      </c>
      <c r="M407" s="177">
        <v>194.67287594457301</v>
      </c>
      <c r="N407" s="177">
        <v>139.052406348902</v>
      </c>
      <c r="O407" s="177">
        <v>47.580363606483701</v>
      </c>
      <c r="P407" s="177">
        <v>53.558567693183498</v>
      </c>
      <c r="Q407" s="177">
        <v>52.272077029854302</v>
      </c>
      <c r="R407" s="177">
        <v>56.0578610795259</v>
      </c>
      <c r="S407" s="177">
        <v>62.003325021122897</v>
      </c>
      <c r="T407" s="177">
        <v>60.248877541797903</v>
      </c>
      <c r="U407" s="177">
        <v>76.682531859425595</v>
      </c>
      <c r="V407" s="177">
        <v>56.3233195676886</v>
      </c>
      <c r="W407" s="177">
        <v>20.034258222315302</v>
      </c>
      <c r="X407" s="177">
        <v>0</v>
      </c>
      <c r="Y407" s="177">
        <v>0</v>
      </c>
      <c r="Z407" s="177">
        <v>0</v>
      </c>
      <c r="AA407" s="177">
        <v>0</v>
      </c>
      <c r="AB407" s="177">
        <v>0</v>
      </c>
      <c r="AC407" s="177">
        <v>0</v>
      </c>
      <c r="AD407" s="177">
        <v>0</v>
      </c>
      <c r="AE407" s="177">
        <v>0</v>
      </c>
      <c r="AF407" s="177">
        <v>0</v>
      </c>
      <c r="AG407" s="177">
        <v>0</v>
      </c>
      <c r="AH407" s="177">
        <v>0</v>
      </c>
      <c r="AI407" s="177">
        <v>0</v>
      </c>
      <c r="AJ407" s="177">
        <v>0</v>
      </c>
      <c r="AK407" s="177">
        <v>0</v>
      </c>
      <c r="AL407" s="177">
        <v>0</v>
      </c>
      <c r="AM407" s="177">
        <v>0</v>
      </c>
      <c r="AN407" s="177">
        <v>0</v>
      </c>
      <c r="AO407" s="177">
        <v>0</v>
      </c>
      <c r="AP407" s="177">
        <v>0</v>
      </c>
      <c r="AQ407" s="177">
        <v>0</v>
      </c>
      <c r="AR407" s="177">
        <v>0</v>
      </c>
      <c r="AS407" s="177">
        <v>0</v>
      </c>
      <c r="AT407" s="177">
        <v>0</v>
      </c>
      <c r="AU407" s="177">
        <v>0</v>
      </c>
      <c r="AV407" s="177">
        <v>0</v>
      </c>
      <c r="AW407" s="177">
        <v>0</v>
      </c>
      <c r="AX407" s="177">
        <v>0</v>
      </c>
      <c r="AY407" s="177">
        <v>0</v>
      </c>
      <c r="AZ407" s="177">
        <v>0</v>
      </c>
      <c r="BA407" s="177">
        <v>0</v>
      </c>
      <c r="BB407" s="177">
        <v>0</v>
      </c>
      <c r="BC407" s="177">
        <v>0</v>
      </c>
      <c r="BD407" s="177">
        <v>0</v>
      </c>
    </row>
    <row r="408" spans="1:56" ht="15" customHeight="1">
      <c r="C408" s="152">
        <f t="shared" si="398"/>
        <v>2072.7903808405658</v>
      </c>
      <c r="D408" s="257" t="str">
        <f>Paramètres!I7</f>
        <v>RDC - amendement</v>
      </c>
      <c r="E408" s="212" t="s">
        <v>153</v>
      </c>
      <c r="F408" s="258">
        <f t="shared" ref="F408:F417" si="401">F407+1</f>
        <v>2</v>
      </c>
      <c r="G408" s="177">
        <v>55.625830000000001</v>
      </c>
      <c r="H408" s="177">
        <v>184.29110104705899</v>
      </c>
      <c r="I408" s="177">
        <v>158.65192059515601</v>
      </c>
      <c r="J408" s="177">
        <v>214.25724960309401</v>
      </c>
      <c r="K408" s="177">
        <v>206.77331725793499</v>
      </c>
      <c r="L408" s="177">
        <v>219.52000003831401</v>
      </c>
      <c r="M408" s="177">
        <v>236.97732867063399</v>
      </c>
      <c r="N408" s="177">
        <v>177.35487801965999</v>
      </c>
      <c r="O408" s="177">
        <v>63.519891722600299</v>
      </c>
      <c r="P408" s="177">
        <v>69.555848771867005</v>
      </c>
      <c r="Q408" s="177">
        <v>66.787177201701397</v>
      </c>
      <c r="R408" s="177">
        <v>70.126575292072701</v>
      </c>
      <c r="S408" s="177">
        <v>78.477557665740406</v>
      </c>
      <c r="T408" s="177">
        <v>78.387723376231094</v>
      </c>
      <c r="U408" s="177">
        <v>97.438785915719393</v>
      </c>
      <c r="V408" s="177">
        <v>70.802158367548301</v>
      </c>
      <c r="W408" s="177">
        <v>24.243037295233499</v>
      </c>
      <c r="X408" s="177">
        <v>0</v>
      </c>
      <c r="Y408" s="177">
        <v>0</v>
      </c>
      <c r="Z408" s="177">
        <v>0</v>
      </c>
      <c r="AA408" s="177">
        <v>0</v>
      </c>
      <c r="AB408" s="177">
        <v>0</v>
      </c>
      <c r="AC408" s="177">
        <v>0</v>
      </c>
      <c r="AD408" s="177">
        <v>0</v>
      </c>
      <c r="AE408" s="177">
        <v>0</v>
      </c>
      <c r="AF408" s="177">
        <v>0</v>
      </c>
      <c r="AG408" s="177">
        <v>0</v>
      </c>
      <c r="AH408" s="177">
        <v>0</v>
      </c>
      <c r="AI408" s="177">
        <v>0</v>
      </c>
      <c r="AJ408" s="177">
        <v>0</v>
      </c>
      <c r="AK408" s="177">
        <v>0</v>
      </c>
      <c r="AL408" s="177">
        <v>0</v>
      </c>
      <c r="AM408" s="177">
        <v>0</v>
      </c>
      <c r="AN408" s="177">
        <v>0</v>
      </c>
      <c r="AO408" s="177">
        <v>0</v>
      </c>
      <c r="AP408" s="177">
        <v>0</v>
      </c>
      <c r="AQ408" s="177">
        <v>0</v>
      </c>
      <c r="AR408" s="177">
        <v>0</v>
      </c>
      <c r="AS408" s="177">
        <v>0</v>
      </c>
      <c r="AT408" s="177">
        <v>0</v>
      </c>
      <c r="AU408" s="177">
        <v>0</v>
      </c>
      <c r="AV408" s="177">
        <v>0</v>
      </c>
      <c r="AW408" s="177">
        <v>0</v>
      </c>
      <c r="AX408" s="177">
        <v>0</v>
      </c>
      <c r="AY408" s="177">
        <v>0</v>
      </c>
      <c r="AZ408" s="177">
        <v>0</v>
      </c>
      <c r="BA408" s="177">
        <v>0</v>
      </c>
      <c r="BB408" s="177">
        <v>0</v>
      </c>
      <c r="BC408" s="177">
        <v>0</v>
      </c>
      <c r="BD408" s="177">
        <v>0</v>
      </c>
    </row>
    <row r="409" spans="1:56" ht="15" customHeight="1">
      <c r="C409" s="152">
        <f t="shared" si="398"/>
        <v>1909.0806112483319</v>
      </c>
      <c r="D409" s="257" t="str">
        <f>Paramètres!J7</f>
        <v>Chili</v>
      </c>
      <c r="E409" s="212" t="s">
        <v>153</v>
      </c>
      <c r="F409" s="258">
        <f t="shared" si="401"/>
        <v>3</v>
      </c>
      <c r="G409" s="177">
        <v>54.806579999999997</v>
      </c>
      <c r="H409" s="177">
        <v>154.37794919689401</v>
      </c>
      <c r="I409" s="177">
        <v>124.214134527151</v>
      </c>
      <c r="J409" s="177">
        <v>220.530206712893</v>
      </c>
      <c r="K409" s="177">
        <v>210.929464777346</v>
      </c>
      <c r="L409" s="177">
        <v>226.28193707583</v>
      </c>
      <c r="M409" s="177">
        <v>240.92524438806799</v>
      </c>
      <c r="N409" s="177">
        <v>160.866387941244</v>
      </c>
      <c r="O409" s="177">
        <v>43.630780537728903</v>
      </c>
      <c r="P409" s="177">
        <v>51.983403465585198</v>
      </c>
      <c r="Q409" s="177">
        <v>50.135612659211198</v>
      </c>
      <c r="R409" s="177">
        <v>56.845337923420303</v>
      </c>
      <c r="S409" s="177">
        <v>67.694964668687305</v>
      </c>
      <c r="T409" s="177">
        <v>65.400463689530298</v>
      </c>
      <c r="U409" s="177">
        <v>92.352116604096295</v>
      </c>
      <c r="V409" s="177">
        <v>66.2477585079113</v>
      </c>
      <c r="W409" s="177">
        <v>21.858268572734701</v>
      </c>
      <c r="X409" s="177">
        <v>0</v>
      </c>
      <c r="Y409" s="177">
        <v>0</v>
      </c>
      <c r="Z409" s="177">
        <v>0</v>
      </c>
      <c r="AA409" s="177">
        <v>0</v>
      </c>
      <c r="AB409" s="177">
        <v>0</v>
      </c>
      <c r="AC409" s="177">
        <v>0</v>
      </c>
      <c r="AD409" s="177">
        <v>0</v>
      </c>
      <c r="AE409" s="177">
        <v>0</v>
      </c>
      <c r="AF409" s="177">
        <v>0</v>
      </c>
      <c r="AG409" s="177">
        <v>0</v>
      </c>
      <c r="AH409" s="177">
        <v>0</v>
      </c>
      <c r="AI409" s="177">
        <v>0</v>
      </c>
      <c r="AJ409" s="177">
        <v>0</v>
      </c>
      <c r="AK409" s="177">
        <v>0</v>
      </c>
      <c r="AL409" s="177">
        <v>0</v>
      </c>
      <c r="AM409" s="177">
        <v>0</v>
      </c>
      <c r="AN409" s="177">
        <v>0</v>
      </c>
      <c r="AO409" s="177">
        <v>0</v>
      </c>
      <c r="AP409" s="177">
        <v>0</v>
      </c>
      <c r="AQ409" s="177">
        <v>0</v>
      </c>
      <c r="AR409" s="177">
        <v>0</v>
      </c>
      <c r="AS409" s="177">
        <v>0</v>
      </c>
      <c r="AT409" s="177">
        <v>0</v>
      </c>
      <c r="AU409" s="177">
        <v>0</v>
      </c>
      <c r="AV409" s="177">
        <v>0</v>
      </c>
      <c r="AW409" s="177">
        <v>0</v>
      </c>
      <c r="AX409" s="177">
        <v>0</v>
      </c>
      <c r="AY409" s="177">
        <v>0</v>
      </c>
      <c r="AZ409" s="177">
        <v>0</v>
      </c>
      <c r="BA409" s="177">
        <v>0</v>
      </c>
      <c r="BB409" s="177">
        <v>0</v>
      </c>
      <c r="BC409" s="177">
        <v>0</v>
      </c>
      <c r="BD409" s="177">
        <v>0</v>
      </c>
    </row>
    <row r="410" spans="1:56" ht="15" customHeight="1">
      <c r="C410" s="152">
        <f t="shared" si="398"/>
        <v>1342.8173086980416</v>
      </c>
      <c r="D410" s="257" t="str">
        <f>Paramètres!K7</f>
        <v>Perou</v>
      </c>
      <c r="E410" s="212" t="s">
        <v>153</v>
      </c>
      <c r="F410" s="258">
        <f t="shared" si="401"/>
        <v>4</v>
      </c>
      <c r="G410" s="177">
        <v>17.244755720000001</v>
      </c>
      <c r="H410" s="177">
        <v>129.104225966276</v>
      </c>
      <c r="I410" s="177">
        <v>112.83806453189401</v>
      </c>
      <c r="J410" s="177">
        <v>154.83090912695499</v>
      </c>
      <c r="K410" s="177">
        <v>147.92963882093599</v>
      </c>
      <c r="L410" s="177">
        <v>156.591343220526</v>
      </c>
      <c r="M410" s="177">
        <v>166.88770938169199</v>
      </c>
      <c r="N410" s="177">
        <v>112.408250879306</v>
      </c>
      <c r="O410" s="177">
        <v>27.0519466962526</v>
      </c>
      <c r="P410" s="177">
        <v>31.425238254663899</v>
      </c>
      <c r="Q410" s="177">
        <v>30.370037843156101</v>
      </c>
      <c r="R410" s="177">
        <v>36.105301567818202</v>
      </c>
      <c r="S410" s="177">
        <v>47.344543458347502</v>
      </c>
      <c r="T410" s="177">
        <v>47.372924743172298</v>
      </c>
      <c r="U410" s="177">
        <v>65.655644032822295</v>
      </c>
      <c r="V410" s="177">
        <v>45.963917917287098</v>
      </c>
      <c r="W410" s="177">
        <v>13.692856536936601</v>
      </c>
      <c r="X410" s="177">
        <v>0</v>
      </c>
      <c r="Y410" s="177">
        <v>0</v>
      </c>
      <c r="Z410" s="177">
        <v>0</v>
      </c>
      <c r="AA410" s="177">
        <v>0</v>
      </c>
      <c r="AB410" s="177">
        <v>0</v>
      </c>
      <c r="AC410" s="177">
        <v>0</v>
      </c>
      <c r="AD410" s="177">
        <v>0</v>
      </c>
      <c r="AE410" s="177">
        <v>0</v>
      </c>
      <c r="AF410" s="177">
        <v>0</v>
      </c>
      <c r="AG410" s="177">
        <v>0</v>
      </c>
      <c r="AH410" s="177">
        <v>0</v>
      </c>
      <c r="AI410" s="177">
        <v>0</v>
      </c>
      <c r="AJ410" s="177">
        <v>0</v>
      </c>
      <c r="AK410" s="177">
        <v>0</v>
      </c>
      <c r="AL410" s="177">
        <v>0</v>
      </c>
      <c r="AM410" s="177">
        <v>0</v>
      </c>
      <c r="AN410" s="177">
        <v>0</v>
      </c>
      <c r="AO410" s="177">
        <v>0</v>
      </c>
      <c r="AP410" s="177">
        <v>0</v>
      </c>
      <c r="AQ410" s="177">
        <v>0</v>
      </c>
      <c r="AR410" s="177">
        <v>0</v>
      </c>
      <c r="AS410" s="177">
        <v>0</v>
      </c>
      <c r="AT410" s="177">
        <v>0</v>
      </c>
      <c r="AU410" s="177">
        <v>0</v>
      </c>
      <c r="AV410" s="177">
        <v>0</v>
      </c>
      <c r="AW410" s="177">
        <v>0</v>
      </c>
      <c r="AX410" s="177">
        <v>0</v>
      </c>
      <c r="AY410" s="177">
        <v>0</v>
      </c>
      <c r="AZ410" s="177">
        <v>0</v>
      </c>
      <c r="BA410" s="177">
        <v>0</v>
      </c>
      <c r="BB410" s="177">
        <v>0</v>
      </c>
      <c r="BC410" s="177">
        <v>0</v>
      </c>
      <c r="BD410" s="177">
        <v>0</v>
      </c>
    </row>
    <row r="411" spans="1:56" ht="15" customHeight="1">
      <c r="C411" s="152">
        <f t="shared" si="398"/>
        <v>1953.6889133907196</v>
      </c>
      <c r="D411" s="257" t="str">
        <f>Paramètres!L7</f>
        <v>Australie Occidentale</v>
      </c>
      <c r="E411" s="212" t="s">
        <v>153</v>
      </c>
      <c r="F411" s="258">
        <f t="shared" si="401"/>
        <v>5</v>
      </c>
      <c r="G411" s="177">
        <v>49.756999999999998</v>
      </c>
      <c r="H411" s="177">
        <v>167.64568682352899</v>
      </c>
      <c r="I411" s="177">
        <v>144.10152159169601</v>
      </c>
      <c r="J411" s="177">
        <v>218.591972148721</v>
      </c>
      <c r="K411" s="177">
        <v>210.65902171443199</v>
      </c>
      <c r="L411" s="177">
        <v>222.26735462199301</v>
      </c>
      <c r="M411" s="177">
        <v>234.27680845293401</v>
      </c>
      <c r="N411" s="177">
        <v>162.92816514993501</v>
      </c>
      <c r="O411" s="177">
        <v>49.970081343073701</v>
      </c>
      <c r="P411" s="177">
        <v>57.2613908657585</v>
      </c>
      <c r="Q411" s="177">
        <v>55.0157786750081</v>
      </c>
      <c r="R411" s="177">
        <v>60.431369193716598</v>
      </c>
      <c r="S411" s="177">
        <v>70.335980905399495</v>
      </c>
      <c r="T411" s="177">
        <v>69.082777492834396</v>
      </c>
      <c r="U411" s="177">
        <v>92.100560128146299</v>
      </c>
      <c r="V411" s="177">
        <v>66.461276364359094</v>
      </c>
      <c r="W411" s="177">
        <v>22.802167919183699</v>
      </c>
      <c r="X411" s="177">
        <v>0</v>
      </c>
      <c r="Y411" s="177">
        <v>0</v>
      </c>
      <c r="Z411" s="177">
        <v>0</v>
      </c>
      <c r="AA411" s="177">
        <v>0</v>
      </c>
      <c r="AB411" s="177">
        <v>0</v>
      </c>
      <c r="AC411" s="177">
        <v>0</v>
      </c>
      <c r="AD411" s="177">
        <v>0</v>
      </c>
      <c r="AE411" s="177">
        <v>0</v>
      </c>
      <c r="AF411" s="177">
        <v>0</v>
      </c>
      <c r="AG411" s="177">
        <v>0</v>
      </c>
      <c r="AH411" s="177">
        <v>0</v>
      </c>
      <c r="AI411" s="177">
        <v>0</v>
      </c>
      <c r="AJ411" s="177">
        <v>0</v>
      </c>
      <c r="AK411" s="177">
        <v>0</v>
      </c>
      <c r="AL411" s="177">
        <v>0</v>
      </c>
      <c r="AM411" s="177">
        <v>0</v>
      </c>
      <c r="AN411" s="177">
        <v>0</v>
      </c>
      <c r="AO411" s="177">
        <v>0</v>
      </c>
      <c r="AP411" s="177">
        <v>0</v>
      </c>
      <c r="AQ411" s="177">
        <v>0</v>
      </c>
      <c r="AR411" s="177">
        <v>0</v>
      </c>
      <c r="AS411" s="177">
        <v>0</v>
      </c>
      <c r="AT411" s="177">
        <v>0</v>
      </c>
      <c r="AU411" s="177">
        <v>0</v>
      </c>
      <c r="AV411" s="177">
        <v>0</v>
      </c>
      <c r="AW411" s="177">
        <v>0</v>
      </c>
      <c r="AX411" s="177">
        <v>0</v>
      </c>
      <c r="AY411" s="177">
        <v>0</v>
      </c>
      <c r="AZ411" s="177">
        <v>0</v>
      </c>
      <c r="BA411" s="177">
        <v>0</v>
      </c>
      <c r="BB411" s="177">
        <v>0</v>
      </c>
      <c r="BC411" s="177">
        <v>0</v>
      </c>
      <c r="BD411" s="177">
        <v>0</v>
      </c>
    </row>
    <row r="412" spans="1:56" ht="15" customHeight="1">
      <c r="C412" s="152">
        <f t="shared" si="398"/>
        <v>1468.6502220000002</v>
      </c>
      <c r="D412" s="257" t="str">
        <f>Paramètres!M7</f>
        <v>Tanzanie</v>
      </c>
      <c r="E412" s="212" t="s">
        <v>153</v>
      </c>
      <c r="F412" s="258">
        <f t="shared" si="401"/>
        <v>6</v>
      </c>
      <c r="G412" s="177">
        <v>28.411000000000001</v>
      </c>
      <c r="H412" s="177">
        <v>110.446516</v>
      </c>
      <c r="I412" s="177">
        <v>85.931120000000007</v>
      </c>
      <c r="J412" s="177">
        <v>168.56800000000001</v>
      </c>
      <c r="K412" s="177">
        <v>162.648</v>
      </c>
      <c r="L412" s="177">
        <v>173.37799999999999</v>
      </c>
      <c r="M412" s="177">
        <v>182.25800000000001</v>
      </c>
      <c r="N412" s="177">
        <v>125.3824</v>
      </c>
      <c r="O412" s="177">
        <v>40.201027000000003</v>
      </c>
      <c r="P412" s="177">
        <v>47.228288999999997</v>
      </c>
      <c r="Q412" s="177">
        <v>45.751027000000001</v>
      </c>
      <c r="R412" s="177">
        <v>49.819657999999997</v>
      </c>
      <c r="S412" s="177">
        <v>55.004356999999999</v>
      </c>
      <c r="T412" s="177">
        <v>52.412987999999999</v>
      </c>
      <c r="U412" s="177">
        <v>70.540841999999998</v>
      </c>
      <c r="V412" s="177">
        <v>51.909669999999998</v>
      </c>
      <c r="W412" s="177">
        <v>18.759328</v>
      </c>
      <c r="X412" s="177">
        <v>0</v>
      </c>
      <c r="Y412" s="177">
        <v>0</v>
      </c>
      <c r="Z412" s="177">
        <v>0</v>
      </c>
      <c r="AA412" s="177">
        <v>0</v>
      </c>
      <c r="AB412" s="177">
        <v>0</v>
      </c>
      <c r="AC412" s="177">
        <v>0</v>
      </c>
      <c r="AD412" s="177">
        <v>0</v>
      </c>
      <c r="AE412" s="177">
        <v>0</v>
      </c>
      <c r="AF412" s="177">
        <v>0</v>
      </c>
      <c r="AG412" s="177">
        <v>0</v>
      </c>
      <c r="AH412" s="177">
        <v>0</v>
      </c>
      <c r="AI412" s="177">
        <v>0</v>
      </c>
      <c r="AJ412" s="177">
        <v>0</v>
      </c>
      <c r="AK412" s="177">
        <v>0</v>
      </c>
      <c r="AL412" s="177">
        <v>0</v>
      </c>
      <c r="AM412" s="177">
        <v>0</v>
      </c>
      <c r="AN412" s="177">
        <v>0</v>
      </c>
      <c r="AO412" s="177">
        <v>0</v>
      </c>
      <c r="AP412" s="177">
        <v>0</v>
      </c>
      <c r="AQ412" s="177">
        <v>0</v>
      </c>
      <c r="AR412" s="177">
        <v>0</v>
      </c>
      <c r="AS412" s="177">
        <v>0</v>
      </c>
      <c r="AT412" s="177">
        <v>0</v>
      </c>
      <c r="AU412" s="177">
        <v>0</v>
      </c>
      <c r="AV412" s="177">
        <v>0</v>
      </c>
      <c r="AW412" s="177">
        <v>0</v>
      </c>
      <c r="AX412" s="177">
        <v>0</v>
      </c>
      <c r="AY412" s="177">
        <v>0</v>
      </c>
      <c r="AZ412" s="177">
        <v>0</v>
      </c>
      <c r="BA412" s="177">
        <v>0</v>
      </c>
      <c r="BB412" s="177">
        <v>0</v>
      </c>
      <c r="BC412" s="177">
        <v>0</v>
      </c>
      <c r="BD412" s="177">
        <v>0</v>
      </c>
    </row>
    <row r="413" spans="1:56" ht="15" customHeight="1">
      <c r="C413" s="152">
        <f t="shared" si="398"/>
        <v>1802.3768697436869</v>
      </c>
      <c r="D413" s="257" t="str">
        <f>Paramètres!N7</f>
        <v>Ghana</v>
      </c>
      <c r="E413" s="212" t="s">
        <v>153</v>
      </c>
      <c r="F413" s="258">
        <f t="shared" si="401"/>
        <v>7</v>
      </c>
      <c r="G413" s="177">
        <v>40.823079999999997</v>
      </c>
      <c r="H413" s="177">
        <v>164.65648574588201</v>
      </c>
      <c r="I413" s="177">
        <v>139.52058478615899</v>
      </c>
      <c r="J413" s="177">
        <v>189.23748626093999</v>
      </c>
      <c r="K413" s="177">
        <v>181.36319986366701</v>
      </c>
      <c r="L413" s="177">
        <v>194.32829781694301</v>
      </c>
      <c r="M413" s="177">
        <v>212.59243375220299</v>
      </c>
      <c r="N413" s="177">
        <v>157.47711797565199</v>
      </c>
      <c r="O413" s="177">
        <v>51.108968456435903</v>
      </c>
      <c r="P413" s="177">
        <v>57.1878937467973</v>
      </c>
      <c r="Q413" s="177">
        <v>54.1155269461836</v>
      </c>
      <c r="R413" s="177">
        <v>57.450218480785402</v>
      </c>
      <c r="S413" s="177">
        <v>66.462510687201302</v>
      </c>
      <c r="T413" s="177">
        <v>66.691764677925207</v>
      </c>
      <c r="U413" s="177">
        <v>86.691784042735407</v>
      </c>
      <c r="V413" s="177">
        <v>62.163066042382702</v>
      </c>
      <c r="W413" s="177">
        <v>20.506450461794302</v>
      </c>
      <c r="X413" s="177">
        <v>0</v>
      </c>
      <c r="Y413" s="177">
        <v>0</v>
      </c>
      <c r="Z413" s="177">
        <v>0</v>
      </c>
      <c r="AA413" s="177">
        <v>0</v>
      </c>
      <c r="AB413" s="177">
        <v>0</v>
      </c>
      <c r="AC413" s="177">
        <v>0</v>
      </c>
      <c r="AD413" s="177">
        <v>0</v>
      </c>
      <c r="AE413" s="177">
        <v>0</v>
      </c>
      <c r="AF413" s="177">
        <v>0</v>
      </c>
      <c r="AG413" s="177">
        <v>0</v>
      </c>
      <c r="AH413" s="177">
        <v>0</v>
      </c>
      <c r="AI413" s="177">
        <v>0</v>
      </c>
      <c r="AJ413" s="177">
        <v>0</v>
      </c>
      <c r="AK413" s="177">
        <v>0</v>
      </c>
      <c r="AL413" s="177">
        <v>0</v>
      </c>
      <c r="AM413" s="177">
        <v>0</v>
      </c>
      <c r="AN413" s="177">
        <v>0</v>
      </c>
      <c r="AO413" s="177">
        <v>0</v>
      </c>
      <c r="AP413" s="177">
        <v>0</v>
      </c>
      <c r="AQ413" s="177">
        <v>0</v>
      </c>
      <c r="AR413" s="177">
        <v>0</v>
      </c>
      <c r="AS413" s="177">
        <v>0</v>
      </c>
      <c r="AT413" s="177">
        <v>0</v>
      </c>
      <c r="AU413" s="177">
        <v>0</v>
      </c>
      <c r="AV413" s="177">
        <v>0</v>
      </c>
      <c r="AW413" s="177">
        <v>0</v>
      </c>
      <c r="AX413" s="177">
        <v>0</v>
      </c>
      <c r="AY413" s="177">
        <v>0</v>
      </c>
      <c r="AZ413" s="177">
        <v>0</v>
      </c>
      <c r="BA413" s="177">
        <v>0</v>
      </c>
      <c r="BB413" s="177">
        <v>0</v>
      </c>
      <c r="BC413" s="177">
        <v>0</v>
      </c>
      <c r="BD413" s="177">
        <v>0</v>
      </c>
    </row>
    <row r="414" spans="1:56" ht="15" customHeight="1">
      <c r="C414" s="152">
        <f t="shared" si="398"/>
        <v>1528.8116181958085</v>
      </c>
      <c r="D414" s="257" t="str">
        <f>Paramètres!O7</f>
        <v>Zambie - 2016</v>
      </c>
      <c r="E414" s="212" t="s">
        <v>153</v>
      </c>
      <c r="F414" s="258">
        <f t="shared" si="401"/>
        <v>8</v>
      </c>
      <c r="G414" s="177">
        <v>56.494149999999998</v>
      </c>
      <c r="H414" s="177">
        <v>138.46847129411799</v>
      </c>
      <c r="I414" s="177">
        <v>116.35010166089999</v>
      </c>
      <c r="J414" s="177">
        <v>149.66267809892099</v>
      </c>
      <c r="K414" s="177">
        <v>147.906328617952</v>
      </c>
      <c r="L414" s="177">
        <v>163.391877671484</v>
      </c>
      <c r="M414" s="177">
        <v>184.381483309587</v>
      </c>
      <c r="N414" s="177">
        <v>131.864129656015</v>
      </c>
      <c r="O414" s="177">
        <v>44.2227710301242</v>
      </c>
      <c r="P414" s="177">
        <v>47.922212452065999</v>
      </c>
      <c r="Q414" s="177">
        <v>45.221786397516802</v>
      </c>
      <c r="R414" s="177">
        <v>49.042111372684701</v>
      </c>
      <c r="S414" s="177">
        <v>56.661735571137797</v>
      </c>
      <c r="T414" s="177">
        <v>56.675563497659297</v>
      </c>
      <c r="U414" s="177">
        <v>72.171329160594397</v>
      </c>
      <c r="V414" s="177">
        <v>51.349520258497897</v>
      </c>
      <c r="W414" s="177">
        <v>17.025368146550001</v>
      </c>
      <c r="X414" s="177">
        <v>0</v>
      </c>
      <c r="Y414" s="177">
        <v>0</v>
      </c>
      <c r="Z414" s="177">
        <v>0</v>
      </c>
      <c r="AA414" s="177">
        <v>0</v>
      </c>
      <c r="AB414" s="177">
        <v>0</v>
      </c>
      <c r="AC414" s="177">
        <v>0</v>
      </c>
      <c r="AD414" s="177">
        <v>0</v>
      </c>
      <c r="AE414" s="177">
        <v>0</v>
      </c>
      <c r="AF414" s="177">
        <v>0</v>
      </c>
      <c r="AG414" s="177">
        <v>0</v>
      </c>
      <c r="AH414" s="177">
        <v>0</v>
      </c>
      <c r="AI414" s="177">
        <v>0</v>
      </c>
      <c r="AJ414" s="177">
        <v>0</v>
      </c>
      <c r="AK414" s="177">
        <v>0</v>
      </c>
      <c r="AL414" s="177">
        <v>0</v>
      </c>
      <c r="AM414" s="177">
        <v>0</v>
      </c>
      <c r="AN414" s="177">
        <v>0</v>
      </c>
      <c r="AO414" s="177">
        <v>0</v>
      </c>
      <c r="AP414" s="177">
        <v>0</v>
      </c>
      <c r="AQ414" s="177">
        <v>0</v>
      </c>
      <c r="AR414" s="177">
        <v>0</v>
      </c>
      <c r="AS414" s="177">
        <v>0</v>
      </c>
      <c r="AT414" s="177">
        <v>0</v>
      </c>
      <c r="AU414" s="177">
        <v>0</v>
      </c>
      <c r="AV414" s="177">
        <v>0</v>
      </c>
      <c r="AW414" s="177">
        <v>0</v>
      </c>
      <c r="AX414" s="177">
        <v>0</v>
      </c>
      <c r="AY414" s="177">
        <v>0</v>
      </c>
      <c r="AZ414" s="177">
        <v>0</v>
      </c>
      <c r="BA414" s="177">
        <v>0</v>
      </c>
      <c r="BB414" s="177">
        <v>0</v>
      </c>
      <c r="BC414" s="177">
        <v>0</v>
      </c>
      <c r="BD414" s="177">
        <v>0</v>
      </c>
    </row>
    <row r="415" spans="1:56" ht="15" customHeight="1">
      <c r="C415" s="152">
        <f t="shared" si="398"/>
        <v>1616.9373591200333</v>
      </c>
      <c r="D415" s="257" t="str">
        <f>Paramètres!P7</f>
        <v>RDC - redevance a taux variable</v>
      </c>
      <c r="E415" s="212" t="s">
        <v>153</v>
      </c>
      <c r="F415" s="258">
        <f t="shared" si="401"/>
        <v>9</v>
      </c>
      <c r="G415" s="177">
        <v>36.423227500000003</v>
      </c>
      <c r="H415" s="177">
        <v>145.99839832352899</v>
      </c>
      <c r="I415" s="177">
        <v>124.600178062284</v>
      </c>
      <c r="J415" s="177">
        <v>167.52238535518001</v>
      </c>
      <c r="K415" s="177">
        <v>161.267184661941</v>
      </c>
      <c r="L415" s="177">
        <v>171.93415955847399</v>
      </c>
      <c r="M415" s="177">
        <v>186.94270689247799</v>
      </c>
      <c r="N415" s="177">
        <v>140.17222677969201</v>
      </c>
      <c r="O415" s="177">
        <v>48.889785888304999</v>
      </c>
      <c r="P415" s="177">
        <v>53.791086554308201</v>
      </c>
      <c r="Q415" s="177">
        <v>51.442329893206001</v>
      </c>
      <c r="R415" s="177">
        <v>54.1434312618753</v>
      </c>
      <c r="S415" s="177">
        <v>61.205960348765103</v>
      </c>
      <c r="T415" s="177">
        <v>61.288708611828199</v>
      </c>
      <c r="U415" s="177">
        <v>76.969063807079493</v>
      </c>
      <c r="V415" s="177">
        <v>55.6879931539723</v>
      </c>
      <c r="W415" s="177">
        <v>18.658532467116</v>
      </c>
      <c r="X415" s="177">
        <v>0</v>
      </c>
      <c r="Y415" s="177">
        <v>0</v>
      </c>
      <c r="Z415" s="177">
        <v>0</v>
      </c>
      <c r="AA415" s="177">
        <v>0</v>
      </c>
      <c r="AB415" s="177">
        <v>0</v>
      </c>
      <c r="AC415" s="177">
        <v>0</v>
      </c>
      <c r="AD415" s="177">
        <v>0</v>
      </c>
      <c r="AE415" s="177">
        <v>0</v>
      </c>
      <c r="AF415" s="177">
        <v>0</v>
      </c>
      <c r="AG415" s="177">
        <v>0</v>
      </c>
      <c r="AH415" s="177">
        <v>0</v>
      </c>
      <c r="AI415" s="177">
        <v>0</v>
      </c>
      <c r="AJ415" s="177">
        <v>0</v>
      </c>
      <c r="AK415" s="177">
        <v>0</v>
      </c>
      <c r="AL415" s="177">
        <v>0</v>
      </c>
      <c r="AM415" s="177">
        <v>0</v>
      </c>
      <c r="AN415" s="177">
        <v>0</v>
      </c>
      <c r="AO415" s="177">
        <v>0</v>
      </c>
      <c r="AP415" s="177">
        <v>0</v>
      </c>
      <c r="AQ415" s="177">
        <v>0</v>
      </c>
      <c r="AR415" s="177">
        <v>0</v>
      </c>
      <c r="AS415" s="177">
        <v>0</v>
      </c>
      <c r="AT415" s="177">
        <v>0</v>
      </c>
      <c r="AU415" s="177">
        <v>0</v>
      </c>
      <c r="AV415" s="177">
        <v>0</v>
      </c>
      <c r="AW415" s="177">
        <v>0</v>
      </c>
      <c r="AX415" s="177">
        <v>0</v>
      </c>
      <c r="AY415" s="177">
        <v>0</v>
      </c>
      <c r="AZ415" s="177">
        <v>0</v>
      </c>
      <c r="BA415" s="177">
        <v>0</v>
      </c>
      <c r="BB415" s="177">
        <v>0</v>
      </c>
      <c r="BC415" s="177">
        <v>0</v>
      </c>
      <c r="BD415" s="177">
        <v>0</v>
      </c>
    </row>
    <row r="416" spans="1:56" ht="15" customHeight="1">
      <c r="C416" s="152">
        <f t="shared" si="398"/>
        <v>1828.1860093812832</v>
      </c>
      <c r="D416" s="257" t="str">
        <f>Paramètres!Q7</f>
        <v>RDC - taxe sur la rente</v>
      </c>
      <c r="E416" s="212" t="s">
        <v>153</v>
      </c>
      <c r="F416" s="258">
        <f t="shared" si="401"/>
        <v>10</v>
      </c>
      <c r="G416" s="127">
        <v>44.415735437499997</v>
      </c>
      <c r="H416" s="127">
        <v>161.16857397602899</v>
      </c>
      <c r="I416" s="127">
        <v>135.48326786228401</v>
      </c>
      <c r="J416" s="127">
        <v>192.26501660517999</v>
      </c>
      <c r="K416" s="127">
        <v>184.93892841194099</v>
      </c>
      <c r="L416" s="127">
        <v>197.51041580847399</v>
      </c>
      <c r="M416" s="127">
        <v>214.13170689247801</v>
      </c>
      <c r="N416" s="127">
        <v>158.28112677969199</v>
      </c>
      <c r="O416" s="127">
        <v>53.697817790179997</v>
      </c>
      <c r="P416" s="127">
        <v>59.842645204933198</v>
      </c>
      <c r="Q416" s="127">
        <v>57.212236795080997</v>
      </c>
      <c r="R416" s="127">
        <v>60.631289038125303</v>
      </c>
      <c r="S416" s="127">
        <v>68.653341981890094</v>
      </c>
      <c r="T416" s="55">
        <v>68.299791119328205</v>
      </c>
      <c r="U416" s="55">
        <v>87.246924543329499</v>
      </c>
      <c r="V416" s="55">
        <v>63.154268897722297</v>
      </c>
      <c r="W416" s="55">
        <v>21.252922237116099</v>
      </c>
      <c r="X416" s="55">
        <v>0</v>
      </c>
      <c r="Y416" s="55">
        <v>0</v>
      </c>
      <c r="Z416" s="55">
        <v>0</v>
      </c>
      <c r="AA416" s="55">
        <v>0</v>
      </c>
      <c r="AB416" s="55">
        <v>0</v>
      </c>
      <c r="AC416" s="55">
        <v>0</v>
      </c>
      <c r="AD416" s="55">
        <v>0</v>
      </c>
      <c r="AE416" s="55">
        <v>0</v>
      </c>
      <c r="AF416" s="55">
        <v>0</v>
      </c>
      <c r="AG416" s="55">
        <v>0</v>
      </c>
      <c r="AH416" s="55">
        <v>0</v>
      </c>
      <c r="AI416" s="55">
        <v>0</v>
      </c>
      <c r="AJ416" s="55">
        <v>0</v>
      </c>
      <c r="AK416" s="55">
        <v>0</v>
      </c>
      <c r="AL416" s="55">
        <v>0</v>
      </c>
      <c r="AM416" s="55">
        <v>0</v>
      </c>
      <c r="AN416" s="55">
        <v>0</v>
      </c>
      <c r="AO416" s="55">
        <v>0</v>
      </c>
      <c r="AP416" s="55">
        <v>0</v>
      </c>
      <c r="AQ416" s="55">
        <v>0</v>
      </c>
      <c r="AR416" s="55">
        <v>0</v>
      </c>
      <c r="AS416" s="55">
        <v>0</v>
      </c>
      <c r="AT416" s="55">
        <v>0</v>
      </c>
      <c r="AU416" s="55">
        <v>0</v>
      </c>
      <c r="AV416" s="55">
        <v>0</v>
      </c>
      <c r="AW416" s="55">
        <v>0</v>
      </c>
      <c r="AX416" s="55">
        <v>0</v>
      </c>
      <c r="AY416" s="55">
        <v>0</v>
      </c>
      <c r="AZ416" s="55">
        <v>0</v>
      </c>
      <c r="BA416" s="55">
        <v>0</v>
      </c>
      <c r="BB416" s="55">
        <v>0</v>
      </c>
      <c r="BC416" s="55">
        <v>0</v>
      </c>
      <c r="BD416" s="55">
        <v>0</v>
      </c>
    </row>
    <row r="417" spans="1:56" ht="15" customHeight="1">
      <c r="C417" s="152">
        <f t="shared" si="398"/>
        <v>1589.7471455289765</v>
      </c>
      <c r="D417" s="257" t="str">
        <f>Paramètres!R7</f>
        <v>Sénégal (SGO - Convention Sabodala)</v>
      </c>
      <c r="E417" s="212" t="s">
        <v>153</v>
      </c>
      <c r="F417" s="258">
        <f t="shared" si="401"/>
        <v>11</v>
      </c>
      <c r="G417" s="127">
        <v>43.0441</v>
      </c>
      <c r="H417" s="127">
        <v>139.81009017647099</v>
      </c>
      <c r="I417" s="127">
        <v>117.63138899654</v>
      </c>
      <c r="J417" s="127">
        <v>168.400106859353</v>
      </c>
      <c r="K417" s="127">
        <v>161.78086946995401</v>
      </c>
      <c r="L417" s="127">
        <v>172.86492859879601</v>
      </c>
      <c r="M417" s="127">
        <v>187.302663336167</v>
      </c>
      <c r="N417" s="127">
        <v>137.18628429975701</v>
      </c>
      <c r="O417" s="127">
        <v>45.184964194714503</v>
      </c>
      <c r="P417" s="127">
        <v>50.758603444190697</v>
      </c>
      <c r="Q417" s="127">
        <v>48.333025251215297</v>
      </c>
      <c r="R417" s="127">
        <v>51.430858851480501</v>
      </c>
      <c r="S417" s="127">
        <v>58.706545939814497</v>
      </c>
      <c r="T417" s="55">
        <v>58.377784983022202</v>
      </c>
      <c r="U417" s="55">
        <v>75.773418439799599</v>
      </c>
      <c r="V417" s="55">
        <v>54.682093476820199</v>
      </c>
      <c r="W417" s="55">
        <v>18.479419210881101</v>
      </c>
      <c r="X417" s="55">
        <v>0</v>
      </c>
      <c r="Y417" s="55">
        <v>0</v>
      </c>
      <c r="Z417" s="55">
        <v>0</v>
      </c>
      <c r="AA417" s="55">
        <v>0</v>
      </c>
      <c r="AB417" s="55">
        <v>0</v>
      </c>
      <c r="AC417" s="55">
        <v>0</v>
      </c>
      <c r="AD417" s="55">
        <v>0</v>
      </c>
      <c r="AE417" s="55">
        <v>0</v>
      </c>
      <c r="AF417" s="55">
        <v>0</v>
      </c>
      <c r="AG417" s="55">
        <v>0</v>
      </c>
      <c r="AH417" s="55">
        <v>0</v>
      </c>
      <c r="AI417" s="55">
        <v>0</v>
      </c>
      <c r="AJ417" s="55">
        <v>0</v>
      </c>
      <c r="AK417" s="55">
        <v>0</v>
      </c>
      <c r="AL417" s="55">
        <v>0</v>
      </c>
      <c r="AM417" s="55">
        <v>0</v>
      </c>
      <c r="AN417" s="55">
        <v>0</v>
      </c>
      <c r="AO417" s="55">
        <v>0</v>
      </c>
      <c r="AP417" s="55">
        <v>0</v>
      </c>
      <c r="AQ417" s="55">
        <v>0</v>
      </c>
      <c r="AR417" s="55">
        <v>0</v>
      </c>
      <c r="AS417" s="55">
        <v>0</v>
      </c>
      <c r="AT417" s="55">
        <v>0</v>
      </c>
      <c r="AU417" s="55">
        <v>0</v>
      </c>
      <c r="AV417" s="55">
        <v>0</v>
      </c>
      <c r="AW417" s="55">
        <v>0</v>
      </c>
      <c r="AX417" s="55">
        <v>0</v>
      </c>
      <c r="AY417" s="55">
        <v>0</v>
      </c>
      <c r="AZ417" s="55">
        <v>0</v>
      </c>
      <c r="BA417" s="55">
        <v>0</v>
      </c>
      <c r="BB417" s="55">
        <v>0</v>
      </c>
      <c r="BC417" s="55">
        <v>0</v>
      </c>
      <c r="BD417" s="55">
        <v>0</v>
      </c>
    </row>
    <row r="418" spans="1:56" ht="15" customHeight="1">
      <c r="C418" s="127"/>
      <c r="F418" s="259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</row>
    <row r="419" spans="1:56" ht="15" customHeight="1">
      <c r="C419" s="260"/>
      <c r="D419" s="41" t="s">
        <v>373</v>
      </c>
      <c r="E419" s="41"/>
      <c r="F419" s="203"/>
      <c r="G419" s="203"/>
      <c r="H419" s="203"/>
      <c r="I419" s="203"/>
      <c r="J419" s="203"/>
      <c r="K419" s="203"/>
      <c r="L419" s="203"/>
      <c r="M419" s="203"/>
      <c r="N419" s="203"/>
      <c r="O419" s="203"/>
      <c r="P419" s="203"/>
      <c r="Q419" s="203"/>
      <c r="R419" s="203"/>
      <c r="S419" s="203"/>
      <c r="T419" s="203"/>
      <c r="U419" s="203"/>
      <c r="V419" s="203"/>
      <c r="W419" s="203"/>
      <c r="X419" s="203"/>
      <c r="Y419" s="203"/>
      <c r="Z419" s="203"/>
      <c r="AA419" s="203"/>
    </row>
    <row r="420" spans="1:56" ht="15" customHeight="1">
      <c r="C420" s="247"/>
      <c r="D420" s="55" t="s">
        <v>374</v>
      </c>
      <c r="E420" s="55" t="s">
        <v>26</v>
      </c>
      <c r="F420" s="259"/>
      <c r="G420" s="261">
        <f>G$353</f>
        <v>0</v>
      </c>
      <c r="H420" s="261">
        <f>H$353</f>
        <v>0.05</v>
      </c>
      <c r="I420" s="261">
        <f>I$353</f>
        <v>0.1</v>
      </c>
      <c r="J420" s="261">
        <f>J$353</f>
        <v>0.15000000000000002</v>
      </c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  <c r="AA420" s="127"/>
    </row>
    <row r="421" spans="1:56" ht="15" customHeight="1">
      <c r="C421" s="127"/>
      <c r="D421" s="55" t="s">
        <v>375</v>
      </c>
      <c r="E421" s="212" t="s">
        <v>153</v>
      </c>
      <c r="F421" s="259"/>
      <c r="G421" s="154">
        <f>G$355</f>
        <v>1589.7471455289749</v>
      </c>
      <c r="H421" s="154">
        <f>H$355</f>
        <v>1193.9012497169338</v>
      </c>
      <c r="I421" s="154">
        <f>I$355</f>
        <v>939.78916083545425</v>
      </c>
      <c r="J421" s="154">
        <f>J$355</f>
        <v>767.34908359275278</v>
      </c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  <c r="AA421" s="127"/>
    </row>
    <row r="422" spans="1:56" ht="15" customHeight="1">
      <c r="C422" s="127"/>
      <c r="D422" s="55" t="s">
        <v>376</v>
      </c>
      <c r="E422" s="212" t="s">
        <v>153</v>
      </c>
      <c r="G422" s="154">
        <f>G354</f>
        <v>3595.3866000000007</v>
      </c>
      <c r="H422" s="154">
        <f>H354</f>
        <v>2698.9507673649487</v>
      </c>
      <c r="I422" s="154">
        <f>I354</f>
        <v>2122.6807782108376</v>
      </c>
      <c r="J422" s="154">
        <f>J354</f>
        <v>1731.3019389917135</v>
      </c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</row>
    <row r="423" spans="1:56" s="33" customFormat="1" ht="15" customHeight="1">
      <c r="A423" s="262"/>
      <c r="C423" s="247"/>
      <c r="D423" s="263" t="s">
        <v>377</v>
      </c>
      <c r="E423" s="263" t="s">
        <v>26</v>
      </c>
      <c r="F423" s="263"/>
      <c r="G423" s="264">
        <f>G421/G422</f>
        <v>0.44216306127663008</v>
      </c>
      <c r="H423" s="264">
        <f>H421/H422</f>
        <v>0.44235755025741674</v>
      </c>
      <c r="I423" s="264">
        <f>I421/I422</f>
        <v>0.44273692515724505</v>
      </c>
      <c r="J423" s="264">
        <f>J421/J422</f>
        <v>0.44322083070018758</v>
      </c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3"/>
      <c r="Z423" s="243"/>
      <c r="AA423" s="243"/>
    </row>
    <row r="424" spans="1:56" ht="15" customHeight="1">
      <c r="G424" s="127"/>
    </row>
    <row r="425" spans="1:56" ht="15" customHeight="1">
      <c r="C425" s="260"/>
      <c r="D425" s="41" t="s">
        <v>378</v>
      </c>
      <c r="E425" s="41"/>
      <c r="F425" s="203"/>
      <c r="G425" s="203"/>
      <c r="H425" s="203"/>
      <c r="I425" s="203"/>
      <c r="J425" s="203"/>
      <c r="K425" s="203"/>
      <c r="L425" s="203"/>
      <c r="M425" s="203"/>
      <c r="N425" s="203"/>
      <c r="O425" s="203"/>
      <c r="P425" s="203"/>
      <c r="Q425" s="203"/>
      <c r="R425" s="203"/>
      <c r="S425" s="203"/>
      <c r="T425" s="203"/>
      <c r="U425" s="203"/>
      <c r="V425" s="203"/>
      <c r="W425" s="203"/>
      <c r="X425" s="203"/>
      <c r="Y425" s="203"/>
      <c r="Z425" s="203"/>
      <c r="AA425" s="203"/>
    </row>
    <row r="426" spans="1:56" s="210" customFormat="1" ht="24" customHeight="1">
      <c r="A426" s="209"/>
      <c r="B426" s="237"/>
      <c r="C426" s="211"/>
      <c r="D426" s="212" t="s">
        <v>370</v>
      </c>
      <c r="E426" s="212"/>
      <c r="G426" s="249" t="str">
        <f>Paramètres!H7</f>
        <v>RDC - 2002</v>
      </c>
      <c r="H426" s="249" t="str">
        <f>Paramètres!I7</f>
        <v>RDC - amendement</v>
      </c>
      <c r="I426" s="249" t="str">
        <f>Paramètres!J7</f>
        <v>Chili</v>
      </c>
      <c r="J426" s="249" t="str">
        <f>Paramètres!K7</f>
        <v>Perou</v>
      </c>
      <c r="K426" s="249" t="str">
        <f>Paramètres!L7</f>
        <v>Australie Occidentale</v>
      </c>
      <c r="L426" s="249" t="str">
        <f>Paramètres!M7</f>
        <v>Tanzanie</v>
      </c>
      <c r="M426" s="249" t="str">
        <f>Paramètres!N7</f>
        <v>Ghana</v>
      </c>
      <c r="N426" s="249" t="str">
        <f>Paramètres!O7</f>
        <v>Zambie - 2016</v>
      </c>
      <c r="O426" s="249" t="str">
        <f>Paramètres!P7</f>
        <v>RDC - redevance a taux variable</v>
      </c>
      <c r="P426" s="249" t="str">
        <f>Paramètres!Q7</f>
        <v>RDC - taxe sur la rente</v>
      </c>
      <c r="Q426" s="249" t="str">
        <f>Paramètres!R7</f>
        <v>Sénégal (SGO - Convention Sabodala)</v>
      </c>
      <c r="W426" s="226"/>
      <c r="X426" s="226"/>
      <c r="Y426" s="226"/>
      <c r="Z426" s="226"/>
      <c r="AA426" s="226"/>
      <c r="AB426" s="226"/>
      <c r="AC426" s="226"/>
      <c r="AD426" s="226"/>
      <c r="AE426" s="226"/>
      <c r="AF426" s="226"/>
      <c r="AG426" s="226"/>
    </row>
    <row r="427" spans="1:56" s="210" customFormat="1" ht="12" customHeight="1">
      <c r="A427" s="209"/>
      <c r="B427" s="237"/>
      <c r="C427" s="211"/>
      <c r="D427" s="212"/>
      <c r="E427" s="212"/>
      <c r="G427" s="251">
        <f>Paramètres!H6</f>
        <v>1</v>
      </c>
      <c r="H427" s="251">
        <f>Paramètres!I6</f>
        <v>2</v>
      </c>
      <c r="I427" s="251">
        <f>Paramètres!J6</f>
        <v>3</v>
      </c>
      <c r="J427" s="251">
        <f>Paramètres!K6</f>
        <v>4</v>
      </c>
      <c r="K427" s="251">
        <f>Paramètres!L6</f>
        <v>5</v>
      </c>
      <c r="L427" s="251">
        <f>Paramètres!M6</f>
        <v>6</v>
      </c>
      <c r="M427" s="251">
        <f>Paramètres!N6</f>
        <v>7</v>
      </c>
      <c r="N427" s="251">
        <f>Paramètres!O6</f>
        <v>8</v>
      </c>
      <c r="O427" s="251">
        <f>Paramètres!P6</f>
        <v>9</v>
      </c>
      <c r="P427" s="251">
        <f>Paramètres!Q6</f>
        <v>10</v>
      </c>
      <c r="Q427" s="251">
        <f>Paramètres!R6</f>
        <v>11</v>
      </c>
      <c r="W427" s="226"/>
      <c r="X427" s="226"/>
      <c r="Y427" s="226"/>
      <c r="Z427" s="226"/>
      <c r="AA427" s="226"/>
      <c r="AB427" s="226"/>
      <c r="AC427" s="226"/>
      <c r="AD427" s="226"/>
      <c r="AE427" s="226"/>
      <c r="AF427" s="226"/>
      <c r="AG427" s="226"/>
    </row>
    <row r="428" spans="1:56" ht="15" customHeight="1">
      <c r="C428" s="265"/>
      <c r="D428" s="55" t="str">
        <f>"Taux Effectif Moyen d'Imposition (TEMI) VAN "&amp;G353*100</f>
        <v>Taux Effectif Moyen d'Imposition (TEMI) VAN 0</v>
      </c>
      <c r="E428" s="55" t="s">
        <v>26</v>
      </c>
      <c r="F428" s="266">
        <f>G358</f>
        <v>0.44216306127663008</v>
      </c>
      <c r="G428" s="267">
        <v>0.47432619006864302</v>
      </c>
      <c r="H428" s="267">
        <v>0.57651390836261296</v>
      </c>
      <c r="I428" s="267">
        <v>0.53098062145760105</v>
      </c>
      <c r="J428" s="267">
        <v>0.37348342698335701</v>
      </c>
      <c r="K428" s="267">
        <v>0.54338771618905202</v>
      </c>
      <c r="L428" s="267">
        <v>0.40848186450936902</v>
      </c>
      <c r="M428" s="267">
        <v>0.50130266095548404</v>
      </c>
      <c r="N428" s="267">
        <v>0.42521480671808898</v>
      </c>
      <c r="O428" s="267">
        <v>0.44972558976551602</v>
      </c>
      <c r="P428" s="267">
        <v>0.50848106553584105</v>
      </c>
      <c r="Q428" s="267">
        <v>0.44216306127663002</v>
      </c>
      <c r="R428" s="116"/>
      <c r="S428" s="116"/>
    </row>
    <row r="429" spans="1:56" ht="15" customHeight="1">
      <c r="C429" s="265"/>
      <c r="D429" s="55" t="str">
        <f>"Taux Effectif Moyen d'Imposition (TEMI) VAN "&amp;H353*100</f>
        <v>Taux Effectif Moyen d'Imposition (TEMI) VAN 5</v>
      </c>
      <c r="E429" s="55" t="s">
        <v>26</v>
      </c>
      <c r="F429" s="266">
        <f>H358</f>
        <v>0.44235755025741674</v>
      </c>
      <c r="G429" s="268">
        <v>0.471179317006093</v>
      </c>
      <c r="H429" s="268">
        <v>0.57600031241759397</v>
      </c>
      <c r="I429" s="268">
        <v>0.53276100380386204</v>
      </c>
      <c r="J429" s="268">
        <v>0.37661443837061598</v>
      </c>
      <c r="K429" s="268">
        <v>0.54524869239323703</v>
      </c>
      <c r="L429" s="268">
        <v>0.40549383309029302</v>
      </c>
      <c r="M429" s="268">
        <v>0.501457837180035</v>
      </c>
      <c r="N429" s="268">
        <v>0.426836252146922</v>
      </c>
      <c r="O429" s="268">
        <v>0.44887839757049403</v>
      </c>
      <c r="P429" s="268">
        <v>0.50767343539783805</v>
      </c>
      <c r="Q429" s="268">
        <v>0.44235755025741702</v>
      </c>
      <c r="R429" s="116"/>
      <c r="S429" s="116"/>
    </row>
    <row r="430" spans="1:56" ht="15" customHeight="1">
      <c r="C430" s="265"/>
      <c r="D430" s="55" t="str">
        <f>"Taux Effectif Moyen d'Imposition (TEMI) VAN "&amp;I353*100</f>
        <v>Taux Effectif Moyen d'Imposition (TEMI) VAN 10</v>
      </c>
      <c r="E430" s="55" t="s">
        <v>26</v>
      </c>
      <c r="F430" s="266">
        <f>I358</f>
        <v>0.44273692515724505</v>
      </c>
      <c r="G430" s="268">
        <v>0.44477092809132601</v>
      </c>
      <c r="H430" s="268">
        <v>0.57598027046507605</v>
      </c>
      <c r="I430" s="268">
        <v>0.53409525095600097</v>
      </c>
      <c r="J430" s="268">
        <v>0.37911521004548698</v>
      </c>
      <c r="K430" s="268">
        <v>0.54683945229474495</v>
      </c>
      <c r="L430" s="268">
        <v>0.40238030616167397</v>
      </c>
      <c r="M430" s="268">
        <v>0.501774670712407</v>
      </c>
      <c r="N430" s="268">
        <v>0.42882022747677201</v>
      </c>
      <c r="O430" s="268">
        <v>0.44834453111570999</v>
      </c>
      <c r="P430" s="268">
        <v>0.50715072216699097</v>
      </c>
      <c r="Q430" s="268">
        <v>0.442736925157245</v>
      </c>
      <c r="R430" s="116"/>
      <c r="S430" s="116"/>
    </row>
    <row r="431" spans="1:56" ht="15" customHeight="1">
      <c r="C431" s="265"/>
      <c r="D431" s="55" t="str">
        <f>"Taux Effectif Moyen d'Imposition (TEMI) VAN "&amp;J353*100</f>
        <v>Taux Effectif Moyen d'Imposition (TEMI) VAN 15</v>
      </c>
      <c r="E431" s="55" t="s">
        <v>26</v>
      </c>
      <c r="F431" s="266">
        <f>J358</f>
        <v>0.44322083070018758</v>
      </c>
      <c r="G431" s="269">
        <v>0.46551524651962101</v>
      </c>
      <c r="H431" s="269">
        <v>0.57632915969823495</v>
      </c>
      <c r="I431" s="269">
        <v>0.53495741359256899</v>
      </c>
      <c r="J431" s="269">
        <v>0.38090395493141999</v>
      </c>
      <c r="K431" s="269">
        <v>0.54808886983335303</v>
      </c>
      <c r="L431" s="269">
        <v>0.39919450133222101</v>
      </c>
      <c r="M431" s="269">
        <v>0.50215510836786403</v>
      </c>
      <c r="N431" s="269">
        <v>0.431063472268229</v>
      </c>
      <c r="O431" s="269">
        <v>0.44803787829049302</v>
      </c>
      <c r="P431" s="269">
        <v>0.50682951634539097</v>
      </c>
      <c r="Q431" s="269">
        <v>0.44322083070018797</v>
      </c>
      <c r="R431" s="116"/>
      <c r="S431" s="116"/>
    </row>
    <row r="432" spans="1:56" ht="15" customHeight="1">
      <c r="C432" s="265"/>
      <c r="F432" s="259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</row>
    <row r="433" spans="3:256" ht="15" customHeight="1">
      <c r="C433" s="260"/>
      <c r="D433" s="41" t="str">
        <f>"Taux Effectif Moyen d'Imposition (TEMI) VAN "&amp;I353*100&amp;" - Analyse de sensibilite aux changements de prix"</f>
        <v>Taux Effectif Moyen d'Imposition (TEMI) VAN 10 - Analyse de sensibilite aux changements de prix</v>
      </c>
      <c r="E433" s="41"/>
      <c r="F433" s="203"/>
      <c r="G433" s="203"/>
      <c r="H433" s="203"/>
      <c r="I433" s="203"/>
      <c r="J433" s="203"/>
      <c r="K433" s="203"/>
      <c r="L433" s="203"/>
      <c r="M433" s="203"/>
      <c r="N433" s="203"/>
      <c r="O433" s="203"/>
      <c r="P433" s="203"/>
      <c r="Q433" s="203"/>
      <c r="R433" s="203"/>
      <c r="S433" s="203"/>
      <c r="T433" s="203"/>
      <c r="U433" s="203"/>
      <c r="V433" s="203"/>
      <c r="W433" s="203"/>
      <c r="X433" s="203"/>
      <c r="Y433" s="203"/>
      <c r="Z433" s="203"/>
      <c r="AA433" s="203"/>
      <c r="AB433" s="203"/>
      <c r="AC433" s="203"/>
      <c r="AD433" s="203"/>
      <c r="AE433" s="203"/>
      <c r="AF433" s="203"/>
      <c r="AG433" s="203"/>
      <c r="AH433" s="203"/>
      <c r="AI433" s="203"/>
    </row>
    <row r="434" spans="3:256" s="54" customFormat="1" ht="15" customHeight="1">
      <c r="G434" s="270">
        <f t="shared" ref="G434:P434" si="402">H434-$E$540</f>
        <v>0.49999999999999961</v>
      </c>
      <c r="H434" s="270">
        <f t="shared" si="402"/>
        <v>0.5499999999999996</v>
      </c>
      <c r="I434" s="270">
        <f t="shared" si="402"/>
        <v>0.59999999999999964</v>
      </c>
      <c r="J434" s="270">
        <f t="shared" si="402"/>
        <v>0.64999999999999969</v>
      </c>
      <c r="K434" s="270">
        <f t="shared" si="402"/>
        <v>0.69999999999999973</v>
      </c>
      <c r="L434" s="270">
        <f t="shared" si="402"/>
        <v>0.74999999999999978</v>
      </c>
      <c r="M434" s="270">
        <f t="shared" si="402"/>
        <v>0.79999999999999982</v>
      </c>
      <c r="N434" s="270">
        <f t="shared" si="402"/>
        <v>0.84999999999999987</v>
      </c>
      <c r="O434" s="270">
        <f t="shared" si="402"/>
        <v>0.89999999999999991</v>
      </c>
      <c r="P434" s="270">
        <f t="shared" si="402"/>
        <v>0.95</v>
      </c>
      <c r="Q434" s="270">
        <v>1</v>
      </c>
      <c r="R434" s="270">
        <f t="shared" ref="R434:AI434" si="403">Q434+$E$540</f>
        <v>1.05</v>
      </c>
      <c r="S434" s="270">
        <f t="shared" si="403"/>
        <v>1.1000000000000001</v>
      </c>
      <c r="T434" s="270">
        <f t="shared" si="403"/>
        <v>1.1500000000000001</v>
      </c>
      <c r="U434" s="270">
        <f t="shared" si="403"/>
        <v>1.2000000000000002</v>
      </c>
      <c r="V434" s="270">
        <f t="shared" si="403"/>
        <v>1.2500000000000002</v>
      </c>
      <c r="W434" s="270">
        <f t="shared" si="403"/>
        <v>1.3000000000000003</v>
      </c>
      <c r="X434" s="270">
        <f t="shared" si="403"/>
        <v>1.3500000000000003</v>
      </c>
      <c r="Y434" s="270">
        <f t="shared" si="403"/>
        <v>1.4000000000000004</v>
      </c>
      <c r="Z434" s="270">
        <f t="shared" si="403"/>
        <v>1.4500000000000004</v>
      </c>
      <c r="AA434" s="270">
        <f t="shared" si="403"/>
        <v>1.5000000000000004</v>
      </c>
      <c r="AB434" s="270">
        <f t="shared" si="403"/>
        <v>1.5500000000000005</v>
      </c>
      <c r="AC434" s="270">
        <f t="shared" si="403"/>
        <v>1.6000000000000005</v>
      </c>
      <c r="AD434" s="270">
        <f t="shared" si="403"/>
        <v>1.6500000000000006</v>
      </c>
      <c r="AE434" s="270">
        <f t="shared" si="403"/>
        <v>1.7000000000000006</v>
      </c>
      <c r="AF434" s="270">
        <f t="shared" si="403"/>
        <v>1.7500000000000007</v>
      </c>
      <c r="AG434" s="270">
        <f t="shared" si="403"/>
        <v>1.8000000000000007</v>
      </c>
      <c r="AH434" s="270">
        <f t="shared" si="403"/>
        <v>1.8500000000000008</v>
      </c>
      <c r="AI434" s="270">
        <f t="shared" si="403"/>
        <v>1.9000000000000008</v>
      </c>
      <c r="AJ434" s="55"/>
      <c r="AK434" s="55"/>
      <c r="AL434" s="55"/>
      <c r="AM434" s="55"/>
    </row>
    <row r="435" spans="3:256" ht="15" customHeight="1"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0"/>
      <c r="Q435" s="260"/>
      <c r="R435" s="260"/>
      <c r="S435" s="260"/>
      <c r="T435" s="260"/>
      <c r="U435" s="260"/>
      <c r="V435" s="260"/>
      <c r="W435" s="260"/>
      <c r="X435" s="260"/>
      <c r="Y435" s="260"/>
      <c r="Z435" s="260"/>
      <c r="AA435" s="260"/>
      <c r="AB435" s="260"/>
      <c r="AC435" s="260"/>
      <c r="AD435" s="260"/>
      <c r="AE435" s="260"/>
      <c r="AF435" s="260"/>
      <c r="AG435" s="260"/>
      <c r="AH435" s="260"/>
      <c r="AI435" s="260"/>
      <c r="AN435" s="260"/>
      <c r="AO435" s="260"/>
      <c r="AP435" s="260"/>
      <c r="AQ435" s="260"/>
      <c r="AR435" s="260"/>
      <c r="AS435" s="260"/>
      <c r="AT435" s="260"/>
      <c r="AU435" s="260"/>
      <c r="AV435" s="260"/>
      <c r="AW435" s="260"/>
      <c r="AX435" s="260"/>
      <c r="AY435" s="260"/>
      <c r="AZ435" s="260"/>
      <c r="BA435" s="260"/>
      <c r="BB435" s="260"/>
      <c r="BC435" s="260"/>
      <c r="BD435" s="260"/>
      <c r="BE435" s="260"/>
      <c r="BF435" s="260"/>
      <c r="BG435" s="260"/>
      <c r="BH435" s="260"/>
      <c r="BI435" s="260"/>
      <c r="BJ435" s="260"/>
      <c r="BK435" s="260"/>
      <c r="BL435" s="260"/>
      <c r="BM435" s="260"/>
      <c r="BN435" s="260"/>
      <c r="BO435" s="260"/>
      <c r="BP435" s="260"/>
      <c r="BQ435" s="260"/>
      <c r="BR435" s="260"/>
      <c r="BS435" s="260"/>
      <c r="BT435" s="260"/>
      <c r="BU435" s="260"/>
      <c r="BV435" s="260"/>
      <c r="BW435" s="260"/>
      <c r="BX435" s="260"/>
      <c r="BY435" s="260"/>
      <c r="BZ435" s="260"/>
      <c r="CA435" s="260"/>
      <c r="CB435" s="260"/>
      <c r="CC435" s="260"/>
      <c r="CD435" s="260"/>
      <c r="CE435" s="260"/>
      <c r="CF435" s="260"/>
      <c r="CG435" s="260"/>
      <c r="CH435" s="260"/>
      <c r="CI435" s="260"/>
      <c r="CJ435" s="260"/>
      <c r="CK435" s="260"/>
      <c r="CL435" s="260"/>
      <c r="CM435" s="260"/>
      <c r="CN435" s="260"/>
      <c r="CO435" s="260"/>
      <c r="CP435" s="260"/>
      <c r="CQ435" s="260"/>
      <c r="CR435" s="260"/>
      <c r="CS435" s="260"/>
      <c r="CT435" s="260"/>
      <c r="CU435" s="260"/>
      <c r="CV435" s="260"/>
      <c r="CW435" s="260"/>
      <c r="CX435" s="260"/>
      <c r="CY435" s="260"/>
      <c r="CZ435" s="260"/>
      <c r="DA435" s="260"/>
      <c r="DB435" s="260"/>
      <c r="DC435" s="260"/>
      <c r="DD435" s="260"/>
      <c r="DE435" s="260"/>
      <c r="DF435" s="260"/>
      <c r="DG435" s="260"/>
      <c r="DH435" s="260"/>
      <c r="DI435" s="260"/>
      <c r="DJ435" s="260"/>
      <c r="DK435" s="260"/>
      <c r="DL435" s="260"/>
      <c r="DM435" s="260"/>
      <c r="DN435" s="260"/>
      <c r="DO435" s="260"/>
      <c r="DP435" s="260"/>
      <c r="DQ435" s="260"/>
      <c r="DR435" s="260"/>
      <c r="DS435" s="260"/>
      <c r="DT435" s="260"/>
      <c r="DU435" s="260"/>
      <c r="DV435" s="260"/>
      <c r="DW435" s="260"/>
      <c r="DX435" s="260"/>
      <c r="DY435" s="260"/>
      <c r="DZ435" s="260"/>
      <c r="EA435" s="260"/>
      <c r="EB435" s="260"/>
      <c r="EC435" s="260"/>
      <c r="ED435" s="260"/>
      <c r="EE435" s="260"/>
      <c r="EF435" s="260"/>
      <c r="EG435" s="260"/>
      <c r="EH435" s="260"/>
      <c r="EI435" s="260"/>
      <c r="EJ435" s="260"/>
      <c r="EK435" s="260"/>
      <c r="EL435" s="260"/>
      <c r="EM435" s="260"/>
      <c r="EN435" s="260"/>
      <c r="EO435" s="260"/>
      <c r="EP435" s="260"/>
      <c r="EQ435" s="260"/>
      <c r="ER435" s="260"/>
      <c r="ES435" s="260"/>
      <c r="ET435" s="260"/>
      <c r="EU435" s="260"/>
      <c r="EV435" s="260"/>
      <c r="EW435" s="260"/>
      <c r="EX435" s="260"/>
      <c r="EY435" s="260"/>
      <c r="EZ435" s="260"/>
      <c r="FA435" s="260"/>
      <c r="FB435" s="260"/>
      <c r="FC435" s="260"/>
      <c r="FD435" s="260"/>
      <c r="FE435" s="260"/>
      <c r="FF435" s="260"/>
      <c r="FG435" s="260"/>
      <c r="FH435" s="260"/>
      <c r="FI435" s="260"/>
      <c r="FJ435" s="260"/>
      <c r="FK435" s="260"/>
      <c r="FL435" s="260"/>
      <c r="FM435" s="260"/>
      <c r="FN435" s="260"/>
      <c r="FO435" s="260"/>
      <c r="FP435" s="260"/>
      <c r="FQ435" s="260"/>
      <c r="FR435" s="260"/>
      <c r="FS435" s="260"/>
      <c r="FT435" s="260"/>
      <c r="FU435" s="260"/>
      <c r="FV435" s="260"/>
      <c r="FW435" s="260"/>
      <c r="FX435" s="260"/>
      <c r="FY435" s="260"/>
      <c r="FZ435" s="260"/>
      <c r="GA435" s="260"/>
      <c r="GB435" s="260"/>
      <c r="GC435" s="260"/>
      <c r="GD435" s="260"/>
      <c r="GE435" s="260"/>
      <c r="GF435" s="260"/>
      <c r="GG435" s="260"/>
      <c r="GH435" s="260"/>
      <c r="GI435" s="260"/>
      <c r="GJ435" s="260"/>
      <c r="GK435" s="260"/>
      <c r="GL435" s="260"/>
      <c r="GM435" s="260"/>
      <c r="GN435" s="260"/>
      <c r="GO435" s="260"/>
      <c r="GP435" s="260"/>
      <c r="GQ435" s="260"/>
      <c r="GR435" s="260"/>
      <c r="GS435" s="260"/>
      <c r="GT435" s="260"/>
      <c r="GU435" s="260"/>
      <c r="GV435" s="260"/>
      <c r="GW435" s="260"/>
      <c r="GX435" s="260"/>
      <c r="GY435" s="260"/>
      <c r="GZ435" s="260"/>
      <c r="HA435" s="260"/>
      <c r="HB435" s="260"/>
      <c r="HC435" s="260"/>
      <c r="HD435" s="260"/>
      <c r="HE435" s="260"/>
      <c r="HF435" s="260"/>
      <c r="HG435" s="260"/>
      <c r="HH435" s="260"/>
      <c r="HI435" s="260"/>
      <c r="HJ435" s="260"/>
      <c r="HK435" s="260"/>
      <c r="HL435" s="260"/>
      <c r="HM435" s="260"/>
      <c r="HN435" s="260"/>
      <c r="HO435" s="260"/>
      <c r="HP435" s="260"/>
      <c r="HQ435" s="260"/>
      <c r="HR435" s="260"/>
      <c r="HS435" s="260"/>
      <c r="HT435" s="260"/>
      <c r="HU435" s="260"/>
      <c r="HV435" s="260"/>
      <c r="HW435" s="260"/>
      <c r="HX435" s="260"/>
      <c r="HY435" s="260"/>
      <c r="HZ435" s="260"/>
      <c r="IA435" s="260"/>
      <c r="IB435" s="260"/>
      <c r="IC435" s="260"/>
      <c r="ID435" s="260"/>
      <c r="IE435" s="260"/>
      <c r="IF435" s="260"/>
      <c r="IG435" s="260"/>
      <c r="IH435" s="260"/>
      <c r="II435" s="260"/>
      <c r="IJ435" s="260"/>
      <c r="IK435" s="260"/>
      <c r="IL435" s="260"/>
      <c r="IM435" s="260"/>
      <c r="IN435" s="260"/>
      <c r="IO435" s="260"/>
      <c r="IP435" s="260"/>
      <c r="IQ435" s="260"/>
      <c r="IR435" s="260"/>
      <c r="IS435" s="260"/>
      <c r="IT435" s="260"/>
      <c r="IU435" s="260"/>
      <c r="IV435" s="260"/>
    </row>
    <row r="436" spans="3:256" ht="15" customHeight="1">
      <c r="C436" s="265"/>
      <c r="E436" s="55" t="s">
        <v>98</v>
      </c>
      <c r="F436" s="266">
        <f>I358</f>
        <v>0.44273692515724505</v>
      </c>
      <c r="G436" s="271">
        <f t="shared" ref="G436:P436" si="404">$Q$436*G$434</f>
        <v>799.99999999999943</v>
      </c>
      <c r="H436" s="271">
        <f t="shared" si="404"/>
        <v>879.99999999999932</v>
      </c>
      <c r="I436" s="271">
        <f t="shared" si="404"/>
        <v>959.99999999999943</v>
      </c>
      <c r="J436" s="271">
        <f t="shared" si="404"/>
        <v>1039.9999999999995</v>
      </c>
      <c r="K436" s="271">
        <f t="shared" si="404"/>
        <v>1119.9999999999995</v>
      </c>
      <c r="L436" s="271">
        <f t="shared" si="404"/>
        <v>1199.9999999999995</v>
      </c>
      <c r="M436" s="271">
        <f t="shared" si="404"/>
        <v>1279.9999999999998</v>
      </c>
      <c r="N436" s="271">
        <f t="shared" si="404"/>
        <v>1359.9999999999998</v>
      </c>
      <c r="O436" s="271">
        <f t="shared" si="404"/>
        <v>1439.9999999999998</v>
      </c>
      <c r="P436" s="271">
        <f t="shared" si="404"/>
        <v>1520</v>
      </c>
      <c r="Q436" s="271">
        <f>Paramètres!F98</f>
        <v>1600</v>
      </c>
      <c r="R436" s="271">
        <f t="shared" ref="R436:AI436" si="405">$Q$436*R$434</f>
        <v>1680</v>
      </c>
      <c r="S436" s="271">
        <f t="shared" si="405"/>
        <v>1760.0000000000002</v>
      </c>
      <c r="T436" s="271">
        <f t="shared" si="405"/>
        <v>1840.0000000000002</v>
      </c>
      <c r="U436" s="271">
        <f t="shared" si="405"/>
        <v>1920.0000000000002</v>
      </c>
      <c r="V436" s="271">
        <f t="shared" si="405"/>
        <v>2000.0000000000005</v>
      </c>
      <c r="W436" s="271">
        <f t="shared" si="405"/>
        <v>2080.0000000000005</v>
      </c>
      <c r="X436" s="271">
        <f t="shared" si="405"/>
        <v>2160.0000000000005</v>
      </c>
      <c r="Y436" s="271">
        <f t="shared" si="405"/>
        <v>2240.0000000000005</v>
      </c>
      <c r="Z436" s="271">
        <f t="shared" si="405"/>
        <v>2320.0000000000005</v>
      </c>
      <c r="AA436" s="271">
        <f t="shared" si="405"/>
        <v>2400.0000000000009</v>
      </c>
      <c r="AB436" s="271">
        <f t="shared" si="405"/>
        <v>2480.0000000000009</v>
      </c>
      <c r="AC436" s="271">
        <f t="shared" si="405"/>
        <v>2560.0000000000009</v>
      </c>
      <c r="AD436" s="271">
        <f t="shared" si="405"/>
        <v>2640.0000000000009</v>
      </c>
      <c r="AE436" s="271">
        <f t="shared" si="405"/>
        <v>2720.0000000000009</v>
      </c>
      <c r="AF436" s="271">
        <f t="shared" si="405"/>
        <v>2800.0000000000009</v>
      </c>
      <c r="AG436" s="271">
        <f t="shared" si="405"/>
        <v>2880.0000000000009</v>
      </c>
      <c r="AH436" s="271">
        <f t="shared" si="405"/>
        <v>2960.0000000000014</v>
      </c>
      <c r="AI436" s="271">
        <f t="shared" si="405"/>
        <v>3040.0000000000014</v>
      </c>
    </row>
    <row r="437" spans="3:256" ht="15" customHeight="1">
      <c r="C437" s="265"/>
      <c r="D437" s="272" t="str">
        <f t="shared" ref="D437:D447" si="406">D407</f>
        <v>RDC - 2002</v>
      </c>
      <c r="E437" s="55" t="s">
        <v>26</v>
      </c>
      <c r="F437" s="258">
        <v>1</v>
      </c>
      <c r="G437" s="261">
        <v>0.80548409118333097</v>
      </c>
      <c r="H437" s="261">
        <v>0.61412743190087604</v>
      </c>
      <c r="I437" s="261">
        <v>0.53322801125937302</v>
      </c>
      <c r="J437" s="261">
        <v>0.49629468345287803</v>
      </c>
      <c r="K437" s="261">
        <v>0.478120793117493</v>
      </c>
      <c r="L437" s="261">
        <v>0.46662942338624003</v>
      </c>
      <c r="M437" s="261">
        <v>0.45991847361695098</v>
      </c>
      <c r="N437" s="112">
        <v>0.45479115714150098</v>
      </c>
      <c r="O437" s="112">
        <v>0.450746080019929</v>
      </c>
      <c r="P437" s="112">
        <v>0.447473304382001</v>
      </c>
      <c r="Q437" s="112">
        <v>0.44477092809132601</v>
      </c>
      <c r="R437" s="112">
        <v>0.44250178518122701</v>
      </c>
      <c r="S437" s="112">
        <v>0.44056942569622198</v>
      </c>
      <c r="T437" s="112">
        <v>0.43890405181208803</v>
      </c>
      <c r="U437" s="112">
        <v>0.43745390669831002</v>
      </c>
      <c r="V437" s="112">
        <v>0.436179799381892</v>
      </c>
      <c r="W437" s="112">
        <v>0.43505150944500298</v>
      </c>
      <c r="X437" s="112">
        <v>0.43404535932025501</v>
      </c>
      <c r="Y437" s="112">
        <v>0.43314253451622597</v>
      </c>
      <c r="Z437" s="112">
        <v>0.43232789607536098</v>
      </c>
      <c r="AA437" s="112">
        <v>0.43158912481886302</v>
      </c>
      <c r="AB437" s="112">
        <v>0.43091609404287501</v>
      </c>
      <c r="AC437" s="112">
        <v>0.43030040254529101</v>
      </c>
      <c r="AD437" s="112">
        <v>0.429735022128373</v>
      </c>
      <c r="AE437" s="112">
        <v>0.429214028122063</v>
      </c>
      <c r="AF437" s="112">
        <v>0.428732390977623</v>
      </c>
      <c r="AG437" s="112">
        <v>0.42828581337249</v>
      </c>
      <c r="AH437" s="112">
        <v>0.427870601638488</v>
      </c>
      <c r="AI437" s="112">
        <v>0.42748356336208099</v>
      </c>
    </row>
    <row r="438" spans="3:256" ht="15" customHeight="1">
      <c r="C438" s="265"/>
      <c r="D438" s="272" t="str">
        <f t="shared" si="406"/>
        <v>RDC - amendement</v>
      </c>
      <c r="E438" s="55" t="s">
        <v>26</v>
      </c>
      <c r="F438" s="258">
        <f>F437+1</f>
        <v>2</v>
      </c>
      <c r="G438" s="261">
        <v>0.98488560036403305</v>
      </c>
      <c r="H438" s="261">
        <v>0.75246705809732095</v>
      </c>
      <c r="I438" s="261">
        <v>0.65898195622643196</v>
      </c>
      <c r="J438" s="261">
        <v>0.60736784412863998</v>
      </c>
      <c r="K438" s="261">
        <v>0.57922511012645705</v>
      </c>
      <c r="L438" s="261">
        <v>0.56273305152229203</v>
      </c>
      <c r="M438" s="261">
        <v>0.55108933079130296</v>
      </c>
      <c r="N438" s="112">
        <v>0.543013716495516</v>
      </c>
      <c r="O438" s="112">
        <v>0.53762224961446103</v>
      </c>
      <c r="P438" s="112">
        <v>0.53326014206231798</v>
      </c>
      <c r="Q438" s="112">
        <v>0.57598027046507605</v>
      </c>
      <c r="R438" s="112">
        <v>0.57898196010774705</v>
      </c>
      <c r="S438" s="112">
        <v>0.58153814263210102</v>
      </c>
      <c r="T438" s="112">
        <v>0.583741148673249</v>
      </c>
      <c r="U438" s="112">
        <v>0.58565944370395195</v>
      </c>
      <c r="V438" s="112">
        <v>0.58734487070739205</v>
      </c>
      <c r="W438" s="112">
        <v>0.58883740614992097</v>
      </c>
      <c r="X438" s="112">
        <v>0.59016837142098699</v>
      </c>
      <c r="Y438" s="112">
        <v>0.59136265488869699</v>
      </c>
      <c r="Z438" s="112">
        <v>0.59244028281577998</v>
      </c>
      <c r="AA438" s="112">
        <v>0.593417551377871</v>
      </c>
      <c r="AB438" s="112">
        <v>0.59430785647963102</v>
      </c>
      <c r="AC438" s="112">
        <v>0.59512231148074801</v>
      </c>
      <c r="AD438" s="112">
        <v>0.59587021348995095</v>
      </c>
      <c r="AE438" s="112">
        <v>0.59655939983677597</v>
      </c>
      <c r="AF438" s="112">
        <v>0.59719652375768595</v>
      </c>
      <c r="AG438" s="112">
        <v>0.59778726987861597</v>
      </c>
      <c r="AH438" s="112">
        <v>0.598336524293542</v>
      </c>
      <c r="AI438" s="112">
        <v>0.59884851002191497</v>
      </c>
    </row>
    <row r="439" spans="3:256" ht="15" customHeight="1">
      <c r="C439" s="265"/>
      <c r="D439" s="272" t="str">
        <f t="shared" si="406"/>
        <v>Chili</v>
      </c>
      <c r="E439" s="55" t="s">
        <v>26</v>
      </c>
      <c r="F439" s="258">
        <f>F438+1</f>
        <v>3</v>
      </c>
      <c r="G439" s="261">
        <v>0.81160021702817597</v>
      </c>
      <c r="H439" s="261">
        <v>0.64270579901541902</v>
      </c>
      <c r="I439" s="261">
        <v>0.567032921513271</v>
      </c>
      <c r="J439" s="261">
        <v>0.54129122659358497</v>
      </c>
      <c r="K439" s="261">
        <v>0.53126809621196003</v>
      </c>
      <c r="L439" s="261">
        <v>0.52642715784301097</v>
      </c>
      <c r="M439" s="261">
        <v>0.52804375753176802</v>
      </c>
      <c r="N439" s="112">
        <v>0.52955291896115897</v>
      </c>
      <c r="O439" s="112">
        <v>0.53112546412481798</v>
      </c>
      <c r="P439" s="112">
        <v>0.53263357344752404</v>
      </c>
      <c r="Q439" s="112">
        <v>0.53409525095600097</v>
      </c>
      <c r="R439" s="112">
        <v>0.53561445564263099</v>
      </c>
      <c r="S439" s="112">
        <v>0.53705724267863397</v>
      </c>
      <c r="T439" s="112">
        <v>0.53851847781398798</v>
      </c>
      <c r="U439" s="112">
        <v>0.53988417323415405</v>
      </c>
      <c r="V439" s="112">
        <v>0.54124609302595295</v>
      </c>
      <c r="W439" s="112">
        <v>0.5425314888335</v>
      </c>
      <c r="X439" s="112">
        <v>0.54372521270312502</v>
      </c>
      <c r="Y439" s="112">
        <v>0.54491695758780001</v>
      </c>
      <c r="Z439" s="112">
        <v>0.54603715389867502</v>
      </c>
      <c r="AA439" s="112">
        <v>0.54709183482217805</v>
      </c>
      <c r="AB439" s="112">
        <v>0.54811606224223097</v>
      </c>
      <c r="AC439" s="112">
        <v>0.54909934631308899</v>
      </c>
      <c r="AD439" s="112">
        <v>0.55002396789053598</v>
      </c>
      <c r="AE439" s="112">
        <v>0.55091951398549899</v>
      </c>
      <c r="AF439" s="112">
        <v>0.551773107516491</v>
      </c>
      <c r="AG439" s="112">
        <v>0.55258049238209805</v>
      </c>
      <c r="AH439" s="112">
        <v>0.55335725493828203</v>
      </c>
      <c r="AI439" s="112">
        <v>0.55409939184329304</v>
      </c>
    </row>
    <row r="440" spans="3:256" ht="15" customHeight="1">
      <c r="C440" s="265"/>
      <c r="D440" s="272" t="str">
        <f t="shared" si="406"/>
        <v>Perou</v>
      </c>
      <c r="E440" s="55" t="s">
        <v>26</v>
      </c>
      <c r="F440" s="258">
        <f>F439+1</f>
        <v>4</v>
      </c>
      <c r="G440" s="261">
        <v>0.51204064843228903</v>
      </c>
      <c r="H440" s="261">
        <v>0.42523944683791898</v>
      </c>
      <c r="I440" s="261">
        <v>0.39089994130212802</v>
      </c>
      <c r="J440" s="261">
        <v>0.37579317940132501</v>
      </c>
      <c r="K440" s="261">
        <v>0.37067669524637997</v>
      </c>
      <c r="L440" s="261">
        <v>0.37040240463574298</v>
      </c>
      <c r="M440" s="261">
        <v>0.37191148075325697</v>
      </c>
      <c r="N440" s="112">
        <v>0.37386572036208399</v>
      </c>
      <c r="O440" s="112">
        <v>0.37574497038898602</v>
      </c>
      <c r="P440" s="112">
        <v>0.37748764576044602</v>
      </c>
      <c r="Q440" s="112">
        <v>0.37911521004548698</v>
      </c>
      <c r="R440" s="112">
        <v>0.380644362260534</v>
      </c>
      <c r="S440" s="112">
        <v>0.38202691642021802</v>
      </c>
      <c r="T440" s="112">
        <v>0.383343617782894</v>
      </c>
      <c r="U440" s="112">
        <v>0.38453990076218503</v>
      </c>
      <c r="V440" s="112">
        <v>0.38567996563717799</v>
      </c>
      <c r="W440" s="112">
        <v>0.38673355003373999</v>
      </c>
      <c r="X440" s="112">
        <v>0.38769844402089798</v>
      </c>
      <c r="Y440" s="112">
        <v>0.38862761943725399</v>
      </c>
      <c r="Z440" s="112">
        <v>0.38948824235915802</v>
      </c>
      <c r="AA440" s="112">
        <v>0.390288668992681</v>
      </c>
      <c r="AB440" s="112">
        <v>0.391049700396563</v>
      </c>
      <c r="AC440" s="112">
        <v>0.39176863482072599</v>
      </c>
      <c r="AD440" s="112">
        <v>0.392439361455999</v>
      </c>
      <c r="AE440" s="112">
        <v>0.39307799489894302</v>
      </c>
      <c r="AF440" s="112">
        <v>0.393680025437458</v>
      </c>
      <c r="AG440" s="112">
        <v>0.39424510334091301</v>
      </c>
      <c r="AH440" s="112">
        <v>0.39478113624567102</v>
      </c>
      <c r="AI440" s="112">
        <v>0.39528869540949702</v>
      </c>
    </row>
    <row r="441" spans="3:256" ht="15" customHeight="1">
      <c r="C441" s="265"/>
      <c r="D441" s="272" t="str">
        <f t="shared" si="406"/>
        <v>Australie Occidentale</v>
      </c>
      <c r="E441" s="55" t="s">
        <v>26</v>
      </c>
      <c r="F441" s="258">
        <v>5</v>
      </c>
      <c r="G441" s="261">
        <v>0.96981746777393796</v>
      </c>
      <c r="H441" s="261">
        <v>0.74859648937467005</v>
      </c>
      <c r="I441" s="261">
        <v>0.65953109580011904</v>
      </c>
      <c r="J441" s="261">
        <v>0.60997651310867695</v>
      </c>
      <c r="K441" s="261">
        <v>0.58554934605035602</v>
      </c>
      <c r="L441" s="261">
        <v>0.57170533563468895</v>
      </c>
      <c r="M441" s="261">
        <v>0.56156521823194405</v>
      </c>
      <c r="N441" s="112">
        <v>0.55554328930811803</v>
      </c>
      <c r="O441" s="112">
        <v>0.55202962791411303</v>
      </c>
      <c r="P441" s="112">
        <v>0.54918680809520204</v>
      </c>
      <c r="Q441" s="112">
        <v>0.54683945229474495</v>
      </c>
      <c r="R441" s="112">
        <v>0.54486841451200996</v>
      </c>
      <c r="S441" s="112">
        <v>0.543189915754695</v>
      </c>
      <c r="T441" s="112">
        <v>0.54174332777938605</v>
      </c>
      <c r="U441" s="112">
        <v>0.54048369322883205</v>
      </c>
      <c r="V441" s="112">
        <v>0.53937696978327798</v>
      </c>
      <c r="W441" s="112">
        <v>0.53839690718537403</v>
      </c>
      <c r="X441" s="112">
        <v>0.53752293847139199</v>
      </c>
      <c r="Y441" s="112">
        <v>0.53673872087451302</v>
      </c>
      <c r="Z441" s="112">
        <v>0.53603110429423195</v>
      </c>
      <c r="AA441" s="112">
        <v>0.535389387964742</v>
      </c>
      <c r="AB441" s="112">
        <v>0.53480477556218597</v>
      </c>
      <c r="AC441" s="112">
        <v>0.53426996957934303</v>
      </c>
      <c r="AD441" s="112">
        <v>0.53377886513704298</v>
      </c>
      <c r="AE441" s="112">
        <v>0.53332631590955903</v>
      </c>
      <c r="AF441" s="112">
        <v>0.53290795309731198</v>
      </c>
      <c r="AG441" s="112">
        <v>0.53252004393181895</v>
      </c>
      <c r="AH441" s="112">
        <v>0.53215937999482799</v>
      </c>
      <c r="AI441" s="112">
        <v>0.53182318827117403</v>
      </c>
    </row>
    <row r="442" spans="3:256" ht="15" customHeight="1">
      <c r="C442" s="265"/>
      <c r="D442" s="272" t="str">
        <f t="shared" si="406"/>
        <v>Tanzanie</v>
      </c>
      <c r="E442" s="55" t="s">
        <v>26</v>
      </c>
      <c r="F442" s="258">
        <v>6</v>
      </c>
      <c r="G442" s="261">
        <v>0.60452242632293496</v>
      </c>
      <c r="H442" s="261">
        <v>0.477458535575984</v>
      </c>
      <c r="I442" s="261">
        <v>0.43459459802858702</v>
      </c>
      <c r="J442" s="261">
        <v>0.41794861081153201</v>
      </c>
      <c r="K442" s="261">
        <v>0.41030764805710801</v>
      </c>
      <c r="L442" s="261">
        <v>0.40792461572010902</v>
      </c>
      <c r="M442" s="261">
        <v>0.40622241332922898</v>
      </c>
      <c r="N442" s="112">
        <v>0.40492189243973398</v>
      </c>
      <c r="O442" s="112">
        <v>0.40389587672149102</v>
      </c>
      <c r="P442" s="112">
        <v>0.40306575182006599</v>
      </c>
      <c r="Q442" s="112">
        <v>0.40238030616167397</v>
      </c>
      <c r="R442" s="112">
        <v>0.40180474821241102</v>
      </c>
      <c r="S442" s="112">
        <v>0.40131461387249001</v>
      </c>
      <c r="T442" s="112">
        <v>0.400892199236002</v>
      </c>
      <c r="U442" s="112">
        <v>0.40052437641439598</v>
      </c>
      <c r="V442" s="112">
        <v>0.40020120479267302</v>
      </c>
      <c r="W442" s="112">
        <v>0.39991501909702598</v>
      </c>
      <c r="X442" s="112">
        <v>0.39965981361839598</v>
      </c>
      <c r="Y442" s="112">
        <v>0.39943081614519199</v>
      </c>
      <c r="Z442" s="112">
        <v>0.39922418674854698</v>
      </c>
      <c r="AA442" s="112">
        <v>0.39903680072386299</v>
      </c>
      <c r="AB442" s="112">
        <v>0.39886608947800201</v>
      </c>
      <c r="AC442" s="112">
        <v>0.39870992208362999</v>
      </c>
      <c r="AD442" s="112">
        <v>0.398566515869827</v>
      </c>
      <c r="AE442" s="112">
        <v>0.39843436807053501</v>
      </c>
      <c r="AF442" s="112">
        <v>0.39831220296321201</v>
      </c>
      <c r="AG442" s="112">
        <v>0.39819893055121303</v>
      </c>
      <c r="AH442" s="112">
        <v>0.398093613952127</v>
      </c>
      <c r="AI442" s="112">
        <v>0.39799544342454002</v>
      </c>
    </row>
    <row r="443" spans="3:256" ht="15" customHeight="1">
      <c r="C443" s="265"/>
      <c r="D443" s="272" t="str">
        <f t="shared" si="406"/>
        <v>Ghana</v>
      </c>
      <c r="E443" s="55" t="s">
        <v>26</v>
      </c>
      <c r="F443" s="258">
        <f>F442+1</f>
        <v>7</v>
      </c>
      <c r="G443" s="261">
        <v>0.78875358910300697</v>
      </c>
      <c r="H443" s="261">
        <v>0.63133435583364195</v>
      </c>
      <c r="I443" s="261">
        <v>0.56968526496322303</v>
      </c>
      <c r="J443" s="261">
        <v>0.53665997134330101</v>
      </c>
      <c r="K443" s="261">
        <v>0.52235973845666395</v>
      </c>
      <c r="L443" s="261">
        <v>0.51474785557529801</v>
      </c>
      <c r="M443" s="261">
        <v>0.509436518119468</v>
      </c>
      <c r="N443" s="112">
        <v>0.506399123634381</v>
      </c>
      <c r="O443" s="112">
        <v>0.50453227322399596</v>
      </c>
      <c r="P443" s="112">
        <v>0.50302184898259505</v>
      </c>
      <c r="Q443" s="112">
        <v>0.501774670712407</v>
      </c>
      <c r="R443" s="112">
        <v>0.50072743471526104</v>
      </c>
      <c r="S443" s="112">
        <v>0.49983562820844502</v>
      </c>
      <c r="T443" s="112">
        <v>0.49906703867959301</v>
      </c>
      <c r="U443" s="112">
        <v>0.49839777974597799</v>
      </c>
      <c r="V443" s="112">
        <v>0.49780976431511198</v>
      </c>
      <c r="W443" s="112">
        <v>0.49728904531065099</v>
      </c>
      <c r="X443" s="112">
        <v>0.496824695258268</v>
      </c>
      <c r="Y443" s="112">
        <v>0.49640803105008302</v>
      </c>
      <c r="Z443" s="112">
        <v>0.49603206588009102</v>
      </c>
      <c r="AA443" s="112">
        <v>0.49569111430316798</v>
      </c>
      <c r="AB443" s="112">
        <v>0.495380502727024</v>
      </c>
      <c r="AC443" s="112">
        <v>0.49509635389861201</v>
      </c>
      <c r="AD443" s="112">
        <v>0.49483542422245802</v>
      </c>
      <c r="AE443" s="112">
        <v>0.49459497939402702</v>
      </c>
      <c r="AF443" s="112">
        <v>0.49437269821773999</v>
      </c>
      <c r="AG443" s="112">
        <v>0.49416659742896502</v>
      </c>
      <c r="AH443" s="112">
        <v>0.49397497235663101</v>
      </c>
      <c r="AI443" s="112">
        <v>0.493796349664547</v>
      </c>
    </row>
    <row r="444" spans="3:256" ht="15" customHeight="1">
      <c r="C444" s="265"/>
      <c r="D444" s="272" t="str">
        <f t="shared" si="406"/>
        <v>Zambie - 2016</v>
      </c>
      <c r="E444" s="55" t="s">
        <v>26</v>
      </c>
      <c r="F444" s="258">
        <f>F443+1</f>
        <v>8</v>
      </c>
      <c r="G444" s="261">
        <v>0.75831258575971805</v>
      </c>
      <c r="H444" s="261">
        <v>0.58377478887255596</v>
      </c>
      <c r="I444" s="261">
        <v>0.51345235961089797</v>
      </c>
      <c r="J444" s="261">
        <v>0.478154774592636</v>
      </c>
      <c r="K444" s="261">
        <v>0.46139485407559699</v>
      </c>
      <c r="L444" s="261">
        <v>0.45064537052372899</v>
      </c>
      <c r="M444" s="261">
        <v>0.44343899712868501</v>
      </c>
      <c r="N444" s="112">
        <v>0.438490666829215</v>
      </c>
      <c r="O444" s="112">
        <v>0.43458679668969602</v>
      </c>
      <c r="P444" s="112">
        <v>0.43142826826063002</v>
      </c>
      <c r="Q444" s="112">
        <v>0.42882022747677201</v>
      </c>
      <c r="R444" s="112">
        <v>0.42663029660949803</v>
      </c>
      <c r="S444" s="112">
        <v>0.42476539261246499</v>
      </c>
      <c r="T444" s="112">
        <v>0.423158154188571</v>
      </c>
      <c r="U444" s="112">
        <v>0.42175863125303598</v>
      </c>
      <c r="V444" s="112">
        <v>0.42052900092520401</v>
      </c>
      <c r="W444" s="112">
        <v>0.41944009773227098</v>
      </c>
      <c r="X444" s="112">
        <v>0.41846907065174199</v>
      </c>
      <c r="Y444" s="112">
        <v>0.41759776197511</v>
      </c>
      <c r="Z444" s="112">
        <v>0.41681156122090601</v>
      </c>
      <c r="AA444" s="112">
        <v>0.41609857925257798</v>
      </c>
      <c r="AB444" s="112">
        <v>0.41544904287282702</v>
      </c>
      <c r="AC444" s="112">
        <v>0.414854844151682</v>
      </c>
      <c r="AD444" s="112">
        <v>0.41430920023421403</v>
      </c>
      <c r="AE444" s="112">
        <v>0.41380639327084201</v>
      </c>
      <c r="AF444" s="112">
        <v>0.413341569286095</v>
      </c>
      <c r="AG444" s="112">
        <v>0.412910580969862</v>
      </c>
      <c r="AH444" s="112">
        <v>0.41250986359384401</v>
      </c>
      <c r="AI444" s="112">
        <v>0.412136336186403</v>
      </c>
    </row>
    <row r="445" spans="3:256" ht="15" customHeight="1">
      <c r="C445" s="265"/>
      <c r="D445" s="272" t="str">
        <f t="shared" si="406"/>
        <v>RDC - redevance a taux variable</v>
      </c>
      <c r="E445" s="55" t="s">
        <v>26</v>
      </c>
      <c r="F445" s="258">
        <v>9</v>
      </c>
      <c r="G445" s="261">
        <v>0.83129346943403604</v>
      </c>
      <c r="H445" s="261">
        <v>0.633503186974677</v>
      </c>
      <c r="I445" s="261">
        <v>0.55274839860677405</v>
      </c>
      <c r="J445" s="261">
        <v>0.50931398642796</v>
      </c>
      <c r="K445" s="261">
        <v>0.48835719156882301</v>
      </c>
      <c r="L445" s="261">
        <v>0.47478939118837898</v>
      </c>
      <c r="M445" s="261">
        <v>0.46540427446199001</v>
      </c>
      <c r="N445" s="112">
        <v>0.45962969514296098</v>
      </c>
      <c r="O445" s="112">
        <v>0.45507397505001301</v>
      </c>
      <c r="P445" s="112">
        <v>0.45138805033577101</v>
      </c>
      <c r="Q445" s="112">
        <v>0.44834453111570999</v>
      </c>
      <c r="R445" s="112">
        <v>0.44578893584802598</v>
      </c>
      <c r="S445" s="112">
        <v>0.44361263891522101</v>
      </c>
      <c r="T445" s="112">
        <v>0.44173703134626902</v>
      </c>
      <c r="U445" s="112">
        <v>0.44010382262515502</v>
      </c>
      <c r="V445" s="112">
        <v>0.43866887438374302</v>
      </c>
      <c r="W445" s="112">
        <v>0.43739815123516701</v>
      </c>
      <c r="X445" s="112">
        <v>0.43626498660021201</v>
      </c>
      <c r="Y445" s="112">
        <v>0.43524819088123901</v>
      </c>
      <c r="Z445" s="112">
        <v>0.43433071400700501</v>
      </c>
      <c r="AA445" s="112">
        <v>0.43349868164861799</v>
      </c>
      <c r="AB445" s="112">
        <v>0.43274068872606197</v>
      </c>
      <c r="AC445" s="112">
        <v>0.43204727348519101</v>
      </c>
      <c r="AD445" s="112">
        <v>0.43141052050172402</v>
      </c>
      <c r="AE445" s="112">
        <v>0.43082375718633698</v>
      </c>
      <c r="AF445" s="112">
        <v>0.43028131906946399</v>
      </c>
      <c r="AG445" s="112">
        <v>0.42977836634257599</v>
      </c>
      <c r="AH445" s="112">
        <v>0.42931073905573602</v>
      </c>
      <c r="AI445" s="112">
        <v>0.42887484179109198</v>
      </c>
    </row>
    <row r="446" spans="3:256" ht="15" customHeight="1">
      <c r="D446" s="272" t="str">
        <f t="shared" si="406"/>
        <v>RDC - taxe sur la rente</v>
      </c>
      <c r="E446" s="55" t="s">
        <v>26</v>
      </c>
      <c r="F446" s="258">
        <v>10</v>
      </c>
      <c r="G446" s="261">
        <v>0.868640168666861</v>
      </c>
      <c r="H446" s="261">
        <v>0.68072101407730601</v>
      </c>
      <c r="I446" s="261">
        <v>0.60312213123371705</v>
      </c>
      <c r="J446" s="261">
        <v>0.56211735498904303</v>
      </c>
      <c r="K446" s="261">
        <v>0.54308249408229903</v>
      </c>
      <c r="L446" s="261">
        <v>0.53094647527533601</v>
      </c>
      <c r="M446" s="261">
        <v>0.52247445189281905</v>
      </c>
      <c r="N446" s="112">
        <v>0.51712065936058904</v>
      </c>
      <c r="O446" s="112">
        <v>0.51309588461308697</v>
      </c>
      <c r="P446" s="112">
        <v>0.50983953514288105</v>
      </c>
      <c r="Q446" s="112">
        <v>0.50715072216699097</v>
      </c>
      <c r="R446" s="112">
        <v>0.50489296815920304</v>
      </c>
      <c r="S446" s="112">
        <v>0.50297030724950897</v>
      </c>
      <c r="T446" s="112">
        <v>0.50131329193124297</v>
      </c>
      <c r="U446" s="112">
        <v>0.49987042514311097</v>
      </c>
      <c r="V446" s="112">
        <v>0.49860271261289002</v>
      </c>
      <c r="W446" s="112">
        <v>0.497480085600013</v>
      </c>
      <c r="X446" s="112">
        <v>0.496478985375573</v>
      </c>
      <c r="Y446" s="112">
        <v>0.49558069187869502</v>
      </c>
      <c r="Z446" s="112">
        <v>0.49477014213474801</v>
      </c>
      <c r="AA446" s="112">
        <v>0.49403507879529401</v>
      </c>
      <c r="AB446" s="112">
        <v>0.49336542598273198</v>
      </c>
      <c r="AC446" s="112">
        <v>0.49275282466086601</v>
      </c>
      <c r="AD446" s="112">
        <v>0.49219028190670899</v>
      </c>
      <c r="AE446" s="112">
        <v>0.491671902786318</v>
      </c>
      <c r="AF446" s="112">
        <v>0.49119268299442298</v>
      </c>
      <c r="AG446" s="112">
        <v>0.49074834677686202</v>
      </c>
      <c r="AH446" s="112">
        <v>0.49033521900410199</v>
      </c>
      <c r="AI446" s="112">
        <v>0.48995012328543402</v>
      </c>
    </row>
    <row r="447" spans="3:256" ht="15" customHeight="1">
      <c r="D447" s="272" t="str">
        <f t="shared" si="406"/>
        <v>Sénégal (SGO - Convention Sabodala)</v>
      </c>
      <c r="E447" s="55" t="s">
        <v>26</v>
      </c>
      <c r="F447" s="258">
        <v>11</v>
      </c>
      <c r="G447" s="261">
        <v>0.76343211140807699</v>
      </c>
      <c r="H447" s="261">
        <v>0.59492962953791595</v>
      </c>
      <c r="I447" s="261">
        <v>0.52258365847898802</v>
      </c>
      <c r="J447" s="261">
        <v>0.48569089956428102</v>
      </c>
      <c r="K447" s="261">
        <v>0.46951882071429102</v>
      </c>
      <c r="L447" s="261">
        <v>0.45932308161779201</v>
      </c>
      <c r="M447" s="261">
        <v>0.45336483478809197</v>
      </c>
      <c r="N447" s="112">
        <v>0.44976737696512997</v>
      </c>
      <c r="O447" s="112">
        <v>0.446929246257739</v>
      </c>
      <c r="P447" s="112">
        <v>0.44463298224169201</v>
      </c>
      <c r="Q447" s="112">
        <v>0.442736925157245</v>
      </c>
      <c r="R447" s="112">
        <v>0.44114483581529801</v>
      </c>
      <c r="S447" s="112">
        <v>0.43978904243305</v>
      </c>
      <c r="T447" s="112">
        <v>0.438620573052172</v>
      </c>
      <c r="U447" s="112">
        <v>0.43760311374202998</v>
      </c>
      <c r="V447" s="112">
        <v>0.43670916710255703</v>
      </c>
      <c r="W447" s="112">
        <v>0.43591752970715503</v>
      </c>
      <c r="X447" s="112">
        <v>0.435211588762281</v>
      </c>
      <c r="Y447" s="112">
        <v>0.43457814353424101</v>
      </c>
      <c r="Z447" s="112">
        <v>0.43400657213895</v>
      </c>
      <c r="AA447" s="112">
        <v>0.43348823112200802</v>
      </c>
      <c r="AB447" s="112">
        <v>0.43301601532612999</v>
      </c>
      <c r="AC447" s="112">
        <v>0.43258403025067799</v>
      </c>
      <c r="AD447" s="112">
        <v>0.43218734473038101</v>
      </c>
      <c r="AE447" s="112">
        <v>0.43182180186352398</v>
      </c>
      <c r="AF447" s="112">
        <v>0.43148387278865902</v>
      </c>
      <c r="AG447" s="112">
        <v>0.431170542393151</v>
      </c>
      <c r="AH447" s="112">
        <v>0.43087921910389798</v>
      </c>
      <c r="AI447" s="112">
        <v>0.430607663041011</v>
      </c>
    </row>
    <row r="448" spans="3:256" ht="15" customHeight="1"/>
    <row r="449" spans="1:256" ht="15" customHeight="1">
      <c r="C449" s="260"/>
      <c r="D449" s="41" t="s">
        <v>379</v>
      </c>
      <c r="E449" s="41"/>
      <c r="F449" s="203"/>
      <c r="G449" s="203"/>
      <c r="H449" s="203"/>
      <c r="I449" s="203"/>
      <c r="J449" s="203"/>
      <c r="K449" s="203"/>
      <c r="L449" s="203"/>
      <c r="M449" s="203"/>
      <c r="N449" s="203"/>
      <c r="O449" s="203"/>
      <c r="P449" s="203"/>
      <c r="Q449" s="203"/>
      <c r="R449" s="203"/>
      <c r="S449" s="203"/>
      <c r="T449" s="203"/>
      <c r="U449" s="203"/>
      <c r="V449" s="203"/>
      <c r="W449" s="203"/>
      <c r="X449" s="203"/>
      <c r="Y449" s="203"/>
      <c r="Z449" s="203"/>
      <c r="AA449" s="203"/>
      <c r="AB449" s="203"/>
      <c r="AC449" s="203"/>
      <c r="AD449" s="203"/>
      <c r="AE449" s="203"/>
      <c r="AF449" s="203"/>
      <c r="AG449" s="203"/>
      <c r="AH449" s="203"/>
      <c r="AI449" s="203"/>
    </row>
    <row r="450" spans="1:256" s="103" customFormat="1" ht="15" customHeight="1">
      <c r="A450" s="102"/>
      <c r="C450" s="265"/>
      <c r="D450" s="105"/>
      <c r="E450" s="105"/>
      <c r="F450" s="273"/>
      <c r="G450" s="273"/>
      <c r="H450" s="273"/>
      <c r="I450" s="273"/>
      <c r="J450" s="273"/>
      <c r="K450" s="273"/>
      <c r="L450" s="273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3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</row>
    <row r="451" spans="1:256" s="54" customFormat="1" ht="15" customHeight="1">
      <c r="F451" s="274" t="s">
        <v>380</v>
      </c>
      <c r="G451" s="270">
        <f t="shared" ref="G451:P451" si="407">H451-$E$540</f>
        <v>0.49999999999999961</v>
      </c>
      <c r="H451" s="270">
        <f t="shared" si="407"/>
        <v>0.5499999999999996</v>
      </c>
      <c r="I451" s="270">
        <f t="shared" si="407"/>
        <v>0.59999999999999964</v>
      </c>
      <c r="J451" s="270">
        <f t="shared" si="407"/>
        <v>0.64999999999999969</v>
      </c>
      <c r="K451" s="270">
        <f t="shared" si="407"/>
        <v>0.69999999999999973</v>
      </c>
      <c r="L451" s="270">
        <f t="shared" si="407"/>
        <v>0.74999999999999978</v>
      </c>
      <c r="M451" s="270">
        <f t="shared" si="407"/>
        <v>0.79999999999999982</v>
      </c>
      <c r="N451" s="270">
        <f t="shared" si="407"/>
        <v>0.84999999999999987</v>
      </c>
      <c r="O451" s="270">
        <f t="shared" si="407"/>
        <v>0.89999999999999991</v>
      </c>
      <c r="P451" s="270">
        <f t="shared" si="407"/>
        <v>0.95</v>
      </c>
      <c r="Q451" s="270">
        <v>1</v>
      </c>
      <c r="R451" s="270">
        <f t="shared" ref="R451:AI451" si="408">Q451+$E$540</f>
        <v>1.05</v>
      </c>
      <c r="S451" s="270">
        <f t="shared" si="408"/>
        <v>1.1000000000000001</v>
      </c>
      <c r="T451" s="270">
        <f t="shared" si="408"/>
        <v>1.1500000000000001</v>
      </c>
      <c r="U451" s="270">
        <f t="shared" si="408"/>
        <v>1.2000000000000002</v>
      </c>
      <c r="V451" s="270">
        <f t="shared" si="408"/>
        <v>1.2500000000000002</v>
      </c>
      <c r="W451" s="270">
        <f t="shared" si="408"/>
        <v>1.3000000000000003</v>
      </c>
      <c r="X451" s="270">
        <f t="shared" si="408"/>
        <v>1.3500000000000003</v>
      </c>
      <c r="Y451" s="270">
        <f t="shared" si="408"/>
        <v>1.4000000000000004</v>
      </c>
      <c r="Z451" s="270">
        <f t="shared" si="408"/>
        <v>1.4500000000000004</v>
      </c>
      <c r="AA451" s="270">
        <f t="shared" si="408"/>
        <v>1.5000000000000004</v>
      </c>
      <c r="AB451" s="270">
        <f t="shared" si="408"/>
        <v>1.5500000000000005</v>
      </c>
      <c r="AC451" s="270">
        <f t="shared" si="408"/>
        <v>1.6000000000000005</v>
      </c>
      <c r="AD451" s="270">
        <f t="shared" si="408"/>
        <v>1.6500000000000006</v>
      </c>
      <c r="AE451" s="270">
        <f t="shared" si="408"/>
        <v>1.7000000000000006</v>
      </c>
      <c r="AF451" s="270">
        <f t="shared" si="408"/>
        <v>1.7500000000000007</v>
      </c>
      <c r="AG451" s="270">
        <f t="shared" si="408"/>
        <v>1.8000000000000007</v>
      </c>
      <c r="AH451" s="270">
        <f t="shared" si="408"/>
        <v>1.8500000000000008</v>
      </c>
      <c r="AI451" s="275">
        <f t="shared" si="408"/>
        <v>1.9000000000000008</v>
      </c>
      <c r="AJ451" s="55"/>
      <c r="AK451" s="55"/>
      <c r="AL451" s="55"/>
      <c r="AM451" s="55"/>
    </row>
    <row r="452" spans="1:256" ht="15" customHeight="1">
      <c r="C452" s="260"/>
      <c r="D452" s="260"/>
      <c r="E452" s="260"/>
      <c r="F452" s="276" t="s">
        <v>381</v>
      </c>
      <c r="G452" s="277">
        <f t="shared" ref="G452:P452" si="409">H452+$E$541</f>
        <v>2.0000000000000009</v>
      </c>
      <c r="H452" s="277">
        <f t="shared" si="409"/>
        <v>1.9000000000000008</v>
      </c>
      <c r="I452" s="277">
        <f t="shared" si="409"/>
        <v>1.8000000000000007</v>
      </c>
      <c r="J452" s="277">
        <f t="shared" si="409"/>
        <v>1.7000000000000006</v>
      </c>
      <c r="K452" s="277">
        <f t="shared" si="409"/>
        <v>1.6000000000000005</v>
      </c>
      <c r="L452" s="277">
        <f t="shared" si="409"/>
        <v>1.5000000000000004</v>
      </c>
      <c r="M452" s="277">
        <f t="shared" si="409"/>
        <v>1.4000000000000004</v>
      </c>
      <c r="N452" s="277">
        <f t="shared" si="409"/>
        <v>1.3000000000000003</v>
      </c>
      <c r="O452" s="277">
        <f t="shared" si="409"/>
        <v>1.2000000000000002</v>
      </c>
      <c r="P452" s="277">
        <f t="shared" si="409"/>
        <v>1.1000000000000001</v>
      </c>
      <c r="Q452" s="277">
        <v>1</v>
      </c>
      <c r="R452" s="277">
        <f t="shared" ref="R452:AI452" si="410">Q452-$E$541</f>
        <v>0.9</v>
      </c>
      <c r="S452" s="277">
        <f t="shared" si="410"/>
        <v>0.8</v>
      </c>
      <c r="T452" s="277">
        <f t="shared" si="410"/>
        <v>0.70000000000000007</v>
      </c>
      <c r="U452" s="277">
        <f t="shared" si="410"/>
        <v>0.60000000000000009</v>
      </c>
      <c r="V452" s="277">
        <f t="shared" si="410"/>
        <v>0.50000000000000011</v>
      </c>
      <c r="W452" s="277">
        <f t="shared" si="410"/>
        <v>0.40000000000000013</v>
      </c>
      <c r="X452" s="277">
        <f t="shared" si="410"/>
        <v>0.30000000000000016</v>
      </c>
      <c r="Y452" s="277">
        <f t="shared" si="410"/>
        <v>0.20000000000000015</v>
      </c>
      <c r="Z452" s="277">
        <f t="shared" si="410"/>
        <v>0.10000000000000014</v>
      </c>
      <c r="AA452" s="277">
        <f t="shared" si="410"/>
        <v>1.3877787807814457E-16</v>
      </c>
      <c r="AB452" s="277">
        <f t="shared" si="410"/>
        <v>-9.9999999999999867E-2</v>
      </c>
      <c r="AC452" s="277">
        <f t="shared" si="410"/>
        <v>-0.19999999999999987</v>
      </c>
      <c r="AD452" s="277">
        <f t="shared" si="410"/>
        <v>-0.29999999999999988</v>
      </c>
      <c r="AE452" s="277">
        <f t="shared" si="410"/>
        <v>-0.39999999999999991</v>
      </c>
      <c r="AF452" s="277">
        <f t="shared" si="410"/>
        <v>-0.49999999999999989</v>
      </c>
      <c r="AG452" s="277">
        <f t="shared" si="410"/>
        <v>-0.59999999999999987</v>
      </c>
      <c r="AH452" s="277">
        <f t="shared" si="410"/>
        <v>-0.69999999999999984</v>
      </c>
      <c r="AI452" s="278">
        <f t="shared" si="410"/>
        <v>-0.79999999999999982</v>
      </c>
      <c r="AN452" s="260"/>
      <c r="AO452" s="260"/>
      <c r="AP452" s="260"/>
      <c r="AQ452" s="260"/>
      <c r="AR452" s="260"/>
      <c r="AS452" s="260"/>
      <c r="AT452" s="260"/>
      <c r="AU452" s="260"/>
      <c r="AV452" s="260"/>
      <c r="AW452" s="260"/>
      <c r="AX452" s="260"/>
      <c r="AY452" s="260"/>
      <c r="AZ452" s="260"/>
      <c r="BA452" s="260"/>
      <c r="BB452" s="260"/>
      <c r="BC452" s="260"/>
      <c r="BD452" s="260"/>
      <c r="BE452" s="260"/>
      <c r="BF452" s="260"/>
      <c r="BG452" s="260"/>
      <c r="BH452" s="260"/>
      <c r="BI452" s="260"/>
      <c r="BJ452" s="260"/>
      <c r="BK452" s="260"/>
      <c r="BL452" s="260"/>
      <c r="BM452" s="260"/>
      <c r="BN452" s="260"/>
      <c r="BO452" s="260"/>
      <c r="BP452" s="260"/>
      <c r="BQ452" s="260"/>
      <c r="BR452" s="260"/>
      <c r="BS452" s="260"/>
      <c r="BT452" s="260"/>
      <c r="BU452" s="260"/>
      <c r="BV452" s="260"/>
      <c r="BW452" s="260"/>
      <c r="BX452" s="260"/>
      <c r="BY452" s="260"/>
      <c r="BZ452" s="260"/>
      <c r="CA452" s="260"/>
      <c r="CB452" s="260"/>
      <c r="CC452" s="260"/>
      <c r="CD452" s="260"/>
      <c r="CE452" s="260"/>
      <c r="CF452" s="260"/>
      <c r="CG452" s="260"/>
      <c r="CH452" s="260"/>
      <c r="CI452" s="260"/>
      <c r="CJ452" s="260"/>
      <c r="CK452" s="260"/>
      <c r="CL452" s="260"/>
      <c r="CM452" s="260"/>
      <c r="CN452" s="260"/>
      <c r="CO452" s="260"/>
      <c r="CP452" s="260"/>
      <c r="CQ452" s="260"/>
      <c r="CR452" s="260"/>
      <c r="CS452" s="260"/>
      <c r="CT452" s="260"/>
      <c r="CU452" s="260"/>
      <c r="CV452" s="260"/>
      <c r="CW452" s="260"/>
      <c r="CX452" s="260"/>
      <c r="CY452" s="260"/>
      <c r="CZ452" s="260"/>
      <c r="DA452" s="260"/>
      <c r="DB452" s="260"/>
      <c r="DC452" s="260"/>
      <c r="DD452" s="260"/>
      <c r="DE452" s="260"/>
      <c r="DF452" s="260"/>
      <c r="DG452" s="260"/>
      <c r="DH452" s="260"/>
      <c r="DI452" s="260"/>
      <c r="DJ452" s="260"/>
      <c r="DK452" s="260"/>
      <c r="DL452" s="260"/>
      <c r="DM452" s="260"/>
      <c r="DN452" s="260"/>
      <c r="DO452" s="260"/>
      <c r="DP452" s="260"/>
      <c r="DQ452" s="260"/>
      <c r="DR452" s="260"/>
      <c r="DS452" s="260"/>
      <c r="DT452" s="260"/>
      <c r="DU452" s="260"/>
      <c r="DV452" s="260"/>
      <c r="DW452" s="260"/>
      <c r="DX452" s="260"/>
      <c r="DY452" s="260"/>
      <c r="DZ452" s="260"/>
      <c r="EA452" s="260"/>
      <c r="EB452" s="260"/>
      <c r="EC452" s="260"/>
      <c r="ED452" s="260"/>
      <c r="EE452" s="260"/>
      <c r="EF452" s="260"/>
      <c r="EG452" s="260"/>
      <c r="EH452" s="260"/>
      <c r="EI452" s="260"/>
      <c r="EJ452" s="260"/>
      <c r="EK452" s="260"/>
      <c r="EL452" s="260"/>
      <c r="EM452" s="260"/>
      <c r="EN452" s="260"/>
      <c r="EO452" s="260"/>
      <c r="EP452" s="260"/>
      <c r="EQ452" s="260"/>
      <c r="ER452" s="260"/>
      <c r="ES452" s="260"/>
      <c r="ET452" s="260"/>
      <c r="EU452" s="260"/>
      <c r="EV452" s="260"/>
      <c r="EW452" s="260"/>
      <c r="EX452" s="260"/>
      <c r="EY452" s="260"/>
      <c r="EZ452" s="260"/>
      <c r="FA452" s="260"/>
      <c r="FB452" s="260"/>
      <c r="FC452" s="260"/>
      <c r="FD452" s="260"/>
      <c r="FE452" s="260"/>
      <c r="FF452" s="260"/>
      <c r="FG452" s="260"/>
      <c r="FH452" s="260"/>
      <c r="FI452" s="260"/>
      <c r="FJ452" s="260"/>
      <c r="FK452" s="260"/>
      <c r="FL452" s="260"/>
      <c r="FM452" s="260"/>
      <c r="FN452" s="260"/>
      <c r="FO452" s="260"/>
      <c r="FP452" s="260"/>
      <c r="FQ452" s="260"/>
      <c r="FR452" s="260"/>
      <c r="FS452" s="260"/>
      <c r="FT452" s="260"/>
      <c r="FU452" s="260"/>
      <c r="FV452" s="260"/>
      <c r="FW452" s="260"/>
      <c r="FX452" s="260"/>
      <c r="FY452" s="260"/>
      <c r="FZ452" s="260"/>
      <c r="GA452" s="260"/>
      <c r="GB452" s="260"/>
      <c r="GC452" s="260"/>
      <c r="GD452" s="260"/>
      <c r="GE452" s="260"/>
      <c r="GF452" s="260"/>
      <c r="GG452" s="260"/>
      <c r="GH452" s="260"/>
      <c r="GI452" s="260"/>
      <c r="GJ452" s="260"/>
      <c r="GK452" s="260"/>
      <c r="GL452" s="260"/>
      <c r="GM452" s="260"/>
      <c r="GN452" s="260"/>
      <c r="GO452" s="260"/>
      <c r="GP452" s="260"/>
      <c r="GQ452" s="260"/>
      <c r="GR452" s="260"/>
      <c r="GS452" s="260"/>
      <c r="GT452" s="260"/>
      <c r="GU452" s="260"/>
      <c r="GV452" s="260"/>
      <c r="GW452" s="260"/>
      <c r="GX452" s="260"/>
      <c r="GY452" s="260"/>
      <c r="GZ452" s="260"/>
      <c r="HA452" s="260"/>
      <c r="HB452" s="260"/>
      <c r="HC452" s="260"/>
      <c r="HD452" s="260"/>
      <c r="HE452" s="260"/>
      <c r="HF452" s="260"/>
      <c r="HG452" s="260"/>
      <c r="HH452" s="260"/>
      <c r="HI452" s="260"/>
      <c r="HJ452" s="260"/>
      <c r="HK452" s="260"/>
      <c r="HL452" s="260"/>
      <c r="HM452" s="260"/>
      <c r="HN452" s="260"/>
      <c r="HO452" s="260"/>
      <c r="HP452" s="260"/>
      <c r="HQ452" s="260"/>
      <c r="HR452" s="260"/>
      <c r="HS452" s="260"/>
      <c r="HT452" s="260"/>
      <c r="HU452" s="260"/>
      <c r="HV452" s="260"/>
      <c r="HW452" s="260"/>
      <c r="HX452" s="260"/>
      <c r="HY452" s="260"/>
      <c r="HZ452" s="260"/>
      <c r="IA452" s="260"/>
      <c r="IB452" s="260"/>
      <c r="IC452" s="260"/>
      <c r="ID452" s="260"/>
      <c r="IE452" s="260"/>
      <c r="IF452" s="260"/>
      <c r="IG452" s="260"/>
      <c r="IH452" s="260"/>
      <c r="II452" s="260"/>
      <c r="IJ452" s="260"/>
      <c r="IK452" s="260"/>
      <c r="IL452" s="260"/>
      <c r="IM452" s="260"/>
      <c r="IN452" s="260"/>
      <c r="IO452" s="260"/>
      <c r="IP452" s="260"/>
      <c r="IQ452" s="260"/>
      <c r="IR452" s="260"/>
      <c r="IS452" s="260"/>
      <c r="IT452" s="260"/>
      <c r="IU452" s="260"/>
      <c r="IV452" s="260"/>
    </row>
    <row r="453" spans="1:256" ht="15" customHeight="1">
      <c r="C453" s="260"/>
      <c r="D453" s="260"/>
      <c r="E453" s="260"/>
      <c r="F453" s="279"/>
      <c r="G453" s="279"/>
      <c r="H453" s="279"/>
      <c r="I453" s="279"/>
      <c r="J453" s="279"/>
      <c r="K453" s="279"/>
      <c r="L453" s="279"/>
      <c r="M453" s="279"/>
      <c r="N453" s="279"/>
      <c r="O453" s="279"/>
      <c r="P453" s="279"/>
      <c r="Q453" s="279"/>
      <c r="R453" s="279"/>
      <c r="S453" s="279"/>
      <c r="T453" s="279"/>
      <c r="U453" s="279"/>
      <c r="V453" s="279"/>
      <c r="W453" s="279"/>
      <c r="X453" s="279"/>
      <c r="Y453" s="279"/>
      <c r="Z453" s="279"/>
      <c r="AA453" s="279"/>
      <c r="AB453" s="279"/>
      <c r="AC453" s="279"/>
      <c r="AD453" s="279"/>
      <c r="AE453" s="279"/>
      <c r="AF453" s="279"/>
      <c r="AG453" s="279"/>
      <c r="AH453" s="279"/>
      <c r="AI453" s="279"/>
      <c r="AN453" s="260"/>
      <c r="AO453" s="260"/>
      <c r="AP453" s="260"/>
      <c r="AQ453" s="260"/>
      <c r="AR453" s="260"/>
      <c r="AS453" s="260"/>
      <c r="AT453" s="260"/>
      <c r="AU453" s="260"/>
      <c r="AV453" s="260"/>
      <c r="AW453" s="260"/>
      <c r="AX453" s="260"/>
      <c r="AY453" s="260"/>
      <c r="AZ453" s="260"/>
      <c r="BA453" s="260"/>
      <c r="BB453" s="260"/>
      <c r="BC453" s="260"/>
      <c r="BD453" s="260"/>
      <c r="BE453" s="260"/>
      <c r="BF453" s="260"/>
      <c r="BG453" s="260"/>
      <c r="BH453" s="260"/>
      <c r="BI453" s="260"/>
      <c r="BJ453" s="260"/>
      <c r="BK453" s="260"/>
      <c r="BL453" s="260"/>
      <c r="BM453" s="260"/>
      <c r="BN453" s="260"/>
      <c r="BO453" s="260"/>
      <c r="BP453" s="260"/>
      <c r="BQ453" s="260"/>
      <c r="BR453" s="260"/>
      <c r="BS453" s="260"/>
      <c r="BT453" s="260"/>
      <c r="BU453" s="260"/>
      <c r="BV453" s="260"/>
      <c r="BW453" s="260"/>
      <c r="BX453" s="260"/>
      <c r="BY453" s="260"/>
      <c r="BZ453" s="260"/>
      <c r="CA453" s="260"/>
      <c r="CB453" s="260"/>
      <c r="CC453" s="260"/>
      <c r="CD453" s="260"/>
      <c r="CE453" s="260"/>
      <c r="CF453" s="260"/>
      <c r="CG453" s="260"/>
      <c r="CH453" s="260"/>
      <c r="CI453" s="260"/>
      <c r="CJ453" s="260"/>
      <c r="CK453" s="260"/>
      <c r="CL453" s="260"/>
      <c r="CM453" s="260"/>
      <c r="CN453" s="260"/>
      <c r="CO453" s="260"/>
      <c r="CP453" s="260"/>
      <c r="CQ453" s="260"/>
      <c r="CR453" s="260"/>
      <c r="CS453" s="260"/>
      <c r="CT453" s="260"/>
      <c r="CU453" s="260"/>
      <c r="CV453" s="260"/>
      <c r="CW453" s="260"/>
      <c r="CX453" s="260"/>
      <c r="CY453" s="260"/>
      <c r="CZ453" s="260"/>
      <c r="DA453" s="260"/>
      <c r="DB453" s="260"/>
      <c r="DC453" s="260"/>
      <c r="DD453" s="260"/>
      <c r="DE453" s="260"/>
      <c r="DF453" s="260"/>
      <c r="DG453" s="260"/>
      <c r="DH453" s="260"/>
      <c r="DI453" s="260"/>
      <c r="DJ453" s="260"/>
      <c r="DK453" s="260"/>
      <c r="DL453" s="260"/>
      <c r="DM453" s="260"/>
      <c r="DN453" s="260"/>
      <c r="DO453" s="260"/>
      <c r="DP453" s="260"/>
      <c r="DQ453" s="260"/>
      <c r="DR453" s="260"/>
      <c r="DS453" s="260"/>
      <c r="DT453" s="260"/>
      <c r="DU453" s="260"/>
      <c r="DV453" s="260"/>
      <c r="DW453" s="260"/>
      <c r="DX453" s="260"/>
      <c r="DY453" s="260"/>
      <c r="DZ453" s="260"/>
      <c r="EA453" s="260"/>
      <c r="EB453" s="260"/>
      <c r="EC453" s="260"/>
      <c r="ED453" s="260"/>
      <c r="EE453" s="260"/>
      <c r="EF453" s="260"/>
      <c r="EG453" s="260"/>
      <c r="EH453" s="260"/>
      <c r="EI453" s="260"/>
      <c r="EJ453" s="260"/>
      <c r="EK453" s="260"/>
      <c r="EL453" s="260"/>
      <c r="EM453" s="260"/>
      <c r="EN453" s="260"/>
      <c r="EO453" s="260"/>
      <c r="EP453" s="260"/>
      <c r="EQ453" s="260"/>
      <c r="ER453" s="260"/>
      <c r="ES453" s="260"/>
      <c r="ET453" s="260"/>
      <c r="EU453" s="260"/>
      <c r="EV453" s="260"/>
      <c r="EW453" s="260"/>
      <c r="EX453" s="260"/>
      <c r="EY453" s="260"/>
      <c r="EZ453" s="260"/>
      <c r="FA453" s="260"/>
      <c r="FB453" s="260"/>
      <c r="FC453" s="260"/>
      <c r="FD453" s="260"/>
      <c r="FE453" s="260"/>
      <c r="FF453" s="260"/>
      <c r="FG453" s="260"/>
      <c r="FH453" s="260"/>
      <c r="FI453" s="260"/>
      <c r="FJ453" s="260"/>
      <c r="FK453" s="260"/>
      <c r="FL453" s="260"/>
      <c r="FM453" s="260"/>
      <c r="FN453" s="260"/>
      <c r="FO453" s="260"/>
      <c r="FP453" s="260"/>
      <c r="FQ453" s="260"/>
      <c r="FR453" s="260"/>
      <c r="FS453" s="260"/>
      <c r="FT453" s="260"/>
      <c r="FU453" s="260"/>
      <c r="FV453" s="260"/>
      <c r="FW453" s="260"/>
      <c r="FX453" s="260"/>
      <c r="FY453" s="260"/>
      <c r="FZ453" s="260"/>
      <c r="GA453" s="260"/>
      <c r="GB453" s="260"/>
      <c r="GC453" s="260"/>
      <c r="GD453" s="260"/>
      <c r="GE453" s="260"/>
      <c r="GF453" s="260"/>
      <c r="GG453" s="260"/>
      <c r="GH453" s="260"/>
      <c r="GI453" s="260"/>
      <c r="GJ453" s="260"/>
      <c r="GK453" s="260"/>
      <c r="GL453" s="260"/>
      <c r="GM453" s="260"/>
      <c r="GN453" s="260"/>
      <c r="GO453" s="260"/>
      <c r="GP453" s="260"/>
      <c r="GQ453" s="260"/>
      <c r="GR453" s="260"/>
      <c r="GS453" s="260"/>
      <c r="GT453" s="260"/>
      <c r="GU453" s="260"/>
      <c r="GV453" s="260"/>
      <c r="GW453" s="260"/>
      <c r="GX453" s="260"/>
      <c r="GY453" s="260"/>
      <c r="GZ453" s="260"/>
      <c r="HA453" s="260"/>
      <c r="HB453" s="260"/>
      <c r="HC453" s="260"/>
      <c r="HD453" s="260"/>
      <c r="HE453" s="260"/>
      <c r="HF453" s="260"/>
      <c r="HG453" s="260"/>
      <c r="HH453" s="260"/>
      <c r="HI453" s="260"/>
      <c r="HJ453" s="260"/>
      <c r="HK453" s="260"/>
      <c r="HL453" s="260"/>
      <c r="HM453" s="260"/>
      <c r="HN453" s="260"/>
      <c r="HO453" s="260"/>
      <c r="HP453" s="260"/>
      <c r="HQ453" s="260"/>
      <c r="HR453" s="260"/>
      <c r="HS453" s="260"/>
      <c r="HT453" s="260"/>
      <c r="HU453" s="260"/>
      <c r="HV453" s="260"/>
      <c r="HW453" s="260"/>
      <c r="HX453" s="260"/>
      <c r="HY453" s="260"/>
      <c r="HZ453" s="260"/>
      <c r="IA453" s="260"/>
      <c r="IB453" s="260"/>
      <c r="IC453" s="260"/>
      <c r="ID453" s="260"/>
      <c r="IE453" s="260"/>
      <c r="IF453" s="260"/>
      <c r="IG453" s="260"/>
      <c r="IH453" s="260"/>
      <c r="II453" s="260"/>
      <c r="IJ453" s="260"/>
      <c r="IK453" s="260"/>
      <c r="IL453" s="260"/>
      <c r="IM453" s="260"/>
      <c r="IN453" s="260"/>
      <c r="IO453" s="260"/>
      <c r="IP453" s="260"/>
      <c r="IQ453" s="260"/>
      <c r="IR453" s="260"/>
      <c r="IS453" s="260"/>
      <c r="IT453" s="260"/>
      <c r="IU453" s="260"/>
      <c r="IV453" s="260"/>
    </row>
    <row r="454" spans="1:256" ht="15" customHeight="1">
      <c r="C454" s="265"/>
      <c r="E454" s="55" t="s">
        <v>20</v>
      </c>
      <c r="F454" s="280">
        <f>I355</f>
        <v>939.78916083545425</v>
      </c>
      <c r="G454" s="281">
        <f t="shared" ref="G454:P454" si="411">$Q$436*G$434</f>
        <v>799.99999999999943</v>
      </c>
      <c r="H454" s="281">
        <f t="shared" si="411"/>
        <v>879.99999999999932</v>
      </c>
      <c r="I454" s="281">
        <f t="shared" si="411"/>
        <v>959.99999999999943</v>
      </c>
      <c r="J454" s="281">
        <f t="shared" si="411"/>
        <v>1039.9999999999995</v>
      </c>
      <c r="K454" s="281">
        <f t="shared" si="411"/>
        <v>1119.9999999999995</v>
      </c>
      <c r="L454" s="281">
        <f t="shared" si="411"/>
        <v>1199.9999999999995</v>
      </c>
      <c r="M454" s="281">
        <f t="shared" si="411"/>
        <v>1279.9999999999998</v>
      </c>
      <c r="N454" s="281">
        <f t="shared" si="411"/>
        <v>1359.9999999999998</v>
      </c>
      <c r="O454" s="281">
        <f t="shared" si="411"/>
        <v>1439.9999999999998</v>
      </c>
      <c r="P454" s="281">
        <f t="shared" si="411"/>
        <v>1520</v>
      </c>
      <c r="Q454" s="281">
        <f>Paramètres!F98</f>
        <v>1600</v>
      </c>
      <c r="R454" s="281">
        <f t="shared" ref="R454:AI454" si="412">$Q$436*R$434</f>
        <v>1680</v>
      </c>
      <c r="S454" s="281">
        <f t="shared" si="412"/>
        <v>1760.0000000000002</v>
      </c>
      <c r="T454" s="281">
        <f t="shared" si="412"/>
        <v>1840.0000000000002</v>
      </c>
      <c r="U454" s="281">
        <f t="shared" si="412"/>
        <v>1920.0000000000002</v>
      </c>
      <c r="V454" s="281">
        <f t="shared" si="412"/>
        <v>2000.0000000000005</v>
      </c>
      <c r="W454" s="281">
        <f t="shared" si="412"/>
        <v>2080.0000000000005</v>
      </c>
      <c r="X454" s="281">
        <f t="shared" si="412"/>
        <v>2160.0000000000005</v>
      </c>
      <c r="Y454" s="281">
        <f t="shared" si="412"/>
        <v>2240.0000000000005</v>
      </c>
      <c r="Z454" s="281">
        <f t="shared" si="412"/>
        <v>2320.0000000000005</v>
      </c>
      <c r="AA454" s="281">
        <f t="shared" si="412"/>
        <v>2400.0000000000009</v>
      </c>
      <c r="AB454" s="281">
        <f t="shared" si="412"/>
        <v>2480.0000000000009</v>
      </c>
      <c r="AC454" s="281">
        <f t="shared" si="412"/>
        <v>2560.0000000000009</v>
      </c>
      <c r="AD454" s="281">
        <f t="shared" si="412"/>
        <v>2640.0000000000009</v>
      </c>
      <c r="AE454" s="281">
        <f t="shared" si="412"/>
        <v>2720.0000000000009</v>
      </c>
      <c r="AF454" s="281">
        <f t="shared" si="412"/>
        <v>2800.0000000000009</v>
      </c>
      <c r="AG454" s="281">
        <f t="shared" si="412"/>
        <v>2880.0000000000009</v>
      </c>
      <c r="AH454" s="281">
        <f t="shared" si="412"/>
        <v>2960.0000000000014</v>
      </c>
      <c r="AI454" s="281">
        <f t="shared" si="412"/>
        <v>3040.0000000000014</v>
      </c>
    </row>
    <row r="455" spans="1:256" ht="15" customHeight="1">
      <c r="C455" s="265"/>
      <c r="D455" s="272" t="str">
        <f t="shared" ref="D455:D465" si="413">D437</f>
        <v>RDC - 2002</v>
      </c>
      <c r="E455" s="55" t="s">
        <v>26</v>
      </c>
      <c r="F455" s="258">
        <v>1</v>
      </c>
      <c r="G455" s="282">
        <v>219.826161459058</v>
      </c>
      <c r="H455" s="282">
        <v>281.20204320675703</v>
      </c>
      <c r="I455" s="282">
        <v>342.79396863123299</v>
      </c>
      <c r="J455" s="282">
        <v>410.85384905801197</v>
      </c>
      <c r="K455" s="282">
        <v>484.25002783441602</v>
      </c>
      <c r="L455" s="282">
        <v>558.92700569914905</v>
      </c>
      <c r="M455" s="282">
        <v>635.96294451260906</v>
      </c>
      <c r="N455" s="118">
        <v>712.99888332606997</v>
      </c>
      <c r="O455" s="118">
        <v>790.03482213952998</v>
      </c>
      <c r="P455" s="118">
        <v>867.07076095299101</v>
      </c>
      <c r="Q455" s="118">
        <v>944.10669976645204</v>
      </c>
      <c r="R455" s="118">
        <v>1021.14263857991</v>
      </c>
      <c r="S455" s="118">
        <v>1098.17857739337</v>
      </c>
      <c r="T455" s="118">
        <v>1175.21451620683</v>
      </c>
      <c r="U455" s="118">
        <v>1252.25045502029</v>
      </c>
      <c r="V455" s="118">
        <v>1329.28639383375</v>
      </c>
      <c r="W455" s="118">
        <v>1406.32233264722</v>
      </c>
      <c r="X455" s="118">
        <v>1483.35827146068</v>
      </c>
      <c r="Y455" s="118">
        <v>1560.3942102741401</v>
      </c>
      <c r="Z455" s="118">
        <v>1637.4301490876001</v>
      </c>
      <c r="AA455" s="118">
        <v>1714.4660879010601</v>
      </c>
      <c r="AB455" s="118">
        <v>1791.5020267145201</v>
      </c>
      <c r="AC455" s="118">
        <v>1868.5379655279801</v>
      </c>
      <c r="AD455" s="118">
        <v>1945.5739043414401</v>
      </c>
      <c r="AE455" s="118">
        <v>2022.6098431549001</v>
      </c>
      <c r="AF455" s="118">
        <v>2099.6457819683601</v>
      </c>
      <c r="AG455" s="118">
        <v>2176.6817207818199</v>
      </c>
      <c r="AH455" s="118">
        <v>2253.7176595952801</v>
      </c>
      <c r="AI455" s="118">
        <v>2330.7535984087399</v>
      </c>
    </row>
    <row r="456" spans="1:256" ht="15" customHeight="1">
      <c r="C456" s="265"/>
      <c r="D456" s="272" t="str">
        <f t="shared" si="413"/>
        <v>RDC - amendement</v>
      </c>
      <c r="E456" s="55" t="s">
        <v>26</v>
      </c>
      <c r="F456" s="258">
        <f>F455+1</f>
        <v>2</v>
      </c>
      <c r="G456" s="282">
        <v>268.78696100162699</v>
      </c>
      <c r="H456" s="282">
        <v>344.54620196301101</v>
      </c>
      <c r="I456" s="282">
        <v>423.63685939475602</v>
      </c>
      <c r="J456" s="282">
        <v>502.80493600736298</v>
      </c>
      <c r="K456" s="282">
        <v>586.65044427842304</v>
      </c>
      <c r="L456" s="282">
        <v>674.03957772923798</v>
      </c>
      <c r="M456" s="282">
        <v>762.03156342751197</v>
      </c>
      <c r="N456" s="118">
        <v>851.30980981580694</v>
      </c>
      <c r="O456" s="118">
        <v>942.30502977116601</v>
      </c>
      <c r="P456" s="118">
        <v>1033.30024972652</v>
      </c>
      <c r="Q456" s="118">
        <v>1222.6222487448999</v>
      </c>
      <c r="R456" s="118">
        <v>1336.0921610575199</v>
      </c>
      <c r="S456" s="118">
        <v>1449.5620733701301</v>
      </c>
      <c r="T456" s="118">
        <v>1563.03198568275</v>
      </c>
      <c r="U456" s="118">
        <v>1676.50189799537</v>
      </c>
      <c r="V456" s="118">
        <v>1789.9718103079899</v>
      </c>
      <c r="W456" s="118">
        <v>1903.4417226206101</v>
      </c>
      <c r="X456" s="118">
        <v>2016.9116349332301</v>
      </c>
      <c r="Y456" s="118">
        <v>2130.38154724585</v>
      </c>
      <c r="Z456" s="118">
        <v>2243.8514595584702</v>
      </c>
      <c r="AA456" s="118">
        <v>2357.3213718710899</v>
      </c>
      <c r="AB456" s="118">
        <v>2470.7912841837101</v>
      </c>
      <c r="AC456" s="118">
        <v>2584.2611964963298</v>
      </c>
      <c r="AD456" s="118">
        <v>2697.73110880894</v>
      </c>
      <c r="AE456" s="118">
        <v>2811.2010211215602</v>
      </c>
      <c r="AF456" s="118">
        <v>2924.6709334341799</v>
      </c>
      <c r="AG456" s="118">
        <v>3038.1408457468001</v>
      </c>
      <c r="AH456" s="118">
        <v>3151.6107580594198</v>
      </c>
      <c r="AI456" s="118">
        <v>3265.08067037204</v>
      </c>
    </row>
    <row r="457" spans="1:256" ht="15" customHeight="1">
      <c r="C457" s="265"/>
      <c r="D457" s="272" t="str">
        <f t="shared" si="413"/>
        <v>Chili</v>
      </c>
      <c r="E457" s="55" t="s">
        <v>26</v>
      </c>
      <c r="F457" s="258">
        <f>F456+1</f>
        <v>3</v>
      </c>
      <c r="G457" s="282">
        <v>221.495324738866</v>
      </c>
      <c r="H457" s="282">
        <v>294.28775605180698</v>
      </c>
      <c r="I457" s="282">
        <v>364.52598401764902</v>
      </c>
      <c r="J457" s="282">
        <v>448.10390141610799</v>
      </c>
      <c r="K457" s="282">
        <v>538.07864891364102</v>
      </c>
      <c r="L457" s="282">
        <v>630.55251191985496</v>
      </c>
      <c r="M457" s="282">
        <v>730.16476209454004</v>
      </c>
      <c r="N457" s="118">
        <v>830.20664309858603</v>
      </c>
      <c r="O457" s="118">
        <v>930.91793846565304</v>
      </c>
      <c r="P457" s="118">
        <v>1032.0861452865499</v>
      </c>
      <c r="Q457" s="118">
        <v>1133.713722938</v>
      </c>
      <c r="R457" s="118">
        <v>1236.01480674809</v>
      </c>
      <c r="S457" s="118">
        <v>1338.6874448030701</v>
      </c>
      <c r="T457" s="118">
        <v>1441.94324422315</v>
      </c>
      <c r="U457" s="118">
        <v>1545.4661422351301</v>
      </c>
      <c r="V457" s="118">
        <v>1649.48277796138</v>
      </c>
      <c r="W457" s="118">
        <v>1753.75589406465</v>
      </c>
      <c r="X457" s="118">
        <v>1858.1912566188701</v>
      </c>
      <c r="Y457" s="118">
        <v>1963.06111255012</v>
      </c>
      <c r="Z457" s="118">
        <v>2068.1008707331198</v>
      </c>
      <c r="AA457" s="118">
        <v>2173.2947931990998</v>
      </c>
      <c r="AB457" s="118">
        <v>2278.7522906583199</v>
      </c>
      <c r="AC457" s="118">
        <v>2384.4109123848898</v>
      </c>
      <c r="AD457" s="118">
        <v>2490.1677163526401</v>
      </c>
      <c r="AE457" s="118">
        <v>2596.1295735103399</v>
      </c>
      <c r="AF457" s="118">
        <v>2702.21728560985</v>
      </c>
      <c r="AG457" s="118">
        <v>2808.38594105529</v>
      </c>
      <c r="AH457" s="118">
        <v>2914.6919950655301</v>
      </c>
      <c r="AI457" s="118">
        <v>3021.0966271022899</v>
      </c>
    </row>
    <row r="458" spans="1:256" ht="15" customHeight="1">
      <c r="C458" s="265"/>
      <c r="D458" s="272" t="str">
        <f t="shared" si="413"/>
        <v>Perou</v>
      </c>
      <c r="E458" s="55" t="s">
        <v>26</v>
      </c>
      <c r="F458" s="258">
        <f>F457+1</f>
        <v>4</v>
      </c>
      <c r="G458" s="282">
        <v>139.74196571718301</v>
      </c>
      <c r="H458" s="282">
        <v>194.712359506251</v>
      </c>
      <c r="I458" s="282">
        <v>251.296142339179</v>
      </c>
      <c r="J458" s="282">
        <v>311.09757842377201</v>
      </c>
      <c r="K458" s="282">
        <v>375.42855816881098</v>
      </c>
      <c r="L458" s="282">
        <v>443.66663684526901</v>
      </c>
      <c r="M458" s="282">
        <v>514.26923240938595</v>
      </c>
      <c r="N458" s="118">
        <v>586.12802150224002</v>
      </c>
      <c r="O458" s="118">
        <v>658.57835266800498</v>
      </c>
      <c r="P458" s="118">
        <v>731.45927825103297</v>
      </c>
      <c r="Q458" s="118">
        <v>804.74056909091996</v>
      </c>
      <c r="R458" s="118">
        <v>878.396882128058</v>
      </c>
      <c r="S458" s="118">
        <v>952.25349543344498</v>
      </c>
      <c r="T458" s="118">
        <v>1026.4452616777901</v>
      </c>
      <c r="U458" s="118">
        <v>1100.7794383123401</v>
      </c>
      <c r="V458" s="118">
        <v>1175.3848560210399</v>
      </c>
      <c r="W458" s="118">
        <v>1250.1324932539801</v>
      </c>
      <c r="X458" s="118">
        <v>1324.96680685971</v>
      </c>
      <c r="Y458" s="118">
        <v>1400.0294106414899</v>
      </c>
      <c r="Z458" s="118">
        <v>1475.1761256758</v>
      </c>
      <c r="AA458" s="118">
        <v>1550.4021046888699</v>
      </c>
      <c r="AB458" s="118">
        <v>1625.76042178839</v>
      </c>
      <c r="AC458" s="118">
        <v>1701.2174832640201</v>
      </c>
      <c r="AD458" s="118">
        <v>1776.72226225287</v>
      </c>
      <c r="AE458" s="118">
        <v>1852.3239445102499</v>
      </c>
      <c r="AF458" s="118">
        <v>1927.98263497217</v>
      </c>
      <c r="AG458" s="118">
        <v>2003.6762441242799</v>
      </c>
      <c r="AH458" s="118">
        <v>2079.4259176135101</v>
      </c>
      <c r="AI458" s="118">
        <v>2155.2186521277299</v>
      </c>
    </row>
    <row r="459" spans="1:256" ht="15" customHeight="1">
      <c r="C459" s="265"/>
      <c r="D459" s="272" t="str">
        <f t="shared" si="413"/>
        <v>Australie Occidentale</v>
      </c>
      <c r="E459" s="55" t="s">
        <v>26</v>
      </c>
      <c r="F459" s="258">
        <v>5</v>
      </c>
      <c r="G459" s="282">
        <v>264.67468891097599</v>
      </c>
      <c r="H459" s="282">
        <v>342.773912082045</v>
      </c>
      <c r="I459" s="282">
        <v>423.98988236020699</v>
      </c>
      <c r="J459" s="282">
        <v>504.96450314983099</v>
      </c>
      <c r="K459" s="282">
        <v>593.05575328456598</v>
      </c>
      <c r="L459" s="282">
        <v>684.78654661266705</v>
      </c>
      <c r="M459" s="282">
        <v>776.51733994076801</v>
      </c>
      <c r="N459" s="118">
        <v>870.95304887983798</v>
      </c>
      <c r="O459" s="118">
        <v>967.55723063769096</v>
      </c>
      <c r="P459" s="118">
        <v>1064.1614123955401</v>
      </c>
      <c r="Q459" s="118">
        <v>1160.7655941533999</v>
      </c>
      <c r="R459" s="118">
        <v>1257.3697759112499</v>
      </c>
      <c r="S459" s="118">
        <v>1353.9739576690999</v>
      </c>
      <c r="T459" s="118">
        <v>1450.57813942696</v>
      </c>
      <c r="U459" s="118">
        <v>1547.18232118481</v>
      </c>
      <c r="V459" s="118">
        <v>1643.78650294266</v>
      </c>
      <c r="W459" s="118">
        <v>1740.3906847005101</v>
      </c>
      <c r="X459" s="118">
        <v>1836.9948664583701</v>
      </c>
      <c r="Y459" s="118">
        <v>1933.5990482162199</v>
      </c>
      <c r="Z459" s="118">
        <v>2030.2032299740699</v>
      </c>
      <c r="AA459" s="118">
        <v>2126.8074117319302</v>
      </c>
      <c r="AB459" s="118">
        <v>2223.41159348978</v>
      </c>
      <c r="AC459" s="118">
        <v>2320.0157752476298</v>
      </c>
      <c r="AD459" s="118">
        <v>2416.61995700548</v>
      </c>
      <c r="AE459" s="118">
        <v>2513.2241387633399</v>
      </c>
      <c r="AF459" s="118">
        <v>2609.8283205211901</v>
      </c>
      <c r="AG459" s="118">
        <v>2706.4325022790399</v>
      </c>
      <c r="AH459" s="118">
        <v>2803.0366840369002</v>
      </c>
      <c r="AI459" s="118">
        <v>2899.64086579475</v>
      </c>
    </row>
    <row r="460" spans="1:256" ht="15" customHeight="1">
      <c r="C460" s="265"/>
      <c r="D460" s="272" t="str">
        <f t="shared" si="413"/>
        <v>Tanzanie</v>
      </c>
      <c r="E460" s="55" t="s">
        <v>26</v>
      </c>
      <c r="F460" s="258">
        <v>6</v>
      </c>
      <c r="G460" s="282">
        <v>164.981339729826</v>
      </c>
      <c r="H460" s="282">
        <v>218.62289286589601</v>
      </c>
      <c r="I460" s="282">
        <v>279.38593595648501</v>
      </c>
      <c r="J460" s="282">
        <v>345.99563764352001</v>
      </c>
      <c r="K460" s="282">
        <v>415.56755709535099</v>
      </c>
      <c r="L460" s="282">
        <v>488.61060316527801</v>
      </c>
      <c r="M460" s="282">
        <v>561.71347081621798</v>
      </c>
      <c r="N460" s="118">
        <v>634.81633846715795</v>
      </c>
      <c r="O460" s="118">
        <v>707.91920611809803</v>
      </c>
      <c r="P460" s="118">
        <v>781.022073769038</v>
      </c>
      <c r="Q460" s="118">
        <v>854.12494141997797</v>
      </c>
      <c r="R460" s="118">
        <v>927.22780907091806</v>
      </c>
      <c r="S460" s="118">
        <v>1000.33067672186</v>
      </c>
      <c r="T460" s="118">
        <v>1073.4335443728</v>
      </c>
      <c r="U460" s="118">
        <v>1146.53641202374</v>
      </c>
      <c r="V460" s="118">
        <v>1219.63927967468</v>
      </c>
      <c r="W460" s="118">
        <v>1292.74214732562</v>
      </c>
      <c r="X460" s="118">
        <v>1365.8450149765599</v>
      </c>
      <c r="Y460" s="118">
        <v>1438.9478826274999</v>
      </c>
      <c r="Z460" s="118">
        <v>1512.0507502784401</v>
      </c>
      <c r="AA460" s="118">
        <v>1585.1536179293801</v>
      </c>
      <c r="AB460" s="118">
        <v>1658.25648558032</v>
      </c>
      <c r="AC460" s="118">
        <v>1731.35935323126</v>
      </c>
      <c r="AD460" s="118">
        <v>1804.4622208822</v>
      </c>
      <c r="AE460" s="118">
        <v>1877.5650885331399</v>
      </c>
      <c r="AF460" s="118">
        <v>1950.6679561840799</v>
      </c>
      <c r="AG460" s="118">
        <v>2023.7708238350201</v>
      </c>
      <c r="AH460" s="118">
        <v>2096.8736914859601</v>
      </c>
      <c r="AI460" s="118">
        <v>2169.9765591369001</v>
      </c>
    </row>
    <row r="461" spans="1:256" ht="15" customHeight="1">
      <c r="C461" s="265"/>
      <c r="D461" s="272" t="str">
        <f t="shared" si="413"/>
        <v>Ghana</v>
      </c>
      <c r="E461" s="55" t="s">
        <v>26</v>
      </c>
      <c r="F461" s="258">
        <f>F460+1</f>
        <v>7</v>
      </c>
      <c r="G461" s="282">
        <v>215.26020901895799</v>
      </c>
      <c r="H461" s="282">
        <v>289.08090012773999</v>
      </c>
      <c r="I461" s="282">
        <v>366.23108449658798</v>
      </c>
      <c r="J461" s="282">
        <v>444.269951327603</v>
      </c>
      <c r="K461" s="282">
        <v>529.05609111431704</v>
      </c>
      <c r="L461" s="282">
        <v>616.56308665434801</v>
      </c>
      <c r="M461" s="282">
        <v>704.43516990652802</v>
      </c>
      <c r="N461" s="118">
        <v>793.90727809660405</v>
      </c>
      <c r="O461" s="118">
        <v>884.30733490250202</v>
      </c>
      <c r="P461" s="118">
        <v>974.7073917084</v>
      </c>
      <c r="Q461" s="118">
        <v>1065.1074485142999</v>
      </c>
      <c r="R461" s="118">
        <v>1155.5075053201999</v>
      </c>
      <c r="S461" s="118">
        <v>1245.9075621260899</v>
      </c>
      <c r="T461" s="118">
        <v>1336.30761893199</v>
      </c>
      <c r="U461" s="118">
        <v>1426.70767573789</v>
      </c>
      <c r="V461" s="118">
        <v>1517.10773254379</v>
      </c>
      <c r="W461" s="118">
        <v>1607.50778934969</v>
      </c>
      <c r="X461" s="118">
        <v>1697.90784615558</v>
      </c>
      <c r="Y461" s="118">
        <v>1788.3079029614801</v>
      </c>
      <c r="Z461" s="118">
        <v>1878.7079597673801</v>
      </c>
      <c r="AA461" s="118">
        <v>1969.1080165732801</v>
      </c>
      <c r="AB461" s="118">
        <v>2059.5080733791801</v>
      </c>
      <c r="AC461" s="118">
        <v>2149.9081301850802</v>
      </c>
      <c r="AD461" s="118">
        <v>2240.3081869909702</v>
      </c>
      <c r="AE461" s="118">
        <v>2330.7082437968702</v>
      </c>
      <c r="AF461" s="118">
        <v>2421.1083006027702</v>
      </c>
      <c r="AG461" s="118">
        <v>2511.5083574086698</v>
      </c>
      <c r="AH461" s="118">
        <v>2601.9084142145698</v>
      </c>
      <c r="AI461" s="118">
        <v>2692.3084710204598</v>
      </c>
    </row>
    <row r="462" spans="1:256" ht="15" customHeight="1">
      <c r="C462" s="265"/>
      <c r="D462" s="272" t="str">
        <f t="shared" si="413"/>
        <v>Zambie - 2016</v>
      </c>
      <c r="E462" s="55" t="s">
        <v>26</v>
      </c>
      <c r="F462" s="258">
        <f>F461+1</f>
        <v>8</v>
      </c>
      <c r="G462" s="282">
        <v>206.95249817877601</v>
      </c>
      <c r="H462" s="282">
        <v>267.30390937829401</v>
      </c>
      <c r="I462" s="282">
        <v>330.08088160709298</v>
      </c>
      <c r="J462" s="282">
        <v>395.83686091512101</v>
      </c>
      <c r="K462" s="282">
        <v>467.30967183403499</v>
      </c>
      <c r="L462" s="282">
        <v>539.78136601670303</v>
      </c>
      <c r="M462" s="282">
        <v>613.17556589508399</v>
      </c>
      <c r="N462" s="118">
        <v>687.44378796454805</v>
      </c>
      <c r="O462" s="118">
        <v>761.71201003401302</v>
      </c>
      <c r="P462" s="118">
        <v>835.98023210347799</v>
      </c>
      <c r="Q462" s="118">
        <v>910.24845417294205</v>
      </c>
      <c r="R462" s="118">
        <v>984.51667624240702</v>
      </c>
      <c r="S462" s="118">
        <v>1058.7848983118699</v>
      </c>
      <c r="T462" s="118">
        <v>1133.05312038134</v>
      </c>
      <c r="U462" s="118">
        <v>1207.3213424508001</v>
      </c>
      <c r="V462" s="118">
        <v>1281.58956452027</v>
      </c>
      <c r="W462" s="118">
        <v>1355.85778658973</v>
      </c>
      <c r="X462" s="118">
        <v>1430.1260086591999</v>
      </c>
      <c r="Y462" s="118">
        <v>1504.39423072866</v>
      </c>
      <c r="Z462" s="118">
        <v>1578.6624527981201</v>
      </c>
      <c r="AA462" s="118">
        <v>1652.9306748675899</v>
      </c>
      <c r="AB462" s="118">
        <v>1727.19889693705</v>
      </c>
      <c r="AC462" s="118">
        <v>1801.4671190065201</v>
      </c>
      <c r="AD462" s="118">
        <v>1875.7353410759799</v>
      </c>
      <c r="AE462" s="118">
        <v>1950.00356314545</v>
      </c>
      <c r="AF462" s="118">
        <v>2024.2717852149101</v>
      </c>
      <c r="AG462" s="118">
        <v>2098.54000728438</v>
      </c>
      <c r="AH462" s="118">
        <v>2172.80822935384</v>
      </c>
      <c r="AI462" s="118">
        <v>2247.0764514233101</v>
      </c>
    </row>
    <row r="463" spans="1:256" ht="15" customHeight="1">
      <c r="C463" s="265"/>
      <c r="D463" s="272" t="str">
        <f t="shared" si="413"/>
        <v>RDC - redevance a taux variable</v>
      </c>
      <c r="E463" s="55" t="s">
        <v>26</v>
      </c>
      <c r="F463" s="258">
        <v>9</v>
      </c>
      <c r="G463" s="282">
        <v>226.86984688078101</v>
      </c>
      <c r="H463" s="282">
        <v>290.07398351165801</v>
      </c>
      <c r="I463" s="282">
        <v>355.342955006181</v>
      </c>
      <c r="J463" s="282">
        <v>421.63178184212001</v>
      </c>
      <c r="K463" s="282">
        <v>494.61765105084203</v>
      </c>
      <c r="L463" s="282">
        <v>568.70098509623404</v>
      </c>
      <c r="M463" s="282">
        <v>643.548562961426</v>
      </c>
      <c r="N463" s="118">
        <v>720.58450177488703</v>
      </c>
      <c r="O463" s="118">
        <v>797.62044058834704</v>
      </c>
      <c r="P463" s="118">
        <v>874.65637940180795</v>
      </c>
      <c r="Q463" s="118">
        <v>951.69231821526796</v>
      </c>
      <c r="R463" s="118">
        <v>1028.72825702873</v>
      </c>
      <c r="S463" s="118">
        <v>1105.76419584219</v>
      </c>
      <c r="T463" s="118">
        <v>1182.80013465565</v>
      </c>
      <c r="U463" s="118">
        <v>1259.83607346911</v>
      </c>
      <c r="V463" s="118">
        <v>1336.87201228257</v>
      </c>
      <c r="W463" s="118">
        <v>1413.90795109603</v>
      </c>
      <c r="X463" s="118">
        <v>1490.9438899094901</v>
      </c>
      <c r="Y463" s="118">
        <v>1567.9798287229501</v>
      </c>
      <c r="Z463" s="118">
        <v>1645.0157675364101</v>
      </c>
      <c r="AA463" s="118">
        <v>1722.0517063498701</v>
      </c>
      <c r="AB463" s="118">
        <v>1799.0876451633301</v>
      </c>
      <c r="AC463" s="118">
        <v>1876.1235839768001</v>
      </c>
      <c r="AD463" s="118">
        <v>1953.1595227902601</v>
      </c>
      <c r="AE463" s="118">
        <v>2030.1954616037201</v>
      </c>
      <c r="AF463" s="118">
        <v>2107.2314004171799</v>
      </c>
      <c r="AG463" s="118">
        <v>2184.2673392306401</v>
      </c>
      <c r="AH463" s="118">
        <v>2261.3032780440999</v>
      </c>
      <c r="AI463" s="118">
        <v>2338.3392168575601</v>
      </c>
    </row>
    <row r="464" spans="1:256" ht="15" customHeight="1">
      <c r="C464" s="265"/>
      <c r="D464" s="272" t="str">
        <f t="shared" si="413"/>
        <v>RDC - taxe sur la rente</v>
      </c>
      <c r="E464" s="55" t="s">
        <v>26</v>
      </c>
      <c r="F464" s="258">
        <v>10</v>
      </c>
      <c r="G464" s="282">
        <v>237.062204030202</v>
      </c>
      <c r="H464" s="282">
        <v>311.69449542389299</v>
      </c>
      <c r="I464" s="282">
        <v>387.72649705074798</v>
      </c>
      <c r="J464" s="282">
        <v>465.34465634969001</v>
      </c>
      <c r="K464" s="282">
        <v>550.04450059780402</v>
      </c>
      <c r="L464" s="282">
        <v>635.96573370497697</v>
      </c>
      <c r="M464" s="282">
        <v>722.46367545372402</v>
      </c>
      <c r="N464" s="118">
        <v>810.71596683271503</v>
      </c>
      <c r="O464" s="118">
        <v>899.31700775501497</v>
      </c>
      <c r="P464" s="118">
        <v>987.91804867731605</v>
      </c>
      <c r="Q464" s="118">
        <v>1076.51908959962</v>
      </c>
      <c r="R464" s="118">
        <v>1165.1201305219199</v>
      </c>
      <c r="S464" s="118">
        <v>1253.7211714442201</v>
      </c>
      <c r="T464" s="118">
        <v>1342.32221236652</v>
      </c>
      <c r="U464" s="118">
        <v>1430.92325328882</v>
      </c>
      <c r="V464" s="118">
        <v>1519.5242942111199</v>
      </c>
      <c r="W464" s="118">
        <v>1608.1253351334201</v>
      </c>
      <c r="X464" s="118">
        <v>1696.72637605572</v>
      </c>
      <c r="Y464" s="118">
        <v>1785.32741697802</v>
      </c>
      <c r="Z464" s="118">
        <v>1873.9284579003199</v>
      </c>
      <c r="AA464" s="118">
        <v>1962.5294988226201</v>
      </c>
      <c r="AB464" s="118">
        <v>2051.13053974493</v>
      </c>
      <c r="AC464" s="118">
        <v>2139.73158066723</v>
      </c>
      <c r="AD464" s="118">
        <v>2228.3326215895299</v>
      </c>
      <c r="AE464" s="118">
        <v>2316.9336625118299</v>
      </c>
      <c r="AF464" s="118">
        <v>2405.5347034341298</v>
      </c>
      <c r="AG464" s="118">
        <v>2494.1357443564302</v>
      </c>
      <c r="AH464" s="118">
        <v>2582.7367852787302</v>
      </c>
      <c r="AI464" s="118">
        <v>2671.3378262010301</v>
      </c>
    </row>
    <row r="465" spans="1:35" ht="15" customHeight="1">
      <c r="C465" s="265"/>
      <c r="D465" s="272" t="str">
        <f t="shared" si="413"/>
        <v>Sénégal (SGO - Convention Sabodala)</v>
      </c>
      <c r="E465" s="55" t="s">
        <v>26</v>
      </c>
      <c r="F465" s="258">
        <v>11</v>
      </c>
      <c r="G465" s="282">
        <v>208.34967744536701</v>
      </c>
      <c r="H465" s="282">
        <v>272.41158544649397</v>
      </c>
      <c r="I465" s="282">
        <v>335.95107993061703</v>
      </c>
      <c r="J465" s="282">
        <v>402.07558571878201</v>
      </c>
      <c r="K465" s="282">
        <v>475.53778307191402</v>
      </c>
      <c r="L465" s="282">
        <v>550.17549642307597</v>
      </c>
      <c r="M465" s="282">
        <v>626.90074830619005</v>
      </c>
      <c r="N465" s="118">
        <v>705.12285143850602</v>
      </c>
      <c r="O465" s="118">
        <v>783.34495457082198</v>
      </c>
      <c r="P465" s="118">
        <v>861.56705770313795</v>
      </c>
      <c r="Q465" s="118">
        <v>939.78916083545403</v>
      </c>
      <c r="R465" s="118">
        <v>1018.01126396777</v>
      </c>
      <c r="S465" s="118">
        <v>1096.2333671000899</v>
      </c>
      <c r="T465" s="118">
        <v>1174.4554702324001</v>
      </c>
      <c r="U465" s="118">
        <v>1252.67757336472</v>
      </c>
      <c r="V465" s="118">
        <v>1330.89967649703</v>
      </c>
      <c r="W465" s="118">
        <v>1409.1217796293499</v>
      </c>
      <c r="X465" s="118">
        <v>1487.3438827616701</v>
      </c>
      <c r="Y465" s="118">
        <v>1565.56598589398</v>
      </c>
      <c r="Z465" s="118">
        <v>1643.7880890263</v>
      </c>
      <c r="AA465" s="118">
        <v>1722.0101921586099</v>
      </c>
      <c r="AB465" s="118">
        <v>1800.2322952909301</v>
      </c>
      <c r="AC465" s="118">
        <v>1878.45439842325</v>
      </c>
      <c r="AD465" s="118">
        <v>1956.67650155556</v>
      </c>
      <c r="AE465" s="118">
        <v>2034.8986046878799</v>
      </c>
      <c r="AF465" s="118">
        <v>2113.1207078201901</v>
      </c>
      <c r="AG465" s="118">
        <v>2191.3428109525098</v>
      </c>
      <c r="AH465" s="118">
        <v>2269.56491408483</v>
      </c>
      <c r="AI465" s="118">
        <v>2347.7870172171401</v>
      </c>
    </row>
    <row r="466" spans="1:35" ht="15" customHeight="1"/>
    <row r="467" spans="1:35" ht="15" customHeight="1">
      <c r="C467" s="260"/>
      <c r="D467" s="41" t="s">
        <v>382</v>
      </c>
      <c r="E467" s="41"/>
      <c r="F467" s="203"/>
      <c r="G467" s="203"/>
      <c r="H467" s="203"/>
      <c r="I467" s="203"/>
      <c r="J467" s="203"/>
      <c r="K467" s="203"/>
      <c r="L467" s="203"/>
      <c r="M467" s="203"/>
      <c r="N467" s="203"/>
      <c r="O467" s="203"/>
      <c r="P467" s="203"/>
      <c r="Q467" s="203"/>
      <c r="R467" s="203"/>
      <c r="S467" s="203"/>
      <c r="T467" s="203"/>
      <c r="U467" s="203"/>
      <c r="V467" s="203"/>
      <c r="W467" s="203"/>
      <c r="X467" s="203"/>
      <c r="Y467" s="203"/>
      <c r="Z467" s="203"/>
      <c r="AA467" s="203"/>
      <c r="AB467" s="203"/>
      <c r="AC467" s="203"/>
      <c r="AD467" s="203"/>
      <c r="AE467" s="203"/>
      <c r="AF467" s="203"/>
      <c r="AG467" s="203"/>
      <c r="AH467" s="203"/>
      <c r="AI467" s="203"/>
    </row>
    <row r="468" spans="1:35" s="103" customFormat="1" ht="15" customHeight="1">
      <c r="A468" s="102"/>
      <c r="C468" s="265"/>
      <c r="D468" s="105"/>
      <c r="E468" s="105"/>
      <c r="F468" s="273"/>
      <c r="G468" s="273"/>
      <c r="H468" s="273"/>
      <c r="I468" s="273"/>
      <c r="J468" s="273"/>
      <c r="K468" s="273"/>
      <c r="L468" s="273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3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</row>
    <row r="469" spans="1:35" ht="15" customHeight="1">
      <c r="G469" s="281">
        <f t="shared" ref="G469:AI469" si="414">G454</f>
        <v>799.99999999999943</v>
      </c>
      <c r="H469" s="281">
        <f t="shared" si="414"/>
        <v>879.99999999999932</v>
      </c>
      <c r="I469" s="281">
        <f t="shared" si="414"/>
        <v>959.99999999999943</v>
      </c>
      <c r="J469" s="281">
        <f t="shared" si="414"/>
        <v>1039.9999999999995</v>
      </c>
      <c r="K469" s="281">
        <f t="shared" si="414"/>
        <v>1119.9999999999995</v>
      </c>
      <c r="L469" s="281">
        <f t="shared" si="414"/>
        <v>1199.9999999999995</v>
      </c>
      <c r="M469" s="281">
        <f t="shared" si="414"/>
        <v>1279.9999999999998</v>
      </c>
      <c r="N469" s="281">
        <f t="shared" si="414"/>
        <v>1359.9999999999998</v>
      </c>
      <c r="O469" s="281">
        <f t="shared" si="414"/>
        <v>1439.9999999999998</v>
      </c>
      <c r="P469" s="281">
        <f t="shared" si="414"/>
        <v>1520</v>
      </c>
      <c r="Q469" s="281">
        <f t="shared" si="414"/>
        <v>1600</v>
      </c>
      <c r="R469" s="281">
        <f t="shared" si="414"/>
        <v>1680</v>
      </c>
      <c r="S469" s="281">
        <f t="shared" si="414"/>
        <v>1760.0000000000002</v>
      </c>
      <c r="T469" s="281">
        <f t="shared" si="414"/>
        <v>1840.0000000000002</v>
      </c>
      <c r="U469" s="281">
        <f t="shared" si="414"/>
        <v>1920.0000000000002</v>
      </c>
      <c r="V469" s="281">
        <f t="shared" si="414"/>
        <v>2000.0000000000005</v>
      </c>
      <c r="W469" s="281">
        <f t="shared" si="414"/>
        <v>2080.0000000000005</v>
      </c>
      <c r="X469" s="281">
        <f t="shared" si="414"/>
        <v>2160.0000000000005</v>
      </c>
      <c r="Y469" s="281">
        <f t="shared" si="414"/>
        <v>2240.0000000000005</v>
      </c>
      <c r="Z469" s="281">
        <f t="shared" si="414"/>
        <v>2320.0000000000005</v>
      </c>
      <c r="AA469" s="281">
        <f t="shared" si="414"/>
        <v>2400.0000000000009</v>
      </c>
      <c r="AB469" s="281">
        <f t="shared" si="414"/>
        <v>2480.0000000000009</v>
      </c>
      <c r="AC469" s="281">
        <f t="shared" si="414"/>
        <v>2560.0000000000009</v>
      </c>
      <c r="AD469" s="281">
        <f t="shared" si="414"/>
        <v>2640.0000000000009</v>
      </c>
      <c r="AE469" s="281">
        <f t="shared" si="414"/>
        <v>2720.0000000000009</v>
      </c>
      <c r="AF469" s="281">
        <f t="shared" si="414"/>
        <v>2800.0000000000009</v>
      </c>
      <c r="AG469" s="281">
        <f t="shared" si="414"/>
        <v>2880.0000000000009</v>
      </c>
      <c r="AH469" s="281">
        <f t="shared" si="414"/>
        <v>2960.0000000000014</v>
      </c>
      <c r="AI469" s="281">
        <f t="shared" si="414"/>
        <v>3040.0000000000014</v>
      </c>
    </row>
    <row r="470" spans="1:35" ht="15" customHeight="1">
      <c r="D470" s="33" t="str">
        <f t="shared" ref="D470:D480" si="415">D455</f>
        <v>RDC - 2002</v>
      </c>
      <c r="G470" s="283">
        <f t="shared" ref="G470:AI470" si="416">(G455-$Q455)/$Q455</f>
        <v>-0.76715962135059801</v>
      </c>
      <c r="H470" s="283">
        <f t="shared" si="416"/>
        <v>-0.70215014544826426</v>
      </c>
      <c r="I470" s="283">
        <f t="shared" si="416"/>
        <v>-0.63691183558380482</v>
      </c>
      <c r="J470" s="283">
        <f t="shared" si="416"/>
        <v>-0.56482265282128941</v>
      </c>
      <c r="K470" s="283">
        <f t="shared" si="416"/>
        <v>-0.48708125050462292</v>
      </c>
      <c r="L470" s="283">
        <f t="shared" si="416"/>
        <v>-0.40798322283126115</v>
      </c>
      <c r="M470" s="283">
        <f t="shared" si="416"/>
        <v>-0.32638657826500955</v>
      </c>
      <c r="N470" s="283">
        <f t="shared" si="416"/>
        <v>-0.24478993369875698</v>
      </c>
      <c r="O470" s="283">
        <f t="shared" si="416"/>
        <v>-0.16319328913250539</v>
      </c>
      <c r="P470" s="283">
        <f t="shared" si="416"/>
        <v>-8.1596644566252693E-2</v>
      </c>
      <c r="Q470" s="283">
        <f t="shared" si="416"/>
        <v>0</v>
      </c>
      <c r="R470" s="283">
        <f t="shared" si="416"/>
        <v>8.1596644566249446E-2</v>
      </c>
      <c r="S470" s="283">
        <f t="shared" si="416"/>
        <v>0.16319328913250106</v>
      </c>
      <c r="T470" s="283">
        <f t="shared" si="416"/>
        <v>0.24478993369875265</v>
      </c>
      <c r="U470" s="283">
        <f t="shared" si="416"/>
        <v>0.32638657826500428</v>
      </c>
      <c r="V470" s="283">
        <f t="shared" si="416"/>
        <v>0.40798322283125588</v>
      </c>
      <c r="W470" s="283">
        <f t="shared" si="416"/>
        <v>0.48957986739751808</v>
      </c>
      <c r="X470" s="283">
        <f t="shared" si="416"/>
        <v>0.57117651196376973</v>
      </c>
      <c r="Y470" s="283">
        <f t="shared" si="416"/>
        <v>0.65277315653002133</v>
      </c>
      <c r="Z470" s="283">
        <f t="shared" si="416"/>
        <v>0.73436980109627292</v>
      </c>
      <c r="AA470" s="283">
        <f t="shared" si="416"/>
        <v>0.81596644566252452</v>
      </c>
      <c r="AB470" s="283">
        <f t="shared" si="416"/>
        <v>0.89756309022877612</v>
      </c>
      <c r="AC470" s="283">
        <f t="shared" si="416"/>
        <v>0.97915973479502771</v>
      </c>
      <c r="AD470" s="283">
        <f t="shared" si="416"/>
        <v>1.0607563793612793</v>
      </c>
      <c r="AE470" s="283">
        <f t="shared" si="416"/>
        <v>1.142353023927531</v>
      </c>
      <c r="AF470" s="283">
        <f t="shared" si="416"/>
        <v>1.2239496684937825</v>
      </c>
      <c r="AG470" s="283">
        <f t="shared" si="416"/>
        <v>1.305546313060034</v>
      </c>
      <c r="AH470" s="283">
        <f t="shared" si="416"/>
        <v>1.3871429576262857</v>
      </c>
      <c r="AI470" s="283">
        <f t="shared" si="416"/>
        <v>1.4687396021925372</v>
      </c>
    </row>
    <row r="471" spans="1:35" ht="15" customHeight="1">
      <c r="D471" s="33" t="str">
        <f t="shared" si="415"/>
        <v>RDC - amendement</v>
      </c>
      <c r="G471" s="112">
        <f t="shared" ref="G471:AI471" si="417">(G456-$Q456)/$Q456</f>
        <v>-0.78015534947318843</v>
      </c>
      <c r="H471" s="112">
        <f t="shared" si="417"/>
        <v>-0.71819079661219165</v>
      </c>
      <c r="I471" s="112">
        <f t="shared" si="417"/>
        <v>-0.6535014311823244</v>
      </c>
      <c r="J471" s="112">
        <f t="shared" si="417"/>
        <v>-0.5887487435113139</v>
      </c>
      <c r="K471" s="112">
        <f t="shared" si="417"/>
        <v>-0.52017031844410055</v>
      </c>
      <c r="L471" s="112">
        <f t="shared" si="417"/>
        <v>-0.44869351230833338</v>
      </c>
      <c r="M471" s="112">
        <f t="shared" si="417"/>
        <v>-0.37672362480742833</v>
      </c>
      <c r="N471" s="112">
        <f t="shared" si="417"/>
        <v>-0.30370168652686386</v>
      </c>
      <c r="O471" s="112">
        <f t="shared" si="417"/>
        <v>-0.22927541132307833</v>
      </c>
      <c r="P471" s="112">
        <f t="shared" si="417"/>
        <v>-0.15484913611929699</v>
      </c>
      <c r="Q471" s="112">
        <f t="shared" si="417"/>
        <v>0</v>
      </c>
      <c r="R471" s="112">
        <f t="shared" si="417"/>
        <v>9.2808643413044456E-2</v>
      </c>
      <c r="S471" s="112">
        <f t="shared" si="417"/>
        <v>0.18561728682608092</v>
      </c>
      <c r="T471" s="112">
        <f t="shared" si="417"/>
        <v>0.27842593023912537</v>
      </c>
      <c r="U471" s="112">
        <f t="shared" si="417"/>
        <v>0.37123457365216983</v>
      </c>
      <c r="V471" s="112">
        <f t="shared" si="417"/>
        <v>0.46404321706521429</v>
      </c>
      <c r="W471" s="112">
        <f t="shared" si="417"/>
        <v>0.55685186047825885</v>
      </c>
      <c r="X471" s="112">
        <f t="shared" si="417"/>
        <v>0.64966050389130336</v>
      </c>
      <c r="Y471" s="112">
        <f t="shared" si="417"/>
        <v>0.74246914730434777</v>
      </c>
      <c r="Z471" s="112">
        <f t="shared" si="417"/>
        <v>0.8352777907173925</v>
      </c>
      <c r="AA471" s="112">
        <f t="shared" si="417"/>
        <v>0.92808643413043668</v>
      </c>
      <c r="AB471" s="112">
        <f t="shared" si="417"/>
        <v>1.0208950775434813</v>
      </c>
      <c r="AC471" s="112">
        <f t="shared" si="417"/>
        <v>1.1137037209565257</v>
      </c>
      <c r="AD471" s="112">
        <f t="shared" si="417"/>
        <v>1.2065123643695621</v>
      </c>
      <c r="AE471" s="112">
        <f t="shared" si="417"/>
        <v>1.2993210077826067</v>
      </c>
      <c r="AF471" s="112">
        <f t="shared" si="417"/>
        <v>1.3921296511956509</v>
      </c>
      <c r="AG471" s="112">
        <f t="shared" si="417"/>
        <v>1.4849382946086955</v>
      </c>
      <c r="AH471" s="112">
        <f t="shared" si="417"/>
        <v>1.5777469380217399</v>
      </c>
      <c r="AI471" s="112">
        <f t="shared" si="417"/>
        <v>1.6705555814347846</v>
      </c>
    </row>
    <row r="472" spans="1:35" ht="15" customHeight="1">
      <c r="D472" s="33" t="str">
        <f t="shared" si="415"/>
        <v>Chili</v>
      </c>
      <c r="G472" s="112">
        <f t="shared" ref="G472:AI472" si="418">(G457-$Q457)/$Q457</f>
        <v>-0.80462852282949826</v>
      </c>
      <c r="H472" s="112">
        <f t="shared" si="418"/>
        <v>-0.74042145728891307</v>
      </c>
      <c r="I472" s="112">
        <f t="shared" si="418"/>
        <v>-0.67846734440773449</v>
      </c>
      <c r="J472" s="112">
        <f t="shared" si="418"/>
        <v>-0.60474686655917487</v>
      </c>
      <c r="K472" s="112">
        <f t="shared" si="418"/>
        <v>-0.52538402065098122</v>
      </c>
      <c r="L472" s="112">
        <f t="shared" si="418"/>
        <v>-0.44381681269078338</v>
      </c>
      <c r="M472" s="112">
        <f t="shared" si="418"/>
        <v>-0.35595314114895749</v>
      </c>
      <c r="N472" s="112">
        <f t="shared" si="418"/>
        <v>-0.26771051077416663</v>
      </c>
      <c r="O472" s="112">
        <f t="shared" si="418"/>
        <v>-0.17887741884856537</v>
      </c>
      <c r="P472" s="112">
        <f t="shared" si="418"/>
        <v>-8.9641305027237342E-2</v>
      </c>
      <c r="Q472" s="112">
        <f t="shared" si="418"/>
        <v>0</v>
      </c>
      <c r="R472" s="112">
        <f t="shared" si="418"/>
        <v>9.0235375774563628E-2</v>
      </c>
      <c r="S472" s="112">
        <f t="shared" si="418"/>
        <v>0.18079848353064307</v>
      </c>
      <c r="T472" s="112">
        <f t="shared" si="418"/>
        <v>0.27187597278647946</v>
      </c>
      <c r="U472" s="112">
        <f t="shared" si="418"/>
        <v>0.36318905819546804</v>
      </c>
      <c r="V472" s="112">
        <f t="shared" si="418"/>
        <v>0.45493764835691775</v>
      </c>
      <c r="W472" s="112">
        <f t="shared" si="418"/>
        <v>0.5469124688019309</v>
      </c>
      <c r="X472" s="112">
        <f t="shared" si="418"/>
        <v>0.6390303998467961</v>
      </c>
      <c r="Y472" s="112">
        <f t="shared" si="418"/>
        <v>0.731531578768298</v>
      </c>
      <c r="Z472" s="112">
        <f t="shared" si="418"/>
        <v>0.82418262114149166</v>
      </c>
      <c r="AA472" s="112">
        <f t="shared" si="418"/>
        <v>0.91696964518259771</v>
      </c>
      <c r="AB472" s="112">
        <f t="shared" si="418"/>
        <v>1.0099891573623823</v>
      </c>
      <c r="AC472" s="112">
        <f t="shared" si="418"/>
        <v>1.1031860725878213</v>
      </c>
      <c r="AD472" s="112">
        <f t="shared" si="418"/>
        <v>1.1964695901355171</v>
      </c>
      <c r="AE472" s="112">
        <f t="shared" si="418"/>
        <v>1.2899339762621147</v>
      </c>
      <c r="AF472" s="112">
        <f t="shared" si="418"/>
        <v>1.3835093736072095</v>
      </c>
      <c r="AG472" s="112">
        <f t="shared" si="418"/>
        <v>1.4771561675882383</v>
      </c>
      <c r="AH472" s="112">
        <f t="shared" si="418"/>
        <v>1.5709241549199517</v>
      </c>
      <c r="AI472" s="112">
        <f t="shared" si="418"/>
        <v>1.6647790936791069</v>
      </c>
    </row>
    <row r="473" spans="1:35" ht="15" customHeight="1">
      <c r="D473" s="33" t="str">
        <f t="shared" si="415"/>
        <v>Perou</v>
      </c>
      <c r="G473" s="112">
        <f t="shared" ref="G473:AI473" si="419">(G458-$Q458)/$Q458</f>
        <v>-0.8263515335444771</v>
      </c>
      <c r="H473" s="112">
        <f t="shared" si="419"/>
        <v>-0.75804331608855136</v>
      </c>
      <c r="I473" s="112">
        <f t="shared" si="419"/>
        <v>-0.68773024252641168</v>
      </c>
      <c r="J473" s="112">
        <f t="shared" si="419"/>
        <v>-0.61341879560613521</v>
      </c>
      <c r="K473" s="112">
        <f t="shared" si="419"/>
        <v>-0.5334787724285901</v>
      </c>
      <c r="L473" s="112">
        <f t="shared" si="419"/>
        <v>-0.44868364553006229</v>
      </c>
      <c r="M473" s="112">
        <f t="shared" si="419"/>
        <v>-0.36095028365435422</v>
      </c>
      <c r="N473" s="112">
        <f t="shared" si="419"/>
        <v>-0.27165592985530346</v>
      </c>
      <c r="O473" s="112">
        <f t="shared" si="419"/>
        <v>-0.18162650428824287</v>
      </c>
      <c r="P473" s="112">
        <f t="shared" si="419"/>
        <v>-9.1062006383833299E-2</v>
      </c>
      <c r="Q473" s="112">
        <f t="shared" si="419"/>
        <v>0</v>
      </c>
      <c r="R473" s="112">
        <f t="shared" si="419"/>
        <v>9.1528022652498223E-2</v>
      </c>
      <c r="S473" s="112">
        <f t="shared" si="419"/>
        <v>0.18330494572824119</v>
      </c>
      <c r="T473" s="112">
        <f t="shared" si="419"/>
        <v>0.27549834207727364</v>
      </c>
      <c r="U473" s="112">
        <f t="shared" si="419"/>
        <v>0.36786870277441364</v>
      </c>
      <c r="V473" s="112">
        <f t="shared" si="419"/>
        <v>0.46057611752918148</v>
      </c>
      <c r="W473" s="112">
        <f t="shared" si="419"/>
        <v>0.55346025945504373</v>
      </c>
      <c r="X473" s="112">
        <f t="shared" si="419"/>
        <v>0.6464521086049716</v>
      </c>
      <c r="Y473" s="112">
        <f t="shared" si="419"/>
        <v>0.73972763945906395</v>
      </c>
      <c r="Z473" s="112">
        <f t="shared" si="419"/>
        <v>0.83310769002517371</v>
      </c>
      <c r="AA473" s="112">
        <f t="shared" si="419"/>
        <v>0.92658623690401376</v>
      </c>
      <c r="AB473" s="112">
        <f t="shared" si="419"/>
        <v>1.0202292319187289</v>
      </c>
      <c r="AC473" s="112">
        <f t="shared" si="419"/>
        <v>1.1139949302988548</v>
      </c>
      <c r="AD473" s="112">
        <f t="shared" si="419"/>
        <v>1.2078199242023488</v>
      </c>
      <c r="AE473" s="112">
        <f t="shared" si="419"/>
        <v>1.301765333643784</v>
      </c>
      <c r="AF473" s="112">
        <f t="shared" si="419"/>
        <v>1.3957815835606837</v>
      </c>
      <c r="AG473" s="112">
        <f t="shared" si="419"/>
        <v>1.4898412247163642</v>
      </c>
      <c r="AH473" s="112">
        <f t="shared" si="419"/>
        <v>1.5839705334634069</v>
      </c>
      <c r="AI473" s="112">
        <f t="shared" si="419"/>
        <v>1.6781533514116054</v>
      </c>
    </row>
    <row r="474" spans="1:35" ht="15" customHeight="1">
      <c r="D474" s="33" t="str">
        <f t="shared" si="415"/>
        <v>Australie Occidentale</v>
      </c>
      <c r="G474" s="112">
        <f t="shared" ref="G474:AI474" si="420">(G459-$Q459)/$Q459</f>
        <v>-0.77198265503035046</v>
      </c>
      <c r="H474" s="112">
        <f t="shared" si="420"/>
        <v>-0.70470014462132136</v>
      </c>
      <c r="I474" s="112">
        <f t="shared" si="420"/>
        <v>-0.63473255539638684</v>
      </c>
      <c r="J474" s="112">
        <f t="shared" si="420"/>
        <v>-0.56497288884744645</v>
      </c>
      <c r="K474" s="112">
        <f t="shared" si="420"/>
        <v>-0.48908224341615758</v>
      </c>
      <c r="L474" s="112">
        <f t="shared" si="420"/>
        <v>-0.41005613014218123</v>
      </c>
      <c r="M474" s="112">
        <f t="shared" si="420"/>
        <v>-0.33103001686820493</v>
      </c>
      <c r="N474" s="112">
        <f t="shared" si="420"/>
        <v>-0.24967361776856906</v>
      </c>
      <c r="O474" s="112">
        <f t="shared" si="420"/>
        <v>-0.16644907851238022</v>
      </c>
      <c r="P474" s="112">
        <f t="shared" si="420"/>
        <v>-8.3224539256194704E-2</v>
      </c>
      <c r="Q474" s="112">
        <f t="shared" si="420"/>
        <v>0</v>
      </c>
      <c r="R474" s="112">
        <f t="shared" si="420"/>
        <v>8.3224539256186281E-2</v>
      </c>
      <c r="S474" s="112">
        <f t="shared" si="420"/>
        <v>0.16644907851237256</v>
      </c>
      <c r="T474" s="112">
        <f t="shared" si="420"/>
        <v>0.24967361776856747</v>
      </c>
      <c r="U474" s="112">
        <f t="shared" si="420"/>
        <v>0.33289815702475378</v>
      </c>
      <c r="V474" s="112">
        <f t="shared" si="420"/>
        <v>0.41612269628094006</v>
      </c>
      <c r="W474" s="112">
        <f t="shared" si="420"/>
        <v>0.49934723553712634</v>
      </c>
      <c r="X474" s="112">
        <f t="shared" si="420"/>
        <v>0.58257177479332123</v>
      </c>
      <c r="Y474" s="112">
        <f t="shared" si="420"/>
        <v>0.66579631404950734</v>
      </c>
      <c r="Z474" s="112">
        <f t="shared" si="420"/>
        <v>0.74902085330569368</v>
      </c>
      <c r="AA474" s="112">
        <f t="shared" si="420"/>
        <v>0.83224539256188867</v>
      </c>
      <c r="AB474" s="112">
        <f t="shared" si="420"/>
        <v>0.91546993181807479</v>
      </c>
      <c r="AC474" s="112">
        <f t="shared" si="420"/>
        <v>0.9986944710742609</v>
      </c>
      <c r="AD474" s="112">
        <f t="shared" si="420"/>
        <v>1.0819190103304475</v>
      </c>
      <c r="AE474" s="112">
        <f t="shared" si="420"/>
        <v>1.165143549586642</v>
      </c>
      <c r="AF474" s="112">
        <f t="shared" si="420"/>
        <v>1.2483680888428286</v>
      </c>
      <c r="AG474" s="112">
        <f t="shared" si="420"/>
        <v>1.3315926280990147</v>
      </c>
      <c r="AH474" s="112">
        <f t="shared" si="420"/>
        <v>1.4148171673552097</v>
      </c>
      <c r="AI474" s="112">
        <f t="shared" si="420"/>
        <v>1.4980417066113958</v>
      </c>
    </row>
    <row r="475" spans="1:35" ht="15" customHeight="1">
      <c r="D475" s="33" t="str">
        <f t="shared" si="415"/>
        <v>Tanzanie</v>
      </c>
      <c r="G475" s="112">
        <f t="shared" ref="G475:AI475" si="421">(G460-$Q460)/$Q460</f>
        <v>-0.8068416788584285</v>
      </c>
      <c r="H475" s="112">
        <f t="shared" si="421"/>
        <v>-0.74403874390737657</v>
      </c>
      <c r="I475" s="112">
        <f t="shared" si="421"/>
        <v>-0.67289804757134541</v>
      </c>
      <c r="J475" s="112">
        <f t="shared" si="421"/>
        <v>-0.59491214825280225</v>
      </c>
      <c r="K475" s="112">
        <f t="shared" si="421"/>
        <v>-0.51345811725802992</v>
      </c>
      <c r="L475" s="112">
        <f t="shared" si="421"/>
        <v>-0.427940129750847</v>
      </c>
      <c r="M475" s="112">
        <f t="shared" si="421"/>
        <v>-0.3423521038006776</v>
      </c>
      <c r="N475" s="112">
        <f t="shared" si="421"/>
        <v>-0.25676407785050825</v>
      </c>
      <c r="O475" s="112">
        <f t="shared" si="421"/>
        <v>-0.17117605190033874</v>
      </c>
      <c r="P475" s="112">
        <f t="shared" si="421"/>
        <v>-8.5588025950169372E-2</v>
      </c>
      <c r="Q475" s="112">
        <f t="shared" si="421"/>
        <v>0</v>
      </c>
      <c r="R475" s="112">
        <f t="shared" si="421"/>
        <v>8.5588025950169511E-2</v>
      </c>
      <c r="S475" s="112">
        <f t="shared" si="421"/>
        <v>0.17117605190034113</v>
      </c>
      <c r="T475" s="112">
        <f t="shared" si="421"/>
        <v>0.25676407785051064</v>
      </c>
      <c r="U475" s="112">
        <f t="shared" si="421"/>
        <v>0.34235210380068004</v>
      </c>
      <c r="V475" s="112">
        <f t="shared" si="421"/>
        <v>0.42794012975084939</v>
      </c>
      <c r="W475" s="112">
        <f t="shared" si="421"/>
        <v>0.51352815570101873</v>
      </c>
      <c r="X475" s="112">
        <f t="shared" si="421"/>
        <v>0.59911618165118818</v>
      </c>
      <c r="Y475" s="112">
        <f t="shared" si="421"/>
        <v>0.68470420760135753</v>
      </c>
      <c r="Z475" s="112">
        <f t="shared" si="421"/>
        <v>0.77029223355152721</v>
      </c>
      <c r="AA475" s="112">
        <f t="shared" si="421"/>
        <v>0.85588025950169655</v>
      </c>
      <c r="AB475" s="112">
        <f t="shared" si="421"/>
        <v>0.94146828545186589</v>
      </c>
      <c r="AC475" s="112">
        <f t="shared" si="421"/>
        <v>1.0270563114020352</v>
      </c>
      <c r="AD475" s="112">
        <f t="shared" si="421"/>
        <v>1.1126443373522046</v>
      </c>
      <c r="AE475" s="112">
        <f t="shared" si="421"/>
        <v>1.1982323633023739</v>
      </c>
      <c r="AF475" s="112">
        <f t="shared" si="421"/>
        <v>1.2838203892525433</v>
      </c>
      <c r="AG475" s="112">
        <f t="shared" si="421"/>
        <v>1.3694084152027131</v>
      </c>
      <c r="AH475" s="112">
        <f t="shared" si="421"/>
        <v>1.4549964411528826</v>
      </c>
      <c r="AI475" s="112">
        <f t="shared" si="421"/>
        <v>1.540584467103052</v>
      </c>
    </row>
    <row r="476" spans="1:35" ht="15" customHeight="1">
      <c r="D476" s="33" t="str">
        <f t="shared" si="415"/>
        <v>Ghana</v>
      </c>
      <c r="G476" s="112">
        <f t="shared" ref="G476:AI476" si="422">(G461-$Q461)/$Q461</f>
        <v>-0.79789812819427675</v>
      </c>
      <c r="H476" s="112">
        <f t="shared" si="422"/>
        <v>-0.72858991782380822</v>
      </c>
      <c r="I476" s="112">
        <f t="shared" si="422"/>
        <v>-0.65615573808310379</v>
      </c>
      <c r="J476" s="112">
        <f t="shared" si="422"/>
        <v>-0.58288719889499652</v>
      </c>
      <c r="K476" s="112">
        <f t="shared" si="422"/>
        <v>-0.50328383126764509</v>
      </c>
      <c r="L476" s="112">
        <f t="shared" si="422"/>
        <v>-0.42112592723449521</v>
      </c>
      <c r="M476" s="112">
        <f t="shared" si="422"/>
        <v>-0.33862525242018299</v>
      </c>
      <c r="N476" s="112">
        <f t="shared" si="422"/>
        <v>-0.25462235833200519</v>
      </c>
      <c r="O476" s="112">
        <f t="shared" si="422"/>
        <v>-0.16974823888800408</v>
      </c>
      <c r="P476" s="112">
        <f t="shared" si="422"/>
        <v>-8.4874119444002943E-2</v>
      </c>
      <c r="Q476" s="112">
        <f t="shared" si="422"/>
        <v>0</v>
      </c>
      <c r="R476" s="112">
        <f t="shared" si="422"/>
        <v>8.4874119444003054E-2</v>
      </c>
      <c r="S476" s="112">
        <f t="shared" si="422"/>
        <v>0.1697482388879967</v>
      </c>
      <c r="T476" s="112">
        <f t="shared" si="422"/>
        <v>0.25462235833199975</v>
      </c>
      <c r="U476" s="112">
        <f t="shared" si="422"/>
        <v>0.33949647777600284</v>
      </c>
      <c r="V476" s="112">
        <f t="shared" si="422"/>
        <v>0.42437059722000586</v>
      </c>
      <c r="W476" s="112">
        <f t="shared" si="422"/>
        <v>0.50924471666400895</v>
      </c>
      <c r="X476" s="112">
        <f t="shared" si="422"/>
        <v>0.59411883610800253</v>
      </c>
      <c r="Y476" s="112">
        <f t="shared" si="422"/>
        <v>0.67899295555200567</v>
      </c>
      <c r="Z476" s="112">
        <f t="shared" si="422"/>
        <v>0.7638670749960087</v>
      </c>
      <c r="AA476" s="112">
        <f t="shared" si="422"/>
        <v>0.84874119444001173</v>
      </c>
      <c r="AB476" s="112">
        <f t="shared" si="422"/>
        <v>0.93361531388401475</v>
      </c>
      <c r="AC476" s="112">
        <f t="shared" si="422"/>
        <v>1.0184894333280179</v>
      </c>
      <c r="AD476" s="112">
        <f t="shared" si="422"/>
        <v>1.1033635527720116</v>
      </c>
      <c r="AE476" s="112">
        <f t="shared" si="422"/>
        <v>1.1882376722160146</v>
      </c>
      <c r="AF476" s="112">
        <f t="shared" si="422"/>
        <v>1.2731117916600176</v>
      </c>
      <c r="AG476" s="112">
        <f t="shared" si="422"/>
        <v>1.3579859111040202</v>
      </c>
      <c r="AH476" s="112">
        <f t="shared" si="422"/>
        <v>1.4428600305480233</v>
      </c>
      <c r="AI476" s="112">
        <f t="shared" si="422"/>
        <v>1.527734149992017</v>
      </c>
    </row>
    <row r="477" spans="1:35" ht="15" customHeight="1">
      <c r="D477" s="33" t="str">
        <f t="shared" si="415"/>
        <v>Zambie - 2016</v>
      </c>
      <c r="G477" s="112">
        <f t="shared" ref="G477:AI477" si="423">(G462-$Q462)/$Q462</f>
        <v>-0.77264174717350709</v>
      </c>
      <c r="H477" s="112">
        <f t="shared" si="423"/>
        <v>-0.70633961732880035</v>
      </c>
      <c r="I477" s="112">
        <f t="shared" si="423"/>
        <v>-0.63737276334404025</v>
      </c>
      <c r="J477" s="112">
        <f t="shared" si="423"/>
        <v>-0.56513316875140318</v>
      </c>
      <c r="K477" s="112">
        <f t="shared" si="423"/>
        <v>-0.48661305636752139</v>
      </c>
      <c r="L477" s="112">
        <f t="shared" si="423"/>
        <v>-0.40699556967976169</v>
      </c>
      <c r="M477" s="112">
        <f t="shared" si="423"/>
        <v>-0.32636461717233073</v>
      </c>
      <c r="N477" s="112">
        <f t="shared" si="423"/>
        <v>-0.24477346287924853</v>
      </c>
      <c r="O477" s="112">
        <f t="shared" si="423"/>
        <v>-0.16318230858616536</v>
      </c>
      <c r="P477" s="112">
        <f t="shared" si="423"/>
        <v>-8.1591154293082183E-2</v>
      </c>
      <c r="Q477" s="112">
        <f t="shared" si="423"/>
        <v>0</v>
      </c>
      <c r="R477" s="112">
        <f t="shared" si="423"/>
        <v>8.1591154293083182E-2</v>
      </c>
      <c r="S477" s="112">
        <f t="shared" si="423"/>
        <v>0.16318230858616412</v>
      </c>
      <c r="T477" s="112">
        <f t="shared" si="423"/>
        <v>0.24477346287925292</v>
      </c>
      <c r="U477" s="112">
        <f t="shared" si="423"/>
        <v>0.32636461717233073</v>
      </c>
      <c r="V477" s="112">
        <f t="shared" si="423"/>
        <v>0.40795577146541928</v>
      </c>
      <c r="W477" s="112">
        <f t="shared" si="423"/>
        <v>0.48954692575849706</v>
      </c>
      <c r="X477" s="112">
        <f t="shared" si="423"/>
        <v>0.57113808005158562</v>
      </c>
      <c r="Y477" s="112">
        <f t="shared" si="423"/>
        <v>0.65272923434466346</v>
      </c>
      <c r="Z477" s="112">
        <f t="shared" si="423"/>
        <v>0.73432038863774129</v>
      </c>
      <c r="AA477" s="112">
        <f t="shared" si="423"/>
        <v>0.81591154293082979</v>
      </c>
      <c r="AB477" s="112">
        <f t="shared" si="423"/>
        <v>0.89750269722390763</v>
      </c>
      <c r="AC477" s="112">
        <f t="shared" si="423"/>
        <v>0.97909385151699646</v>
      </c>
      <c r="AD477" s="112">
        <f t="shared" si="423"/>
        <v>1.0606850058100741</v>
      </c>
      <c r="AE477" s="112">
        <f t="shared" si="423"/>
        <v>1.1422761601031628</v>
      </c>
      <c r="AF477" s="112">
        <f t="shared" si="423"/>
        <v>1.2238673143962406</v>
      </c>
      <c r="AG477" s="112">
        <f t="shared" si="423"/>
        <v>1.3054584686893291</v>
      </c>
      <c r="AH477" s="112">
        <f t="shared" si="423"/>
        <v>1.387049622982407</v>
      </c>
      <c r="AI477" s="112">
        <f t="shared" si="423"/>
        <v>1.4686407772754957</v>
      </c>
    </row>
    <row r="478" spans="1:35" ht="15" customHeight="1">
      <c r="D478" s="33" t="str">
        <f t="shared" si="415"/>
        <v>RDC - redevance a taux variable</v>
      </c>
      <c r="G478" s="112">
        <f t="shared" ref="G478:AI478" si="424">(G463-$Q463)/$Q463</f>
        <v>-0.76161429220503152</v>
      </c>
      <c r="H478" s="112">
        <f t="shared" si="424"/>
        <v>-0.69520192822860971</v>
      </c>
      <c r="I478" s="112">
        <f t="shared" si="424"/>
        <v>-0.62661991884880985</v>
      </c>
      <c r="J478" s="112">
        <f t="shared" si="424"/>
        <v>-0.55696628650652924</v>
      </c>
      <c r="K478" s="112">
        <f t="shared" si="424"/>
        <v>-0.48027567147078515</v>
      </c>
      <c r="L478" s="112">
        <f t="shared" si="424"/>
        <v>-0.40243188453729145</v>
      </c>
      <c r="M478" s="112">
        <f t="shared" si="424"/>
        <v>-0.32378506094460396</v>
      </c>
      <c r="N478" s="112">
        <f t="shared" si="424"/>
        <v>-0.2428387957084524</v>
      </c>
      <c r="O478" s="112">
        <f t="shared" si="424"/>
        <v>-0.16189253047230193</v>
      </c>
      <c r="P478" s="112">
        <f t="shared" si="424"/>
        <v>-8.0946265236150478E-2</v>
      </c>
      <c r="Q478" s="112">
        <f t="shared" si="424"/>
        <v>0</v>
      </c>
      <c r="R478" s="112">
        <f t="shared" si="424"/>
        <v>8.0946265236152629E-2</v>
      </c>
      <c r="S478" s="112">
        <f t="shared" si="424"/>
        <v>0.16189253047230312</v>
      </c>
      <c r="T478" s="112">
        <f t="shared" si="424"/>
        <v>0.2428387957084536</v>
      </c>
      <c r="U478" s="112">
        <f t="shared" si="424"/>
        <v>0.32378506094460408</v>
      </c>
      <c r="V478" s="112">
        <f t="shared" si="424"/>
        <v>0.40473132618075458</v>
      </c>
      <c r="W478" s="112">
        <f t="shared" si="424"/>
        <v>0.48567759141690503</v>
      </c>
      <c r="X478" s="112">
        <f t="shared" si="424"/>
        <v>0.56662385665305548</v>
      </c>
      <c r="Y478" s="112">
        <f t="shared" si="424"/>
        <v>0.64757012188920604</v>
      </c>
      <c r="Z478" s="112">
        <f t="shared" si="424"/>
        <v>0.72851638712535649</v>
      </c>
      <c r="AA478" s="112">
        <f t="shared" si="424"/>
        <v>0.80946265236150694</v>
      </c>
      <c r="AB478" s="112">
        <f t="shared" si="424"/>
        <v>0.8904089175976575</v>
      </c>
      <c r="AC478" s="112">
        <f t="shared" si="424"/>
        <v>0.9713551828338185</v>
      </c>
      <c r="AD478" s="112">
        <f t="shared" si="424"/>
        <v>1.0523014480699688</v>
      </c>
      <c r="AE478" s="112">
        <f t="shared" si="424"/>
        <v>1.1332477133061194</v>
      </c>
      <c r="AF478" s="112">
        <f t="shared" si="424"/>
        <v>1.2141939785422697</v>
      </c>
      <c r="AG478" s="112">
        <f t="shared" si="424"/>
        <v>1.2951402437784203</v>
      </c>
      <c r="AH478" s="112">
        <f t="shared" si="424"/>
        <v>1.3760865090145706</v>
      </c>
      <c r="AI478" s="112">
        <f t="shared" si="424"/>
        <v>1.4570327742507214</v>
      </c>
    </row>
    <row r="479" spans="1:35" ht="15" customHeight="1">
      <c r="D479" s="33" t="str">
        <f t="shared" si="415"/>
        <v>RDC - taxe sur la rente</v>
      </c>
      <c r="G479" s="112">
        <f t="shared" ref="G479:AI479" si="425">(G464-$Q464)/$Q464</f>
        <v>-0.77978820225253009</v>
      </c>
      <c r="H479" s="112">
        <f t="shared" si="425"/>
        <v>-0.71046078194505713</v>
      </c>
      <c r="I479" s="112">
        <f t="shared" si="425"/>
        <v>-0.63983314295434224</v>
      </c>
      <c r="J479" s="112">
        <f t="shared" si="425"/>
        <v>-0.567732090544942</v>
      </c>
      <c r="K479" s="112">
        <f t="shared" si="425"/>
        <v>-0.48905272009400491</v>
      </c>
      <c r="L479" s="112">
        <f t="shared" si="425"/>
        <v>-0.40923877723198948</v>
      </c>
      <c r="M479" s="112">
        <f t="shared" si="425"/>
        <v>-0.32888911823902406</v>
      </c>
      <c r="N479" s="112">
        <f t="shared" si="425"/>
        <v>-0.24690980897121176</v>
      </c>
      <c r="O479" s="112">
        <f t="shared" si="425"/>
        <v>-0.16460653931414274</v>
      </c>
      <c r="P479" s="112">
        <f t="shared" si="425"/>
        <v>-8.23032696570727E-2</v>
      </c>
      <c r="Q479" s="112">
        <f t="shared" si="425"/>
        <v>0</v>
      </c>
      <c r="R479" s="112">
        <f t="shared" si="425"/>
        <v>8.2303269657068995E-2</v>
      </c>
      <c r="S479" s="112">
        <f t="shared" si="425"/>
        <v>0.16460653931413821</v>
      </c>
      <c r="T479" s="112">
        <f t="shared" si="425"/>
        <v>0.24690980897120721</v>
      </c>
      <c r="U479" s="112">
        <f t="shared" si="425"/>
        <v>0.3292130786282762</v>
      </c>
      <c r="V479" s="112">
        <f t="shared" si="425"/>
        <v>0.41151634828534522</v>
      </c>
      <c r="W479" s="112">
        <f t="shared" si="425"/>
        <v>0.49381961794241441</v>
      </c>
      <c r="X479" s="112">
        <f t="shared" si="425"/>
        <v>0.57612288759948338</v>
      </c>
      <c r="Y479" s="112">
        <f t="shared" si="425"/>
        <v>0.6584261572565524</v>
      </c>
      <c r="Z479" s="112">
        <f t="shared" si="425"/>
        <v>0.74072942691362142</v>
      </c>
      <c r="AA479" s="112">
        <f t="shared" si="425"/>
        <v>0.82303269657069056</v>
      </c>
      <c r="AB479" s="112">
        <f t="shared" si="425"/>
        <v>0.90533596622776891</v>
      </c>
      <c r="AC479" s="112">
        <f t="shared" si="425"/>
        <v>0.98763923588483793</v>
      </c>
      <c r="AD479" s="112">
        <f t="shared" si="425"/>
        <v>1.069942505541907</v>
      </c>
      <c r="AE479" s="112">
        <f t="shared" si="425"/>
        <v>1.1522457751989759</v>
      </c>
      <c r="AF479" s="112">
        <f t="shared" si="425"/>
        <v>1.234549044856045</v>
      </c>
      <c r="AG479" s="112">
        <f t="shared" si="425"/>
        <v>1.3168523145131144</v>
      </c>
      <c r="AH479" s="112">
        <f t="shared" si="425"/>
        <v>1.3991555841701833</v>
      </c>
      <c r="AI479" s="112">
        <f t="shared" si="425"/>
        <v>1.4814588538272524</v>
      </c>
    </row>
    <row r="480" spans="1:35" ht="15" customHeight="1">
      <c r="D480" s="33" t="str">
        <f t="shared" si="415"/>
        <v>Sénégal (SGO - Convention Sabodala)</v>
      </c>
      <c r="G480" s="112">
        <f t="shared" ref="G480:AI480" si="426">(G465-$Q465)/$Q465</f>
        <v>-0.77830168070873662</v>
      </c>
      <c r="H480" s="112">
        <f t="shared" si="426"/>
        <v>-0.71013542526461415</v>
      </c>
      <c r="I480" s="112">
        <f t="shared" si="426"/>
        <v>-0.6425250535641811</v>
      </c>
      <c r="J480" s="112">
        <f t="shared" si="426"/>
        <v>-0.57216405288038785</v>
      </c>
      <c r="K480" s="112">
        <f t="shared" si="426"/>
        <v>-0.49399524607288481</v>
      </c>
      <c r="L480" s="112">
        <f t="shared" si="426"/>
        <v>-0.41457560977402547</v>
      </c>
      <c r="M480" s="112">
        <f t="shared" si="426"/>
        <v>-0.33293468957559835</v>
      </c>
      <c r="N480" s="112">
        <f t="shared" si="426"/>
        <v>-0.24970101718169882</v>
      </c>
      <c r="O480" s="112">
        <f t="shared" si="426"/>
        <v>-0.16646734478779923</v>
      </c>
      <c r="P480" s="112">
        <f t="shared" si="426"/>
        <v>-8.3233672393899685E-2</v>
      </c>
      <c r="Q480" s="112">
        <f t="shared" si="426"/>
        <v>0</v>
      </c>
      <c r="R480" s="112">
        <f t="shared" si="426"/>
        <v>8.323367239389956E-2</v>
      </c>
      <c r="S480" s="112">
        <f t="shared" si="426"/>
        <v>0.16646734478780337</v>
      </c>
      <c r="T480" s="112">
        <f t="shared" si="426"/>
        <v>0.24970101718169674</v>
      </c>
      <c r="U480" s="112">
        <f t="shared" si="426"/>
        <v>0.33293468957560057</v>
      </c>
      <c r="V480" s="112">
        <f t="shared" si="426"/>
        <v>0.41616836196949369</v>
      </c>
      <c r="W480" s="112">
        <f t="shared" si="426"/>
        <v>0.49940203436339747</v>
      </c>
      <c r="X480" s="112">
        <f t="shared" si="426"/>
        <v>0.58263570675730147</v>
      </c>
      <c r="Y480" s="112">
        <f t="shared" si="426"/>
        <v>0.66586937915119471</v>
      </c>
      <c r="Z480" s="112">
        <f t="shared" si="426"/>
        <v>0.74910305154509849</v>
      </c>
      <c r="AA480" s="112">
        <f t="shared" si="426"/>
        <v>0.83233672393899161</v>
      </c>
      <c r="AB480" s="112">
        <f t="shared" si="426"/>
        <v>0.91557039633289561</v>
      </c>
      <c r="AC480" s="112">
        <f t="shared" si="426"/>
        <v>0.9988040687267995</v>
      </c>
      <c r="AD480" s="112">
        <f t="shared" si="426"/>
        <v>1.0820377411206925</v>
      </c>
      <c r="AE480" s="112">
        <f t="shared" si="426"/>
        <v>1.1652714135145965</v>
      </c>
      <c r="AF480" s="112">
        <f t="shared" si="426"/>
        <v>1.2485050859084899</v>
      </c>
      <c r="AG480" s="112">
        <f t="shared" si="426"/>
        <v>1.3317387583023934</v>
      </c>
      <c r="AH480" s="112">
        <f t="shared" si="426"/>
        <v>1.4149724306962974</v>
      </c>
      <c r="AI480" s="112">
        <f t="shared" si="426"/>
        <v>1.498206103090191</v>
      </c>
    </row>
    <row r="481" spans="3:35" ht="15" customHeight="1"/>
    <row r="482" spans="3:35" ht="15" customHeight="1">
      <c r="C482" s="260"/>
      <c r="D482" s="41" t="s">
        <v>383</v>
      </c>
      <c r="E482" s="41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  <c r="AH482" s="203"/>
      <c r="AI482" s="203"/>
    </row>
    <row r="483" spans="3:35" ht="15" customHeight="1"/>
    <row r="484" spans="3:35" ht="15" customHeight="1">
      <c r="D484" s="85"/>
      <c r="E484" s="60" t="s">
        <v>384</v>
      </c>
      <c r="F484" s="85" t="s">
        <v>385</v>
      </c>
      <c r="G484" s="60" t="s">
        <v>386</v>
      </c>
      <c r="H484" s="97" t="s">
        <v>387</v>
      </c>
      <c r="I484" s="85" t="s">
        <v>388</v>
      </c>
      <c r="J484" s="60" t="s">
        <v>389</v>
      </c>
      <c r="K484" s="97" t="s">
        <v>390</v>
      </c>
    </row>
    <row r="485" spans="3:35" ht="15" customHeight="1">
      <c r="D485" s="85" t="str">
        <f t="shared" ref="D485:D495" si="427">D455</f>
        <v>RDC - 2002</v>
      </c>
      <c r="E485" s="284">
        <f t="shared" ref="E485:E495" si="428">_xlfn.STDEV.S(G455:AI455)/AVERAGE(G455:AI455)</f>
        <v>0.5180421075789593</v>
      </c>
      <c r="F485" s="285">
        <f t="shared" ref="F485:F495" si="429">M455-Q455</f>
        <v>-308.14375525384298</v>
      </c>
      <c r="G485" s="286">
        <f t="shared" ref="G485:G495" si="430">U455-Q455</f>
        <v>308.14375525383798</v>
      </c>
      <c r="H485" s="286">
        <f t="shared" ref="H485:H495" si="431">Y455-Q455</f>
        <v>616.28751050768801</v>
      </c>
      <c r="I485" s="287">
        <f t="shared" ref="I485:I495" si="432">(M455-Q455)/Q455</f>
        <v>-0.32638657826500955</v>
      </c>
      <c r="J485" s="283">
        <f>(U455-$Q455)/$Q455</f>
        <v>0.32638657826500428</v>
      </c>
      <c r="K485" s="288">
        <f t="shared" ref="K485:K495" si="433">(Y455-$Q455)/$Q455</f>
        <v>0.65277315653002133</v>
      </c>
    </row>
    <row r="486" spans="3:35" ht="15" customHeight="1">
      <c r="D486" s="73" t="str">
        <f t="shared" si="427"/>
        <v>RDC - amendement</v>
      </c>
      <c r="E486" s="180">
        <f t="shared" si="428"/>
        <v>0.55690168838574161</v>
      </c>
      <c r="F486" s="289">
        <f t="shared" si="429"/>
        <v>-460.59068531738797</v>
      </c>
      <c r="G486" s="177">
        <f t="shared" si="430"/>
        <v>453.87964925047004</v>
      </c>
      <c r="H486" s="177">
        <f t="shared" si="431"/>
        <v>907.75929850095008</v>
      </c>
      <c r="I486" s="290">
        <f t="shared" si="432"/>
        <v>-0.37672362480742833</v>
      </c>
      <c r="J486" s="112">
        <f t="shared" ref="J486:J495" si="434">(U456-Q456)/Q456</f>
        <v>0.37123457365216983</v>
      </c>
      <c r="K486" s="234">
        <f t="shared" si="433"/>
        <v>0.74246914730434777</v>
      </c>
    </row>
    <row r="487" spans="3:35" ht="15" customHeight="1">
      <c r="D487" s="73" t="str">
        <f t="shared" si="427"/>
        <v>Chili</v>
      </c>
      <c r="E487" s="180">
        <f t="shared" si="428"/>
        <v>0.55492360292916698</v>
      </c>
      <c r="F487" s="289">
        <f t="shared" si="429"/>
        <v>-403.54896084346001</v>
      </c>
      <c r="G487" s="177">
        <f t="shared" si="430"/>
        <v>411.75241929713002</v>
      </c>
      <c r="H487" s="177">
        <f t="shared" si="431"/>
        <v>829.34738961211997</v>
      </c>
      <c r="I487" s="290">
        <f t="shared" si="432"/>
        <v>-0.35595314114895749</v>
      </c>
      <c r="J487" s="112">
        <f t="shared" si="434"/>
        <v>0.36318905819546804</v>
      </c>
      <c r="K487" s="234">
        <f t="shared" si="433"/>
        <v>0.731531578768298</v>
      </c>
    </row>
    <row r="488" spans="3:35" ht="15" customHeight="1">
      <c r="D488" s="73" t="str">
        <f t="shared" si="427"/>
        <v>Perou</v>
      </c>
      <c r="E488" s="180">
        <f t="shared" si="428"/>
        <v>0.56038881225670267</v>
      </c>
      <c r="F488" s="289">
        <f t="shared" si="429"/>
        <v>-290.47133668153401</v>
      </c>
      <c r="G488" s="177">
        <f t="shared" si="430"/>
        <v>296.0388692214201</v>
      </c>
      <c r="H488" s="177">
        <f t="shared" si="431"/>
        <v>595.28884155056994</v>
      </c>
      <c r="I488" s="290">
        <f t="shared" si="432"/>
        <v>-0.36095028365435422</v>
      </c>
      <c r="J488" s="112">
        <f t="shared" si="434"/>
        <v>0.36786870277441364</v>
      </c>
      <c r="K488" s="234">
        <f t="shared" si="433"/>
        <v>0.73972763945906395</v>
      </c>
    </row>
    <row r="489" spans="3:35" ht="15" customHeight="1">
      <c r="D489" s="73" t="str">
        <f t="shared" si="427"/>
        <v>Australie Occidentale</v>
      </c>
      <c r="E489" s="180">
        <f t="shared" si="428"/>
        <v>0.52260797023753347</v>
      </c>
      <c r="F489" s="289">
        <f t="shared" si="429"/>
        <v>-384.24825421263188</v>
      </c>
      <c r="G489" s="177">
        <f t="shared" si="430"/>
        <v>386.41672703141012</v>
      </c>
      <c r="H489" s="177">
        <f t="shared" si="431"/>
        <v>772.83345406282001</v>
      </c>
      <c r="I489" s="290">
        <f t="shared" si="432"/>
        <v>-0.33103001686820493</v>
      </c>
      <c r="J489" s="112">
        <f t="shared" si="434"/>
        <v>0.33289815702475378</v>
      </c>
      <c r="K489" s="234">
        <f t="shared" si="433"/>
        <v>0.66579631404950734</v>
      </c>
    </row>
    <row r="490" spans="3:35" ht="15" customHeight="1">
      <c r="D490" s="73" t="str">
        <f t="shared" si="427"/>
        <v>Tanzanie</v>
      </c>
      <c r="E490" s="180">
        <f t="shared" si="428"/>
        <v>0.53787219251248874</v>
      </c>
      <c r="F490" s="289">
        <f t="shared" si="429"/>
        <v>-292.41147060375999</v>
      </c>
      <c r="G490" s="177">
        <f t="shared" si="430"/>
        <v>292.41147060376204</v>
      </c>
      <c r="H490" s="177">
        <f t="shared" si="431"/>
        <v>584.82294120752192</v>
      </c>
      <c r="I490" s="290">
        <f t="shared" si="432"/>
        <v>-0.3423521038006776</v>
      </c>
      <c r="J490" s="112">
        <f t="shared" si="434"/>
        <v>0.34235210380068004</v>
      </c>
      <c r="K490" s="234">
        <f t="shared" si="433"/>
        <v>0.68470420760135753</v>
      </c>
    </row>
    <row r="491" spans="3:35" ht="15" customHeight="1">
      <c r="D491" s="73" t="str">
        <f t="shared" si="427"/>
        <v>Ghana</v>
      </c>
      <c r="E491" s="180">
        <f t="shared" si="428"/>
        <v>0.53256614457812834</v>
      </c>
      <c r="F491" s="289">
        <f t="shared" si="429"/>
        <v>-360.67227860777189</v>
      </c>
      <c r="G491" s="177">
        <f t="shared" si="430"/>
        <v>361.60022722359008</v>
      </c>
      <c r="H491" s="177">
        <f t="shared" si="431"/>
        <v>723.20045444718016</v>
      </c>
      <c r="I491" s="290">
        <f t="shared" si="432"/>
        <v>-0.33862525242018299</v>
      </c>
      <c r="J491" s="112">
        <f t="shared" si="434"/>
        <v>0.33949647777600284</v>
      </c>
      <c r="K491" s="234">
        <f t="shared" si="433"/>
        <v>0.67899295555200567</v>
      </c>
    </row>
    <row r="492" spans="3:35" ht="15" customHeight="1">
      <c r="D492" s="73" t="str">
        <f t="shared" si="427"/>
        <v>Zambie - 2016</v>
      </c>
      <c r="E492" s="180">
        <f t="shared" si="428"/>
        <v>0.51853742561070371</v>
      </c>
      <c r="F492" s="289">
        <f t="shared" si="429"/>
        <v>-297.07288827785806</v>
      </c>
      <c r="G492" s="177">
        <f t="shared" si="430"/>
        <v>297.07288827785806</v>
      </c>
      <c r="H492" s="177">
        <f t="shared" si="431"/>
        <v>594.14577655571793</v>
      </c>
      <c r="I492" s="290">
        <f t="shared" si="432"/>
        <v>-0.32636461717233073</v>
      </c>
      <c r="J492" s="112">
        <f t="shared" si="434"/>
        <v>0.32636461717233073</v>
      </c>
      <c r="K492" s="234">
        <f t="shared" si="433"/>
        <v>0.65272923434466346</v>
      </c>
    </row>
    <row r="493" spans="3:35" ht="15" customHeight="1">
      <c r="D493" s="73" t="str">
        <f t="shared" si="427"/>
        <v>RDC - redevance a taux variable</v>
      </c>
      <c r="E493" s="180">
        <f t="shared" si="428"/>
        <v>0.51423364770907498</v>
      </c>
      <c r="F493" s="289">
        <f t="shared" si="429"/>
        <v>-308.14375525384196</v>
      </c>
      <c r="G493" s="177">
        <f t="shared" si="430"/>
        <v>308.14375525384207</v>
      </c>
      <c r="H493" s="177">
        <f t="shared" si="431"/>
        <v>616.2875105076821</v>
      </c>
      <c r="I493" s="290">
        <f t="shared" si="432"/>
        <v>-0.32378506094460396</v>
      </c>
      <c r="J493" s="112">
        <f t="shared" si="434"/>
        <v>0.32378506094460408</v>
      </c>
      <c r="K493" s="234">
        <f t="shared" si="433"/>
        <v>0.64757012188920604</v>
      </c>
    </row>
    <row r="494" spans="3:35" ht="15" customHeight="1">
      <c r="D494" s="73" t="str">
        <f t="shared" si="427"/>
        <v>RDC - taxe sur la rente</v>
      </c>
      <c r="E494" s="180">
        <f t="shared" si="428"/>
        <v>0.52142610470942818</v>
      </c>
      <c r="F494" s="289">
        <f t="shared" si="429"/>
        <v>-354.05541414589595</v>
      </c>
      <c r="G494" s="177">
        <f t="shared" si="430"/>
        <v>354.4041636892</v>
      </c>
      <c r="H494" s="177">
        <f t="shared" si="431"/>
        <v>708.80832737840001</v>
      </c>
      <c r="I494" s="290">
        <f t="shared" si="432"/>
        <v>-0.32888911823902406</v>
      </c>
      <c r="J494" s="112">
        <f t="shared" si="434"/>
        <v>0.3292130786282762</v>
      </c>
      <c r="K494" s="234">
        <f t="shared" si="433"/>
        <v>0.6584261572565524</v>
      </c>
    </row>
    <row r="495" spans="3:35" ht="15" customHeight="1">
      <c r="D495" s="79" t="str">
        <f t="shared" si="427"/>
        <v>Sénégal (SGO - Convention Sabodala)</v>
      </c>
      <c r="E495" s="291">
        <f t="shared" si="428"/>
        <v>0.52449933094816537</v>
      </c>
      <c r="F495" s="292">
        <f t="shared" si="429"/>
        <v>-312.88841252926397</v>
      </c>
      <c r="G495" s="293">
        <f t="shared" si="430"/>
        <v>312.88841252926602</v>
      </c>
      <c r="H495" s="293">
        <f t="shared" si="431"/>
        <v>625.77682505852601</v>
      </c>
      <c r="I495" s="294">
        <f t="shared" si="432"/>
        <v>-0.33293468957559835</v>
      </c>
      <c r="J495" s="235">
        <f t="shared" si="434"/>
        <v>0.33293468957560057</v>
      </c>
      <c r="K495" s="236">
        <f t="shared" si="433"/>
        <v>0.66586937915119471</v>
      </c>
    </row>
    <row r="496" spans="3:35" ht="15" customHeight="1"/>
    <row r="497" spans="1:35" ht="15" customHeight="1">
      <c r="C497" s="260"/>
      <c r="D497" s="41" t="s">
        <v>391</v>
      </c>
      <c r="E497" s="41"/>
      <c r="F497" s="203"/>
      <c r="G497" s="203"/>
      <c r="H497" s="203"/>
      <c r="I497" s="203"/>
      <c r="J497" s="203"/>
      <c r="K497" s="203"/>
      <c r="L497" s="203"/>
      <c r="M497" s="203"/>
      <c r="N497" s="203"/>
      <c r="O497" s="203"/>
      <c r="P497" s="203"/>
      <c r="Q497" s="203"/>
      <c r="R497" s="203"/>
      <c r="S497" s="203"/>
      <c r="T497" s="203"/>
      <c r="U497" s="203"/>
      <c r="V497" s="203"/>
      <c r="W497" s="203"/>
      <c r="X497" s="203"/>
      <c r="Y497" s="203"/>
      <c r="Z497" s="203"/>
      <c r="AA497" s="203"/>
      <c r="AB497" s="203"/>
      <c r="AC497" s="203"/>
      <c r="AD497" s="203"/>
      <c r="AE497" s="203"/>
      <c r="AF497" s="203"/>
      <c r="AG497" s="203"/>
      <c r="AH497" s="203"/>
      <c r="AI497" s="203"/>
    </row>
    <row r="498" spans="1:35" ht="15" customHeight="1">
      <c r="C498" s="247"/>
      <c r="D498" s="55" t="s">
        <v>374</v>
      </c>
      <c r="E498" s="55" t="s">
        <v>26</v>
      </c>
      <c r="F498" s="259"/>
      <c r="G498" s="261">
        <f>G$353</f>
        <v>0</v>
      </c>
      <c r="H498" s="261">
        <f>H$353</f>
        <v>0.05</v>
      </c>
      <c r="I498" s="261">
        <f>I$353</f>
        <v>0.1</v>
      </c>
      <c r="J498" s="261">
        <f>J$353</f>
        <v>0.15000000000000002</v>
      </c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  <c r="AA498" s="127"/>
      <c r="AB498" s="127"/>
      <c r="AC498" s="127"/>
      <c r="AD498" s="127"/>
      <c r="AE498" s="127"/>
      <c r="AF498" s="127"/>
      <c r="AG498" s="127"/>
      <c r="AH498" s="127"/>
      <c r="AI498" s="127"/>
    </row>
    <row r="499" spans="1:35" ht="15" customHeight="1">
      <c r="C499" s="127"/>
      <c r="D499" s="55" t="s">
        <v>375</v>
      </c>
      <c r="E499" s="212" t="s">
        <v>153</v>
      </c>
      <c r="F499" s="259"/>
      <c r="G499" s="154">
        <f>G$355</f>
        <v>1589.7471455289749</v>
      </c>
      <c r="H499" s="154">
        <f>H$355</f>
        <v>1193.9012497169338</v>
      </c>
      <c r="I499" s="154">
        <f>I$355</f>
        <v>939.78916083545425</v>
      </c>
      <c r="J499" s="154">
        <f>J$355</f>
        <v>767.34908359275278</v>
      </c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  <c r="AA499" s="127"/>
      <c r="AB499" s="127"/>
      <c r="AC499" s="127"/>
      <c r="AD499" s="127"/>
      <c r="AE499" s="127"/>
      <c r="AF499" s="127"/>
      <c r="AG499" s="127"/>
      <c r="AH499" s="127"/>
      <c r="AI499" s="127"/>
    </row>
    <row r="500" spans="1:35" ht="15" customHeight="1">
      <c r="C500" s="127"/>
      <c r="D500" s="55" t="s">
        <v>392</v>
      </c>
      <c r="E500" s="212" t="s">
        <v>153</v>
      </c>
      <c r="G500" s="154">
        <f>G359</f>
        <v>4002.3866000000007</v>
      </c>
      <c r="H500" s="154">
        <f>H359</f>
        <v>3047.1128315391934</v>
      </c>
      <c r="I500" s="154">
        <f>I359</f>
        <v>2430.8771619574591</v>
      </c>
      <c r="J500" s="154">
        <f>J359</f>
        <v>5180.5498679903258</v>
      </c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  <c r="AA500" s="127"/>
      <c r="AB500" s="127"/>
      <c r="AC500" s="127"/>
      <c r="AD500" s="127"/>
      <c r="AE500" s="127"/>
      <c r="AF500" s="127"/>
      <c r="AG500" s="127"/>
      <c r="AH500" s="127"/>
      <c r="AI500" s="127"/>
    </row>
    <row r="501" spans="1:35" s="33" customFormat="1" ht="15" customHeight="1">
      <c r="A501" s="262"/>
      <c r="C501" s="247"/>
      <c r="D501" s="263" t="s">
        <v>359</v>
      </c>
      <c r="E501" s="263" t="s">
        <v>26</v>
      </c>
      <c r="F501" s="263"/>
      <c r="G501" s="264">
        <f>G499/G500</f>
        <v>0.39719979712329007</v>
      </c>
      <c r="H501" s="264">
        <f>H499/H500</f>
        <v>0.39181392869979692</v>
      </c>
      <c r="I501" s="264">
        <f>I499/I500</f>
        <v>0.3866049570677158</v>
      </c>
      <c r="J501" s="264">
        <f>J499/J500</f>
        <v>0.14812116534850153</v>
      </c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3"/>
      <c r="Z501" s="243"/>
      <c r="AA501" s="243"/>
      <c r="AB501" s="243"/>
      <c r="AC501" s="243"/>
      <c r="AD501" s="243"/>
      <c r="AE501" s="243"/>
      <c r="AF501" s="243"/>
      <c r="AG501" s="243"/>
      <c r="AH501" s="243"/>
      <c r="AI501" s="243"/>
    </row>
    <row r="502" spans="1:35" ht="15" customHeight="1">
      <c r="C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  <c r="AA502" s="127"/>
      <c r="AB502" s="127"/>
      <c r="AC502" s="127"/>
      <c r="AD502" s="127"/>
      <c r="AE502" s="127"/>
      <c r="AF502" s="127"/>
      <c r="AG502" s="127"/>
      <c r="AH502" s="127"/>
      <c r="AI502" s="127"/>
    </row>
    <row r="503" spans="1:35" ht="15" customHeight="1">
      <c r="C503" s="260"/>
      <c r="D503" s="41" t="s">
        <v>393</v>
      </c>
      <c r="E503" s="41"/>
      <c r="F503" s="203"/>
      <c r="G503" s="203"/>
      <c r="H503" s="203"/>
      <c r="I503" s="203"/>
      <c r="J503" s="203"/>
      <c r="K503" s="203"/>
      <c r="L503" s="203"/>
      <c r="M503" s="203"/>
      <c r="N503" s="203"/>
      <c r="O503" s="203"/>
      <c r="P503" s="203"/>
      <c r="Q503" s="203"/>
      <c r="R503" s="203"/>
      <c r="S503" s="203"/>
      <c r="T503" s="203"/>
      <c r="U503" s="203"/>
      <c r="V503" s="203"/>
      <c r="W503" s="203"/>
      <c r="X503" s="203"/>
      <c r="Y503" s="203"/>
      <c r="Z503" s="203"/>
      <c r="AA503" s="203"/>
      <c r="AB503" s="203"/>
      <c r="AC503" s="203"/>
      <c r="AD503" s="203"/>
      <c r="AE503" s="203"/>
      <c r="AF503" s="203"/>
      <c r="AG503" s="203"/>
      <c r="AH503" s="203"/>
      <c r="AI503" s="203"/>
    </row>
    <row r="504" spans="1:35" s="210" customFormat="1" ht="24" customHeight="1">
      <c r="A504" s="209"/>
      <c r="B504" s="237"/>
      <c r="C504" s="211"/>
      <c r="D504" s="212" t="s">
        <v>370</v>
      </c>
      <c r="G504" s="249" t="str">
        <f>Paramètres!H7</f>
        <v>RDC - 2002</v>
      </c>
      <c r="H504" s="249" t="str">
        <f>Paramètres!I7</f>
        <v>RDC - amendement</v>
      </c>
      <c r="I504" s="249" t="str">
        <f>Paramètres!J7</f>
        <v>Chili</v>
      </c>
      <c r="J504" s="249" t="str">
        <f>Paramètres!K7</f>
        <v>Perou</v>
      </c>
      <c r="K504" s="249" t="str">
        <f>Paramètres!L7</f>
        <v>Australie Occidentale</v>
      </c>
      <c r="L504" s="249" t="str">
        <f>Paramètres!M7</f>
        <v>Tanzanie</v>
      </c>
      <c r="M504" s="249" t="str">
        <f>Paramètres!N7</f>
        <v>Ghana</v>
      </c>
      <c r="N504" s="249" t="str">
        <f>Paramètres!O7</f>
        <v>Zambie - 2016</v>
      </c>
      <c r="O504" s="249" t="str">
        <f>Paramètres!P7</f>
        <v>RDC - redevance a taux variable</v>
      </c>
      <c r="P504" s="249" t="str">
        <f>Paramètres!Q7</f>
        <v>RDC - taxe sur la rente</v>
      </c>
      <c r="Q504" s="249" t="str">
        <f>Paramètres!R7</f>
        <v>Sénégal (SGO - Convention Sabodala)</v>
      </c>
    </row>
    <row r="505" spans="1:35" s="210" customFormat="1" ht="15" customHeight="1">
      <c r="A505" s="209"/>
      <c r="B505" s="237"/>
      <c r="C505" s="211"/>
      <c r="G505" s="251">
        <f>Paramètres!H6</f>
        <v>1</v>
      </c>
      <c r="H505" s="251">
        <f>Paramètres!I6</f>
        <v>2</v>
      </c>
      <c r="I505" s="251">
        <f>Paramètres!J6</f>
        <v>3</v>
      </c>
      <c r="J505" s="251">
        <f>Paramètres!K6</f>
        <v>4</v>
      </c>
      <c r="K505" s="251">
        <f>Paramètres!L6</f>
        <v>5</v>
      </c>
      <c r="L505" s="251">
        <f>Paramètres!M6</f>
        <v>6</v>
      </c>
      <c r="M505" s="251">
        <f>Paramètres!N6</f>
        <v>7</v>
      </c>
      <c r="N505" s="251">
        <f>Paramètres!O6</f>
        <v>8</v>
      </c>
      <c r="O505" s="251">
        <f>Paramètres!P6</f>
        <v>9</v>
      </c>
      <c r="P505" s="251">
        <f>Paramètres!Q6</f>
        <v>10</v>
      </c>
      <c r="Q505" s="251">
        <f>Paramètres!R6</f>
        <v>11</v>
      </c>
    </row>
    <row r="506" spans="1:35" s="210" customFormat="1" ht="15" customHeight="1">
      <c r="A506" s="209"/>
      <c r="B506" s="237"/>
      <c r="C506" s="211"/>
      <c r="D506" s="212" t="str">
        <f>"Part de l'Etat dans les benefices totaux VAN "&amp;G353*100</f>
        <v>Part de l'Etat dans les benefices totaux VAN 0</v>
      </c>
      <c r="E506" s="212" t="s">
        <v>26</v>
      </c>
      <c r="F506" s="266">
        <f>G360</f>
        <v>0.39719979712329007</v>
      </c>
      <c r="G506" s="267">
        <v>0.39226967824693698</v>
      </c>
      <c r="H506" s="267">
        <v>0.517888596978754</v>
      </c>
      <c r="I506" s="267">
        <v>0.47698555937808002</v>
      </c>
      <c r="J506" s="267">
        <v>0.335504148624233</v>
      </c>
      <c r="K506" s="267">
        <v>0.48813098499548202</v>
      </c>
      <c r="L506" s="267">
        <v>0.36694361858996799</v>
      </c>
      <c r="M506" s="267">
        <v>0.450325530708025</v>
      </c>
      <c r="N506" s="267">
        <v>0.38197499916569999</v>
      </c>
      <c r="O506" s="267">
        <v>0.40399329717924698</v>
      </c>
      <c r="P506" s="267">
        <v>0.45677396815721999</v>
      </c>
      <c r="Q506" s="267">
        <v>0.39719979712329001</v>
      </c>
    </row>
    <row r="507" spans="1:35" s="210" customFormat="1" ht="15" customHeight="1">
      <c r="A507" s="209"/>
      <c r="B507" s="237"/>
      <c r="C507" s="211"/>
      <c r="D507" s="212" t="str">
        <f>"Part de l'Etat dans les benefices totaux VAN "&amp;H353*100</f>
        <v>Part de l'Etat dans les benefices totaux VAN 5</v>
      </c>
      <c r="E507" s="212" t="s">
        <v>26</v>
      </c>
      <c r="F507" s="266">
        <f>H360</f>
        <v>0.39181392869979692</v>
      </c>
      <c r="G507" s="268">
        <v>0.38452712814768603</v>
      </c>
      <c r="H507" s="268">
        <v>0.51018671481772504</v>
      </c>
      <c r="I507" s="268">
        <v>0.47188791473541403</v>
      </c>
      <c r="J507" s="268">
        <v>0.33358260216693197</v>
      </c>
      <c r="K507" s="268">
        <v>0.48294876432130901</v>
      </c>
      <c r="L507" s="268">
        <v>0.35916224717808698</v>
      </c>
      <c r="M507" s="268">
        <v>0.44416143716429801</v>
      </c>
      <c r="N507" s="268">
        <v>0.37806608877335102</v>
      </c>
      <c r="O507" s="268">
        <v>0.39758970624152001</v>
      </c>
      <c r="P507" s="268">
        <v>0.44966684326739198</v>
      </c>
      <c r="Q507" s="268">
        <v>0.39181392869979698</v>
      </c>
    </row>
    <row r="508" spans="1:35" s="210" customFormat="1" ht="15" customHeight="1">
      <c r="A508" s="209"/>
      <c r="B508" s="237"/>
      <c r="C508" s="211"/>
      <c r="D508" s="212" t="str">
        <f>"Part de l'Etat dans les benefices totaux VAN "&amp;I353*100</f>
        <v>Part de l'Etat dans les benefices totaux VAN 10</v>
      </c>
      <c r="E508" s="212" t="s">
        <v>26</v>
      </c>
      <c r="F508" s="266">
        <f>I360</f>
        <v>0.3866049570677158</v>
      </c>
      <c r="G508" s="268">
        <v>0.376995409997821</v>
      </c>
      <c r="H508" s="268">
        <v>0.502955175143602</v>
      </c>
      <c r="I508" s="268">
        <v>0.46638050687229099</v>
      </c>
      <c r="J508" s="268">
        <v>0.33104945888870202</v>
      </c>
      <c r="K508" s="268">
        <v>0.47750894710726299</v>
      </c>
      <c r="L508" s="268">
        <v>0.35136491254547603</v>
      </c>
      <c r="M508" s="268">
        <v>0.438157659787557</v>
      </c>
      <c r="N508" s="268">
        <v>0.37445267429307999</v>
      </c>
      <c r="O508" s="268">
        <v>0.39150160818859298</v>
      </c>
      <c r="P508" s="268">
        <v>0.44285211381588402</v>
      </c>
      <c r="Q508" s="268">
        <v>0.38660495706771603</v>
      </c>
    </row>
    <row r="509" spans="1:35" s="210" customFormat="1" ht="15" customHeight="1">
      <c r="A509" s="209"/>
      <c r="B509" s="237"/>
      <c r="C509" s="211"/>
      <c r="D509" s="212" t="str">
        <f>"Part de l'Etat dans les benefices totaux VAN "&amp;J353*100</f>
        <v>Part de l'Etat dans les benefices totaux VAN 15</v>
      </c>
      <c r="E509" s="212" t="s">
        <v>26</v>
      </c>
      <c r="F509" s="266">
        <f>J360</f>
        <v>0.14812116534850153</v>
      </c>
      <c r="G509" s="269">
        <v>0.14353121518308901</v>
      </c>
      <c r="H509" s="269">
        <v>0.19260499698077299</v>
      </c>
      <c r="I509" s="269">
        <v>0.17877886151689401</v>
      </c>
      <c r="J509" s="269">
        <v>0.12729532048654901</v>
      </c>
      <c r="K509" s="269">
        <v>0.18316729831043399</v>
      </c>
      <c r="L509" s="269">
        <v>0.13340788754136801</v>
      </c>
      <c r="M509" s="269">
        <v>0.16781657062383101</v>
      </c>
      <c r="N509" s="269">
        <v>0.144058264930089</v>
      </c>
      <c r="O509" s="269">
        <v>0.14973098748048</v>
      </c>
      <c r="P509" s="269">
        <v>0.16937872363873299</v>
      </c>
      <c r="Q509" s="269">
        <v>0.148121165348501</v>
      </c>
    </row>
    <row r="510" spans="1:35" ht="15" customHeight="1">
      <c r="C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  <c r="AA510" s="127"/>
      <c r="AB510" s="127"/>
      <c r="AC510" s="127"/>
      <c r="AD510" s="127"/>
      <c r="AE510" s="127"/>
      <c r="AF510" s="127"/>
      <c r="AG510" s="127"/>
      <c r="AH510" s="127"/>
      <c r="AI510" s="127"/>
    </row>
    <row r="511" spans="1:35" ht="15" customHeight="1">
      <c r="C511" s="260"/>
      <c r="D511" s="41" t="s">
        <v>394</v>
      </c>
      <c r="E511" s="41"/>
      <c r="F511" s="203"/>
      <c r="G511" s="203"/>
      <c r="H511" s="203"/>
      <c r="I511" s="203"/>
      <c r="J511" s="203"/>
      <c r="K511" s="203"/>
      <c r="L511" s="203"/>
      <c r="M511" s="203"/>
      <c r="N511" s="203"/>
      <c r="O511" s="203"/>
      <c r="P511" s="203"/>
      <c r="Q511" s="203"/>
      <c r="R511" s="203"/>
      <c r="S511" s="203"/>
      <c r="T511" s="203"/>
      <c r="U511" s="203"/>
      <c r="V511" s="203"/>
      <c r="W511" s="203"/>
      <c r="X511" s="203"/>
      <c r="Y511" s="203"/>
      <c r="Z511" s="203"/>
      <c r="AA511" s="203"/>
      <c r="AB511" s="203"/>
      <c r="AC511" s="203"/>
      <c r="AD511" s="203"/>
      <c r="AE511" s="203"/>
      <c r="AF511" s="203"/>
      <c r="AG511" s="203"/>
      <c r="AH511" s="203"/>
      <c r="AI511" s="203"/>
    </row>
    <row r="512" spans="1:35" ht="15" customHeight="1">
      <c r="C512" s="265"/>
      <c r="D512" s="2"/>
      <c r="E512" s="55" t="s">
        <v>20</v>
      </c>
      <c r="F512" s="266">
        <f>I360</f>
        <v>0.3866049570677158</v>
      </c>
      <c r="G512" s="295">
        <f t="shared" ref="G512:P512" si="435">$Q$512*G$434</f>
        <v>799.99999999999943</v>
      </c>
      <c r="H512" s="295">
        <f t="shared" si="435"/>
        <v>879.99999999999932</v>
      </c>
      <c r="I512" s="295">
        <f t="shared" si="435"/>
        <v>959.99999999999943</v>
      </c>
      <c r="J512" s="296">
        <f t="shared" si="435"/>
        <v>1039.9999999999995</v>
      </c>
      <c r="K512" s="296">
        <f t="shared" si="435"/>
        <v>1119.9999999999995</v>
      </c>
      <c r="L512" s="296">
        <f t="shared" si="435"/>
        <v>1199.9999999999995</v>
      </c>
      <c r="M512" s="296">
        <f t="shared" si="435"/>
        <v>1279.9999999999998</v>
      </c>
      <c r="N512" s="296">
        <f t="shared" si="435"/>
        <v>1359.9999999999998</v>
      </c>
      <c r="O512" s="296">
        <f t="shared" si="435"/>
        <v>1439.9999999999998</v>
      </c>
      <c r="P512" s="296">
        <f t="shared" si="435"/>
        <v>1520</v>
      </c>
      <c r="Q512" s="296">
        <f>Paramètres!F98</f>
        <v>1600</v>
      </c>
      <c r="R512" s="296">
        <f t="shared" ref="R512:AI512" si="436">$Q$512*R$434</f>
        <v>1680</v>
      </c>
      <c r="S512" s="296">
        <f t="shared" si="436"/>
        <v>1760.0000000000002</v>
      </c>
      <c r="T512" s="296">
        <f t="shared" si="436"/>
        <v>1840.0000000000002</v>
      </c>
      <c r="U512" s="296">
        <f t="shared" si="436"/>
        <v>1920.0000000000002</v>
      </c>
      <c r="V512" s="295">
        <f t="shared" si="436"/>
        <v>2000.0000000000005</v>
      </c>
      <c r="W512" s="295">
        <f t="shared" si="436"/>
        <v>2080.0000000000005</v>
      </c>
      <c r="X512" s="295">
        <f t="shared" si="436"/>
        <v>2160.0000000000005</v>
      </c>
      <c r="Y512" s="295">
        <f t="shared" si="436"/>
        <v>2240.0000000000005</v>
      </c>
      <c r="Z512" s="295">
        <f t="shared" si="436"/>
        <v>2320.0000000000005</v>
      </c>
      <c r="AA512" s="295">
        <f t="shared" si="436"/>
        <v>2400.0000000000009</v>
      </c>
      <c r="AB512" s="295">
        <f t="shared" si="436"/>
        <v>2480.0000000000009</v>
      </c>
      <c r="AC512" s="295">
        <f t="shared" si="436"/>
        <v>2560.0000000000009</v>
      </c>
      <c r="AD512" s="295">
        <f t="shared" si="436"/>
        <v>2640.0000000000009</v>
      </c>
      <c r="AE512" s="295">
        <f t="shared" si="436"/>
        <v>2720.0000000000009</v>
      </c>
      <c r="AF512" s="295">
        <f t="shared" si="436"/>
        <v>2800.0000000000009</v>
      </c>
      <c r="AG512" s="295">
        <f t="shared" si="436"/>
        <v>2880.0000000000009</v>
      </c>
      <c r="AH512" s="295">
        <f t="shared" si="436"/>
        <v>2960.0000000000014</v>
      </c>
      <c r="AI512" s="295">
        <f t="shared" si="436"/>
        <v>3040.0000000000014</v>
      </c>
    </row>
    <row r="513" spans="3:35" ht="15" customHeight="1">
      <c r="C513" s="127"/>
      <c r="D513" s="272" t="str">
        <f>Paramètres!H7</f>
        <v>RDC - 2002</v>
      </c>
      <c r="E513" s="55" t="s">
        <v>26</v>
      </c>
      <c r="F513" s="258">
        <v>1</v>
      </c>
      <c r="G513" s="261">
        <v>0.37828780413240098</v>
      </c>
      <c r="H513" s="261">
        <v>0.36706369850855097</v>
      </c>
      <c r="I513" s="261">
        <v>0.36043282013487099</v>
      </c>
      <c r="J513" s="261">
        <v>0.36165473042470198</v>
      </c>
      <c r="K513" s="261">
        <v>0.36657398330044899</v>
      </c>
      <c r="L513" s="261">
        <v>0.371135268222685</v>
      </c>
      <c r="M513" s="261">
        <v>0.37609366042321302</v>
      </c>
      <c r="N513" s="112">
        <v>0.38007421238752997</v>
      </c>
      <c r="O513" s="112">
        <v>0.38334022043636001</v>
      </c>
      <c r="P513" s="112">
        <v>0.38606823841893601</v>
      </c>
      <c r="Q513" s="112">
        <v>0.38838108092891499</v>
      </c>
      <c r="R513" s="112">
        <v>0.39036682383013199</v>
      </c>
      <c r="S513" s="112">
        <v>0.39209027560634202</v>
      </c>
      <c r="T513" s="112">
        <v>0.39360018466973401</v>
      </c>
      <c r="U513" s="112">
        <v>0.39493392391439702</v>
      </c>
      <c r="V513" s="112">
        <v>0.39612062593303299</v>
      </c>
      <c r="W513" s="112">
        <v>0.39718333548505103</v>
      </c>
      <c r="X513" s="112">
        <v>0.398140520761329</v>
      </c>
      <c r="Y513" s="112">
        <v>0.399007155749381</v>
      </c>
      <c r="Z513" s="112">
        <v>0.39979550929473501</v>
      </c>
      <c r="AA513" s="188">
        <v>0.40051572957901199</v>
      </c>
      <c r="AB513" s="188">
        <v>0.40117628333503502</v>
      </c>
      <c r="AC513" s="188">
        <v>0.40178429024366102</v>
      </c>
      <c r="AD513" s="188">
        <v>0.40234578057987103</v>
      </c>
      <c r="AE513" s="188">
        <v>0.402865895902695</v>
      </c>
      <c r="AF513" s="188">
        <v>0.40334904695642898</v>
      </c>
      <c r="AG513" s="188">
        <v>0.40379903906127201</v>
      </c>
      <c r="AH513" s="188">
        <v>0.40421917254358902</v>
      </c>
      <c r="AI513" s="188">
        <v>0.40461232381638701</v>
      </c>
    </row>
    <row r="514" spans="3:35" ht="15" customHeight="1">
      <c r="C514" s="127"/>
      <c r="D514" s="272" t="str">
        <f>Paramètres!I7</f>
        <v>RDC - amendement</v>
      </c>
      <c r="E514" s="55" t="s">
        <v>26</v>
      </c>
      <c r="F514" s="258">
        <f t="shared" ref="F514:F523" si="437">F513+1</f>
        <v>2</v>
      </c>
      <c r="G514" s="261">
        <v>0.46254198582121098</v>
      </c>
      <c r="H514" s="261">
        <v>0.44974923281986201</v>
      </c>
      <c r="I514" s="261">
        <v>0.44543557331078298</v>
      </c>
      <c r="J514" s="261">
        <v>0.44259481566224002</v>
      </c>
      <c r="K514" s="261">
        <v>0.44409040331052702</v>
      </c>
      <c r="L514" s="261">
        <v>0.44757160939169</v>
      </c>
      <c r="M514" s="261">
        <v>0.45064770285809402</v>
      </c>
      <c r="N514" s="112">
        <v>0.45380282217854401</v>
      </c>
      <c r="O514" s="112">
        <v>0.457224678847096</v>
      </c>
      <c r="P514" s="112">
        <v>0.46008287343389498</v>
      </c>
      <c r="Q514" s="112">
        <v>0.502955175143602</v>
      </c>
      <c r="R514" s="112">
        <v>0.51076708928900805</v>
      </c>
      <c r="S514" s="112">
        <v>0.51754714994099504</v>
      </c>
      <c r="T514" s="112">
        <v>0.52348713339170305</v>
      </c>
      <c r="U514" s="112">
        <v>0.52873406463606898</v>
      </c>
      <c r="V514" s="112">
        <v>0.53340255131684</v>
      </c>
      <c r="W514" s="112">
        <v>0.53758325153577502</v>
      </c>
      <c r="X514" s="112">
        <v>0.541348819170411</v>
      </c>
      <c r="Y514" s="112">
        <v>0.54475816189948101</v>
      </c>
      <c r="Z514" s="112">
        <v>0.54785954537100701</v>
      </c>
      <c r="AA514" s="188">
        <v>0.55069289253951903</v>
      </c>
      <c r="AB514" s="188">
        <v>0.55329151153864198</v>
      </c>
      <c r="AC514" s="188">
        <v>0.55568341119850995</v>
      </c>
      <c r="AD514" s="188">
        <v>0.55789231462566402</v>
      </c>
      <c r="AE514" s="188">
        <v>0.55993844871740595</v>
      </c>
      <c r="AF514" s="188">
        <v>0.561839165345283</v>
      </c>
      <c r="AG514" s="188">
        <v>0.563609434641973</v>
      </c>
      <c r="AH514" s="188">
        <v>0.56526224009400705</v>
      </c>
      <c r="AI514" s="188">
        <v>0.56680889751243402</v>
      </c>
    </row>
    <row r="515" spans="3:35" ht="15" customHeight="1">
      <c r="C515" s="127"/>
      <c r="D515" s="272" t="str">
        <f>Paramètres!J7</f>
        <v>Chili</v>
      </c>
      <c r="E515" s="55" t="s">
        <v>26</v>
      </c>
      <c r="F515" s="258">
        <f t="shared" si="437"/>
        <v>3</v>
      </c>
      <c r="G515" s="261">
        <v>0.38116018341458502</v>
      </c>
      <c r="H515" s="261">
        <v>0.384144976083027</v>
      </c>
      <c r="I515" s="261">
        <v>0.38328308096127001</v>
      </c>
      <c r="J515" s="261">
        <v>0.39444414611293399</v>
      </c>
      <c r="K515" s="261">
        <v>0.40732188399304098</v>
      </c>
      <c r="L515" s="261">
        <v>0.41869559576412502</v>
      </c>
      <c r="M515" s="261">
        <v>0.43180241939825098</v>
      </c>
      <c r="N515" s="112">
        <v>0.442553478516862</v>
      </c>
      <c r="O515" s="112">
        <v>0.45169944126407002</v>
      </c>
      <c r="P515" s="112">
        <v>0.45954228645587097</v>
      </c>
      <c r="Q515" s="112">
        <v>0.46638050687229099</v>
      </c>
      <c r="R515" s="112">
        <v>0.47250908549688098</v>
      </c>
      <c r="S515" s="112">
        <v>0.47796081619935599</v>
      </c>
      <c r="T515" s="112">
        <v>0.482932366289474</v>
      </c>
      <c r="U515" s="112">
        <v>0.48740809426966902</v>
      </c>
      <c r="V515" s="112">
        <v>0.49153752983763299</v>
      </c>
      <c r="W515" s="112">
        <v>0.495307938628818</v>
      </c>
      <c r="X515" s="112">
        <v>0.49874750343076402</v>
      </c>
      <c r="Y515" s="112">
        <v>0.501972787340212</v>
      </c>
      <c r="Z515" s="112">
        <v>0.50494822105745996</v>
      </c>
      <c r="AA515" s="188">
        <v>0.507702517904011</v>
      </c>
      <c r="AB515" s="188">
        <v>0.51028765861015801</v>
      </c>
      <c r="AC515" s="188">
        <v>0.51271039912271898</v>
      </c>
      <c r="AD515" s="188">
        <v>0.514968088015056</v>
      </c>
      <c r="AE515" s="188">
        <v>0.51710025542065197</v>
      </c>
      <c r="AF515" s="188">
        <v>0.51910506818828195</v>
      </c>
      <c r="AG515" s="188">
        <v>0.52098730534843296</v>
      </c>
      <c r="AH515" s="188">
        <v>0.52276929252814397</v>
      </c>
      <c r="AI515" s="188">
        <v>0.52445394811371204</v>
      </c>
    </row>
    <row r="516" spans="3:35" ht="15" customHeight="1">
      <c r="C516" s="127"/>
      <c r="D516" s="272" t="str">
        <f>Paramètres!K7</f>
        <v>Perou</v>
      </c>
      <c r="E516" s="55" t="s">
        <v>26</v>
      </c>
      <c r="F516" s="258">
        <f t="shared" si="437"/>
        <v>4</v>
      </c>
      <c r="G516" s="261">
        <v>0.24047493258050601</v>
      </c>
      <c r="H516" s="261">
        <v>0.25416543212362303</v>
      </c>
      <c r="I516" s="261">
        <v>0.26422686966748399</v>
      </c>
      <c r="J516" s="261">
        <v>0.27384412028409799</v>
      </c>
      <c r="K516" s="261">
        <v>0.28419686959676099</v>
      </c>
      <c r="L516" s="261">
        <v>0.294600787916941</v>
      </c>
      <c r="M516" s="261">
        <v>0.30412683589310502</v>
      </c>
      <c r="N516" s="112">
        <v>0.31244389204582601</v>
      </c>
      <c r="O516" s="112">
        <v>0.31955499151628503</v>
      </c>
      <c r="P516" s="112">
        <v>0.32568644653544399</v>
      </c>
      <c r="Q516" s="112">
        <v>0.33104945888870202</v>
      </c>
      <c r="R516" s="112">
        <v>0.33579735874655298</v>
      </c>
      <c r="S516" s="112">
        <v>0.33998963661978199</v>
      </c>
      <c r="T516" s="112">
        <v>0.34377472280868798</v>
      </c>
      <c r="U516" s="112">
        <v>0.347163094406649</v>
      </c>
      <c r="V516" s="112">
        <v>0.350258745624001</v>
      </c>
      <c r="W516" s="112">
        <v>0.35307111459590002</v>
      </c>
      <c r="X516" s="112">
        <v>0.35562748705013902</v>
      </c>
      <c r="Y516" s="112">
        <v>0.35800040107006098</v>
      </c>
      <c r="Z516" s="112">
        <v>0.36017951104211698</v>
      </c>
      <c r="AA516" s="188">
        <v>0.36218880879732801</v>
      </c>
      <c r="AB516" s="188">
        <v>0.364061281472497</v>
      </c>
      <c r="AC516" s="188">
        <v>0.36580603213497098</v>
      </c>
      <c r="AD516" s="188">
        <v>0.36742716577591999</v>
      </c>
      <c r="AE516" s="188">
        <v>0.36894814288214101</v>
      </c>
      <c r="AF516" s="188">
        <v>0.37037197657004001</v>
      </c>
      <c r="AG516" s="188">
        <v>0.37170456950255298</v>
      </c>
      <c r="AH516" s="188">
        <v>0.372958795528261</v>
      </c>
      <c r="AI516" s="188">
        <v>0.374139946738761</v>
      </c>
    </row>
    <row r="517" spans="3:35" ht="15" customHeight="1">
      <c r="C517" s="127"/>
      <c r="D517" s="272" t="str">
        <f>Paramètres!L7</f>
        <v>Australie Occidentale</v>
      </c>
      <c r="E517" s="55" t="s">
        <v>26</v>
      </c>
      <c r="F517" s="258">
        <f t="shared" si="437"/>
        <v>5</v>
      </c>
      <c r="G517" s="261">
        <v>0.45546538325106101</v>
      </c>
      <c r="H517" s="261">
        <v>0.447435795580509</v>
      </c>
      <c r="I517" s="261">
        <v>0.44580676147234299</v>
      </c>
      <c r="J517" s="261">
        <v>0.44449577794976403</v>
      </c>
      <c r="K517" s="261">
        <v>0.448939178739932</v>
      </c>
      <c r="L517" s="261">
        <v>0.45470774548542398</v>
      </c>
      <c r="M517" s="261">
        <v>0.45921425340942901</v>
      </c>
      <c r="N517" s="112">
        <v>0.46427393060605499</v>
      </c>
      <c r="O517" s="112">
        <v>0.46947753653817997</v>
      </c>
      <c r="P517" s="112">
        <v>0.47382398343752802</v>
      </c>
      <c r="Q517" s="112">
        <v>0.47750894710726299</v>
      </c>
      <c r="R517" s="112">
        <v>0.48067275545860699</v>
      </c>
      <c r="S517" s="112">
        <v>0.48341866537442402</v>
      </c>
      <c r="T517" s="112">
        <v>0.48582434583869899</v>
      </c>
      <c r="U517" s="112">
        <v>0.48794934165673698</v>
      </c>
      <c r="V517" s="112">
        <v>0.48984006867624102</v>
      </c>
      <c r="W517" s="112">
        <v>0.49153324323255798</v>
      </c>
      <c r="X517" s="112">
        <v>0.49305828998912299</v>
      </c>
      <c r="Y517" s="112">
        <v>0.49443906642855301</v>
      </c>
      <c r="Z517" s="112">
        <v>0.49569512003402</v>
      </c>
      <c r="AA517" s="188">
        <v>0.49684261951585501</v>
      </c>
      <c r="AB517" s="188">
        <v>0.49789505459621602</v>
      </c>
      <c r="AC517" s="188">
        <v>0.49886376879079303</v>
      </c>
      <c r="AD517" s="188">
        <v>0.49975836990648098</v>
      </c>
      <c r="AE517" s="188">
        <v>0.50058704979298896</v>
      </c>
      <c r="AF517" s="188">
        <v>0.50135683592080404</v>
      </c>
      <c r="AG517" s="188">
        <v>0.50207379116131901</v>
      </c>
      <c r="AH517" s="188">
        <v>0.50274317379852596</v>
      </c>
      <c r="AI517" s="188">
        <v>0.50336956671145505</v>
      </c>
    </row>
    <row r="518" spans="3:35" ht="15" customHeight="1">
      <c r="C518" s="127"/>
      <c r="D518" s="272" t="str">
        <f>Paramètres!M7</f>
        <v>Tanzanie</v>
      </c>
      <c r="E518" s="55" t="s">
        <v>26</v>
      </c>
      <c r="F518" s="258">
        <f t="shared" si="437"/>
        <v>6</v>
      </c>
      <c r="G518" s="261">
        <v>0.28390810408997302</v>
      </c>
      <c r="H518" s="261">
        <v>0.285376758713629</v>
      </c>
      <c r="I518" s="261">
        <v>0.29376205539703099</v>
      </c>
      <c r="J518" s="261">
        <v>0.304563190406966</v>
      </c>
      <c r="K518" s="261">
        <v>0.314581819264179</v>
      </c>
      <c r="L518" s="261">
        <v>0.32444420364938098</v>
      </c>
      <c r="M518" s="261">
        <v>0.33218425251207401</v>
      </c>
      <c r="N518" s="112">
        <v>0.33839789303470702</v>
      </c>
      <c r="O518" s="112">
        <v>0.34349613070158602</v>
      </c>
      <c r="P518" s="112">
        <v>0.34775456602285798</v>
      </c>
      <c r="Q518" s="112">
        <v>0.35136491254547603</v>
      </c>
      <c r="R518" s="112">
        <v>0.35446465666868698</v>
      </c>
      <c r="S518" s="112">
        <v>0.35715496441782901</v>
      </c>
      <c r="T518" s="112">
        <v>0.35951193205093201</v>
      </c>
      <c r="U518" s="112">
        <v>0.36159389864540398</v>
      </c>
      <c r="V518" s="112">
        <v>0.36344634017044503</v>
      </c>
      <c r="W518" s="112">
        <v>0.36510522948916302</v>
      </c>
      <c r="X518" s="112">
        <v>0.36659939544244402</v>
      </c>
      <c r="Y518" s="112">
        <v>0.36795221242068199</v>
      </c>
      <c r="Z518" s="112">
        <v>0.36918283208837799</v>
      </c>
      <c r="AA518" s="188">
        <v>0.37030709575425202</v>
      </c>
      <c r="AB518" s="188">
        <v>0.37133821998591598</v>
      </c>
      <c r="AC518" s="188">
        <v>0.37228731860323</v>
      </c>
      <c r="AD518" s="188">
        <v>0.37316380486378198</v>
      </c>
      <c r="AE518" s="188">
        <v>0.37397570473980801</v>
      </c>
      <c r="AF518" s="188">
        <v>0.37472990340194001</v>
      </c>
      <c r="AG518" s="188">
        <v>0.375432340953963</v>
      </c>
      <c r="AH518" s="188">
        <v>0.376088169204427</v>
      </c>
      <c r="AI518" s="188">
        <v>0.37670187823324502</v>
      </c>
    </row>
    <row r="519" spans="3:35" ht="15" customHeight="1">
      <c r="C519" s="127"/>
      <c r="D519" s="272" t="str">
        <f>Paramètres!N7</f>
        <v>Ghana</v>
      </c>
      <c r="E519" s="55" t="s">
        <v>26</v>
      </c>
      <c r="F519" s="258">
        <f t="shared" si="437"/>
        <v>7</v>
      </c>
      <c r="G519" s="261">
        <v>0.37043048582745403</v>
      </c>
      <c r="H519" s="261">
        <v>0.37734826944713701</v>
      </c>
      <c r="I519" s="261">
        <v>0.38507591931455698</v>
      </c>
      <c r="J519" s="261">
        <v>0.391069305670525</v>
      </c>
      <c r="K519" s="261">
        <v>0.40049186899676498</v>
      </c>
      <c r="L519" s="261">
        <v>0.40940642375193897</v>
      </c>
      <c r="M519" s="261">
        <v>0.41658653836197101</v>
      </c>
      <c r="N519" s="112">
        <v>0.42320358486915099</v>
      </c>
      <c r="O519" s="112">
        <v>0.42908307228405301</v>
      </c>
      <c r="P519" s="112">
        <v>0.43399406673243801</v>
      </c>
      <c r="Q519" s="112">
        <v>0.438157659787557</v>
      </c>
      <c r="R519" s="112">
        <v>0.441732406151429</v>
      </c>
      <c r="S519" s="112">
        <v>0.44483497444793002</v>
      </c>
      <c r="T519" s="112">
        <v>0.44755312186310298</v>
      </c>
      <c r="U519" s="112">
        <v>0.449954127306604</v>
      </c>
      <c r="V519" s="112">
        <v>0.45209043544776401</v>
      </c>
      <c r="W519" s="112">
        <v>0.45400353160165202</v>
      </c>
      <c r="X519" s="112">
        <v>0.45572666231702902</v>
      </c>
      <c r="Y519" s="112">
        <v>0.457286783856652</v>
      </c>
      <c r="Z519" s="112">
        <v>0.45870598267034302</v>
      </c>
      <c r="AA519" s="188">
        <v>0.46000252757594501</v>
      </c>
      <c r="AB519" s="188">
        <v>0.46119166043702098</v>
      </c>
      <c r="AC519" s="188">
        <v>0.46228619814605199</v>
      </c>
      <c r="AD519" s="188">
        <v>0.46329699644047601</v>
      </c>
      <c r="AE519" s="188">
        <v>0.46423331118591499</v>
      </c>
      <c r="AF519" s="188">
        <v>0.46510308263088801</v>
      </c>
      <c r="AG519" s="188">
        <v>0.465913161135801</v>
      </c>
      <c r="AH519" s="188">
        <v>0.46666948796810798</v>
      </c>
      <c r="AI519" s="188">
        <v>0.46737724126387697</v>
      </c>
    </row>
    <row r="520" spans="3:35" ht="15" customHeight="1">
      <c r="C520" s="127"/>
      <c r="D520" s="272" t="str">
        <f>Paramètres!O7</f>
        <v>Zambie - 2016</v>
      </c>
      <c r="E520" s="55" t="s">
        <v>26</v>
      </c>
      <c r="F520" s="258">
        <f t="shared" si="437"/>
        <v>8</v>
      </c>
      <c r="G520" s="261">
        <v>0.356134163359555</v>
      </c>
      <c r="H520" s="261">
        <v>0.348921936993356</v>
      </c>
      <c r="I520" s="261">
        <v>0.34706556683392398</v>
      </c>
      <c r="J520" s="261">
        <v>0.348436003592618</v>
      </c>
      <c r="K520" s="261">
        <v>0.35375024882312101</v>
      </c>
      <c r="L520" s="261">
        <v>0.358422298467446</v>
      </c>
      <c r="M520" s="261">
        <v>0.36261773590644297</v>
      </c>
      <c r="N520" s="112">
        <v>0.36645170473827698</v>
      </c>
      <c r="O520" s="112">
        <v>0.36959744260980298</v>
      </c>
      <c r="P520" s="112">
        <v>0.37222500180552298</v>
      </c>
      <c r="Q520" s="112">
        <v>0.37445267429307999</v>
      </c>
      <c r="R520" s="112">
        <v>0.37636529255797002</v>
      </c>
      <c r="S520" s="112">
        <v>0.37802527852282902</v>
      </c>
      <c r="T520" s="112">
        <v>0.37947958544805999</v>
      </c>
      <c r="U520" s="112">
        <v>0.38076420997744098</v>
      </c>
      <c r="V520" s="112">
        <v>0.381907211901021</v>
      </c>
      <c r="W520" s="112">
        <v>0.38293078735896002</v>
      </c>
      <c r="X520" s="112">
        <v>0.38385272445422702</v>
      </c>
      <c r="Y520" s="112">
        <v>0.38468744575985298</v>
      </c>
      <c r="Z520" s="112">
        <v>0.38544676832326802</v>
      </c>
      <c r="AA520" s="188">
        <v>0.38614046662107399</v>
      </c>
      <c r="AB520" s="188">
        <v>0.386776695600131</v>
      </c>
      <c r="AC520" s="188">
        <v>0.38736231276029098</v>
      </c>
      <c r="AD520" s="188">
        <v>0.38790312631270901</v>
      </c>
      <c r="AE520" s="188">
        <v>0.388404088479399</v>
      </c>
      <c r="AF520" s="188">
        <v>0.38886944757976699</v>
      </c>
      <c r="AG520" s="188">
        <v>0.38930286880375897</v>
      </c>
      <c r="AH520" s="188">
        <v>0.38970753094379701</v>
      </c>
      <c r="AI520" s="188">
        <v>0.39008620448948</v>
      </c>
    </row>
    <row r="521" spans="3:35" ht="15" customHeight="1">
      <c r="C521" s="127"/>
      <c r="D521" s="272" t="str">
        <f>Paramètres!P7</f>
        <v>RDC - redevance a taux variable</v>
      </c>
      <c r="E521" s="55" t="s">
        <v>26</v>
      </c>
      <c r="F521" s="258">
        <f t="shared" si="437"/>
        <v>9</v>
      </c>
      <c r="G521" s="261">
        <v>0.39040892872238298</v>
      </c>
      <c r="H521" s="261">
        <v>0.37864457887530301</v>
      </c>
      <c r="I521" s="261">
        <v>0.37362752880205402</v>
      </c>
      <c r="J521" s="261">
        <v>0.37114202227923598</v>
      </c>
      <c r="K521" s="261">
        <v>0.37442220368527701</v>
      </c>
      <c r="L521" s="261">
        <v>0.37762532582976499</v>
      </c>
      <c r="M521" s="261">
        <v>0.38057961834514198</v>
      </c>
      <c r="N521" s="112">
        <v>0.38411783436903602</v>
      </c>
      <c r="O521" s="112">
        <v>0.38702090965008401</v>
      </c>
      <c r="P521" s="112">
        <v>0.38944577861950103</v>
      </c>
      <c r="Q521" s="112">
        <v>0.39150160818859298</v>
      </c>
      <c r="R521" s="112">
        <v>0.393266686854919</v>
      </c>
      <c r="S521" s="112">
        <v>0.39479862130663801</v>
      </c>
      <c r="T521" s="112">
        <v>0.39614074282410799</v>
      </c>
      <c r="U521" s="112">
        <v>0.39732627126575798</v>
      </c>
      <c r="V521" s="112">
        <v>0.39838110188612602</v>
      </c>
      <c r="W521" s="112">
        <v>0.39932571861249999</v>
      </c>
      <c r="X521" s="112">
        <v>0.40017653737148701</v>
      </c>
      <c r="Y521" s="112">
        <v>0.40094686817713299</v>
      </c>
      <c r="Z521" s="112">
        <v>0.401647616508438</v>
      </c>
      <c r="AA521" s="188">
        <v>0.40228780283772297</v>
      </c>
      <c r="AB521" s="188">
        <v>0.40287495303828702</v>
      </c>
      <c r="AC521" s="188">
        <v>0.40341539562163298</v>
      </c>
      <c r="AD521" s="188">
        <v>0.40391449075282299</v>
      </c>
      <c r="AE521" s="188">
        <v>0.40437680863888198</v>
      </c>
      <c r="AF521" s="188">
        <v>0.404806269883354</v>
      </c>
      <c r="AG521" s="188">
        <v>0.405206256943001</v>
      </c>
      <c r="AH521" s="188">
        <v>0.40557970339782301</v>
      </c>
      <c r="AI521" s="188">
        <v>0.40592916602152401</v>
      </c>
    </row>
    <row r="522" spans="3:35" ht="15" customHeight="1">
      <c r="C522" s="127"/>
      <c r="D522" s="272" t="str">
        <f>Paramètres!Q7</f>
        <v>RDC - taxe sur la rente</v>
      </c>
      <c r="E522" s="55" t="s">
        <v>26</v>
      </c>
      <c r="F522" s="258">
        <f t="shared" si="437"/>
        <v>10</v>
      </c>
      <c r="G522" s="297">
        <v>0.40794844439875599</v>
      </c>
      <c r="H522" s="297">
        <v>0.40686665356456098</v>
      </c>
      <c r="I522" s="297">
        <v>0.40767740264226698</v>
      </c>
      <c r="J522" s="297">
        <v>0.40962034707130102</v>
      </c>
      <c r="K522" s="297">
        <v>0.416379952476924</v>
      </c>
      <c r="L522" s="297">
        <v>0.422290049957042</v>
      </c>
      <c r="M522" s="261">
        <v>0.42724817627925799</v>
      </c>
      <c r="N522" s="112">
        <v>0.43216369586237202</v>
      </c>
      <c r="O522" s="112">
        <v>0.43636605670286299</v>
      </c>
      <c r="P522" s="112">
        <v>0.43987618765500303</v>
      </c>
      <c r="Q522" s="112">
        <v>0.44285211381588402</v>
      </c>
      <c r="R522" s="112">
        <v>0.44540716208355202</v>
      </c>
      <c r="S522" s="112">
        <v>0.44762472130157499</v>
      </c>
      <c r="T522" s="112">
        <v>0.44956751587704302</v>
      </c>
      <c r="U522" s="112">
        <v>0.45128363337871602</v>
      </c>
      <c r="V522" s="112">
        <v>0.45281055860911601</v>
      </c>
      <c r="W522" s="112">
        <v>0.45417794317750798</v>
      </c>
      <c r="X522" s="112">
        <v>0.45540955003884698</v>
      </c>
      <c r="Y522" s="112">
        <v>0.45652464616914901</v>
      </c>
      <c r="Z522" s="112">
        <v>0.45753901784794698</v>
      </c>
      <c r="AA522" s="188">
        <v>0.458465722704127</v>
      </c>
      <c r="AB522" s="188">
        <v>0.45931565485244003</v>
      </c>
      <c r="AC522" s="188">
        <v>0.460097975160707</v>
      </c>
      <c r="AD522" s="188">
        <v>0.46082044276210998</v>
      </c>
      <c r="AE522" s="188">
        <v>0.46148967328221202</v>
      </c>
      <c r="AF522" s="188">
        <v>0.46211134200987503</v>
      </c>
      <c r="AG522" s="188">
        <v>0.46269034523694902</v>
      </c>
      <c r="AH522" s="188">
        <v>0.463230929481528</v>
      </c>
      <c r="AI522" s="188">
        <v>0.46373679581391097</v>
      </c>
    </row>
    <row r="523" spans="3:35" ht="15" customHeight="1">
      <c r="C523" s="127"/>
      <c r="D523" s="272" t="str">
        <f>Paramètres!R7</f>
        <v>Sénégal (SGO - Convention Sabodala)</v>
      </c>
      <c r="E523" s="55" t="s">
        <v>26</v>
      </c>
      <c r="F523" s="258">
        <f t="shared" si="437"/>
        <v>11</v>
      </c>
      <c r="G523" s="297">
        <v>0.35853849900927798</v>
      </c>
      <c r="H523" s="297">
        <v>0.35558918039954401</v>
      </c>
      <c r="I523" s="297">
        <v>0.35323782285390798</v>
      </c>
      <c r="J523" s="297">
        <v>0.353927650664284</v>
      </c>
      <c r="K523" s="297">
        <v>0.35997887316620503</v>
      </c>
      <c r="L523" s="297">
        <v>0.36532414492857002</v>
      </c>
      <c r="M523" s="261">
        <v>0.37073448883601101</v>
      </c>
      <c r="N523" s="112">
        <v>0.37587578138516903</v>
      </c>
      <c r="O523" s="112">
        <v>0.38009416692503001</v>
      </c>
      <c r="P523" s="112">
        <v>0.38361768292319398</v>
      </c>
      <c r="Q523" s="112">
        <v>0.38660495706771603</v>
      </c>
      <c r="R523" s="112">
        <v>0.38916974840170399</v>
      </c>
      <c r="S523" s="112">
        <v>0.39139576375216101</v>
      </c>
      <c r="T523" s="112">
        <v>0.39334596671072403</v>
      </c>
      <c r="U523" s="112">
        <v>0.39506862821660998</v>
      </c>
      <c r="V523" s="112">
        <v>0.39660137601168399</v>
      </c>
      <c r="W523" s="112">
        <v>0.397973974774541</v>
      </c>
      <c r="X523" s="112">
        <v>0.399210278074487</v>
      </c>
      <c r="Y523" s="112">
        <v>0.40032962635755198</v>
      </c>
      <c r="Z523" s="112">
        <v>0.40134786610047402</v>
      </c>
      <c r="AA523" s="188">
        <v>0.40227810472428799</v>
      </c>
      <c r="AB523" s="188">
        <v>0.40313127788585001</v>
      </c>
      <c r="AC523" s="188">
        <v>0.40391658138576197</v>
      </c>
      <c r="AD523" s="188">
        <v>0.40464180394480798</v>
      </c>
      <c r="AE523" s="188">
        <v>0.40531358641565901</v>
      </c>
      <c r="AF523" s="188">
        <v>0.40593762572853498</v>
      </c>
      <c r="AG523" s="188">
        <v>0.406518836846126</v>
      </c>
      <c r="AH523" s="188">
        <v>0.40706148247960899</v>
      </c>
      <c r="AI523" s="188">
        <v>0.40756927781242902</v>
      </c>
    </row>
    <row r="524" spans="3:35" ht="15" customHeight="1">
      <c r="C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</row>
    <row r="525" spans="3:35" ht="15" customHeight="1">
      <c r="C525" s="260"/>
      <c r="D525" s="41" t="s">
        <v>395</v>
      </c>
      <c r="E525" s="41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  <c r="AH525" s="203"/>
      <c r="AI525" s="203"/>
    </row>
    <row r="526" spans="3:35" ht="15" customHeight="1">
      <c r="C526" s="265"/>
      <c r="D526" s="2"/>
      <c r="E526" s="55" t="s">
        <v>20</v>
      </c>
      <c r="F526" s="266">
        <f>I360</f>
        <v>0.3866049570677158</v>
      </c>
      <c r="G526" s="295">
        <f t="shared" ref="G526:P526" si="438">$Q$526*G452</f>
        <v>0</v>
      </c>
      <c r="H526" s="295">
        <f t="shared" si="438"/>
        <v>0</v>
      </c>
      <c r="I526" s="295">
        <f t="shared" si="438"/>
        <v>0</v>
      </c>
      <c r="J526" s="296">
        <f t="shared" si="438"/>
        <v>0</v>
      </c>
      <c r="K526" s="296">
        <f t="shared" si="438"/>
        <v>0</v>
      </c>
      <c r="L526" s="296">
        <f t="shared" si="438"/>
        <v>0</v>
      </c>
      <c r="M526" s="296">
        <f t="shared" si="438"/>
        <v>0</v>
      </c>
      <c r="N526" s="296">
        <f t="shared" si="438"/>
        <v>0</v>
      </c>
      <c r="O526" s="296">
        <f t="shared" si="438"/>
        <v>0</v>
      </c>
      <c r="P526" s="296">
        <f t="shared" si="438"/>
        <v>0</v>
      </c>
      <c r="Q526" s="296">
        <f>Paramètres!F139</f>
        <v>0</v>
      </c>
      <c r="R526" s="296">
        <f t="shared" ref="R526:AI526" si="439">$Q$526*R452</f>
        <v>0</v>
      </c>
      <c r="S526" s="296">
        <f t="shared" si="439"/>
        <v>0</v>
      </c>
      <c r="T526" s="296">
        <f t="shared" si="439"/>
        <v>0</v>
      </c>
      <c r="U526" s="296">
        <f t="shared" si="439"/>
        <v>0</v>
      </c>
      <c r="V526" s="295">
        <f t="shared" si="439"/>
        <v>0</v>
      </c>
      <c r="W526" s="295">
        <f t="shared" si="439"/>
        <v>0</v>
      </c>
      <c r="X526" s="295">
        <f t="shared" si="439"/>
        <v>0</v>
      </c>
      <c r="Y526" s="295">
        <f t="shared" si="439"/>
        <v>0</v>
      </c>
      <c r="Z526" s="295">
        <f t="shared" si="439"/>
        <v>0</v>
      </c>
      <c r="AA526" s="295">
        <f t="shared" si="439"/>
        <v>0</v>
      </c>
      <c r="AB526" s="295">
        <f t="shared" si="439"/>
        <v>0</v>
      </c>
      <c r="AC526" s="295">
        <f t="shared" si="439"/>
        <v>0</v>
      </c>
      <c r="AD526" s="295">
        <f t="shared" si="439"/>
        <v>0</v>
      </c>
      <c r="AE526" s="295">
        <f t="shared" si="439"/>
        <v>0</v>
      </c>
      <c r="AF526" s="295">
        <f t="shared" si="439"/>
        <v>0</v>
      </c>
      <c r="AG526" s="295">
        <f t="shared" si="439"/>
        <v>0</v>
      </c>
      <c r="AH526" s="295">
        <f t="shared" si="439"/>
        <v>0</v>
      </c>
      <c r="AI526" s="295">
        <f t="shared" si="439"/>
        <v>0</v>
      </c>
    </row>
    <row r="527" spans="3:35" ht="15" customHeight="1">
      <c r="C527" s="127"/>
      <c r="D527" s="272" t="str">
        <f t="shared" ref="D527:D537" si="440">D513</f>
        <v>RDC - 2002</v>
      </c>
      <c r="E527" s="55" t="s">
        <v>26</v>
      </c>
      <c r="F527" s="258">
        <v>1</v>
      </c>
      <c r="G527" s="261">
        <v>0.376995409997821</v>
      </c>
      <c r="H527" s="261">
        <v>0.37813397709093099</v>
      </c>
      <c r="I527" s="261">
        <v>0.37927254418403999</v>
      </c>
      <c r="J527" s="261">
        <v>0.38041111127714899</v>
      </c>
      <c r="K527" s="261">
        <v>0.38154967837025899</v>
      </c>
      <c r="L527" s="261">
        <v>0.38268824546336799</v>
      </c>
      <c r="M527" s="261">
        <v>0.38382681255647799</v>
      </c>
      <c r="N527" s="261">
        <v>0.38496537964958699</v>
      </c>
      <c r="O527" s="261">
        <v>0.38610394674269599</v>
      </c>
      <c r="P527" s="261">
        <v>0.38724251383580599</v>
      </c>
      <c r="Q527" s="261">
        <v>0.38838108092891499</v>
      </c>
      <c r="R527" s="261">
        <v>0.38951964802202499</v>
      </c>
      <c r="S527" s="261">
        <v>0.39065821511513399</v>
      </c>
      <c r="T527" s="261">
        <v>0.39179678220824299</v>
      </c>
      <c r="U527" s="261">
        <v>0.39293534930135299</v>
      </c>
      <c r="V527" s="261">
        <v>0.39407391639446199</v>
      </c>
      <c r="W527" s="261">
        <v>0.39521248348757199</v>
      </c>
      <c r="X527" s="261">
        <v>0.39635105058068099</v>
      </c>
      <c r="Y527" s="261">
        <v>0.39748961767378999</v>
      </c>
      <c r="Z527" s="261">
        <v>0.39862818476689998</v>
      </c>
      <c r="AA527" s="261">
        <v>0.39976675186000898</v>
      </c>
      <c r="AB527" s="261">
        <v>0.40090531895311898</v>
      </c>
      <c r="AC527" s="261">
        <v>0.40204388604622798</v>
      </c>
      <c r="AD527" s="261">
        <v>0.40318245313933698</v>
      </c>
      <c r="AE527" s="261">
        <v>0.40432102023244698</v>
      </c>
      <c r="AF527" s="261">
        <v>0.40545958732555598</v>
      </c>
      <c r="AG527" s="261">
        <v>0.40659815441866598</v>
      </c>
      <c r="AH527" s="261">
        <v>0.40773672151177498</v>
      </c>
      <c r="AI527" s="261">
        <v>0.40887528860488398</v>
      </c>
    </row>
    <row r="528" spans="3:35" ht="15" customHeight="1">
      <c r="C528" s="127"/>
      <c r="D528" s="272" t="str">
        <f t="shared" si="440"/>
        <v>RDC - amendement</v>
      </c>
      <c r="E528" s="55" t="s">
        <v>26</v>
      </c>
      <c r="F528" s="258">
        <f t="shared" ref="F528:F537" si="441">F527+1</f>
        <v>2</v>
      </c>
      <c r="G528" s="261">
        <v>0.502955175143602</v>
      </c>
      <c r="H528" s="261">
        <v>0.502955175143602</v>
      </c>
      <c r="I528" s="261">
        <v>0.502955175143602</v>
      </c>
      <c r="J528" s="261">
        <v>0.502955175143602</v>
      </c>
      <c r="K528" s="261">
        <v>0.502955175143602</v>
      </c>
      <c r="L528" s="261">
        <v>0.502955175143602</v>
      </c>
      <c r="M528" s="261">
        <v>0.502955175143602</v>
      </c>
      <c r="N528" s="261">
        <v>0.502955175143602</v>
      </c>
      <c r="O528" s="261">
        <v>0.502955175143602</v>
      </c>
      <c r="P528" s="261">
        <v>0.502955175143602</v>
      </c>
      <c r="Q528" s="261">
        <v>0.502955175143602</v>
      </c>
      <c r="R528" s="261">
        <v>0.502955175143602</v>
      </c>
      <c r="S528" s="261">
        <v>0.502955175143602</v>
      </c>
      <c r="T528" s="261">
        <v>0.502955175143602</v>
      </c>
      <c r="U528" s="261">
        <v>0.502955175143602</v>
      </c>
      <c r="V528" s="261">
        <v>0.502955175143602</v>
      </c>
      <c r="W528" s="261">
        <v>0.502955175143602</v>
      </c>
      <c r="X528" s="261">
        <v>0.502955175143602</v>
      </c>
      <c r="Y528" s="261">
        <v>0.502955175143602</v>
      </c>
      <c r="Z528" s="261">
        <v>0.502955175143602</v>
      </c>
      <c r="AA528" s="261">
        <v>0.502955175143602</v>
      </c>
      <c r="AB528" s="261">
        <v>0.502955175143602</v>
      </c>
      <c r="AC528" s="261">
        <v>0.502955175143602</v>
      </c>
      <c r="AD528" s="261">
        <v>0.502955175143602</v>
      </c>
      <c r="AE528" s="261">
        <v>0.502955175143602</v>
      </c>
      <c r="AF528" s="261">
        <v>0.502955175143602</v>
      </c>
      <c r="AG528" s="261">
        <v>0.502955175143602</v>
      </c>
      <c r="AH528" s="261">
        <v>0.502955175143602</v>
      </c>
      <c r="AI528" s="261">
        <v>0.502955175143602</v>
      </c>
    </row>
    <row r="529" spans="1:56" ht="15" customHeight="1">
      <c r="C529" s="127"/>
      <c r="D529" s="272" t="str">
        <f t="shared" si="440"/>
        <v>Chili</v>
      </c>
      <c r="E529" s="55" t="s">
        <v>26</v>
      </c>
      <c r="F529" s="258">
        <f t="shared" si="441"/>
        <v>3</v>
      </c>
      <c r="G529" s="261">
        <v>0.46638050687229099</v>
      </c>
      <c r="H529" s="261">
        <v>0.46638050687229099</v>
      </c>
      <c r="I529" s="261">
        <v>0.46638050687229099</v>
      </c>
      <c r="J529" s="261">
        <v>0.46638050687229099</v>
      </c>
      <c r="K529" s="261">
        <v>0.46638050687229099</v>
      </c>
      <c r="L529" s="261">
        <v>0.46638050687229099</v>
      </c>
      <c r="M529" s="261">
        <v>0.46638050687229099</v>
      </c>
      <c r="N529" s="261">
        <v>0.46638050687229099</v>
      </c>
      <c r="O529" s="261">
        <v>0.46638050687229099</v>
      </c>
      <c r="P529" s="261">
        <v>0.46638050687229099</v>
      </c>
      <c r="Q529" s="261">
        <v>0.46638050687229099</v>
      </c>
      <c r="R529" s="261">
        <v>0.46638050687229099</v>
      </c>
      <c r="S529" s="261">
        <v>0.46638050687229099</v>
      </c>
      <c r="T529" s="261">
        <v>0.46638050687229099</v>
      </c>
      <c r="U529" s="261">
        <v>0.46638050687229099</v>
      </c>
      <c r="V529" s="261">
        <v>0.46638050687229099</v>
      </c>
      <c r="W529" s="261">
        <v>0.46638050687229099</v>
      </c>
      <c r="X529" s="261">
        <v>0.46638050687229099</v>
      </c>
      <c r="Y529" s="261">
        <v>0.46638050687229099</v>
      </c>
      <c r="Z529" s="261">
        <v>0.46638050687229099</v>
      </c>
      <c r="AA529" s="261">
        <v>0.46638050687229099</v>
      </c>
      <c r="AB529" s="261">
        <v>0.46638050687229099</v>
      </c>
      <c r="AC529" s="261">
        <v>0.46638050687229099</v>
      </c>
      <c r="AD529" s="261">
        <v>0.46638050687229099</v>
      </c>
      <c r="AE529" s="261">
        <v>0.46638050687229099</v>
      </c>
      <c r="AF529" s="261">
        <v>0.46638050687229099</v>
      </c>
      <c r="AG529" s="261">
        <v>0.46638050687229099</v>
      </c>
      <c r="AH529" s="261">
        <v>0.46638050687229099</v>
      </c>
      <c r="AI529" s="261">
        <v>0.46638050687229099</v>
      </c>
    </row>
    <row r="530" spans="1:56" ht="15" customHeight="1">
      <c r="C530" s="127"/>
      <c r="D530" s="272" t="str">
        <f t="shared" si="440"/>
        <v>Perou</v>
      </c>
      <c r="E530" s="55" t="s">
        <v>26</v>
      </c>
      <c r="F530" s="258">
        <f t="shared" si="441"/>
        <v>4</v>
      </c>
      <c r="G530" s="261">
        <v>0.33104945888870202</v>
      </c>
      <c r="H530" s="261">
        <v>0.33104945888870202</v>
      </c>
      <c r="I530" s="261">
        <v>0.33104945888870202</v>
      </c>
      <c r="J530" s="261">
        <v>0.33104945888870202</v>
      </c>
      <c r="K530" s="261">
        <v>0.33104945888870202</v>
      </c>
      <c r="L530" s="261">
        <v>0.33104945888870202</v>
      </c>
      <c r="M530" s="261">
        <v>0.33104945888870202</v>
      </c>
      <c r="N530" s="261">
        <v>0.33104945888870202</v>
      </c>
      <c r="O530" s="261">
        <v>0.33104945888870202</v>
      </c>
      <c r="P530" s="261">
        <v>0.33104945888870202</v>
      </c>
      <c r="Q530" s="261">
        <v>0.33104945888870202</v>
      </c>
      <c r="R530" s="261">
        <v>0.33104945888870202</v>
      </c>
      <c r="S530" s="261">
        <v>0.33104945888870202</v>
      </c>
      <c r="T530" s="261">
        <v>0.33104945888870202</v>
      </c>
      <c r="U530" s="261">
        <v>0.33104945888870202</v>
      </c>
      <c r="V530" s="261">
        <v>0.33104945888870202</v>
      </c>
      <c r="W530" s="261">
        <v>0.33104945888870202</v>
      </c>
      <c r="X530" s="261">
        <v>0.33104945888870202</v>
      </c>
      <c r="Y530" s="261">
        <v>0.33104945888870202</v>
      </c>
      <c r="Z530" s="261">
        <v>0.33104945888870202</v>
      </c>
      <c r="AA530" s="261">
        <v>0.33104945888870202</v>
      </c>
      <c r="AB530" s="261">
        <v>0.33104945888870202</v>
      </c>
      <c r="AC530" s="261">
        <v>0.33104945888870202</v>
      </c>
      <c r="AD530" s="261">
        <v>0.33104945888870202</v>
      </c>
      <c r="AE530" s="261">
        <v>0.33104945888870202</v>
      </c>
      <c r="AF530" s="261">
        <v>0.33104945888870202</v>
      </c>
      <c r="AG530" s="261">
        <v>0.33104945888870202</v>
      </c>
      <c r="AH530" s="261">
        <v>0.33104945888870202</v>
      </c>
      <c r="AI530" s="261">
        <v>0.33104945888870202</v>
      </c>
    </row>
    <row r="531" spans="1:56" ht="15" customHeight="1">
      <c r="C531" s="127"/>
      <c r="D531" s="272" t="str">
        <f t="shared" si="440"/>
        <v>Australie Occidentale</v>
      </c>
      <c r="E531" s="55" t="s">
        <v>26</v>
      </c>
      <c r="F531" s="258">
        <f t="shared" si="441"/>
        <v>5</v>
      </c>
      <c r="G531" s="261">
        <v>0.47750894710726299</v>
      </c>
      <c r="H531" s="261">
        <v>0.47750894710726299</v>
      </c>
      <c r="I531" s="261">
        <v>0.47750894710726299</v>
      </c>
      <c r="J531" s="261">
        <v>0.47750894710726299</v>
      </c>
      <c r="K531" s="261">
        <v>0.47750894710726299</v>
      </c>
      <c r="L531" s="261">
        <v>0.47750894710726299</v>
      </c>
      <c r="M531" s="261">
        <v>0.47750894710726299</v>
      </c>
      <c r="N531" s="261">
        <v>0.47750894710726299</v>
      </c>
      <c r="O531" s="261">
        <v>0.47750894710726299</v>
      </c>
      <c r="P531" s="261">
        <v>0.47750894710726299</v>
      </c>
      <c r="Q531" s="261">
        <v>0.47750894710726299</v>
      </c>
      <c r="R531" s="261">
        <v>0.47750894710726299</v>
      </c>
      <c r="S531" s="261">
        <v>0.47750894710726299</v>
      </c>
      <c r="T531" s="261">
        <v>0.47750894710726299</v>
      </c>
      <c r="U531" s="261">
        <v>0.47750894710726299</v>
      </c>
      <c r="V531" s="261">
        <v>0.47750894710726299</v>
      </c>
      <c r="W531" s="261">
        <v>0.47750894710726299</v>
      </c>
      <c r="X531" s="261">
        <v>0.47750894710726299</v>
      </c>
      <c r="Y531" s="261">
        <v>0.47750894710726299</v>
      </c>
      <c r="Z531" s="261">
        <v>0.47750894710726299</v>
      </c>
      <c r="AA531" s="261">
        <v>0.47750894710726299</v>
      </c>
      <c r="AB531" s="261">
        <v>0.47750894710726299</v>
      </c>
      <c r="AC531" s="261">
        <v>0.47750894710726299</v>
      </c>
      <c r="AD531" s="261">
        <v>0.47750894710726299</v>
      </c>
      <c r="AE531" s="261">
        <v>0.47750894710726299</v>
      </c>
      <c r="AF531" s="261">
        <v>0.47750894710726299</v>
      </c>
      <c r="AG531" s="261">
        <v>0.47750894710726299</v>
      </c>
      <c r="AH531" s="261">
        <v>0.47750894710726299</v>
      </c>
      <c r="AI531" s="261">
        <v>0.47750894710726299</v>
      </c>
    </row>
    <row r="532" spans="1:56" ht="15" customHeight="1">
      <c r="C532" s="127"/>
      <c r="D532" s="272" t="str">
        <f t="shared" si="440"/>
        <v>Tanzanie</v>
      </c>
      <c r="E532" s="55" t="s">
        <v>26</v>
      </c>
      <c r="F532" s="258">
        <f t="shared" si="441"/>
        <v>6</v>
      </c>
      <c r="G532" s="261">
        <v>0.35136491254547603</v>
      </c>
      <c r="H532" s="261">
        <v>0.35136491254547603</v>
      </c>
      <c r="I532" s="261">
        <v>0.35136491254547603</v>
      </c>
      <c r="J532" s="261">
        <v>0.35136491254547603</v>
      </c>
      <c r="K532" s="261">
        <v>0.35136491254547603</v>
      </c>
      <c r="L532" s="261">
        <v>0.35136491254547603</v>
      </c>
      <c r="M532" s="261">
        <v>0.35136491254547603</v>
      </c>
      <c r="N532" s="261">
        <v>0.35136491254547603</v>
      </c>
      <c r="O532" s="261">
        <v>0.35136491254547603</v>
      </c>
      <c r="P532" s="261">
        <v>0.35136491254547603</v>
      </c>
      <c r="Q532" s="261">
        <v>0.35136491254547603</v>
      </c>
      <c r="R532" s="261">
        <v>0.35136491254547603</v>
      </c>
      <c r="S532" s="261">
        <v>0.35136491254547603</v>
      </c>
      <c r="T532" s="261">
        <v>0.35136491254547603</v>
      </c>
      <c r="U532" s="261">
        <v>0.35136491254547603</v>
      </c>
      <c r="V532" s="261">
        <v>0.35136491254547603</v>
      </c>
      <c r="W532" s="261">
        <v>0.35136491254547603</v>
      </c>
      <c r="X532" s="261">
        <v>0.35136491254547603</v>
      </c>
      <c r="Y532" s="261">
        <v>0.35136491254547603</v>
      </c>
      <c r="Z532" s="261">
        <v>0.35136491254547603</v>
      </c>
      <c r="AA532" s="261">
        <v>0.35136491254547603</v>
      </c>
      <c r="AB532" s="261">
        <v>0.35136491254547603</v>
      </c>
      <c r="AC532" s="261">
        <v>0.35136491254547603</v>
      </c>
      <c r="AD532" s="261">
        <v>0.35136491254547603</v>
      </c>
      <c r="AE532" s="261">
        <v>0.35136491254547603</v>
      </c>
      <c r="AF532" s="261">
        <v>0.35136491254547603</v>
      </c>
      <c r="AG532" s="261">
        <v>0.35136491254547603</v>
      </c>
      <c r="AH532" s="261">
        <v>0.35136491254547603</v>
      </c>
      <c r="AI532" s="261">
        <v>0.35136491254547603</v>
      </c>
    </row>
    <row r="533" spans="1:56" ht="15" customHeight="1">
      <c r="C533" s="127"/>
      <c r="D533" s="272" t="str">
        <f t="shared" si="440"/>
        <v>Ghana</v>
      </c>
      <c r="E533" s="55" t="s">
        <v>26</v>
      </c>
      <c r="F533" s="258">
        <f t="shared" si="441"/>
        <v>7</v>
      </c>
      <c r="G533" s="261">
        <v>0.438157659787557</v>
      </c>
      <c r="H533" s="261">
        <v>0.438157659787557</v>
      </c>
      <c r="I533" s="261">
        <v>0.438157659787557</v>
      </c>
      <c r="J533" s="261">
        <v>0.438157659787557</v>
      </c>
      <c r="K533" s="261">
        <v>0.438157659787557</v>
      </c>
      <c r="L533" s="261">
        <v>0.438157659787557</v>
      </c>
      <c r="M533" s="261">
        <v>0.438157659787557</v>
      </c>
      <c r="N533" s="261">
        <v>0.438157659787557</v>
      </c>
      <c r="O533" s="261">
        <v>0.438157659787557</v>
      </c>
      <c r="P533" s="261">
        <v>0.438157659787557</v>
      </c>
      <c r="Q533" s="261">
        <v>0.438157659787557</v>
      </c>
      <c r="R533" s="261">
        <v>0.438157659787557</v>
      </c>
      <c r="S533" s="261">
        <v>0.438157659787557</v>
      </c>
      <c r="T533" s="261">
        <v>0.438157659787557</v>
      </c>
      <c r="U533" s="261">
        <v>0.438157659787557</v>
      </c>
      <c r="V533" s="261">
        <v>0.438157659787557</v>
      </c>
      <c r="W533" s="261">
        <v>0.438157659787557</v>
      </c>
      <c r="X533" s="261">
        <v>0.438157659787557</v>
      </c>
      <c r="Y533" s="261">
        <v>0.438157659787557</v>
      </c>
      <c r="Z533" s="261">
        <v>0.438157659787557</v>
      </c>
      <c r="AA533" s="261">
        <v>0.438157659787557</v>
      </c>
      <c r="AB533" s="261">
        <v>0.438157659787557</v>
      </c>
      <c r="AC533" s="261">
        <v>0.438157659787557</v>
      </c>
      <c r="AD533" s="261">
        <v>0.438157659787557</v>
      </c>
      <c r="AE533" s="261">
        <v>0.438157659787557</v>
      </c>
      <c r="AF533" s="261">
        <v>0.438157659787557</v>
      </c>
      <c r="AG533" s="261">
        <v>0.438157659787557</v>
      </c>
      <c r="AH533" s="261">
        <v>0.438157659787557</v>
      </c>
      <c r="AI533" s="261">
        <v>0.438157659787557</v>
      </c>
    </row>
    <row r="534" spans="1:56" ht="15" customHeight="1">
      <c r="C534" s="127"/>
      <c r="D534" s="272" t="str">
        <f t="shared" si="440"/>
        <v>Zambie - 2016</v>
      </c>
      <c r="E534" s="55" t="s">
        <v>26</v>
      </c>
      <c r="F534" s="258">
        <f t="shared" si="441"/>
        <v>8</v>
      </c>
      <c r="G534" s="261">
        <v>0.37445267429307999</v>
      </c>
      <c r="H534" s="261">
        <v>0.37445267429307999</v>
      </c>
      <c r="I534" s="261">
        <v>0.37445267429307999</v>
      </c>
      <c r="J534" s="261">
        <v>0.37445267429307999</v>
      </c>
      <c r="K534" s="261">
        <v>0.37445267429307999</v>
      </c>
      <c r="L534" s="261">
        <v>0.37445267429307999</v>
      </c>
      <c r="M534" s="261">
        <v>0.37445267429307999</v>
      </c>
      <c r="N534" s="261">
        <v>0.37445267429307999</v>
      </c>
      <c r="O534" s="261">
        <v>0.37445267429307999</v>
      </c>
      <c r="P534" s="261">
        <v>0.37445267429307999</v>
      </c>
      <c r="Q534" s="261">
        <v>0.37445267429307999</v>
      </c>
      <c r="R534" s="261">
        <v>0.37445267429307999</v>
      </c>
      <c r="S534" s="261">
        <v>0.37445267429307999</v>
      </c>
      <c r="T534" s="261">
        <v>0.37445267429307999</v>
      </c>
      <c r="U534" s="261">
        <v>0.37445267429307999</v>
      </c>
      <c r="V534" s="261">
        <v>0.37445267429307999</v>
      </c>
      <c r="W534" s="261">
        <v>0.37445267429307999</v>
      </c>
      <c r="X534" s="261">
        <v>0.37445267429307999</v>
      </c>
      <c r="Y534" s="261">
        <v>0.37445267429307999</v>
      </c>
      <c r="Z534" s="261">
        <v>0.37445267429307999</v>
      </c>
      <c r="AA534" s="261">
        <v>0.37445267429307999</v>
      </c>
      <c r="AB534" s="261">
        <v>0.37445267429307999</v>
      </c>
      <c r="AC534" s="261">
        <v>0.37445267429307999</v>
      </c>
      <c r="AD534" s="261">
        <v>0.37445267429307999</v>
      </c>
      <c r="AE534" s="261">
        <v>0.37445267429307999</v>
      </c>
      <c r="AF534" s="261">
        <v>0.37445267429307999</v>
      </c>
      <c r="AG534" s="261">
        <v>0.37445267429307999</v>
      </c>
      <c r="AH534" s="261">
        <v>0.37445267429307999</v>
      </c>
      <c r="AI534" s="261">
        <v>0.37445267429307999</v>
      </c>
    </row>
    <row r="535" spans="1:56" ht="15" customHeight="1">
      <c r="C535" s="127"/>
      <c r="D535" s="272" t="str">
        <f t="shared" si="440"/>
        <v>RDC - redevance a taux variable</v>
      </c>
      <c r="E535" s="55" t="s">
        <v>26</v>
      </c>
      <c r="F535" s="258">
        <f t="shared" si="441"/>
        <v>9</v>
      </c>
      <c r="G535" s="261">
        <v>0.39150160818859298</v>
      </c>
      <c r="H535" s="261">
        <v>0.39150160818859298</v>
      </c>
      <c r="I535" s="261">
        <v>0.39150160818859298</v>
      </c>
      <c r="J535" s="261">
        <v>0.39150160818859298</v>
      </c>
      <c r="K535" s="261">
        <v>0.39150160818859298</v>
      </c>
      <c r="L535" s="261">
        <v>0.39150160818859298</v>
      </c>
      <c r="M535" s="261">
        <v>0.39150160818859298</v>
      </c>
      <c r="N535" s="261">
        <v>0.39150160818859298</v>
      </c>
      <c r="O535" s="261">
        <v>0.39150160818859298</v>
      </c>
      <c r="P535" s="261">
        <v>0.39150160818859298</v>
      </c>
      <c r="Q535" s="261">
        <v>0.39150160818859298</v>
      </c>
      <c r="R535" s="261">
        <v>0.39150160818859298</v>
      </c>
      <c r="S535" s="261">
        <v>0.39150160818859298</v>
      </c>
      <c r="T535" s="261">
        <v>0.39150160818859298</v>
      </c>
      <c r="U535" s="261">
        <v>0.39150160818859298</v>
      </c>
      <c r="V535" s="261">
        <v>0.39150160818859298</v>
      </c>
      <c r="W535" s="261">
        <v>0.39150160818859298</v>
      </c>
      <c r="X535" s="261">
        <v>0.39150160818859298</v>
      </c>
      <c r="Y535" s="261">
        <v>0.39150160818859298</v>
      </c>
      <c r="Z535" s="261">
        <v>0.39150160818859298</v>
      </c>
      <c r="AA535" s="261">
        <v>0.39150160818859298</v>
      </c>
      <c r="AB535" s="261">
        <v>0.39150160818859298</v>
      </c>
      <c r="AC535" s="261">
        <v>0.39150160818859298</v>
      </c>
      <c r="AD535" s="261">
        <v>0.39150160818859298</v>
      </c>
      <c r="AE535" s="261">
        <v>0.39150160818859298</v>
      </c>
      <c r="AF535" s="261">
        <v>0.39150160818859298</v>
      </c>
      <c r="AG535" s="261">
        <v>0.39150160818859298</v>
      </c>
      <c r="AH535" s="261">
        <v>0.39150160818859298</v>
      </c>
      <c r="AI535" s="261">
        <v>0.39150160818859298</v>
      </c>
    </row>
    <row r="536" spans="1:56" ht="15" customHeight="1">
      <c r="C536" s="127"/>
      <c r="D536" s="272" t="str">
        <f t="shared" si="440"/>
        <v>RDC - taxe sur la rente</v>
      </c>
      <c r="E536" s="55" t="s">
        <v>26</v>
      </c>
      <c r="F536" s="258">
        <f t="shared" si="441"/>
        <v>10</v>
      </c>
      <c r="G536" s="261">
        <v>0.44285211381588402</v>
      </c>
      <c r="H536" s="261">
        <v>0.44285211381588402</v>
      </c>
      <c r="I536" s="261">
        <v>0.44285211381588402</v>
      </c>
      <c r="J536" s="261">
        <v>0.44285211381588402</v>
      </c>
      <c r="K536" s="261">
        <v>0.44285211381588402</v>
      </c>
      <c r="L536" s="261">
        <v>0.44285211381588402</v>
      </c>
      <c r="M536" s="261">
        <v>0.44285211381588402</v>
      </c>
      <c r="N536" s="261">
        <v>0.44285211381588402</v>
      </c>
      <c r="O536" s="261">
        <v>0.44285211381588402</v>
      </c>
      <c r="P536" s="261">
        <v>0.44285211381588402</v>
      </c>
      <c r="Q536" s="261">
        <v>0.44285211381588402</v>
      </c>
      <c r="R536" s="261">
        <v>0.44285211381588402</v>
      </c>
      <c r="S536" s="261">
        <v>0.44285211381588402</v>
      </c>
      <c r="T536" s="261">
        <v>0.44285211381588402</v>
      </c>
      <c r="U536" s="261">
        <v>0.44285211381588402</v>
      </c>
      <c r="V536" s="261">
        <v>0.44285211381588402</v>
      </c>
      <c r="W536" s="261">
        <v>0.44285211381588402</v>
      </c>
      <c r="X536" s="261">
        <v>0.44285211381588402</v>
      </c>
      <c r="Y536" s="261">
        <v>0.44285211381588402</v>
      </c>
      <c r="Z536" s="261">
        <v>0.44285211381588402</v>
      </c>
      <c r="AA536" s="261">
        <v>0.44285211381588402</v>
      </c>
      <c r="AB536" s="261">
        <v>0.44285211381588402</v>
      </c>
      <c r="AC536" s="261">
        <v>0.44285211381588402</v>
      </c>
      <c r="AD536" s="261">
        <v>0.44285211381588402</v>
      </c>
      <c r="AE536" s="261">
        <v>0.44285211381588402</v>
      </c>
      <c r="AF536" s="261">
        <v>0.44285211381588402</v>
      </c>
      <c r="AG536" s="261">
        <v>0.44285211381588402</v>
      </c>
      <c r="AH536" s="261">
        <v>0.44285211381588402</v>
      </c>
      <c r="AI536" s="261">
        <v>0.44285211381588402</v>
      </c>
    </row>
    <row r="537" spans="1:56" ht="15" customHeight="1">
      <c r="C537" s="127"/>
      <c r="D537" s="272" t="str">
        <f t="shared" si="440"/>
        <v>Sénégal (SGO - Convention Sabodala)</v>
      </c>
      <c r="E537" s="55" t="s">
        <v>26</v>
      </c>
      <c r="F537" s="258">
        <f t="shared" si="441"/>
        <v>11</v>
      </c>
      <c r="G537" s="261">
        <v>0.38660495706771603</v>
      </c>
      <c r="H537" s="261">
        <v>0.38660495706771603</v>
      </c>
      <c r="I537" s="261">
        <v>0.38660495706771603</v>
      </c>
      <c r="J537" s="261">
        <v>0.38660495706771603</v>
      </c>
      <c r="K537" s="261">
        <v>0.38660495706771603</v>
      </c>
      <c r="L537" s="261">
        <v>0.38660495706771603</v>
      </c>
      <c r="M537" s="261">
        <v>0.38660495706771603</v>
      </c>
      <c r="N537" s="261">
        <v>0.38660495706771603</v>
      </c>
      <c r="O537" s="261">
        <v>0.38660495706771603</v>
      </c>
      <c r="P537" s="261">
        <v>0.38660495706771603</v>
      </c>
      <c r="Q537" s="261">
        <v>0.38660495706771603</v>
      </c>
      <c r="R537" s="261">
        <v>0.38660495706771603</v>
      </c>
      <c r="S537" s="261">
        <v>0.38660495706771603</v>
      </c>
      <c r="T537" s="261">
        <v>0.38660495706771603</v>
      </c>
      <c r="U537" s="261">
        <v>0.38660495706771603</v>
      </c>
      <c r="V537" s="261">
        <v>0.38660495706771603</v>
      </c>
      <c r="W537" s="261">
        <v>0.38660495706771603</v>
      </c>
      <c r="X537" s="261">
        <v>0.38660495706771603</v>
      </c>
      <c r="Y537" s="261">
        <v>0.38660495706771603</v>
      </c>
      <c r="Z537" s="261">
        <v>0.38660495706771603</v>
      </c>
      <c r="AA537" s="261">
        <v>0.38660495706771603</v>
      </c>
      <c r="AB537" s="261">
        <v>0.38660495706771603</v>
      </c>
      <c r="AC537" s="261">
        <v>0.38660495706771603</v>
      </c>
      <c r="AD537" s="261">
        <v>0.38660495706771603</v>
      </c>
      <c r="AE537" s="261">
        <v>0.38660495706771603</v>
      </c>
      <c r="AF537" s="261">
        <v>0.38660495706771603</v>
      </c>
      <c r="AG537" s="261">
        <v>0.38660495706771603</v>
      </c>
      <c r="AH537" s="261">
        <v>0.38660495706771603</v>
      </c>
      <c r="AI537" s="261">
        <v>0.38660495706771603</v>
      </c>
    </row>
    <row r="538" spans="1:56" ht="15" customHeight="1">
      <c r="C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</row>
    <row r="539" spans="1:56" s="55" customFormat="1" ht="15" customHeight="1">
      <c r="A539" s="54"/>
      <c r="D539" s="41" t="s">
        <v>396</v>
      </c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  <c r="BC539" s="41"/>
      <c r="BD539" s="41"/>
    </row>
    <row r="540" spans="1:56" ht="27" customHeight="1">
      <c r="D540" s="55" t="s">
        <v>397</v>
      </c>
      <c r="E540" s="112">
        <v>0.05</v>
      </c>
    </row>
    <row r="541" spans="1:56" ht="15" customHeight="1">
      <c r="D541" s="55" t="s">
        <v>398</v>
      </c>
      <c r="E541" s="112">
        <v>0.1</v>
      </c>
    </row>
    <row r="542" spans="1:56" ht="15" customHeight="1">
      <c r="D542" s="55" t="s">
        <v>141</v>
      </c>
      <c r="E542" s="127">
        <f>Paramètres!G108</f>
        <v>1600</v>
      </c>
    </row>
    <row r="543" spans="1:56" ht="15" customHeight="1">
      <c r="D543" s="55" t="s">
        <v>399</v>
      </c>
      <c r="E543" s="226">
        <f>Paramètres!F139</f>
        <v>0</v>
      </c>
    </row>
    <row r="544" spans="1:56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</sheetData>
  <conditionalFormatting sqref="C2 A11 A21 A45 A54 A170 A327 A334 A339 A346 G362:K362">
    <cfRule type="cellIs" dxfId="2" priority="2" operator="equal">
      <formula>FALSE()</formula>
    </cfRule>
    <cfRule type="cellIs" dxfId="1" priority="3" operator="equal">
      <formula>TRUE()</formula>
    </cfRule>
  </conditionalFormatting>
  <conditionalFormatting sqref="C2">
    <cfRule type="cellIs" dxfId="0" priority="4" operator="equal">
      <formula>FALSE()</formula>
    </cfRule>
  </conditionalFormatting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Présentation</vt:lpstr>
      <vt:lpstr>Résultats</vt:lpstr>
      <vt:lpstr>Paramètres</vt:lpstr>
      <vt:lpstr>Modèle</vt:lpstr>
      <vt:lpstr>Résultats!Excel_BuiltIn__FilterDatabase</vt:lpstr>
      <vt:lpstr>Résultats!Zone_d_impression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dmesapuyo</dc:creator>
  <dc:description/>
  <cp:lastModifiedBy>sie rachid traore</cp:lastModifiedBy>
  <cp:revision>1</cp:revision>
  <cp:lastPrinted>2016-05-10T14:54:53Z</cp:lastPrinted>
  <dcterms:created xsi:type="dcterms:W3CDTF">2015-09-09T20:49:50Z</dcterms:created>
  <dcterms:modified xsi:type="dcterms:W3CDTF">2026-06-15T12:26:35Z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{A44787D4-0540-4523-9961-78E4036D8C6D}">
    <vt:lpwstr>{41697806-0C16-435E-924C-23194ADF4564}</vt:lpwstr>
  </property>
</Properties>
</file>