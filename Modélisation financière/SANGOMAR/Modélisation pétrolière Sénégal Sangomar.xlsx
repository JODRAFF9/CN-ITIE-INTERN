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0"/>
  <workbookPr filterPrivacy="1" codeName="ThisWorkbook" defaultThemeVersion="124226"/>
  <xr:revisionPtr revIDLastSave="0" documentId="13_ncr:1_{2C7E8FD2-5D86-4AB7-B63C-D864A5105821}" xr6:coauthVersionLast="47" xr6:coauthVersionMax="47" xr10:uidLastSave="{00000000-0000-0000-0000-000000000000}"/>
  <bookViews>
    <workbookView xWindow="11120" yWindow="0" windowWidth="8080" windowHeight="10170" activeTab="1" xr2:uid="{00000000-000D-0000-FFFF-FFFF00000000}"/>
  </bookViews>
  <sheets>
    <sheet name="Sénégal Sangomar (V0)" sheetId="1" r:id="rId1"/>
    <sheet name="Sénégal Sangomar (V1)" sheetId="2" r:id="rId2"/>
    <sheet name="production mensuelle ministère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7" i="2" l="1"/>
  <c r="I47" i="2"/>
  <c r="J47" i="2"/>
  <c r="P47" i="2"/>
  <c r="Q47" i="2"/>
  <c r="R47" i="2"/>
  <c r="Y47" i="2"/>
  <c r="E47" i="2"/>
  <c r="E23" i="2"/>
  <c r="Y26" i="2"/>
  <c r="E26" i="2"/>
  <c r="T10" i="2"/>
  <c r="T23" i="2" s="1"/>
  <c r="T26" i="2" s="1"/>
  <c r="I10" i="2"/>
  <c r="I23" i="2" s="1"/>
  <c r="I26" i="2" s="1"/>
  <c r="J10" i="2"/>
  <c r="J23" i="2" s="1"/>
  <c r="J26" i="2" s="1"/>
  <c r="K10" i="2"/>
  <c r="K23" i="2" s="1"/>
  <c r="K26" i="2" s="1"/>
  <c r="L10" i="2"/>
  <c r="L23" i="2" s="1"/>
  <c r="L26" i="2" s="1"/>
  <c r="M10" i="2"/>
  <c r="M23" i="2" s="1"/>
  <c r="M26" i="2" s="1"/>
  <c r="N10" i="2"/>
  <c r="N23" i="2" s="1"/>
  <c r="N26" i="2" s="1"/>
  <c r="O10" i="2"/>
  <c r="O23" i="2" s="1"/>
  <c r="O26" i="2" s="1"/>
  <c r="P10" i="2"/>
  <c r="Q10" i="2"/>
  <c r="Q23" i="2" s="1"/>
  <c r="Q26" i="2" s="1"/>
  <c r="R10" i="2"/>
  <c r="R23" i="2" s="1"/>
  <c r="R26" i="2" s="1"/>
  <c r="S10" i="2"/>
  <c r="S23" i="2" s="1"/>
  <c r="S26" i="2" s="1"/>
  <c r="U10" i="2"/>
  <c r="U23" i="2" s="1"/>
  <c r="U26" i="2" s="1"/>
  <c r="V10" i="2"/>
  <c r="V23" i="2" s="1"/>
  <c r="V26" i="2" s="1"/>
  <c r="W10" i="2"/>
  <c r="W23" i="2" s="1"/>
  <c r="W26" i="2" s="1"/>
  <c r="X10" i="2"/>
  <c r="X23" i="2" s="1"/>
  <c r="X26" i="2" s="1"/>
  <c r="Y10" i="2"/>
  <c r="Y23" i="2" s="1"/>
  <c r="H10" i="2"/>
  <c r="H23" i="2" s="1"/>
  <c r="H26" i="2" s="1"/>
  <c r="E12" i="2"/>
  <c r="Z80" i="2"/>
  <c r="AA80" i="2"/>
  <c r="F87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E55" i="2"/>
  <c r="E40" i="2"/>
  <c r="Z40" i="2" s="1"/>
  <c r="AA34" i="2"/>
  <c r="Z34" i="2"/>
  <c r="U47" i="2" l="1"/>
  <c r="M47" i="2"/>
  <c r="X47" i="2"/>
  <c r="W47" i="2"/>
  <c r="T47" i="2"/>
  <c r="L47" i="2"/>
  <c r="O47" i="2"/>
  <c r="V47" i="2"/>
  <c r="N47" i="2"/>
  <c r="S47" i="2"/>
  <c r="K47" i="2"/>
  <c r="P23" i="2"/>
  <c r="P26" i="2" s="1"/>
  <c r="AA40" i="2"/>
  <c r="Z15" i="2" l="1"/>
  <c r="AA15" i="2"/>
  <c r="G10" i="2"/>
  <c r="G47" i="2" s="1"/>
  <c r="F10" i="2"/>
  <c r="F47" i="2" s="1"/>
  <c r="V104" i="2"/>
  <c r="V103" i="2"/>
  <c r="Y102" i="2"/>
  <c r="X100" i="2"/>
  <c r="Y98" i="2"/>
  <c r="S96" i="2"/>
  <c r="T95" i="2"/>
  <c r="U94" i="2"/>
  <c r="O92" i="2"/>
  <c r="Q90" i="2"/>
  <c r="K88" i="2"/>
  <c r="L87" i="2"/>
  <c r="Y107" i="2"/>
  <c r="Y105" i="2"/>
  <c r="X105" i="2"/>
  <c r="W105" i="2"/>
  <c r="Y104" i="2"/>
  <c r="X104" i="2"/>
  <c r="W104" i="2"/>
  <c r="X103" i="2"/>
  <c r="W103" i="2"/>
  <c r="X102" i="2"/>
  <c r="T102" i="2"/>
  <c r="Y101" i="2"/>
  <c r="X101" i="2"/>
  <c r="W101" i="2"/>
  <c r="V101" i="2"/>
  <c r="U101" i="2"/>
  <c r="T101" i="2"/>
  <c r="S101" i="2"/>
  <c r="Y100" i="2"/>
  <c r="V100" i="2"/>
  <c r="U100" i="2"/>
  <c r="S100" i="2"/>
  <c r="R100" i="2"/>
  <c r="Y99" i="2"/>
  <c r="U99" i="2"/>
  <c r="R99" i="2"/>
  <c r="Q99" i="2"/>
  <c r="R98" i="2"/>
  <c r="X97" i="2"/>
  <c r="W97" i="2"/>
  <c r="V97" i="2"/>
  <c r="U97" i="2"/>
  <c r="T97" i="2"/>
  <c r="S97" i="2"/>
  <c r="R97" i="2"/>
  <c r="Q97" i="2"/>
  <c r="P97" i="2"/>
  <c r="O97" i="2"/>
  <c r="V96" i="2"/>
  <c r="U96" i="2"/>
  <c r="T96" i="2"/>
  <c r="R96" i="2"/>
  <c r="Q96" i="2"/>
  <c r="P96" i="2"/>
  <c r="N96" i="2"/>
  <c r="V95" i="2"/>
  <c r="U95" i="2"/>
  <c r="R95" i="2"/>
  <c r="Q95" i="2"/>
  <c r="N95" i="2"/>
  <c r="M95" i="2"/>
  <c r="R94" i="2"/>
  <c r="N94" i="2"/>
  <c r="T93" i="2"/>
  <c r="S93" i="2"/>
  <c r="R93" i="2"/>
  <c r="Q93" i="2"/>
  <c r="P93" i="2"/>
  <c r="O93" i="2"/>
  <c r="N93" i="2"/>
  <c r="M93" i="2"/>
  <c r="L93" i="2"/>
  <c r="K93" i="2"/>
  <c r="R92" i="2"/>
  <c r="Q92" i="2"/>
  <c r="P92" i="2"/>
  <c r="N92" i="2"/>
  <c r="M92" i="2"/>
  <c r="L92" i="2"/>
  <c r="J92" i="2"/>
  <c r="R91" i="2"/>
  <c r="Q91" i="2"/>
  <c r="N91" i="2"/>
  <c r="M91" i="2"/>
  <c r="J91" i="2"/>
  <c r="I91" i="2"/>
  <c r="J90" i="2"/>
  <c r="P89" i="2"/>
  <c r="O89" i="2"/>
  <c r="N89" i="2"/>
  <c r="M89" i="2"/>
  <c r="L89" i="2"/>
  <c r="K89" i="2"/>
  <c r="J89" i="2"/>
  <c r="I89" i="2"/>
  <c r="H89" i="2"/>
  <c r="G89" i="2"/>
  <c r="N88" i="2"/>
  <c r="M88" i="2"/>
  <c r="L88" i="2"/>
  <c r="J88" i="2"/>
  <c r="I88" i="2"/>
  <c r="H88" i="2"/>
  <c r="F88" i="2"/>
  <c r="N87" i="2"/>
  <c r="M87" i="2"/>
  <c r="J87" i="2"/>
  <c r="I87" i="2"/>
  <c r="E87" i="2"/>
  <c r="E108" i="2" s="1"/>
  <c r="AA81" i="2"/>
  <c r="Z81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E72" i="2"/>
  <c r="E139" i="2" s="1"/>
  <c r="AA48" i="2"/>
  <c r="Z48" i="2"/>
  <c r="E42" i="2"/>
  <c r="E41" i="2"/>
  <c r="AA36" i="2"/>
  <c r="Z36" i="2"/>
  <c r="AA35" i="2"/>
  <c r="Z35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W93" i="1"/>
  <c r="W92" i="1"/>
  <c r="V92" i="1"/>
  <c r="V91" i="1"/>
  <c r="W91" i="1"/>
  <c r="U91" i="1"/>
  <c r="U90" i="1"/>
  <c r="V90" i="1"/>
  <c r="W90" i="1"/>
  <c r="T90" i="1"/>
  <c r="T89" i="1"/>
  <c r="U89" i="1"/>
  <c r="V89" i="1"/>
  <c r="W89" i="1"/>
  <c r="S89" i="1"/>
  <c r="S88" i="1"/>
  <c r="T88" i="1"/>
  <c r="U88" i="1"/>
  <c r="V88" i="1"/>
  <c r="W88" i="1"/>
  <c r="R88" i="1"/>
  <c r="R87" i="1"/>
  <c r="S87" i="1"/>
  <c r="T87" i="1"/>
  <c r="U87" i="1"/>
  <c r="V87" i="1"/>
  <c r="W87" i="1"/>
  <c r="Q87" i="1"/>
  <c r="Q86" i="1"/>
  <c r="R86" i="1"/>
  <c r="S86" i="1"/>
  <c r="T86" i="1"/>
  <c r="U86" i="1"/>
  <c r="V86" i="1"/>
  <c r="W86" i="1"/>
  <c r="P86" i="1"/>
  <c r="P85" i="1"/>
  <c r="Q85" i="1"/>
  <c r="R85" i="1"/>
  <c r="S85" i="1"/>
  <c r="T85" i="1"/>
  <c r="U85" i="1"/>
  <c r="V85" i="1"/>
  <c r="W85" i="1"/>
  <c r="O85" i="1"/>
  <c r="O84" i="1"/>
  <c r="P84" i="1"/>
  <c r="Q84" i="1"/>
  <c r="R84" i="1"/>
  <c r="S84" i="1"/>
  <c r="T84" i="1"/>
  <c r="U84" i="1"/>
  <c r="V84" i="1"/>
  <c r="W84" i="1"/>
  <c r="N84" i="1"/>
  <c r="N83" i="1"/>
  <c r="O83" i="1"/>
  <c r="P83" i="1"/>
  <c r="Q83" i="1"/>
  <c r="R83" i="1"/>
  <c r="S83" i="1"/>
  <c r="T83" i="1"/>
  <c r="U83" i="1"/>
  <c r="V83" i="1"/>
  <c r="M83" i="1"/>
  <c r="M82" i="1"/>
  <c r="N82" i="1"/>
  <c r="O82" i="1"/>
  <c r="P82" i="1"/>
  <c r="Q82" i="1"/>
  <c r="R82" i="1"/>
  <c r="S82" i="1"/>
  <c r="T82" i="1"/>
  <c r="U82" i="1"/>
  <c r="L82" i="1"/>
  <c r="L81" i="1"/>
  <c r="M81" i="1"/>
  <c r="N81" i="1"/>
  <c r="O81" i="1"/>
  <c r="P81" i="1"/>
  <c r="Q81" i="1"/>
  <c r="R81" i="1"/>
  <c r="S81" i="1"/>
  <c r="T81" i="1"/>
  <c r="K81" i="1"/>
  <c r="K80" i="1"/>
  <c r="L80" i="1"/>
  <c r="M80" i="1"/>
  <c r="N80" i="1"/>
  <c r="O80" i="1"/>
  <c r="P80" i="1"/>
  <c r="Q80" i="1"/>
  <c r="R80" i="1"/>
  <c r="S80" i="1"/>
  <c r="J80" i="1"/>
  <c r="J79" i="1"/>
  <c r="K79" i="1"/>
  <c r="L79" i="1"/>
  <c r="M79" i="1"/>
  <c r="N79" i="1"/>
  <c r="O79" i="1"/>
  <c r="P79" i="1"/>
  <c r="Q79" i="1"/>
  <c r="R79" i="1"/>
  <c r="I79" i="1"/>
  <c r="I78" i="1"/>
  <c r="J78" i="1"/>
  <c r="K78" i="1"/>
  <c r="L78" i="1"/>
  <c r="M78" i="1"/>
  <c r="N78" i="1"/>
  <c r="O78" i="1"/>
  <c r="P78" i="1"/>
  <c r="Q78" i="1"/>
  <c r="H78" i="1"/>
  <c r="H77" i="1"/>
  <c r="I77" i="1"/>
  <c r="J77" i="1"/>
  <c r="K77" i="1"/>
  <c r="L77" i="1"/>
  <c r="M77" i="1"/>
  <c r="N77" i="1"/>
  <c r="O77" i="1"/>
  <c r="P77" i="1"/>
  <c r="G77" i="1"/>
  <c r="G76" i="1"/>
  <c r="H76" i="1"/>
  <c r="I76" i="1"/>
  <c r="J76" i="1"/>
  <c r="K76" i="1"/>
  <c r="L76" i="1"/>
  <c r="M76" i="1"/>
  <c r="N76" i="1"/>
  <c r="O76" i="1"/>
  <c r="F76" i="1"/>
  <c r="F75" i="1"/>
  <c r="G75" i="1"/>
  <c r="H75" i="1"/>
  <c r="I75" i="1"/>
  <c r="J75" i="1"/>
  <c r="K75" i="1"/>
  <c r="L75" i="1"/>
  <c r="M75" i="1"/>
  <c r="N75" i="1"/>
  <c r="E75" i="1"/>
  <c r="E74" i="1"/>
  <c r="F74" i="1"/>
  <c r="G74" i="1"/>
  <c r="H74" i="1"/>
  <c r="I74" i="1"/>
  <c r="J74" i="1"/>
  <c r="K74" i="1"/>
  <c r="L74" i="1"/>
  <c r="M74" i="1"/>
  <c r="D74" i="1"/>
  <c r="D73" i="1"/>
  <c r="E73" i="1"/>
  <c r="F73" i="1"/>
  <c r="G73" i="1"/>
  <c r="H73" i="1"/>
  <c r="I73" i="1"/>
  <c r="J73" i="1"/>
  <c r="K73" i="1"/>
  <c r="L73" i="1"/>
  <c r="C73" i="1"/>
  <c r="F23" i="2" l="1"/>
  <c r="F26" i="2" s="1"/>
  <c r="G23" i="2"/>
  <c r="G26" i="2" s="1"/>
  <c r="G12" i="2"/>
  <c r="F12" i="2"/>
  <c r="F29" i="2" s="1"/>
  <c r="V29" i="2"/>
  <c r="G51" i="2"/>
  <c r="P29" i="2"/>
  <c r="M51" i="2"/>
  <c r="Y51" i="2"/>
  <c r="J51" i="2"/>
  <c r="R51" i="2"/>
  <c r="K51" i="2"/>
  <c r="S51" i="2"/>
  <c r="Z42" i="2"/>
  <c r="F55" i="2"/>
  <c r="G55" i="2"/>
  <c r="T51" i="2"/>
  <c r="X51" i="2"/>
  <c r="L51" i="2"/>
  <c r="H51" i="2"/>
  <c r="Q51" i="2"/>
  <c r="W51" i="2"/>
  <c r="O51" i="2"/>
  <c r="N51" i="2"/>
  <c r="U51" i="2"/>
  <c r="K90" i="2"/>
  <c r="O94" i="2"/>
  <c r="S98" i="2"/>
  <c r="U102" i="2"/>
  <c r="G87" i="2"/>
  <c r="L90" i="2"/>
  <c r="K91" i="2"/>
  <c r="P94" i="2"/>
  <c r="O95" i="2"/>
  <c r="T98" i="2"/>
  <c r="S99" i="2"/>
  <c r="V102" i="2"/>
  <c r="Y103" i="2"/>
  <c r="X106" i="2"/>
  <c r="H87" i="2"/>
  <c r="G88" i="2"/>
  <c r="O88" i="2"/>
  <c r="M90" i="2"/>
  <c r="L91" i="2"/>
  <c r="K92" i="2"/>
  <c r="S92" i="2"/>
  <c r="Q94" i="2"/>
  <c r="P95" i="2"/>
  <c r="O96" i="2"/>
  <c r="W96" i="2"/>
  <c r="U98" i="2"/>
  <c r="T99" i="2"/>
  <c r="T100" i="2"/>
  <c r="W102" i="2"/>
  <c r="Y106" i="2"/>
  <c r="N90" i="2"/>
  <c r="N108" i="2" s="1"/>
  <c r="V98" i="2"/>
  <c r="O90" i="2"/>
  <c r="S94" i="2"/>
  <c r="W98" i="2"/>
  <c r="V99" i="2"/>
  <c r="K87" i="2"/>
  <c r="H90" i="2"/>
  <c r="P90" i="2"/>
  <c r="O91" i="2"/>
  <c r="L94" i="2"/>
  <c r="T94" i="2"/>
  <c r="S95" i="2"/>
  <c r="P98" i="2"/>
  <c r="X98" i="2"/>
  <c r="W99" i="2"/>
  <c r="W100" i="2"/>
  <c r="U103" i="2"/>
  <c r="I90" i="2"/>
  <c r="I108" i="2" s="1"/>
  <c r="P91" i="2"/>
  <c r="M94" i="2"/>
  <c r="Q98" i="2"/>
  <c r="X99" i="2"/>
  <c r="F108" i="2"/>
  <c r="R108" i="2"/>
  <c r="AA41" i="2"/>
  <c r="Z41" i="2"/>
  <c r="J108" i="2"/>
  <c r="AA42" i="2"/>
  <c r="C31" i="1"/>
  <c r="C29" i="1"/>
  <c r="D6" i="1"/>
  <c r="D8" i="1" s="1"/>
  <c r="X29" i="2" l="1"/>
  <c r="M29" i="2"/>
  <c r="T29" i="2"/>
  <c r="K29" i="2"/>
  <c r="Q29" i="2"/>
  <c r="H29" i="2"/>
  <c r="R29" i="2"/>
  <c r="U29" i="2"/>
  <c r="L29" i="2"/>
  <c r="E118" i="2"/>
  <c r="E119" i="2" s="1"/>
  <c r="E121" i="2" s="1"/>
  <c r="W29" i="2"/>
  <c r="S29" i="2"/>
  <c r="Y29" i="2"/>
  <c r="O29" i="2"/>
  <c r="G29" i="2"/>
  <c r="N29" i="2"/>
  <c r="J29" i="2"/>
  <c r="Q57" i="2"/>
  <c r="U82" i="2"/>
  <c r="U84" i="2" s="1"/>
  <c r="I57" i="2"/>
  <c r="N57" i="2"/>
  <c r="U59" i="2"/>
  <c r="X70" i="2"/>
  <c r="F57" i="2"/>
  <c r="Q59" i="2"/>
  <c r="E82" i="2"/>
  <c r="E84" i="2" s="1"/>
  <c r="L57" i="2"/>
  <c r="O59" i="2"/>
  <c r="Q82" i="2"/>
  <c r="Q84" i="2" s="1"/>
  <c r="Q75" i="2"/>
  <c r="Q77" i="2" s="1"/>
  <c r="Q70" i="2"/>
  <c r="L75" i="2"/>
  <c r="L77" i="2" s="1"/>
  <c r="L70" i="2"/>
  <c r="L82" i="2"/>
  <c r="L84" i="2" s="1"/>
  <c r="L59" i="2"/>
  <c r="I82" i="2"/>
  <c r="I84" i="2" s="1"/>
  <c r="F59" i="2"/>
  <c r="U75" i="2"/>
  <c r="U77" i="2" s="1"/>
  <c r="O75" i="2"/>
  <c r="O77" i="2" s="1"/>
  <c r="U70" i="2"/>
  <c r="I59" i="2"/>
  <c r="U57" i="2"/>
  <c r="F82" i="2"/>
  <c r="F84" i="2" s="1"/>
  <c r="W59" i="2"/>
  <c r="W57" i="2"/>
  <c r="H75" i="2"/>
  <c r="H77" i="2" s="1"/>
  <c r="T57" i="2"/>
  <c r="H57" i="2"/>
  <c r="H82" i="2"/>
  <c r="H84" i="2" s="1"/>
  <c r="T82" i="2"/>
  <c r="T84" i="2" s="1"/>
  <c r="T70" i="2"/>
  <c r="H70" i="2"/>
  <c r="W82" i="2"/>
  <c r="W84" i="2" s="1"/>
  <c r="H59" i="2"/>
  <c r="W75" i="2"/>
  <c r="W77" i="2" s="1"/>
  <c r="N70" i="2"/>
  <c r="E59" i="2"/>
  <c r="X75" i="2"/>
  <c r="X77" i="2" s="1"/>
  <c r="T59" i="2"/>
  <c r="N59" i="2"/>
  <c r="E57" i="2"/>
  <c r="N75" i="2"/>
  <c r="N77" i="2" s="1"/>
  <c r="N128" i="2" s="1"/>
  <c r="T75" i="2"/>
  <c r="T77" i="2" s="1"/>
  <c r="O82" i="2"/>
  <c r="O84" i="2" s="1"/>
  <c r="X57" i="2"/>
  <c r="O70" i="2"/>
  <c r="W70" i="2"/>
  <c r="X82" i="2"/>
  <c r="X84" i="2" s="1"/>
  <c r="O57" i="2"/>
  <c r="X59" i="2"/>
  <c r="N82" i="2"/>
  <c r="N84" i="2" s="1"/>
  <c r="AA55" i="2"/>
  <c r="Z55" i="2"/>
  <c r="R70" i="2"/>
  <c r="M70" i="2"/>
  <c r="V82" i="2"/>
  <c r="V84" i="2" s="1"/>
  <c r="Y57" i="2"/>
  <c r="P57" i="2"/>
  <c r="G59" i="2"/>
  <c r="J59" i="2"/>
  <c r="S57" i="2"/>
  <c r="Z23" i="2"/>
  <c r="AA23" i="2"/>
  <c r="S82" i="2"/>
  <c r="S84" i="2" s="1"/>
  <c r="R82" i="2"/>
  <c r="R84" i="2" s="1"/>
  <c r="L108" i="2"/>
  <c r="S59" i="2"/>
  <c r="R59" i="2"/>
  <c r="Y108" i="2"/>
  <c r="J70" i="2"/>
  <c r="U108" i="2"/>
  <c r="J82" i="2"/>
  <c r="J84" i="2" s="1"/>
  <c r="X108" i="2"/>
  <c r="V59" i="2"/>
  <c r="V57" i="2"/>
  <c r="P82" i="2"/>
  <c r="P84" i="2" s="1"/>
  <c r="Y82" i="2"/>
  <c r="Y84" i="2" s="1"/>
  <c r="S108" i="2"/>
  <c r="K75" i="2"/>
  <c r="K77" i="2" s="1"/>
  <c r="P59" i="2"/>
  <c r="O108" i="2"/>
  <c r="G108" i="2"/>
  <c r="R57" i="2"/>
  <c r="H108" i="2"/>
  <c r="M59" i="2"/>
  <c r="V51" i="2"/>
  <c r="V75" i="2" s="1"/>
  <c r="V77" i="2" s="1"/>
  <c r="M75" i="2"/>
  <c r="M77" i="2" s="1"/>
  <c r="R75" i="2"/>
  <c r="R77" i="2" s="1"/>
  <c r="R128" i="2" s="1"/>
  <c r="J75" i="2"/>
  <c r="J77" i="2" s="1"/>
  <c r="P108" i="2"/>
  <c r="V108" i="2"/>
  <c r="T108" i="2"/>
  <c r="J57" i="2"/>
  <c r="M108" i="2"/>
  <c r="W108" i="2"/>
  <c r="Q108" i="2"/>
  <c r="K108" i="2"/>
  <c r="P51" i="2"/>
  <c r="P75" i="2" s="1"/>
  <c r="P77" i="2" s="1"/>
  <c r="G57" i="2"/>
  <c r="G82" i="2"/>
  <c r="G84" i="2" s="1"/>
  <c r="M82" i="2"/>
  <c r="M84" i="2" s="1"/>
  <c r="Y70" i="2"/>
  <c r="S70" i="2"/>
  <c r="Y59" i="2"/>
  <c r="M57" i="2"/>
  <c r="G75" i="2"/>
  <c r="G77" i="2" s="1"/>
  <c r="S75" i="2"/>
  <c r="S77" i="2" s="1"/>
  <c r="Y75" i="2"/>
  <c r="Y77" i="2" s="1"/>
  <c r="K57" i="2"/>
  <c r="K82" i="2"/>
  <c r="K84" i="2" s="1"/>
  <c r="K59" i="2"/>
  <c r="D36" i="1"/>
  <c r="D66" i="1"/>
  <c r="D68" i="1" s="1"/>
  <c r="D49" i="1"/>
  <c r="D46" i="1"/>
  <c r="Y38" i="1"/>
  <c r="Y24" i="1"/>
  <c r="Y22" i="1"/>
  <c r="Y11" i="1"/>
  <c r="M128" i="2" l="1"/>
  <c r="I51" i="2"/>
  <c r="I75" i="2" s="1"/>
  <c r="I77" i="2" s="1"/>
  <c r="I29" i="2"/>
  <c r="F111" i="2"/>
  <c r="J112" i="2" s="1"/>
  <c r="E29" i="2"/>
  <c r="Q128" i="2"/>
  <c r="L128" i="2"/>
  <c r="U128" i="2"/>
  <c r="W128" i="2"/>
  <c r="O128" i="2"/>
  <c r="F71" i="2"/>
  <c r="F72" i="2" s="1"/>
  <c r="F139" i="2" s="1"/>
  <c r="X128" i="2"/>
  <c r="T128" i="2"/>
  <c r="E51" i="2"/>
  <c r="E70" i="2" s="1"/>
  <c r="AA26" i="2"/>
  <c r="Z26" i="2"/>
  <c r="Y128" i="2"/>
  <c r="P70" i="2"/>
  <c r="S71" i="2"/>
  <c r="P128" i="2"/>
  <c r="Z59" i="2"/>
  <c r="Z108" i="2"/>
  <c r="V128" i="2"/>
  <c r="Z57" i="2"/>
  <c r="X71" i="2"/>
  <c r="S128" i="2"/>
  <c r="K128" i="2"/>
  <c r="AA108" i="2"/>
  <c r="V70" i="2"/>
  <c r="R71" i="2"/>
  <c r="W71" i="2"/>
  <c r="Q71" i="2"/>
  <c r="G70" i="2"/>
  <c r="O71" i="2"/>
  <c r="T71" i="2"/>
  <c r="Y71" i="2"/>
  <c r="I71" i="2"/>
  <c r="J71" i="2"/>
  <c r="H71" i="2"/>
  <c r="M71" i="2"/>
  <c r="L71" i="2"/>
  <c r="V71" i="2"/>
  <c r="G71" i="2"/>
  <c r="AA84" i="2"/>
  <c r="AA57" i="2"/>
  <c r="Z47" i="2"/>
  <c r="K70" i="2"/>
  <c r="AA59" i="2"/>
  <c r="N71" i="2"/>
  <c r="AA47" i="2"/>
  <c r="U71" i="2"/>
  <c r="K71" i="2"/>
  <c r="P71" i="2"/>
  <c r="Z84" i="2"/>
  <c r="F51" i="2"/>
  <c r="Y70" i="1"/>
  <c r="X70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C61" i="1"/>
  <c r="C57" i="1"/>
  <c r="X38" i="1"/>
  <c r="X24" i="1"/>
  <c r="X22" i="1"/>
  <c r="X11" i="1"/>
  <c r="W6" i="1"/>
  <c r="W8" i="1" s="1"/>
  <c r="V6" i="1"/>
  <c r="P6" i="1"/>
  <c r="P13" i="1" s="1"/>
  <c r="P14" i="1" s="1"/>
  <c r="P41" i="1" s="1"/>
  <c r="Q6" i="1"/>
  <c r="Q8" i="1" s="1"/>
  <c r="R6" i="1"/>
  <c r="R13" i="1" s="1"/>
  <c r="R14" i="1" s="1"/>
  <c r="R41" i="1" s="1"/>
  <c r="S6" i="1"/>
  <c r="S8" i="1" s="1"/>
  <c r="T6" i="1"/>
  <c r="T8" i="1" s="1"/>
  <c r="U6" i="1"/>
  <c r="U8" i="1" s="1"/>
  <c r="E6" i="1"/>
  <c r="E8" i="1" s="1"/>
  <c r="F6" i="1"/>
  <c r="F8" i="1" s="1"/>
  <c r="G6" i="1"/>
  <c r="G8" i="1" s="1"/>
  <c r="H6" i="1"/>
  <c r="H8" i="1" s="1"/>
  <c r="I6" i="1"/>
  <c r="J6" i="1"/>
  <c r="K6" i="1"/>
  <c r="K8" i="1" s="1"/>
  <c r="L6" i="1"/>
  <c r="L8" i="1" s="1"/>
  <c r="M6" i="1"/>
  <c r="M8" i="1" s="1"/>
  <c r="N6" i="1"/>
  <c r="N8" i="1" s="1"/>
  <c r="O6" i="1"/>
  <c r="O8" i="1" s="1"/>
  <c r="C6" i="1"/>
  <c r="F112" i="2" l="1"/>
  <c r="G111" i="2" s="1"/>
  <c r="G114" i="2" s="1"/>
  <c r="G112" i="2"/>
  <c r="H112" i="2"/>
  <c r="F114" i="2"/>
  <c r="Z30" i="2"/>
  <c r="I112" i="2"/>
  <c r="I70" i="2"/>
  <c r="E144" i="2"/>
  <c r="AA12" i="2"/>
  <c r="Z12" i="2"/>
  <c r="F144" i="2"/>
  <c r="F118" i="2"/>
  <c r="F119" i="2" s="1"/>
  <c r="F121" i="2" s="1"/>
  <c r="V72" i="2"/>
  <c r="V118" i="2"/>
  <c r="N72" i="2"/>
  <c r="N118" i="2"/>
  <c r="X72" i="2"/>
  <c r="X118" i="2"/>
  <c r="M72" i="2"/>
  <c r="M118" i="2"/>
  <c r="Q72" i="2"/>
  <c r="Q118" i="2"/>
  <c r="H72" i="2"/>
  <c r="H118" i="2"/>
  <c r="W72" i="2"/>
  <c r="W118" i="2"/>
  <c r="J72" i="2"/>
  <c r="J118" i="2"/>
  <c r="P72" i="2"/>
  <c r="P118" i="2"/>
  <c r="I72" i="2"/>
  <c r="I139" i="2" s="1"/>
  <c r="I144" i="2" s="1"/>
  <c r="I118" i="2"/>
  <c r="R72" i="2"/>
  <c r="R118" i="2"/>
  <c r="K72" i="2"/>
  <c r="K118" i="2"/>
  <c r="Y72" i="2"/>
  <c r="Y118" i="2"/>
  <c r="U72" i="2"/>
  <c r="U118" i="2"/>
  <c r="G72" i="2"/>
  <c r="G139" i="2" s="1"/>
  <c r="G144" i="2" s="1"/>
  <c r="G118" i="2"/>
  <c r="T72" i="2"/>
  <c r="T118" i="2"/>
  <c r="S72" i="2"/>
  <c r="S118" i="2"/>
  <c r="O72" i="2"/>
  <c r="O118" i="2"/>
  <c r="L72" i="2"/>
  <c r="L118" i="2"/>
  <c r="E75" i="2"/>
  <c r="E77" i="2" s="1"/>
  <c r="Z51" i="2"/>
  <c r="AA51" i="2"/>
  <c r="E73" i="2"/>
  <c r="E123" i="2" s="1"/>
  <c r="F75" i="2"/>
  <c r="F77" i="2" s="1"/>
  <c r="F70" i="2"/>
  <c r="F73" i="2" s="1"/>
  <c r="C8" i="1"/>
  <c r="C13" i="1"/>
  <c r="C14" i="1" s="1"/>
  <c r="C41" i="1" s="1"/>
  <c r="Q36" i="1"/>
  <c r="W66" i="1"/>
  <c r="W68" i="1" s="1"/>
  <c r="E66" i="1"/>
  <c r="E68" i="1" s="1"/>
  <c r="F49" i="1"/>
  <c r="H36" i="1"/>
  <c r="N36" i="1"/>
  <c r="T49" i="1"/>
  <c r="K66" i="1"/>
  <c r="K68" i="1" s="1"/>
  <c r="S36" i="1"/>
  <c r="G49" i="1"/>
  <c r="L46" i="1"/>
  <c r="X29" i="1"/>
  <c r="Y29" i="1"/>
  <c r="W13" i="1"/>
  <c r="W14" i="1" s="1"/>
  <c r="W17" i="1" s="1"/>
  <c r="X31" i="1"/>
  <c r="Y31" i="1"/>
  <c r="H66" i="1"/>
  <c r="H68" i="1" s="1"/>
  <c r="W49" i="1"/>
  <c r="E36" i="1"/>
  <c r="Q49" i="1"/>
  <c r="E49" i="1"/>
  <c r="G66" i="1"/>
  <c r="G68" i="1" s="1"/>
  <c r="F66" i="1"/>
  <c r="F68" i="1" s="1"/>
  <c r="C94" i="1"/>
  <c r="W94" i="1"/>
  <c r="V94" i="1"/>
  <c r="U94" i="1"/>
  <c r="T94" i="1"/>
  <c r="S94" i="1"/>
  <c r="R94" i="1"/>
  <c r="F94" i="1"/>
  <c r="Q94" i="1"/>
  <c r="P94" i="1"/>
  <c r="C46" i="1"/>
  <c r="T36" i="1"/>
  <c r="Q46" i="1"/>
  <c r="L36" i="1"/>
  <c r="H46" i="1"/>
  <c r="N49" i="1"/>
  <c r="C66" i="1"/>
  <c r="C68" i="1" s="1"/>
  <c r="F46" i="1"/>
  <c r="T66" i="1"/>
  <c r="T68" i="1" s="1"/>
  <c r="G36" i="1"/>
  <c r="E46" i="1"/>
  <c r="N66" i="1"/>
  <c r="N68" i="1" s="1"/>
  <c r="T46" i="1"/>
  <c r="F36" i="1"/>
  <c r="L66" i="1"/>
  <c r="L68" i="1" s="1"/>
  <c r="N46" i="1"/>
  <c r="C49" i="1"/>
  <c r="O66" i="1"/>
  <c r="O68" i="1" s="1"/>
  <c r="O36" i="1"/>
  <c r="U46" i="1"/>
  <c r="U49" i="1"/>
  <c r="S49" i="1"/>
  <c r="S66" i="1"/>
  <c r="S68" i="1" s="1"/>
  <c r="S46" i="1"/>
  <c r="K46" i="1"/>
  <c r="K36" i="1"/>
  <c r="U36" i="1"/>
  <c r="K49" i="1"/>
  <c r="M36" i="1"/>
  <c r="M66" i="1"/>
  <c r="M68" i="1" s="1"/>
  <c r="Q66" i="1"/>
  <c r="Q68" i="1" s="1"/>
  <c r="O49" i="1"/>
  <c r="J13" i="1"/>
  <c r="J14" i="1" s="1"/>
  <c r="J8" i="1"/>
  <c r="O46" i="1"/>
  <c r="I13" i="1"/>
  <c r="I14" i="1" s="1"/>
  <c r="I41" i="1" s="1"/>
  <c r="I8" i="1"/>
  <c r="V8" i="1"/>
  <c r="V13" i="1"/>
  <c r="V14" i="1" s="1"/>
  <c r="V41" i="1" s="1"/>
  <c r="M49" i="1"/>
  <c r="H49" i="1"/>
  <c r="W46" i="1"/>
  <c r="W36" i="1"/>
  <c r="M46" i="1"/>
  <c r="L49" i="1"/>
  <c r="U66" i="1"/>
  <c r="U68" i="1" s="1"/>
  <c r="G46" i="1"/>
  <c r="M13" i="1"/>
  <c r="M14" i="1" s="1"/>
  <c r="M41" i="1" s="1"/>
  <c r="L13" i="1"/>
  <c r="L14" i="1" s="1"/>
  <c r="L41" i="1" s="1"/>
  <c r="K13" i="1"/>
  <c r="K14" i="1" s="1"/>
  <c r="U13" i="1"/>
  <c r="U14" i="1" s="1"/>
  <c r="T13" i="1"/>
  <c r="T14" i="1" s="1"/>
  <c r="T41" i="1" s="1"/>
  <c r="H13" i="1"/>
  <c r="H14" i="1" s="1"/>
  <c r="R8" i="1"/>
  <c r="S13" i="1"/>
  <c r="S14" i="1" s="1"/>
  <c r="G13" i="1"/>
  <c r="G14" i="1" s="1"/>
  <c r="P8" i="1"/>
  <c r="F13" i="1"/>
  <c r="F14" i="1" s="1"/>
  <c r="Q13" i="1"/>
  <c r="Q14" i="1" s="1"/>
  <c r="E13" i="1"/>
  <c r="E14" i="1" s="1"/>
  <c r="E41" i="1" s="1"/>
  <c r="E60" i="1" s="1"/>
  <c r="D13" i="1"/>
  <c r="D14" i="1" s="1"/>
  <c r="D17" i="1" s="1"/>
  <c r="N13" i="1"/>
  <c r="N14" i="1" s="1"/>
  <c r="N41" i="1" s="1"/>
  <c r="O13" i="1"/>
  <c r="O14" i="1" s="1"/>
  <c r="X6" i="1"/>
  <c r="H111" i="2" l="1"/>
  <c r="H114" i="2" s="1"/>
  <c r="I73" i="2"/>
  <c r="G119" i="2"/>
  <c r="H119" i="2" s="1"/>
  <c r="R73" i="2"/>
  <c r="R123" i="2" s="1"/>
  <c r="R139" i="2"/>
  <c r="R144" i="2" s="1"/>
  <c r="W73" i="2"/>
  <c r="W123" i="2" s="1"/>
  <c r="W139" i="2"/>
  <c r="W144" i="2" s="1"/>
  <c r="X73" i="2"/>
  <c r="X123" i="2" s="1"/>
  <c r="X139" i="2"/>
  <c r="X144" i="2" s="1"/>
  <c r="G73" i="2"/>
  <c r="G123" i="2" s="1"/>
  <c r="O73" i="2"/>
  <c r="O123" i="2" s="1"/>
  <c r="O139" i="2"/>
  <c r="O144" i="2" s="1"/>
  <c r="U73" i="2"/>
  <c r="U123" i="2" s="1"/>
  <c r="U139" i="2"/>
  <c r="U144" i="2" s="1"/>
  <c r="L73" i="2"/>
  <c r="L123" i="2" s="1"/>
  <c r="L139" i="2"/>
  <c r="L144" i="2" s="1"/>
  <c r="N73" i="2"/>
  <c r="N123" i="2" s="1"/>
  <c r="N139" i="2"/>
  <c r="N144" i="2" s="1"/>
  <c r="S73" i="2"/>
  <c r="S123" i="2" s="1"/>
  <c r="S139" i="2"/>
  <c r="S144" i="2" s="1"/>
  <c r="H73" i="2"/>
  <c r="H139" i="2"/>
  <c r="H144" i="2" s="1"/>
  <c r="Y73" i="2"/>
  <c r="Y123" i="2" s="1"/>
  <c r="Y139" i="2"/>
  <c r="Y144" i="2" s="1"/>
  <c r="P73" i="2"/>
  <c r="P123" i="2" s="1"/>
  <c r="P139" i="2"/>
  <c r="P144" i="2" s="1"/>
  <c r="Q73" i="2"/>
  <c r="Q123" i="2" s="1"/>
  <c r="Q139" i="2"/>
  <c r="Q144" i="2" s="1"/>
  <c r="V73" i="2"/>
  <c r="V123" i="2" s="1"/>
  <c r="V139" i="2"/>
  <c r="V144" i="2" s="1"/>
  <c r="T73" i="2"/>
  <c r="T123" i="2" s="1"/>
  <c r="T139" i="2"/>
  <c r="T144" i="2" s="1"/>
  <c r="K73" i="2"/>
  <c r="K123" i="2" s="1"/>
  <c r="K139" i="2"/>
  <c r="K144" i="2" s="1"/>
  <c r="J73" i="2"/>
  <c r="J139" i="2"/>
  <c r="J144" i="2" s="1"/>
  <c r="M73" i="2"/>
  <c r="M123" i="2" s="1"/>
  <c r="M139" i="2"/>
  <c r="M144" i="2" s="1"/>
  <c r="Z70" i="2"/>
  <c r="AA70" i="2"/>
  <c r="Z75" i="2"/>
  <c r="E124" i="2"/>
  <c r="F123" i="2"/>
  <c r="AA75" i="2"/>
  <c r="AA77" i="2"/>
  <c r="Z77" i="2"/>
  <c r="E128" i="2"/>
  <c r="E129" i="2" s="1"/>
  <c r="F128" i="2"/>
  <c r="G128" i="2"/>
  <c r="C36" i="1"/>
  <c r="D54" i="1"/>
  <c r="H94" i="1"/>
  <c r="D94" i="1"/>
  <c r="P60" i="1"/>
  <c r="R60" i="1"/>
  <c r="W41" i="1"/>
  <c r="W60" i="1" s="1"/>
  <c r="W62" i="1" s="1"/>
  <c r="W109" i="1" s="1"/>
  <c r="E53" i="1"/>
  <c r="C17" i="1"/>
  <c r="Y13" i="1"/>
  <c r="Y8" i="1"/>
  <c r="E54" i="1"/>
  <c r="E57" i="1" s="1"/>
  <c r="F54" i="1"/>
  <c r="F57" i="1" s="1"/>
  <c r="T60" i="1"/>
  <c r="T62" i="1" s="1"/>
  <c r="T109" i="1" s="1"/>
  <c r="T53" i="1"/>
  <c r="N60" i="1"/>
  <c r="N62" i="1" s="1"/>
  <c r="N53" i="1"/>
  <c r="V60" i="1"/>
  <c r="L60" i="1"/>
  <c r="L62" i="1" s="1"/>
  <c r="L53" i="1"/>
  <c r="M53" i="1"/>
  <c r="M60" i="1"/>
  <c r="M62" i="1" s="1"/>
  <c r="I60" i="1"/>
  <c r="H54" i="1"/>
  <c r="H57" i="1" s="1"/>
  <c r="G54" i="1"/>
  <c r="G57" i="1" s="1"/>
  <c r="D57" i="1"/>
  <c r="O94" i="1"/>
  <c r="K94" i="1"/>
  <c r="J94" i="1"/>
  <c r="L94" i="1"/>
  <c r="M94" i="1"/>
  <c r="M109" i="1" s="1"/>
  <c r="E94" i="1"/>
  <c r="G94" i="1"/>
  <c r="N94" i="1"/>
  <c r="I94" i="1"/>
  <c r="D97" i="1"/>
  <c r="O17" i="1"/>
  <c r="O41" i="1"/>
  <c r="D41" i="1"/>
  <c r="F17" i="1"/>
  <c r="F41" i="1"/>
  <c r="T17" i="1"/>
  <c r="J46" i="1"/>
  <c r="J49" i="1"/>
  <c r="J36" i="1"/>
  <c r="J66" i="1"/>
  <c r="J68" i="1" s="1"/>
  <c r="H17" i="1"/>
  <c r="H41" i="1"/>
  <c r="I17" i="1"/>
  <c r="I46" i="1"/>
  <c r="I49" i="1"/>
  <c r="I36" i="1"/>
  <c r="I54" i="1" s="1"/>
  <c r="I57" i="1" s="1"/>
  <c r="I66" i="1"/>
  <c r="I68" i="1" s="1"/>
  <c r="E17" i="1"/>
  <c r="X14" i="1"/>
  <c r="L17" i="1"/>
  <c r="J17" i="1"/>
  <c r="J41" i="1"/>
  <c r="G17" i="1"/>
  <c r="G41" i="1"/>
  <c r="M17" i="1"/>
  <c r="U17" i="1"/>
  <c r="U41" i="1"/>
  <c r="K17" i="1"/>
  <c r="K41" i="1"/>
  <c r="V46" i="1"/>
  <c r="V36" i="1"/>
  <c r="V53" i="1" s="1"/>
  <c r="V66" i="1"/>
  <c r="V68" i="1" s="1"/>
  <c r="V49" i="1"/>
  <c r="V17" i="1"/>
  <c r="Q17" i="1"/>
  <c r="Q41" i="1"/>
  <c r="P17" i="1"/>
  <c r="P66" i="1"/>
  <c r="P68" i="1" s="1"/>
  <c r="P36" i="1"/>
  <c r="P53" i="1" s="1"/>
  <c r="P49" i="1"/>
  <c r="P46" i="1"/>
  <c r="S17" i="1"/>
  <c r="S41" i="1"/>
  <c r="N17" i="1"/>
  <c r="R17" i="1"/>
  <c r="R49" i="1"/>
  <c r="R66" i="1"/>
  <c r="R68" i="1" s="1"/>
  <c r="R46" i="1"/>
  <c r="R36" i="1"/>
  <c r="R53" i="1" s="1"/>
  <c r="X13" i="1"/>
  <c r="X8" i="1"/>
  <c r="I111" i="2" l="1"/>
  <c r="I114" i="2" s="1"/>
  <c r="Z145" i="2"/>
  <c r="AA144" i="2"/>
  <c r="AB144" i="2" s="1"/>
  <c r="Z144" i="2"/>
  <c r="G121" i="2"/>
  <c r="AA73" i="2"/>
  <c r="AA139" i="2"/>
  <c r="AB139" i="2" s="1"/>
  <c r="Z73" i="2"/>
  <c r="Z139" i="2"/>
  <c r="H121" i="2"/>
  <c r="I119" i="2"/>
  <c r="E126" i="2"/>
  <c r="F124" i="2"/>
  <c r="H123" i="2"/>
  <c r="H128" i="2"/>
  <c r="E131" i="2"/>
  <c r="F129" i="2"/>
  <c r="Y17" i="1"/>
  <c r="X17" i="1"/>
  <c r="W53" i="1"/>
  <c r="L109" i="1"/>
  <c r="D53" i="1"/>
  <c r="D58" i="1" s="1"/>
  <c r="D60" i="1"/>
  <c r="D62" i="1" s="1"/>
  <c r="E58" i="1"/>
  <c r="D109" i="1"/>
  <c r="D104" i="1"/>
  <c r="N109" i="1"/>
  <c r="X94" i="1"/>
  <c r="Y94" i="1"/>
  <c r="Y14" i="1"/>
  <c r="Y41" i="1"/>
  <c r="Y49" i="1"/>
  <c r="X46" i="1"/>
  <c r="Y46" i="1"/>
  <c r="I53" i="1"/>
  <c r="I58" i="1" s="1"/>
  <c r="I104" i="1" s="1"/>
  <c r="G60" i="1"/>
  <c r="G62" i="1" s="1"/>
  <c r="G53" i="1"/>
  <c r="G58" i="1" s="1"/>
  <c r="K60" i="1"/>
  <c r="K62" i="1" s="1"/>
  <c r="K109" i="1" s="1"/>
  <c r="K53" i="1"/>
  <c r="Q53" i="1"/>
  <c r="Q60" i="1"/>
  <c r="Q62" i="1" s="1"/>
  <c r="Q109" i="1" s="1"/>
  <c r="O60" i="1"/>
  <c r="O62" i="1" s="1"/>
  <c r="O109" i="1" s="1"/>
  <c r="O53" i="1"/>
  <c r="F53" i="1"/>
  <c r="F58" i="1" s="1"/>
  <c r="F60" i="1"/>
  <c r="F62" i="1" s="1"/>
  <c r="J60" i="1"/>
  <c r="J62" i="1" s="1"/>
  <c r="J109" i="1" s="1"/>
  <c r="J53" i="1"/>
  <c r="S60" i="1"/>
  <c r="S62" i="1" s="1"/>
  <c r="S109" i="1" s="1"/>
  <c r="S53" i="1"/>
  <c r="H60" i="1"/>
  <c r="H62" i="1" s="1"/>
  <c r="H53" i="1"/>
  <c r="H58" i="1" s="1"/>
  <c r="U60" i="1"/>
  <c r="U62" i="1" s="1"/>
  <c r="U109" i="1" s="1"/>
  <c r="U53" i="1"/>
  <c r="V54" i="1"/>
  <c r="V57" i="1" s="1"/>
  <c r="V58" i="1" s="1"/>
  <c r="V104" i="1" s="1"/>
  <c r="W54" i="1"/>
  <c r="W57" i="1" s="1"/>
  <c r="W58" i="1" s="1"/>
  <c r="W104" i="1" s="1"/>
  <c r="F98" i="1"/>
  <c r="H98" i="1"/>
  <c r="G98" i="1"/>
  <c r="E98" i="1"/>
  <c r="D100" i="1"/>
  <c r="D98" i="1"/>
  <c r="E97" i="1" s="1"/>
  <c r="E100" i="1" s="1"/>
  <c r="T54" i="1"/>
  <c r="T57" i="1" s="1"/>
  <c r="T58" i="1" s="1"/>
  <c r="T104" i="1" s="1"/>
  <c r="X49" i="1"/>
  <c r="V62" i="1"/>
  <c r="V109" i="1" s="1"/>
  <c r="X41" i="1"/>
  <c r="O54" i="1"/>
  <c r="O57" i="1" s="1"/>
  <c r="Y68" i="1"/>
  <c r="X68" i="1"/>
  <c r="K54" i="1"/>
  <c r="K57" i="1" s="1"/>
  <c r="J54" i="1"/>
  <c r="J57" i="1" s="1"/>
  <c r="I62" i="1"/>
  <c r="I109" i="1" s="1"/>
  <c r="X18" i="1"/>
  <c r="R62" i="1"/>
  <c r="R109" i="1" s="1"/>
  <c r="P62" i="1"/>
  <c r="P109" i="1" s="1"/>
  <c r="P54" i="1"/>
  <c r="P57" i="1" s="1"/>
  <c r="P58" i="1" s="1"/>
  <c r="P104" i="1" s="1"/>
  <c r="S54" i="1"/>
  <c r="S57" i="1" s="1"/>
  <c r="Y36" i="1"/>
  <c r="X36" i="1"/>
  <c r="Q54" i="1"/>
  <c r="Q57" i="1" s="1"/>
  <c r="U54" i="1"/>
  <c r="U57" i="1" s="1"/>
  <c r="E62" i="1"/>
  <c r="M54" i="1"/>
  <c r="M57" i="1" s="1"/>
  <c r="M58" i="1" s="1"/>
  <c r="M104" i="1" s="1"/>
  <c r="L54" i="1"/>
  <c r="L57" i="1" s="1"/>
  <c r="L58" i="1" s="1"/>
  <c r="L104" i="1" s="1"/>
  <c r="R54" i="1"/>
  <c r="R57" i="1" s="1"/>
  <c r="R58" i="1" s="1"/>
  <c r="R104" i="1" s="1"/>
  <c r="N54" i="1"/>
  <c r="N57" i="1" s="1"/>
  <c r="N58" i="1" s="1"/>
  <c r="N104" i="1" s="1"/>
  <c r="J111" i="2" l="1"/>
  <c r="J114" i="2" s="1"/>
  <c r="J128" i="2" s="1"/>
  <c r="I121" i="2"/>
  <c r="J119" i="2"/>
  <c r="F131" i="2"/>
  <c r="F141" i="2" s="1"/>
  <c r="F148" i="2" s="1"/>
  <c r="G129" i="2"/>
  <c r="F126" i="2"/>
  <c r="F140" i="2" s="1"/>
  <c r="F146" i="2" s="1"/>
  <c r="G124" i="2"/>
  <c r="I128" i="2"/>
  <c r="I123" i="2"/>
  <c r="E141" i="2"/>
  <c r="E148" i="2" s="1"/>
  <c r="E140" i="2"/>
  <c r="E146" i="2" s="1"/>
  <c r="C60" i="1"/>
  <c r="C62" i="1" s="1"/>
  <c r="C53" i="1"/>
  <c r="C58" i="1" s="1"/>
  <c r="C104" i="1" s="1"/>
  <c r="Q58" i="1"/>
  <c r="Q104" i="1" s="1"/>
  <c r="U58" i="1"/>
  <c r="U104" i="1" s="1"/>
  <c r="O58" i="1"/>
  <c r="O104" i="1" s="1"/>
  <c r="S58" i="1"/>
  <c r="S104" i="1" s="1"/>
  <c r="J58" i="1"/>
  <c r="J104" i="1" s="1"/>
  <c r="K58" i="1"/>
  <c r="K104" i="1" s="1"/>
  <c r="X53" i="1"/>
  <c r="Y60" i="1"/>
  <c r="F97" i="1"/>
  <c r="J123" i="2" l="1"/>
  <c r="J121" i="2"/>
  <c r="K119" i="2"/>
  <c r="G126" i="2"/>
  <c r="H124" i="2"/>
  <c r="H129" i="2"/>
  <c r="G131" i="2"/>
  <c r="G141" i="2" s="1"/>
  <c r="G148" i="2" s="1"/>
  <c r="E104" i="1"/>
  <c r="E109" i="1"/>
  <c r="C105" i="1"/>
  <c r="D105" i="1" s="1"/>
  <c r="D107" i="1" s="1"/>
  <c r="C109" i="1"/>
  <c r="C110" i="1" s="1"/>
  <c r="Y53" i="1"/>
  <c r="X60" i="1"/>
  <c r="Y62" i="1"/>
  <c r="X58" i="1"/>
  <c r="X62" i="1"/>
  <c r="Y58" i="1"/>
  <c r="G97" i="1"/>
  <c r="F100" i="1"/>
  <c r="K121" i="2" l="1"/>
  <c r="L119" i="2"/>
  <c r="H126" i="2"/>
  <c r="H140" i="2" s="1"/>
  <c r="H146" i="2" s="1"/>
  <c r="I124" i="2"/>
  <c r="I129" i="2"/>
  <c r="H131" i="2"/>
  <c r="G140" i="2"/>
  <c r="D121" i="1"/>
  <c r="D126" i="1" s="1"/>
  <c r="C107" i="1"/>
  <c r="C121" i="1" s="1"/>
  <c r="D110" i="1"/>
  <c r="C112" i="1"/>
  <c r="F109" i="1"/>
  <c r="F104" i="1"/>
  <c r="E105" i="1"/>
  <c r="E107" i="1" s="1"/>
  <c r="C126" i="1"/>
  <c r="G100" i="1"/>
  <c r="H97" i="1"/>
  <c r="H100" i="1" s="1"/>
  <c r="M119" i="2" l="1"/>
  <c r="L121" i="2"/>
  <c r="J124" i="2"/>
  <c r="I126" i="2"/>
  <c r="H141" i="2"/>
  <c r="H148" i="2" s="1"/>
  <c r="G146" i="2"/>
  <c r="J129" i="2"/>
  <c r="I131" i="2"/>
  <c r="I141" i="2" s="1"/>
  <c r="I148" i="2" s="1"/>
  <c r="E121" i="1"/>
  <c r="E126" i="1" s="1"/>
  <c r="C122" i="1"/>
  <c r="C129" i="1" s="1"/>
  <c r="G104" i="1"/>
  <c r="G109" i="1"/>
  <c r="H104" i="1"/>
  <c r="H109" i="1"/>
  <c r="D112" i="1"/>
  <c r="E110" i="1"/>
  <c r="F105" i="1"/>
  <c r="G105" i="1" s="1"/>
  <c r="H105" i="1" s="1"/>
  <c r="N119" i="2" l="1"/>
  <c r="M121" i="2"/>
  <c r="I140" i="2"/>
  <c r="K129" i="2"/>
  <c r="J131" i="2"/>
  <c r="K124" i="2"/>
  <c r="J126" i="2"/>
  <c r="J140" i="2" s="1"/>
  <c r="J146" i="2" s="1"/>
  <c r="D122" i="1"/>
  <c r="D129" i="1" s="1"/>
  <c r="F110" i="1"/>
  <c r="E112" i="1"/>
  <c r="G107" i="1"/>
  <c r="F107" i="1"/>
  <c r="F121" i="1" s="1"/>
  <c r="I105" i="1"/>
  <c r="H107" i="1"/>
  <c r="O119" i="2" l="1"/>
  <c r="N121" i="2"/>
  <c r="L124" i="2"/>
  <c r="K126" i="2"/>
  <c r="K140" i="2" s="1"/>
  <c r="K146" i="2" s="1"/>
  <c r="I146" i="2"/>
  <c r="J141" i="2"/>
  <c r="J148" i="2" s="1"/>
  <c r="K131" i="2"/>
  <c r="K141" i="2" s="1"/>
  <c r="K148" i="2" s="1"/>
  <c r="L129" i="2"/>
  <c r="G121" i="1"/>
  <c r="G126" i="1" s="1"/>
  <c r="H121" i="1"/>
  <c r="H126" i="1" s="1"/>
  <c r="E122" i="1"/>
  <c r="E129" i="1" s="1"/>
  <c r="F126" i="1"/>
  <c r="G110" i="1"/>
  <c r="F112" i="1"/>
  <c r="J105" i="1"/>
  <c r="I107" i="1"/>
  <c r="O121" i="2" l="1"/>
  <c r="P119" i="2"/>
  <c r="L131" i="2"/>
  <c r="L141" i="2" s="1"/>
  <c r="L148" i="2" s="1"/>
  <c r="M129" i="2"/>
  <c r="M124" i="2"/>
  <c r="L126" i="2"/>
  <c r="L140" i="2" s="1"/>
  <c r="I121" i="1"/>
  <c r="I126" i="1" s="1"/>
  <c r="F122" i="1"/>
  <c r="F129" i="1" s="1"/>
  <c r="H110" i="1"/>
  <c r="G112" i="1"/>
  <c r="K105" i="1"/>
  <c r="J107" i="1"/>
  <c r="P121" i="2" l="1"/>
  <c r="Q119" i="2"/>
  <c r="M131" i="2"/>
  <c r="M141" i="2" s="1"/>
  <c r="M148" i="2" s="1"/>
  <c r="N129" i="2"/>
  <c r="L146" i="2"/>
  <c r="M126" i="2"/>
  <c r="M140" i="2" s="1"/>
  <c r="M146" i="2" s="1"/>
  <c r="N124" i="2"/>
  <c r="J121" i="1"/>
  <c r="J126" i="1" s="1"/>
  <c r="G122" i="1"/>
  <c r="G129" i="1" s="1"/>
  <c r="I110" i="1"/>
  <c r="H112" i="1"/>
  <c r="L105" i="1"/>
  <c r="K107" i="1"/>
  <c r="Q121" i="2" l="1"/>
  <c r="R119" i="2"/>
  <c r="N131" i="2"/>
  <c r="N141" i="2" s="1"/>
  <c r="N148" i="2" s="1"/>
  <c r="O129" i="2"/>
  <c r="N126" i="2"/>
  <c r="N140" i="2" s="1"/>
  <c r="O124" i="2"/>
  <c r="K121" i="1"/>
  <c r="K126" i="1" s="1"/>
  <c r="H122" i="1"/>
  <c r="H129" i="1" s="1"/>
  <c r="J110" i="1"/>
  <c r="I112" i="1"/>
  <c r="M105" i="1"/>
  <c r="L107" i="1"/>
  <c r="R121" i="2" l="1"/>
  <c r="S119" i="2"/>
  <c r="N146" i="2"/>
  <c r="O126" i="2"/>
  <c r="O140" i="2" s="1"/>
  <c r="O146" i="2" s="1"/>
  <c r="P124" i="2"/>
  <c r="P129" i="2"/>
  <c r="O131" i="2"/>
  <c r="O141" i="2" s="1"/>
  <c r="O148" i="2" s="1"/>
  <c r="I122" i="1"/>
  <c r="I129" i="1" s="1"/>
  <c r="L121" i="1"/>
  <c r="L126" i="1" s="1"/>
  <c r="K110" i="1"/>
  <c r="J112" i="1"/>
  <c r="N105" i="1"/>
  <c r="M107" i="1"/>
  <c r="T119" i="2" l="1"/>
  <c r="S121" i="2"/>
  <c r="P126" i="2"/>
  <c r="P140" i="2" s="1"/>
  <c r="P146" i="2" s="1"/>
  <c r="Q124" i="2"/>
  <c r="Q129" i="2"/>
  <c r="P131" i="2"/>
  <c r="P141" i="2" s="1"/>
  <c r="P148" i="2" s="1"/>
  <c r="J122" i="1"/>
  <c r="J129" i="1" s="1"/>
  <c r="M121" i="1"/>
  <c r="M126" i="1" s="1"/>
  <c r="L110" i="1"/>
  <c r="K112" i="1"/>
  <c r="O105" i="1"/>
  <c r="N107" i="1"/>
  <c r="U119" i="2" l="1"/>
  <c r="T121" i="2"/>
  <c r="R129" i="2"/>
  <c r="Q131" i="2"/>
  <c r="Q141" i="2" s="1"/>
  <c r="Q148" i="2" s="1"/>
  <c r="R124" i="2"/>
  <c r="Q126" i="2"/>
  <c r="Q140" i="2" s="1"/>
  <c r="Q146" i="2" s="1"/>
  <c r="K122" i="1"/>
  <c r="K129" i="1" s="1"/>
  <c r="N121" i="1"/>
  <c r="N126" i="1" s="1"/>
  <c r="M110" i="1"/>
  <c r="L112" i="1"/>
  <c r="P105" i="1"/>
  <c r="O107" i="1"/>
  <c r="V119" i="2" l="1"/>
  <c r="U121" i="2"/>
  <c r="S124" i="2"/>
  <c r="R126" i="2"/>
  <c r="R140" i="2" s="1"/>
  <c r="R146" i="2" s="1"/>
  <c r="S129" i="2"/>
  <c r="R131" i="2"/>
  <c r="R141" i="2" s="1"/>
  <c r="R148" i="2" s="1"/>
  <c r="L122" i="1"/>
  <c r="L129" i="1" s="1"/>
  <c r="O121" i="1"/>
  <c r="O126" i="1" s="1"/>
  <c r="N110" i="1"/>
  <c r="M112" i="1"/>
  <c r="Q105" i="1"/>
  <c r="P107" i="1"/>
  <c r="W119" i="2" l="1"/>
  <c r="V121" i="2"/>
  <c r="S131" i="2"/>
  <c r="S141" i="2" s="1"/>
  <c r="S148" i="2" s="1"/>
  <c r="T129" i="2"/>
  <c r="T124" i="2"/>
  <c r="S126" i="2"/>
  <c r="S140" i="2" s="1"/>
  <c r="S146" i="2" s="1"/>
  <c r="M122" i="1"/>
  <c r="M129" i="1" s="1"/>
  <c r="P121" i="1"/>
  <c r="P126" i="1" s="1"/>
  <c r="O110" i="1"/>
  <c r="N112" i="1"/>
  <c r="R105" i="1"/>
  <c r="Q107" i="1"/>
  <c r="W121" i="2" l="1"/>
  <c r="X119" i="2"/>
  <c r="T131" i="2"/>
  <c r="T141" i="2" s="1"/>
  <c r="T148" i="2" s="1"/>
  <c r="U129" i="2"/>
  <c r="U124" i="2"/>
  <c r="T126" i="2"/>
  <c r="T140" i="2" s="1"/>
  <c r="T146" i="2" s="1"/>
  <c r="N122" i="1"/>
  <c r="N129" i="1" s="1"/>
  <c r="Q121" i="1"/>
  <c r="Q126" i="1" s="1"/>
  <c r="P110" i="1"/>
  <c r="O112" i="1"/>
  <c r="S105" i="1"/>
  <c r="R107" i="1"/>
  <c r="X121" i="2" l="1"/>
  <c r="Y119" i="2"/>
  <c r="Y121" i="2" s="1"/>
  <c r="U126" i="2"/>
  <c r="U140" i="2" s="1"/>
  <c r="U146" i="2" s="1"/>
  <c r="V124" i="2"/>
  <c r="U131" i="2"/>
  <c r="U141" i="2" s="1"/>
  <c r="U148" i="2" s="1"/>
  <c r="V129" i="2"/>
  <c r="R121" i="1"/>
  <c r="R126" i="1" s="1"/>
  <c r="O122" i="1"/>
  <c r="O129" i="1" s="1"/>
  <c r="Q110" i="1"/>
  <c r="P112" i="1"/>
  <c r="T105" i="1"/>
  <c r="S107" i="1"/>
  <c r="Z121" i="2" l="1"/>
  <c r="AA121" i="2"/>
  <c r="V126" i="2"/>
  <c r="V140" i="2" s="1"/>
  <c r="V146" i="2" s="1"/>
  <c r="W124" i="2"/>
  <c r="V131" i="2"/>
  <c r="V141" i="2" s="1"/>
  <c r="V148" i="2" s="1"/>
  <c r="W129" i="2"/>
  <c r="S121" i="1"/>
  <c r="S126" i="1" s="1"/>
  <c r="P122" i="1"/>
  <c r="P129" i="1" s="1"/>
  <c r="R110" i="1"/>
  <c r="Q112" i="1"/>
  <c r="U105" i="1"/>
  <c r="T107" i="1"/>
  <c r="W126" i="2" l="1"/>
  <c r="W140" i="2" s="1"/>
  <c r="W146" i="2" s="1"/>
  <c r="X124" i="2"/>
  <c r="X129" i="2"/>
  <c r="W131" i="2"/>
  <c r="W141" i="2" s="1"/>
  <c r="W148" i="2" s="1"/>
  <c r="T121" i="1"/>
  <c r="T126" i="1" s="1"/>
  <c r="Q122" i="1"/>
  <c r="Q129" i="1" s="1"/>
  <c r="S110" i="1"/>
  <c r="R112" i="1"/>
  <c r="V105" i="1"/>
  <c r="U107" i="1"/>
  <c r="Y129" i="2" l="1"/>
  <c r="Y131" i="2" s="1"/>
  <c r="X131" i="2"/>
  <c r="X141" i="2" s="1"/>
  <c r="X148" i="2" s="1"/>
  <c r="X126" i="2"/>
  <c r="X140" i="2" s="1"/>
  <c r="X146" i="2" s="1"/>
  <c r="Y124" i="2"/>
  <c r="Y126" i="2" s="1"/>
  <c r="R122" i="1"/>
  <c r="R129" i="1" s="1"/>
  <c r="U121" i="1"/>
  <c r="U126" i="1" s="1"/>
  <c r="T110" i="1"/>
  <c r="S112" i="1"/>
  <c r="W105" i="1"/>
  <c r="V107" i="1"/>
  <c r="V121" i="1" s="1"/>
  <c r="Y141" i="2" l="1"/>
  <c r="Y148" i="2" s="1"/>
  <c r="Z131" i="2"/>
  <c r="Z141" i="2" s="1"/>
  <c r="AA131" i="2"/>
  <c r="Y140" i="2"/>
  <c r="Z126" i="2"/>
  <c r="AA126" i="2"/>
  <c r="S122" i="1"/>
  <c r="S129" i="1" s="1"/>
  <c r="V126" i="1"/>
  <c r="U110" i="1"/>
  <c r="T112" i="1"/>
  <c r="W107" i="1"/>
  <c r="AA141" i="2" l="1"/>
  <c r="Y146" i="2"/>
  <c r="AA140" i="2"/>
  <c r="AB121" i="2" s="1"/>
  <c r="Z140" i="2"/>
  <c r="AA148" i="2"/>
  <c r="AB148" i="2" s="1"/>
  <c r="Z149" i="2"/>
  <c r="Z148" i="2"/>
  <c r="W121" i="1"/>
  <c r="Y121" i="1" s="1"/>
  <c r="Z36" i="1" s="1"/>
  <c r="T122" i="1"/>
  <c r="T129" i="1" s="1"/>
  <c r="V110" i="1"/>
  <c r="U112" i="1"/>
  <c r="X107" i="1"/>
  <c r="Y107" i="1"/>
  <c r="AB80" i="2" l="1"/>
  <c r="AB81" i="2"/>
  <c r="AB40" i="2"/>
  <c r="AB126" i="2"/>
  <c r="AB34" i="2"/>
  <c r="AB141" i="2"/>
  <c r="AB36" i="2"/>
  <c r="AB48" i="2"/>
  <c r="AB42" i="2"/>
  <c r="AB77" i="2"/>
  <c r="AB131" i="2"/>
  <c r="AB140" i="2"/>
  <c r="AB35" i="2"/>
  <c r="AB41" i="2"/>
  <c r="AB84" i="2"/>
  <c r="AB47" i="2"/>
  <c r="AB73" i="2"/>
  <c r="Z147" i="2"/>
  <c r="AA146" i="2"/>
  <c r="AB146" i="2" s="1"/>
  <c r="Z146" i="2"/>
  <c r="W126" i="1"/>
  <c r="Y126" i="1" s="1"/>
  <c r="Z126" i="1" s="1"/>
  <c r="X121" i="1"/>
  <c r="Z107" i="1"/>
  <c r="Z29" i="1"/>
  <c r="U122" i="1"/>
  <c r="U129" i="1" s="1"/>
  <c r="Z58" i="1"/>
  <c r="Z22" i="1"/>
  <c r="Z68" i="1"/>
  <c r="Z121" i="1"/>
  <c r="W110" i="1"/>
  <c r="W112" i="1" s="1"/>
  <c r="V112" i="1"/>
  <c r="V122" i="1" s="1"/>
  <c r="X126" i="1"/>
  <c r="X127" i="1"/>
  <c r="W122" i="1" l="1"/>
  <c r="W129" i="1" s="1"/>
  <c r="Y112" i="1"/>
  <c r="X112" i="1"/>
  <c r="X122" i="1" s="1"/>
  <c r="Y122" i="1" l="1"/>
  <c r="Z122" i="1" s="1"/>
  <c r="V129" i="1"/>
  <c r="Z24" i="1" l="1"/>
  <c r="Z31" i="1"/>
  <c r="Z38" i="1"/>
  <c r="Z62" i="1"/>
  <c r="Z70" i="1"/>
  <c r="Z112" i="1"/>
  <c r="X130" i="1"/>
  <c r="Y129" i="1"/>
  <c r="Z129" i="1" s="1"/>
  <c r="X12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F10" authorId="0" shapeId="0" xr:uid="{C01B2AAD-3619-4352-BDD0-404851EA0862}">
      <text>
        <r>
          <rPr>
            <sz val="9"/>
            <color indexed="81"/>
            <rFont val="Tahoma"/>
            <family val="2"/>
          </rPr>
          <t>Cacul sur la base des productions mensuelles</t>
        </r>
      </text>
    </comment>
  </commentList>
</comments>
</file>

<file path=xl/sharedStrings.xml><?xml version="1.0" encoding="utf-8"?>
<sst xmlns="http://schemas.openxmlformats.org/spreadsheetml/2006/main" count="520" uniqueCount="125">
  <si>
    <t>Variable</t>
  </si>
  <si>
    <t>Unité</t>
  </si>
  <si>
    <t>SOMME</t>
  </si>
  <si>
    <t>VAN</t>
  </si>
  <si>
    <t>Production annuelle</t>
  </si>
  <si>
    <t>bbl/j</t>
  </si>
  <si>
    <t>USD/bbl</t>
  </si>
  <si>
    <t>USD</t>
  </si>
  <si>
    <t>Flux nets de trésorerie avant impôts</t>
  </si>
  <si>
    <t>%</t>
  </si>
  <si>
    <t>DROITS FIXES</t>
  </si>
  <si>
    <t>Droits fixes</t>
  </si>
  <si>
    <t>REDEVANCE SUPERFICIAIRE</t>
  </si>
  <si>
    <t>Superficie</t>
  </si>
  <si>
    <t>km²</t>
  </si>
  <si>
    <t>REDEVANCE PETROLIERE</t>
  </si>
  <si>
    <t>Taux</t>
  </si>
  <si>
    <t>Redevance pétrolière</t>
  </si>
  <si>
    <t>Cost stop</t>
  </si>
  <si>
    <t>Remboursement du principal</t>
  </si>
  <si>
    <t>Part de l'Etat</t>
  </si>
  <si>
    <t>Charges d'amortissement</t>
  </si>
  <si>
    <t>Bénéfice comptable</t>
  </si>
  <si>
    <t>Charges d'intérêt</t>
  </si>
  <si>
    <t>Impôt sur les sociétés</t>
  </si>
  <si>
    <t>IMPÔT SUR LES SOCIETES</t>
  </si>
  <si>
    <t>PARTICIPATION DE L'ETAT</t>
  </si>
  <si>
    <t>Flux nets de trésorerie après impôts</t>
  </si>
  <si>
    <t>Profit pétrolier</t>
  </si>
  <si>
    <t>Amortissement 1</t>
  </si>
  <si>
    <t>Amortissement 2</t>
  </si>
  <si>
    <t>Amortissement 3</t>
  </si>
  <si>
    <t>Amortissement 4</t>
  </si>
  <si>
    <t>Amortissement 5</t>
  </si>
  <si>
    <t>Amortissement 6</t>
  </si>
  <si>
    <t>Amortissement 7</t>
  </si>
  <si>
    <t>Amortissement 8</t>
  </si>
  <si>
    <t>Amortissement 9</t>
  </si>
  <si>
    <t>Amortissement 10</t>
  </si>
  <si>
    <t>Amortissement 11</t>
  </si>
  <si>
    <t>Amortissement 12</t>
  </si>
  <si>
    <t>Amortissement 13</t>
  </si>
  <si>
    <t>Amortissement 14</t>
  </si>
  <si>
    <t>Amortissement 15</t>
  </si>
  <si>
    <t>Amortissement 16</t>
  </si>
  <si>
    <t>Amortissement 17</t>
  </si>
  <si>
    <t>Amortissement 18</t>
  </si>
  <si>
    <t>Amortissement 19</t>
  </si>
  <si>
    <t>Amortissement 20</t>
  </si>
  <si>
    <t>CAPEX total</t>
  </si>
  <si>
    <t>REVENUS</t>
  </si>
  <si>
    <t>Production journalière</t>
  </si>
  <si>
    <t>Cours</t>
  </si>
  <si>
    <t>bbl</t>
  </si>
  <si>
    <t>Chiffres d'affaires</t>
  </si>
  <si>
    <t>COÛTS</t>
  </si>
  <si>
    <t>OPEX unitaire</t>
  </si>
  <si>
    <t>OPEX total</t>
  </si>
  <si>
    <t>Coûts totaux</t>
  </si>
  <si>
    <t>FLUX NETS DE TRESORERIE avant impôts</t>
  </si>
  <si>
    <t>Rente économique</t>
  </si>
  <si>
    <t>Taux de rendement interne (TRI avant impôts</t>
  </si>
  <si>
    <t>TRI avant impôts</t>
  </si>
  <si>
    <t>Code pétrolier 2019</t>
  </si>
  <si>
    <t>Convention Sangomar</t>
  </si>
  <si>
    <t>Redevance superfiaire</t>
  </si>
  <si>
    <t>Coûts récupérables</t>
  </si>
  <si>
    <t>COÛTS A RECUPERER</t>
  </si>
  <si>
    <t>COST STOP</t>
  </si>
  <si>
    <t>PROFIT PETROLIER</t>
  </si>
  <si>
    <t>Facteur R</t>
  </si>
  <si>
    <t>Facteur = (Chiffre d'affaires passés - Redevance pétrolière passée) / CAPEX passé</t>
  </si>
  <si>
    <t>Facteur = Revenus cumulés [hors redevance pétrolière] / Investissements cumulés</t>
  </si>
  <si>
    <t>TAXE A L'EXPORTATION</t>
  </si>
  <si>
    <t>Production exportée</t>
  </si>
  <si>
    <t>Taxe à l'exportation</t>
  </si>
  <si>
    <t>AMORTISSEMENTS</t>
  </si>
  <si>
    <t>Amortissement 21</t>
  </si>
  <si>
    <t>EMPRUNT</t>
  </si>
  <si>
    <t>Capital restant dû</t>
  </si>
  <si>
    <t>Taux d'intérêt</t>
  </si>
  <si>
    <t>Bénéfice fiscal</t>
  </si>
  <si>
    <t>FLUX NETS DE TRESORERIE après impôts</t>
  </si>
  <si>
    <t>TOTAL DES PRELEMENTS PUBLICS</t>
  </si>
  <si>
    <t>Part de l'Etat / TEMI</t>
  </si>
  <si>
    <t>Part des contracteurs</t>
  </si>
  <si>
    <t>Taux de rendement interne (TRI) après impôts</t>
  </si>
  <si>
    <t>TRI après impôts</t>
  </si>
  <si>
    <t>Part des droits fixes dans les recettes</t>
  </si>
  <si>
    <t>Part de la redevance superficiaire dans les recettes</t>
  </si>
  <si>
    <t>Part de la redevance pétrolière dans les recettes</t>
  </si>
  <si>
    <t>Part du partage de production dans les recettes</t>
  </si>
  <si>
    <t>Part de la taxe à l'exportation dans les recettes</t>
  </si>
  <si>
    <t>Part de l'impôt sur les sociétés dans les recettes</t>
  </si>
  <si>
    <t>Remarques</t>
  </si>
  <si>
    <t>Convention</t>
  </si>
  <si>
    <t>Volume produit</t>
  </si>
  <si>
    <t>Volume commercialisé</t>
  </si>
  <si>
    <t>millions de bbl</t>
  </si>
  <si>
    <t>MEPM</t>
  </si>
  <si>
    <t>Parts</t>
  </si>
  <si>
    <t>woodside</t>
  </si>
  <si>
    <t>Petrosen</t>
  </si>
  <si>
    <t>Valeur</t>
  </si>
  <si>
    <t>Annexes 39</t>
  </si>
  <si>
    <t>Historique</t>
  </si>
  <si>
    <t>Code pétrolier 1998</t>
  </si>
  <si>
    <t>Coûts de fermeture et de réhabilitation</t>
  </si>
  <si>
    <t>Coût unitaire de transport</t>
  </si>
  <si>
    <t>Taxe à l'exportation , aucune sur le code pétrolier 1998</t>
  </si>
  <si>
    <t xml:space="preserve">Taxe à l'exportation , aucune dans la convention </t>
  </si>
  <si>
    <t>Taux de rendement interne (TRI avant impôts)</t>
  </si>
  <si>
    <t xml:space="preserve">Convention </t>
  </si>
  <si>
    <t>Non appliqué</t>
  </si>
  <si>
    <t>Article 42</t>
  </si>
  <si>
    <t>E14-E24-E114-E120-E38-E44-E51-E90-E79</t>
  </si>
  <si>
    <t>TOTAL DES PRELEVEMENTS PUBLICS</t>
  </si>
  <si>
    <t xml:space="preserve">Coût d'extraction et de traitement </t>
  </si>
  <si>
    <t>Coûts de transport</t>
  </si>
  <si>
    <t>Coût unitaire d'extraction et de traitement</t>
  </si>
  <si>
    <t>Coût liés aux services personnels</t>
  </si>
  <si>
    <t>MEPM + Convention</t>
  </si>
  <si>
    <t>Autres</t>
  </si>
  <si>
    <t>Article46</t>
  </si>
  <si>
    <t>Convention article 23.1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</si>
</sst>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_-* #,##0\ &quot;€&quot;_-;\-* #,##0\ &quot;€&quot;_-;_-* &quot;-&quot;\ &quot;€&quot;_-;_-@_-"/>
    <numFmt numFmtId="165" formatCode="_-* #,##0.00\ &quot;€&quot;_-;\-* #,##0.00\ &quot;€&quot;_-;_-* &quot;-&quot;??\ &quot;€&quot;_-;_-@_-"/>
    <numFmt numFmtId="166" formatCode="_-* #,##0\ _€_-;\-* #,##0\ _€_-;_-* &quot;-&quot;\ _€_-;_-@_-"/>
    <numFmt numFmtId="167" formatCode="_-* #,##0.00\ _€_-;\-* #,##0.00\ _€_-;_-* &quot;-&quot;??\ _€_-;_-@_-"/>
    <numFmt numFmtId="168" formatCode="0.0%"/>
    <numFmt numFmtId="169" formatCode="#,##0_);\(#,##0\);&quot;-  &quot;;&quot; &quot;@&quot; &quot;"/>
    <numFmt numFmtId="170" formatCode="0.00%_);\-0.00%_);&quot;-  &quot;;&quot; &quot;@&quot; &quot;"/>
    <numFmt numFmtId="171" formatCode="#,##0.0000_);\(#,##0.0000\);&quot;-  &quot;;&quot; &quot;@&quot; &quot;"/>
    <numFmt numFmtId="172" formatCode="###0_);\(###0\);&quot;-  &quot;;&quot; &quot;@&quot; &quot;"/>
    <numFmt numFmtId="173" formatCode="dd\ mmm\ yyyy_);\(###0\);&quot;-  &quot;;&quot; &quot;@&quot; &quot;"/>
    <numFmt numFmtId="174" formatCode="dd\ mmm\ yy_);\(###0\);&quot;-  &quot;;&quot; &quot;@&quot; &quot;"/>
    <numFmt numFmtId="175" formatCode="0.00_)%_);\(0.00\)%_);&quot;-  &quot;;&quot; &quot;@&quot; &quot;"/>
  </numFmts>
  <fonts count="28" x14ac:knownFonts="1"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  <font>
      <sz val="10"/>
      <color theme="0"/>
      <name val="Times New Roman"/>
      <family val="1"/>
    </font>
    <font>
      <b/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rgb="FFFFC000"/>
      <name val="Times New Roman"/>
      <family val="1"/>
    </font>
    <font>
      <sz val="9"/>
      <color indexed="81"/>
      <name val="Tahoma"/>
      <family val="2"/>
    </font>
    <font>
      <sz val="11"/>
      <color rgb="FF000000"/>
      <name val="Calibri"/>
      <family val="2"/>
    </font>
    <font>
      <b/>
      <sz val="10"/>
      <name val="Times New Roman"/>
      <family val="1"/>
    </font>
    <font>
      <b/>
      <sz val="10"/>
      <color rgb="FFFF0000"/>
      <name val="Times New Roman"/>
      <family val="1"/>
    </font>
    <font>
      <sz val="10"/>
      <color theme="1"/>
      <name val="Arial"/>
      <family val="2"/>
    </font>
    <font>
      <u/>
      <sz val="9.35"/>
      <color theme="10"/>
      <name val="Calibri"/>
      <family val="2"/>
    </font>
    <font>
      <sz val="11"/>
      <name val="Calibri"/>
      <family val="2"/>
      <scheme val="minor"/>
    </font>
    <font>
      <sz val="10"/>
      <name val="Arial"/>
      <family val="2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65">
    <xf numFmtId="0" fontId="0" fillId="0" borderId="0">
      <alignment horizontal="left" vertical="top"/>
    </xf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6" fillId="5" borderId="1" applyNumberFormat="0" applyAlignment="0" applyProtection="0"/>
    <xf numFmtId="0" fontId="7" fillId="6" borderId="2" applyNumberFormat="0" applyAlignment="0" applyProtection="0"/>
    <xf numFmtId="0" fontId="8" fillId="6" borderId="1" applyNumberFormat="0" applyAlignment="0" applyProtection="0"/>
    <xf numFmtId="0" fontId="9" fillId="0" borderId="3" applyNumberFormat="0" applyFill="0" applyAlignment="0" applyProtection="0"/>
    <xf numFmtId="0" fontId="10" fillId="7" borderId="4" applyNumberFormat="0" applyAlignment="0" applyProtection="0"/>
    <xf numFmtId="0" fontId="11" fillId="0" borderId="0" applyNumberFormat="0" applyFill="0" applyBorder="0" applyAlignment="0" applyProtection="0"/>
    <xf numFmtId="0" fontId="2" fillId="8" borderId="5" applyNumberFormat="0" applyFont="0" applyAlignment="0" applyProtection="0"/>
    <xf numFmtId="0" fontId="12" fillId="0" borderId="0" applyNumberFormat="0" applyFill="0" applyBorder="0" applyAlignment="0" applyProtection="0"/>
    <xf numFmtId="0" fontId="13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3" fillId="32" borderId="0" applyNumberFormat="0" applyBorder="0" applyAlignment="0" applyProtection="0"/>
    <xf numFmtId="0" fontId="14" fillId="0" borderId="0" applyNumberFormat="0" applyFont="0" applyFill="0" applyBorder="0" applyAlignment="0" applyProtection="0">
      <alignment horizontal="left" vertical="top"/>
    </xf>
    <xf numFmtId="0" fontId="14" fillId="0" borderId="0" applyNumberFormat="0" applyFont="0" applyFill="0" applyBorder="0" applyAlignment="0" applyProtection="0">
      <alignment horizontal="left" vertical="top"/>
    </xf>
    <xf numFmtId="167" fontId="1" fillId="0" borderId="0" applyFont="0" applyFill="0" applyBorder="0" applyAlignment="0" applyProtection="0"/>
    <xf numFmtId="0" fontId="21" fillId="0" borderId="0"/>
    <xf numFmtId="169" fontId="24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0" fontId="25" fillId="0" borderId="0" applyNumberFormat="0" applyFill="0" applyBorder="0" applyAlignment="0" applyProtection="0">
      <alignment vertical="top"/>
      <protection locked="0"/>
    </xf>
    <xf numFmtId="0" fontId="1" fillId="0" borderId="0"/>
    <xf numFmtId="171" fontId="24" fillId="0" borderId="0" applyFont="0" applyFill="0" applyBorder="0" applyProtection="0">
      <alignment vertical="top"/>
    </xf>
    <xf numFmtId="173" fontId="24" fillId="0" borderId="0" applyFont="0" applyFill="0" applyBorder="0" applyProtection="0">
      <alignment vertical="top"/>
    </xf>
    <xf numFmtId="174" fontId="24" fillId="0" borderId="0" applyFont="0" applyFill="0" applyBorder="0" applyProtection="0">
      <alignment vertical="top"/>
    </xf>
    <xf numFmtId="172" fontId="24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3" fontId="1" fillId="0" borderId="0" applyFont="0" applyFill="0" applyBorder="0" applyProtection="0">
      <alignment vertical="top"/>
    </xf>
    <xf numFmtId="174" fontId="27" fillId="0" borderId="0" applyFont="0" applyFill="0" applyBorder="0" applyProtection="0">
      <alignment vertical="top"/>
    </xf>
    <xf numFmtId="43" fontId="1" fillId="0" borderId="0" applyFont="0" applyFill="0" applyBorder="0" applyAlignment="0" applyProtection="0"/>
    <xf numFmtId="170" fontId="1" fillId="0" borderId="0" applyFont="0" applyFill="0" applyBorder="0" applyProtection="0">
      <alignment vertical="top"/>
    </xf>
    <xf numFmtId="175" fontId="1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3" fontId="1" fillId="0" borderId="0" applyFont="0" applyFill="0" applyBorder="0" applyProtection="0">
      <alignment vertical="top"/>
    </xf>
    <xf numFmtId="43" fontId="1" fillId="0" borderId="0" applyFont="0" applyFill="0" applyBorder="0" applyAlignment="0" applyProtection="0"/>
    <xf numFmtId="170" fontId="1" fillId="0" borderId="0" applyFont="0" applyFill="0" applyBorder="0" applyProtection="0">
      <alignment vertical="top"/>
    </xf>
    <xf numFmtId="172" fontId="26" fillId="0" borderId="0" applyFont="0" applyFill="0" applyBorder="0" applyProtection="0">
      <alignment vertical="top"/>
    </xf>
  </cellStyleXfs>
  <cellXfs count="48">
    <xf numFmtId="0" fontId="0" fillId="0" borderId="0" xfId="0">
      <alignment horizontal="left" vertical="top"/>
    </xf>
    <xf numFmtId="0" fontId="0" fillId="0" borderId="0" xfId="0">
      <alignment horizontal="left" vertical="top"/>
    </xf>
    <xf numFmtId="0" fontId="15" fillId="33" borderId="0" xfId="0" applyFont="1" applyFill="1">
      <alignment horizontal="left" vertical="top"/>
    </xf>
    <xf numFmtId="3" fontId="0" fillId="34" borderId="0" xfId="0" applyNumberFormat="1" applyFill="1" applyAlignment="1">
      <alignment horizontal="right" vertical="top"/>
    </xf>
    <xf numFmtId="3" fontId="0" fillId="35" borderId="0" xfId="0" applyNumberFormat="1" applyFill="1" applyAlignment="1">
      <alignment horizontal="right" vertical="top"/>
    </xf>
    <xf numFmtId="3" fontId="0" fillId="36" borderId="0" xfId="0" applyNumberFormat="1" applyFill="1" applyAlignment="1">
      <alignment horizontal="right" vertical="top"/>
    </xf>
    <xf numFmtId="0" fontId="16" fillId="0" borderId="0" xfId="0" applyFont="1">
      <alignment horizontal="left" vertical="top"/>
    </xf>
    <xf numFmtId="3" fontId="0" fillId="37" borderId="0" xfId="0" applyNumberFormat="1" applyFill="1" applyAlignment="1">
      <alignment horizontal="right" vertical="top"/>
    </xf>
    <xf numFmtId="0" fontId="0" fillId="0" borderId="0" xfId="0" applyFont="1">
      <alignment horizontal="left" vertical="top"/>
    </xf>
    <xf numFmtId="9" fontId="0" fillId="34" borderId="0" xfId="0" applyNumberFormat="1" applyFill="1" applyAlignment="1">
      <alignment horizontal="right" vertical="top"/>
    </xf>
    <xf numFmtId="9" fontId="0" fillId="37" borderId="0" xfId="0" applyNumberFormat="1" applyFill="1" applyAlignment="1">
      <alignment horizontal="right" vertical="top"/>
    </xf>
    <xf numFmtId="0" fontId="14" fillId="0" borderId="0" xfId="0" applyFont="1" applyFill="1">
      <alignment horizontal="left" vertical="top"/>
    </xf>
    <xf numFmtId="0" fontId="17" fillId="0" borderId="0" xfId="0" applyFont="1">
      <alignment horizontal="left" vertical="top"/>
    </xf>
    <xf numFmtId="9" fontId="0" fillId="34" borderId="0" xfId="0" applyNumberFormat="1" applyFill="1">
      <alignment horizontal="left" vertical="top"/>
    </xf>
    <xf numFmtId="0" fontId="18" fillId="0" borderId="0" xfId="0" applyFont="1">
      <alignment horizontal="left" vertical="top"/>
    </xf>
    <xf numFmtId="9" fontId="0" fillId="37" borderId="0" xfId="0" applyNumberFormat="1" applyFill="1">
      <alignment horizontal="left" vertical="top"/>
    </xf>
    <xf numFmtId="4" fontId="0" fillId="34" borderId="0" xfId="0" applyNumberFormat="1" applyFill="1" applyAlignment="1">
      <alignment horizontal="right" vertical="top"/>
    </xf>
    <xf numFmtId="3" fontId="0" fillId="39" borderId="0" xfId="0" applyNumberFormat="1" applyFill="1" applyAlignment="1">
      <alignment horizontal="right" vertical="top"/>
    </xf>
    <xf numFmtId="0" fontId="19" fillId="0" borderId="0" xfId="0" applyFont="1">
      <alignment horizontal="left" vertical="top"/>
    </xf>
    <xf numFmtId="168" fontId="0" fillId="38" borderId="0" xfId="0" applyNumberFormat="1" applyFill="1" applyAlignment="1">
      <alignment horizontal="right" vertical="top"/>
    </xf>
    <xf numFmtId="0" fontId="16" fillId="40" borderId="0" xfId="0" applyFont="1" applyFill="1">
      <alignment horizontal="left" vertical="top"/>
    </xf>
    <xf numFmtId="0" fontId="0" fillId="40" borderId="0" xfId="0" applyFill="1">
      <alignment horizontal="left" vertical="top"/>
    </xf>
    <xf numFmtId="0" fontId="0" fillId="40" borderId="0" xfId="0" applyFont="1" applyFill="1">
      <alignment horizontal="left" vertical="top"/>
    </xf>
    <xf numFmtId="17" fontId="0" fillId="0" borderId="0" xfId="0" applyNumberFormat="1">
      <alignment horizontal="left" vertical="top"/>
    </xf>
    <xf numFmtId="0" fontId="0" fillId="41" borderId="0" xfId="0" applyFill="1">
      <alignment horizontal="left" vertical="top"/>
    </xf>
    <xf numFmtId="0" fontId="16" fillId="41" borderId="0" xfId="0" applyFont="1" applyFill="1">
      <alignment horizontal="left" vertical="top"/>
    </xf>
    <xf numFmtId="3" fontId="0" fillId="41" borderId="0" xfId="0" applyNumberFormat="1" applyFill="1" applyAlignment="1">
      <alignment horizontal="right" vertical="top"/>
    </xf>
    <xf numFmtId="9" fontId="14" fillId="0" borderId="0" xfId="0" applyNumberFormat="1" applyFont="1" applyFill="1">
      <alignment horizontal="left" vertical="top"/>
    </xf>
    <xf numFmtId="0" fontId="14" fillId="41" borderId="0" xfId="0" applyFont="1" applyFill="1">
      <alignment horizontal="left" vertical="top"/>
    </xf>
    <xf numFmtId="9" fontId="0" fillId="41" borderId="0" xfId="0" applyNumberFormat="1" applyFill="1">
      <alignment horizontal="left" vertical="top"/>
    </xf>
    <xf numFmtId="0" fontId="22" fillId="0" borderId="0" xfId="0" applyFont="1" applyFill="1">
      <alignment horizontal="left" vertical="top"/>
    </xf>
    <xf numFmtId="0" fontId="22" fillId="41" borderId="0" xfId="0" applyFont="1" applyFill="1">
      <alignment horizontal="left" vertical="top"/>
    </xf>
    <xf numFmtId="0" fontId="23" fillId="0" borderId="0" xfId="0" applyFont="1">
      <alignment horizontal="left" vertical="top"/>
    </xf>
    <xf numFmtId="0" fontId="17" fillId="42" borderId="0" xfId="0" applyFont="1" applyFill="1">
      <alignment horizontal="left" vertical="top"/>
    </xf>
    <xf numFmtId="0" fontId="0" fillId="42" borderId="0" xfId="0" applyFill="1">
      <alignment horizontal="left" vertical="top"/>
    </xf>
    <xf numFmtId="3" fontId="0" fillId="0" borderId="0" xfId="0" applyNumberFormat="1" applyFill="1" applyAlignment="1">
      <alignment horizontal="right" vertical="top"/>
    </xf>
    <xf numFmtId="0" fontId="0" fillId="0" borderId="0" xfId="0" applyFill="1">
      <alignment horizontal="left" vertical="top"/>
    </xf>
    <xf numFmtId="4" fontId="0" fillId="0" borderId="0" xfId="0" applyNumberFormat="1" applyFill="1" applyAlignment="1">
      <alignment horizontal="right" vertical="top"/>
    </xf>
    <xf numFmtId="9" fontId="0" fillId="0" borderId="0" xfId="0" applyNumberFormat="1" applyFill="1" applyAlignment="1">
      <alignment horizontal="right" vertical="top"/>
    </xf>
    <xf numFmtId="3" fontId="0" fillId="0" borderId="0" xfId="0" applyNumberFormat="1">
      <alignment horizontal="left" vertical="top"/>
    </xf>
    <xf numFmtId="3" fontId="0" fillId="0" borderId="0" xfId="0" applyNumberFormat="1" applyAlignment="1">
      <alignment horizontal="right" vertical="top"/>
    </xf>
    <xf numFmtId="3" fontId="0" fillId="40" borderId="0" xfId="0" applyNumberFormat="1" applyFill="1" applyAlignment="1">
      <alignment horizontal="right" vertical="top"/>
    </xf>
    <xf numFmtId="168" fontId="0" fillId="40" borderId="0" xfId="0" applyNumberFormat="1" applyFill="1" applyAlignment="1">
      <alignment horizontal="right" vertical="top"/>
    </xf>
    <xf numFmtId="0" fontId="19" fillId="40" borderId="0" xfId="0" applyFont="1" applyFill="1">
      <alignment horizontal="left" vertical="top"/>
    </xf>
    <xf numFmtId="0" fontId="0" fillId="43" borderId="0" xfId="0" applyFill="1">
      <alignment horizontal="left" vertical="top"/>
    </xf>
    <xf numFmtId="0" fontId="16" fillId="43" borderId="0" xfId="0" applyFont="1" applyFill="1">
      <alignment horizontal="left" vertical="top"/>
    </xf>
    <xf numFmtId="9" fontId="0" fillId="43" borderId="0" xfId="0" applyNumberFormat="1" applyFill="1">
      <alignment horizontal="left" vertical="top"/>
    </xf>
    <xf numFmtId="0" fontId="18" fillId="43" borderId="0" xfId="0" applyFont="1" applyFill="1">
      <alignment horizontal="left" vertical="top"/>
    </xf>
  </cellXfs>
  <cellStyles count="65">
    <cellStyle name="20 % - Accent1" xfId="18" builtinId="30" hidden="1"/>
    <cellStyle name="20 % - Accent2" xfId="22" builtinId="34" hidden="1"/>
    <cellStyle name="20 % - Accent3" xfId="26" builtinId="38" hidden="1"/>
    <cellStyle name="20 % - Accent4" xfId="30" builtinId="42" hidden="1"/>
    <cellStyle name="20 % - Accent5" xfId="34" builtinId="46" hidden="1"/>
    <cellStyle name="20 % - Accent6" xfId="38" builtinId="50" hidden="1"/>
    <cellStyle name="40 % - Accent1" xfId="19" builtinId="31" hidden="1"/>
    <cellStyle name="40 % - Accent2" xfId="23" builtinId="35" hidden="1"/>
    <cellStyle name="40 % - Accent3" xfId="27" builtinId="39" hidden="1"/>
    <cellStyle name="40 % - Accent4" xfId="31" builtinId="43" hidden="1"/>
    <cellStyle name="40 % - Accent5" xfId="35" builtinId="47" hidden="1"/>
    <cellStyle name="40 % - Accent6" xfId="39" builtinId="51" hidden="1"/>
    <cellStyle name="60 % - Accent1" xfId="20" builtinId="32" hidden="1"/>
    <cellStyle name="60 % - Accent2" xfId="24" builtinId="36" hidden="1"/>
    <cellStyle name="60 % - Accent3" xfId="28" builtinId="40" hidden="1"/>
    <cellStyle name="60 % - Accent4" xfId="32" builtinId="44" hidden="1"/>
    <cellStyle name="60 % - Accent5" xfId="36" builtinId="48" hidden="1"/>
    <cellStyle name="60 % - Accent6" xfId="40" builtinId="52" hidden="1"/>
    <cellStyle name="Accent1" xfId="17" builtinId="29" hidden="1"/>
    <cellStyle name="Accent2" xfId="21" builtinId="33" hidden="1"/>
    <cellStyle name="Accent3" xfId="25" builtinId="37" hidden="1"/>
    <cellStyle name="Accent4" xfId="29" builtinId="41" hidden="1"/>
    <cellStyle name="Accent5" xfId="33" builtinId="45" hidden="1"/>
    <cellStyle name="Accent6" xfId="37" builtinId="49" hidden="1"/>
    <cellStyle name="Avertissement" xfId="14" builtinId="11" hidden="1"/>
    <cellStyle name="Calcul" xfId="11" builtinId="22" hidden="1"/>
    <cellStyle name="Cellule liée" xfId="12" builtinId="24" hidden="1"/>
    <cellStyle name="Comma 2" xfId="57" xr:uid="{E9AC2DC1-245E-4B76-B06B-8B1500D439BE}"/>
    <cellStyle name="Comma 2 2" xfId="62" xr:uid="{9EDE77E2-D345-401E-8A64-03740CB35183}"/>
    <cellStyle name="DateLong" xfId="50" xr:uid="{792FE19B-BCCC-47AA-9EC1-AB1F9CE49B4F}"/>
    <cellStyle name="DateLong 2" xfId="61" xr:uid="{0E12DA88-B925-4940-910C-053142FA1F05}"/>
    <cellStyle name="DateLong 3" xfId="55" xr:uid="{60E25F1E-4AE9-432C-A650-0CB74F2FD19D}"/>
    <cellStyle name="DateShort" xfId="51" xr:uid="{54F9EA2E-820C-47EB-9CA3-D8DC933797D6}"/>
    <cellStyle name="DateShort 2" xfId="56" xr:uid="{A67877DC-A627-424D-BB5E-2F88C3E235EE}"/>
    <cellStyle name="Entrée" xfId="9" builtinId="20" hidden="1"/>
    <cellStyle name="Factor" xfId="49" xr:uid="{0E0C37B9-C411-4C32-9559-AF05B003BF7C}"/>
    <cellStyle name="Insatisfaisant" xfId="7" builtinId="27" hidden="1"/>
    <cellStyle name="Lien hypertexte" xfId="41" builtinId="8" customBuiltin="1"/>
    <cellStyle name="Lien hypertexte 2" xfId="47" xr:uid="{370F4C73-897E-47D1-A981-70BA8AA96A25}"/>
    <cellStyle name="Lien hypertexte visité" xfId="42" builtinId="9" customBuiltin="1"/>
    <cellStyle name="Milliers" xfId="1" builtinId="3" hidden="1"/>
    <cellStyle name="Milliers [0]" xfId="2" builtinId="6" hidden="1"/>
    <cellStyle name="Milliers 2" xfId="43" xr:uid="{99C7B021-BBD9-45EC-A1F4-D26131136B12}"/>
    <cellStyle name="Monétaire" xfId="3" builtinId="4" hidden="1"/>
    <cellStyle name="Monétaire [0]" xfId="4" builtinId="7" hidden="1"/>
    <cellStyle name="Neutre" xfId="8" builtinId="28" hidden="1"/>
    <cellStyle name="Normal" xfId="0" builtinId="0" customBuiltin="1"/>
    <cellStyle name="Normal 2" xfId="48" xr:uid="{B4B95CFA-2A5F-4A3C-B7DF-9C8BC67C74DD}"/>
    <cellStyle name="Normal 2 2" xfId="60" xr:uid="{76424C7C-EC56-4B61-A13E-56094A92EC27}"/>
    <cellStyle name="Normal 2 3" xfId="54" xr:uid="{DBD1C041-42BB-4FE3-919B-4B347721D238}"/>
    <cellStyle name="Normal 3" xfId="45" xr:uid="{F62870B6-F6CB-4B3D-91BD-0A5A58EF61DF}"/>
    <cellStyle name="Normal 5" xfId="44" xr:uid="{C93039D9-3232-49C5-9B89-7A1DC2574F86}"/>
    <cellStyle name="Note" xfId="15" builtinId="10" hidden="1"/>
    <cellStyle name="Percent 2" xfId="58" xr:uid="{B3D0220B-8D3F-46FE-8EF5-CCE2D2E0B70A}"/>
    <cellStyle name="Percent 2 2" xfId="63" xr:uid="{85381CAC-C9BE-4C9A-8FCC-2C1B9C47B180}"/>
    <cellStyle name="Percent 3" xfId="59" xr:uid="{7881369C-FBD6-451A-927E-5CB22C795C6A}"/>
    <cellStyle name="Percent 4" xfId="53" xr:uid="{57578ACB-BDFD-495C-AB76-9D6CE0BEB853}"/>
    <cellStyle name="Pourcentage" xfId="5" builtinId="5" hidden="1"/>
    <cellStyle name="Pourcentage 2" xfId="46" xr:uid="{B4F358E8-599C-410E-B85B-76995F98A500}"/>
    <cellStyle name="Satisfaisant" xfId="6" builtinId="26" hidden="1"/>
    <cellStyle name="Sortie" xfId="10" builtinId="21" hidden="1"/>
    <cellStyle name="Texte explicatif" xfId="16" builtinId="53" hidden="1"/>
    <cellStyle name="Vérification" xfId="13" builtinId="23" hidden="1"/>
    <cellStyle name="Year" xfId="52" xr:uid="{57FAE15E-9A44-48B8-BA19-9C1B4521D93B}"/>
    <cellStyle name="Year 2" xfId="64" xr:uid="{94EBEECD-08BD-4240-90AA-7684AC2BDE32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A130"/>
  <sheetViews>
    <sheetView topLeftCell="A43" zoomScale="81" zoomScaleNormal="100" workbookViewId="0">
      <selection activeCell="A61" sqref="A61"/>
    </sheetView>
  </sheetViews>
  <sheetFormatPr baseColWidth="10" defaultColWidth="10.796875" defaultRowHeight="13" x14ac:dyDescent="0.3"/>
  <cols>
    <col min="1" max="1" width="55.19921875" style="1" customWidth="1"/>
    <col min="2" max="2" width="8.796875" style="1" customWidth="1"/>
    <col min="3" max="25" width="15.796875" style="1" customWidth="1"/>
    <col min="26" max="16384" width="10.796875" style="1"/>
  </cols>
  <sheetData>
    <row r="1" spans="1:25" x14ac:dyDescent="0.3">
      <c r="A1" s="2" t="s">
        <v>0</v>
      </c>
      <c r="B1" s="2" t="s">
        <v>1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  <c r="N1" s="2">
        <v>2034</v>
      </c>
      <c r="O1" s="2">
        <v>2035</v>
      </c>
      <c r="P1" s="2">
        <v>2036</v>
      </c>
      <c r="Q1" s="2">
        <v>2037</v>
      </c>
      <c r="R1" s="2">
        <v>2038</v>
      </c>
      <c r="S1" s="2">
        <v>2039</v>
      </c>
      <c r="T1" s="2">
        <v>2040</v>
      </c>
      <c r="U1" s="2">
        <v>2041</v>
      </c>
      <c r="V1" s="2">
        <v>2042</v>
      </c>
      <c r="W1" s="2">
        <v>2043</v>
      </c>
      <c r="X1" s="2" t="s">
        <v>2</v>
      </c>
      <c r="Y1" s="2" t="s">
        <v>3</v>
      </c>
    </row>
    <row r="2" spans="1:25" x14ac:dyDescent="0.3">
      <c r="A2" s="11"/>
      <c r="B2" s="11"/>
      <c r="C2" s="11">
        <v>1</v>
      </c>
      <c r="D2" s="11">
        <v>2</v>
      </c>
      <c r="E2" s="11">
        <v>3</v>
      </c>
      <c r="F2" s="11">
        <v>4</v>
      </c>
      <c r="G2" s="11">
        <v>5</v>
      </c>
      <c r="H2" s="11">
        <v>6</v>
      </c>
      <c r="I2" s="11">
        <v>7</v>
      </c>
      <c r="J2" s="11">
        <v>8</v>
      </c>
      <c r="K2" s="11">
        <v>9</v>
      </c>
      <c r="L2" s="11">
        <v>10</v>
      </c>
      <c r="M2" s="11">
        <v>11</v>
      </c>
      <c r="N2" s="11">
        <v>12</v>
      </c>
      <c r="O2" s="11">
        <v>13</v>
      </c>
      <c r="P2" s="11">
        <v>14</v>
      </c>
      <c r="Q2" s="11">
        <v>15</v>
      </c>
      <c r="R2" s="11">
        <v>16</v>
      </c>
      <c r="S2" s="11">
        <v>17</v>
      </c>
      <c r="T2" s="11">
        <v>18</v>
      </c>
      <c r="U2" s="11">
        <v>19</v>
      </c>
      <c r="V2" s="11">
        <v>20</v>
      </c>
      <c r="W2" s="11">
        <v>21</v>
      </c>
      <c r="Y2" s="13">
        <v>0.1</v>
      </c>
    </row>
    <row r="4" spans="1:25" x14ac:dyDescent="0.3">
      <c r="A4" s="12" t="s">
        <v>50</v>
      </c>
    </row>
    <row r="5" spans="1:25" x14ac:dyDescent="0.3">
      <c r="A5" s="1" t="s">
        <v>51</v>
      </c>
      <c r="B5" s="1" t="s">
        <v>5</v>
      </c>
      <c r="C5" s="3"/>
      <c r="D5" s="3">
        <v>65000</v>
      </c>
      <c r="E5" s="3">
        <v>100000</v>
      </c>
      <c r="F5" s="3">
        <v>100000</v>
      </c>
      <c r="G5" s="3">
        <v>100000</v>
      </c>
      <c r="H5" s="3">
        <v>100000</v>
      </c>
      <c r="I5" s="3">
        <v>100000</v>
      </c>
      <c r="J5" s="3">
        <v>100000</v>
      </c>
      <c r="K5" s="3">
        <v>100000</v>
      </c>
      <c r="L5" s="3">
        <v>100000</v>
      </c>
      <c r="M5" s="3">
        <v>80000</v>
      </c>
      <c r="N5" s="3">
        <v>80000</v>
      </c>
      <c r="O5" s="3">
        <v>80000</v>
      </c>
      <c r="P5" s="3">
        <v>80000</v>
      </c>
      <c r="Q5" s="3">
        <v>80000</v>
      </c>
      <c r="R5" s="3">
        <v>80000</v>
      </c>
      <c r="S5" s="3">
        <v>80000</v>
      </c>
      <c r="T5" s="3">
        <v>80000</v>
      </c>
      <c r="U5" s="3">
        <v>80000</v>
      </c>
      <c r="V5" s="3">
        <v>80000</v>
      </c>
      <c r="W5" s="3">
        <v>80000</v>
      </c>
    </row>
    <row r="6" spans="1:25" x14ac:dyDescent="0.3">
      <c r="A6" s="1" t="s">
        <v>4</v>
      </c>
      <c r="B6" s="1" t="s">
        <v>53</v>
      </c>
      <c r="C6" s="3">
        <f>C5*365</f>
        <v>0</v>
      </c>
      <c r="D6" s="3">
        <f>D5*365</f>
        <v>23725000</v>
      </c>
      <c r="E6" s="3">
        <f t="shared" ref="E6:O6" si="0">E5*365</f>
        <v>36500000</v>
      </c>
      <c r="F6" s="3">
        <f t="shared" si="0"/>
        <v>36500000</v>
      </c>
      <c r="G6" s="3">
        <f t="shared" si="0"/>
        <v>36500000</v>
      </c>
      <c r="H6" s="3">
        <f t="shared" si="0"/>
        <v>36500000</v>
      </c>
      <c r="I6" s="3">
        <f t="shared" si="0"/>
        <v>36500000</v>
      </c>
      <c r="J6" s="3">
        <f t="shared" si="0"/>
        <v>36500000</v>
      </c>
      <c r="K6" s="3">
        <f t="shared" si="0"/>
        <v>36500000</v>
      </c>
      <c r="L6" s="3">
        <f t="shared" si="0"/>
        <v>36500000</v>
      </c>
      <c r="M6" s="3">
        <f t="shared" si="0"/>
        <v>29200000</v>
      </c>
      <c r="N6" s="3">
        <f t="shared" si="0"/>
        <v>29200000</v>
      </c>
      <c r="O6" s="3">
        <f t="shared" si="0"/>
        <v>29200000</v>
      </c>
      <c r="P6" s="3">
        <f t="shared" ref="P6" si="1">P5*365</f>
        <v>29200000</v>
      </c>
      <c r="Q6" s="3">
        <f t="shared" ref="Q6" si="2">Q5*365</f>
        <v>29200000</v>
      </c>
      <c r="R6" s="3">
        <f t="shared" ref="R6" si="3">R5*365</f>
        <v>29200000</v>
      </c>
      <c r="S6" s="3">
        <f t="shared" ref="S6" si="4">S5*365</f>
        <v>29200000</v>
      </c>
      <c r="T6" s="3">
        <f t="shared" ref="T6" si="5">T5*365</f>
        <v>29200000</v>
      </c>
      <c r="U6" s="3">
        <f t="shared" ref="U6" si="6">U5*365</f>
        <v>29200000</v>
      </c>
      <c r="V6" s="3">
        <f t="shared" ref="V6" si="7">V5*365</f>
        <v>29200000</v>
      </c>
      <c r="W6" s="3">
        <f>W5*365</f>
        <v>29200000</v>
      </c>
      <c r="X6" s="4">
        <f>SUM(C6:W6)</f>
        <v>636925000</v>
      </c>
    </row>
    <row r="7" spans="1:25" x14ac:dyDescent="0.3">
      <c r="A7" s="1" t="s">
        <v>52</v>
      </c>
      <c r="B7" s="1" t="s">
        <v>6</v>
      </c>
      <c r="C7" s="3">
        <v>120</v>
      </c>
      <c r="D7" s="3">
        <v>120</v>
      </c>
      <c r="E7" s="3">
        <v>120</v>
      </c>
      <c r="F7" s="3">
        <v>120</v>
      </c>
      <c r="G7" s="3">
        <v>120</v>
      </c>
      <c r="H7" s="3">
        <v>120</v>
      </c>
      <c r="I7" s="3">
        <v>120</v>
      </c>
      <c r="J7" s="3">
        <v>120</v>
      </c>
      <c r="K7" s="3">
        <v>120</v>
      </c>
      <c r="L7" s="3">
        <v>120</v>
      </c>
      <c r="M7" s="3">
        <v>120</v>
      </c>
      <c r="N7" s="3">
        <v>120</v>
      </c>
      <c r="O7" s="3">
        <v>120</v>
      </c>
      <c r="P7" s="3">
        <v>120</v>
      </c>
      <c r="Q7" s="3">
        <v>120</v>
      </c>
      <c r="R7" s="3">
        <v>120</v>
      </c>
      <c r="S7" s="3">
        <v>120</v>
      </c>
      <c r="T7" s="3">
        <v>120</v>
      </c>
      <c r="U7" s="3">
        <v>120</v>
      </c>
      <c r="V7" s="3">
        <v>120</v>
      </c>
      <c r="W7" s="3">
        <v>120</v>
      </c>
    </row>
    <row r="8" spans="1:25" x14ac:dyDescent="0.3">
      <c r="A8" s="1" t="s">
        <v>54</v>
      </c>
      <c r="B8" s="1" t="s">
        <v>7</v>
      </c>
      <c r="C8" s="5">
        <f>C6*C7</f>
        <v>0</v>
      </c>
      <c r="D8" s="5">
        <f>D6*D7</f>
        <v>2847000000</v>
      </c>
      <c r="E8" s="5">
        <f t="shared" ref="E8:W8" si="8">E6*E7</f>
        <v>4380000000</v>
      </c>
      <c r="F8" s="5">
        <f t="shared" si="8"/>
        <v>4380000000</v>
      </c>
      <c r="G8" s="5">
        <f t="shared" si="8"/>
        <v>4380000000</v>
      </c>
      <c r="H8" s="5">
        <f t="shared" si="8"/>
        <v>4380000000</v>
      </c>
      <c r="I8" s="5">
        <f t="shared" si="8"/>
        <v>4380000000</v>
      </c>
      <c r="J8" s="5">
        <f t="shared" si="8"/>
        <v>4380000000</v>
      </c>
      <c r="K8" s="5">
        <f t="shared" si="8"/>
        <v>4380000000</v>
      </c>
      <c r="L8" s="5">
        <f t="shared" si="8"/>
        <v>4380000000</v>
      </c>
      <c r="M8" s="5">
        <f t="shared" si="8"/>
        <v>3504000000</v>
      </c>
      <c r="N8" s="5">
        <f t="shared" si="8"/>
        <v>3504000000</v>
      </c>
      <c r="O8" s="5">
        <f t="shared" si="8"/>
        <v>3504000000</v>
      </c>
      <c r="P8" s="5">
        <f t="shared" si="8"/>
        <v>3504000000</v>
      </c>
      <c r="Q8" s="5">
        <f t="shared" si="8"/>
        <v>3504000000</v>
      </c>
      <c r="R8" s="5">
        <f t="shared" si="8"/>
        <v>3504000000</v>
      </c>
      <c r="S8" s="5">
        <f t="shared" si="8"/>
        <v>3504000000</v>
      </c>
      <c r="T8" s="5">
        <f t="shared" si="8"/>
        <v>3504000000</v>
      </c>
      <c r="U8" s="5">
        <f t="shared" si="8"/>
        <v>3504000000</v>
      </c>
      <c r="V8" s="5">
        <f t="shared" si="8"/>
        <v>3504000000</v>
      </c>
      <c r="W8" s="5">
        <f t="shared" si="8"/>
        <v>3504000000</v>
      </c>
      <c r="X8" s="4">
        <f>SUM(C8:W8)</f>
        <v>76431000000</v>
      </c>
      <c r="Y8" s="4">
        <f>C8+NPV($Y$2,D8:W8)</f>
        <v>33482795773.454655</v>
      </c>
    </row>
    <row r="10" spans="1:25" x14ac:dyDescent="0.3">
      <c r="A10" s="12" t="s">
        <v>55</v>
      </c>
    </row>
    <row r="11" spans="1:25" x14ac:dyDescent="0.3">
      <c r="A11" s="1" t="s">
        <v>49</v>
      </c>
      <c r="B11" s="1" t="s">
        <v>7</v>
      </c>
      <c r="C11" s="3">
        <v>4200000000</v>
      </c>
      <c r="D11" s="3">
        <v>50000000</v>
      </c>
      <c r="E11" s="3">
        <v>50000000</v>
      </c>
      <c r="F11" s="3">
        <v>50000000</v>
      </c>
      <c r="G11" s="3">
        <v>50000000</v>
      </c>
      <c r="H11" s="3">
        <v>50000000</v>
      </c>
      <c r="I11" s="3">
        <v>50000000</v>
      </c>
      <c r="J11" s="3">
        <v>50000000</v>
      </c>
      <c r="K11" s="3">
        <v>50000000</v>
      </c>
      <c r="L11" s="3">
        <v>50000000</v>
      </c>
      <c r="M11" s="3">
        <v>50000000</v>
      </c>
      <c r="N11" s="3">
        <v>50000000</v>
      </c>
      <c r="O11" s="3">
        <v>50000000</v>
      </c>
      <c r="P11" s="3">
        <v>50000000</v>
      </c>
      <c r="Q11" s="3">
        <v>50000000</v>
      </c>
      <c r="R11" s="3">
        <v>50000000</v>
      </c>
      <c r="S11" s="3">
        <v>50000000</v>
      </c>
      <c r="T11" s="3">
        <v>50000000</v>
      </c>
      <c r="U11" s="3">
        <v>50000000</v>
      </c>
      <c r="V11" s="3">
        <v>50000000</v>
      </c>
      <c r="W11" s="3">
        <v>50000000</v>
      </c>
      <c r="X11" s="4">
        <f>SUM(C11:W11)</f>
        <v>5200000000</v>
      </c>
      <c r="Y11" s="4">
        <f>C11+NPV($Y$2,D11:W11)</f>
        <v>4625678185.9879274</v>
      </c>
    </row>
    <row r="12" spans="1:25" x14ac:dyDescent="0.3">
      <c r="A12" s="1" t="s">
        <v>56</v>
      </c>
      <c r="B12" s="1" t="s">
        <v>6</v>
      </c>
      <c r="C12" s="3">
        <v>15</v>
      </c>
      <c r="D12" s="3">
        <v>15</v>
      </c>
      <c r="E12" s="3">
        <v>15</v>
      </c>
      <c r="F12" s="3">
        <v>15</v>
      </c>
      <c r="G12" s="3">
        <v>15</v>
      </c>
      <c r="H12" s="3">
        <v>15</v>
      </c>
      <c r="I12" s="3">
        <v>15</v>
      </c>
      <c r="J12" s="3">
        <v>15</v>
      </c>
      <c r="K12" s="3">
        <v>15</v>
      </c>
      <c r="L12" s="3">
        <v>15</v>
      </c>
      <c r="M12" s="3">
        <v>15</v>
      </c>
      <c r="N12" s="3">
        <v>15</v>
      </c>
      <c r="O12" s="3">
        <v>15</v>
      </c>
      <c r="P12" s="3">
        <v>15</v>
      </c>
      <c r="Q12" s="3">
        <v>15</v>
      </c>
      <c r="R12" s="3">
        <v>15</v>
      </c>
      <c r="S12" s="3">
        <v>15</v>
      </c>
      <c r="T12" s="3">
        <v>15</v>
      </c>
      <c r="U12" s="3">
        <v>15</v>
      </c>
      <c r="V12" s="3">
        <v>15</v>
      </c>
      <c r="W12" s="3">
        <v>15</v>
      </c>
    </row>
    <row r="13" spans="1:25" x14ac:dyDescent="0.3">
      <c r="A13" s="1" t="s">
        <v>57</v>
      </c>
      <c r="B13" s="1" t="s">
        <v>7</v>
      </c>
      <c r="C13" s="3">
        <f>C6*C12</f>
        <v>0</v>
      </c>
      <c r="D13" s="3">
        <f t="shared" ref="D13:W13" si="9">D6*D12</f>
        <v>355875000</v>
      </c>
      <c r="E13" s="3">
        <f t="shared" si="9"/>
        <v>547500000</v>
      </c>
      <c r="F13" s="3">
        <f t="shared" si="9"/>
        <v>547500000</v>
      </c>
      <c r="G13" s="3">
        <f t="shared" si="9"/>
        <v>547500000</v>
      </c>
      <c r="H13" s="3">
        <f t="shared" si="9"/>
        <v>547500000</v>
      </c>
      <c r="I13" s="3">
        <f t="shared" si="9"/>
        <v>547500000</v>
      </c>
      <c r="J13" s="3">
        <f t="shared" si="9"/>
        <v>547500000</v>
      </c>
      <c r="K13" s="3">
        <f t="shared" si="9"/>
        <v>547500000</v>
      </c>
      <c r="L13" s="3">
        <f t="shared" si="9"/>
        <v>547500000</v>
      </c>
      <c r="M13" s="3">
        <f t="shared" si="9"/>
        <v>438000000</v>
      </c>
      <c r="N13" s="3">
        <f t="shared" si="9"/>
        <v>438000000</v>
      </c>
      <c r="O13" s="3">
        <f t="shared" si="9"/>
        <v>438000000</v>
      </c>
      <c r="P13" s="3">
        <f t="shared" si="9"/>
        <v>438000000</v>
      </c>
      <c r="Q13" s="3">
        <f t="shared" si="9"/>
        <v>438000000</v>
      </c>
      <c r="R13" s="3">
        <f t="shared" si="9"/>
        <v>438000000</v>
      </c>
      <c r="S13" s="3">
        <f t="shared" si="9"/>
        <v>438000000</v>
      </c>
      <c r="T13" s="3">
        <f t="shared" si="9"/>
        <v>438000000</v>
      </c>
      <c r="U13" s="3">
        <f t="shared" si="9"/>
        <v>438000000</v>
      </c>
      <c r="V13" s="3">
        <f t="shared" si="9"/>
        <v>438000000</v>
      </c>
      <c r="W13" s="3">
        <f t="shared" si="9"/>
        <v>438000000</v>
      </c>
      <c r="X13" s="4">
        <f>SUM(C13:W13)</f>
        <v>9553875000</v>
      </c>
      <c r="Y13" s="4">
        <f t="shared" ref="Y13:Y14" si="10">C13+NPV($Y$2,D13:W13)</f>
        <v>4185349471.6818318</v>
      </c>
    </row>
    <row r="14" spans="1:25" x14ac:dyDescent="0.3">
      <c r="A14" s="1" t="s">
        <v>58</v>
      </c>
      <c r="B14" s="1" t="s">
        <v>7</v>
      </c>
      <c r="C14" s="5">
        <f>C11+C13</f>
        <v>4200000000</v>
      </c>
      <c r="D14" s="5">
        <f>D11+D13</f>
        <v>405875000</v>
      </c>
      <c r="E14" s="5">
        <f t="shared" ref="E14:W14" si="11">E11+E13</f>
        <v>597500000</v>
      </c>
      <c r="F14" s="5">
        <f t="shared" si="11"/>
        <v>597500000</v>
      </c>
      <c r="G14" s="5">
        <f t="shared" si="11"/>
        <v>597500000</v>
      </c>
      <c r="H14" s="5">
        <f t="shared" si="11"/>
        <v>597500000</v>
      </c>
      <c r="I14" s="5">
        <f t="shared" si="11"/>
        <v>597500000</v>
      </c>
      <c r="J14" s="5">
        <f t="shared" si="11"/>
        <v>597500000</v>
      </c>
      <c r="K14" s="5">
        <f t="shared" si="11"/>
        <v>597500000</v>
      </c>
      <c r="L14" s="5">
        <f t="shared" si="11"/>
        <v>597500000</v>
      </c>
      <c r="M14" s="5">
        <f t="shared" si="11"/>
        <v>488000000</v>
      </c>
      <c r="N14" s="5">
        <f t="shared" si="11"/>
        <v>488000000</v>
      </c>
      <c r="O14" s="5">
        <f t="shared" si="11"/>
        <v>488000000</v>
      </c>
      <c r="P14" s="5">
        <f t="shared" si="11"/>
        <v>488000000</v>
      </c>
      <c r="Q14" s="5">
        <f t="shared" si="11"/>
        <v>488000000</v>
      </c>
      <c r="R14" s="5">
        <f t="shared" si="11"/>
        <v>488000000</v>
      </c>
      <c r="S14" s="5">
        <f t="shared" si="11"/>
        <v>488000000</v>
      </c>
      <c r="T14" s="5">
        <f t="shared" si="11"/>
        <v>488000000</v>
      </c>
      <c r="U14" s="5">
        <f t="shared" si="11"/>
        <v>488000000</v>
      </c>
      <c r="V14" s="5">
        <f t="shared" si="11"/>
        <v>488000000</v>
      </c>
      <c r="W14" s="5">
        <f t="shared" si="11"/>
        <v>488000000</v>
      </c>
      <c r="X14" s="4">
        <f>SUM(C14:W14)</f>
        <v>14753875000</v>
      </c>
      <c r="Y14" s="4">
        <f t="shared" si="10"/>
        <v>8811027657.6697578</v>
      </c>
    </row>
    <row r="16" spans="1:25" x14ac:dyDescent="0.3">
      <c r="A16" s="12" t="s">
        <v>59</v>
      </c>
    </row>
    <row r="17" spans="1:27" x14ac:dyDescent="0.3">
      <c r="A17" s="1" t="s">
        <v>8</v>
      </c>
      <c r="B17" s="1" t="s">
        <v>7</v>
      </c>
      <c r="C17" s="5">
        <f>C8-C14</f>
        <v>-4200000000</v>
      </c>
      <c r="D17" s="5">
        <f>D8-D14</f>
        <v>2441125000</v>
      </c>
      <c r="E17" s="5">
        <f t="shared" ref="E17:W17" si="12">E8-E14</f>
        <v>3782500000</v>
      </c>
      <c r="F17" s="5">
        <f t="shared" si="12"/>
        <v>3782500000</v>
      </c>
      <c r="G17" s="5">
        <f t="shared" si="12"/>
        <v>3782500000</v>
      </c>
      <c r="H17" s="5">
        <f t="shared" si="12"/>
        <v>3782500000</v>
      </c>
      <c r="I17" s="5">
        <f t="shared" si="12"/>
        <v>3782500000</v>
      </c>
      <c r="J17" s="5">
        <f t="shared" si="12"/>
        <v>3782500000</v>
      </c>
      <c r="K17" s="5">
        <f t="shared" si="12"/>
        <v>3782500000</v>
      </c>
      <c r="L17" s="5">
        <f t="shared" si="12"/>
        <v>3782500000</v>
      </c>
      <c r="M17" s="5">
        <f t="shared" si="12"/>
        <v>3016000000</v>
      </c>
      <c r="N17" s="5">
        <f t="shared" si="12"/>
        <v>3016000000</v>
      </c>
      <c r="O17" s="5">
        <f t="shared" si="12"/>
        <v>3016000000</v>
      </c>
      <c r="P17" s="5">
        <f t="shared" si="12"/>
        <v>3016000000</v>
      </c>
      <c r="Q17" s="5">
        <f t="shared" si="12"/>
        <v>3016000000</v>
      </c>
      <c r="R17" s="5">
        <f t="shared" si="12"/>
        <v>3016000000</v>
      </c>
      <c r="S17" s="5">
        <f t="shared" si="12"/>
        <v>3016000000</v>
      </c>
      <c r="T17" s="5">
        <f t="shared" si="12"/>
        <v>3016000000</v>
      </c>
      <c r="U17" s="5">
        <f t="shared" si="12"/>
        <v>3016000000</v>
      </c>
      <c r="V17" s="5">
        <f t="shared" si="12"/>
        <v>3016000000</v>
      </c>
      <c r="W17" s="5">
        <f t="shared" si="12"/>
        <v>3016000000</v>
      </c>
      <c r="X17" s="4">
        <f>SUM(C17:W17)</f>
        <v>61677125000</v>
      </c>
      <c r="Y17" s="7">
        <f>C17+NPV($Y$2,D17:W17)</f>
        <v>24671768115.784893</v>
      </c>
      <c r="Z17" s="14" t="s">
        <v>60</v>
      </c>
    </row>
    <row r="18" spans="1:27" x14ac:dyDescent="0.3">
      <c r="A18" s="1" t="s">
        <v>61</v>
      </c>
      <c r="B18" s="1" t="s">
        <v>9</v>
      </c>
      <c r="X18" s="15">
        <f>IRR(C17:W17)</f>
        <v>0.76141105623637073</v>
      </c>
      <c r="Y18" s="14" t="s">
        <v>62</v>
      </c>
    </row>
    <row r="20" spans="1:27" x14ac:dyDescent="0.3">
      <c r="A20" s="12" t="s">
        <v>10</v>
      </c>
    </row>
    <row r="21" spans="1:27" x14ac:dyDescent="0.3">
      <c r="A21" s="6" t="s">
        <v>63</v>
      </c>
    </row>
    <row r="22" spans="1:27" x14ac:dyDescent="0.3">
      <c r="A22" s="1" t="s">
        <v>11</v>
      </c>
      <c r="B22" s="1" t="s">
        <v>7</v>
      </c>
      <c r="C22" s="5">
        <v>50000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4">
        <f>SUM(C22:W22)</f>
        <v>50000</v>
      </c>
      <c r="Y22" s="4">
        <f>C22+NPV($Y$2,D22:W22)</f>
        <v>50000</v>
      </c>
      <c r="Z22" s="19">
        <f>Y22/$Y$121</f>
        <v>2.4995055621732809E-6</v>
      </c>
      <c r="AA22" s="18" t="s">
        <v>88</v>
      </c>
    </row>
    <row r="23" spans="1:27" x14ac:dyDescent="0.3">
      <c r="A23" s="6" t="s">
        <v>64</v>
      </c>
    </row>
    <row r="24" spans="1:27" x14ac:dyDescent="0.3">
      <c r="A24" s="1" t="s">
        <v>11</v>
      </c>
      <c r="B24" s="1" t="s">
        <v>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4">
        <f>SUM(C24:W24)</f>
        <v>0</v>
      </c>
      <c r="Y24" s="4">
        <f>C24+NPV($Y$2,D24:W24)</f>
        <v>0</v>
      </c>
      <c r="Z24" s="19">
        <f>Y24/$Y$122</f>
        <v>0</v>
      </c>
      <c r="AA24" s="18" t="s">
        <v>88</v>
      </c>
    </row>
    <row r="26" spans="1:27" x14ac:dyDescent="0.3">
      <c r="A26" s="12" t="s">
        <v>12</v>
      </c>
    </row>
    <row r="27" spans="1:27" x14ac:dyDescent="0.3">
      <c r="A27" s="8" t="s">
        <v>13</v>
      </c>
      <c r="B27" s="1" t="s">
        <v>14</v>
      </c>
      <c r="C27" s="3">
        <v>711</v>
      </c>
    </row>
    <row r="28" spans="1:27" x14ac:dyDescent="0.3">
      <c r="A28" s="6" t="s">
        <v>63</v>
      </c>
    </row>
    <row r="29" spans="1:27" x14ac:dyDescent="0.3">
      <c r="A29" s="8" t="s">
        <v>65</v>
      </c>
      <c r="B29" s="1" t="s">
        <v>7</v>
      </c>
      <c r="C29" s="5">
        <f>C27*30*4+C27*50*3+C27*75*3</f>
        <v>351945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4">
        <f>SUM(C29:W29)</f>
        <v>351945</v>
      </c>
      <c r="Y29" s="4">
        <f>C29+NPV($Y$2,D29:W29)</f>
        <v>351945</v>
      </c>
      <c r="Z29" s="19">
        <f>Y29/$Y$121</f>
        <v>1.7593769701581506E-5</v>
      </c>
      <c r="AA29" s="18" t="s">
        <v>89</v>
      </c>
    </row>
    <row r="30" spans="1:27" x14ac:dyDescent="0.3">
      <c r="A30" s="6" t="s">
        <v>64</v>
      </c>
    </row>
    <row r="31" spans="1:27" x14ac:dyDescent="0.3">
      <c r="A31" s="8" t="s">
        <v>65</v>
      </c>
      <c r="B31" s="1" t="s">
        <v>7</v>
      </c>
      <c r="C31" s="5">
        <f>C27*5*4+C27*8*3+C27*15*3</f>
        <v>63279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4">
        <f>SUM(C31:W31)</f>
        <v>63279</v>
      </c>
      <c r="Y31" s="4">
        <f>C31+NPV($Y$2,D31:W31)</f>
        <v>63279</v>
      </c>
      <c r="Z31" s="19">
        <f>Y31/$Y$122</f>
        <v>5.409038980871163E-6</v>
      </c>
      <c r="AA31" s="18" t="s">
        <v>89</v>
      </c>
    </row>
    <row r="33" spans="1:27" x14ac:dyDescent="0.3">
      <c r="A33" s="12" t="s">
        <v>15</v>
      </c>
    </row>
    <row r="34" spans="1:27" x14ac:dyDescent="0.3">
      <c r="A34" s="6" t="s">
        <v>63</v>
      </c>
    </row>
    <row r="35" spans="1:27" x14ac:dyDescent="0.3">
      <c r="A35" s="1" t="s">
        <v>16</v>
      </c>
      <c r="B35" s="1" t="s">
        <v>9</v>
      </c>
      <c r="C35" s="9">
        <v>0.08</v>
      </c>
      <c r="D35" s="9">
        <v>0.08</v>
      </c>
      <c r="E35" s="9">
        <v>0.08</v>
      </c>
      <c r="F35" s="9">
        <v>0.08</v>
      </c>
      <c r="G35" s="9">
        <v>0.08</v>
      </c>
      <c r="H35" s="9">
        <v>0.08</v>
      </c>
      <c r="I35" s="9">
        <v>0.08</v>
      </c>
      <c r="J35" s="9">
        <v>0.08</v>
      </c>
      <c r="K35" s="9">
        <v>0.08</v>
      </c>
      <c r="L35" s="9">
        <v>0.08</v>
      </c>
      <c r="M35" s="9">
        <v>0.08</v>
      </c>
      <c r="N35" s="9">
        <v>0.08</v>
      </c>
      <c r="O35" s="9">
        <v>0.08</v>
      </c>
      <c r="P35" s="9">
        <v>0.08</v>
      </c>
      <c r="Q35" s="9">
        <v>0.08</v>
      </c>
      <c r="R35" s="9">
        <v>0.08</v>
      </c>
      <c r="S35" s="9">
        <v>0.08</v>
      </c>
      <c r="T35" s="9">
        <v>0.08</v>
      </c>
      <c r="U35" s="9">
        <v>0.08</v>
      </c>
      <c r="V35" s="9">
        <v>0.08</v>
      </c>
      <c r="W35" s="9">
        <v>0.08</v>
      </c>
    </row>
    <row r="36" spans="1:27" x14ac:dyDescent="0.3">
      <c r="A36" s="1" t="s">
        <v>17</v>
      </c>
      <c r="B36" s="1" t="s">
        <v>7</v>
      </c>
      <c r="C36" s="5">
        <f>C8*C35</f>
        <v>0</v>
      </c>
      <c r="D36" s="5">
        <f>D8*D35</f>
        <v>227760000</v>
      </c>
      <c r="E36" s="5">
        <f t="shared" ref="E36:W36" si="13">E8*E35</f>
        <v>350400000</v>
      </c>
      <c r="F36" s="5">
        <f t="shared" si="13"/>
        <v>350400000</v>
      </c>
      <c r="G36" s="5">
        <f t="shared" si="13"/>
        <v>350400000</v>
      </c>
      <c r="H36" s="5">
        <f t="shared" si="13"/>
        <v>350400000</v>
      </c>
      <c r="I36" s="5">
        <f t="shared" si="13"/>
        <v>350400000</v>
      </c>
      <c r="J36" s="5">
        <f t="shared" si="13"/>
        <v>350400000</v>
      </c>
      <c r="K36" s="5">
        <f t="shared" si="13"/>
        <v>350400000</v>
      </c>
      <c r="L36" s="5">
        <f t="shared" si="13"/>
        <v>350400000</v>
      </c>
      <c r="M36" s="5">
        <f t="shared" si="13"/>
        <v>280320000</v>
      </c>
      <c r="N36" s="5">
        <f t="shared" si="13"/>
        <v>280320000</v>
      </c>
      <c r="O36" s="5">
        <f t="shared" si="13"/>
        <v>280320000</v>
      </c>
      <c r="P36" s="5">
        <f t="shared" si="13"/>
        <v>280320000</v>
      </c>
      <c r="Q36" s="5">
        <f t="shared" si="13"/>
        <v>280320000</v>
      </c>
      <c r="R36" s="5">
        <f t="shared" si="13"/>
        <v>280320000</v>
      </c>
      <c r="S36" s="5">
        <f t="shared" si="13"/>
        <v>280320000</v>
      </c>
      <c r="T36" s="5">
        <f t="shared" si="13"/>
        <v>280320000</v>
      </c>
      <c r="U36" s="5">
        <f t="shared" si="13"/>
        <v>280320000</v>
      </c>
      <c r="V36" s="5">
        <f t="shared" si="13"/>
        <v>280320000</v>
      </c>
      <c r="W36" s="5">
        <f t="shared" si="13"/>
        <v>280320000</v>
      </c>
      <c r="X36" s="4">
        <f>SUM(C36:W36)</f>
        <v>6114480000</v>
      </c>
      <c r="Y36" s="4">
        <f>C36+NPV($Y$2,D36:W36)</f>
        <v>2678623661.8763723</v>
      </c>
      <c r="Z36" s="19">
        <f>Y36/$Y$121</f>
        <v>0.13390469483657907</v>
      </c>
      <c r="AA36" s="18" t="s">
        <v>90</v>
      </c>
    </row>
    <row r="37" spans="1:27" x14ac:dyDescent="0.3">
      <c r="A37" s="6" t="s">
        <v>64</v>
      </c>
    </row>
    <row r="38" spans="1:27" x14ac:dyDescent="0.3">
      <c r="A38" s="1" t="s">
        <v>17</v>
      </c>
      <c r="B38" s="1" t="s">
        <v>7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4">
        <f>SUM(C38:W38)</f>
        <v>0</v>
      </c>
      <c r="Y38" s="4">
        <f>C38+NPV($Y$2,D38:W38)</f>
        <v>0</v>
      </c>
      <c r="Z38" s="19">
        <f>Y38/$Y$122</f>
        <v>0</v>
      </c>
      <c r="AA38" s="18" t="s">
        <v>90</v>
      </c>
    </row>
    <row r="40" spans="1:27" x14ac:dyDescent="0.3">
      <c r="A40" s="12" t="s">
        <v>67</v>
      </c>
    </row>
    <row r="41" spans="1:27" x14ac:dyDescent="0.3">
      <c r="A41" s="1" t="s">
        <v>66</v>
      </c>
      <c r="B41" s="1" t="s">
        <v>7</v>
      </c>
      <c r="C41" s="3">
        <f>C14</f>
        <v>4200000000</v>
      </c>
      <c r="D41" s="3">
        <f t="shared" ref="D41:W41" si="14">D14</f>
        <v>405875000</v>
      </c>
      <c r="E41" s="3">
        <f>E14</f>
        <v>597500000</v>
      </c>
      <c r="F41" s="3">
        <f t="shared" si="14"/>
        <v>597500000</v>
      </c>
      <c r="G41" s="3">
        <f t="shared" si="14"/>
        <v>597500000</v>
      </c>
      <c r="H41" s="3">
        <f t="shared" si="14"/>
        <v>597500000</v>
      </c>
      <c r="I41" s="3">
        <f t="shared" si="14"/>
        <v>597500000</v>
      </c>
      <c r="J41" s="3">
        <f t="shared" si="14"/>
        <v>597500000</v>
      </c>
      <c r="K41" s="3">
        <f t="shared" si="14"/>
        <v>597500000</v>
      </c>
      <c r="L41" s="3">
        <f t="shared" si="14"/>
        <v>597500000</v>
      </c>
      <c r="M41" s="3">
        <f t="shared" si="14"/>
        <v>488000000</v>
      </c>
      <c r="N41" s="3">
        <f t="shared" si="14"/>
        <v>488000000</v>
      </c>
      <c r="O41" s="3">
        <f t="shared" si="14"/>
        <v>488000000</v>
      </c>
      <c r="P41" s="3">
        <f t="shared" si="14"/>
        <v>488000000</v>
      </c>
      <c r="Q41" s="3">
        <f t="shared" si="14"/>
        <v>488000000</v>
      </c>
      <c r="R41" s="3">
        <f t="shared" si="14"/>
        <v>488000000</v>
      </c>
      <c r="S41" s="3">
        <f t="shared" si="14"/>
        <v>488000000</v>
      </c>
      <c r="T41" s="3">
        <f t="shared" si="14"/>
        <v>488000000</v>
      </c>
      <c r="U41" s="3">
        <f t="shared" si="14"/>
        <v>488000000</v>
      </c>
      <c r="V41" s="3">
        <f t="shared" si="14"/>
        <v>488000000</v>
      </c>
      <c r="W41" s="3">
        <f t="shared" si="14"/>
        <v>488000000</v>
      </c>
      <c r="X41" s="4">
        <f>SUM(C41:W41)</f>
        <v>14753875000</v>
      </c>
      <c r="Y41" s="4">
        <f>C41+NPV($Y$2,D41:W41)</f>
        <v>8811027657.6697578</v>
      </c>
    </row>
    <row r="43" spans="1:27" x14ac:dyDescent="0.3">
      <c r="A43" s="12" t="s">
        <v>68</v>
      </c>
    </row>
    <row r="44" spans="1:27" x14ac:dyDescent="0.3">
      <c r="A44" s="6" t="s">
        <v>63</v>
      </c>
    </row>
    <row r="45" spans="1:27" x14ac:dyDescent="0.3">
      <c r="A45" s="1" t="s">
        <v>16</v>
      </c>
      <c r="B45" s="1" t="s">
        <v>9</v>
      </c>
      <c r="C45" s="9">
        <v>0.65</v>
      </c>
      <c r="D45" s="9">
        <v>0.65</v>
      </c>
      <c r="E45" s="9">
        <v>0.65</v>
      </c>
      <c r="F45" s="9">
        <v>0.65</v>
      </c>
      <c r="G45" s="9">
        <v>0.65</v>
      </c>
      <c r="H45" s="9">
        <v>0.65</v>
      </c>
      <c r="I45" s="9">
        <v>0.65</v>
      </c>
      <c r="J45" s="9">
        <v>0.65</v>
      </c>
      <c r="K45" s="9">
        <v>0.65</v>
      </c>
      <c r="L45" s="9">
        <v>0.65</v>
      </c>
      <c r="M45" s="9">
        <v>0.65</v>
      </c>
      <c r="N45" s="9">
        <v>0.65</v>
      </c>
      <c r="O45" s="9">
        <v>0.65</v>
      </c>
      <c r="P45" s="9">
        <v>0.65</v>
      </c>
      <c r="Q45" s="9">
        <v>0.65</v>
      </c>
      <c r="R45" s="9">
        <v>0.65</v>
      </c>
      <c r="S45" s="9">
        <v>0.65</v>
      </c>
      <c r="T45" s="9">
        <v>0.65</v>
      </c>
      <c r="U45" s="9">
        <v>0.65</v>
      </c>
      <c r="V45" s="9">
        <v>0.65</v>
      </c>
      <c r="W45" s="9">
        <v>0.65</v>
      </c>
    </row>
    <row r="46" spans="1:27" x14ac:dyDescent="0.3">
      <c r="A46" s="1" t="s">
        <v>18</v>
      </c>
      <c r="B46" s="1" t="s">
        <v>7</v>
      </c>
      <c r="C46" s="5">
        <f>C8*C45</f>
        <v>0</v>
      </c>
      <c r="D46" s="5">
        <f>D8*D45</f>
        <v>1850550000</v>
      </c>
      <c r="E46" s="5">
        <f t="shared" ref="E46:W46" si="15">E8*E45</f>
        <v>2847000000</v>
      </c>
      <c r="F46" s="5">
        <f t="shared" si="15"/>
        <v>2847000000</v>
      </c>
      <c r="G46" s="5">
        <f t="shared" si="15"/>
        <v>2847000000</v>
      </c>
      <c r="H46" s="5">
        <f t="shared" si="15"/>
        <v>2847000000</v>
      </c>
      <c r="I46" s="5">
        <f t="shared" si="15"/>
        <v>2847000000</v>
      </c>
      <c r="J46" s="5">
        <f t="shared" si="15"/>
        <v>2847000000</v>
      </c>
      <c r="K46" s="5">
        <f t="shared" si="15"/>
        <v>2847000000</v>
      </c>
      <c r="L46" s="5">
        <f t="shared" si="15"/>
        <v>2847000000</v>
      </c>
      <c r="M46" s="5">
        <f t="shared" si="15"/>
        <v>2277600000</v>
      </c>
      <c r="N46" s="5">
        <f t="shared" si="15"/>
        <v>2277600000</v>
      </c>
      <c r="O46" s="5">
        <f t="shared" si="15"/>
        <v>2277600000</v>
      </c>
      <c r="P46" s="5">
        <f t="shared" si="15"/>
        <v>2277600000</v>
      </c>
      <c r="Q46" s="5">
        <f t="shared" si="15"/>
        <v>2277600000</v>
      </c>
      <c r="R46" s="5">
        <f t="shared" si="15"/>
        <v>2277600000</v>
      </c>
      <c r="S46" s="5">
        <f t="shared" si="15"/>
        <v>2277600000</v>
      </c>
      <c r="T46" s="5">
        <f t="shared" si="15"/>
        <v>2277600000</v>
      </c>
      <c r="U46" s="5">
        <f t="shared" si="15"/>
        <v>2277600000</v>
      </c>
      <c r="V46" s="5">
        <f t="shared" si="15"/>
        <v>2277600000</v>
      </c>
      <c r="W46" s="5">
        <f t="shared" si="15"/>
        <v>2277600000</v>
      </c>
      <c r="X46" s="4">
        <f>SUM(C46:W46)</f>
        <v>49680150000</v>
      </c>
      <c r="Y46" s="4">
        <f t="shared" ref="Y46" si="16">C46+NPV($Y$2,D46:W46)</f>
        <v>21763817252.745522</v>
      </c>
    </row>
    <row r="47" spans="1:27" x14ac:dyDescent="0.3">
      <c r="A47" s="6" t="s">
        <v>64</v>
      </c>
    </row>
    <row r="48" spans="1:27" x14ac:dyDescent="0.3">
      <c r="A48" s="1" t="s">
        <v>16</v>
      </c>
      <c r="B48" s="1" t="s">
        <v>9</v>
      </c>
      <c r="C48" s="9">
        <v>0.75</v>
      </c>
      <c r="D48" s="9">
        <v>0.75</v>
      </c>
      <c r="E48" s="9">
        <v>0.75</v>
      </c>
      <c r="F48" s="9">
        <v>0.75</v>
      </c>
      <c r="G48" s="9">
        <v>0.75</v>
      </c>
      <c r="H48" s="9">
        <v>0.75</v>
      </c>
      <c r="I48" s="9">
        <v>0.75</v>
      </c>
      <c r="J48" s="9">
        <v>0.75</v>
      </c>
      <c r="K48" s="9">
        <v>0.75</v>
      </c>
      <c r="L48" s="9">
        <v>0.75</v>
      </c>
      <c r="M48" s="9">
        <v>0.75</v>
      </c>
      <c r="N48" s="9">
        <v>0.75</v>
      </c>
      <c r="O48" s="9">
        <v>0.75</v>
      </c>
      <c r="P48" s="9">
        <v>0.75</v>
      </c>
      <c r="Q48" s="9">
        <v>0.75</v>
      </c>
      <c r="R48" s="9">
        <v>0.75</v>
      </c>
      <c r="S48" s="9">
        <v>0.75</v>
      </c>
      <c r="T48" s="9">
        <v>0.75</v>
      </c>
      <c r="U48" s="9">
        <v>0.75</v>
      </c>
      <c r="V48" s="9">
        <v>0.75</v>
      </c>
      <c r="W48" s="9">
        <v>0.75</v>
      </c>
    </row>
    <row r="49" spans="1:27" x14ac:dyDescent="0.3">
      <c r="A49" s="1" t="s">
        <v>18</v>
      </c>
      <c r="B49" s="1" t="s">
        <v>7</v>
      </c>
      <c r="C49" s="5">
        <f>C8*C48</f>
        <v>0</v>
      </c>
      <c r="D49" s="5">
        <f>D8*D48</f>
        <v>2135250000</v>
      </c>
      <c r="E49" s="5">
        <f t="shared" ref="E49:W49" si="17">E8*E48</f>
        <v>3285000000</v>
      </c>
      <c r="F49" s="5">
        <f t="shared" si="17"/>
        <v>3285000000</v>
      </c>
      <c r="G49" s="5">
        <f t="shared" si="17"/>
        <v>3285000000</v>
      </c>
      <c r="H49" s="5">
        <f t="shared" si="17"/>
        <v>3285000000</v>
      </c>
      <c r="I49" s="5">
        <f t="shared" si="17"/>
        <v>3285000000</v>
      </c>
      <c r="J49" s="5">
        <f t="shared" si="17"/>
        <v>3285000000</v>
      </c>
      <c r="K49" s="5">
        <f t="shared" si="17"/>
        <v>3285000000</v>
      </c>
      <c r="L49" s="5">
        <f t="shared" si="17"/>
        <v>3285000000</v>
      </c>
      <c r="M49" s="5">
        <f t="shared" si="17"/>
        <v>2628000000</v>
      </c>
      <c r="N49" s="5">
        <f t="shared" si="17"/>
        <v>2628000000</v>
      </c>
      <c r="O49" s="5">
        <f t="shared" si="17"/>
        <v>2628000000</v>
      </c>
      <c r="P49" s="5">
        <f t="shared" si="17"/>
        <v>2628000000</v>
      </c>
      <c r="Q49" s="5">
        <f t="shared" si="17"/>
        <v>2628000000</v>
      </c>
      <c r="R49" s="5">
        <f t="shared" si="17"/>
        <v>2628000000</v>
      </c>
      <c r="S49" s="5">
        <f t="shared" si="17"/>
        <v>2628000000</v>
      </c>
      <c r="T49" s="5">
        <f t="shared" si="17"/>
        <v>2628000000</v>
      </c>
      <c r="U49" s="5">
        <f t="shared" si="17"/>
        <v>2628000000</v>
      </c>
      <c r="V49" s="5">
        <f t="shared" si="17"/>
        <v>2628000000</v>
      </c>
      <c r="W49" s="5">
        <f t="shared" si="17"/>
        <v>2628000000</v>
      </c>
      <c r="X49" s="4">
        <f>SUM(C49:W49)</f>
        <v>57323250000</v>
      </c>
      <c r="Y49" s="4">
        <f t="shared" ref="Y49" si="18">C49+NPV($Y$2,D49:W49)</f>
        <v>25112096830.090984</v>
      </c>
    </row>
    <row r="51" spans="1:27" x14ac:dyDescent="0.3">
      <c r="A51" s="12" t="s">
        <v>69</v>
      </c>
    </row>
    <row r="52" spans="1:27" x14ac:dyDescent="0.3">
      <c r="A52" s="6" t="s">
        <v>63</v>
      </c>
    </row>
    <row r="53" spans="1:27" x14ac:dyDescent="0.3">
      <c r="A53" s="1" t="s">
        <v>28</v>
      </c>
      <c r="B53" s="1" t="s">
        <v>7</v>
      </c>
      <c r="C53" s="3">
        <f>C8-C41-C36</f>
        <v>-4200000000</v>
      </c>
      <c r="D53" s="3">
        <f>D8-D41-D36</f>
        <v>2213365000</v>
      </c>
      <c r="E53" s="3">
        <f t="shared" ref="E53:W53" si="19">E8-E41-E36</f>
        <v>3432100000</v>
      </c>
      <c r="F53" s="3">
        <f t="shared" si="19"/>
        <v>3432100000</v>
      </c>
      <c r="G53" s="3">
        <f t="shared" si="19"/>
        <v>3432100000</v>
      </c>
      <c r="H53" s="3">
        <f t="shared" si="19"/>
        <v>3432100000</v>
      </c>
      <c r="I53" s="3">
        <f t="shared" si="19"/>
        <v>3432100000</v>
      </c>
      <c r="J53" s="3">
        <f t="shared" si="19"/>
        <v>3432100000</v>
      </c>
      <c r="K53" s="3">
        <f t="shared" si="19"/>
        <v>3432100000</v>
      </c>
      <c r="L53" s="3">
        <f t="shared" si="19"/>
        <v>3432100000</v>
      </c>
      <c r="M53" s="3">
        <f t="shared" si="19"/>
        <v>2735680000</v>
      </c>
      <c r="N53" s="3">
        <f t="shared" si="19"/>
        <v>2735680000</v>
      </c>
      <c r="O53" s="3">
        <f t="shared" si="19"/>
        <v>2735680000</v>
      </c>
      <c r="P53" s="3">
        <f t="shared" si="19"/>
        <v>2735680000</v>
      </c>
      <c r="Q53" s="3">
        <f t="shared" si="19"/>
        <v>2735680000</v>
      </c>
      <c r="R53" s="3">
        <f t="shared" si="19"/>
        <v>2735680000</v>
      </c>
      <c r="S53" s="3">
        <f t="shared" si="19"/>
        <v>2735680000</v>
      </c>
      <c r="T53" s="3">
        <f t="shared" si="19"/>
        <v>2735680000</v>
      </c>
      <c r="U53" s="3">
        <f t="shared" si="19"/>
        <v>2735680000</v>
      </c>
      <c r="V53" s="3">
        <f t="shared" si="19"/>
        <v>2735680000</v>
      </c>
      <c r="W53" s="3">
        <f t="shared" si="19"/>
        <v>2735680000</v>
      </c>
      <c r="X53" s="4">
        <f>SUM(C53:W53)</f>
        <v>55562645000</v>
      </c>
      <c r="Y53" s="4">
        <f>C53+NPV($Y$2,D53:W53)</f>
        <v>21993144453.908524</v>
      </c>
    </row>
    <row r="54" spans="1:27" x14ac:dyDescent="0.3">
      <c r="A54" s="1" t="s">
        <v>70</v>
      </c>
      <c r="C54" s="17">
        <v>0</v>
      </c>
      <c r="D54" s="16">
        <f>(SUM($C8:D8)-SUM($C36:D36))/SUM($C11:D11)</f>
        <v>0.61629176470588232</v>
      </c>
      <c r="E54" s="16">
        <f>(SUM($C8:E8)-SUM($C36:E36))/SUM($C11:E11)</f>
        <v>1.5462418604651162</v>
      </c>
      <c r="F54" s="16">
        <f>(SUM($C8:F8)-SUM($C36:F36))/SUM($C11:F11)</f>
        <v>2.4548137931034484</v>
      </c>
      <c r="G54" s="16">
        <f>(SUM($C8:G8)-SUM($C36:G36))/SUM($C11:G11)</f>
        <v>3.3427363636363636</v>
      </c>
      <c r="H54" s="16">
        <f>(SUM($C8:H8)-SUM($C36:H36))/SUM($C11:H11)</f>
        <v>4.2107056179775277</v>
      </c>
      <c r="I54" s="16">
        <f>(SUM($C8:I8)-SUM($C36:I36))/SUM($C11:I11)</f>
        <v>5.0593866666666667</v>
      </c>
      <c r="J54" s="16">
        <f>(SUM($C8:J8)-SUM($C36:J36))/SUM($C11:J11)</f>
        <v>5.8894153846153845</v>
      </c>
      <c r="K54" s="16">
        <f>(SUM($C8:K8)-SUM($C36:K36))/SUM($C11:K11)</f>
        <v>6.7013999999999996</v>
      </c>
      <c r="L54" s="16">
        <f>(SUM($C8:L8)-SUM($C36:L36))/SUM($C11:L11)</f>
        <v>7.4959225806451615</v>
      </c>
      <c r="M54" s="16">
        <f>(SUM($C8:M8)-SUM($C36:M36))/SUM($C11:M11)</f>
        <v>8.1020680851063833</v>
      </c>
      <c r="N54" s="16">
        <f>(SUM($C8:N8)-SUM($C36:N36))/SUM($C11:N11)</f>
        <v>8.6954526315789469</v>
      </c>
      <c r="O54" s="16">
        <f>(SUM($C8:O8)-SUM($C36:O36))/SUM($C11:O11)</f>
        <v>9.2764749999999996</v>
      </c>
      <c r="P54" s="16">
        <f>(SUM($C8:P8)-SUM($C36:P36))/SUM($C11:P11)</f>
        <v>9.8455175257731966</v>
      </c>
      <c r="Q54" s="16">
        <f>(SUM($C8:Q8)-SUM($C36:Q36))/SUM($C11:Q11)</f>
        <v>10.402946938775511</v>
      </c>
      <c r="R54" s="16">
        <f>(SUM($C8:R8)-SUM($C36:R36))/SUM($C11:R11)</f>
        <v>10.949115151515151</v>
      </c>
      <c r="S54" s="16">
        <f>(SUM($C8:S8)-SUM($C36:S36))/SUM($C11:S11)</f>
        <v>11.484360000000001</v>
      </c>
      <c r="T54" s="16">
        <f>(SUM($C8:T8)-SUM($C36:T36))/SUM($C11:T11)</f>
        <v>12.00900594059406</v>
      </c>
      <c r="U54" s="16">
        <f>(SUM($C8:U8)-SUM($C36:U36))/SUM($C11:U11)</f>
        <v>12.523364705882353</v>
      </c>
      <c r="V54" s="16">
        <f>(SUM($C8:V8)-SUM($C36:V36))/SUM($C11:V11)</f>
        <v>13.027735922330097</v>
      </c>
      <c r="W54" s="16">
        <f>(SUM($C8:W8)-SUM($C36:W36))/SUM($C11:W11)</f>
        <v>13.522407692307691</v>
      </c>
    </row>
    <row r="55" spans="1:27" x14ac:dyDescent="0.3">
      <c r="A55" s="14" t="s">
        <v>72</v>
      </c>
    </row>
    <row r="56" spans="1:27" x14ac:dyDescent="0.3">
      <c r="A56" s="14" t="s">
        <v>71</v>
      </c>
    </row>
    <row r="57" spans="1:27" x14ac:dyDescent="0.3">
      <c r="A57" s="1" t="s">
        <v>16</v>
      </c>
      <c r="B57" s="1" t="s">
        <v>9</v>
      </c>
      <c r="C57" s="9">
        <f>IF(C54&lt;1,40%,IF(C54&lt;2,45%,IF(C54&lt;3,55%,60%)))</f>
        <v>0.4</v>
      </c>
      <c r="D57" s="9">
        <f t="shared" ref="D57:W57" si="20">IF(D54&lt;1,40%,IF(D54&lt;2,45%,IF(D54&lt;3,55%,60%)))</f>
        <v>0.4</v>
      </c>
      <c r="E57" s="9">
        <f t="shared" si="20"/>
        <v>0.45</v>
      </c>
      <c r="F57" s="9">
        <f t="shared" si="20"/>
        <v>0.55000000000000004</v>
      </c>
      <c r="G57" s="9">
        <f t="shared" si="20"/>
        <v>0.6</v>
      </c>
      <c r="H57" s="9">
        <f t="shared" si="20"/>
        <v>0.6</v>
      </c>
      <c r="I57" s="9">
        <f t="shared" si="20"/>
        <v>0.6</v>
      </c>
      <c r="J57" s="9">
        <f t="shared" si="20"/>
        <v>0.6</v>
      </c>
      <c r="K57" s="9">
        <f t="shared" si="20"/>
        <v>0.6</v>
      </c>
      <c r="L57" s="9">
        <f t="shared" si="20"/>
        <v>0.6</v>
      </c>
      <c r="M57" s="9">
        <f t="shared" si="20"/>
        <v>0.6</v>
      </c>
      <c r="N57" s="9">
        <f t="shared" si="20"/>
        <v>0.6</v>
      </c>
      <c r="O57" s="9">
        <f t="shared" si="20"/>
        <v>0.6</v>
      </c>
      <c r="P57" s="9">
        <f t="shared" si="20"/>
        <v>0.6</v>
      </c>
      <c r="Q57" s="9">
        <f t="shared" si="20"/>
        <v>0.6</v>
      </c>
      <c r="R57" s="9">
        <f t="shared" si="20"/>
        <v>0.6</v>
      </c>
      <c r="S57" s="9">
        <f t="shared" si="20"/>
        <v>0.6</v>
      </c>
      <c r="T57" s="9">
        <f t="shared" si="20"/>
        <v>0.6</v>
      </c>
      <c r="U57" s="9">
        <f t="shared" si="20"/>
        <v>0.6</v>
      </c>
      <c r="V57" s="9">
        <f t="shared" si="20"/>
        <v>0.6</v>
      </c>
      <c r="W57" s="9">
        <f t="shared" si="20"/>
        <v>0.6</v>
      </c>
    </row>
    <row r="58" spans="1:27" x14ac:dyDescent="0.3">
      <c r="A58" s="1" t="s">
        <v>20</v>
      </c>
      <c r="B58" s="1" t="s">
        <v>7</v>
      </c>
      <c r="C58" s="5">
        <f>IF(C53&lt;0,0,C53*C57)</f>
        <v>0</v>
      </c>
      <c r="D58" s="5">
        <f>IF(D53&lt;0,0,D53*D57)</f>
        <v>885346000</v>
      </c>
      <c r="E58" s="5">
        <f t="shared" ref="E58:W58" si="21">IF(E53&lt;0,0,E53*E57)</f>
        <v>1544445000</v>
      </c>
      <c r="F58" s="5">
        <f t="shared" si="21"/>
        <v>1887655000.0000002</v>
      </c>
      <c r="G58" s="5">
        <f t="shared" si="21"/>
        <v>2059260000</v>
      </c>
      <c r="H58" s="5">
        <f t="shared" si="21"/>
        <v>2059260000</v>
      </c>
      <c r="I58" s="5">
        <f t="shared" si="21"/>
        <v>2059260000</v>
      </c>
      <c r="J58" s="5">
        <f t="shared" si="21"/>
        <v>2059260000</v>
      </c>
      <c r="K58" s="5">
        <f t="shared" si="21"/>
        <v>2059260000</v>
      </c>
      <c r="L58" s="5">
        <f t="shared" si="21"/>
        <v>2059260000</v>
      </c>
      <c r="M58" s="5">
        <f t="shared" si="21"/>
        <v>1641408000</v>
      </c>
      <c r="N58" s="5">
        <f t="shared" si="21"/>
        <v>1641408000</v>
      </c>
      <c r="O58" s="5">
        <f t="shared" si="21"/>
        <v>1641408000</v>
      </c>
      <c r="P58" s="5">
        <f t="shared" si="21"/>
        <v>1641408000</v>
      </c>
      <c r="Q58" s="5">
        <f t="shared" si="21"/>
        <v>1641408000</v>
      </c>
      <c r="R58" s="5">
        <f t="shared" si="21"/>
        <v>1641408000</v>
      </c>
      <c r="S58" s="5">
        <f t="shared" si="21"/>
        <v>1641408000</v>
      </c>
      <c r="T58" s="5">
        <f t="shared" si="21"/>
        <v>1641408000</v>
      </c>
      <c r="U58" s="5">
        <f t="shared" si="21"/>
        <v>1641408000</v>
      </c>
      <c r="V58" s="5">
        <f t="shared" si="21"/>
        <v>1641408000</v>
      </c>
      <c r="W58" s="5">
        <f t="shared" si="21"/>
        <v>1641408000</v>
      </c>
      <c r="X58" s="4">
        <f>SUM(C58:W58)</f>
        <v>34728494000</v>
      </c>
      <c r="Y58" s="4">
        <f>C58+NPV($Y$2,D58:W58)</f>
        <v>14759060353.787634</v>
      </c>
      <c r="Z58" s="19">
        <f>Y58/$Y$121</f>
        <v>0.73780706893486681</v>
      </c>
      <c r="AA58" s="18" t="s">
        <v>91</v>
      </c>
    </row>
    <row r="59" spans="1:27" x14ac:dyDescent="0.3">
      <c r="A59" s="6" t="s">
        <v>64</v>
      </c>
    </row>
    <row r="60" spans="1:27" x14ac:dyDescent="0.3">
      <c r="A60" s="1" t="s">
        <v>28</v>
      </c>
      <c r="B60" s="1" t="s">
        <v>7</v>
      </c>
      <c r="C60" s="3">
        <f>C8-C41-C38</f>
        <v>-4200000000</v>
      </c>
      <c r="D60" s="3">
        <f>D8-D41-D38</f>
        <v>2441125000</v>
      </c>
      <c r="E60" s="3">
        <f t="shared" ref="E60:W60" si="22">E8-E41-E38</f>
        <v>3782500000</v>
      </c>
      <c r="F60" s="3">
        <f t="shared" si="22"/>
        <v>3782500000</v>
      </c>
      <c r="G60" s="3">
        <f t="shared" si="22"/>
        <v>3782500000</v>
      </c>
      <c r="H60" s="3">
        <f t="shared" si="22"/>
        <v>3782500000</v>
      </c>
      <c r="I60" s="3">
        <f t="shared" si="22"/>
        <v>3782500000</v>
      </c>
      <c r="J60" s="3">
        <f t="shared" si="22"/>
        <v>3782500000</v>
      </c>
      <c r="K60" s="3">
        <f t="shared" si="22"/>
        <v>3782500000</v>
      </c>
      <c r="L60" s="3">
        <f t="shared" si="22"/>
        <v>3782500000</v>
      </c>
      <c r="M60" s="3">
        <f t="shared" si="22"/>
        <v>3016000000</v>
      </c>
      <c r="N60" s="3">
        <f t="shared" si="22"/>
        <v>3016000000</v>
      </c>
      <c r="O60" s="3">
        <f t="shared" si="22"/>
        <v>3016000000</v>
      </c>
      <c r="P60" s="3">
        <f t="shared" si="22"/>
        <v>3016000000</v>
      </c>
      <c r="Q60" s="3">
        <f t="shared" si="22"/>
        <v>3016000000</v>
      </c>
      <c r="R60" s="3">
        <f t="shared" si="22"/>
        <v>3016000000</v>
      </c>
      <c r="S60" s="3">
        <f t="shared" si="22"/>
        <v>3016000000</v>
      </c>
      <c r="T60" s="3">
        <f t="shared" si="22"/>
        <v>3016000000</v>
      </c>
      <c r="U60" s="3">
        <f t="shared" si="22"/>
        <v>3016000000</v>
      </c>
      <c r="V60" s="3">
        <f t="shared" si="22"/>
        <v>3016000000</v>
      </c>
      <c r="W60" s="3">
        <f t="shared" si="22"/>
        <v>3016000000</v>
      </c>
      <c r="X60" s="4">
        <f>SUM(C60:W60)</f>
        <v>61677125000</v>
      </c>
      <c r="Y60" s="4">
        <f>C60+NPV($Y$2,D60:W60)</f>
        <v>24671768115.784893</v>
      </c>
    </row>
    <row r="61" spans="1:27" x14ac:dyDescent="0.3">
      <c r="A61" s="1" t="s">
        <v>16</v>
      </c>
      <c r="B61" s="1" t="s">
        <v>9</v>
      </c>
      <c r="C61" s="9">
        <f t="shared" ref="C61:W61" si="23">IF(C5&lt;=50000,15%,IF(C5&lt;=100000,20%,IF(C5&lt;=150000,25%,IF(C5&lt;=200000,30%,40%))))</f>
        <v>0.15</v>
      </c>
      <c r="D61" s="9">
        <f t="shared" si="23"/>
        <v>0.2</v>
      </c>
      <c r="E61" s="9">
        <f t="shared" si="23"/>
        <v>0.2</v>
      </c>
      <c r="F61" s="9">
        <f t="shared" si="23"/>
        <v>0.2</v>
      </c>
      <c r="G61" s="9">
        <f t="shared" si="23"/>
        <v>0.2</v>
      </c>
      <c r="H61" s="9">
        <f t="shared" si="23"/>
        <v>0.2</v>
      </c>
      <c r="I61" s="9">
        <f t="shared" si="23"/>
        <v>0.2</v>
      </c>
      <c r="J61" s="9">
        <f t="shared" si="23"/>
        <v>0.2</v>
      </c>
      <c r="K61" s="9">
        <f t="shared" si="23"/>
        <v>0.2</v>
      </c>
      <c r="L61" s="9">
        <f t="shared" si="23"/>
        <v>0.2</v>
      </c>
      <c r="M61" s="9">
        <f t="shared" si="23"/>
        <v>0.2</v>
      </c>
      <c r="N61" s="9">
        <f t="shared" si="23"/>
        <v>0.2</v>
      </c>
      <c r="O61" s="9">
        <f t="shared" si="23"/>
        <v>0.2</v>
      </c>
      <c r="P61" s="9">
        <f t="shared" si="23"/>
        <v>0.2</v>
      </c>
      <c r="Q61" s="9">
        <f t="shared" si="23"/>
        <v>0.2</v>
      </c>
      <c r="R61" s="9">
        <f t="shared" si="23"/>
        <v>0.2</v>
      </c>
      <c r="S61" s="9">
        <f t="shared" si="23"/>
        <v>0.2</v>
      </c>
      <c r="T61" s="9">
        <f t="shared" si="23"/>
        <v>0.2</v>
      </c>
      <c r="U61" s="9">
        <f t="shared" si="23"/>
        <v>0.2</v>
      </c>
      <c r="V61" s="9">
        <f t="shared" si="23"/>
        <v>0.2</v>
      </c>
      <c r="W61" s="9">
        <f t="shared" si="23"/>
        <v>0.2</v>
      </c>
    </row>
    <row r="62" spans="1:27" x14ac:dyDescent="0.3">
      <c r="A62" s="1" t="s">
        <v>20</v>
      </c>
      <c r="B62" s="1" t="s">
        <v>7</v>
      </c>
      <c r="C62" s="5">
        <f t="shared" ref="C62:W62" si="24">IF(C60&lt;0,0,C60*C61)</f>
        <v>0</v>
      </c>
      <c r="D62" s="5">
        <f>IF(D60&lt;0,0,D60*D61)</f>
        <v>488225000</v>
      </c>
      <c r="E62" s="5">
        <f t="shared" si="24"/>
        <v>756500000</v>
      </c>
      <c r="F62" s="5">
        <f t="shared" si="24"/>
        <v>756500000</v>
      </c>
      <c r="G62" s="5">
        <f t="shared" si="24"/>
        <v>756500000</v>
      </c>
      <c r="H62" s="5">
        <f t="shared" si="24"/>
        <v>756500000</v>
      </c>
      <c r="I62" s="5">
        <f t="shared" si="24"/>
        <v>756500000</v>
      </c>
      <c r="J62" s="5">
        <f t="shared" si="24"/>
        <v>756500000</v>
      </c>
      <c r="K62" s="5">
        <f t="shared" si="24"/>
        <v>756500000</v>
      </c>
      <c r="L62" s="5">
        <f t="shared" si="24"/>
        <v>756500000</v>
      </c>
      <c r="M62" s="5">
        <f t="shared" si="24"/>
        <v>603200000</v>
      </c>
      <c r="N62" s="5">
        <f t="shared" si="24"/>
        <v>603200000</v>
      </c>
      <c r="O62" s="5">
        <f t="shared" si="24"/>
        <v>603200000</v>
      </c>
      <c r="P62" s="5">
        <f t="shared" si="24"/>
        <v>603200000</v>
      </c>
      <c r="Q62" s="5">
        <f t="shared" si="24"/>
        <v>603200000</v>
      </c>
      <c r="R62" s="5">
        <f t="shared" si="24"/>
        <v>603200000</v>
      </c>
      <c r="S62" s="5">
        <f t="shared" si="24"/>
        <v>603200000</v>
      </c>
      <c r="T62" s="5">
        <f t="shared" si="24"/>
        <v>603200000</v>
      </c>
      <c r="U62" s="5">
        <f t="shared" si="24"/>
        <v>603200000</v>
      </c>
      <c r="V62" s="5">
        <f t="shared" si="24"/>
        <v>603200000</v>
      </c>
      <c r="W62" s="5">
        <f t="shared" si="24"/>
        <v>603200000</v>
      </c>
      <c r="X62" s="4">
        <f>SUM(C62:W62)</f>
        <v>13175425000</v>
      </c>
      <c r="Y62" s="4">
        <f>C62+NPV($Y$2,D62:W62)</f>
        <v>5774353623.1569786</v>
      </c>
      <c r="Z62" s="19">
        <f>Y62/$Y$122</f>
        <v>0.49358719064761974</v>
      </c>
      <c r="AA62" s="18" t="s">
        <v>91</v>
      </c>
    </row>
    <row r="64" spans="1:27" x14ac:dyDescent="0.3">
      <c r="A64" s="12" t="s">
        <v>73</v>
      </c>
    </row>
    <row r="65" spans="1:27" x14ac:dyDescent="0.3">
      <c r="A65" s="6" t="s">
        <v>63</v>
      </c>
    </row>
    <row r="66" spans="1:27" x14ac:dyDescent="0.3">
      <c r="A66" s="1" t="s">
        <v>74</v>
      </c>
      <c r="B66" s="1" t="s">
        <v>7</v>
      </c>
      <c r="C66" s="3">
        <f>C8*60%</f>
        <v>0</v>
      </c>
      <c r="D66" s="3">
        <f>D8*60%</f>
        <v>1708200000</v>
      </c>
      <c r="E66" s="3">
        <f t="shared" ref="E66:W66" si="25">E8*60%</f>
        <v>2628000000</v>
      </c>
      <c r="F66" s="3">
        <f t="shared" si="25"/>
        <v>2628000000</v>
      </c>
      <c r="G66" s="3">
        <f t="shared" si="25"/>
        <v>2628000000</v>
      </c>
      <c r="H66" s="3">
        <f t="shared" si="25"/>
        <v>2628000000</v>
      </c>
      <c r="I66" s="3">
        <f t="shared" si="25"/>
        <v>2628000000</v>
      </c>
      <c r="J66" s="3">
        <f t="shared" si="25"/>
        <v>2628000000</v>
      </c>
      <c r="K66" s="3">
        <f t="shared" si="25"/>
        <v>2628000000</v>
      </c>
      <c r="L66" s="3">
        <f t="shared" si="25"/>
        <v>2628000000</v>
      </c>
      <c r="M66" s="3">
        <f t="shared" si="25"/>
        <v>2102400000</v>
      </c>
      <c r="N66" s="3">
        <f t="shared" si="25"/>
        <v>2102400000</v>
      </c>
      <c r="O66" s="3">
        <f t="shared" si="25"/>
        <v>2102400000</v>
      </c>
      <c r="P66" s="3">
        <f t="shared" si="25"/>
        <v>2102400000</v>
      </c>
      <c r="Q66" s="3">
        <f t="shared" si="25"/>
        <v>2102400000</v>
      </c>
      <c r="R66" s="3">
        <f t="shared" si="25"/>
        <v>2102400000</v>
      </c>
      <c r="S66" s="3">
        <f t="shared" si="25"/>
        <v>2102400000</v>
      </c>
      <c r="T66" s="3">
        <f t="shared" si="25"/>
        <v>2102400000</v>
      </c>
      <c r="U66" s="3">
        <f t="shared" si="25"/>
        <v>2102400000</v>
      </c>
      <c r="V66" s="3">
        <f t="shared" si="25"/>
        <v>2102400000</v>
      </c>
      <c r="W66" s="3">
        <f t="shared" si="25"/>
        <v>2102400000</v>
      </c>
    </row>
    <row r="67" spans="1:27" x14ac:dyDescent="0.3">
      <c r="A67" s="1" t="s">
        <v>16</v>
      </c>
      <c r="B67" s="1" t="s">
        <v>9</v>
      </c>
      <c r="C67" s="9">
        <v>0.01</v>
      </c>
      <c r="D67" s="9">
        <v>0.01</v>
      </c>
      <c r="E67" s="9">
        <v>0.01</v>
      </c>
      <c r="F67" s="9">
        <v>0.01</v>
      </c>
      <c r="G67" s="9">
        <v>0.01</v>
      </c>
      <c r="H67" s="9">
        <v>0.01</v>
      </c>
      <c r="I67" s="9">
        <v>0.01</v>
      </c>
      <c r="J67" s="9">
        <v>0.01</v>
      </c>
      <c r="K67" s="9">
        <v>0.01</v>
      </c>
      <c r="L67" s="9">
        <v>0.01</v>
      </c>
      <c r="M67" s="9">
        <v>0.01</v>
      </c>
      <c r="N67" s="9">
        <v>0.01</v>
      </c>
      <c r="O67" s="9">
        <v>0.01</v>
      </c>
      <c r="P67" s="9">
        <v>0.01</v>
      </c>
      <c r="Q67" s="9">
        <v>0.01</v>
      </c>
      <c r="R67" s="9">
        <v>0.01</v>
      </c>
      <c r="S67" s="9">
        <v>0.01</v>
      </c>
      <c r="T67" s="9">
        <v>0.01</v>
      </c>
      <c r="U67" s="9">
        <v>0.01</v>
      </c>
      <c r="V67" s="9">
        <v>0.01</v>
      </c>
      <c r="W67" s="9">
        <v>0.01</v>
      </c>
    </row>
    <row r="68" spans="1:27" x14ac:dyDescent="0.3">
      <c r="A68" s="1" t="s">
        <v>75</v>
      </c>
      <c r="B68" s="1" t="s">
        <v>7</v>
      </c>
      <c r="C68" s="5">
        <f>C66*C67</f>
        <v>0</v>
      </c>
      <c r="D68" s="5">
        <f>D66*D67</f>
        <v>17082000</v>
      </c>
      <c r="E68" s="5">
        <f t="shared" ref="E68:W68" si="26">E66*E67</f>
        <v>26280000</v>
      </c>
      <c r="F68" s="5">
        <f t="shared" si="26"/>
        <v>26280000</v>
      </c>
      <c r="G68" s="5">
        <f t="shared" si="26"/>
        <v>26280000</v>
      </c>
      <c r="H68" s="5">
        <f t="shared" si="26"/>
        <v>26280000</v>
      </c>
      <c r="I68" s="5">
        <f t="shared" si="26"/>
        <v>26280000</v>
      </c>
      <c r="J68" s="5">
        <f t="shared" si="26"/>
        <v>26280000</v>
      </c>
      <c r="K68" s="5">
        <f t="shared" si="26"/>
        <v>26280000</v>
      </c>
      <c r="L68" s="5">
        <f t="shared" si="26"/>
        <v>26280000</v>
      </c>
      <c r="M68" s="5">
        <f t="shared" si="26"/>
        <v>21024000</v>
      </c>
      <c r="N68" s="5">
        <f t="shared" si="26"/>
        <v>21024000</v>
      </c>
      <c r="O68" s="5">
        <f t="shared" si="26"/>
        <v>21024000</v>
      </c>
      <c r="P68" s="5">
        <f t="shared" si="26"/>
        <v>21024000</v>
      </c>
      <c r="Q68" s="5">
        <f t="shared" si="26"/>
        <v>21024000</v>
      </c>
      <c r="R68" s="5">
        <f t="shared" si="26"/>
        <v>21024000</v>
      </c>
      <c r="S68" s="5">
        <f t="shared" si="26"/>
        <v>21024000</v>
      </c>
      <c r="T68" s="5">
        <f t="shared" si="26"/>
        <v>21024000</v>
      </c>
      <c r="U68" s="5">
        <f t="shared" si="26"/>
        <v>21024000</v>
      </c>
      <c r="V68" s="5">
        <f t="shared" si="26"/>
        <v>21024000</v>
      </c>
      <c r="W68" s="5">
        <f t="shared" si="26"/>
        <v>21024000</v>
      </c>
      <c r="X68" s="4">
        <f>SUM(C68:W68)</f>
        <v>458586000</v>
      </c>
      <c r="Y68" s="4">
        <f>C68+NPV($Y$2,D68:W68)</f>
        <v>200896774.64072791</v>
      </c>
      <c r="Z68" s="19">
        <f>Y68/$Y$121</f>
        <v>1.0042852112743431E-2</v>
      </c>
      <c r="AA68" s="18" t="s">
        <v>92</v>
      </c>
    </row>
    <row r="69" spans="1:27" x14ac:dyDescent="0.3">
      <c r="A69" s="6" t="s">
        <v>64</v>
      </c>
    </row>
    <row r="70" spans="1:27" x14ac:dyDescent="0.3">
      <c r="A70" s="1" t="s">
        <v>75</v>
      </c>
      <c r="B70" s="1" t="s">
        <v>7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4">
        <f>SUM(C70:W70)</f>
        <v>0</v>
      </c>
      <c r="Y70" s="4">
        <f>C70+NPV($Y$2,D70:W70)</f>
        <v>0</v>
      </c>
      <c r="Z70" s="19">
        <f>Y70/$Y$122</f>
        <v>0</v>
      </c>
      <c r="AA70" s="18" t="s">
        <v>92</v>
      </c>
    </row>
    <row r="72" spans="1:27" x14ac:dyDescent="0.3">
      <c r="A72" s="12" t="s">
        <v>76</v>
      </c>
    </row>
    <row r="73" spans="1:27" x14ac:dyDescent="0.3">
      <c r="A73" s="1" t="s">
        <v>29</v>
      </c>
      <c r="B73" s="1" t="s">
        <v>7</v>
      </c>
      <c r="C73" s="3">
        <f>$C$11/10</f>
        <v>420000000</v>
      </c>
      <c r="D73" s="3">
        <f t="shared" ref="D73:L73" si="27">$C$11/10</f>
        <v>420000000</v>
      </c>
      <c r="E73" s="3">
        <f t="shared" si="27"/>
        <v>420000000</v>
      </c>
      <c r="F73" s="3">
        <f t="shared" si="27"/>
        <v>420000000</v>
      </c>
      <c r="G73" s="3">
        <f t="shared" si="27"/>
        <v>420000000</v>
      </c>
      <c r="H73" s="3">
        <f t="shared" si="27"/>
        <v>420000000</v>
      </c>
      <c r="I73" s="3">
        <f t="shared" si="27"/>
        <v>420000000</v>
      </c>
      <c r="J73" s="3">
        <f t="shared" si="27"/>
        <v>420000000</v>
      </c>
      <c r="K73" s="3">
        <f t="shared" si="27"/>
        <v>420000000</v>
      </c>
      <c r="L73" s="3">
        <f t="shared" si="27"/>
        <v>420000000</v>
      </c>
    </row>
    <row r="74" spans="1:27" x14ac:dyDescent="0.3">
      <c r="A74" s="1" t="s">
        <v>30</v>
      </c>
      <c r="B74" s="1" t="s">
        <v>7</v>
      </c>
      <c r="D74" s="3">
        <f>$D$11/10</f>
        <v>5000000</v>
      </c>
      <c r="E74" s="3">
        <f t="shared" ref="E74:M74" si="28">$D$11/10</f>
        <v>5000000</v>
      </c>
      <c r="F74" s="3">
        <f t="shared" si="28"/>
        <v>5000000</v>
      </c>
      <c r="G74" s="3">
        <f t="shared" si="28"/>
        <v>5000000</v>
      </c>
      <c r="H74" s="3">
        <f t="shared" si="28"/>
        <v>5000000</v>
      </c>
      <c r="I74" s="3">
        <f t="shared" si="28"/>
        <v>5000000</v>
      </c>
      <c r="J74" s="3">
        <f t="shared" si="28"/>
        <v>5000000</v>
      </c>
      <c r="K74" s="3">
        <f t="shared" si="28"/>
        <v>5000000</v>
      </c>
      <c r="L74" s="3">
        <f t="shared" si="28"/>
        <v>5000000</v>
      </c>
      <c r="M74" s="3">
        <f t="shared" si="28"/>
        <v>5000000</v>
      </c>
    </row>
    <row r="75" spans="1:27" x14ac:dyDescent="0.3">
      <c r="A75" s="1" t="s">
        <v>31</v>
      </c>
      <c r="B75" s="1" t="s">
        <v>7</v>
      </c>
      <c r="E75" s="3">
        <f>$E$11/10</f>
        <v>5000000</v>
      </c>
      <c r="F75" s="3">
        <f t="shared" ref="F75:N75" si="29">$E$11/10</f>
        <v>5000000</v>
      </c>
      <c r="G75" s="3">
        <f t="shared" si="29"/>
        <v>5000000</v>
      </c>
      <c r="H75" s="3">
        <f t="shared" si="29"/>
        <v>5000000</v>
      </c>
      <c r="I75" s="3">
        <f t="shared" si="29"/>
        <v>5000000</v>
      </c>
      <c r="J75" s="3">
        <f t="shared" si="29"/>
        <v>5000000</v>
      </c>
      <c r="K75" s="3">
        <f t="shared" si="29"/>
        <v>5000000</v>
      </c>
      <c r="L75" s="3">
        <f t="shared" si="29"/>
        <v>5000000</v>
      </c>
      <c r="M75" s="3">
        <f t="shared" si="29"/>
        <v>5000000</v>
      </c>
      <c r="N75" s="3">
        <f t="shared" si="29"/>
        <v>5000000</v>
      </c>
    </row>
    <row r="76" spans="1:27" x14ac:dyDescent="0.3">
      <c r="A76" s="1" t="s">
        <v>32</v>
      </c>
      <c r="B76" s="1" t="s">
        <v>7</v>
      </c>
      <c r="F76" s="3">
        <f>$F$11/10</f>
        <v>5000000</v>
      </c>
      <c r="G76" s="3">
        <f t="shared" ref="G76:O76" si="30">$F$11/10</f>
        <v>5000000</v>
      </c>
      <c r="H76" s="3">
        <f t="shared" si="30"/>
        <v>5000000</v>
      </c>
      <c r="I76" s="3">
        <f t="shared" si="30"/>
        <v>5000000</v>
      </c>
      <c r="J76" s="3">
        <f t="shared" si="30"/>
        <v>5000000</v>
      </c>
      <c r="K76" s="3">
        <f t="shared" si="30"/>
        <v>5000000</v>
      </c>
      <c r="L76" s="3">
        <f t="shared" si="30"/>
        <v>5000000</v>
      </c>
      <c r="M76" s="3">
        <f t="shared" si="30"/>
        <v>5000000</v>
      </c>
      <c r="N76" s="3">
        <f t="shared" si="30"/>
        <v>5000000</v>
      </c>
      <c r="O76" s="3">
        <f t="shared" si="30"/>
        <v>5000000</v>
      </c>
    </row>
    <row r="77" spans="1:27" x14ac:dyDescent="0.3">
      <c r="A77" s="1" t="s">
        <v>33</v>
      </c>
      <c r="B77" s="1" t="s">
        <v>7</v>
      </c>
      <c r="G77" s="3">
        <f>$G$11/10</f>
        <v>5000000</v>
      </c>
      <c r="H77" s="3">
        <f t="shared" ref="H77:P77" si="31">$G$11/10</f>
        <v>5000000</v>
      </c>
      <c r="I77" s="3">
        <f t="shared" si="31"/>
        <v>5000000</v>
      </c>
      <c r="J77" s="3">
        <f t="shared" si="31"/>
        <v>5000000</v>
      </c>
      <c r="K77" s="3">
        <f t="shared" si="31"/>
        <v>5000000</v>
      </c>
      <c r="L77" s="3">
        <f t="shared" si="31"/>
        <v>5000000</v>
      </c>
      <c r="M77" s="3">
        <f t="shared" si="31"/>
        <v>5000000</v>
      </c>
      <c r="N77" s="3">
        <f t="shared" si="31"/>
        <v>5000000</v>
      </c>
      <c r="O77" s="3">
        <f t="shared" si="31"/>
        <v>5000000</v>
      </c>
      <c r="P77" s="3">
        <f t="shared" si="31"/>
        <v>5000000</v>
      </c>
    </row>
    <row r="78" spans="1:27" x14ac:dyDescent="0.3">
      <c r="A78" s="1" t="s">
        <v>34</v>
      </c>
      <c r="B78" s="1" t="s">
        <v>7</v>
      </c>
      <c r="H78" s="3">
        <f>$H$11/10</f>
        <v>5000000</v>
      </c>
      <c r="I78" s="3">
        <f t="shared" ref="I78:Q78" si="32">$H$11/10</f>
        <v>5000000</v>
      </c>
      <c r="J78" s="3">
        <f t="shared" si="32"/>
        <v>5000000</v>
      </c>
      <c r="K78" s="3">
        <f t="shared" si="32"/>
        <v>5000000</v>
      </c>
      <c r="L78" s="3">
        <f t="shared" si="32"/>
        <v>5000000</v>
      </c>
      <c r="M78" s="3">
        <f t="shared" si="32"/>
        <v>5000000</v>
      </c>
      <c r="N78" s="3">
        <f t="shared" si="32"/>
        <v>5000000</v>
      </c>
      <c r="O78" s="3">
        <f t="shared" si="32"/>
        <v>5000000</v>
      </c>
      <c r="P78" s="3">
        <f t="shared" si="32"/>
        <v>5000000</v>
      </c>
      <c r="Q78" s="3">
        <f t="shared" si="32"/>
        <v>5000000</v>
      </c>
    </row>
    <row r="79" spans="1:27" x14ac:dyDescent="0.3">
      <c r="A79" s="1" t="s">
        <v>35</v>
      </c>
      <c r="B79" s="1" t="s">
        <v>7</v>
      </c>
      <c r="I79" s="3">
        <f>$I$11/10</f>
        <v>5000000</v>
      </c>
      <c r="J79" s="3">
        <f t="shared" ref="J79:R79" si="33">$I$11/10</f>
        <v>5000000</v>
      </c>
      <c r="K79" s="3">
        <f t="shared" si="33"/>
        <v>5000000</v>
      </c>
      <c r="L79" s="3">
        <f t="shared" si="33"/>
        <v>5000000</v>
      </c>
      <c r="M79" s="3">
        <f t="shared" si="33"/>
        <v>5000000</v>
      </c>
      <c r="N79" s="3">
        <f t="shared" si="33"/>
        <v>5000000</v>
      </c>
      <c r="O79" s="3">
        <f t="shared" si="33"/>
        <v>5000000</v>
      </c>
      <c r="P79" s="3">
        <f t="shared" si="33"/>
        <v>5000000</v>
      </c>
      <c r="Q79" s="3">
        <f t="shared" si="33"/>
        <v>5000000</v>
      </c>
      <c r="R79" s="3">
        <f t="shared" si="33"/>
        <v>5000000</v>
      </c>
    </row>
    <row r="80" spans="1:27" x14ac:dyDescent="0.3">
      <c r="A80" s="1" t="s">
        <v>36</v>
      </c>
      <c r="B80" s="1" t="s">
        <v>7</v>
      </c>
      <c r="J80" s="3">
        <f>$J$11/10</f>
        <v>5000000</v>
      </c>
      <c r="K80" s="3">
        <f t="shared" ref="K80:S80" si="34">$J$11/10</f>
        <v>5000000</v>
      </c>
      <c r="L80" s="3">
        <f t="shared" si="34"/>
        <v>5000000</v>
      </c>
      <c r="M80" s="3">
        <f t="shared" si="34"/>
        <v>5000000</v>
      </c>
      <c r="N80" s="3">
        <f t="shared" si="34"/>
        <v>5000000</v>
      </c>
      <c r="O80" s="3">
        <f t="shared" si="34"/>
        <v>5000000</v>
      </c>
      <c r="P80" s="3">
        <f t="shared" si="34"/>
        <v>5000000</v>
      </c>
      <c r="Q80" s="3">
        <f t="shared" si="34"/>
        <v>5000000</v>
      </c>
      <c r="R80" s="3">
        <f t="shared" si="34"/>
        <v>5000000</v>
      </c>
      <c r="S80" s="3">
        <f t="shared" si="34"/>
        <v>5000000</v>
      </c>
    </row>
    <row r="81" spans="1:25" x14ac:dyDescent="0.3">
      <c r="A81" s="1" t="s">
        <v>37</v>
      </c>
      <c r="B81" s="1" t="s">
        <v>7</v>
      </c>
      <c r="K81" s="3">
        <f>$K$11/10</f>
        <v>5000000</v>
      </c>
      <c r="L81" s="3">
        <f t="shared" ref="L81:T81" si="35">$K$11/10</f>
        <v>5000000</v>
      </c>
      <c r="M81" s="3">
        <f t="shared" si="35"/>
        <v>5000000</v>
      </c>
      <c r="N81" s="3">
        <f t="shared" si="35"/>
        <v>5000000</v>
      </c>
      <c r="O81" s="3">
        <f t="shared" si="35"/>
        <v>5000000</v>
      </c>
      <c r="P81" s="3">
        <f t="shared" si="35"/>
        <v>5000000</v>
      </c>
      <c r="Q81" s="3">
        <f t="shared" si="35"/>
        <v>5000000</v>
      </c>
      <c r="R81" s="3">
        <f t="shared" si="35"/>
        <v>5000000</v>
      </c>
      <c r="S81" s="3">
        <f t="shared" si="35"/>
        <v>5000000</v>
      </c>
      <c r="T81" s="3">
        <f t="shared" si="35"/>
        <v>5000000</v>
      </c>
    </row>
    <row r="82" spans="1:25" x14ac:dyDescent="0.3">
      <c r="A82" s="1" t="s">
        <v>38</v>
      </c>
      <c r="B82" s="1" t="s">
        <v>7</v>
      </c>
      <c r="L82" s="3">
        <f>$L$11/10</f>
        <v>5000000</v>
      </c>
      <c r="M82" s="3">
        <f t="shared" ref="M82:U82" si="36">$L$11/10</f>
        <v>5000000</v>
      </c>
      <c r="N82" s="3">
        <f t="shared" si="36"/>
        <v>5000000</v>
      </c>
      <c r="O82" s="3">
        <f t="shared" si="36"/>
        <v>5000000</v>
      </c>
      <c r="P82" s="3">
        <f t="shared" si="36"/>
        <v>5000000</v>
      </c>
      <c r="Q82" s="3">
        <f t="shared" si="36"/>
        <v>5000000</v>
      </c>
      <c r="R82" s="3">
        <f t="shared" si="36"/>
        <v>5000000</v>
      </c>
      <c r="S82" s="3">
        <f t="shared" si="36"/>
        <v>5000000</v>
      </c>
      <c r="T82" s="3">
        <f t="shared" si="36"/>
        <v>5000000</v>
      </c>
      <c r="U82" s="3">
        <f t="shared" si="36"/>
        <v>5000000</v>
      </c>
    </row>
    <row r="83" spans="1:25" x14ac:dyDescent="0.3">
      <c r="A83" s="1" t="s">
        <v>39</v>
      </c>
      <c r="B83" s="1" t="s">
        <v>7</v>
      </c>
      <c r="M83" s="3">
        <f>$M$11/10</f>
        <v>5000000</v>
      </c>
      <c r="N83" s="3">
        <f t="shared" ref="N83:V83" si="37">$M$11/10</f>
        <v>5000000</v>
      </c>
      <c r="O83" s="3">
        <f t="shared" si="37"/>
        <v>5000000</v>
      </c>
      <c r="P83" s="3">
        <f t="shared" si="37"/>
        <v>5000000</v>
      </c>
      <c r="Q83" s="3">
        <f t="shared" si="37"/>
        <v>5000000</v>
      </c>
      <c r="R83" s="3">
        <f t="shared" si="37"/>
        <v>5000000</v>
      </c>
      <c r="S83" s="3">
        <f t="shared" si="37"/>
        <v>5000000</v>
      </c>
      <c r="T83" s="3">
        <f t="shared" si="37"/>
        <v>5000000</v>
      </c>
      <c r="U83" s="3">
        <f t="shared" si="37"/>
        <v>5000000</v>
      </c>
      <c r="V83" s="3">
        <f t="shared" si="37"/>
        <v>5000000</v>
      </c>
    </row>
    <row r="84" spans="1:25" x14ac:dyDescent="0.3">
      <c r="A84" s="1" t="s">
        <v>40</v>
      </c>
      <c r="B84" s="1" t="s">
        <v>7</v>
      </c>
      <c r="N84" s="3">
        <f>$N$11/10</f>
        <v>5000000</v>
      </c>
      <c r="O84" s="3">
        <f t="shared" ref="O84:W84" si="38">$N$11/10</f>
        <v>5000000</v>
      </c>
      <c r="P84" s="3">
        <f t="shared" si="38"/>
        <v>5000000</v>
      </c>
      <c r="Q84" s="3">
        <f t="shared" si="38"/>
        <v>5000000</v>
      </c>
      <c r="R84" s="3">
        <f t="shared" si="38"/>
        <v>5000000</v>
      </c>
      <c r="S84" s="3">
        <f t="shared" si="38"/>
        <v>5000000</v>
      </c>
      <c r="T84" s="3">
        <f t="shared" si="38"/>
        <v>5000000</v>
      </c>
      <c r="U84" s="3">
        <f t="shared" si="38"/>
        <v>5000000</v>
      </c>
      <c r="V84" s="3">
        <f t="shared" si="38"/>
        <v>5000000</v>
      </c>
      <c r="W84" s="3">
        <f t="shared" si="38"/>
        <v>5000000</v>
      </c>
    </row>
    <row r="85" spans="1:25" x14ac:dyDescent="0.3">
      <c r="A85" s="1" t="s">
        <v>41</v>
      </c>
      <c r="B85" s="1" t="s">
        <v>7</v>
      </c>
      <c r="O85" s="3">
        <f>$O$11/10</f>
        <v>5000000</v>
      </c>
      <c r="P85" s="3">
        <f t="shared" ref="P85:W85" si="39">$O$11/10</f>
        <v>5000000</v>
      </c>
      <c r="Q85" s="3">
        <f t="shared" si="39"/>
        <v>5000000</v>
      </c>
      <c r="R85" s="3">
        <f t="shared" si="39"/>
        <v>5000000</v>
      </c>
      <c r="S85" s="3">
        <f t="shared" si="39"/>
        <v>5000000</v>
      </c>
      <c r="T85" s="3">
        <f t="shared" si="39"/>
        <v>5000000</v>
      </c>
      <c r="U85" s="3">
        <f t="shared" si="39"/>
        <v>5000000</v>
      </c>
      <c r="V85" s="3">
        <f t="shared" si="39"/>
        <v>5000000</v>
      </c>
      <c r="W85" s="3">
        <f t="shared" si="39"/>
        <v>5000000</v>
      </c>
    </row>
    <row r="86" spans="1:25" x14ac:dyDescent="0.3">
      <c r="A86" s="1" t="s">
        <v>42</v>
      </c>
      <c r="B86" s="1" t="s">
        <v>7</v>
      </c>
      <c r="P86" s="3">
        <f>$P$11/10</f>
        <v>5000000</v>
      </c>
      <c r="Q86" s="3">
        <f t="shared" ref="Q86:W86" si="40">$P$11/10</f>
        <v>5000000</v>
      </c>
      <c r="R86" s="3">
        <f t="shared" si="40"/>
        <v>5000000</v>
      </c>
      <c r="S86" s="3">
        <f t="shared" si="40"/>
        <v>5000000</v>
      </c>
      <c r="T86" s="3">
        <f t="shared" si="40"/>
        <v>5000000</v>
      </c>
      <c r="U86" s="3">
        <f t="shared" si="40"/>
        <v>5000000</v>
      </c>
      <c r="V86" s="3">
        <f t="shared" si="40"/>
        <v>5000000</v>
      </c>
      <c r="W86" s="3">
        <f t="shared" si="40"/>
        <v>5000000</v>
      </c>
    </row>
    <row r="87" spans="1:25" x14ac:dyDescent="0.3">
      <c r="A87" s="1" t="s">
        <v>43</v>
      </c>
      <c r="B87" s="1" t="s">
        <v>7</v>
      </c>
      <c r="Q87" s="3">
        <f>$Q$11/10</f>
        <v>5000000</v>
      </c>
      <c r="R87" s="3">
        <f t="shared" ref="R87:W87" si="41">$Q$11/10</f>
        <v>5000000</v>
      </c>
      <c r="S87" s="3">
        <f t="shared" si="41"/>
        <v>5000000</v>
      </c>
      <c r="T87" s="3">
        <f t="shared" si="41"/>
        <v>5000000</v>
      </c>
      <c r="U87" s="3">
        <f t="shared" si="41"/>
        <v>5000000</v>
      </c>
      <c r="V87" s="3">
        <f t="shared" si="41"/>
        <v>5000000</v>
      </c>
      <c r="W87" s="3">
        <f t="shared" si="41"/>
        <v>5000000</v>
      </c>
    </row>
    <row r="88" spans="1:25" x14ac:dyDescent="0.3">
      <c r="A88" s="1" t="s">
        <v>44</v>
      </c>
      <c r="B88" s="1" t="s">
        <v>7</v>
      </c>
      <c r="R88" s="3">
        <f>$R$11/10</f>
        <v>5000000</v>
      </c>
      <c r="S88" s="3">
        <f t="shared" ref="S88:W88" si="42">$R$11/10</f>
        <v>5000000</v>
      </c>
      <c r="T88" s="3">
        <f t="shared" si="42"/>
        <v>5000000</v>
      </c>
      <c r="U88" s="3">
        <f t="shared" si="42"/>
        <v>5000000</v>
      </c>
      <c r="V88" s="3">
        <f t="shared" si="42"/>
        <v>5000000</v>
      </c>
      <c r="W88" s="3">
        <f t="shared" si="42"/>
        <v>5000000</v>
      </c>
    </row>
    <row r="89" spans="1:25" x14ac:dyDescent="0.3">
      <c r="A89" s="1" t="s">
        <v>45</v>
      </c>
      <c r="B89" s="1" t="s">
        <v>7</v>
      </c>
      <c r="S89" s="3">
        <f>$S$11/10</f>
        <v>5000000</v>
      </c>
      <c r="T89" s="3">
        <f t="shared" ref="T89:W89" si="43">$S$11/10</f>
        <v>5000000</v>
      </c>
      <c r="U89" s="3">
        <f t="shared" si="43"/>
        <v>5000000</v>
      </c>
      <c r="V89" s="3">
        <f t="shared" si="43"/>
        <v>5000000</v>
      </c>
      <c r="W89" s="3">
        <f t="shared" si="43"/>
        <v>5000000</v>
      </c>
    </row>
    <row r="90" spans="1:25" x14ac:dyDescent="0.3">
      <c r="A90" s="1" t="s">
        <v>46</v>
      </c>
      <c r="B90" s="1" t="s">
        <v>7</v>
      </c>
      <c r="T90" s="3">
        <f>$T$11/10</f>
        <v>5000000</v>
      </c>
      <c r="U90" s="3">
        <f t="shared" ref="U90:W90" si="44">$T$11/10</f>
        <v>5000000</v>
      </c>
      <c r="V90" s="3">
        <f t="shared" si="44"/>
        <v>5000000</v>
      </c>
      <c r="W90" s="3">
        <f t="shared" si="44"/>
        <v>5000000</v>
      </c>
    </row>
    <row r="91" spans="1:25" x14ac:dyDescent="0.3">
      <c r="A91" s="1" t="s">
        <v>47</v>
      </c>
      <c r="B91" s="1" t="s">
        <v>7</v>
      </c>
      <c r="U91" s="3">
        <f>$U$11/10</f>
        <v>5000000</v>
      </c>
      <c r="V91" s="3">
        <f t="shared" ref="V91:W91" si="45">$U$11/10</f>
        <v>5000000</v>
      </c>
      <c r="W91" s="3">
        <f t="shared" si="45"/>
        <v>5000000</v>
      </c>
    </row>
    <row r="92" spans="1:25" x14ac:dyDescent="0.3">
      <c r="A92" s="1" t="s">
        <v>48</v>
      </c>
      <c r="B92" s="1" t="s">
        <v>7</v>
      </c>
      <c r="V92" s="3">
        <f>$V$11/10</f>
        <v>5000000</v>
      </c>
      <c r="W92" s="3">
        <f>$V$11/10</f>
        <v>5000000</v>
      </c>
    </row>
    <row r="93" spans="1:25" x14ac:dyDescent="0.3">
      <c r="A93" s="1" t="s">
        <v>77</v>
      </c>
      <c r="B93" s="1" t="s">
        <v>7</v>
      </c>
      <c r="W93" s="3">
        <f>$W$11/10</f>
        <v>5000000</v>
      </c>
    </row>
    <row r="94" spans="1:25" x14ac:dyDescent="0.3">
      <c r="A94" s="1" t="s">
        <v>21</v>
      </c>
      <c r="B94" s="1" t="s">
        <v>7</v>
      </c>
      <c r="C94" s="5">
        <f>SUM(C73:C93)</f>
        <v>420000000</v>
      </c>
      <c r="D94" s="5">
        <f>SUM(D73:D93)</f>
        <v>425000000</v>
      </c>
      <c r="E94" s="5">
        <f t="shared" ref="E94:W94" si="46">SUM(E73:E93)</f>
        <v>430000000</v>
      </c>
      <c r="F94" s="5">
        <f t="shared" si="46"/>
        <v>435000000</v>
      </c>
      <c r="G94" s="5">
        <f t="shared" si="46"/>
        <v>440000000</v>
      </c>
      <c r="H94" s="5">
        <f>SUM(H73:H93)</f>
        <v>445000000</v>
      </c>
      <c r="I94" s="5">
        <f t="shared" si="46"/>
        <v>450000000</v>
      </c>
      <c r="J94" s="5">
        <f t="shared" si="46"/>
        <v>455000000</v>
      </c>
      <c r="K94" s="5">
        <f t="shared" si="46"/>
        <v>460000000</v>
      </c>
      <c r="L94" s="5">
        <f t="shared" si="46"/>
        <v>465000000</v>
      </c>
      <c r="M94" s="5">
        <f t="shared" si="46"/>
        <v>50000000</v>
      </c>
      <c r="N94" s="5">
        <f t="shared" si="46"/>
        <v>50000000</v>
      </c>
      <c r="O94" s="5">
        <f t="shared" si="46"/>
        <v>50000000</v>
      </c>
      <c r="P94" s="5">
        <f t="shared" si="46"/>
        <v>50000000</v>
      </c>
      <c r="Q94" s="5">
        <f t="shared" si="46"/>
        <v>50000000</v>
      </c>
      <c r="R94" s="5">
        <f t="shared" si="46"/>
        <v>50000000</v>
      </c>
      <c r="S94" s="5">
        <f t="shared" si="46"/>
        <v>50000000</v>
      </c>
      <c r="T94" s="5">
        <f t="shared" si="46"/>
        <v>50000000</v>
      </c>
      <c r="U94" s="5">
        <f t="shared" si="46"/>
        <v>50000000</v>
      </c>
      <c r="V94" s="5">
        <f t="shared" si="46"/>
        <v>50000000</v>
      </c>
      <c r="W94" s="5">
        <f t="shared" si="46"/>
        <v>50000000</v>
      </c>
      <c r="X94" s="4">
        <f>SUM(C94:W94)</f>
        <v>4975000000</v>
      </c>
      <c r="Y94" s="4">
        <f>C94+NPV($Y$2,D94:W94)</f>
        <v>3102419379.637248</v>
      </c>
    </row>
    <row r="96" spans="1:25" x14ac:dyDescent="0.3">
      <c r="A96" s="12" t="s">
        <v>78</v>
      </c>
    </row>
    <row r="97" spans="1:27" x14ac:dyDescent="0.3">
      <c r="A97" s="1" t="s">
        <v>79</v>
      </c>
      <c r="B97" s="1" t="s">
        <v>7</v>
      </c>
      <c r="D97" s="3">
        <f>C14</f>
        <v>4200000000</v>
      </c>
      <c r="E97" s="3">
        <f>D97-D98</f>
        <v>3360000000</v>
      </c>
      <c r="F97" s="3">
        <f t="shared" ref="F97:H97" si="47">E97-E98</f>
        <v>2520000000</v>
      </c>
      <c r="G97" s="3">
        <f t="shared" si="47"/>
        <v>1680000000</v>
      </c>
      <c r="H97" s="3">
        <f t="shared" si="47"/>
        <v>840000000</v>
      </c>
    </row>
    <row r="98" spans="1:27" x14ac:dyDescent="0.3">
      <c r="A98" s="1" t="s">
        <v>19</v>
      </c>
      <c r="B98" s="1" t="s">
        <v>7</v>
      </c>
      <c r="D98" s="3">
        <f>$D$97/5</f>
        <v>840000000</v>
      </c>
      <c r="E98" s="3">
        <f t="shared" ref="E98:H98" si="48">$D$97/5</f>
        <v>840000000</v>
      </c>
      <c r="F98" s="3">
        <f t="shared" si="48"/>
        <v>840000000</v>
      </c>
      <c r="G98" s="3">
        <f t="shared" si="48"/>
        <v>840000000</v>
      </c>
      <c r="H98" s="3">
        <f t="shared" si="48"/>
        <v>840000000</v>
      </c>
    </row>
    <row r="99" spans="1:27" x14ac:dyDescent="0.3">
      <c r="A99" s="1" t="s">
        <v>80</v>
      </c>
      <c r="B99" s="1" t="s">
        <v>7</v>
      </c>
      <c r="D99" s="9">
        <v>7.0000000000000007E-2</v>
      </c>
      <c r="E99" s="9">
        <v>7.0000000000000007E-2</v>
      </c>
      <c r="F99" s="9">
        <v>7.0000000000000007E-2</v>
      </c>
      <c r="G99" s="9">
        <v>7.0000000000000007E-2</v>
      </c>
      <c r="H99" s="9">
        <v>7.0000000000000007E-2</v>
      </c>
    </row>
    <row r="100" spans="1:27" x14ac:dyDescent="0.3">
      <c r="A100" s="1" t="s">
        <v>23</v>
      </c>
      <c r="B100" s="1" t="s">
        <v>7</v>
      </c>
      <c r="D100" s="5">
        <f>D97*D99</f>
        <v>294000000</v>
      </c>
      <c r="E100" s="5">
        <f>E97*E99</f>
        <v>235200000.00000003</v>
      </c>
      <c r="F100" s="5">
        <f t="shared" ref="F100:G100" si="49">F97*F99</f>
        <v>176400000.00000003</v>
      </c>
      <c r="G100" s="5">
        <f t="shared" si="49"/>
        <v>117600000.00000001</v>
      </c>
      <c r="H100" s="5">
        <f>H97*H99</f>
        <v>58800000.000000007</v>
      </c>
    </row>
    <row r="102" spans="1:27" x14ac:dyDescent="0.3">
      <c r="A102" s="12" t="s">
        <v>25</v>
      </c>
    </row>
    <row r="103" spans="1:27" x14ac:dyDescent="0.3">
      <c r="A103" s="6" t="s">
        <v>63</v>
      </c>
    </row>
    <row r="104" spans="1:27" x14ac:dyDescent="0.3">
      <c r="A104" s="1" t="s">
        <v>22</v>
      </c>
      <c r="B104" s="1" t="s">
        <v>7</v>
      </c>
      <c r="C104" s="3">
        <f>C8-C13-C94-C100-C22-C29-C36-C68-C58</f>
        <v>-420401945</v>
      </c>
      <c r="D104" s="3">
        <f>D8-D13-D94-D100-D22-D29-D36-D68-D58</f>
        <v>641937000</v>
      </c>
      <c r="E104" s="3">
        <f t="shared" ref="E104:W104" si="50">E8-E13-E94-E100-E22-E29-E36-E68-E58</f>
        <v>1246175000</v>
      </c>
      <c r="F104" s="3">
        <f t="shared" si="50"/>
        <v>956764999.99999976</v>
      </c>
      <c r="G104" s="3">
        <f t="shared" si="50"/>
        <v>838960000</v>
      </c>
      <c r="H104" s="3">
        <f t="shared" si="50"/>
        <v>892760000</v>
      </c>
      <c r="I104" s="3">
        <f t="shared" si="50"/>
        <v>946560000</v>
      </c>
      <c r="J104" s="3">
        <f t="shared" si="50"/>
        <v>941560000</v>
      </c>
      <c r="K104" s="3">
        <f t="shared" si="50"/>
        <v>936560000</v>
      </c>
      <c r="L104" s="3">
        <f t="shared" si="50"/>
        <v>931560000</v>
      </c>
      <c r="M104" s="3">
        <f t="shared" si="50"/>
        <v>1073248000</v>
      </c>
      <c r="N104" s="3">
        <f t="shared" si="50"/>
        <v>1073248000</v>
      </c>
      <c r="O104" s="3">
        <f t="shared" si="50"/>
        <v>1073248000</v>
      </c>
      <c r="P104" s="3">
        <f t="shared" si="50"/>
        <v>1073248000</v>
      </c>
      <c r="Q104" s="3">
        <f t="shared" si="50"/>
        <v>1073248000</v>
      </c>
      <c r="R104" s="3">
        <f t="shared" si="50"/>
        <v>1073248000</v>
      </c>
      <c r="S104" s="3">
        <f t="shared" si="50"/>
        <v>1073248000</v>
      </c>
      <c r="T104" s="3">
        <f t="shared" si="50"/>
        <v>1073248000</v>
      </c>
      <c r="U104" s="3">
        <f t="shared" si="50"/>
        <v>1073248000</v>
      </c>
      <c r="V104" s="3">
        <f t="shared" si="50"/>
        <v>1073248000</v>
      </c>
      <c r="W104" s="3">
        <f t="shared" si="50"/>
        <v>1073248000</v>
      </c>
    </row>
    <row r="105" spans="1:27" x14ac:dyDescent="0.3">
      <c r="A105" s="1" t="s">
        <v>81</v>
      </c>
      <c r="B105" s="1" t="s">
        <v>7</v>
      </c>
      <c r="C105" s="3">
        <f>C104</f>
        <v>-420401945</v>
      </c>
      <c r="D105" s="3">
        <f>IF(C105&lt;0,C105+D104,D104)</f>
        <v>221535055</v>
      </c>
      <c r="E105" s="3">
        <f t="shared" ref="E105:W105" si="51">IF(D105&lt;0,D105+E104,E104)</f>
        <v>1246175000</v>
      </c>
      <c r="F105" s="3">
        <f t="shared" si="51"/>
        <v>956764999.99999976</v>
      </c>
      <c r="G105" s="3">
        <f t="shared" si="51"/>
        <v>838960000</v>
      </c>
      <c r="H105" s="3">
        <f t="shared" si="51"/>
        <v>892760000</v>
      </c>
      <c r="I105" s="3">
        <f t="shared" si="51"/>
        <v>946560000</v>
      </c>
      <c r="J105" s="3">
        <f t="shared" si="51"/>
        <v>941560000</v>
      </c>
      <c r="K105" s="3">
        <f t="shared" si="51"/>
        <v>936560000</v>
      </c>
      <c r="L105" s="3">
        <f t="shared" si="51"/>
        <v>931560000</v>
      </c>
      <c r="M105" s="3">
        <f t="shared" si="51"/>
        <v>1073248000</v>
      </c>
      <c r="N105" s="3">
        <f t="shared" si="51"/>
        <v>1073248000</v>
      </c>
      <c r="O105" s="3">
        <f t="shared" si="51"/>
        <v>1073248000</v>
      </c>
      <c r="P105" s="3">
        <f t="shared" si="51"/>
        <v>1073248000</v>
      </c>
      <c r="Q105" s="3">
        <f t="shared" si="51"/>
        <v>1073248000</v>
      </c>
      <c r="R105" s="3">
        <f t="shared" si="51"/>
        <v>1073248000</v>
      </c>
      <c r="S105" s="3">
        <f t="shared" si="51"/>
        <v>1073248000</v>
      </c>
      <c r="T105" s="3">
        <f t="shared" si="51"/>
        <v>1073248000</v>
      </c>
      <c r="U105" s="3">
        <f t="shared" si="51"/>
        <v>1073248000</v>
      </c>
      <c r="V105" s="3">
        <f t="shared" si="51"/>
        <v>1073248000</v>
      </c>
      <c r="W105" s="3">
        <f t="shared" si="51"/>
        <v>1073248000</v>
      </c>
    </row>
    <row r="106" spans="1:27" x14ac:dyDescent="0.3">
      <c r="A106" s="1" t="s">
        <v>16</v>
      </c>
      <c r="B106" s="1" t="s">
        <v>9</v>
      </c>
      <c r="C106" s="9">
        <v>0.3</v>
      </c>
      <c r="D106" s="9">
        <v>0.3</v>
      </c>
      <c r="E106" s="9">
        <v>0.3</v>
      </c>
      <c r="F106" s="9">
        <v>0.3</v>
      </c>
      <c r="G106" s="9">
        <v>0.3</v>
      </c>
      <c r="H106" s="9">
        <v>0.3</v>
      </c>
      <c r="I106" s="9">
        <v>0.3</v>
      </c>
      <c r="J106" s="9">
        <v>0.3</v>
      </c>
      <c r="K106" s="9">
        <v>0.3</v>
      </c>
      <c r="L106" s="9">
        <v>0.3</v>
      </c>
      <c r="M106" s="9">
        <v>0.3</v>
      </c>
      <c r="N106" s="9">
        <v>0.3</v>
      </c>
      <c r="O106" s="9">
        <v>0.3</v>
      </c>
      <c r="P106" s="9">
        <v>0.3</v>
      </c>
      <c r="Q106" s="9">
        <v>0.3</v>
      </c>
      <c r="R106" s="9">
        <v>0.3</v>
      </c>
      <c r="S106" s="9">
        <v>0.3</v>
      </c>
      <c r="T106" s="9">
        <v>0.3</v>
      </c>
      <c r="U106" s="9">
        <v>0.3</v>
      </c>
      <c r="V106" s="9">
        <v>0.3</v>
      </c>
      <c r="W106" s="9">
        <v>0.3</v>
      </c>
    </row>
    <row r="107" spans="1:27" x14ac:dyDescent="0.3">
      <c r="A107" s="1" t="s">
        <v>24</v>
      </c>
      <c r="B107" s="1" t="s">
        <v>7</v>
      </c>
      <c r="C107" s="5">
        <f t="shared" ref="C107:W107" si="52">IF(C105&lt;0,0,C105*C106)</f>
        <v>0</v>
      </c>
      <c r="D107" s="5">
        <f t="shared" si="52"/>
        <v>66460516.5</v>
      </c>
      <c r="E107" s="5">
        <f t="shared" si="52"/>
        <v>373852500</v>
      </c>
      <c r="F107" s="5">
        <f t="shared" si="52"/>
        <v>287029499.99999994</v>
      </c>
      <c r="G107" s="5">
        <f t="shared" si="52"/>
        <v>251688000</v>
      </c>
      <c r="H107" s="5">
        <f t="shared" si="52"/>
        <v>267828000</v>
      </c>
      <c r="I107" s="5">
        <f t="shared" si="52"/>
        <v>283968000</v>
      </c>
      <c r="J107" s="5">
        <f t="shared" si="52"/>
        <v>282468000</v>
      </c>
      <c r="K107" s="5">
        <f t="shared" si="52"/>
        <v>280968000</v>
      </c>
      <c r="L107" s="5">
        <f t="shared" si="52"/>
        <v>279468000</v>
      </c>
      <c r="M107" s="5">
        <f t="shared" si="52"/>
        <v>321974400</v>
      </c>
      <c r="N107" s="5">
        <f t="shared" si="52"/>
        <v>321974400</v>
      </c>
      <c r="O107" s="5">
        <f t="shared" si="52"/>
        <v>321974400</v>
      </c>
      <c r="P107" s="5">
        <f t="shared" si="52"/>
        <v>321974400</v>
      </c>
      <c r="Q107" s="5">
        <f t="shared" si="52"/>
        <v>321974400</v>
      </c>
      <c r="R107" s="5">
        <f t="shared" si="52"/>
        <v>321974400</v>
      </c>
      <c r="S107" s="5">
        <f t="shared" si="52"/>
        <v>321974400</v>
      </c>
      <c r="T107" s="5">
        <f t="shared" si="52"/>
        <v>321974400</v>
      </c>
      <c r="U107" s="5">
        <f t="shared" si="52"/>
        <v>321974400</v>
      </c>
      <c r="V107" s="5">
        <f t="shared" si="52"/>
        <v>321974400</v>
      </c>
      <c r="W107" s="5">
        <f t="shared" si="52"/>
        <v>321974400</v>
      </c>
      <c r="X107" s="4">
        <f>SUM(C107:W107)</f>
        <v>5915448916.5</v>
      </c>
      <c r="Y107" s="4">
        <f>C107+NPV($Y$2,D107:W107)</f>
        <v>2364973549.7638102</v>
      </c>
      <c r="Z107" s="19">
        <f>Y107/$Y$121</f>
        <v>0.11822529084054663</v>
      </c>
      <c r="AA107" s="18" t="s">
        <v>93</v>
      </c>
    </row>
    <row r="108" spans="1:27" x14ac:dyDescent="0.3">
      <c r="A108" s="6" t="s">
        <v>64</v>
      </c>
    </row>
    <row r="109" spans="1:27" x14ac:dyDescent="0.3">
      <c r="A109" s="1" t="s">
        <v>22</v>
      </c>
      <c r="B109" s="1" t="s">
        <v>7</v>
      </c>
      <c r="C109" s="3">
        <f>C8-C13-C94-C100-C24-C31-C38-C70-C62</f>
        <v>-420063279</v>
      </c>
      <c r="D109" s="3">
        <f>D8-D13-D94-D100-D24-D31-D38-D70-D62</f>
        <v>1283900000</v>
      </c>
      <c r="E109" s="3">
        <f t="shared" ref="E109:W109" si="53">E8-E13-E94-E100-E24-E31-E38-E70-E62</f>
        <v>2410800000</v>
      </c>
      <c r="F109" s="3">
        <f t="shared" si="53"/>
        <v>2464600000</v>
      </c>
      <c r="G109" s="3">
        <f t="shared" si="53"/>
        <v>2518400000</v>
      </c>
      <c r="H109" s="3">
        <f t="shared" si="53"/>
        <v>2572200000</v>
      </c>
      <c r="I109" s="3">
        <f t="shared" si="53"/>
        <v>2626000000</v>
      </c>
      <c r="J109" s="3">
        <f t="shared" si="53"/>
        <v>2621000000</v>
      </c>
      <c r="K109" s="3">
        <f t="shared" si="53"/>
        <v>2616000000</v>
      </c>
      <c r="L109" s="3">
        <f t="shared" si="53"/>
        <v>2611000000</v>
      </c>
      <c r="M109" s="3">
        <f t="shared" si="53"/>
        <v>2412800000</v>
      </c>
      <c r="N109" s="3">
        <f t="shared" si="53"/>
        <v>2412800000</v>
      </c>
      <c r="O109" s="3">
        <f t="shared" si="53"/>
        <v>2412800000</v>
      </c>
      <c r="P109" s="3">
        <f t="shared" si="53"/>
        <v>2412800000</v>
      </c>
      <c r="Q109" s="3">
        <f t="shared" si="53"/>
        <v>2412800000</v>
      </c>
      <c r="R109" s="3">
        <f t="shared" si="53"/>
        <v>2412800000</v>
      </c>
      <c r="S109" s="3">
        <f t="shared" si="53"/>
        <v>2412800000</v>
      </c>
      <c r="T109" s="3">
        <f t="shared" si="53"/>
        <v>2412800000</v>
      </c>
      <c r="U109" s="3">
        <f t="shared" si="53"/>
        <v>2412800000</v>
      </c>
      <c r="V109" s="3">
        <f t="shared" si="53"/>
        <v>2412800000</v>
      </c>
      <c r="W109" s="3">
        <f t="shared" si="53"/>
        <v>2412800000</v>
      </c>
    </row>
    <row r="110" spans="1:27" x14ac:dyDescent="0.3">
      <c r="A110" s="1" t="s">
        <v>81</v>
      </c>
      <c r="B110" s="1" t="s">
        <v>7</v>
      </c>
      <c r="C110" s="3">
        <f>C109</f>
        <v>-420063279</v>
      </c>
      <c r="D110" s="3">
        <f>IF(C110&lt;0,C110+D109,D109)</f>
        <v>863836721</v>
      </c>
      <c r="E110" s="3">
        <f t="shared" ref="E110:W110" si="54">IF(D110&lt;0,D110+E109,E109)</f>
        <v>2410800000</v>
      </c>
      <c r="F110" s="3">
        <f t="shared" si="54"/>
        <v>2464600000</v>
      </c>
      <c r="G110" s="3">
        <f t="shared" si="54"/>
        <v>2518400000</v>
      </c>
      <c r="H110" s="3">
        <f t="shared" si="54"/>
        <v>2572200000</v>
      </c>
      <c r="I110" s="3">
        <f t="shared" si="54"/>
        <v>2626000000</v>
      </c>
      <c r="J110" s="3">
        <f t="shared" si="54"/>
        <v>2621000000</v>
      </c>
      <c r="K110" s="3">
        <f t="shared" si="54"/>
        <v>2616000000</v>
      </c>
      <c r="L110" s="3">
        <f t="shared" si="54"/>
        <v>2611000000</v>
      </c>
      <c r="M110" s="3">
        <f t="shared" si="54"/>
        <v>2412800000</v>
      </c>
      <c r="N110" s="3">
        <f t="shared" si="54"/>
        <v>2412800000</v>
      </c>
      <c r="O110" s="3">
        <f t="shared" si="54"/>
        <v>2412800000</v>
      </c>
      <c r="P110" s="3">
        <f t="shared" si="54"/>
        <v>2412800000</v>
      </c>
      <c r="Q110" s="3">
        <f t="shared" si="54"/>
        <v>2412800000</v>
      </c>
      <c r="R110" s="3">
        <f t="shared" si="54"/>
        <v>2412800000</v>
      </c>
      <c r="S110" s="3">
        <f t="shared" si="54"/>
        <v>2412800000</v>
      </c>
      <c r="T110" s="3">
        <f t="shared" si="54"/>
        <v>2412800000</v>
      </c>
      <c r="U110" s="3">
        <f t="shared" si="54"/>
        <v>2412800000</v>
      </c>
      <c r="V110" s="3">
        <f t="shared" si="54"/>
        <v>2412800000</v>
      </c>
      <c r="W110" s="3">
        <f t="shared" si="54"/>
        <v>2412800000</v>
      </c>
    </row>
    <row r="111" spans="1:27" x14ac:dyDescent="0.3">
      <c r="A111" s="1" t="s">
        <v>16</v>
      </c>
      <c r="B111" s="1" t="s">
        <v>9</v>
      </c>
      <c r="C111" s="9">
        <v>0.3</v>
      </c>
      <c r="D111" s="9">
        <v>0.3</v>
      </c>
      <c r="E111" s="9">
        <v>0.3</v>
      </c>
      <c r="F111" s="9">
        <v>0.3</v>
      </c>
      <c r="G111" s="9">
        <v>0.3</v>
      </c>
      <c r="H111" s="9">
        <v>0.3</v>
      </c>
      <c r="I111" s="9">
        <v>0.3</v>
      </c>
      <c r="J111" s="9">
        <v>0.3</v>
      </c>
      <c r="K111" s="9">
        <v>0.3</v>
      </c>
      <c r="L111" s="9">
        <v>0.3</v>
      </c>
      <c r="M111" s="9">
        <v>0.3</v>
      </c>
      <c r="N111" s="9">
        <v>0.3</v>
      </c>
      <c r="O111" s="9">
        <v>0.3</v>
      </c>
      <c r="P111" s="9">
        <v>0.3</v>
      </c>
      <c r="Q111" s="9">
        <v>0.3</v>
      </c>
      <c r="R111" s="9">
        <v>0.3</v>
      </c>
      <c r="S111" s="9">
        <v>0.3</v>
      </c>
      <c r="T111" s="9">
        <v>0.3</v>
      </c>
      <c r="U111" s="9">
        <v>0.3</v>
      </c>
      <c r="V111" s="9">
        <v>0.3</v>
      </c>
      <c r="W111" s="9">
        <v>0.3</v>
      </c>
    </row>
    <row r="112" spans="1:27" x14ac:dyDescent="0.3">
      <c r="A112" s="1" t="s">
        <v>24</v>
      </c>
      <c r="B112" s="1" t="s">
        <v>7</v>
      </c>
      <c r="C112" s="5">
        <f>IF(C110&lt;0,0,C110*C111)</f>
        <v>0</v>
      </c>
      <c r="D112" s="5">
        <f t="shared" ref="D112:W112" si="55">IF(D110&lt;0,0,D110*D111)</f>
        <v>259151016.29999998</v>
      </c>
      <c r="E112" s="5">
        <f t="shared" si="55"/>
        <v>723240000</v>
      </c>
      <c r="F112" s="5">
        <f t="shared" si="55"/>
        <v>739380000</v>
      </c>
      <c r="G112" s="5">
        <f t="shared" si="55"/>
        <v>755520000</v>
      </c>
      <c r="H112" s="5">
        <f t="shared" si="55"/>
        <v>771660000</v>
      </c>
      <c r="I112" s="5">
        <f t="shared" si="55"/>
        <v>787800000</v>
      </c>
      <c r="J112" s="5">
        <f t="shared" si="55"/>
        <v>786300000</v>
      </c>
      <c r="K112" s="5">
        <f t="shared" si="55"/>
        <v>784800000</v>
      </c>
      <c r="L112" s="5">
        <f t="shared" si="55"/>
        <v>783300000</v>
      </c>
      <c r="M112" s="5">
        <f t="shared" si="55"/>
        <v>723840000</v>
      </c>
      <c r="N112" s="5">
        <f t="shared" si="55"/>
        <v>723840000</v>
      </c>
      <c r="O112" s="5">
        <f t="shared" si="55"/>
        <v>723840000</v>
      </c>
      <c r="P112" s="5">
        <f t="shared" si="55"/>
        <v>723840000</v>
      </c>
      <c r="Q112" s="5">
        <f t="shared" si="55"/>
        <v>723840000</v>
      </c>
      <c r="R112" s="5">
        <f t="shared" si="55"/>
        <v>723840000</v>
      </c>
      <c r="S112" s="5">
        <f t="shared" si="55"/>
        <v>723840000</v>
      </c>
      <c r="T112" s="5">
        <f t="shared" si="55"/>
        <v>723840000</v>
      </c>
      <c r="U112" s="5">
        <f t="shared" si="55"/>
        <v>723840000</v>
      </c>
      <c r="V112" s="5">
        <f t="shared" si="55"/>
        <v>723840000</v>
      </c>
      <c r="W112" s="5">
        <f t="shared" si="55"/>
        <v>723840000</v>
      </c>
      <c r="X112" s="4">
        <f>SUM(C112:W112)</f>
        <v>14353391016.299999</v>
      </c>
      <c r="Y112" s="4">
        <f>C112+NPV($Y$2,D112:W112)</f>
        <v>5924334063.3626833</v>
      </c>
      <c r="Z112" s="19">
        <f>Y112/$Y$122</f>
        <v>0.50640740031339948</v>
      </c>
      <c r="AA112" s="18" t="s">
        <v>93</v>
      </c>
    </row>
    <row r="114" spans="1:27" x14ac:dyDescent="0.3">
      <c r="A114" s="12" t="s">
        <v>26</v>
      </c>
    </row>
    <row r="115" spans="1:27" x14ac:dyDescent="0.3">
      <c r="A115" s="6" t="s">
        <v>63</v>
      </c>
    </row>
    <row r="116" spans="1:27" x14ac:dyDescent="0.3">
      <c r="A116" s="1" t="s">
        <v>16</v>
      </c>
      <c r="B116" s="1" t="s">
        <v>9</v>
      </c>
      <c r="C116" s="9">
        <v>0.1</v>
      </c>
      <c r="D116" s="9">
        <v>0.1</v>
      </c>
      <c r="E116" s="9">
        <v>0.1</v>
      </c>
      <c r="F116" s="9">
        <v>0.1</v>
      </c>
      <c r="G116" s="9">
        <v>0.1</v>
      </c>
      <c r="H116" s="9">
        <v>0.1</v>
      </c>
      <c r="I116" s="9">
        <v>0.1</v>
      </c>
      <c r="J116" s="9">
        <v>0.1</v>
      </c>
      <c r="K116" s="9">
        <v>0.1</v>
      </c>
      <c r="L116" s="9">
        <v>0.1</v>
      </c>
      <c r="M116" s="9">
        <v>0.1</v>
      </c>
      <c r="N116" s="9">
        <v>0.1</v>
      </c>
      <c r="O116" s="9">
        <v>0.1</v>
      </c>
      <c r="P116" s="9">
        <v>0.1</v>
      </c>
      <c r="Q116" s="9">
        <v>0.1</v>
      </c>
      <c r="R116" s="9">
        <v>0.1</v>
      </c>
      <c r="S116" s="9">
        <v>0.1</v>
      </c>
      <c r="T116" s="9">
        <v>0.1</v>
      </c>
      <c r="U116" s="9">
        <v>0.1</v>
      </c>
      <c r="V116" s="9">
        <v>0.1</v>
      </c>
      <c r="W116" s="9">
        <v>0.1</v>
      </c>
    </row>
    <row r="117" spans="1:27" x14ac:dyDescent="0.3">
      <c r="A117" s="6" t="s">
        <v>64</v>
      </c>
    </row>
    <row r="118" spans="1:27" x14ac:dyDescent="0.3">
      <c r="A118" s="1" t="s">
        <v>16</v>
      </c>
      <c r="B118" s="1" t="s">
        <v>9</v>
      </c>
      <c r="C118" s="9">
        <v>0.18</v>
      </c>
      <c r="D118" s="9">
        <v>0.18</v>
      </c>
      <c r="E118" s="9">
        <v>0.18</v>
      </c>
      <c r="F118" s="9">
        <v>0.18</v>
      </c>
      <c r="G118" s="9">
        <v>0.18</v>
      </c>
      <c r="H118" s="9">
        <v>0.18</v>
      </c>
      <c r="I118" s="9">
        <v>0.18</v>
      </c>
      <c r="J118" s="9">
        <v>0.18</v>
      </c>
      <c r="K118" s="9">
        <v>0.18</v>
      </c>
      <c r="L118" s="9">
        <v>0.18</v>
      </c>
      <c r="M118" s="9">
        <v>0.18</v>
      </c>
      <c r="N118" s="9">
        <v>0.18</v>
      </c>
      <c r="O118" s="9">
        <v>0.18</v>
      </c>
      <c r="P118" s="9">
        <v>0.18</v>
      </c>
      <c r="Q118" s="9">
        <v>0.18</v>
      </c>
      <c r="R118" s="9">
        <v>0.18</v>
      </c>
      <c r="S118" s="9">
        <v>0.18</v>
      </c>
      <c r="T118" s="9">
        <v>0.18</v>
      </c>
      <c r="U118" s="9">
        <v>0.18</v>
      </c>
      <c r="V118" s="9">
        <v>0.18</v>
      </c>
      <c r="W118" s="9">
        <v>0.18</v>
      </c>
    </row>
    <row r="120" spans="1:27" x14ac:dyDescent="0.3">
      <c r="A120" s="12" t="s">
        <v>83</v>
      </c>
    </row>
    <row r="121" spans="1:27" x14ac:dyDescent="0.3">
      <c r="A121" s="6" t="s">
        <v>63</v>
      </c>
      <c r="B121" s="1" t="s">
        <v>7</v>
      </c>
      <c r="C121" s="5">
        <f>C22+C29+C36+C58+C68+C107</f>
        <v>401945</v>
      </c>
      <c r="D121" s="5">
        <f t="shared" ref="D121:W121" si="56">D22+D29+D36+D58+D68+D107</f>
        <v>1196648516.5</v>
      </c>
      <c r="E121" s="5">
        <f t="shared" si="56"/>
        <v>2294977500</v>
      </c>
      <c r="F121" s="5">
        <f t="shared" si="56"/>
        <v>2551364500</v>
      </c>
      <c r="G121" s="5">
        <f t="shared" si="56"/>
        <v>2687628000</v>
      </c>
      <c r="H121" s="5">
        <f t="shared" si="56"/>
        <v>2703768000</v>
      </c>
      <c r="I121" s="5">
        <f t="shared" si="56"/>
        <v>2719908000</v>
      </c>
      <c r="J121" s="5">
        <f t="shared" si="56"/>
        <v>2718408000</v>
      </c>
      <c r="K121" s="5">
        <f t="shared" si="56"/>
        <v>2716908000</v>
      </c>
      <c r="L121" s="5">
        <f t="shared" si="56"/>
        <v>2715408000</v>
      </c>
      <c r="M121" s="5">
        <f t="shared" si="56"/>
        <v>2264726400</v>
      </c>
      <c r="N121" s="5">
        <f t="shared" si="56"/>
        <v>2264726400</v>
      </c>
      <c r="O121" s="5">
        <f t="shared" si="56"/>
        <v>2264726400</v>
      </c>
      <c r="P121" s="5">
        <f t="shared" si="56"/>
        <v>2264726400</v>
      </c>
      <c r="Q121" s="5">
        <f t="shared" si="56"/>
        <v>2264726400</v>
      </c>
      <c r="R121" s="5">
        <f t="shared" si="56"/>
        <v>2264726400</v>
      </c>
      <c r="S121" s="5">
        <f t="shared" si="56"/>
        <v>2264726400</v>
      </c>
      <c r="T121" s="5">
        <f t="shared" si="56"/>
        <v>2264726400</v>
      </c>
      <c r="U121" s="5">
        <f t="shared" si="56"/>
        <v>2264726400</v>
      </c>
      <c r="V121" s="5">
        <f t="shared" si="56"/>
        <v>2264726400</v>
      </c>
      <c r="W121" s="5">
        <f t="shared" si="56"/>
        <v>2264726400</v>
      </c>
      <c r="X121" s="4">
        <f>SUM(C121:W121)</f>
        <v>47217410861.5</v>
      </c>
      <c r="Y121" s="4">
        <f>C121+NPV($Y$2,D121:W121)</f>
        <v>20003956285.06855</v>
      </c>
      <c r="Z121" s="10">
        <f>Y121/$Y$17</f>
        <v>0.81080351400798478</v>
      </c>
      <c r="AA121" s="14" t="s">
        <v>84</v>
      </c>
    </row>
    <row r="122" spans="1:27" x14ac:dyDescent="0.3">
      <c r="A122" s="6" t="s">
        <v>64</v>
      </c>
      <c r="B122" s="1" t="s">
        <v>7</v>
      </c>
      <c r="C122" s="5">
        <f>C24+C31+C38+C62+C70+C112</f>
        <v>63279</v>
      </c>
      <c r="D122" s="5">
        <f t="shared" ref="D122:Y122" si="57">D24+D31+D38+D62+D70+D112</f>
        <v>747376016.29999995</v>
      </c>
      <c r="E122" s="5">
        <f t="shared" si="57"/>
        <v>1479740000</v>
      </c>
      <c r="F122" s="5">
        <f t="shared" si="57"/>
        <v>1495880000</v>
      </c>
      <c r="G122" s="5">
        <f t="shared" si="57"/>
        <v>1512020000</v>
      </c>
      <c r="H122" s="5">
        <f t="shared" si="57"/>
        <v>1528160000</v>
      </c>
      <c r="I122" s="5">
        <f t="shared" si="57"/>
        <v>1544300000</v>
      </c>
      <c r="J122" s="5">
        <f t="shared" si="57"/>
        <v>1542800000</v>
      </c>
      <c r="K122" s="5">
        <f t="shared" si="57"/>
        <v>1541300000</v>
      </c>
      <c r="L122" s="5">
        <f t="shared" si="57"/>
        <v>1539800000</v>
      </c>
      <c r="M122" s="5">
        <f t="shared" si="57"/>
        <v>1327040000</v>
      </c>
      <c r="N122" s="5">
        <f t="shared" si="57"/>
        <v>1327040000</v>
      </c>
      <c r="O122" s="5">
        <f t="shared" si="57"/>
        <v>1327040000</v>
      </c>
      <c r="P122" s="5">
        <f t="shared" si="57"/>
        <v>1327040000</v>
      </c>
      <c r="Q122" s="5">
        <f t="shared" si="57"/>
        <v>1327040000</v>
      </c>
      <c r="R122" s="5">
        <f t="shared" si="57"/>
        <v>1327040000</v>
      </c>
      <c r="S122" s="5">
        <f t="shared" si="57"/>
        <v>1327040000</v>
      </c>
      <c r="T122" s="5">
        <f t="shared" si="57"/>
        <v>1327040000</v>
      </c>
      <c r="U122" s="5">
        <f t="shared" si="57"/>
        <v>1327040000</v>
      </c>
      <c r="V122" s="5">
        <f t="shared" si="57"/>
        <v>1327040000</v>
      </c>
      <c r="W122" s="5">
        <f t="shared" si="57"/>
        <v>1327040000</v>
      </c>
      <c r="X122" s="5">
        <f t="shared" si="57"/>
        <v>27528879295.299999</v>
      </c>
      <c r="Y122" s="5">
        <f t="shared" si="57"/>
        <v>11698750965.519661</v>
      </c>
      <c r="Z122" s="10">
        <f>Y122/$Y$17</f>
        <v>0.47417562092093635</v>
      </c>
      <c r="AA122" s="14" t="s">
        <v>84</v>
      </c>
    </row>
    <row r="124" spans="1:27" x14ac:dyDescent="0.3">
      <c r="A124" s="12" t="s">
        <v>82</v>
      </c>
    </row>
    <row r="125" spans="1:27" x14ac:dyDescent="0.3">
      <c r="A125" s="6" t="s">
        <v>63</v>
      </c>
    </row>
    <row r="126" spans="1:27" x14ac:dyDescent="0.3">
      <c r="A126" s="1" t="s">
        <v>27</v>
      </c>
      <c r="B126" s="1" t="s">
        <v>7</v>
      </c>
      <c r="C126" s="5">
        <f t="shared" ref="C126:W126" si="58">C17-C121</f>
        <v>-4200401945</v>
      </c>
      <c r="D126" s="5">
        <f t="shared" si="58"/>
        <v>1244476483.5</v>
      </c>
      <c r="E126" s="5">
        <f t="shared" si="58"/>
        <v>1487522500</v>
      </c>
      <c r="F126" s="5">
        <f t="shared" si="58"/>
        <v>1231135500</v>
      </c>
      <c r="G126" s="5">
        <f t="shared" si="58"/>
        <v>1094872000</v>
      </c>
      <c r="H126" s="5">
        <f t="shared" si="58"/>
        <v>1078732000</v>
      </c>
      <c r="I126" s="5">
        <f t="shared" si="58"/>
        <v>1062592000</v>
      </c>
      <c r="J126" s="5">
        <f t="shared" si="58"/>
        <v>1064092000</v>
      </c>
      <c r="K126" s="5">
        <f t="shared" si="58"/>
        <v>1065592000</v>
      </c>
      <c r="L126" s="5">
        <f t="shared" si="58"/>
        <v>1067092000</v>
      </c>
      <c r="M126" s="5">
        <f t="shared" si="58"/>
        <v>751273600</v>
      </c>
      <c r="N126" s="5">
        <f t="shared" si="58"/>
        <v>751273600</v>
      </c>
      <c r="O126" s="5">
        <f t="shared" si="58"/>
        <v>751273600</v>
      </c>
      <c r="P126" s="5">
        <f t="shared" si="58"/>
        <v>751273600</v>
      </c>
      <c r="Q126" s="5">
        <f t="shared" si="58"/>
        <v>751273600</v>
      </c>
      <c r="R126" s="5">
        <f t="shared" si="58"/>
        <v>751273600</v>
      </c>
      <c r="S126" s="5">
        <f t="shared" si="58"/>
        <v>751273600</v>
      </c>
      <c r="T126" s="5">
        <f t="shared" si="58"/>
        <v>751273600</v>
      </c>
      <c r="U126" s="5">
        <f t="shared" si="58"/>
        <v>751273600</v>
      </c>
      <c r="V126" s="5">
        <f t="shared" si="58"/>
        <v>751273600</v>
      </c>
      <c r="W126" s="5">
        <f t="shared" si="58"/>
        <v>751273600</v>
      </c>
      <c r="X126" s="4">
        <f>SUM(C126:W126)</f>
        <v>14459714138.5</v>
      </c>
      <c r="Y126" s="4">
        <f>C126+NPV($Y$2,D126:W126)</f>
        <v>4667811830.7163467</v>
      </c>
      <c r="Z126" s="10">
        <f>Y126/$Y$17</f>
        <v>0.18919648599201533</v>
      </c>
      <c r="AA126" s="14" t="s">
        <v>85</v>
      </c>
    </row>
    <row r="127" spans="1:27" x14ac:dyDescent="0.3">
      <c r="A127" s="1" t="s">
        <v>86</v>
      </c>
      <c r="B127" s="1" t="s">
        <v>9</v>
      </c>
      <c r="X127" s="15">
        <f>IRR(C126:W126)</f>
        <v>0.27644690262800742</v>
      </c>
      <c r="Y127" s="14" t="s">
        <v>87</v>
      </c>
    </row>
    <row r="128" spans="1:27" x14ac:dyDescent="0.3">
      <c r="A128" s="6" t="s">
        <v>64</v>
      </c>
    </row>
    <row r="129" spans="1:27" x14ac:dyDescent="0.3">
      <c r="A129" s="1" t="s">
        <v>27</v>
      </c>
      <c r="B129" s="1" t="s">
        <v>7</v>
      </c>
      <c r="C129" s="5">
        <f t="shared" ref="C129:W129" si="59">C17-C122</f>
        <v>-4200063279</v>
      </c>
      <c r="D129" s="5">
        <f t="shared" si="59"/>
        <v>1693748983.7</v>
      </c>
      <c r="E129" s="5">
        <f t="shared" si="59"/>
        <v>2302760000</v>
      </c>
      <c r="F129" s="5">
        <f t="shared" si="59"/>
        <v>2286620000</v>
      </c>
      <c r="G129" s="5">
        <f t="shared" si="59"/>
        <v>2270480000</v>
      </c>
      <c r="H129" s="5">
        <f t="shared" si="59"/>
        <v>2254340000</v>
      </c>
      <c r="I129" s="5">
        <f t="shared" si="59"/>
        <v>2238200000</v>
      </c>
      <c r="J129" s="5">
        <f t="shared" si="59"/>
        <v>2239700000</v>
      </c>
      <c r="K129" s="5">
        <f t="shared" si="59"/>
        <v>2241200000</v>
      </c>
      <c r="L129" s="5">
        <f t="shared" si="59"/>
        <v>2242700000</v>
      </c>
      <c r="M129" s="5">
        <f t="shared" si="59"/>
        <v>1688960000</v>
      </c>
      <c r="N129" s="5">
        <f t="shared" si="59"/>
        <v>1688960000</v>
      </c>
      <c r="O129" s="5">
        <f t="shared" si="59"/>
        <v>1688960000</v>
      </c>
      <c r="P129" s="5">
        <f t="shared" si="59"/>
        <v>1688960000</v>
      </c>
      <c r="Q129" s="5">
        <f t="shared" si="59"/>
        <v>1688960000</v>
      </c>
      <c r="R129" s="5">
        <f t="shared" si="59"/>
        <v>1688960000</v>
      </c>
      <c r="S129" s="5">
        <f t="shared" si="59"/>
        <v>1688960000</v>
      </c>
      <c r="T129" s="5">
        <f t="shared" si="59"/>
        <v>1688960000</v>
      </c>
      <c r="U129" s="5">
        <f t="shared" si="59"/>
        <v>1688960000</v>
      </c>
      <c r="V129" s="5">
        <f t="shared" si="59"/>
        <v>1688960000</v>
      </c>
      <c r="W129" s="5">
        <f t="shared" si="59"/>
        <v>1688960000</v>
      </c>
      <c r="X129" s="4">
        <f>SUM(C129:W129)</f>
        <v>34148245704.700001</v>
      </c>
      <c r="Y129" s="4">
        <f>C129+NPV($Y$2,D129:W129)</f>
        <v>12973017150.265228</v>
      </c>
      <c r="Z129" s="10">
        <f>Y129/$Y$17</f>
        <v>0.52582437907906354</v>
      </c>
      <c r="AA129" s="14" t="s">
        <v>85</v>
      </c>
    </row>
    <row r="130" spans="1:27" x14ac:dyDescent="0.3">
      <c r="A130" s="1" t="s">
        <v>86</v>
      </c>
      <c r="B130" s="1" t="s">
        <v>9</v>
      </c>
      <c r="X130" s="15">
        <f>IRR(C129:W129)</f>
        <v>0.49258992730768059</v>
      </c>
      <c r="Y130" s="14" t="s">
        <v>87</v>
      </c>
    </row>
  </sheetData>
  <pageMargins left="0.19685039370078741" right="0.19685039370078741" top="0.39370078740157483" bottom="0.39370078740157483" header="0.19685039370078741" footer="0.19685039370078741"/>
  <pageSetup paperSize="9" orientation="landscape" r:id="rId1"/>
  <headerFooter>
    <oddHeader>&amp;L&amp;"Arial Black,Normal"Imprimé le &amp;D à &amp;T&amp;R&amp;"Arial Black,Normal"- Excel -</oddHeader>
    <oddFooter>&amp;C&amp;"Arial Black,Normal"- Page &amp;P sur &amp;N -</oddFooter>
  </headerFooter>
  <ignoredErrors>
    <ignoredError sqref="D54:E54 F54:W54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C9AEA-7923-4A18-8AE1-82E6BC339343}">
  <dimension ref="A1:AC149"/>
  <sheetViews>
    <sheetView tabSelected="1" zoomScale="56" zoomScaleNormal="100" workbookViewId="0">
      <pane ySplit="2" topLeftCell="A3" activePane="bottomLeft" state="frozen"/>
      <selection pane="bottomLeft" activeCell="A15" sqref="A15"/>
    </sheetView>
  </sheetViews>
  <sheetFormatPr baseColWidth="10" defaultColWidth="10.796875" defaultRowHeight="13" x14ac:dyDescent="0.3"/>
  <cols>
    <col min="1" max="1" width="55.19921875" style="1" customWidth="1"/>
    <col min="2" max="2" width="19.8984375" style="6" bestFit="1" customWidth="1"/>
    <col min="3" max="3" width="11.69921875" style="1" bestFit="1" customWidth="1"/>
    <col min="4" max="4" width="8.796875" style="1" customWidth="1"/>
    <col min="5" max="27" width="15.796875" style="1" customWidth="1"/>
    <col min="28" max="16384" width="10.796875" style="1"/>
  </cols>
  <sheetData>
    <row r="1" spans="1:27" s="22" customFormat="1" x14ac:dyDescent="0.3">
      <c r="A1" s="22" t="s">
        <v>0</v>
      </c>
      <c r="B1" s="20" t="s">
        <v>94</v>
      </c>
      <c r="C1" s="22" t="s">
        <v>103</v>
      </c>
      <c r="D1" s="22" t="s">
        <v>1</v>
      </c>
      <c r="E1" s="22">
        <v>2023</v>
      </c>
      <c r="F1" s="22">
        <v>2024</v>
      </c>
      <c r="G1" s="22">
        <v>2025</v>
      </c>
      <c r="H1" s="22">
        <v>2026</v>
      </c>
      <c r="I1" s="22">
        <v>2027</v>
      </c>
      <c r="J1" s="22">
        <v>2028</v>
      </c>
      <c r="K1" s="22">
        <v>2029</v>
      </c>
      <c r="L1" s="22">
        <v>2030</v>
      </c>
      <c r="M1" s="22">
        <v>2031</v>
      </c>
      <c r="N1" s="22">
        <v>2032</v>
      </c>
      <c r="O1" s="22">
        <v>2033</v>
      </c>
      <c r="P1" s="22">
        <v>2034</v>
      </c>
      <c r="Q1" s="22">
        <v>2035</v>
      </c>
      <c r="R1" s="22">
        <v>2036</v>
      </c>
      <c r="S1" s="22">
        <v>2037</v>
      </c>
      <c r="T1" s="22">
        <v>2038</v>
      </c>
      <c r="U1" s="22">
        <v>2039</v>
      </c>
      <c r="V1" s="22">
        <v>2040</v>
      </c>
      <c r="W1" s="22">
        <v>2041</v>
      </c>
      <c r="X1" s="22">
        <v>2042</v>
      </c>
      <c r="Y1" s="22">
        <v>2043</v>
      </c>
      <c r="Z1" s="22" t="s">
        <v>2</v>
      </c>
      <c r="AA1" s="22" t="s">
        <v>3</v>
      </c>
    </row>
    <row r="2" spans="1:27" x14ac:dyDescent="0.3">
      <c r="A2" s="11"/>
      <c r="B2" s="30"/>
      <c r="C2" s="11"/>
      <c r="D2" s="11"/>
      <c r="E2" s="11">
        <v>1</v>
      </c>
      <c r="F2" s="11">
        <v>2</v>
      </c>
      <c r="G2" s="11">
        <v>3</v>
      </c>
      <c r="H2" s="11">
        <v>4</v>
      </c>
      <c r="I2" s="11">
        <v>5</v>
      </c>
      <c r="J2" s="11">
        <v>6</v>
      </c>
      <c r="K2" s="11">
        <v>7</v>
      </c>
      <c r="L2" s="11">
        <v>8</v>
      </c>
      <c r="M2" s="11">
        <v>9</v>
      </c>
      <c r="N2" s="11">
        <v>10</v>
      </c>
      <c r="O2" s="11">
        <v>11</v>
      </c>
      <c r="P2" s="11">
        <v>12</v>
      </c>
      <c r="Q2" s="11">
        <v>13</v>
      </c>
      <c r="R2" s="11">
        <v>14</v>
      </c>
      <c r="S2" s="11">
        <v>15</v>
      </c>
      <c r="T2" s="11">
        <v>16</v>
      </c>
      <c r="U2" s="11">
        <v>17</v>
      </c>
      <c r="V2" s="11">
        <v>18</v>
      </c>
      <c r="W2" s="11">
        <v>19</v>
      </c>
      <c r="X2" s="11">
        <v>20</v>
      </c>
      <c r="Y2" s="11">
        <v>21</v>
      </c>
      <c r="AA2" s="13">
        <v>0.1</v>
      </c>
    </row>
    <row r="3" spans="1:27" s="24" customFormat="1" x14ac:dyDescent="0.3">
      <c r="A3" s="28" t="s">
        <v>100</v>
      </c>
      <c r="B3" s="31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AA3" s="29"/>
    </row>
    <row r="4" spans="1:27" x14ac:dyDescent="0.3">
      <c r="A4" s="11" t="s">
        <v>101</v>
      </c>
      <c r="B4" s="6" t="s">
        <v>104</v>
      </c>
      <c r="C4" s="27">
        <v>0.82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AA4" s="13"/>
    </row>
    <row r="5" spans="1:27" x14ac:dyDescent="0.3">
      <c r="A5" s="11" t="s">
        <v>102</v>
      </c>
      <c r="B5" s="6" t="s">
        <v>104</v>
      </c>
      <c r="C5" s="27">
        <v>0.18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AA5" s="13"/>
    </row>
    <row r="6" spans="1:27" x14ac:dyDescent="0.3">
      <c r="A6" s="11"/>
      <c r="C6" s="27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AA6" s="13"/>
    </row>
    <row r="7" spans="1:27" s="34" customFormat="1" ht="16.5" customHeight="1" x14ac:dyDescent="0.3">
      <c r="A7" s="33" t="s">
        <v>50</v>
      </c>
      <c r="B7" s="33"/>
      <c r="C7" s="33"/>
    </row>
    <row r="8" spans="1:27" customFormat="1" x14ac:dyDescent="0.3"/>
    <row r="9" spans="1:27" x14ac:dyDescent="0.3">
      <c r="A9" s="1" t="s">
        <v>51</v>
      </c>
      <c r="B9" s="20" t="s">
        <v>95</v>
      </c>
      <c r="C9" s="20"/>
      <c r="D9" s="1" t="s">
        <v>5</v>
      </c>
      <c r="E9" s="3"/>
      <c r="F9" s="3">
        <v>100000</v>
      </c>
      <c r="G9" s="3">
        <v>100000</v>
      </c>
      <c r="H9" s="3">
        <v>100000</v>
      </c>
      <c r="I9" s="3">
        <v>100000</v>
      </c>
      <c r="J9" s="3">
        <v>100000</v>
      </c>
      <c r="K9" s="3">
        <v>100000</v>
      </c>
      <c r="L9" s="3">
        <v>100000</v>
      </c>
      <c r="M9" s="3">
        <v>100000</v>
      </c>
      <c r="N9" s="3">
        <v>100000</v>
      </c>
      <c r="O9" s="3">
        <v>80000</v>
      </c>
      <c r="P9" s="3">
        <v>80000</v>
      </c>
      <c r="Q9" s="3">
        <v>80000</v>
      </c>
      <c r="R9" s="3">
        <v>80000</v>
      </c>
      <c r="S9" s="3">
        <v>80000</v>
      </c>
      <c r="T9" s="3">
        <v>80000</v>
      </c>
      <c r="U9" s="3">
        <v>80000</v>
      </c>
      <c r="V9" s="3">
        <v>80000</v>
      </c>
      <c r="W9" s="3">
        <v>80000</v>
      </c>
      <c r="X9" s="3">
        <v>80000</v>
      </c>
      <c r="Y9" s="3">
        <v>80000</v>
      </c>
    </row>
    <row r="10" spans="1:27" x14ac:dyDescent="0.3">
      <c r="A10" s="1" t="s">
        <v>4</v>
      </c>
      <c r="B10" s="20" t="s">
        <v>121</v>
      </c>
      <c r="C10" s="20"/>
      <c r="D10" s="1" t="s">
        <v>53</v>
      </c>
      <c r="E10" s="3"/>
      <c r="F10" s="3">
        <f>SUM('production mensuelle ministère'!$C$2:$I$2)*1000000</f>
        <v>16900000.000000004</v>
      </c>
      <c r="G10" s="3">
        <f>SUM('production mensuelle ministère'!$J$2:$U$2)*1000000</f>
        <v>36180000</v>
      </c>
      <c r="H10" s="3">
        <f>H9*365</f>
        <v>36500000</v>
      </c>
      <c r="I10" s="3">
        <f>I9*365</f>
        <v>36500000</v>
      </c>
      <c r="J10" s="3">
        <f>J9*365</f>
        <v>36500000</v>
      </c>
      <c r="K10" s="3">
        <f>K9*365</f>
        <v>36500000</v>
      </c>
      <c r="L10" s="3">
        <f>L9*365</f>
        <v>36500000</v>
      </c>
      <c r="M10" s="3">
        <f>M9*365</f>
        <v>36500000</v>
      </c>
      <c r="N10" s="3">
        <f>N9*365</f>
        <v>36500000</v>
      </c>
      <c r="O10" s="3">
        <f>O9*365</f>
        <v>29200000</v>
      </c>
      <c r="P10" s="3">
        <f>P9*365</f>
        <v>29200000</v>
      </c>
      <c r="Q10" s="3">
        <f>Q9*365</f>
        <v>29200000</v>
      </c>
      <c r="R10" s="3">
        <f>R9*365</f>
        <v>29200000</v>
      </c>
      <c r="S10" s="3">
        <f>S9*365</f>
        <v>29200000</v>
      </c>
      <c r="T10" s="3">
        <f>T9*365</f>
        <v>29200000</v>
      </c>
      <c r="U10" s="3">
        <f>U9*365</f>
        <v>29200000</v>
      </c>
      <c r="V10" s="3">
        <f>V9*365</f>
        <v>29200000</v>
      </c>
      <c r="W10" s="3">
        <f>W9*365</f>
        <v>29200000</v>
      </c>
      <c r="X10" s="3">
        <f>X9*365</f>
        <v>29200000</v>
      </c>
      <c r="Y10" s="3">
        <f>Y9*365</f>
        <v>29200000</v>
      </c>
      <c r="Z10" s="4"/>
    </row>
    <row r="11" spans="1:27" s="24" customFormat="1" x14ac:dyDescent="0.3">
      <c r="A11" s="24" t="s">
        <v>52</v>
      </c>
      <c r="B11" s="25" t="s">
        <v>95</v>
      </c>
      <c r="C11" s="25"/>
      <c r="D11" s="24" t="s">
        <v>6</v>
      </c>
      <c r="E11" s="26">
        <v>65</v>
      </c>
      <c r="F11" s="26">
        <v>65</v>
      </c>
      <c r="G11" s="26">
        <v>65</v>
      </c>
      <c r="H11" s="26">
        <v>65</v>
      </c>
      <c r="I11" s="26">
        <v>65</v>
      </c>
      <c r="J11" s="26">
        <v>65</v>
      </c>
      <c r="K11" s="26">
        <v>65</v>
      </c>
      <c r="L11" s="26">
        <v>65</v>
      </c>
      <c r="M11" s="26">
        <v>65</v>
      </c>
      <c r="N11" s="26">
        <v>65</v>
      </c>
      <c r="O11" s="26">
        <v>65</v>
      </c>
      <c r="P11" s="26">
        <v>65</v>
      </c>
      <c r="Q11" s="26">
        <v>65</v>
      </c>
      <c r="R11" s="26">
        <v>65</v>
      </c>
      <c r="S11" s="26">
        <v>65</v>
      </c>
      <c r="T11" s="26">
        <v>65</v>
      </c>
      <c r="U11" s="26">
        <v>65</v>
      </c>
      <c r="V11" s="26">
        <v>65</v>
      </c>
      <c r="W11" s="26">
        <v>65</v>
      </c>
      <c r="X11" s="26">
        <v>65</v>
      </c>
      <c r="Y11" s="26">
        <v>65</v>
      </c>
    </row>
    <row r="12" spans="1:27" x14ac:dyDescent="0.3">
      <c r="A12" s="1" t="s">
        <v>54</v>
      </c>
      <c r="B12" s="20" t="s">
        <v>99</v>
      </c>
      <c r="C12" s="20"/>
      <c r="D12" s="1" t="s">
        <v>7</v>
      </c>
      <c r="E12" s="5">
        <f>E11*E10</f>
        <v>0</v>
      </c>
      <c r="F12" s="5">
        <f>F11*F10</f>
        <v>1098500000.0000002</v>
      </c>
      <c r="G12" s="5">
        <f>G11*G10</f>
        <v>2351700000</v>
      </c>
      <c r="H12" s="5">
        <f>H11*H10</f>
        <v>2372500000</v>
      </c>
      <c r="I12" s="5">
        <f>I11*I10</f>
        <v>2372500000</v>
      </c>
      <c r="J12" s="5">
        <f>J11*J10</f>
        <v>2372500000</v>
      </c>
      <c r="K12" s="5">
        <f>K11*K10</f>
        <v>2372500000</v>
      </c>
      <c r="L12" s="5">
        <f>L11*L10</f>
        <v>2372500000</v>
      </c>
      <c r="M12" s="5">
        <f>M11*M10</f>
        <v>2372500000</v>
      </c>
      <c r="N12" s="5">
        <f>N11*N10</f>
        <v>2372500000</v>
      </c>
      <c r="O12" s="5">
        <f>O11*O10</f>
        <v>1898000000</v>
      </c>
      <c r="P12" s="5">
        <f>P11*P10</f>
        <v>1898000000</v>
      </c>
      <c r="Q12" s="5">
        <f>Q11*Q10</f>
        <v>1898000000</v>
      </c>
      <c r="R12" s="5">
        <f>R11*R10</f>
        <v>1898000000</v>
      </c>
      <c r="S12" s="5">
        <f>S11*S10</f>
        <v>1898000000</v>
      </c>
      <c r="T12" s="5">
        <f>T11*T10</f>
        <v>1898000000</v>
      </c>
      <c r="U12" s="5">
        <f>U11*U10</f>
        <v>1898000000</v>
      </c>
      <c r="V12" s="5">
        <f>V11*V10</f>
        <v>1898000000</v>
      </c>
      <c r="W12" s="5">
        <f>W11*W10</f>
        <v>1898000000</v>
      </c>
      <c r="X12" s="5">
        <f>X11*X10</f>
        <v>1898000000</v>
      </c>
      <c r="Y12" s="5">
        <f>Y11*Y10</f>
        <v>1898000000</v>
      </c>
      <c r="Z12" s="4">
        <f>SUM(E12:Y12)</f>
        <v>40935700000</v>
      </c>
      <c r="AA12" s="4">
        <f>E12+NPV($AA$2,F12:Y12)</f>
        <v>17716028840.097851</v>
      </c>
    </row>
    <row r="13" spans="1:27" customFormat="1" x14ac:dyDescent="0.3"/>
    <row r="14" spans="1:27" x14ac:dyDescent="0.3">
      <c r="A14" s="12" t="s">
        <v>55</v>
      </c>
      <c r="B14" s="12"/>
      <c r="C14" s="12"/>
    </row>
    <row r="15" spans="1:27" x14ac:dyDescent="0.3">
      <c r="A15" s="8" t="s">
        <v>49</v>
      </c>
      <c r="D15" s="1" t="s">
        <v>7</v>
      </c>
      <c r="E15" s="3">
        <v>4200000000</v>
      </c>
      <c r="F15" s="3">
        <v>50000000</v>
      </c>
      <c r="G15" s="3">
        <v>50000000</v>
      </c>
      <c r="H15" s="3">
        <v>50000000</v>
      </c>
      <c r="I15" s="3">
        <v>50000000</v>
      </c>
      <c r="J15" s="3">
        <v>50000000</v>
      </c>
      <c r="K15" s="3">
        <v>50000000</v>
      </c>
      <c r="L15" s="3">
        <v>50000000</v>
      </c>
      <c r="M15" s="3">
        <v>50000000</v>
      </c>
      <c r="N15" s="3">
        <v>50000000</v>
      </c>
      <c r="O15" s="3">
        <v>50000000</v>
      </c>
      <c r="P15" s="3">
        <v>50000000</v>
      </c>
      <c r="Q15" s="3">
        <v>50000000</v>
      </c>
      <c r="R15" s="3">
        <v>50000000</v>
      </c>
      <c r="S15" s="3">
        <v>50000000</v>
      </c>
      <c r="T15" s="3">
        <v>50000000</v>
      </c>
      <c r="U15" s="3">
        <v>50000000</v>
      </c>
      <c r="V15" s="3">
        <v>50000000</v>
      </c>
      <c r="W15" s="3">
        <v>50000000</v>
      </c>
      <c r="X15" s="3">
        <v>50000000</v>
      </c>
      <c r="Y15" s="3">
        <v>50000000</v>
      </c>
      <c r="Z15" s="4">
        <f>SUM(E15:Y15)</f>
        <v>5200000000</v>
      </c>
      <c r="AA15" s="4">
        <f>E15+NPV($AA$2,F15:Y15)</f>
        <v>4625678185.9879274</v>
      </c>
    </row>
    <row r="16" spans="1:27" x14ac:dyDescent="0.3">
      <c r="A16" s="8" t="s">
        <v>56</v>
      </c>
      <c r="D16" s="1" t="s">
        <v>6</v>
      </c>
      <c r="E16" s="3">
        <v>15</v>
      </c>
      <c r="F16" s="3">
        <v>15</v>
      </c>
      <c r="G16" s="3">
        <v>15</v>
      </c>
      <c r="H16" s="3">
        <v>15</v>
      </c>
      <c r="I16" s="3">
        <v>15</v>
      </c>
      <c r="J16" s="3">
        <v>15</v>
      </c>
      <c r="K16" s="3">
        <v>15</v>
      </c>
      <c r="L16" s="3">
        <v>15</v>
      </c>
      <c r="M16" s="3">
        <v>15</v>
      </c>
      <c r="N16" s="3">
        <v>15</v>
      </c>
      <c r="O16" s="3">
        <v>15</v>
      </c>
      <c r="P16" s="3">
        <v>15</v>
      </c>
      <c r="Q16" s="3">
        <v>15</v>
      </c>
      <c r="R16" s="3">
        <v>15</v>
      </c>
      <c r="S16" s="3">
        <v>15</v>
      </c>
      <c r="T16" s="3">
        <v>15</v>
      </c>
      <c r="U16" s="3">
        <v>15</v>
      </c>
      <c r="V16" s="3">
        <v>15</v>
      </c>
      <c r="W16" s="3">
        <v>15</v>
      </c>
      <c r="X16" s="3">
        <v>15</v>
      </c>
      <c r="Y16" s="3">
        <v>15</v>
      </c>
    </row>
    <row r="17" spans="1:27" x14ac:dyDescent="0.3">
      <c r="A17" s="8" t="s">
        <v>108</v>
      </c>
      <c r="D17" s="1" t="s">
        <v>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7" x14ac:dyDescent="0.3">
      <c r="A18" s="8" t="s">
        <v>119</v>
      </c>
      <c r="D18" s="1" t="s">
        <v>6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7" x14ac:dyDescent="0.3">
      <c r="A19" s="8" t="s">
        <v>117</v>
      </c>
      <c r="D19" s="1" t="s">
        <v>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7" x14ac:dyDescent="0.3">
      <c r="A20" s="8" t="s">
        <v>118</v>
      </c>
      <c r="D20" s="1" t="s">
        <v>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7" x14ac:dyDescent="0.3">
      <c r="A21" s="8" t="s">
        <v>120</v>
      </c>
      <c r="D21" s="1" t="s">
        <v>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7" x14ac:dyDescent="0.3">
      <c r="A22" s="8" t="s">
        <v>122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7" x14ac:dyDescent="0.3">
      <c r="A23" s="8" t="s">
        <v>57</v>
      </c>
      <c r="D23" s="1" t="s">
        <v>7</v>
      </c>
      <c r="E23" s="3">
        <f>E10*E16</f>
        <v>0</v>
      </c>
      <c r="F23" s="3">
        <f>F10*F16</f>
        <v>253500000.00000006</v>
      </c>
      <c r="G23" s="3">
        <f>G10*G16</f>
        <v>542700000</v>
      </c>
      <c r="H23" s="3">
        <f>H10*H16</f>
        <v>547500000</v>
      </c>
      <c r="I23" s="3">
        <f>I10*I16</f>
        <v>547500000</v>
      </c>
      <c r="J23" s="3">
        <f>J10*J16</f>
        <v>547500000</v>
      </c>
      <c r="K23" s="3">
        <f>K10*K16</f>
        <v>547500000</v>
      </c>
      <c r="L23" s="3">
        <f>L10*L16</f>
        <v>547500000</v>
      </c>
      <c r="M23" s="3">
        <f>M10*M16</f>
        <v>547500000</v>
      </c>
      <c r="N23" s="3">
        <f>N10*N16</f>
        <v>547500000</v>
      </c>
      <c r="O23" s="3">
        <f>O10*O16</f>
        <v>438000000</v>
      </c>
      <c r="P23" s="3">
        <f>P10*P16</f>
        <v>438000000</v>
      </c>
      <c r="Q23" s="3">
        <f>Q10*Q16</f>
        <v>438000000</v>
      </c>
      <c r="R23" s="3">
        <f>R10*R16</f>
        <v>438000000</v>
      </c>
      <c r="S23" s="3">
        <f>S10*S16</f>
        <v>438000000</v>
      </c>
      <c r="T23" s="3">
        <f>T10*T16</f>
        <v>438000000</v>
      </c>
      <c r="U23" s="3">
        <f>U10*U16</f>
        <v>438000000</v>
      </c>
      <c r="V23" s="3">
        <f>V10*V16</f>
        <v>438000000</v>
      </c>
      <c r="W23" s="3">
        <f>W10*W16</f>
        <v>438000000</v>
      </c>
      <c r="X23" s="3">
        <f>X10*X16</f>
        <v>438000000</v>
      </c>
      <c r="Y23" s="3">
        <f>Y10*Y16</f>
        <v>438000000</v>
      </c>
      <c r="Z23" s="4">
        <f>SUM(E23:Y23)</f>
        <v>9446700000</v>
      </c>
      <c r="AA23" s="4">
        <f t="shared" ref="AA23:AA26" si="0">E23+NPV($AA$2,F23:Y23)</f>
        <v>4088314347.71489</v>
      </c>
    </row>
    <row r="24" spans="1:27" x14ac:dyDescent="0.3">
      <c r="A24" s="8" t="s">
        <v>107</v>
      </c>
      <c r="D24" s="1" t="s">
        <v>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4"/>
      <c r="AA24" s="4"/>
    </row>
    <row r="25" spans="1:27" x14ac:dyDescent="0.3">
      <c r="A25" s="8" t="s">
        <v>105</v>
      </c>
      <c r="D25" s="1" t="s">
        <v>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7" x14ac:dyDescent="0.3">
      <c r="A26" s="8" t="s">
        <v>58</v>
      </c>
      <c r="D26" s="1" t="s">
        <v>7</v>
      </c>
      <c r="E26" s="5">
        <f>E15+E23+E24+E25</f>
        <v>4200000000</v>
      </c>
      <c r="F26" s="5">
        <f t="shared" ref="F26:Y26" si="1">F15+F23+F24+F25</f>
        <v>303500000.00000006</v>
      </c>
      <c r="G26" s="5">
        <f t="shared" si="1"/>
        <v>592700000</v>
      </c>
      <c r="H26" s="5">
        <f t="shared" si="1"/>
        <v>597500000</v>
      </c>
      <c r="I26" s="5">
        <f t="shared" si="1"/>
        <v>597500000</v>
      </c>
      <c r="J26" s="5">
        <f t="shared" si="1"/>
        <v>597500000</v>
      </c>
      <c r="K26" s="5">
        <f t="shared" si="1"/>
        <v>597500000</v>
      </c>
      <c r="L26" s="5">
        <f t="shared" si="1"/>
        <v>597500000</v>
      </c>
      <c r="M26" s="5">
        <f t="shared" si="1"/>
        <v>597500000</v>
      </c>
      <c r="N26" s="5">
        <f t="shared" si="1"/>
        <v>597500000</v>
      </c>
      <c r="O26" s="5">
        <f t="shared" si="1"/>
        <v>488000000</v>
      </c>
      <c r="P26" s="5">
        <f t="shared" si="1"/>
        <v>488000000</v>
      </c>
      <c r="Q26" s="5">
        <f t="shared" si="1"/>
        <v>488000000</v>
      </c>
      <c r="R26" s="5">
        <f t="shared" si="1"/>
        <v>488000000</v>
      </c>
      <c r="S26" s="5">
        <f t="shared" si="1"/>
        <v>488000000</v>
      </c>
      <c r="T26" s="5">
        <f t="shared" si="1"/>
        <v>488000000</v>
      </c>
      <c r="U26" s="5">
        <f t="shared" si="1"/>
        <v>488000000</v>
      </c>
      <c r="V26" s="5">
        <f t="shared" si="1"/>
        <v>488000000</v>
      </c>
      <c r="W26" s="5">
        <f t="shared" si="1"/>
        <v>488000000</v>
      </c>
      <c r="X26" s="5">
        <f t="shared" si="1"/>
        <v>488000000</v>
      </c>
      <c r="Y26" s="5">
        <f t="shared" si="1"/>
        <v>488000000</v>
      </c>
      <c r="Z26" s="4">
        <f>SUM(E26:Y26)</f>
        <v>14646700000</v>
      </c>
      <c r="AA26" s="4">
        <f t="shared" si="0"/>
        <v>8713992533.702816</v>
      </c>
    </row>
    <row r="27" spans="1:27" x14ac:dyDescent="0.3">
      <c r="A27" s="8"/>
    </row>
    <row r="28" spans="1:27" x14ac:dyDescent="0.3">
      <c r="A28" s="12" t="s">
        <v>59</v>
      </c>
      <c r="B28" s="12"/>
      <c r="C28" s="12"/>
    </row>
    <row r="29" spans="1:27" x14ac:dyDescent="0.3">
      <c r="A29" s="1" t="s">
        <v>8</v>
      </c>
      <c r="B29" s="6" t="s">
        <v>99</v>
      </c>
      <c r="D29" s="1" t="s">
        <v>7</v>
      </c>
      <c r="E29" s="40">
        <f>E12-E26</f>
        <v>-4200000000</v>
      </c>
      <c r="F29" s="40">
        <f>F12-F26</f>
        <v>795000000.00000024</v>
      </c>
      <c r="G29" s="40">
        <f>G12-G26</f>
        <v>1759000000</v>
      </c>
      <c r="H29" s="40">
        <f>H12-H26</f>
        <v>1775000000</v>
      </c>
      <c r="I29" s="40">
        <f>I12-I26</f>
        <v>1775000000</v>
      </c>
      <c r="J29" s="40">
        <f>J12-J26</f>
        <v>1775000000</v>
      </c>
      <c r="K29" s="40">
        <f>K12-K26</f>
        <v>1775000000</v>
      </c>
      <c r="L29" s="40">
        <f>L12-L26</f>
        <v>1775000000</v>
      </c>
      <c r="M29" s="40">
        <f>M12-M26</f>
        <v>1775000000</v>
      </c>
      <c r="N29" s="40">
        <f>N12-N26</f>
        <v>1775000000</v>
      </c>
      <c r="O29" s="40">
        <f>O12-O26</f>
        <v>1410000000</v>
      </c>
      <c r="P29" s="40">
        <f>P12-P26</f>
        <v>1410000000</v>
      </c>
      <c r="Q29" s="40">
        <f>Q12-Q26</f>
        <v>1410000000</v>
      </c>
      <c r="R29" s="40">
        <f>R12-R26</f>
        <v>1410000000</v>
      </c>
      <c r="S29" s="40">
        <f>S12-S26</f>
        <v>1410000000</v>
      </c>
      <c r="T29" s="40">
        <f>T12-T26</f>
        <v>1410000000</v>
      </c>
      <c r="U29" s="40">
        <f>U12-U26</f>
        <v>1410000000</v>
      </c>
      <c r="V29" s="40">
        <f>V12-V26</f>
        <v>1410000000</v>
      </c>
      <c r="W29" s="40">
        <f>W12-W26</f>
        <v>1410000000</v>
      </c>
      <c r="X29" s="40">
        <f>X12-X26</f>
        <v>1410000000</v>
      </c>
      <c r="Y29" s="40">
        <f>Y12-Y26</f>
        <v>1410000000</v>
      </c>
      <c r="Z29" s="15"/>
      <c r="AA29" s="14"/>
    </row>
    <row r="30" spans="1:27" x14ac:dyDescent="0.3">
      <c r="A30" s="1" t="s">
        <v>111</v>
      </c>
      <c r="B30" s="6" t="s">
        <v>99</v>
      </c>
      <c r="D30" s="1" t="s">
        <v>9</v>
      </c>
      <c r="E30" s="39"/>
      <c r="Z30" s="15">
        <f>IRR(E29:Y29)</f>
        <v>0.35438430239497221</v>
      </c>
      <c r="AA30" s="14"/>
    </row>
    <row r="31" spans="1:27" s="44" customFormat="1" x14ac:dyDescent="0.3">
      <c r="B31" s="45"/>
      <c r="Z31" s="46"/>
      <c r="AA31" s="47"/>
    </row>
    <row r="32" spans="1:27" s="44" customFormat="1" x14ac:dyDescent="0.3">
      <c r="B32" s="45"/>
    </row>
    <row r="33" spans="1:29" x14ac:dyDescent="0.3">
      <c r="A33" s="12" t="s">
        <v>10</v>
      </c>
      <c r="B33" s="12"/>
      <c r="C33" s="12"/>
    </row>
    <row r="34" spans="1:29" x14ac:dyDescent="0.3">
      <c r="A34" s="1" t="s">
        <v>11</v>
      </c>
      <c r="B34" s="6" t="s">
        <v>63</v>
      </c>
      <c r="C34" s="1" t="s">
        <v>123</v>
      </c>
      <c r="D34" s="1" t="s">
        <v>7</v>
      </c>
      <c r="E34" s="5">
        <v>50000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4">
        <f>SUM(E34:Y34)</f>
        <v>50000</v>
      </c>
      <c r="AA34" s="4">
        <f>E34+NPV($AA$2,F34:Y34)</f>
        <v>50000</v>
      </c>
      <c r="AB34" s="19" t="e">
        <f>AA34/$AA$140</f>
        <v>#REF!</v>
      </c>
      <c r="AC34" s="18" t="s">
        <v>88</v>
      </c>
    </row>
    <row r="35" spans="1:29" x14ac:dyDescent="0.3">
      <c r="A35" s="1" t="s">
        <v>11</v>
      </c>
      <c r="B35" s="6" t="s">
        <v>106</v>
      </c>
      <c r="C35" s="1" t="s">
        <v>113</v>
      </c>
      <c r="D35" s="1" t="s">
        <v>7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4">
        <f>SUM(E35:Y35)</f>
        <v>0</v>
      </c>
      <c r="AA35" s="4">
        <f>E35+NPV($AA$2,F35:Y35)</f>
        <v>0</v>
      </c>
      <c r="AB35" s="19" t="e">
        <f>AA35/$AA$140</f>
        <v>#REF!</v>
      </c>
      <c r="AC35" s="18" t="s">
        <v>88</v>
      </c>
    </row>
    <row r="36" spans="1:29" x14ac:dyDescent="0.3">
      <c r="A36" s="1" t="s">
        <v>11</v>
      </c>
      <c r="B36" s="6" t="s">
        <v>95</v>
      </c>
      <c r="C36" s="1" t="s">
        <v>113</v>
      </c>
      <c r="D36" s="1" t="s">
        <v>7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4">
        <f>SUM(E36:Y36)</f>
        <v>0</v>
      </c>
      <c r="AA36" s="4">
        <f>E36+NPV($AA$2,F36:Y36)</f>
        <v>0</v>
      </c>
      <c r="AB36" s="19" t="e">
        <f>AA36/$AA$141</f>
        <v>#REF!</v>
      </c>
      <c r="AC36" s="18" t="s">
        <v>88</v>
      </c>
    </row>
    <row r="38" spans="1:29" x14ac:dyDescent="0.3">
      <c r="A38" s="12" t="s">
        <v>12</v>
      </c>
      <c r="B38" s="12"/>
      <c r="C38" s="12"/>
    </row>
    <row r="39" spans="1:29" x14ac:dyDescent="0.3">
      <c r="A39" s="8" t="s">
        <v>13</v>
      </c>
      <c r="C39" s="8"/>
      <c r="D39" s="1" t="s">
        <v>14</v>
      </c>
      <c r="E39" s="3">
        <v>711</v>
      </c>
    </row>
    <row r="40" spans="1:29" x14ac:dyDescent="0.3">
      <c r="A40" s="8" t="s">
        <v>65</v>
      </c>
      <c r="B40" s="6" t="s">
        <v>63</v>
      </c>
      <c r="C40" s="8"/>
      <c r="D40" s="1" t="s">
        <v>7</v>
      </c>
      <c r="E40" s="5">
        <f>E38*30*4+E38*50*3+E38*75*3</f>
        <v>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4">
        <f>SUM(E40:Y40)</f>
        <v>0</v>
      </c>
      <c r="AA40" s="4">
        <f>E40+NPV($AA$2,F40:Y40)</f>
        <v>0</v>
      </c>
      <c r="AB40" s="19" t="e">
        <f>AA40/$AA$140</f>
        <v>#REF!</v>
      </c>
      <c r="AC40" s="18" t="s">
        <v>89</v>
      </c>
    </row>
    <row r="41" spans="1:29" x14ac:dyDescent="0.3">
      <c r="A41" s="8" t="s">
        <v>65</v>
      </c>
      <c r="B41" s="6" t="s">
        <v>106</v>
      </c>
      <c r="C41" s="8"/>
      <c r="D41" s="1" t="s">
        <v>7</v>
      </c>
      <c r="E41" s="5">
        <f>E39*30*4+E39*50*3+E39*75*3</f>
        <v>351945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4">
        <f>SUM(E41:Y41)</f>
        <v>351945</v>
      </c>
      <c r="AA41" s="4">
        <f>E41+NPV($AA$2,F41:Y41)</f>
        <v>351945</v>
      </c>
      <c r="AB41" s="19" t="e">
        <f>AA41/$AA$140</f>
        <v>#REF!</v>
      </c>
      <c r="AC41" s="18" t="s">
        <v>89</v>
      </c>
    </row>
    <row r="42" spans="1:29" x14ac:dyDescent="0.3">
      <c r="A42" s="8" t="s">
        <v>65</v>
      </c>
      <c r="B42" s="6" t="s">
        <v>95</v>
      </c>
      <c r="C42" s="8"/>
      <c r="D42" s="1" t="s">
        <v>7</v>
      </c>
      <c r="E42" s="5">
        <f>E39*5*4+E39*8*3+E39*15*3</f>
        <v>63279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4">
        <f>SUM(E42:Y42)</f>
        <v>63279</v>
      </c>
      <c r="AA42" s="4">
        <f>E42+NPV($AA$2,F42:Y42)</f>
        <v>63279</v>
      </c>
      <c r="AB42" s="19" t="e">
        <f>AA42/$AA$141</f>
        <v>#REF!</v>
      </c>
      <c r="AC42" s="18" t="s">
        <v>89</v>
      </c>
    </row>
    <row r="44" spans="1:29" x14ac:dyDescent="0.3">
      <c r="A44" s="12" t="s">
        <v>15</v>
      </c>
      <c r="B44" s="12"/>
      <c r="C44" s="12"/>
    </row>
    <row r="45" spans="1:29" x14ac:dyDescent="0.3">
      <c r="A45" s="1" t="s">
        <v>17</v>
      </c>
      <c r="B45" s="6" t="s">
        <v>106</v>
      </c>
      <c r="C45" s="1" t="s">
        <v>113</v>
      </c>
    </row>
    <row r="46" spans="1:29" x14ac:dyDescent="0.3">
      <c r="A46" s="1" t="s">
        <v>16</v>
      </c>
      <c r="B46" s="6" t="s">
        <v>63</v>
      </c>
      <c r="C46" s="1" t="s">
        <v>114</v>
      </c>
      <c r="D46" s="1" t="s">
        <v>9</v>
      </c>
      <c r="E46" s="9">
        <v>0.08</v>
      </c>
      <c r="F46" s="9">
        <v>0.08</v>
      </c>
      <c r="G46" s="9">
        <v>0.08</v>
      </c>
      <c r="H46" s="9">
        <v>0.08</v>
      </c>
      <c r="I46" s="9">
        <v>0.08</v>
      </c>
      <c r="J46" s="9">
        <v>0.08</v>
      </c>
      <c r="K46" s="9">
        <v>0.08</v>
      </c>
      <c r="L46" s="9">
        <v>0.08</v>
      </c>
      <c r="M46" s="9">
        <v>0.08</v>
      </c>
      <c r="N46" s="9">
        <v>0.08</v>
      </c>
      <c r="O46" s="9">
        <v>0.08</v>
      </c>
      <c r="P46" s="9">
        <v>0.08</v>
      </c>
      <c r="Q46" s="9">
        <v>0.08</v>
      </c>
      <c r="R46" s="9">
        <v>0.08</v>
      </c>
      <c r="S46" s="9">
        <v>0.08</v>
      </c>
      <c r="T46" s="9">
        <v>0.08</v>
      </c>
      <c r="U46" s="9">
        <v>0.08</v>
      </c>
      <c r="V46" s="9">
        <v>0.08</v>
      </c>
      <c r="W46" s="9">
        <v>0.08</v>
      </c>
      <c r="X46" s="9">
        <v>0.08</v>
      </c>
      <c r="Y46" s="9">
        <v>0.08</v>
      </c>
    </row>
    <row r="47" spans="1:29" x14ac:dyDescent="0.3">
      <c r="A47" s="1" t="s">
        <v>17</v>
      </c>
      <c r="D47" s="1" t="s">
        <v>7</v>
      </c>
      <c r="E47" s="5">
        <f>E10*E46</f>
        <v>0</v>
      </c>
      <c r="F47" s="5">
        <f>F10*F46</f>
        <v>1352000.0000000002</v>
      </c>
      <c r="G47" s="5">
        <f>G10*G46</f>
        <v>2894400</v>
      </c>
      <c r="H47" s="5">
        <f>H10*H46</f>
        <v>2920000</v>
      </c>
      <c r="I47" s="5">
        <f>I10*I46</f>
        <v>2920000</v>
      </c>
      <c r="J47" s="5">
        <f>J10*J46</f>
        <v>2920000</v>
      </c>
      <c r="K47" s="5">
        <f>K10*K46</f>
        <v>2920000</v>
      </c>
      <c r="L47" s="5">
        <f>L10*L46</f>
        <v>2920000</v>
      </c>
      <c r="M47" s="5">
        <f>M10*M46</f>
        <v>2920000</v>
      </c>
      <c r="N47" s="5">
        <f>N10*N46</f>
        <v>2920000</v>
      </c>
      <c r="O47" s="5">
        <f>O10*O46</f>
        <v>2336000</v>
      </c>
      <c r="P47" s="5">
        <f>P10*P46</f>
        <v>2336000</v>
      </c>
      <c r="Q47" s="5">
        <f>Q10*Q46</f>
        <v>2336000</v>
      </c>
      <c r="R47" s="5">
        <f>R10*R46</f>
        <v>2336000</v>
      </c>
      <c r="S47" s="5">
        <f>S10*S46</f>
        <v>2336000</v>
      </c>
      <c r="T47" s="5">
        <f>T10*T46</f>
        <v>2336000</v>
      </c>
      <c r="U47" s="5">
        <f>U10*U46</f>
        <v>2336000</v>
      </c>
      <c r="V47" s="5">
        <f>V10*V46</f>
        <v>2336000</v>
      </c>
      <c r="W47" s="5">
        <f>W10*W46</f>
        <v>2336000</v>
      </c>
      <c r="X47" s="5">
        <f>X10*X46</f>
        <v>2336000</v>
      </c>
      <c r="Y47" s="5">
        <f>Y10*Y46</f>
        <v>2336000</v>
      </c>
      <c r="Z47" s="4">
        <f>SUM(E47:Y47)</f>
        <v>50382400</v>
      </c>
      <c r="AA47" s="4">
        <f>E47+NPV($AA$2,F47:Y47)</f>
        <v>21804343.187812746</v>
      </c>
      <c r="AB47" s="19" t="e">
        <f>AA47/$AA$140</f>
        <v>#REF!</v>
      </c>
      <c r="AC47" s="18" t="s">
        <v>90</v>
      </c>
    </row>
    <row r="48" spans="1:29" x14ac:dyDescent="0.3">
      <c r="A48" s="1" t="s">
        <v>17</v>
      </c>
      <c r="B48" s="6" t="s">
        <v>112</v>
      </c>
      <c r="C48" s="1" t="s">
        <v>113</v>
      </c>
      <c r="D48" s="1" t="s">
        <v>7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4">
        <f>SUM(E48:Y48)</f>
        <v>0</v>
      </c>
      <c r="AA48" s="4">
        <f>E48+NPV($AA$2,F48:Y48)</f>
        <v>0</v>
      </c>
      <c r="AB48" s="19" t="e">
        <f>AA48/$AA$141</f>
        <v>#REF!</v>
      </c>
      <c r="AC48" s="18" t="s">
        <v>90</v>
      </c>
    </row>
    <row r="50" spans="1:29" x14ac:dyDescent="0.3">
      <c r="A50" s="12" t="s">
        <v>67</v>
      </c>
      <c r="B50" s="12"/>
      <c r="C50" s="12"/>
    </row>
    <row r="51" spans="1:29" x14ac:dyDescent="0.3">
      <c r="A51" s="1" t="s">
        <v>66</v>
      </c>
      <c r="D51" s="1" t="s">
        <v>7</v>
      </c>
      <c r="E51" s="3">
        <f>E26</f>
        <v>4200000000</v>
      </c>
      <c r="F51" s="3">
        <f>F26</f>
        <v>303500000.00000006</v>
      </c>
      <c r="G51" s="3">
        <f>G26</f>
        <v>592700000</v>
      </c>
      <c r="H51" s="3">
        <f>H26</f>
        <v>597500000</v>
      </c>
      <c r="I51" s="3">
        <f>I26</f>
        <v>597500000</v>
      </c>
      <c r="J51" s="3">
        <f>J26</f>
        <v>597500000</v>
      </c>
      <c r="K51" s="3">
        <f>K26</f>
        <v>597500000</v>
      </c>
      <c r="L51" s="3">
        <f>L26</f>
        <v>597500000</v>
      </c>
      <c r="M51" s="3">
        <f>M26</f>
        <v>597500000</v>
      </c>
      <c r="N51" s="3">
        <f>N26</f>
        <v>597500000</v>
      </c>
      <c r="O51" s="3">
        <f>O26</f>
        <v>488000000</v>
      </c>
      <c r="P51" s="3">
        <f>P26</f>
        <v>488000000</v>
      </c>
      <c r="Q51" s="3">
        <f>Q26</f>
        <v>488000000</v>
      </c>
      <c r="R51" s="3">
        <f>R26</f>
        <v>488000000</v>
      </c>
      <c r="S51" s="3">
        <f>S26</f>
        <v>488000000</v>
      </c>
      <c r="T51" s="3">
        <f>T26</f>
        <v>488000000</v>
      </c>
      <c r="U51" s="3">
        <f>U26</f>
        <v>488000000</v>
      </c>
      <c r="V51" s="3">
        <f>V26</f>
        <v>488000000</v>
      </c>
      <c r="W51" s="3">
        <f>W26</f>
        <v>488000000</v>
      </c>
      <c r="X51" s="3">
        <f>X26</f>
        <v>488000000</v>
      </c>
      <c r="Y51" s="3">
        <f>Y26</f>
        <v>488000000</v>
      </c>
      <c r="Z51" s="4">
        <f>SUM(E51:Y51)</f>
        <v>14646700000</v>
      </c>
      <c r="AA51" s="4">
        <f>E51+NPV($AA$2,F51:Y51)</f>
        <v>8713992533.702816</v>
      </c>
    </row>
    <row r="53" spans="1:29" x14ac:dyDescent="0.3">
      <c r="A53" s="12" t="s">
        <v>68</v>
      </c>
      <c r="B53" s="12"/>
      <c r="C53" s="12"/>
    </row>
    <row r="54" spans="1:29" x14ac:dyDescent="0.3">
      <c r="A54" s="1" t="s">
        <v>16</v>
      </c>
      <c r="B54" s="6" t="s">
        <v>106</v>
      </c>
      <c r="D54" s="1" t="s">
        <v>9</v>
      </c>
      <c r="E54" s="9">
        <v>0.65</v>
      </c>
      <c r="F54" s="9">
        <v>0.65</v>
      </c>
      <c r="G54" s="9">
        <v>0.65</v>
      </c>
      <c r="H54" s="9">
        <v>0.65</v>
      </c>
      <c r="I54" s="9">
        <v>0.65</v>
      </c>
      <c r="J54" s="9">
        <v>0.65</v>
      </c>
      <c r="K54" s="9">
        <v>0.65</v>
      </c>
      <c r="L54" s="9">
        <v>0.65</v>
      </c>
      <c r="M54" s="9">
        <v>0.65</v>
      </c>
      <c r="N54" s="9">
        <v>0.65</v>
      </c>
      <c r="O54" s="9">
        <v>0.65</v>
      </c>
      <c r="P54" s="9">
        <v>0.65</v>
      </c>
      <c r="Q54" s="9">
        <v>0.65</v>
      </c>
      <c r="R54" s="9">
        <v>0.65</v>
      </c>
      <c r="S54" s="9">
        <v>0.65</v>
      </c>
      <c r="T54" s="9">
        <v>0.65</v>
      </c>
      <c r="U54" s="9">
        <v>0.65</v>
      </c>
      <c r="V54" s="9">
        <v>0.65</v>
      </c>
      <c r="W54" s="9">
        <v>0.65</v>
      </c>
      <c r="X54" s="9">
        <v>0.65</v>
      </c>
      <c r="Y54" s="9">
        <v>0.65</v>
      </c>
    </row>
    <row r="55" spans="1:29" x14ac:dyDescent="0.3">
      <c r="A55" s="1" t="s">
        <v>18</v>
      </c>
      <c r="D55" s="1" t="s">
        <v>7</v>
      </c>
      <c r="E55" s="5" t="e">
        <f>#REF!*E54</f>
        <v>#REF!</v>
      </c>
      <c r="F55" s="5" t="e">
        <f>#REF!*F54</f>
        <v>#REF!</v>
      </c>
      <c r="G55" s="5" t="e">
        <f>#REF!*G54</f>
        <v>#REF!</v>
      </c>
      <c r="H55" s="5" t="e">
        <f>#REF!*H54</f>
        <v>#REF!</v>
      </c>
      <c r="I55" s="5" t="e">
        <f>#REF!*I54</f>
        <v>#REF!</v>
      </c>
      <c r="J55" s="5" t="e">
        <f>#REF!*J54</f>
        <v>#REF!</v>
      </c>
      <c r="K55" s="5" t="e">
        <f>#REF!*K54</f>
        <v>#REF!</v>
      </c>
      <c r="L55" s="5" t="e">
        <f>#REF!*L54</f>
        <v>#REF!</v>
      </c>
      <c r="M55" s="5" t="e">
        <f>#REF!*M54</f>
        <v>#REF!</v>
      </c>
      <c r="N55" s="5" t="e">
        <f>#REF!*N54</f>
        <v>#REF!</v>
      </c>
      <c r="O55" s="5" t="e">
        <f>#REF!*O54</f>
        <v>#REF!</v>
      </c>
      <c r="P55" s="5" t="e">
        <f>#REF!*P54</f>
        <v>#REF!</v>
      </c>
      <c r="Q55" s="5" t="e">
        <f>#REF!*Q54</f>
        <v>#REF!</v>
      </c>
      <c r="R55" s="5" t="e">
        <f>#REF!*R54</f>
        <v>#REF!</v>
      </c>
      <c r="S55" s="5" t="e">
        <f>#REF!*S54</f>
        <v>#REF!</v>
      </c>
      <c r="T55" s="5" t="e">
        <f>#REF!*T54</f>
        <v>#REF!</v>
      </c>
      <c r="U55" s="5" t="e">
        <f>#REF!*U54</f>
        <v>#REF!</v>
      </c>
      <c r="V55" s="5" t="e">
        <f>#REF!*V54</f>
        <v>#REF!</v>
      </c>
      <c r="W55" s="5" t="e">
        <f>#REF!*W54</f>
        <v>#REF!</v>
      </c>
      <c r="X55" s="5" t="e">
        <f>#REF!*X54</f>
        <v>#REF!</v>
      </c>
      <c r="Y55" s="5" t="e">
        <f>#REF!*Y54</f>
        <v>#REF!</v>
      </c>
      <c r="Z55" s="4" t="e">
        <f>SUM(E55:Y55)</f>
        <v>#REF!</v>
      </c>
      <c r="AA55" s="4" t="e">
        <f t="shared" ref="AA55" si="2">E55+NPV($AA$2,F55:Y55)</f>
        <v>#REF!</v>
      </c>
    </row>
    <row r="56" spans="1:29" x14ac:dyDescent="0.3">
      <c r="A56" s="1" t="s">
        <v>16</v>
      </c>
      <c r="B56" s="6" t="s">
        <v>63</v>
      </c>
      <c r="D56" s="1" t="s">
        <v>9</v>
      </c>
      <c r="E56" s="9">
        <v>0.65</v>
      </c>
      <c r="F56" s="9">
        <v>0.65</v>
      </c>
      <c r="G56" s="9">
        <v>0.65</v>
      </c>
      <c r="H56" s="9">
        <v>0.65</v>
      </c>
      <c r="I56" s="9">
        <v>0.65</v>
      </c>
      <c r="J56" s="9">
        <v>0.65</v>
      </c>
      <c r="K56" s="9">
        <v>0.65</v>
      </c>
      <c r="L56" s="9">
        <v>0.65</v>
      </c>
      <c r="M56" s="9">
        <v>0.65</v>
      </c>
      <c r="N56" s="9">
        <v>0.65</v>
      </c>
      <c r="O56" s="9">
        <v>0.65</v>
      </c>
      <c r="P56" s="9">
        <v>0.65</v>
      </c>
      <c r="Q56" s="9">
        <v>0.65</v>
      </c>
      <c r="R56" s="9">
        <v>0.65</v>
      </c>
      <c r="S56" s="9">
        <v>0.65</v>
      </c>
      <c r="T56" s="9">
        <v>0.65</v>
      </c>
      <c r="U56" s="9">
        <v>0.65</v>
      </c>
      <c r="V56" s="9">
        <v>0.65</v>
      </c>
      <c r="W56" s="9">
        <v>0.65</v>
      </c>
      <c r="X56" s="9">
        <v>0.65</v>
      </c>
      <c r="Y56" s="9">
        <v>0.65</v>
      </c>
    </row>
    <row r="57" spans="1:29" x14ac:dyDescent="0.3">
      <c r="A57" s="1" t="s">
        <v>18</v>
      </c>
      <c r="D57" s="1" t="s">
        <v>7</v>
      </c>
      <c r="E57" s="5" t="e">
        <f>#REF!*E56</f>
        <v>#REF!</v>
      </c>
      <c r="F57" s="5" t="e">
        <f>#REF!*F56</f>
        <v>#REF!</v>
      </c>
      <c r="G57" s="5" t="e">
        <f>#REF!*G56</f>
        <v>#REF!</v>
      </c>
      <c r="H57" s="5" t="e">
        <f>#REF!*H56</f>
        <v>#REF!</v>
      </c>
      <c r="I57" s="5" t="e">
        <f>#REF!*I56</f>
        <v>#REF!</v>
      </c>
      <c r="J57" s="5" t="e">
        <f>#REF!*J56</f>
        <v>#REF!</v>
      </c>
      <c r="K57" s="5" t="e">
        <f>#REF!*K56</f>
        <v>#REF!</v>
      </c>
      <c r="L57" s="5" t="e">
        <f>#REF!*L56</f>
        <v>#REF!</v>
      </c>
      <c r="M57" s="5" t="e">
        <f>#REF!*M56</f>
        <v>#REF!</v>
      </c>
      <c r="N57" s="5" t="e">
        <f>#REF!*N56</f>
        <v>#REF!</v>
      </c>
      <c r="O57" s="5" t="e">
        <f>#REF!*O56</f>
        <v>#REF!</v>
      </c>
      <c r="P57" s="5" t="e">
        <f>#REF!*P56</f>
        <v>#REF!</v>
      </c>
      <c r="Q57" s="5" t="e">
        <f>#REF!*Q56</f>
        <v>#REF!</v>
      </c>
      <c r="R57" s="5" t="e">
        <f>#REF!*R56</f>
        <v>#REF!</v>
      </c>
      <c r="S57" s="5" t="e">
        <f>#REF!*S56</f>
        <v>#REF!</v>
      </c>
      <c r="T57" s="5" t="e">
        <f>#REF!*T56</f>
        <v>#REF!</v>
      </c>
      <c r="U57" s="5" t="e">
        <f>#REF!*U56</f>
        <v>#REF!</v>
      </c>
      <c r="V57" s="5" t="e">
        <f>#REF!*V56</f>
        <v>#REF!</v>
      </c>
      <c r="W57" s="5" t="e">
        <f>#REF!*W56</f>
        <v>#REF!</v>
      </c>
      <c r="X57" s="5" t="e">
        <f>#REF!*X56</f>
        <v>#REF!</v>
      </c>
      <c r="Y57" s="5" t="e">
        <f>#REF!*Y56</f>
        <v>#REF!</v>
      </c>
      <c r="Z57" s="4" t="e">
        <f>SUM(E57:Y57)</f>
        <v>#REF!</v>
      </c>
      <c r="AA57" s="4" t="e">
        <f t="shared" ref="AA57" si="3">E57+NPV($AA$2,F57:Y57)</f>
        <v>#REF!</v>
      </c>
    </row>
    <row r="58" spans="1:29" x14ac:dyDescent="0.3">
      <c r="A58" s="1" t="s">
        <v>16</v>
      </c>
      <c r="B58" s="6" t="s">
        <v>95</v>
      </c>
      <c r="D58" s="1" t="s">
        <v>9</v>
      </c>
      <c r="E58" s="9">
        <v>0.75</v>
      </c>
      <c r="F58" s="9">
        <v>0.75</v>
      </c>
      <c r="G58" s="9">
        <v>0.75</v>
      </c>
      <c r="H58" s="9">
        <v>0.75</v>
      </c>
      <c r="I58" s="9">
        <v>0.75</v>
      </c>
      <c r="J58" s="9">
        <v>0.75</v>
      </c>
      <c r="K58" s="9">
        <v>0.75</v>
      </c>
      <c r="L58" s="9">
        <v>0.75</v>
      </c>
      <c r="M58" s="9">
        <v>0.75</v>
      </c>
      <c r="N58" s="9">
        <v>0.75</v>
      </c>
      <c r="O58" s="9">
        <v>0.75</v>
      </c>
      <c r="P58" s="9">
        <v>0.75</v>
      </c>
      <c r="Q58" s="9">
        <v>0.75</v>
      </c>
      <c r="R58" s="9">
        <v>0.75</v>
      </c>
      <c r="S58" s="9">
        <v>0.75</v>
      </c>
      <c r="T58" s="9">
        <v>0.75</v>
      </c>
      <c r="U58" s="9">
        <v>0.75</v>
      </c>
      <c r="V58" s="9">
        <v>0.75</v>
      </c>
      <c r="W58" s="9">
        <v>0.75</v>
      </c>
      <c r="X58" s="9">
        <v>0.75</v>
      </c>
      <c r="Y58" s="9">
        <v>0.75</v>
      </c>
    </row>
    <row r="59" spans="1:29" x14ac:dyDescent="0.3">
      <c r="A59" s="1" t="s">
        <v>18</v>
      </c>
      <c r="D59" s="1" t="s">
        <v>7</v>
      </c>
      <c r="E59" s="5" t="e">
        <f>#REF!*E58</f>
        <v>#REF!</v>
      </c>
      <c r="F59" s="5" t="e">
        <f>#REF!*F58</f>
        <v>#REF!</v>
      </c>
      <c r="G59" s="5" t="e">
        <f>#REF!*G58</f>
        <v>#REF!</v>
      </c>
      <c r="H59" s="5" t="e">
        <f>#REF!*H58</f>
        <v>#REF!</v>
      </c>
      <c r="I59" s="5" t="e">
        <f>#REF!*I58</f>
        <v>#REF!</v>
      </c>
      <c r="J59" s="5" t="e">
        <f>#REF!*J58</f>
        <v>#REF!</v>
      </c>
      <c r="K59" s="5" t="e">
        <f>#REF!*K58</f>
        <v>#REF!</v>
      </c>
      <c r="L59" s="5" t="e">
        <f>#REF!*L58</f>
        <v>#REF!</v>
      </c>
      <c r="M59" s="5" t="e">
        <f>#REF!*M58</f>
        <v>#REF!</v>
      </c>
      <c r="N59" s="5" t="e">
        <f>#REF!*N58</f>
        <v>#REF!</v>
      </c>
      <c r="O59" s="5" t="e">
        <f>#REF!*O58</f>
        <v>#REF!</v>
      </c>
      <c r="P59" s="5" t="e">
        <f>#REF!*P58</f>
        <v>#REF!</v>
      </c>
      <c r="Q59" s="5" t="e">
        <f>#REF!*Q58</f>
        <v>#REF!</v>
      </c>
      <c r="R59" s="5" t="e">
        <f>#REF!*R58</f>
        <v>#REF!</v>
      </c>
      <c r="S59" s="5" t="e">
        <f>#REF!*S58</f>
        <v>#REF!</v>
      </c>
      <c r="T59" s="5" t="e">
        <f>#REF!*T58</f>
        <v>#REF!</v>
      </c>
      <c r="U59" s="5" t="e">
        <f>#REF!*U58</f>
        <v>#REF!</v>
      </c>
      <c r="V59" s="5" t="e">
        <f>#REF!*V58</f>
        <v>#REF!</v>
      </c>
      <c r="W59" s="5" t="e">
        <f>#REF!*W58</f>
        <v>#REF!</v>
      </c>
      <c r="X59" s="5" t="e">
        <f>#REF!*X58</f>
        <v>#REF!</v>
      </c>
      <c r="Y59" s="5" t="e">
        <f>#REF!*Y58</f>
        <v>#REF!</v>
      </c>
      <c r="Z59" s="4" t="e">
        <f>SUM(E59:Y59)</f>
        <v>#REF!</v>
      </c>
      <c r="AA59" s="4" t="e">
        <f t="shared" ref="AA59" si="4">E59+NPV($AA$2,F59:Y59)</f>
        <v>#REF!</v>
      </c>
    </row>
    <row r="61" spans="1:29" x14ac:dyDescent="0.3">
      <c r="A61" s="12" t="s">
        <v>69</v>
      </c>
      <c r="B61" s="12"/>
      <c r="C61" s="12"/>
    </row>
    <row r="62" spans="1:29" x14ac:dyDescent="0.3">
      <c r="C62" s="6"/>
    </row>
    <row r="63" spans="1:29" x14ac:dyDescent="0.3">
      <c r="A63" s="1" t="s">
        <v>28</v>
      </c>
      <c r="B63" s="6" t="s">
        <v>106</v>
      </c>
      <c r="D63" s="1" t="s">
        <v>7</v>
      </c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6"/>
      <c r="AC63" s="36"/>
    </row>
    <row r="64" spans="1:29" x14ac:dyDescent="0.3">
      <c r="A64" s="1" t="s">
        <v>70</v>
      </c>
      <c r="E64" s="35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6"/>
      <c r="AA64" s="36"/>
      <c r="AB64" s="36"/>
      <c r="AC64" s="36"/>
    </row>
    <row r="65" spans="1:29" x14ac:dyDescent="0.3">
      <c r="A65" s="14" t="s">
        <v>72</v>
      </c>
      <c r="B65" s="32"/>
      <c r="C65" s="14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</row>
    <row r="66" spans="1:29" x14ac:dyDescent="0.3">
      <c r="A66" s="14" t="s">
        <v>71</v>
      </c>
      <c r="B66" s="32"/>
      <c r="C66" s="14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</row>
    <row r="67" spans="1:29" x14ac:dyDescent="0.3">
      <c r="A67" s="1" t="s">
        <v>16</v>
      </c>
      <c r="B67" s="6" t="s">
        <v>106</v>
      </c>
      <c r="D67" s="1" t="s">
        <v>9</v>
      </c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6"/>
      <c r="AA67" s="36"/>
      <c r="AB67" s="36"/>
      <c r="AC67" s="36"/>
    </row>
    <row r="68" spans="1:29" s="21" customFormat="1" x14ac:dyDescent="0.3">
      <c r="A68" s="21" t="s">
        <v>20</v>
      </c>
      <c r="B68" s="20" t="s">
        <v>106</v>
      </c>
      <c r="D68" s="21" t="s">
        <v>7</v>
      </c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2"/>
      <c r="AC68" s="43"/>
    </row>
    <row r="69" spans="1:29" x14ac:dyDescent="0.3"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4"/>
      <c r="AA69" s="4"/>
      <c r="AB69" s="19"/>
      <c r="AC69" s="18"/>
    </row>
    <row r="70" spans="1:29" x14ac:dyDescent="0.3">
      <c r="A70" s="1" t="s">
        <v>28</v>
      </c>
      <c r="B70" s="6" t="s">
        <v>63</v>
      </c>
      <c r="D70" s="1" t="s">
        <v>7</v>
      </c>
      <c r="E70" s="3" t="e">
        <f>#REF!-E51-E47</f>
        <v>#REF!</v>
      </c>
      <c r="F70" s="3" t="e">
        <f>#REF!-F51-F47</f>
        <v>#REF!</v>
      </c>
      <c r="G70" s="3" t="e">
        <f>#REF!-G51-G47</f>
        <v>#REF!</v>
      </c>
      <c r="H70" s="3" t="e">
        <f>#REF!-H51-H47</f>
        <v>#REF!</v>
      </c>
      <c r="I70" s="3" t="e">
        <f>#REF!-I51-I47</f>
        <v>#REF!</v>
      </c>
      <c r="J70" s="3" t="e">
        <f>#REF!-J51-J47</f>
        <v>#REF!</v>
      </c>
      <c r="K70" s="3" t="e">
        <f>#REF!-K51-K47</f>
        <v>#REF!</v>
      </c>
      <c r="L70" s="3" t="e">
        <f>#REF!-L51-L47</f>
        <v>#REF!</v>
      </c>
      <c r="M70" s="3" t="e">
        <f>#REF!-M51-M47</f>
        <v>#REF!</v>
      </c>
      <c r="N70" s="3" t="e">
        <f>#REF!-N51-N47</f>
        <v>#REF!</v>
      </c>
      <c r="O70" s="3" t="e">
        <f>#REF!-O51-O47</f>
        <v>#REF!</v>
      </c>
      <c r="P70" s="3" t="e">
        <f>#REF!-P51-P47</f>
        <v>#REF!</v>
      </c>
      <c r="Q70" s="3" t="e">
        <f>#REF!-Q51-Q47</f>
        <v>#REF!</v>
      </c>
      <c r="R70" s="3" t="e">
        <f>#REF!-R51-R47</f>
        <v>#REF!</v>
      </c>
      <c r="S70" s="3" t="e">
        <f>#REF!-S51-S47</f>
        <v>#REF!</v>
      </c>
      <c r="T70" s="3" t="e">
        <f>#REF!-T51-T47</f>
        <v>#REF!</v>
      </c>
      <c r="U70" s="3" t="e">
        <f>#REF!-U51-U47</f>
        <v>#REF!</v>
      </c>
      <c r="V70" s="3" t="e">
        <f>#REF!-V51-V47</f>
        <v>#REF!</v>
      </c>
      <c r="W70" s="3" t="e">
        <f>#REF!-W51-W47</f>
        <v>#REF!</v>
      </c>
      <c r="X70" s="3" t="e">
        <f>#REF!-X51-X47</f>
        <v>#REF!</v>
      </c>
      <c r="Y70" s="3" t="e">
        <f>#REF!-Y51-Y47</f>
        <v>#REF!</v>
      </c>
      <c r="Z70" s="4" t="e">
        <f>SUM(E70:Y70)</f>
        <v>#REF!</v>
      </c>
      <c r="AA70" s="4" t="e">
        <f>E70+NPV($AA$2,F70:Y70)</f>
        <v>#REF!</v>
      </c>
    </row>
    <row r="71" spans="1:29" x14ac:dyDescent="0.3">
      <c r="A71" s="1" t="s">
        <v>70</v>
      </c>
      <c r="E71" s="17">
        <v>0</v>
      </c>
      <c r="F71" s="16" t="e">
        <f>(SUM(#REF!)-SUM($E47:F47))/SUM($E15:F15)</f>
        <v>#REF!</v>
      </c>
      <c r="G71" s="16" t="e">
        <f>(SUM(#REF!)-SUM($E47:G47))/SUM($E15:G15)</f>
        <v>#REF!</v>
      </c>
      <c r="H71" s="16" t="e">
        <f>(SUM(#REF!)-SUM($E47:H47))/SUM($E15:H15)</f>
        <v>#REF!</v>
      </c>
      <c r="I71" s="16" t="e">
        <f>(SUM(#REF!)-SUM($E47:I47))/SUM($E15:I15)</f>
        <v>#REF!</v>
      </c>
      <c r="J71" s="16" t="e">
        <f>(SUM(#REF!)-SUM($E47:J47))/SUM($E15:J15)</f>
        <v>#REF!</v>
      </c>
      <c r="K71" s="16" t="e">
        <f>(SUM(#REF!)-SUM($E47:K47))/SUM($E15:K15)</f>
        <v>#REF!</v>
      </c>
      <c r="L71" s="16" t="e">
        <f>(SUM(#REF!)-SUM($E47:L47))/SUM($E15:L15)</f>
        <v>#REF!</v>
      </c>
      <c r="M71" s="16" t="e">
        <f>(SUM(#REF!)-SUM($E47:M47))/SUM($E15:M15)</f>
        <v>#REF!</v>
      </c>
      <c r="N71" s="16" t="e">
        <f>(SUM(#REF!)-SUM($E47:N47))/SUM($E15:N15)</f>
        <v>#REF!</v>
      </c>
      <c r="O71" s="16" t="e">
        <f>(SUM(#REF!)-SUM($E47:O47))/SUM($E15:O15)</f>
        <v>#REF!</v>
      </c>
      <c r="P71" s="16" t="e">
        <f>(SUM(#REF!)-SUM($E47:P47))/SUM($E15:P15)</f>
        <v>#REF!</v>
      </c>
      <c r="Q71" s="16" t="e">
        <f>(SUM(#REF!)-SUM($E47:Q47))/SUM($E15:Q15)</f>
        <v>#REF!</v>
      </c>
      <c r="R71" s="16" t="e">
        <f>(SUM(#REF!)-SUM($E47:R47))/SUM($E15:R15)</f>
        <v>#REF!</v>
      </c>
      <c r="S71" s="16" t="e">
        <f>(SUM(#REF!)-SUM($E47:S47))/SUM($E15:S15)</f>
        <v>#REF!</v>
      </c>
      <c r="T71" s="16" t="e">
        <f>(SUM(#REF!)-SUM($E47:T47))/SUM($E15:T15)</f>
        <v>#REF!</v>
      </c>
      <c r="U71" s="16" t="e">
        <f>(SUM(#REF!)-SUM($E47:U47))/SUM($E15:U15)</f>
        <v>#REF!</v>
      </c>
      <c r="V71" s="16" t="e">
        <f>(SUM(#REF!)-SUM($E47:V47))/SUM($E15:V15)</f>
        <v>#REF!</v>
      </c>
      <c r="W71" s="16" t="e">
        <f>(SUM(#REF!)-SUM($E47:W47))/SUM($E15:W15)</f>
        <v>#REF!</v>
      </c>
      <c r="X71" s="16" t="e">
        <f>(SUM(#REF!)-SUM($E47:X47))/SUM($E15:X15)</f>
        <v>#REF!</v>
      </c>
      <c r="Y71" s="16" t="e">
        <f>(SUM(#REF!)-SUM($E47:Y47))/SUM($E15:Y15)</f>
        <v>#REF!</v>
      </c>
    </row>
    <row r="72" spans="1:29" x14ac:dyDescent="0.3">
      <c r="A72" s="1" t="s">
        <v>16</v>
      </c>
      <c r="B72" s="6" t="s">
        <v>63</v>
      </c>
      <c r="D72" s="1" t="s">
        <v>9</v>
      </c>
      <c r="E72" s="9">
        <f t="shared" ref="E72:Y72" si="5">IF(E71&lt;1,40%,IF(E71&lt;2,45%,IF(E71&lt;3,55%,60%)))</f>
        <v>0.4</v>
      </c>
      <c r="F72" s="9" t="e">
        <f t="shared" si="5"/>
        <v>#REF!</v>
      </c>
      <c r="G72" s="9" t="e">
        <f t="shared" si="5"/>
        <v>#REF!</v>
      </c>
      <c r="H72" s="9" t="e">
        <f t="shared" si="5"/>
        <v>#REF!</v>
      </c>
      <c r="I72" s="9" t="e">
        <f t="shared" si="5"/>
        <v>#REF!</v>
      </c>
      <c r="J72" s="9" t="e">
        <f t="shared" si="5"/>
        <v>#REF!</v>
      </c>
      <c r="K72" s="9" t="e">
        <f t="shared" si="5"/>
        <v>#REF!</v>
      </c>
      <c r="L72" s="9" t="e">
        <f t="shared" si="5"/>
        <v>#REF!</v>
      </c>
      <c r="M72" s="9" t="e">
        <f t="shared" si="5"/>
        <v>#REF!</v>
      </c>
      <c r="N72" s="9" t="e">
        <f t="shared" si="5"/>
        <v>#REF!</v>
      </c>
      <c r="O72" s="9" t="e">
        <f t="shared" si="5"/>
        <v>#REF!</v>
      </c>
      <c r="P72" s="9" t="e">
        <f t="shared" si="5"/>
        <v>#REF!</v>
      </c>
      <c r="Q72" s="9" t="e">
        <f t="shared" si="5"/>
        <v>#REF!</v>
      </c>
      <c r="R72" s="9" t="e">
        <f t="shared" si="5"/>
        <v>#REF!</v>
      </c>
      <c r="S72" s="9" t="e">
        <f t="shared" si="5"/>
        <v>#REF!</v>
      </c>
      <c r="T72" s="9" t="e">
        <f t="shared" si="5"/>
        <v>#REF!</v>
      </c>
      <c r="U72" s="9" t="e">
        <f t="shared" si="5"/>
        <v>#REF!</v>
      </c>
      <c r="V72" s="9" t="e">
        <f t="shared" si="5"/>
        <v>#REF!</v>
      </c>
      <c r="W72" s="9" t="e">
        <f t="shared" si="5"/>
        <v>#REF!</v>
      </c>
      <c r="X72" s="9" t="e">
        <f t="shared" si="5"/>
        <v>#REF!</v>
      </c>
      <c r="Y72" s="9" t="e">
        <f t="shared" si="5"/>
        <v>#REF!</v>
      </c>
    </row>
    <row r="73" spans="1:29" s="21" customFormat="1" x14ac:dyDescent="0.3">
      <c r="A73" s="21" t="s">
        <v>20</v>
      </c>
      <c r="B73" s="20" t="s">
        <v>63</v>
      </c>
      <c r="D73" s="21" t="s">
        <v>7</v>
      </c>
      <c r="E73" s="41" t="e">
        <f t="shared" ref="E73:Y73" si="6">IF(E70&lt;0,0,E70*E72)</f>
        <v>#REF!</v>
      </c>
      <c r="F73" s="41" t="e">
        <f t="shared" si="6"/>
        <v>#REF!</v>
      </c>
      <c r="G73" s="41" t="e">
        <f t="shared" si="6"/>
        <v>#REF!</v>
      </c>
      <c r="H73" s="41" t="e">
        <f t="shared" si="6"/>
        <v>#REF!</v>
      </c>
      <c r="I73" s="41" t="e">
        <f t="shared" si="6"/>
        <v>#REF!</v>
      </c>
      <c r="J73" s="41" t="e">
        <f t="shared" si="6"/>
        <v>#REF!</v>
      </c>
      <c r="K73" s="41" t="e">
        <f t="shared" si="6"/>
        <v>#REF!</v>
      </c>
      <c r="L73" s="41" t="e">
        <f t="shared" si="6"/>
        <v>#REF!</v>
      </c>
      <c r="M73" s="41" t="e">
        <f t="shared" si="6"/>
        <v>#REF!</v>
      </c>
      <c r="N73" s="41" t="e">
        <f t="shared" si="6"/>
        <v>#REF!</v>
      </c>
      <c r="O73" s="41" t="e">
        <f t="shared" si="6"/>
        <v>#REF!</v>
      </c>
      <c r="P73" s="41" t="e">
        <f t="shared" si="6"/>
        <v>#REF!</v>
      </c>
      <c r="Q73" s="41" t="e">
        <f t="shared" si="6"/>
        <v>#REF!</v>
      </c>
      <c r="R73" s="41" t="e">
        <f t="shared" si="6"/>
        <v>#REF!</v>
      </c>
      <c r="S73" s="41" t="e">
        <f t="shared" si="6"/>
        <v>#REF!</v>
      </c>
      <c r="T73" s="41" t="e">
        <f t="shared" si="6"/>
        <v>#REF!</v>
      </c>
      <c r="U73" s="41" t="e">
        <f t="shared" si="6"/>
        <v>#REF!</v>
      </c>
      <c r="V73" s="41" t="e">
        <f t="shared" si="6"/>
        <v>#REF!</v>
      </c>
      <c r="W73" s="41" t="e">
        <f t="shared" si="6"/>
        <v>#REF!</v>
      </c>
      <c r="X73" s="41" t="e">
        <f t="shared" si="6"/>
        <v>#REF!</v>
      </c>
      <c r="Y73" s="41" t="e">
        <f t="shared" si="6"/>
        <v>#REF!</v>
      </c>
      <c r="Z73" s="41" t="e">
        <f>SUM(E73:Y73)</f>
        <v>#REF!</v>
      </c>
      <c r="AA73" s="41" t="e">
        <f>E73+NPV($AA$2,F73:Y73)</f>
        <v>#REF!</v>
      </c>
      <c r="AB73" s="42" t="e">
        <f>AA73/$AA$140</f>
        <v>#REF!</v>
      </c>
      <c r="AC73" s="43" t="s">
        <v>91</v>
      </c>
    </row>
    <row r="74" spans="1:29" x14ac:dyDescent="0.3">
      <c r="A74" s="6"/>
      <c r="C74" s="6"/>
    </row>
    <row r="75" spans="1:29" x14ac:dyDescent="0.3">
      <c r="A75" s="1" t="s">
        <v>28</v>
      </c>
      <c r="B75" s="6" t="s">
        <v>95</v>
      </c>
      <c r="D75" s="1" t="s">
        <v>7</v>
      </c>
      <c r="E75" s="3" t="e">
        <f>#REF!-E51-E48</f>
        <v>#REF!</v>
      </c>
      <c r="F75" s="3" t="e">
        <f>#REF!-F51-F48</f>
        <v>#REF!</v>
      </c>
      <c r="G75" s="3" t="e">
        <f>#REF!-G51-G48</f>
        <v>#REF!</v>
      </c>
      <c r="H75" s="3" t="e">
        <f>#REF!-H51-H48</f>
        <v>#REF!</v>
      </c>
      <c r="I75" s="3" t="e">
        <f>#REF!-I51-I48</f>
        <v>#REF!</v>
      </c>
      <c r="J75" s="3" t="e">
        <f>#REF!-J51-J48</f>
        <v>#REF!</v>
      </c>
      <c r="K75" s="3" t="e">
        <f>#REF!-K51-K48</f>
        <v>#REF!</v>
      </c>
      <c r="L75" s="3" t="e">
        <f>#REF!-L51-L48</f>
        <v>#REF!</v>
      </c>
      <c r="M75" s="3" t="e">
        <f>#REF!-M51-M48</f>
        <v>#REF!</v>
      </c>
      <c r="N75" s="3" t="e">
        <f>#REF!-N51-N48</f>
        <v>#REF!</v>
      </c>
      <c r="O75" s="3" t="e">
        <f>#REF!-O51-O48</f>
        <v>#REF!</v>
      </c>
      <c r="P75" s="3" t="e">
        <f>#REF!-P51-P48</f>
        <v>#REF!</v>
      </c>
      <c r="Q75" s="3" t="e">
        <f>#REF!-Q51-Q48</f>
        <v>#REF!</v>
      </c>
      <c r="R75" s="3" t="e">
        <f>#REF!-R51-R48</f>
        <v>#REF!</v>
      </c>
      <c r="S75" s="3" t="e">
        <f>#REF!-S51-S48</f>
        <v>#REF!</v>
      </c>
      <c r="T75" s="3" t="e">
        <f>#REF!-T51-T48</f>
        <v>#REF!</v>
      </c>
      <c r="U75" s="3" t="e">
        <f>#REF!-U51-U48</f>
        <v>#REF!</v>
      </c>
      <c r="V75" s="3" t="e">
        <f>#REF!-V51-V48</f>
        <v>#REF!</v>
      </c>
      <c r="W75" s="3" t="e">
        <f>#REF!-W51-W48</f>
        <v>#REF!</v>
      </c>
      <c r="X75" s="3" t="e">
        <f>#REF!-X51-X48</f>
        <v>#REF!</v>
      </c>
      <c r="Y75" s="3" t="e">
        <f>#REF!-Y51-Y48</f>
        <v>#REF!</v>
      </c>
      <c r="Z75" s="4" t="e">
        <f>SUM(E75:Y75)</f>
        <v>#REF!</v>
      </c>
      <c r="AA75" s="4" t="e">
        <f>E75+NPV($AA$2,F75:Y75)</f>
        <v>#REF!</v>
      </c>
    </row>
    <row r="76" spans="1:29" x14ac:dyDescent="0.3">
      <c r="A76" s="1" t="s">
        <v>16</v>
      </c>
      <c r="B76" s="6" t="s">
        <v>95</v>
      </c>
      <c r="D76" s="1" t="s">
        <v>9</v>
      </c>
      <c r="E76" s="9">
        <f>IF(E9&lt;=50000,15%,IF(E9&lt;=100000,20%,IF(E9&lt;=150000,25%,IF(E9&lt;=200000,30%,40%))))</f>
        <v>0.15</v>
      </c>
      <c r="F76" s="9">
        <f>IF(F9&lt;=50000,15%,IF(F9&lt;=100000,20%,IF(F9&lt;=150000,25%,IF(F9&lt;=200000,30%,40%))))</f>
        <v>0.2</v>
      </c>
      <c r="G76" s="9">
        <f>IF(G9&lt;=50000,15%,IF(G9&lt;=100000,20%,IF(G9&lt;=150000,25%,IF(G9&lt;=200000,30%,40%))))</f>
        <v>0.2</v>
      </c>
      <c r="H76" s="9">
        <f>IF(H9&lt;=50000,15%,IF(H9&lt;=100000,20%,IF(H9&lt;=150000,25%,IF(H9&lt;=200000,30%,40%))))</f>
        <v>0.2</v>
      </c>
      <c r="I76" s="9">
        <f>IF(I9&lt;=50000,15%,IF(I9&lt;=100000,20%,IF(I9&lt;=150000,25%,IF(I9&lt;=200000,30%,40%))))</f>
        <v>0.2</v>
      </c>
      <c r="J76" s="9">
        <f>IF(J9&lt;=50000,15%,IF(J9&lt;=100000,20%,IF(J9&lt;=150000,25%,IF(J9&lt;=200000,30%,40%))))</f>
        <v>0.2</v>
      </c>
      <c r="K76" s="9">
        <f>IF(K9&lt;=50000,15%,IF(K9&lt;=100000,20%,IF(K9&lt;=150000,25%,IF(K9&lt;=200000,30%,40%))))</f>
        <v>0.2</v>
      </c>
      <c r="L76" s="9">
        <f>IF(L9&lt;=50000,15%,IF(L9&lt;=100000,20%,IF(L9&lt;=150000,25%,IF(L9&lt;=200000,30%,40%))))</f>
        <v>0.2</v>
      </c>
      <c r="M76" s="9">
        <f>IF(M9&lt;=50000,15%,IF(M9&lt;=100000,20%,IF(M9&lt;=150000,25%,IF(M9&lt;=200000,30%,40%))))</f>
        <v>0.2</v>
      </c>
      <c r="N76" s="9">
        <f>IF(N9&lt;=50000,15%,IF(N9&lt;=100000,20%,IF(N9&lt;=150000,25%,IF(N9&lt;=200000,30%,40%))))</f>
        <v>0.2</v>
      </c>
      <c r="O76" s="9">
        <f>IF(O9&lt;=50000,15%,IF(O9&lt;=100000,20%,IF(O9&lt;=150000,25%,IF(O9&lt;=200000,30%,40%))))</f>
        <v>0.2</v>
      </c>
      <c r="P76" s="9">
        <f>IF(P9&lt;=50000,15%,IF(P9&lt;=100000,20%,IF(P9&lt;=150000,25%,IF(P9&lt;=200000,30%,40%))))</f>
        <v>0.2</v>
      </c>
      <c r="Q76" s="9">
        <f>IF(Q9&lt;=50000,15%,IF(Q9&lt;=100000,20%,IF(Q9&lt;=150000,25%,IF(Q9&lt;=200000,30%,40%))))</f>
        <v>0.2</v>
      </c>
      <c r="R76" s="9">
        <f>IF(R9&lt;=50000,15%,IF(R9&lt;=100000,20%,IF(R9&lt;=150000,25%,IF(R9&lt;=200000,30%,40%))))</f>
        <v>0.2</v>
      </c>
      <c r="S76" s="9">
        <f>IF(S9&lt;=50000,15%,IF(S9&lt;=100000,20%,IF(S9&lt;=150000,25%,IF(S9&lt;=200000,30%,40%))))</f>
        <v>0.2</v>
      </c>
      <c r="T76" s="9">
        <f>IF(T9&lt;=50000,15%,IF(T9&lt;=100000,20%,IF(T9&lt;=150000,25%,IF(T9&lt;=200000,30%,40%))))</f>
        <v>0.2</v>
      </c>
      <c r="U76" s="9">
        <f>IF(U9&lt;=50000,15%,IF(U9&lt;=100000,20%,IF(U9&lt;=150000,25%,IF(U9&lt;=200000,30%,40%))))</f>
        <v>0.2</v>
      </c>
      <c r="V76" s="9">
        <f>IF(V9&lt;=50000,15%,IF(V9&lt;=100000,20%,IF(V9&lt;=150000,25%,IF(V9&lt;=200000,30%,40%))))</f>
        <v>0.2</v>
      </c>
      <c r="W76" s="9">
        <f>IF(W9&lt;=50000,15%,IF(W9&lt;=100000,20%,IF(W9&lt;=150000,25%,IF(W9&lt;=200000,30%,40%))))</f>
        <v>0.2</v>
      </c>
      <c r="X76" s="9">
        <f>IF(X9&lt;=50000,15%,IF(X9&lt;=100000,20%,IF(X9&lt;=150000,25%,IF(X9&lt;=200000,30%,40%))))</f>
        <v>0.2</v>
      </c>
      <c r="Y76" s="9">
        <f>IF(Y9&lt;=50000,15%,IF(Y9&lt;=100000,20%,IF(Y9&lt;=150000,25%,IF(Y9&lt;=200000,30%,40%))))</f>
        <v>0.2</v>
      </c>
    </row>
    <row r="77" spans="1:29" x14ac:dyDescent="0.3">
      <c r="A77" s="1" t="s">
        <v>20</v>
      </c>
      <c r="B77" s="6" t="s">
        <v>95</v>
      </c>
      <c r="D77" s="1" t="s">
        <v>7</v>
      </c>
      <c r="E77" s="5" t="e">
        <f t="shared" ref="E77:Y77" si="7">IF(E75&lt;0,0,E75*E76)</f>
        <v>#REF!</v>
      </c>
      <c r="F77" s="5" t="e">
        <f>IF(F75&lt;0,0,F75*F76)</f>
        <v>#REF!</v>
      </c>
      <c r="G77" s="5" t="e">
        <f t="shared" si="7"/>
        <v>#REF!</v>
      </c>
      <c r="H77" s="5" t="e">
        <f t="shared" si="7"/>
        <v>#REF!</v>
      </c>
      <c r="I77" s="5" t="e">
        <f t="shared" si="7"/>
        <v>#REF!</v>
      </c>
      <c r="J77" s="5" t="e">
        <f t="shared" si="7"/>
        <v>#REF!</v>
      </c>
      <c r="K77" s="5" t="e">
        <f t="shared" si="7"/>
        <v>#REF!</v>
      </c>
      <c r="L77" s="5" t="e">
        <f t="shared" si="7"/>
        <v>#REF!</v>
      </c>
      <c r="M77" s="5" t="e">
        <f t="shared" si="7"/>
        <v>#REF!</v>
      </c>
      <c r="N77" s="5" t="e">
        <f t="shared" si="7"/>
        <v>#REF!</v>
      </c>
      <c r="O77" s="5" t="e">
        <f t="shared" si="7"/>
        <v>#REF!</v>
      </c>
      <c r="P77" s="5" t="e">
        <f t="shared" si="7"/>
        <v>#REF!</v>
      </c>
      <c r="Q77" s="5" t="e">
        <f t="shared" si="7"/>
        <v>#REF!</v>
      </c>
      <c r="R77" s="5" t="e">
        <f t="shared" si="7"/>
        <v>#REF!</v>
      </c>
      <c r="S77" s="5" t="e">
        <f t="shared" si="7"/>
        <v>#REF!</v>
      </c>
      <c r="T77" s="5" t="e">
        <f t="shared" si="7"/>
        <v>#REF!</v>
      </c>
      <c r="U77" s="5" t="e">
        <f t="shared" si="7"/>
        <v>#REF!</v>
      </c>
      <c r="V77" s="5" t="e">
        <f t="shared" si="7"/>
        <v>#REF!</v>
      </c>
      <c r="W77" s="5" t="e">
        <f t="shared" si="7"/>
        <v>#REF!</v>
      </c>
      <c r="X77" s="5" t="e">
        <f t="shared" si="7"/>
        <v>#REF!</v>
      </c>
      <c r="Y77" s="5" t="e">
        <f t="shared" si="7"/>
        <v>#REF!</v>
      </c>
      <c r="Z77" s="4" t="e">
        <f>SUM(E77:Y77)</f>
        <v>#REF!</v>
      </c>
      <c r="AA77" s="4" t="e">
        <f>E77+NPV($AA$2,F77:Y77)</f>
        <v>#REF!</v>
      </c>
      <c r="AB77" s="19" t="e">
        <f>AA77/$AA$141</f>
        <v>#REF!</v>
      </c>
      <c r="AC77" s="18" t="s">
        <v>91</v>
      </c>
    </row>
    <row r="79" spans="1:29" x14ac:dyDescent="0.3">
      <c r="A79" s="12" t="s">
        <v>73</v>
      </c>
      <c r="B79" s="12"/>
      <c r="C79" s="12"/>
    </row>
    <row r="80" spans="1:29" x14ac:dyDescent="0.3">
      <c r="A80" s="8" t="s">
        <v>109</v>
      </c>
      <c r="B80" s="6" t="s">
        <v>106</v>
      </c>
      <c r="D80" s="1" t="s">
        <v>7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4">
        <f>SUM(E80:Y80)</f>
        <v>0</v>
      </c>
      <c r="AA80" s="4">
        <f>E80+NPV($AA$2,F80:Y80)</f>
        <v>0</v>
      </c>
      <c r="AB80" s="19" t="e">
        <f>AA80/$AA$141</f>
        <v>#REF!</v>
      </c>
    </row>
    <row r="81" spans="1:29" x14ac:dyDescent="0.3">
      <c r="A81" s="8" t="s">
        <v>110</v>
      </c>
      <c r="B81" s="6" t="s">
        <v>95</v>
      </c>
      <c r="D81" s="1" t="s">
        <v>7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4">
        <f>SUM(E81:Y81)</f>
        <v>0</v>
      </c>
      <c r="AA81" s="4">
        <f>E81+NPV($AA$2,F81:Y81)</f>
        <v>0</v>
      </c>
      <c r="AB81" s="19" t="e">
        <f>AA81/$AA$141</f>
        <v>#REF!</v>
      </c>
      <c r="AC81" s="18" t="s">
        <v>92</v>
      </c>
    </row>
    <row r="82" spans="1:29" x14ac:dyDescent="0.3">
      <c r="A82" s="1" t="s">
        <v>74</v>
      </c>
      <c r="B82" s="6" t="s">
        <v>63</v>
      </c>
      <c r="D82" s="1" t="s">
        <v>7</v>
      </c>
      <c r="E82" s="3" t="e">
        <f>#REF!*60%</f>
        <v>#REF!</v>
      </c>
      <c r="F82" s="3" t="e">
        <f>#REF!*60%</f>
        <v>#REF!</v>
      </c>
      <c r="G82" s="3" t="e">
        <f>#REF!*60%</f>
        <v>#REF!</v>
      </c>
      <c r="H82" s="3" t="e">
        <f>#REF!*60%</f>
        <v>#REF!</v>
      </c>
      <c r="I82" s="3" t="e">
        <f>#REF!*60%</f>
        <v>#REF!</v>
      </c>
      <c r="J82" s="3" t="e">
        <f>#REF!*60%</f>
        <v>#REF!</v>
      </c>
      <c r="K82" s="3" t="e">
        <f>#REF!*60%</f>
        <v>#REF!</v>
      </c>
      <c r="L82" s="3" t="e">
        <f>#REF!*60%</f>
        <v>#REF!</v>
      </c>
      <c r="M82" s="3" t="e">
        <f>#REF!*60%</f>
        <v>#REF!</v>
      </c>
      <c r="N82" s="3" t="e">
        <f>#REF!*60%</f>
        <v>#REF!</v>
      </c>
      <c r="O82" s="3" t="e">
        <f>#REF!*60%</f>
        <v>#REF!</v>
      </c>
      <c r="P82" s="3" t="e">
        <f>#REF!*60%</f>
        <v>#REF!</v>
      </c>
      <c r="Q82" s="3" t="e">
        <f>#REF!*60%</f>
        <v>#REF!</v>
      </c>
      <c r="R82" s="3" t="e">
        <f>#REF!*60%</f>
        <v>#REF!</v>
      </c>
      <c r="S82" s="3" t="e">
        <f>#REF!*60%</f>
        <v>#REF!</v>
      </c>
      <c r="T82" s="3" t="e">
        <f>#REF!*60%</f>
        <v>#REF!</v>
      </c>
      <c r="U82" s="3" t="e">
        <f>#REF!*60%</f>
        <v>#REF!</v>
      </c>
      <c r="V82" s="3" t="e">
        <f>#REF!*60%</f>
        <v>#REF!</v>
      </c>
      <c r="W82" s="3" t="e">
        <f>#REF!*60%</f>
        <v>#REF!</v>
      </c>
      <c r="X82" s="3" t="e">
        <f>#REF!*60%</f>
        <v>#REF!</v>
      </c>
      <c r="Y82" s="3" t="e">
        <f>#REF!*60%</f>
        <v>#REF!</v>
      </c>
    </row>
    <row r="83" spans="1:29" x14ac:dyDescent="0.3">
      <c r="A83" s="1" t="s">
        <v>16</v>
      </c>
      <c r="B83" s="6" t="s">
        <v>63</v>
      </c>
      <c r="D83" s="1" t="s">
        <v>9</v>
      </c>
      <c r="E83" s="9">
        <v>0.01</v>
      </c>
      <c r="F83" s="9">
        <v>0.01</v>
      </c>
      <c r="G83" s="9">
        <v>0.01</v>
      </c>
      <c r="H83" s="9">
        <v>0.01</v>
      </c>
      <c r="I83" s="9">
        <v>0.01</v>
      </c>
      <c r="J83" s="9">
        <v>0.01</v>
      </c>
      <c r="K83" s="9">
        <v>0.01</v>
      </c>
      <c r="L83" s="9">
        <v>0.01</v>
      </c>
      <c r="M83" s="9">
        <v>0.01</v>
      </c>
      <c r="N83" s="9">
        <v>0.01</v>
      </c>
      <c r="O83" s="9">
        <v>0.01</v>
      </c>
      <c r="P83" s="9">
        <v>0.01</v>
      </c>
      <c r="Q83" s="9">
        <v>0.01</v>
      </c>
      <c r="R83" s="9">
        <v>0.01</v>
      </c>
      <c r="S83" s="9">
        <v>0.01</v>
      </c>
      <c r="T83" s="9">
        <v>0.01</v>
      </c>
      <c r="U83" s="9">
        <v>0.01</v>
      </c>
      <c r="V83" s="9">
        <v>0.01</v>
      </c>
      <c r="W83" s="9">
        <v>0.01</v>
      </c>
      <c r="X83" s="9">
        <v>0.01</v>
      </c>
      <c r="Y83" s="9">
        <v>0.01</v>
      </c>
    </row>
    <row r="84" spans="1:29" x14ac:dyDescent="0.3">
      <c r="A84" s="1" t="s">
        <v>75</v>
      </c>
      <c r="B84" s="6" t="s">
        <v>63</v>
      </c>
      <c r="D84" s="1" t="s">
        <v>7</v>
      </c>
      <c r="E84" s="5" t="e">
        <f>E82*E83</f>
        <v>#REF!</v>
      </c>
      <c r="F84" s="5" t="e">
        <f>F82*F83</f>
        <v>#REF!</v>
      </c>
      <c r="G84" s="5" t="e">
        <f t="shared" ref="G84:Y84" si="8">G82*G83</f>
        <v>#REF!</v>
      </c>
      <c r="H84" s="5" t="e">
        <f t="shared" si="8"/>
        <v>#REF!</v>
      </c>
      <c r="I84" s="5" t="e">
        <f t="shared" si="8"/>
        <v>#REF!</v>
      </c>
      <c r="J84" s="5" t="e">
        <f t="shared" si="8"/>
        <v>#REF!</v>
      </c>
      <c r="K84" s="5" t="e">
        <f t="shared" si="8"/>
        <v>#REF!</v>
      </c>
      <c r="L84" s="5" t="e">
        <f t="shared" si="8"/>
        <v>#REF!</v>
      </c>
      <c r="M84" s="5" t="e">
        <f t="shared" si="8"/>
        <v>#REF!</v>
      </c>
      <c r="N84" s="5" t="e">
        <f t="shared" si="8"/>
        <v>#REF!</v>
      </c>
      <c r="O84" s="5" t="e">
        <f t="shared" si="8"/>
        <v>#REF!</v>
      </c>
      <c r="P84" s="5" t="e">
        <f t="shared" si="8"/>
        <v>#REF!</v>
      </c>
      <c r="Q84" s="5" t="e">
        <f t="shared" si="8"/>
        <v>#REF!</v>
      </c>
      <c r="R84" s="5" t="e">
        <f t="shared" si="8"/>
        <v>#REF!</v>
      </c>
      <c r="S84" s="5" t="e">
        <f t="shared" si="8"/>
        <v>#REF!</v>
      </c>
      <c r="T84" s="5" t="e">
        <f t="shared" si="8"/>
        <v>#REF!</v>
      </c>
      <c r="U84" s="5" t="e">
        <f t="shared" si="8"/>
        <v>#REF!</v>
      </c>
      <c r="V84" s="5" t="e">
        <f t="shared" si="8"/>
        <v>#REF!</v>
      </c>
      <c r="W84" s="5" t="e">
        <f t="shared" si="8"/>
        <v>#REF!</v>
      </c>
      <c r="X84" s="5" t="e">
        <f t="shared" si="8"/>
        <v>#REF!</v>
      </c>
      <c r="Y84" s="5" t="e">
        <f t="shared" si="8"/>
        <v>#REF!</v>
      </c>
      <c r="Z84" s="4" t="e">
        <f>SUM(E84:Y84)</f>
        <v>#REF!</v>
      </c>
      <c r="AA84" s="4" t="e">
        <f>E84+NPV($AA$2,F84:Y84)</f>
        <v>#REF!</v>
      </c>
      <c r="AB84" s="19" t="e">
        <f>AA84/$AA$140</f>
        <v>#REF!</v>
      </c>
      <c r="AC84" s="18" t="s">
        <v>92</v>
      </c>
    </row>
    <row r="86" spans="1:29" x14ac:dyDescent="0.3">
      <c r="A86" s="12" t="s">
        <v>76</v>
      </c>
      <c r="B86" s="12"/>
      <c r="C86" s="12"/>
    </row>
    <row r="87" spans="1:29" x14ac:dyDescent="0.3">
      <c r="A87" s="1" t="s">
        <v>29</v>
      </c>
      <c r="D87" s="1" t="s">
        <v>7</v>
      </c>
      <c r="E87" s="3">
        <f t="shared" ref="E87:N87" si="9">$E$15/10</f>
        <v>420000000</v>
      </c>
      <c r="F87" s="3">
        <f t="shared" si="9"/>
        <v>420000000</v>
      </c>
      <c r="G87" s="3">
        <f t="shared" si="9"/>
        <v>420000000</v>
      </c>
      <c r="H87" s="3">
        <f t="shared" si="9"/>
        <v>420000000</v>
      </c>
      <c r="I87" s="3">
        <f t="shared" si="9"/>
        <v>420000000</v>
      </c>
      <c r="J87" s="3">
        <f t="shared" si="9"/>
        <v>420000000</v>
      </c>
      <c r="K87" s="3">
        <f t="shared" si="9"/>
        <v>420000000</v>
      </c>
      <c r="L87" s="3">
        <f t="shared" si="9"/>
        <v>420000000</v>
      </c>
      <c r="M87" s="3">
        <f t="shared" si="9"/>
        <v>420000000</v>
      </c>
      <c r="N87" s="3">
        <f t="shared" si="9"/>
        <v>420000000</v>
      </c>
    </row>
    <row r="88" spans="1:29" x14ac:dyDescent="0.3">
      <c r="A88" s="1" t="s">
        <v>30</v>
      </c>
      <c r="D88" s="1" t="s">
        <v>7</v>
      </c>
      <c r="F88" s="3">
        <f>$F$15/10</f>
        <v>5000000</v>
      </c>
      <c r="G88" s="3">
        <f t="shared" ref="G88:O88" si="10">$F$15/10</f>
        <v>5000000</v>
      </c>
      <c r="H88" s="3">
        <f t="shared" si="10"/>
        <v>5000000</v>
      </c>
      <c r="I88" s="3">
        <f t="shared" si="10"/>
        <v>5000000</v>
      </c>
      <c r="J88" s="3">
        <f t="shared" si="10"/>
        <v>5000000</v>
      </c>
      <c r="K88" s="3">
        <f t="shared" si="10"/>
        <v>5000000</v>
      </c>
      <c r="L88" s="3">
        <f t="shared" si="10"/>
        <v>5000000</v>
      </c>
      <c r="M88" s="3">
        <f t="shared" si="10"/>
        <v>5000000</v>
      </c>
      <c r="N88" s="3">
        <f t="shared" si="10"/>
        <v>5000000</v>
      </c>
      <c r="O88" s="3">
        <f t="shared" si="10"/>
        <v>5000000</v>
      </c>
    </row>
    <row r="89" spans="1:29" x14ac:dyDescent="0.3">
      <c r="A89" s="1" t="s">
        <v>31</v>
      </c>
      <c r="D89" s="1" t="s">
        <v>7</v>
      </c>
      <c r="G89" s="3">
        <f>$G$15/10</f>
        <v>5000000</v>
      </c>
      <c r="H89" s="3">
        <f t="shared" ref="H89:P89" si="11">$G$15/10</f>
        <v>5000000</v>
      </c>
      <c r="I89" s="3">
        <f t="shared" si="11"/>
        <v>5000000</v>
      </c>
      <c r="J89" s="3">
        <f t="shared" si="11"/>
        <v>5000000</v>
      </c>
      <c r="K89" s="3">
        <f t="shared" si="11"/>
        <v>5000000</v>
      </c>
      <c r="L89" s="3">
        <f t="shared" si="11"/>
        <v>5000000</v>
      </c>
      <c r="M89" s="3">
        <f t="shared" si="11"/>
        <v>5000000</v>
      </c>
      <c r="N89" s="3">
        <f t="shared" si="11"/>
        <v>5000000</v>
      </c>
      <c r="O89" s="3">
        <f t="shared" si="11"/>
        <v>5000000</v>
      </c>
      <c r="P89" s="3">
        <f t="shared" si="11"/>
        <v>5000000</v>
      </c>
    </row>
    <row r="90" spans="1:29" x14ac:dyDescent="0.3">
      <c r="A90" s="1" t="s">
        <v>32</v>
      </c>
      <c r="D90" s="1" t="s">
        <v>7</v>
      </c>
      <c r="H90" s="3">
        <f>$H$15/10</f>
        <v>5000000</v>
      </c>
      <c r="I90" s="3">
        <f t="shared" ref="I90:Q90" si="12">$H$15/10</f>
        <v>5000000</v>
      </c>
      <c r="J90" s="3">
        <f t="shared" si="12"/>
        <v>5000000</v>
      </c>
      <c r="K90" s="3">
        <f t="shared" si="12"/>
        <v>5000000</v>
      </c>
      <c r="L90" s="3">
        <f t="shared" si="12"/>
        <v>5000000</v>
      </c>
      <c r="M90" s="3">
        <f t="shared" si="12"/>
        <v>5000000</v>
      </c>
      <c r="N90" s="3">
        <f t="shared" si="12"/>
        <v>5000000</v>
      </c>
      <c r="O90" s="3">
        <f t="shared" si="12"/>
        <v>5000000</v>
      </c>
      <c r="P90" s="3">
        <f t="shared" si="12"/>
        <v>5000000</v>
      </c>
      <c r="Q90" s="3">
        <f t="shared" si="12"/>
        <v>5000000</v>
      </c>
    </row>
    <row r="91" spans="1:29" x14ac:dyDescent="0.3">
      <c r="A91" s="1" t="s">
        <v>33</v>
      </c>
      <c r="D91" s="1" t="s">
        <v>7</v>
      </c>
      <c r="I91" s="3">
        <f>$I$15/10</f>
        <v>5000000</v>
      </c>
      <c r="J91" s="3">
        <f t="shared" ref="J91:R91" si="13">$I$15/10</f>
        <v>5000000</v>
      </c>
      <c r="K91" s="3">
        <f t="shared" si="13"/>
        <v>5000000</v>
      </c>
      <c r="L91" s="3">
        <f t="shared" si="13"/>
        <v>5000000</v>
      </c>
      <c r="M91" s="3">
        <f t="shared" si="13"/>
        <v>5000000</v>
      </c>
      <c r="N91" s="3">
        <f t="shared" si="13"/>
        <v>5000000</v>
      </c>
      <c r="O91" s="3">
        <f t="shared" si="13"/>
        <v>5000000</v>
      </c>
      <c r="P91" s="3">
        <f t="shared" si="13"/>
        <v>5000000</v>
      </c>
      <c r="Q91" s="3">
        <f t="shared" si="13"/>
        <v>5000000</v>
      </c>
      <c r="R91" s="3">
        <f t="shared" si="13"/>
        <v>5000000</v>
      </c>
    </row>
    <row r="92" spans="1:29" x14ac:dyDescent="0.3">
      <c r="A92" s="1" t="s">
        <v>34</v>
      </c>
      <c r="D92" s="1" t="s">
        <v>7</v>
      </c>
      <c r="J92" s="3">
        <f>$J$15/10</f>
        <v>5000000</v>
      </c>
      <c r="K92" s="3">
        <f t="shared" ref="K92:S92" si="14">$J$15/10</f>
        <v>5000000</v>
      </c>
      <c r="L92" s="3">
        <f t="shared" si="14"/>
        <v>5000000</v>
      </c>
      <c r="M92" s="3">
        <f t="shared" si="14"/>
        <v>5000000</v>
      </c>
      <c r="N92" s="3">
        <f t="shared" si="14"/>
        <v>5000000</v>
      </c>
      <c r="O92" s="3">
        <f t="shared" si="14"/>
        <v>5000000</v>
      </c>
      <c r="P92" s="3">
        <f t="shared" si="14"/>
        <v>5000000</v>
      </c>
      <c r="Q92" s="3">
        <f t="shared" si="14"/>
        <v>5000000</v>
      </c>
      <c r="R92" s="3">
        <f t="shared" si="14"/>
        <v>5000000</v>
      </c>
      <c r="S92" s="3">
        <f t="shared" si="14"/>
        <v>5000000</v>
      </c>
    </row>
    <row r="93" spans="1:29" x14ac:dyDescent="0.3">
      <c r="A93" s="1" t="s">
        <v>35</v>
      </c>
      <c r="D93" s="1" t="s">
        <v>7</v>
      </c>
      <c r="K93" s="3">
        <f>$K$15/10</f>
        <v>5000000</v>
      </c>
      <c r="L93" s="3">
        <f t="shared" ref="L93:T93" si="15">$K$15/10</f>
        <v>5000000</v>
      </c>
      <c r="M93" s="3">
        <f t="shared" si="15"/>
        <v>5000000</v>
      </c>
      <c r="N93" s="3">
        <f t="shared" si="15"/>
        <v>5000000</v>
      </c>
      <c r="O93" s="3">
        <f t="shared" si="15"/>
        <v>5000000</v>
      </c>
      <c r="P93" s="3">
        <f t="shared" si="15"/>
        <v>5000000</v>
      </c>
      <c r="Q93" s="3">
        <f t="shared" si="15"/>
        <v>5000000</v>
      </c>
      <c r="R93" s="3">
        <f t="shared" si="15"/>
        <v>5000000</v>
      </c>
      <c r="S93" s="3">
        <f t="shared" si="15"/>
        <v>5000000</v>
      </c>
      <c r="T93" s="3">
        <f t="shared" si="15"/>
        <v>5000000</v>
      </c>
    </row>
    <row r="94" spans="1:29" x14ac:dyDescent="0.3">
      <c r="A94" s="1" t="s">
        <v>36</v>
      </c>
      <c r="D94" s="1" t="s">
        <v>7</v>
      </c>
      <c r="L94" s="3">
        <f>$L$15/10</f>
        <v>5000000</v>
      </c>
      <c r="M94" s="3">
        <f t="shared" ref="M94:U94" si="16">$L$15/10</f>
        <v>5000000</v>
      </c>
      <c r="N94" s="3">
        <f t="shared" si="16"/>
        <v>5000000</v>
      </c>
      <c r="O94" s="3">
        <f t="shared" si="16"/>
        <v>5000000</v>
      </c>
      <c r="P94" s="3">
        <f t="shared" si="16"/>
        <v>5000000</v>
      </c>
      <c r="Q94" s="3">
        <f t="shared" si="16"/>
        <v>5000000</v>
      </c>
      <c r="R94" s="3">
        <f t="shared" si="16"/>
        <v>5000000</v>
      </c>
      <c r="S94" s="3">
        <f t="shared" si="16"/>
        <v>5000000</v>
      </c>
      <c r="T94" s="3">
        <f t="shared" si="16"/>
        <v>5000000</v>
      </c>
      <c r="U94" s="3">
        <f t="shared" si="16"/>
        <v>5000000</v>
      </c>
    </row>
    <row r="95" spans="1:29" x14ac:dyDescent="0.3">
      <c r="A95" s="1" t="s">
        <v>37</v>
      </c>
      <c r="D95" s="1" t="s">
        <v>7</v>
      </c>
      <c r="M95" s="3">
        <f>$M$15/10</f>
        <v>5000000</v>
      </c>
      <c r="N95" s="3">
        <f t="shared" ref="N95:V95" si="17">$M$15/10</f>
        <v>5000000</v>
      </c>
      <c r="O95" s="3">
        <f t="shared" si="17"/>
        <v>5000000</v>
      </c>
      <c r="P95" s="3">
        <f t="shared" si="17"/>
        <v>5000000</v>
      </c>
      <c r="Q95" s="3">
        <f t="shared" si="17"/>
        <v>5000000</v>
      </c>
      <c r="R95" s="3">
        <f t="shared" si="17"/>
        <v>5000000</v>
      </c>
      <c r="S95" s="3">
        <f t="shared" si="17"/>
        <v>5000000</v>
      </c>
      <c r="T95" s="3">
        <f t="shared" si="17"/>
        <v>5000000</v>
      </c>
      <c r="U95" s="3">
        <f t="shared" si="17"/>
        <v>5000000</v>
      </c>
      <c r="V95" s="3">
        <f t="shared" si="17"/>
        <v>5000000</v>
      </c>
    </row>
    <row r="96" spans="1:29" x14ac:dyDescent="0.3">
      <c r="A96" s="1" t="s">
        <v>38</v>
      </c>
      <c r="D96" s="1" t="s">
        <v>7</v>
      </c>
      <c r="N96" s="3">
        <f>$N$15/10</f>
        <v>5000000</v>
      </c>
      <c r="O96" s="3">
        <f t="shared" ref="O96:W96" si="18">$N$15/10</f>
        <v>5000000</v>
      </c>
      <c r="P96" s="3">
        <f t="shared" si="18"/>
        <v>5000000</v>
      </c>
      <c r="Q96" s="3">
        <f t="shared" si="18"/>
        <v>5000000</v>
      </c>
      <c r="R96" s="3">
        <f t="shared" si="18"/>
        <v>5000000</v>
      </c>
      <c r="S96" s="3">
        <f t="shared" si="18"/>
        <v>5000000</v>
      </c>
      <c r="T96" s="3">
        <f t="shared" si="18"/>
        <v>5000000</v>
      </c>
      <c r="U96" s="3">
        <f t="shared" si="18"/>
        <v>5000000</v>
      </c>
      <c r="V96" s="3">
        <f t="shared" si="18"/>
        <v>5000000</v>
      </c>
      <c r="W96" s="3">
        <f t="shared" si="18"/>
        <v>5000000</v>
      </c>
    </row>
    <row r="97" spans="1:27" x14ac:dyDescent="0.3">
      <c r="A97" s="1" t="s">
        <v>39</v>
      </c>
      <c r="D97" s="1" t="s">
        <v>7</v>
      </c>
      <c r="O97" s="3">
        <f>$O$15/10</f>
        <v>5000000</v>
      </c>
      <c r="P97" s="3">
        <f t="shared" ref="P97:X97" si="19">$O$15/10</f>
        <v>5000000</v>
      </c>
      <c r="Q97" s="3">
        <f t="shared" si="19"/>
        <v>5000000</v>
      </c>
      <c r="R97" s="3">
        <f t="shared" si="19"/>
        <v>5000000</v>
      </c>
      <c r="S97" s="3">
        <f t="shared" si="19"/>
        <v>5000000</v>
      </c>
      <c r="T97" s="3">
        <f t="shared" si="19"/>
        <v>5000000</v>
      </c>
      <c r="U97" s="3">
        <f t="shared" si="19"/>
        <v>5000000</v>
      </c>
      <c r="V97" s="3">
        <f t="shared" si="19"/>
        <v>5000000</v>
      </c>
      <c r="W97" s="3">
        <f t="shared" si="19"/>
        <v>5000000</v>
      </c>
      <c r="X97" s="3">
        <f t="shared" si="19"/>
        <v>5000000</v>
      </c>
    </row>
    <row r="98" spans="1:27" x14ac:dyDescent="0.3">
      <c r="A98" s="1" t="s">
        <v>40</v>
      </c>
      <c r="D98" s="1" t="s">
        <v>7</v>
      </c>
      <c r="P98" s="3">
        <f>$P$15/10</f>
        <v>5000000</v>
      </c>
      <c r="Q98" s="3">
        <f t="shared" ref="Q98:Y98" si="20">$P$15/10</f>
        <v>5000000</v>
      </c>
      <c r="R98" s="3">
        <f t="shared" si="20"/>
        <v>5000000</v>
      </c>
      <c r="S98" s="3">
        <f t="shared" si="20"/>
        <v>5000000</v>
      </c>
      <c r="T98" s="3">
        <f t="shared" si="20"/>
        <v>5000000</v>
      </c>
      <c r="U98" s="3">
        <f t="shared" si="20"/>
        <v>5000000</v>
      </c>
      <c r="V98" s="3">
        <f t="shared" si="20"/>
        <v>5000000</v>
      </c>
      <c r="W98" s="3">
        <f t="shared" si="20"/>
        <v>5000000</v>
      </c>
      <c r="X98" s="3">
        <f t="shared" si="20"/>
        <v>5000000</v>
      </c>
      <c r="Y98" s="3">
        <f t="shared" si="20"/>
        <v>5000000</v>
      </c>
    </row>
    <row r="99" spans="1:27" x14ac:dyDescent="0.3">
      <c r="A99" s="1" t="s">
        <v>41</v>
      </c>
      <c r="D99" s="1" t="s">
        <v>7</v>
      </c>
      <c r="Q99" s="3">
        <f>$Q$15/10</f>
        <v>5000000</v>
      </c>
      <c r="R99" s="3">
        <f t="shared" ref="R99:Y99" si="21">$Q$15/10</f>
        <v>5000000</v>
      </c>
      <c r="S99" s="3">
        <f t="shared" si="21"/>
        <v>5000000</v>
      </c>
      <c r="T99" s="3">
        <f t="shared" si="21"/>
        <v>5000000</v>
      </c>
      <c r="U99" s="3">
        <f t="shared" si="21"/>
        <v>5000000</v>
      </c>
      <c r="V99" s="3">
        <f t="shared" si="21"/>
        <v>5000000</v>
      </c>
      <c r="W99" s="3">
        <f t="shared" si="21"/>
        <v>5000000</v>
      </c>
      <c r="X99" s="3">
        <f t="shared" si="21"/>
        <v>5000000</v>
      </c>
      <c r="Y99" s="3">
        <f t="shared" si="21"/>
        <v>5000000</v>
      </c>
    </row>
    <row r="100" spans="1:27" x14ac:dyDescent="0.3">
      <c r="A100" s="1" t="s">
        <v>42</v>
      </c>
      <c r="D100" s="1" t="s">
        <v>7</v>
      </c>
      <c r="R100" s="3">
        <f>$R$15/10</f>
        <v>5000000</v>
      </c>
      <c r="S100" s="3">
        <f t="shared" ref="S100:Y100" si="22">$R$15/10</f>
        <v>5000000</v>
      </c>
      <c r="T100" s="3">
        <f t="shared" si="22"/>
        <v>5000000</v>
      </c>
      <c r="U100" s="3">
        <f t="shared" si="22"/>
        <v>5000000</v>
      </c>
      <c r="V100" s="3">
        <f t="shared" si="22"/>
        <v>5000000</v>
      </c>
      <c r="W100" s="3">
        <f t="shared" si="22"/>
        <v>5000000</v>
      </c>
      <c r="X100" s="3">
        <f t="shared" si="22"/>
        <v>5000000</v>
      </c>
      <c r="Y100" s="3">
        <f t="shared" si="22"/>
        <v>5000000</v>
      </c>
    </row>
    <row r="101" spans="1:27" x14ac:dyDescent="0.3">
      <c r="A101" s="1" t="s">
        <v>43</v>
      </c>
      <c r="D101" s="1" t="s">
        <v>7</v>
      </c>
      <c r="S101" s="3">
        <f>$S$15/10</f>
        <v>5000000</v>
      </c>
      <c r="T101" s="3">
        <f t="shared" ref="T101:Y101" si="23">$S$15/10</f>
        <v>5000000</v>
      </c>
      <c r="U101" s="3">
        <f t="shared" si="23"/>
        <v>5000000</v>
      </c>
      <c r="V101" s="3">
        <f t="shared" si="23"/>
        <v>5000000</v>
      </c>
      <c r="W101" s="3">
        <f t="shared" si="23"/>
        <v>5000000</v>
      </c>
      <c r="X101" s="3">
        <f t="shared" si="23"/>
        <v>5000000</v>
      </c>
      <c r="Y101" s="3">
        <f t="shared" si="23"/>
        <v>5000000</v>
      </c>
    </row>
    <row r="102" spans="1:27" x14ac:dyDescent="0.3">
      <c r="A102" s="1" t="s">
        <v>44</v>
      </c>
      <c r="D102" s="1" t="s">
        <v>7</v>
      </c>
      <c r="T102" s="3">
        <f>$T$15/10</f>
        <v>5000000</v>
      </c>
      <c r="U102" s="3">
        <f t="shared" ref="U102:Y102" si="24">$T$15/10</f>
        <v>5000000</v>
      </c>
      <c r="V102" s="3">
        <f t="shared" si="24"/>
        <v>5000000</v>
      </c>
      <c r="W102" s="3">
        <f t="shared" si="24"/>
        <v>5000000</v>
      </c>
      <c r="X102" s="3">
        <f t="shared" si="24"/>
        <v>5000000</v>
      </c>
      <c r="Y102" s="3">
        <f t="shared" si="24"/>
        <v>5000000</v>
      </c>
    </row>
    <row r="103" spans="1:27" x14ac:dyDescent="0.3">
      <c r="A103" s="1" t="s">
        <v>45</v>
      </c>
      <c r="D103" s="1" t="s">
        <v>7</v>
      </c>
      <c r="U103" s="3">
        <f>$U$15/10</f>
        <v>5000000</v>
      </c>
      <c r="V103" s="3">
        <f t="shared" ref="V103:Y103" si="25">$U$15/10</f>
        <v>5000000</v>
      </c>
      <c r="W103" s="3">
        <f t="shared" si="25"/>
        <v>5000000</v>
      </c>
      <c r="X103" s="3">
        <f t="shared" si="25"/>
        <v>5000000</v>
      </c>
      <c r="Y103" s="3">
        <f t="shared" si="25"/>
        <v>5000000</v>
      </c>
    </row>
    <row r="104" spans="1:27" x14ac:dyDescent="0.3">
      <c r="A104" s="1" t="s">
        <v>46</v>
      </c>
      <c r="D104" s="1" t="s">
        <v>7</v>
      </c>
      <c r="V104" s="3">
        <f>$V$15/10</f>
        <v>5000000</v>
      </c>
      <c r="W104" s="3">
        <f t="shared" ref="W104:Y104" si="26">$V$15/10</f>
        <v>5000000</v>
      </c>
      <c r="X104" s="3">
        <f t="shared" si="26"/>
        <v>5000000</v>
      </c>
      <c r="Y104" s="3">
        <f t="shared" si="26"/>
        <v>5000000</v>
      </c>
    </row>
    <row r="105" spans="1:27" x14ac:dyDescent="0.3">
      <c r="A105" s="1" t="s">
        <v>47</v>
      </c>
      <c r="D105" s="1" t="s">
        <v>7</v>
      </c>
      <c r="W105" s="3">
        <f>$W$15/10</f>
        <v>5000000</v>
      </c>
      <c r="X105" s="3">
        <f t="shared" ref="X105:Y105" si="27">$W$15/10</f>
        <v>5000000</v>
      </c>
      <c r="Y105" s="3">
        <f t="shared" si="27"/>
        <v>5000000</v>
      </c>
    </row>
    <row r="106" spans="1:27" x14ac:dyDescent="0.3">
      <c r="A106" s="1" t="s">
        <v>48</v>
      </c>
      <c r="D106" s="1" t="s">
        <v>7</v>
      </c>
      <c r="X106" s="3">
        <f>$X$15/10</f>
        <v>5000000</v>
      </c>
      <c r="Y106" s="3">
        <f>$X$15/10</f>
        <v>5000000</v>
      </c>
    </row>
    <row r="107" spans="1:27" x14ac:dyDescent="0.3">
      <c r="A107" s="1" t="s">
        <v>77</v>
      </c>
      <c r="D107" s="1" t="s">
        <v>7</v>
      </c>
      <c r="Y107" s="3">
        <f>$Y$15/10</f>
        <v>5000000</v>
      </c>
    </row>
    <row r="108" spans="1:27" x14ac:dyDescent="0.3">
      <c r="A108" s="1" t="s">
        <v>21</v>
      </c>
      <c r="D108" s="1" t="s">
        <v>7</v>
      </c>
      <c r="E108" s="5">
        <f>SUM(E87:E107)</f>
        <v>420000000</v>
      </c>
      <c r="F108" s="5">
        <f>SUM(F87:F107)</f>
        <v>425000000</v>
      </c>
      <c r="G108" s="5">
        <f t="shared" ref="G108:Y108" si="28">SUM(G87:G107)</f>
        <v>430000000</v>
      </c>
      <c r="H108" s="5">
        <f t="shared" si="28"/>
        <v>435000000</v>
      </c>
      <c r="I108" s="5">
        <f t="shared" si="28"/>
        <v>440000000</v>
      </c>
      <c r="J108" s="5">
        <f>SUM(J87:J107)</f>
        <v>445000000</v>
      </c>
      <c r="K108" s="5">
        <f t="shared" si="28"/>
        <v>450000000</v>
      </c>
      <c r="L108" s="5">
        <f t="shared" si="28"/>
        <v>455000000</v>
      </c>
      <c r="M108" s="5">
        <f t="shared" si="28"/>
        <v>460000000</v>
      </c>
      <c r="N108" s="5">
        <f t="shared" si="28"/>
        <v>465000000</v>
      </c>
      <c r="O108" s="5">
        <f t="shared" si="28"/>
        <v>50000000</v>
      </c>
      <c r="P108" s="5">
        <f t="shared" si="28"/>
        <v>50000000</v>
      </c>
      <c r="Q108" s="5">
        <f t="shared" si="28"/>
        <v>50000000</v>
      </c>
      <c r="R108" s="5">
        <f t="shared" si="28"/>
        <v>50000000</v>
      </c>
      <c r="S108" s="5">
        <f t="shared" si="28"/>
        <v>50000000</v>
      </c>
      <c r="T108" s="5">
        <f t="shared" si="28"/>
        <v>50000000</v>
      </c>
      <c r="U108" s="5">
        <f t="shared" si="28"/>
        <v>50000000</v>
      </c>
      <c r="V108" s="5">
        <f t="shared" si="28"/>
        <v>50000000</v>
      </c>
      <c r="W108" s="5">
        <f t="shared" si="28"/>
        <v>50000000</v>
      </c>
      <c r="X108" s="5">
        <f t="shared" si="28"/>
        <v>50000000</v>
      </c>
      <c r="Y108" s="5">
        <f t="shared" si="28"/>
        <v>50000000</v>
      </c>
      <c r="Z108" s="4">
        <f>SUM(E108:Y108)</f>
        <v>4975000000</v>
      </c>
      <c r="AA108" s="4">
        <f>E108+NPV($AA$2,F108:Y108)</f>
        <v>3102419379.637248</v>
      </c>
    </row>
    <row r="110" spans="1:27" x14ac:dyDescent="0.3">
      <c r="A110" s="12" t="s">
        <v>78</v>
      </c>
      <c r="B110" s="12"/>
      <c r="C110" s="12"/>
    </row>
    <row r="111" spans="1:27" x14ac:dyDescent="0.3">
      <c r="A111" s="1" t="s">
        <v>79</v>
      </c>
      <c r="D111" s="1" t="s">
        <v>7</v>
      </c>
      <c r="F111" s="3">
        <f>E26</f>
        <v>4200000000</v>
      </c>
      <c r="G111" s="3">
        <f>F111-F112</f>
        <v>3360000000</v>
      </c>
      <c r="H111" s="3">
        <f t="shared" ref="H111:J111" si="29">G111-G112</f>
        <v>2520000000</v>
      </c>
      <c r="I111" s="3">
        <f t="shared" si="29"/>
        <v>1680000000</v>
      </c>
      <c r="J111" s="3">
        <f t="shared" si="29"/>
        <v>840000000</v>
      </c>
    </row>
    <row r="112" spans="1:27" x14ac:dyDescent="0.3">
      <c r="A112" s="1" t="s">
        <v>19</v>
      </c>
      <c r="D112" s="1" t="s">
        <v>7</v>
      </c>
      <c r="F112" s="3">
        <f>$F$111/5</f>
        <v>840000000</v>
      </c>
      <c r="G112" s="3">
        <f t="shared" ref="G112:J112" si="30">$F$111/5</f>
        <v>840000000</v>
      </c>
      <c r="H112" s="3">
        <f t="shared" si="30"/>
        <v>840000000</v>
      </c>
      <c r="I112" s="3">
        <f t="shared" si="30"/>
        <v>840000000</v>
      </c>
      <c r="J112" s="3">
        <f t="shared" si="30"/>
        <v>840000000</v>
      </c>
    </row>
    <row r="113" spans="1:29" x14ac:dyDescent="0.3">
      <c r="A113" s="1" t="s">
        <v>80</v>
      </c>
      <c r="D113" s="1" t="s">
        <v>7</v>
      </c>
      <c r="F113" s="9">
        <v>7.0000000000000007E-2</v>
      </c>
      <c r="G113" s="9">
        <v>7.0000000000000007E-2</v>
      </c>
      <c r="H113" s="9">
        <v>7.0000000000000007E-2</v>
      </c>
      <c r="I113" s="9">
        <v>7.0000000000000007E-2</v>
      </c>
      <c r="J113" s="9">
        <v>7.0000000000000007E-2</v>
      </c>
    </row>
    <row r="114" spans="1:29" x14ac:dyDescent="0.3">
      <c r="A114" s="1" t="s">
        <v>23</v>
      </c>
      <c r="D114" s="1" t="s">
        <v>7</v>
      </c>
      <c r="F114" s="5">
        <f>F111*F113</f>
        <v>294000000</v>
      </c>
      <c r="G114" s="5">
        <f>G111*G113</f>
        <v>235200000.00000003</v>
      </c>
      <c r="H114" s="5">
        <f t="shared" ref="H114:I114" si="31">H111*H113</f>
        <v>176400000.00000003</v>
      </c>
      <c r="I114" s="5">
        <f t="shared" si="31"/>
        <v>117600000.00000001</v>
      </c>
      <c r="J114" s="5">
        <f>J111*J113</f>
        <v>58800000.000000007</v>
      </c>
    </row>
    <row r="116" spans="1:29" x14ac:dyDescent="0.3">
      <c r="A116" s="12" t="s">
        <v>25</v>
      </c>
      <c r="B116" s="12"/>
      <c r="C116" s="12"/>
    </row>
    <row r="117" spans="1:29" x14ac:dyDescent="0.3">
      <c r="C117" s="6"/>
      <c r="E117" s="39" t="s">
        <v>115</v>
      </c>
    </row>
    <row r="118" spans="1:29" x14ac:dyDescent="0.3">
      <c r="A118" s="1" t="s">
        <v>22</v>
      </c>
      <c r="D118" s="1" t="s">
        <v>7</v>
      </c>
      <c r="E118" s="3" t="e">
        <f>#REF!-E23-E104-E114-#REF!-E37-E44-#REF!-E71</f>
        <v>#REF!</v>
      </c>
      <c r="F118" s="3" t="e">
        <f>#REF!-F14-F104-F110-#REF!-F37-F44-#REF!-F71</f>
        <v>#REF!</v>
      </c>
      <c r="G118" s="3" t="e">
        <f>#REF!-G14-G104-G110-#REF!-G37-G44-#REF!-G71</f>
        <v>#REF!</v>
      </c>
      <c r="H118" s="3" t="e">
        <f>#REF!-H14-H104-H110-#REF!-H37-H44-#REF!-H71</f>
        <v>#REF!</v>
      </c>
      <c r="I118" s="3" t="e">
        <f>#REF!-I14-I104-I110-#REF!-I37-I44-#REF!-I71</f>
        <v>#REF!</v>
      </c>
      <c r="J118" s="3" t="e">
        <f>#REF!-J14-J104-J110-#REF!-J37-J44-#REF!-J71</f>
        <v>#REF!</v>
      </c>
      <c r="K118" s="3" t="e">
        <f>#REF!-K14-K104-K110-#REF!-K37-K44-#REF!-K71</f>
        <v>#REF!</v>
      </c>
      <c r="L118" s="3" t="e">
        <f>#REF!-L14-L104-L110-#REF!-L37-L44-#REF!-L71</f>
        <v>#REF!</v>
      </c>
      <c r="M118" s="3" t="e">
        <f>#REF!-M14-M104-M110-#REF!-M37-M44-#REF!-M71</f>
        <v>#REF!</v>
      </c>
      <c r="N118" s="3" t="e">
        <f>#REF!-N14-N104-N110-#REF!-N37-N44-#REF!-N71</f>
        <v>#REF!</v>
      </c>
      <c r="O118" s="3" t="e">
        <f>#REF!-O14-O104-O110-#REF!-O37-O44-#REF!-O71</f>
        <v>#REF!</v>
      </c>
      <c r="P118" s="3" t="e">
        <f>#REF!-P14-P104-P110-#REF!-P37-P44-#REF!-P71</f>
        <v>#REF!</v>
      </c>
      <c r="Q118" s="3" t="e">
        <f>#REF!-Q14-Q104-Q110-#REF!-Q37-Q44-#REF!-Q71</f>
        <v>#REF!</v>
      </c>
      <c r="R118" s="3" t="e">
        <f>#REF!-R14-R104-R110-#REF!-R37-R44-#REF!-R71</f>
        <v>#REF!</v>
      </c>
      <c r="S118" s="3" t="e">
        <f>#REF!-S14-S104-S110-#REF!-S37-S44-#REF!-S71</f>
        <v>#REF!</v>
      </c>
      <c r="T118" s="3" t="e">
        <f>#REF!-T14-T104-T110-#REF!-T37-T44-#REF!-T71</f>
        <v>#REF!</v>
      </c>
      <c r="U118" s="3" t="e">
        <f>#REF!-U14-U104-U110-#REF!-U37-U44-#REF!-U71</f>
        <v>#REF!</v>
      </c>
      <c r="V118" s="3" t="e">
        <f>#REF!-V14-V104-V110-#REF!-V37-V44-#REF!-V71</f>
        <v>#REF!</v>
      </c>
      <c r="W118" s="3" t="e">
        <f>#REF!-W14-W104-W110-#REF!-W37-W44-#REF!-W71</f>
        <v>#REF!</v>
      </c>
      <c r="X118" s="3" t="e">
        <f>#REF!-X14-X104-X110-#REF!-X37-X44-#REF!-X71</f>
        <v>#REF!</v>
      </c>
      <c r="Y118" s="3" t="e">
        <f>#REF!-Y14-Y104-Y110-#REF!-Y37-Y44-#REF!-Y71</f>
        <v>#REF!</v>
      </c>
    </row>
    <row r="119" spans="1:29" x14ac:dyDescent="0.3">
      <c r="A119" s="1" t="s">
        <v>81</v>
      </c>
      <c r="D119" s="1" t="s">
        <v>7</v>
      </c>
      <c r="E119" s="3" t="e">
        <f>E118</f>
        <v>#REF!</v>
      </c>
      <c r="F119" s="3" t="e">
        <f>IF(E119&lt;0,E119+F118,F118)</f>
        <v>#REF!</v>
      </c>
      <c r="G119" s="3" t="e">
        <f t="shared" ref="G119" si="32">IF(F119&lt;0,F119+G118,G118)</f>
        <v>#REF!</v>
      </c>
      <c r="H119" s="3" t="e">
        <f t="shared" ref="H119" si="33">IF(G119&lt;0,G119+H118,H118)</f>
        <v>#REF!</v>
      </c>
      <c r="I119" s="3" t="e">
        <f t="shared" ref="I119" si="34">IF(H119&lt;0,H119+I118,I118)</f>
        <v>#REF!</v>
      </c>
      <c r="J119" s="3" t="e">
        <f t="shared" ref="J119" si="35">IF(I119&lt;0,I119+J118,J118)</f>
        <v>#REF!</v>
      </c>
      <c r="K119" s="3" t="e">
        <f t="shared" ref="K119" si="36">IF(J119&lt;0,J119+K118,K118)</f>
        <v>#REF!</v>
      </c>
      <c r="L119" s="3" t="e">
        <f t="shared" ref="L119" si="37">IF(K119&lt;0,K119+L118,L118)</f>
        <v>#REF!</v>
      </c>
      <c r="M119" s="3" t="e">
        <f t="shared" ref="M119" si="38">IF(L119&lt;0,L119+M118,M118)</f>
        <v>#REF!</v>
      </c>
      <c r="N119" s="3" t="e">
        <f t="shared" ref="N119" si="39">IF(M119&lt;0,M119+N118,N118)</f>
        <v>#REF!</v>
      </c>
      <c r="O119" s="3" t="e">
        <f t="shared" ref="O119" si="40">IF(N119&lt;0,N119+O118,O118)</f>
        <v>#REF!</v>
      </c>
      <c r="P119" s="3" t="e">
        <f t="shared" ref="P119" si="41">IF(O119&lt;0,O119+P118,P118)</f>
        <v>#REF!</v>
      </c>
      <c r="Q119" s="3" t="e">
        <f t="shared" ref="Q119" si="42">IF(P119&lt;0,P119+Q118,Q118)</f>
        <v>#REF!</v>
      </c>
      <c r="R119" s="3" t="e">
        <f t="shared" ref="R119" si="43">IF(Q119&lt;0,Q119+R118,R118)</f>
        <v>#REF!</v>
      </c>
      <c r="S119" s="3" t="e">
        <f t="shared" ref="S119" si="44">IF(R119&lt;0,R119+S118,S118)</f>
        <v>#REF!</v>
      </c>
      <c r="T119" s="3" t="e">
        <f t="shared" ref="T119" si="45">IF(S119&lt;0,S119+T118,T118)</f>
        <v>#REF!</v>
      </c>
      <c r="U119" s="3" t="e">
        <f t="shared" ref="U119" si="46">IF(T119&lt;0,T119+U118,U118)</f>
        <v>#REF!</v>
      </c>
      <c r="V119" s="3" t="e">
        <f t="shared" ref="V119" si="47">IF(U119&lt;0,U119+V118,V118)</f>
        <v>#REF!</v>
      </c>
      <c r="W119" s="3" t="e">
        <f t="shared" ref="W119" si="48">IF(V119&lt;0,V119+W118,W118)</f>
        <v>#REF!</v>
      </c>
      <c r="X119" s="3" t="e">
        <f t="shared" ref="X119" si="49">IF(W119&lt;0,W119+X118,X118)</f>
        <v>#REF!</v>
      </c>
      <c r="Y119" s="3" t="e">
        <f t="shared" ref="Y119" si="50">IF(X119&lt;0,X119+Y118,Y118)</f>
        <v>#REF!</v>
      </c>
    </row>
    <row r="120" spans="1:29" x14ac:dyDescent="0.3">
      <c r="A120" s="1" t="s">
        <v>16</v>
      </c>
      <c r="B120" s="6" t="s">
        <v>106</v>
      </c>
      <c r="D120" s="1" t="s">
        <v>9</v>
      </c>
      <c r="E120" s="9">
        <v>0.35</v>
      </c>
      <c r="F120" s="9">
        <v>0.35</v>
      </c>
      <c r="G120" s="9">
        <v>0.35</v>
      </c>
      <c r="H120" s="9">
        <v>0.35</v>
      </c>
      <c r="I120" s="9">
        <v>0.35</v>
      </c>
      <c r="J120" s="9">
        <v>0.35</v>
      </c>
      <c r="K120" s="9">
        <v>0.35</v>
      </c>
      <c r="L120" s="9">
        <v>0.35</v>
      </c>
      <c r="M120" s="9">
        <v>0.35</v>
      </c>
      <c r="N120" s="9">
        <v>0.35</v>
      </c>
      <c r="O120" s="9">
        <v>0.35</v>
      </c>
      <c r="P120" s="9">
        <v>0.35</v>
      </c>
      <c r="Q120" s="9">
        <v>0.35</v>
      </c>
      <c r="R120" s="9">
        <v>0.35</v>
      </c>
      <c r="S120" s="9">
        <v>0.35</v>
      </c>
      <c r="T120" s="9">
        <v>0.35</v>
      </c>
      <c r="U120" s="9">
        <v>0.35</v>
      </c>
      <c r="V120" s="9">
        <v>0.35</v>
      </c>
      <c r="W120" s="9">
        <v>0.35</v>
      </c>
      <c r="X120" s="9">
        <v>0.35</v>
      </c>
      <c r="Y120" s="9">
        <v>0.35</v>
      </c>
    </row>
    <row r="121" spans="1:29" x14ac:dyDescent="0.3">
      <c r="A121" s="1" t="s">
        <v>24</v>
      </c>
      <c r="D121" s="1" t="s">
        <v>7</v>
      </c>
      <c r="E121" s="5" t="e">
        <f t="shared" ref="E121:Y121" si="51">IF(E119&lt;0,0,E119*E120)</f>
        <v>#REF!</v>
      </c>
      <c r="F121" s="5" t="e">
        <f t="shared" si="51"/>
        <v>#REF!</v>
      </c>
      <c r="G121" s="5" t="e">
        <f t="shared" si="51"/>
        <v>#REF!</v>
      </c>
      <c r="H121" s="5" t="e">
        <f t="shared" si="51"/>
        <v>#REF!</v>
      </c>
      <c r="I121" s="5" t="e">
        <f t="shared" si="51"/>
        <v>#REF!</v>
      </c>
      <c r="J121" s="5" t="e">
        <f t="shared" si="51"/>
        <v>#REF!</v>
      </c>
      <c r="K121" s="5" t="e">
        <f t="shared" si="51"/>
        <v>#REF!</v>
      </c>
      <c r="L121" s="5" t="e">
        <f t="shared" si="51"/>
        <v>#REF!</v>
      </c>
      <c r="M121" s="5" t="e">
        <f t="shared" si="51"/>
        <v>#REF!</v>
      </c>
      <c r="N121" s="5" t="e">
        <f t="shared" si="51"/>
        <v>#REF!</v>
      </c>
      <c r="O121" s="5" t="e">
        <f t="shared" si="51"/>
        <v>#REF!</v>
      </c>
      <c r="P121" s="5" t="e">
        <f t="shared" si="51"/>
        <v>#REF!</v>
      </c>
      <c r="Q121" s="5" t="e">
        <f t="shared" si="51"/>
        <v>#REF!</v>
      </c>
      <c r="R121" s="5" t="e">
        <f t="shared" si="51"/>
        <v>#REF!</v>
      </c>
      <c r="S121" s="5" t="e">
        <f t="shared" si="51"/>
        <v>#REF!</v>
      </c>
      <c r="T121" s="5" t="e">
        <f t="shared" si="51"/>
        <v>#REF!</v>
      </c>
      <c r="U121" s="5" t="e">
        <f t="shared" si="51"/>
        <v>#REF!</v>
      </c>
      <c r="V121" s="5" t="e">
        <f t="shared" si="51"/>
        <v>#REF!</v>
      </c>
      <c r="W121" s="5" t="e">
        <f t="shared" si="51"/>
        <v>#REF!</v>
      </c>
      <c r="X121" s="5" t="e">
        <f t="shared" si="51"/>
        <v>#REF!</v>
      </c>
      <c r="Y121" s="5" t="e">
        <f t="shared" si="51"/>
        <v>#REF!</v>
      </c>
      <c r="Z121" s="4" t="e">
        <f>SUM(E121:Y121)</f>
        <v>#REF!</v>
      </c>
      <c r="AA121" s="4" t="e">
        <f>E121+NPV($AA$2,F121:Y121)</f>
        <v>#REF!</v>
      </c>
      <c r="AB121" s="19" t="e">
        <f>AA121/$AA$140</f>
        <v>#REF!</v>
      </c>
      <c r="AC121" s="18" t="s">
        <v>93</v>
      </c>
    </row>
    <row r="122" spans="1:29" x14ac:dyDescent="0.3"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4"/>
      <c r="AA122" s="4"/>
      <c r="AB122" s="19"/>
      <c r="AC122" s="18"/>
    </row>
    <row r="123" spans="1:29" x14ac:dyDescent="0.3">
      <c r="A123" s="1" t="s">
        <v>22</v>
      </c>
      <c r="D123" s="1" t="s">
        <v>7</v>
      </c>
      <c r="E123" s="3" t="e">
        <f>#REF!-E23-E108-E114-E34-E40-E47-E84-E73</f>
        <v>#REF!</v>
      </c>
      <c r="F123" s="3" t="e">
        <f>#REF!-F23-F108-F114-F35-F41-F47-F84-F73</f>
        <v>#REF!</v>
      </c>
      <c r="G123" s="3" t="e">
        <f>#REF!-G23-G108-G114-G35-G41-G47-G84-G73</f>
        <v>#REF!</v>
      </c>
      <c r="H123" s="3" t="e">
        <f>#REF!-H23-H108-H114-H35-H41-H47-H84-H73</f>
        <v>#REF!</v>
      </c>
      <c r="I123" s="3" t="e">
        <f>#REF!-I23-I108-I114-I35-I41-I47-I84-I73</f>
        <v>#REF!</v>
      </c>
      <c r="J123" s="3" t="e">
        <f>#REF!-J23-J108-J114-J35-J41-J47-J84-J73</f>
        <v>#REF!</v>
      </c>
      <c r="K123" s="3" t="e">
        <f>#REF!-K23-K108-K114-K35-K41-K47-K84-K73</f>
        <v>#REF!</v>
      </c>
      <c r="L123" s="3" t="e">
        <f>#REF!-L23-L108-L114-L35-L41-L47-L84-L73</f>
        <v>#REF!</v>
      </c>
      <c r="M123" s="3" t="e">
        <f>#REF!-M23-M108-M114-M35-M41-M47-M84-M73</f>
        <v>#REF!</v>
      </c>
      <c r="N123" s="3" t="e">
        <f>#REF!-N23-N108-N114-N35-N41-N47-N84-N73</f>
        <v>#REF!</v>
      </c>
      <c r="O123" s="3" t="e">
        <f>#REF!-O23-O108-O114-O35-O41-O47-O84-O73</f>
        <v>#REF!</v>
      </c>
      <c r="P123" s="3" t="e">
        <f>#REF!-P23-P108-P114-P35-P41-P47-P84-P73</f>
        <v>#REF!</v>
      </c>
      <c r="Q123" s="3" t="e">
        <f>#REF!-Q23-Q108-Q114-Q35-Q41-Q47-Q84-Q73</f>
        <v>#REF!</v>
      </c>
      <c r="R123" s="3" t="e">
        <f>#REF!-R23-R108-R114-R35-R41-R47-R84-R73</f>
        <v>#REF!</v>
      </c>
      <c r="S123" s="3" t="e">
        <f>#REF!-S23-S108-S114-S35-S41-S47-S84-S73</f>
        <v>#REF!</v>
      </c>
      <c r="T123" s="3" t="e">
        <f>#REF!-T23-T108-T114-T35-T41-T47-T84-T73</f>
        <v>#REF!</v>
      </c>
      <c r="U123" s="3" t="e">
        <f>#REF!-U23-U108-U114-U35-U41-U47-U84-U73</f>
        <v>#REF!</v>
      </c>
      <c r="V123" s="3" t="e">
        <f>#REF!-V23-V108-V114-V35-V41-V47-V84-V73</f>
        <v>#REF!</v>
      </c>
      <c r="W123" s="3" t="e">
        <f>#REF!-W23-W108-W114-W35-W41-W47-W84-W73</f>
        <v>#REF!</v>
      </c>
      <c r="X123" s="3" t="e">
        <f>#REF!-X23-X108-X114-X35-X41-X47-X84-X73</f>
        <v>#REF!</v>
      </c>
      <c r="Y123" s="3" t="e">
        <f>#REF!-Y23-Y108-Y114-Y35-Y41-Y47-Y84-Y73</f>
        <v>#REF!</v>
      </c>
    </row>
    <row r="124" spans="1:29" x14ac:dyDescent="0.3">
      <c r="A124" s="1" t="s">
        <v>81</v>
      </c>
      <c r="D124" s="1" t="s">
        <v>7</v>
      </c>
      <c r="E124" s="3" t="e">
        <f>E123</f>
        <v>#REF!</v>
      </c>
      <c r="F124" s="3" t="e">
        <f>IF(E124&lt;0,E124+F123,F123)</f>
        <v>#REF!</v>
      </c>
      <c r="G124" s="3" t="e">
        <f t="shared" ref="G124:Y124" si="52">IF(F124&lt;0,F124+G123,G123)</f>
        <v>#REF!</v>
      </c>
      <c r="H124" s="3" t="e">
        <f t="shared" si="52"/>
        <v>#REF!</v>
      </c>
      <c r="I124" s="3" t="e">
        <f t="shared" si="52"/>
        <v>#REF!</v>
      </c>
      <c r="J124" s="3" t="e">
        <f t="shared" si="52"/>
        <v>#REF!</v>
      </c>
      <c r="K124" s="3" t="e">
        <f t="shared" si="52"/>
        <v>#REF!</v>
      </c>
      <c r="L124" s="3" t="e">
        <f t="shared" si="52"/>
        <v>#REF!</v>
      </c>
      <c r="M124" s="3" t="e">
        <f t="shared" si="52"/>
        <v>#REF!</v>
      </c>
      <c r="N124" s="3" t="e">
        <f t="shared" si="52"/>
        <v>#REF!</v>
      </c>
      <c r="O124" s="3" t="e">
        <f t="shared" si="52"/>
        <v>#REF!</v>
      </c>
      <c r="P124" s="3" t="e">
        <f t="shared" si="52"/>
        <v>#REF!</v>
      </c>
      <c r="Q124" s="3" t="e">
        <f t="shared" si="52"/>
        <v>#REF!</v>
      </c>
      <c r="R124" s="3" t="e">
        <f t="shared" si="52"/>
        <v>#REF!</v>
      </c>
      <c r="S124" s="3" t="e">
        <f t="shared" si="52"/>
        <v>#REF!</v>
      </c>
      <c r="T124" s="3" t="e">
        <f t="shared" si="52"/>
        <v>#REF!</v>
      </c>
      <c r="U124" s="3" t="e">
        <f t="shared" si="52"/>
        <v>#REF!</v>
      </c>
      <c r="V124" s="3" t="e">
        <f t="shared" si="52"/>
        <v>#REF!</v>
      </c>
      <c r="W124" s="3" t="e">
        <f t="shared" si="52"/>
        <v>#REF!</v>
      </c>
      <c r="X124" s="3" t="e">
        <f t="shared" si="52"/>
        <v>#REF!</v>
      </c>
      <c r="Y124" s="3" t="e">
        <f t="shared" si="52"/>
        <v>#REF!</v>
      </c>
    </row>
    <row r="125" spans="1:29" x14ac:dyDescent="0.3">
      <c r="A125" s="1" t="s">
        <v>16</v>
      </c>
      <c r="B125" s="6" t="s">
        <v>63</v>
      </c>
      <c r="D125" s="1" t="s">
        <v>9</v>
      </c>
      <c r="E125" s="9">
        <v>0.3</v>
      </c>
      <c r="F125" s="9">
        <v>0.3</v>
      </c>
      <c r="G125" s="9">
        <v>0.3</v>
      </c>
      <c r="H125" s="9">
        <v>0.3</v>
      </c>
      <c r="I125" s="9">
        <v>0.3</v>
      </c>
      <c r="J125" s="9">
        <v>0.3</v>
      </c>
      <c r="K125" s="9">
        <v>0.3</v>
      </c>
      <c r="L125" s="9">
        <v>0.3</v>
      </c>
      <c r="M125" s="9">
        <v>0.3</v>
      </c>
      <c r="N125" s="9">
        <v>0.3</v>
      </c>
      <c r="O125" s="9">
        <v>0.3</v>
      </c>
      <c r="P125" s="9">
        <v>0.3</v>
      </c>
      <c r="Q125" s="9">
        <v>0.3</v>
      </c>
      <c r="R125" s="9">
        <v>0.3</v>
      </c>
      <c r="S125" s="9">
        <v>0.3</v>
      </c>
      <c r="T125" s="9">
        <v>0.3</v>
      </c>
      <c r="U125" s="9">
        <v>0.3</v>
      </c>
      <c r="V125" s="9">
        <v>0.3</v>
      </c>
      <c r="W125" s="9">
        <v>0.3</v>
      </c>
      <c r="X125" s="9">
        <v>0.3</v>
      </c>
      <c r="Y125" s="9">
        <v>0.3</v>
      </c>
    </row>
    <row r="126" spans="1:29" x14ac:dyDescent="0.3">
      <c r="A126" s="1" t="s">
        <v>24</v>
      </c>
      <c r="D126" s="1" t="s">
        <v>7</v>
      </c>
      <c r="E126" s="5" t="e">
        <f t="shared" ref="E126:Y126" si="53">IF(E124&lt;0,0,E124*E125)</f>
        <v>#REF!</v>
      </c>
      <c r="F126" s="5" t="e">
        <f t="shared" si="53"/>
        <v>#REF!</v>
      </c>
      <c r="G126" s="5" t="e">
        <f t="shared" si="53"/>
        <v>#REF!</v>
      </c>
      <c r="H126" s="5" t="e">
        <f t="shared" si="53"/>
        <v>#REF!</v>
      </c>
      <c r="I126" s="5" t="e">
        <f t="shared" si="53"/>
        <v>#REF!</v>
      </c>
      <c r="J126" s="5" t="e">
        <f t="shared" si="53"/>
        <v>#REF!</v>
      </c>
      <c r="K126" s="5" t="e">
        <f t="shared" si="53"/>
        <v>#REF!</v>
      </c>
      <c r="L126" s="5" t="e">
        <f t="shared" si="53"/>
        <v>#REF!</v>
      </c>
      <c r="M126" s="5" t="e">
        <f t="shared" si="53"/>
        <v>#REF!</v>
      </c>
      <c r="N126" s="5" t="e">
        <f t="shared" si="53"/>
        <v>#REF!</v>
      </c>
      <c r="O126" s="5" t="e">
        <f t="shared" si="53"/>
        <v>#REF!</v>
      </c>
      <c r="P126" s="5" t="e">
        <f t="shared" si="53"/>
        <v>#REF!</v>
      </c>
      <c r="Q126" s="5" t="e">
        <f t="shared" si="53"/>
        <v>#REF!</v>
      </c>
      <c r="R126" s="5" t="e">
        <f t="shared" si="53"/>
        <v>#REF!</v>
      </c>
      <c r="S126" s="5" t="e">
        <f t="shared" si="53"/>
        <v>#REF!</v>
      </c>
      <c r="T126" s="5" t="e">
        <f t="shared" si="53"/>
        <v>#REF!</v>
      </c>
      <c r="U126" s="5" t="e">
        <f t="shared" si="53"/>
        <v>#REF!</v>
      </c>
      <c r="V126" s="5" t="e">
        <f t="shared" si="53"/>
        <v>#REF!</v>
      </c>
      <c r="W126" s="5" t="e">
        <f t="shared" si="53"/>
        <v>#REF!</v>
      </c>
      <c r="X126" s="5" t="e">
        <f t="shared" si="53"/>
        <v>#REF!</v>
      </c>
      <c r="Y126" s="5" t="e">
        <f t="shared" si="53"/>
        <v>#REF!</v>
      </c>
      <c r="Z126" s="4" t="e">
        <f>SUM(E126:Y126)</f>
        <v>#REF!</v>
      </c>
      <c r="AA126" s="4" t="e">
        <f>E126+NPV($AA$2,F126:Y126)</f>
        <v>#REF!</v>
      </c>
      <c r="AB126" s="19" t="e">
        <f>AA126/$AA$140</f>
        <v>#REF!</v>
      </c>
      <c r="AC126" s="18" t="s">
        <v>93</v>
      </c>
    </row>
    <row r="127" spans="1:29" x14ac:dyDescent="0.3">
      <c r="A127" s="6"/>
      <c r="B127" s="1"/>
      <c r="C127" s="6"/>
    </row>
    <row r="128" spans="1:29" x14ac:dyDescent="0.3">
      <c r="A128" s="1" t="s">
        <v>22</v>
      </c>
      <c r="D128" s="1" t="s">
        <v>7</v>
      </c>
      <c r="E128" s="3" t="e">
        <f>#REF!-E23-E108-E114-E36-E42-E48-E81-E77</f>
        <v>#REF!</v>
      </c>
      <c r="F128" s="3" t="e">
        <f>#REF!-F23-F108-F114-F36-F42-F48-F81-F77</f>
        <v>#REF!</v>
      </c>
      <c r="G128" s="3" t="e">
        <f>#REF!-G23-G108-G114-G36-G42-G48-G81-G77</f>
        <v>#REF!</v>
      </c>
      <c r="H128" s="3" t="e">
        <f>#REF!-H23-H108-H114-H36-H42-H48-H81-H77</f>
        <v>#REF!</v>
      </c>
      <c r="I128" s="3" t="e">
        <f>#REF!-I23-I108-I114-I36-I42-I48-I81-I77</f>
        <v>#REF!</v>
      </c>
      <c r="J128" s="3" t="e">
        <f>#REF!-J23-J108-J114-J36-J42-J48-J81-J77</f>
        <v>#REF!</v>
      </c>
      <c r="K128" s="3" t="e">
        <f>#REF!-K23-K108-K114-K36-K42-K48-K81-K77</f>
        <v>#REF!</v>
      </c>
      <c r="L128" s="3" t="e">
        <f>#REF!-L23-L108-L114-L36-L42-L48-L81-L77</f>
        <v>#REF!</v>
      </c>
      <c r="M128" s="3" t="e">
        <f>#REF!-M23-M108-M114-M36-M42-M48-M81-M77</f>
        <v>#REF!</v>
      </c>
      <c r="N128" s="3" t="e">
        <f>#REF!-N23-N108-N114-N36-N42-N48-N81-N77</f>
        <v>#REF!</v>
      </c>
      <c r="O128" s="3" t="e">
        <f>#REF!-O23-O108-O114-O36-O42-O48-O81-O77</f>
        <v>#REF!</v>
      </c>
      <c r="P128" s="3" t="e">
        <f>#REF!-P23-P108-P114-P36-P42-P48-P81-P77</f>
        <v>#REF!</v>
      </c>
      <c r="Q128" s="3" t="e">
        <f>#REF!-Q23-Q108-Q114-Q36-Q42-Q48-Q81-Q77</f>
        <v>#REF!</v>
      </c>
      <c r="R128" s="3" t="e">
        <f>#REF!-R23-R108-R114-R36-R42-R48-R81-R77</f>
        <v>#REF!</v>
      </c>
      <c r="S128" s="3" t="e">
        <f>#REF!-S23-S108-S114-S36-S42-S48-S81-S77</f>
        <v>#REF!</v>
      </c>
      <c r="T128" s="3" t="e">
        <f>#REF!-T23-T108-T114-T36-T42-T48-T81-T77</f>
        <v>#REF!</v>
      </c>
      <c r="U128" s="3" t="e">
        <f>#REF!-U23-U108-U114-U36-U42-U48-U81-U77</f>
        <v>#REF!</v>
      </c>
      <c r="V128" s="3" t="e">
        <f>#REF!-V23-V108-V114-V36-V42-V48-V81-V77</f>
        <v>#REF!</v>
      </c>
      <c r="W128" s="3" t="e">
        <f>#REF!-W23-W108-W114-W36-W42-W48-W81-W77</f>
        <v>#REF!</v>
      </c>
      <c r="X128" s="3" t="e">
        <f>#REF!-X23-X108-X114-X36-X42-X48-X81-X77</f>
        <v>#REF!</v>
      </c>
      <c r="Y128" s="3" t="e">
        <f>#REF!-Y23-Y108-Y114-Y36-Y42-Y48-Y81-Y77</f>
        <v>#REF!</v>
      </c>
    </row>
    <row r="129" spans="1:29" x14ac:dyDescent="0.3">
      <c r="A129" s="1" t="s">
        <v>81</v>
      </c>
      <c r="D129" s="1" t="s">
        <v>7</v>
      </c>
      <c r="E129" s="3" t="e">
        <f>E128</f>
        <v>#REF!</v>
      </c>
      <c r="F129" s="3" t="e">
        <f>IF(E129&lt;0,E129+F128,F128)</f>
        <v>#REF!</v>
      </c>
      <c r="G129" s="3" t="e">
        <f t="shared" ref="G129:Y129" si="54">IF(F129&lt;0,F129+G128,G128)</f>
        <v>#REF!</v>
      </c>
      <c r="H129" s="3" t="e">
        <f t="shared" si="54"/>
        <v>#REF!</v>
      </c>
      <c r="I129" s="3" t="e">
        <f t="shared" si="54"/>
        <v>#REF!</v>
      </c>
      <c r="J129" s="3" t="e">
        <f t="shared" si="54"/>
        <v>#REF!</v>
      </c>
      <c r="K129" s="3" t="e">
        <f t="shared" si="54"/>
        <v>#REF!</v>
      </c>
      <c r="L129" s="3" t="e">
        <f t="shared" si="54"/>
        <v>#REF!</v>
      </c>
      <c r="M129" s="3" t="e">
        <f t="shared" si="54"/>
        <v>#REF!</v>
      </c>
      <c r="N129" s="3" t="e">
        <f t="shared" si="54"/>
        <v>#REF!</v>
      </c>
      <c r="O129" s="3" t="e">
        <f t="shared" si="54"/>
        <v>#REF!</v>
      </c>
      <c r="P129" s="3" t="e">
        <f t="shared" si="54"/>
        <v>#REF!</v>
      </c>
      <c r="Q129" s="3" t="e">
        <f t="shared" si="54"/>
        <v>#REF!</v>
      </c>
      <c r="R129" s="3" t="e">
        <f t="shared" si="54"/>
        <v>#REF!</v>
      </c>
      <c r="S129" s="3" t="e">
        <f t="shared" si="54"/>
        <v>#REF!</v>
      </c>
      <c r="T129" s="3" t="e">
        <f t="shared" si="54"/>
        <v>#REF!</v>
      </c>
      <c r="U129" s="3" t="e">
        <f t="shared" si="54"/>
        <v>#REF!</v>
      </c>
      <c r="V129" s="3" t="e">
        <f t="shared" si="54"/>
        <v>#REF!</v>
      </c>
      <c r="W129" s="3" t="e">
        <f t="shared" si="54"/>
        <v>#REF!</v>
      </c>
      <c r="X129" s="3" t="e">
        <f t="shared" si="54"/>
        <v>#REF!</v>
      </c>
      <c r="Y129" s="3" t="e">
        <f t="shared" si="54"/>
        <v>#REF!</v>
      </c>
    </row>
    <row r="130" spans="1:29" x14ac:dyDescent="0.3">
      <c r="A130" s="1" t="s">
        <v>16</v>
      </c>
      <c r="B130" s="6" t="s">
        <v>124</v>
      </c>
      <c r="D130" s="1" t="s">
        <v>9</v>
      </c>
      <c r="E130" s="9">
        <v>0.33</v>
      </c>
      <c r="F130" s="9">
        <v>0.33</v>
      </c>
      <c r="G130" s="9">
        <v>0.33</v>
      </c>
      <c r="H130" s="9">
        <v>0.33</v>
      </c>
      <c r="I130" s="9">
        <v>0.33</v>
      </c>
      <c r="J130" s="9">
        <v>0.33</v>
      </c>
      <c r="K130" s="9">
        <v>0.33</v>
      </c>
      <c r="L130" s="9">
        <v>0.33</v>
      </c>
      <c r="M130" s="9">
        <v>0.33</v>
      </c>
      <c r="N130" s="9">
        <v>0.33</v>
      </c>
      <c r="O130" s="9">
        <v>0.33</v>
      </c>
      <c r="P130" s="9">
        <v>0.33</v>
      </c>
      <c r="Q130" s="9">
        <v>0.33</v>
      </c>
      <c r="R130" s="9">
        <v>0.33</v>
      </c>
      <c r="S130" s="9">
        <v>0.33</v>
      </c>
      <c r="T130" s="9">
        <v>0.33</v>
      </c>
      <c r="U130" s="9">
        <v>0.33</v>
      </c>
      <c r="V130" s="9">
        <v>0.33</v>
      </c>
      <c r="W130" s="9">
        <v>0.33</v>
      </c>
      <c r="X130" s="9">
        <v>0.33</v>
      </c>
      <c r="Y130" s="9">
        <v>0.33</v>
      </c>
    </row>
    <row r="131" spans="1:29" x14ac:dyDescent="0.3">
      <c r="A131" s="1" t="s">
        <v>24</v>
      </c>
      <c r="B131" s="6" t="s">
        <v>95</v>
      </c>
      <c r="D131" s="1" t="s">
        <v>7</v>
      </c>
      <c r="E131" s="5" t="e">
        <f>IF(E129&lt;0,0,E129*E130)</f>
        <v>#REF!</v>
      </c>
      <c r="F131" s="5" t="e">
        <f t="shared" ref="F131:Y131" si="55">IF(F129&lt;0,0,F129*F130)</f>
        <v>#REF!</v>
      </c>
      <c r="G131" s="5" t="e">
        <f t="shared" si="55"/>
        <v>#REF!</v>
      </c>
      <c r="H131" s="5" t="e">
        <f t="shared" si="55"/>
        <v>#REF!</v>
      </c>
      <c r="I131" s="5" t="e">
        <f t="shared" si="55"/>
        <v>#REF!</v>
      </c>
      <c r="J131" s="5" t="e">
        <f t="shared" si="55"/>
        <v>#REF!</v>
      </c>
      <c r="K131" s="5" t="e">
        <f t="shared" si="55"/>
        <v>#REF!</v>
      </c>
      <c r="L131" s="5" t="e">
        <f t="shared" si="55"/>
        <v>#REF!</v>
      </c>
      <c r="M131" s="5" t="e">
        <f t="shared" si="55"/>
        <v>#REF!</v>
      </c>
      <c r="N131" s="5" t="e">
        <f t="shared" si="55"/>
        <v>#REF!</v>
      </c>
      <c r="O131" s="5" t="e">
        <f t="shared" si="55"/>
        <v>#REF!</v>
      </c>
      <c r="P131" s="5" t="e">
        <f t="shared" si="55"/>
        <v>#REF!</v>
      </c>
      <c r="Q131" s="5" t="e">
        <f t="shared" si="55"/>
        <v>#REF!</v>
      </c>
      <c r="R131" s="5" t="e">
        <f t="shared" si="55"/>
        <v>#REF!</v>
      </c>
      <c r="S131" s="5" t="e">
        <f t="shared" si="55"/>
        <v>#REF!</v>
      </c>
      <c r="T131" s="5" t="e">
        <f t="shared" si="55"/>
        <v>#REF!</v>
      </c>
      <c r="U131" s="5" t="e">
        <f t="shared" si="55"/>
        <v>#REF!</v>
      </c>
      <c r="V131" s="5" t="e">
        <f t="shared" si="55"/>
        <v>#REF!</v>
      </c>
      <c r="W131" s="5" t="e">
        <f t="shared" si="55"/>
        <v>#REF!</v>
      </c>
      <c r="X131" s="5" t="e">
        <f t="shared" si="55"/>
        <v>#REF!</v>
      </c>
      <c r="Y131" s="5" t="e">
        <f t="shared" si="55"/>
        <v>#REF!</v>
      </c>
      <c r="Z131" s="4" t="e">
        <f>SUM(E131:Y131)</f>
        <v>#REF!</v>
      </c>
      <c r="AA131" s="4" t="e">
        <f>E131+NPV($AA$2,F131:Y131)</f>
        <v>#REF!</v>
      </c>
      <c r="AB131" s="19" t="e">
        <f>AA131/$AA$141</f>
        <v>#REF!</v>
      </c>
      <c r="AC131" s="18" t="s">
        <v>93</v>
      </c>
    </row>
    <row r="133" spans="1:29" x14ac:dyDescent="0.3">
      <c r="A133" s="12" t="s">
        <v>26</v>
      </c>
      <c r="B133" s="12"/>
      <c r="C133" s="12"/>
    </row>
    <row r="134" spans="1:29" x14ac:dyDescent="0.3">
      <c r="A134" s="1" t="s">
        <v>16</v>
      </c>
      <c r="B134" s="6" t="s">
        <v>63</v>
      </c>
      <c r="D134" s="1" t="s">
        <v>9</v>
      </c>
      <c r="E134" s="9">
        <v>0.1</v>
      </c>
      <c r="F134" s="9">
        <v>0.1</v>
      </c>
      <c r="G134" s="9">
        <v>0.1</v>
      </c>
      <c r="H134" s="9">
        <v>0.1</v>
      </c>
      <c r="I134" s="9">
        <v>0.1</v>
      </c>
      <c r="J134" s="9">
        <v>0.1</v>
      </c>
      <c r="K134" s="9">
        <v>0.1</v>
      </c>
      <c r="L134" s="9">
        <v>0.1</v>
      </c>
      <c r="M134" s="9">
        <v>0.1</v>
      </c>
      <c r="N134" s="9">
        <v>0.1</v>
      </c>
      <c r="O134" s="9">
        <v>0.1</v>
      </c>
      <c r="P134" s="9">
        <v>0.1</v>
      </c>
      <c r="Q134" s="9">
        <v>0.1</v>
      </c>
      <c r="R134" s="9">
        <v>0.1</v>
      </c>
      <c r="S134" s="9">
        <v>0.1</v>
      </c>
      <c r="T134" s="9">
        <v>0.1</v>
      </c>
      <c r="U134" s="9">
        <v>0.1</v>
      </c>
      <c r="V134" s="9">
        <v>0.1</v>
      </c>
      <c r="W134" s="9">
        <v>0.1</v>
      </c>
      <c r="X134" s="9">
        <v>0.1</v>
      </c>
      <c r="Y134" s="9">
        <v>0.1</v>
      </c>
    </row>
    <row r="135" spans="1:29" x14ac:dyDescent="0.3">
      <c r="A135" s="1" t="s">
        <v>16</v>
      </c>
      <c r="B135" s="6" t="s">
        <v>106</v>
      </c>
      <c r="D135" s="1" t="s">
        <v>9</v>
      </c>
      <c r="E135" s="9">
        <v>0.1</v>
      </c>
      <c r="F135" s="9">
        <v>0.1</v>
      </c>
      <c r="G135" s="9">
        <v>0.1</v>
      </c>
      <c r="H135" s="9">
        <v>0.1</v>
      </c>
      <c r="I135" s="9">
        <v>0.1</v>
      </c>
      <c r="J135" s="9">
        <v>0.1</v>
      </c>
      <c r="K135" s="9">
        <v>0.1</v>
      </c>
      <c r="L135" s="9">
        <v>0.1</v>
      </c>
      <c r="M135" s="9">
        <v>0.1</v>
      </c>
      <c r="N135" s="9">
        <v>0.1</v>
      </c>
      <c r="O135" s="9">
        <v>0.1</v>
      </c>
      <c r="P135" s="9">
        <v>0.1</v>
      </c>
      <c r="Q135" s="9">
        <v>0.1</v>
      </c>
      <c r="R135" s="9">
        <v>0.1</v>
      </c>
      <c r="S135" s="9">
        <v>0.1</v>
      </c>
      <c r="T135" s="9">
        <v>0.1</v>
      </c>
      <c r="U135" s="9">
        <v>0.1</v>
      </c>
      <c r="V135" s="9">
        <v>0.1</v>
      </c>
      <c r="W135" s="9">
        <v>0.1</v>
      </c>
      <c r="X135" s="9">
        <v>0.1</v>
      </c>
      <c r="Y135" s="9">
        <v>0.1</v>
      </c>
    </row>
    <row r="136" spans="1:29" x14ac:dyDescent="0.3">
      <c r="A136" s="1" t="s">
        <v>16</v>
      </c>
      <c r="B136" s="6" t="s">
        <v>95</v>
      </c>
      <c r="D136" s="1" t="s">
        <v>9</v>
      </c>
      <c r="E136" s="9">
        <v>0.18</v>
      </c>
      <c r="F136" s="9">
        <v>0.18</v>
      </c>
      <c r="G136" s="9">
        <v>0.18</v>
      </c>
      <c r="H136" s="9">
        <v>0.18</v>
      </c>
      <c r="I136" s="9">
        <v>0.18</v>
      </c>
      <c r="J136" s="9">
        <v>0.18</v>
      </c>
      <c r="K136" s="9">
        <v>0.18</v>
      </c>
      <c r="L136" s="9">
        <v>0.18</v>
      </c>
      <c r="M136" s="9">
        <v>0.18</v>
      </c>
      <c r="N136" s="9">
        <v>0.18</v>
      </c>
      <c r="O136" s="9">
        <v>0.18</v>
      </c>
      <c r="P136" s="9">
        <v>0.18</v>
      </c>
      <c r="Q136" s="9">
        <v>0.18</v>
      </c>
      <c r="R136" s="9">
        <v>0.18</v>
      </c>
      <c r="S136" s="9">
        <v>0.18</v>
      </c>
      <c r="T136" s="9">
        <v>0.18</v>
      </c>
      <c r="U136" s="9">
        <v>0.18</v>
      </c>
      <c r="V136" s="9">
        <v>0.18</v>
      </c>
      <c r="W136" s="9">
        <v>0.18</v>
      </c>
      <c r="X136" s="9">
        <v>0.18</v>
      </c>
      <c r="Y136" s="9">
        <v>0.18</v>
      </c>
    </row>
    <row r="138" spans="1:29" x14ac:dyDescent="0.3">
      <c r="A138" s="12" t="s">
        <v>116</v>
      </c>
      <c r="B138" s="12"/>
      <c r="C138" s="12"/>
    </row>
    <row r="139" spans="1:29" x14ac:dyDescent="0.3">
      <c r="A139" s="6"/>
      <c r="B139" s="6" t="s">
        <v>106</v>
      </c>
      <c r="C139" s="6"/>
      <c r="D139" s="1" t="s">
        <v>7</v>
      </c>
      <c r="E139" s="5">
        <f>E34+E40+E46+E72+E83+E125</f>
        <v>50000.790000000008</v>
      </c>
      <c r="F139" s="5" t="e">
        <f>F34+F40+F46+F72+F83+F125</f>
        <v>#REF!</v>
      </c>
      <c r="G139" s="5" t="e">
        <f>G34+G40+G46+G72+G83+G125</f>
        <v>#REF!</v>
      </c>
      <c r="H139" s="5" t="e">
        <f>H34+H40+H46+H72+H83+H125</f>
        <v>#REF!</v>
      </c>
      <c r="I139" s="5" t="e">
        <f>I34+I40+I46+I72+I83+I125</f>
        <v>#REF!</v>
      </c>
      <c r="J139" s="5" t="e">
        <f>J34+J40+J46+J72+J83+J125</f>
        <v>#REF!</v>
      </c>
      <c r="K139" s="5" t="e">
        <f>K34+K40+K46+K72+K83+K125</f>
        <v>#REF!</v>
      </c>
      <c r="L139" s="5" t="e">
        <f>L34+L40+L46+L72+L83+L125</f>
        <v>#REF!</v>
      </c>
      <c r="M139" s="5" t="e">
        <f>M34+M40+M46+M72+M83+M125</f>
        <v>#REF!</v>
      </c>
      <c r="N139" s="5" t="e">
        <f>N34+N40+N46+N72+N83+N125</f>
        <v>#REF!</v>
      </c>
      <c r="O139" s="5" t="e">
        <f>O34+O40+O46+O72+O83+O125</f>
        <v>#REF!</v>
      </c>
      <c r="P139" s="5" t="e">
        <f>P34+P40+P46+P72+P83+P125</f>
        <v>#REF!</v>
      </c>
      <c r="Q139" s="5" t="e">
        <f>Q34+Q40+Q46+Q72+Q83+Q125</f>
        <v>#REF!</v>
      </c>
      <c r="R139" s="5" t="e">
        <f>R34+R40+R46+R72+R83+R125</f>
        <v>#REF!</v>
      </c>
      <c r="S139" s="5" t="e">
        <f>S34+S40+S46+S72+S83+S125</f>
        <v>#REF!</v>
      </c>
      <c r="T139" s="5" t="e">
        <f>T34+T40+T46+T72+T83+T125</f>
        <v>#REF!</v>
      </c>
      <c r="U139" s="5" t="e">
        <f>U34+U40+U46+U72+U83+U125</f>
        <v>#REF!</v>
      </c>
      <c r="V139" s="5" t="e">
        <f>V34+V40+V46+V72+V83+V125</f>
        <v>#REF!</v>
      </c>
      <c r="W139" s="5" t="e">
        <f>W34+W40+W46+W72+W83+W125</f>
        <v>#REF!</v>
      </c>
      <c r="X139" s="5" t="e">
        <f>X34+X40+X46+X72+X83+X125</f>
        <v>#REF!</v>
      </c>
      <c r="Y139" s="5" t="e">
        <f>Y34+Y40+Y46+Y72+Y83+Y125</f>
        <v>#REF!</v>
      </c>
      <c r="Z139" s="4" t="e">
        <f>SUM(E139:Y139)</f>
        <v>#REF!</v>
      </c>
      <c r="AA139" s="4" t="e">
        <f>E139+NPV($AA$2,F139:Y139)</f>
        <v>#REF!</v>
      </c>
      <c r="AB139" s="10" t="e">
        <f>AA139/#REF!</f>
        <v>#REF!</v>
      </c>
      <c r="AC139" s="14" t="s">
        <v>84</v>
      </c>
    </row>
    <row r="140" spans="1:29" x14ac:dyDescent="0.3">
      <c r="A140" s="6"/>
      <c r="B140" s="6" t="s">
        <v>63</v>
      </c>
      <c r="C140" s="6"/>
      <c r="D140" s="1" t="s">
        <v>7</v>
      </c>
      <c r="E140" s="5" t="e">
        <f>E35+E41+E47+E73+E84+E126</f>
        <v>#REF!</v>
      </c>
      <c r="F140" s="5" t="e">
        <f>F35+F41+F47+F73+F84+F126</f>
        <v>#REF!</v>
      </c>
      <c r="G140" s="5" t="e">
        <f>G35+G41+G47+G73+G84+G126</f>
        <v>#REF!</v>
      </c>
      <c r="H140" s="5" t="e">
        <f>H35+H41+H47+H73+H84+H126</f>
        <v>#REF!</v>
      </c>
      <c r="I140" s="5" t="e">
        <f>I35+I41+I47+I73+I84+I126</f>
        <v>#REF!</v>
      </c>
      <c r="J140" s="5" t="e">
        <f>J35+J41+J47+J73+J84+J126</f>
        <v>#REF!</v>
      </c>
      <c r="K140" s="5" t="e">
        <f>K35+K41+K47+K73+K84+K126</f>
        <v>#REF!</v>
      </c>
      <c r="L140" s="5" t="e">
        <f>L35+L41+L47+L73+L84+L126</f>
        <v>#REF!</v>
      </c>
      <c r="M140" s="5" t="e">
        <f>M35+M41+M47+M73+M84+M126</f>
        <v>#REF!</v>
      </c>
      <c r="N140" s="5" t="e">
        <f>N35+N41+N47+N73+N84+N126</f>
        <v>#REF!</v>
      </c>
      <c r="O140" s="5" t="e">
        <f>O35+O41+O47+O73+O84+O126</f>
        <v>#REF!</v>
      </c>
      <c r="P140" s="5" t="e">
        <f>P35+P41+P47+P73+P84+P126</f>
        <v>#REF!</v>
      </c>
      <c r="Q140" s="5" t="e">
        <f>Q35+Q41+Q47+Q73+Q84+Q126</f>
        <v>#REF!</v>
      </c>
      <c r="R140" s="5" t="e">
        <f>R35+R41+R47+R73+R84+R126</f>
        <v>#REF!</v>
      </c>
      <c r="S140" s="5" t="e">
        <f>S35+S41+S47+S73+S84+S126</f>
        <v>#REF!</v>
      </c>
      <c r="T140" s="5" t="e">
        <f>T35+T41+T47+T73+T84+T126</f>
        <v>#REF!</v>
      </c>
      <c r="U140" s="5" t="e">
        <f>U35+U41+U47+U73+U84+U126</f>
        <v>#REF!</v>
      </c>
      <c r="V140" s="5" t="e">
        <f>V35+V41+V47+V73+V84+V126</f>
        <v>#REF!</v>
      </c>
      <c r="W140" s="5" t="e">
        <f>W35+W41+W47+W73+W84+W126</f>
        <v>#REF!</v>
      </c>
      <c r="X140" s="5" t="e">
        <f>X35+X41+X47+X73+X84+X126</f>
        <v>#REF!</v>
      </c>
      <c r="Y140" s="5" t="e">
        <f>Y35+Y41+Y47+Y73+Y84+Y126</f>
        <v>#REF!</v>
      </c>
      <c r="Z140" s="4" t="e">
        <f>SUM(E140:Y140)</f>
        <v>#REF!</v>
      </c>
      <c r="AA140" s="4" t="e">
        <f>E140+NPV($AA$2,F140:Y140)</f>
        <v>#REF!</v>
      </c>
      <c r="AB140" s="10" t="e">
        <f>AA140/#REF!</f>
        <v>#REF!</v>
      </c>
      <c r="AC140" s="14" t="s">
        <v>84</v>
      </c>
    </row>
    <row r="141" spans="1:29" x14ac:dyDescent="0.3">
      <c r="A141" s="6"/>
      <c r="B141" s="6" t="s">
        <v>95</v>
      </c>
      <c r="C141" s="6"/>
      <c r="D141" s="1" t="s">
        <v>7</v>
      </c>
      <c r="E141" s="5" t="e">
        <f>E36+E42+E48+E77+E81+E131</f>
        <v>#REF!</v>
      </c>
      <c r="F141" s="5" t="e">
        <f>F36+F42+F48+F77+F81+F131</f>
        <v>#REF!</v>
      </c>
      <c r="G141" s="5" t="e">
        <f>G36+G42+G48+G77+G81+G131</f>
        <v>#REF!</v>
      </c>
      <c r="H141" s="5" t="e">
        <f>H36+H42+H48+H77+H81+H131</f>
        <v>#REF!</v>
      </c>
      <c r="I141" s="5" t="e">
        <f>I36+I42+I48+I77+I81+I131</f>
        <v>#REF!</v>
      </c>
      <c r="J141" s="5" t="e">
        <f>J36+J42+J48+J77+J81+J131</f>
        <v>#REF!</v>
      </c>
      <c r="K141" s="5" t="e">
        <f>K36+K42+K48+K77+K81+K131</f>
        <v>#REF!</v>
      </c>
      <c r="L141" s="5" t="e">
        <f>L36+L42+L48+L77+L81+L131</f>
        <v>#REF!</v>
      </c>
      <c r="M141" s="5" t="e">
        <f>M36+M42+M48+M77+M81+M131</f>
        <v>#REF!</v>
      </c>
      <c r="N141" s="5" t="e">
        <f>N36+N42+N48+N77+N81+N131</f>
        <v>#REF!</v>
      </c>
      <c r="O141" s="5" t="e">
        <f>O36+O42+O48+O77+O81+O131</f>
        <v>#REF!</v>
      </c>
      <c r="P141" s="5" t="e">
        <f>P36+P42+P48+P77+P81+P131</f>
        <v>#REF!</v>
      </c>
      <c r="Q141" s="5" t="e">
        <f>Q36+Q42+Q48+Q77+Q81+Q131</f>
        <v>#REF!</v>
      </c>
      <c r="R141" s="5" t="e">
        <f>R36+R42+R48+R77+R81+R131</f>
        <v>#REF!</v>
      </c>
      <c r="S141" s="5" t="e">
        <f>S36+S42+S48+S77+S81+S131</f>
        <v>#REF!</v>
      </c>
      <c r="T141" s="5" t="e">
        <f>T36+T42+T48+T77+T81+T131</f>
        <v>#REF!</v>
      </c>
      <c r="U141" s="5" t="e">
        <f>U36+U42+U48+U77+U81+U131</f>
        <v>#REF!</v>
      </c>
      <c r="V141" s="5" t="e">
        <f>V36+V42+V48+V77+V81+V131</f>
        <v>#REF!</v>
      </c>
      <c r="W141" s="5" t="e">
        <f>W36+W42+W48+W77+W81+W131</f>
        <v>#REF!</v>
      </c>
      <c r="X141" s="5" t="e">
        <f>X36+X42+X48+X77+X81+X131</f>
        <v>#REF!</v>
      </c>
      <c r="Y141" s="5" t="e">
        <f>Y36+Y42+Y48+Y77+Y81+Y131</f>
        <v>#REF!</v>
      </c>
      <c r="Z141" s="5" t="e">
        <f>Z36+Z42+Z48+Z77+Z81+Z131</f>
        <v>#REF!</v>
      </c>
      <c r="AA141" s="5" t="e">
        <f>AA36+AA42+AA48+AA77+AA81+AA131</f>
        <v>#REF!</v>
      </c>
      <c r="AB141" s="10" t="e">
        <f>AA141/#REF!</f>
        <v>#REF!</v>
      </c>
      <c r="AC141" s="14" t="s">
        <v>84</v>
      </c>
    </row>
    <row r="143" spans="1:29" x14ac:dyDescent="0.3">
      <c r="A143" s="12" t="s">
        <v>82</v>
      </c>
      <c r="B143" s="12"/>
      <c r="C143" s="12"/>
    </row>
    <row r="144" spans="1:29" x14ac:dyDescent="0.3">
      <c r="A144" s="1" t="s">
        <v>27</v>
      </c>
      <c r="B144" s="6" t="s">
        <v>106</v>
      </c>
      <c r="D144" s="1" t="s">
        <v>7</v>
      </c>
      <c r="E144" s="5" t="e">
        <f>+#REF!-E139</f>
        <v>#REF!</v>
      </c>
      <c r="F144" s="5" t="e">
        <f>+#REF!-F139</f>
        <v>#REF!</v>
      </c>
      <c r="G144" s="5" t="e">
        <f>+#REF!-G139</f>
        <v>#REF!</v>
      </c>
      <c r="H144" s="5" t="e">
        <f>+#REF!-H139</f>
        <v>#REF!</v>
      </c>
      <c r="I144" s="5" t="e">
        <f>+#REF!-I139</f>
        <v>#REF!</v>
      </c>
      <c r="J144" s="5" t="e">
        <f>+#REF!-J139</f>
        <v>#REF!</v>
      </c>
      <c r="K144" s="5" t="e">
        <f>+#REF!-K139</f>
        <v>#REF!</v>
      </c>
      <c r="L144" s="5" t="e">
        <f>+#REF!-L139</f>
        <v>#REF!</v>
      </c>
      <c r="M144" s="5" t="e">
        <f>+#REF!-M139</f>
        <v>#REF!</v>
      </c>
      <c r="N144" s="5" t="e">
        <f>+#REF!-N139</f>
        <v>#REF!</v>
      </c>
      <c r="O144" s="5" t="e">
        <f>+#REF!-O139</f>
        <v>#REF!</v>
      </c>
      <c r="P144" s="5" t="e">
        <f>+#REF!-P139</f>
        <v>#REF!</v>
      </c>
      <c r="Q144" s="5" t="e">
        <f>+#REF!-Q139</f>
        <v>#REF!</v>
      </c>
      <c r="R144" s="5" t="e">
        <f>+#REF!-R139</f>
        <v>#REF!</v>
      </c>
      <c r="S144" s="5" t="e">
        <f>+#REF!-S139</f>
        <v>#REF!</v>
      </c>
      <c r="T144" s="5" t="e">
        <f>+#REF!-T139</f>
        <v>#REF!</v>
      </c>
      <c r="U144" s="5" t="e">
        <f>+#REF!-U139</f>
        <v>#REF!</v>
      </c>
      <c r="V144" s="5" t="e">
        <f>+#REF!-V139</f>
        <v>#REF!</v>
      </c>
      <c r="W144" s="5" t="e">
        <f>+#REF!-W139</f>
        <v>#REF!</v>
      </c>
      <c r="X144" s="5" t="e">
        <f>+#REF!-X139</f>
        <v>#REF!</v>
      </c>
      <c r="Y144" s="5" t="e">
        <f>+#REF!-Y139</f>
        <v>#REF!</v>
      </c>
      <c r="Z144" s="4" t="e">
        <f>SUM(E144:Y144)</f>
        <v>#REF!</v>
      </c>
      <c r="AA144" s="4" t="e">
        <f>E144+NPV($AA$2,F144:Y144)</f>
        <v>#REF!</v>
      </c>
      <c r="AB144" s="10" t="e">
        <f>AA144/#REF!</f>
        <v>#REF!</v>
      </c>
      <c r="AC144" s="14" t="s">
        <v>85</v>
      </c>
    </row>
    <row r="145" spans="1:29" x14ac:dyDescent="0.3">
      <c r="A145" s="1" t="s">
        <v>86</v>
      </c>
      <c r="B145" s="6" t="s">
        <v>106</v>
      </c>
      <c r="D145" s="1" t="s">
        <v>9</v>
      </c>
      <c r="Z145" s="15" t="e">
        <f>IRR(E144:Y144)</f>
        <v>#VALUE!</v>
      </c>
      <c r="AA145" s="14" t="s">
        <v>87</v>
      </c>
    </row>
    <row r="146" spans="1:29" x14ac:dyDescent="0.3">
      <c r="A146" s="1" t="s">
        <v>27</v>
      </c>
      <c r="B146" s="6" t="s">
        <v>63</v>
      </c>
      <c r="D146" s="1" t="s">
        <v>7</v>
      </c>
      <c r="E146" s="5" t="e">
        <f>#REF!-E140</f>
        <v>#REF!</v>
      </c>
      <c r="F146" s="5" t="e">
        <f>#REF!-F140</f>
        <v>#REF!</v>
      </c>
      <c r="G146" s="5" t="e">
        <f>#REF!-G140</f>
        <v>#REF!</v>
      </c>
      <c r="H146" s="5" t="e">
        <f>#REF!-H140</f>
        <v>#REF!</v>
      </c>
      <c r="I146" s="5" t="e">
        <f>#REF!-I140</f>
        <v>#REF!</v>
      </c>
      <c r="J146" s="5" t="e">
        <f>#REF!-J140</f>
        <v>#REF!</v>
      </c>
      <c r="K146" s="5" t="e">
        <f>#REF!-K140</f>
        <v>#REF!</v>
      </c>
      <c r="L146" s="5" t="e">
        <f>#REF!-L140</f>
        <v>#REF!</v>
      </c>
      <c r="M146" s="5" t="e">
        <f>#REF!-M140</f>
        <v>#REF!</v>
      </c>
      <c r="N146" s="5" t="e">
        <f>#REF!-N140</f>
        <v>#REF!</v>
      </c>
      <c r="O146" s="5" t="e">
        <f>#REF!-O140</f>
        <v>#REF!</v>
      </c>
      <c r="P146" s="5" t="e">
        <f>#REF!-P140</f>
        <v>#REF!</v>
      </c>
      <c r="Q146" s="5" t="e">
        <f>#REF!-Q140</f>
        <v>#REF!</v>
      </c>
      <c r="R146" s="5" t="e">
        <f>#REF!-R140</f>
        <v>#REF!</v>
      </c>
      <c r="S146" s="5" t="e">
        <f>#REF!-S140</f>
        <v>#REF!</v>
      </c>
      <c r="T146" s="5" t="e">
        <f>#REF!-T140</f>
        <v>#REF!</v>
      </c>
      <c r="U146" s="5" t="e">
        <f>#REF!-U140</f>
        <v>#REF!</v>
      </c>
      <c r="V146" s="5" t="e">
        <f>#REF!-V140</f>
        <v>#REF!</v>
      </c>
      <c r="W146" s="5" t="e">
        <f>#REF!-W140</f>
        <v>#REF!</v>
      </c>
      <c r="X146" s="5" t="e">
        <f>#REF!-X140</f>
        <v>#REF!</v>
      </c>
      <c r="Y146" s="5" t="e">
        <f>#REF!-Y140</f>
        <v>#REF!</v>
      </c>
      <c r="Z146" s="4" t="e">
        <f>SUM(E146:Y146)</f>
        <v>#REF!</v>
      </c>
      <c r="AA146" s="4" t="e">
        <f>E146+NPV($AA$2,F146:Y146)</f>
        <v>#REF!</v>
      </c>
      <c r="AB146" s="10" t="e">
        <f>AA146/#REF!</f>
        <v>#REF!</v>
      </c>
      <c r="AC146" s="14" t="s">
        <v>85</v>
      </c>
    </row>
    <row r="147" spans="1:29" x14ac:dyDescent="0.3">
      <c r="A147" s="1" t="s">
        <v>86</v>
      </c>
      <c r="B147" s="6" t="s">
        <v>63</v>
      </c>
      <c r="D147" s="1" t="s">
        <v>9</v>
      </c>
      <c r="Z147" s="15" t="e">
        <f>IRR(E146:Y146)</f>
        <v>#VALUE!</v>
      </c>
      <c r="AA147" s="14" t="s">
        <v>87</v>
      </c>
    </row>
    <row r="148" spans="1:29" x14ac:dyDescent="0.3">
      <c r="A148" s="1" t="s">
        <v>27</v>
      </c>
      <c r="B148" s="6" t="s">
        <v>95</v>
      </c>
      <c r="D148" s="1" t="s">
        <v>7</v>
      </c>
      <c r="E148" s="5" t="e">
        <f>#REF!-E141</f>
        <v>#REF!</v>
      </c>
      <c r="F148" s="5" t="e">
        <f>#REF!-F141</f>
        <v>#REF!</v>
      </c>
      <c r="G148" s="5" t="e">
        <f>#REF!-G141</f>
        <v>#REF!</v>
      </c>
      <c r="H148" s="5" t="e">
        <f>#REF!-H141</f>
        <v>#REF!</v>
      </c>
      <c r="I148" s="5" t="e">
        <f>#REF!-I141</f>
        <v>#REF!</v>
      </c>
      <c r="J148" s="5" t="e">
        <f>#REF!-J141</f>
        <v>#REF!</v>
      </c>
      <c r="K148" s="5" t="e">
        <f>#REF!-K141</f>
        <v>#REF!</v>
      </c>
      <c r="L148" s="5" t="e">
        <f>#REF!-L141</f>
        <v>#REF!</v>
      </c>
      <c r="M148" s="5" t="e">
        <f>#REF!-M141</f>
        <v>#REF!</v>
      </c>
      <c r="N148" s="5" t="e">
        <f>#REF!-N141</f>
        <v>#REF!</v>
      </c>
      <c r="O148" s="5" t="e">
        <f>#REF!-O141</f>
        <v>#REF!</v>
      </c>
      <c r="P148" s="5" t="e">
        <f>#REF!-P141</f>
        <v>#REF!</v>
      </c>
      <c r="Q148" s="5" t="e">
        <f>#REF!-Q141</f>
        <v>#REF!</v>
      </c>
      <c r="R148" s="5" t="e">
        <f>#REF!-R141</f>
        <v>#REF!</v>
      </c>
      <c r="S148" s="5" t="e">
        <f>#REF!-S141</f>
        <v>#REF!</v>
      </c>
      <c r="T148" s="5" t="e">
        <f>#REF!-T141</f>
        <v>#REF!</v>
      </c>
      <c r="U148" s="5" t="e">
        <f>#REF!-U141</f>
        <v>#REF!</v>
      </c>
      <c r="V148" s="5" t="e">
        <f>#REF!-V141</f>
        <v>#REF!</v>
      </c>
      <c r="W148" s="5" t="e">
        <f>#REF!-W141</f>
        <v>#REF!</v>
      </c>
      <c r="X148" s="5" t="e">
        <f>#REF!-X141</f>
        <v>#REF!</v>
      </c>
      <c r="Y148" s="5" t="e">
        <f>#REF!-Y141</f>
        <v>#REF!</v>
      </c>
      <c r="Z148" s="4" t="e">
        <f>SUM(E148:Y148)</f>
        <v>#REF!</v>
      </c>
      <c r="AA148" s="4" t="e">
        <f>E148+NPV($AA$2,F148:Y148)</f>
        <v>#REF!</v>
      </c>
      <c r="AB148" s="10" t="e">
        <f>AA148/#REF!</f>
        <v>#REF!</v>
      </c>
      <c r="AC148" s="14" t="s">
        <v>85</v>
      </c>
    </row>
    <row r="149" spans="1:29" x14ac:dyDescent="0.3">
      <c r="A149" s="1" t="s">
        <v>86</v>
      </c>
      <c r="B149" s="6" t="s">
        <v>95</v>
      </c>
      <c r="D149" s="1" t="s">
        <v>9</v>
      </c>
      <c r="Z149" s="15" t="e">
        <f>IRR(E148:Y148)</f>
        <v>#VALUE!</v>
      </c>
      <c r="AA149" s="14" t="s">
        <v>87</v>
      </c>
    </row>
  </sheetData>
  <pageMargins left="0.19685039370078741" right="0.19685039370078741" top="0.39370078740157483" bottom="0.39370078740157483" header="0.19685039370078741" footer="0.19685039370078741"/>
  <pageSetup paperSize="9" orientation="landscape" r:id="rId1"/>
  <headerFooter>
    <oddHeader>&amp;L&amp;"Arial Black,Normal"Imprimé le &amp;D à &amp;T&amp;R&amp;"Arial Black,Normal"- Excel -</oddHeader>
    <oddFooter>&amp;C&amp;"Arial Black,Normal"- Page &amp;P sur &amp;N -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4FD41-25CB-4293-B9C5-E576C71B0665}">
  <dimension ref="A1:X3"/>
  <sheetViews>
    <sheetView workbookViewId="0">
      <pane xSplit="1" topLeftCell="I1" activePane="topRight" state="frozen"/>
      <selection pane="topRight" activeCell="E5" sqref="E5"/>
    </sheetView>
  </sheetViews>
  <sheetFormatPr baseColWidth="10" defaultRowHeight="13" x14ac:dyDescent="0.3"/>
  <cols>
    <col min="1" max="1" width="19.19921875" bestFit="1" customWidth="1"/>
    <col min="2" max="2" width="19.19921875" style="1" customWidth="1"/>
  </cols>
  <sheetData>
    <row r="1" spans="1:24" x14ac:dyDescent="0.3">
      <c r="C1" s="23">
        <v>45444</v>
      </c>
      <c r="D1" s="23">
        <v>45474</v>
      </c>
      <c r="E1" s="23">
        <v>45505</v>
      </c>
      <c r="F1" s="23">
        <v>45536</v>
      </c>
      <c r="G1" s="23">
        <v>45566</v>
      </c>
      <c r="H1" s="23">
        <v>45597</v>
      </c>
      <c r="I1" s="23">
        <v>45627</v>
      </c>
      <c r="J1" s="23">
        <v>45658</v>
      </c>
      <c r="K1" s="23">
        <v>45689</v>
      </c>
      <c r="L1" s="23">
        <v>45717</v>
      </c>
      <c r="M1" s="23">
        <v>45748</v>
      </c>
      <c r="N1" s="23">
        <v>45778</v>
      </c>
      <c r="O1" s="23">
        <v>45809</v>
      </c>
      <c r="P1" s="23">
        <v>45839</v>
      </c>
      <c r="Q1" s="23">
        <v>45870</v>
      </c>
      <c r="R1" s="23">
        <v>45901</v>
      </c>
      <c r="S1" s="23">
        <v>45931</v>
      </c>
      <c r="T1" s="23">
        <v>45962</v>
      </c>
      <c r="U1" s="23">
        <v>45992</v>
      </c>
      <c r="V1" s="23">
        <v>46023</v>
      </c>
      <c r="W1" s="23">
        <v>46054</v>
      </c>
      <c r="X1" s="23">
        <v>46082</v>
      </c>
    </row>
    <row r="2" spans="1:24" x14ac:dyDescent="0.3">
      <c r="A2" t="s">
        <v>96</v>
      </c>
      <c r="B2" s="1" t="s">
        <v>98</v>
      </c>
      <c r="C2">
        <v>0.69</v>
      </c>
      <c r="D2">
        <v>2.1</v>
      </c>
      <c r="E2">
        <v>2.56</v>
      </c>
      <c r="F2">
        <v>2.82</v>
      </c>
      <c r="G2">
        <v>2.82</v>
      </c>
      <c r="H2">
        <v>2.95</v>
      </c>
      <c r="I2">
        <v>2.96</v>
      </c>
      <c r="J2">
        <v>3.11</v>
      </c>
      <c r="K2">
        <v>2.7</v>
      </c>
      <c r="L2">
        <v>3.08</v>
      </c>
      <c r="M2">
        <v>3</v>
      </c>
      <c r="N2">
        <v>3.14</v>
      </c>
      <c r="O2">
        <v>3.02</v>
      </c>
      <c r="P2">
        <v>3.06</v>
      </c>
      <c r="Q2">
        <v>3.02</v>
      </c>
      <c r="R2">
        <v>2.98</v>
      </c>
      <c r="S2">
        <v>3.09</v>
      </c>
      <c r="T2">
        <v>2.91</v>
      </c>
      <c r="U2">
        <v>3.07</v>
      </c>
      <c r="V2">
        <v>3.06</v>
      </c>
      <c r="W2">
        <v>2.77</v>
      </c>
      <c r="X2">
        <v>3.07</v>
      </c>
    </row>
    <row r="3" spans="1:24" x14ac:dyDescent="0.3">
      <c r="A3" t="s">
        <v>97</v>
      </c>
      <c r="B3" s="1" t="s">
        <v>98</v>
      </c>
      <c r="C3">
        <v>0</v>
      </c>
      <c r="D3">
        <v>1.98</v>
      </c>
      <c r="E3">
        <v>2.87</v>
      </c>
      <c r="F3">
        <v>2.84</v>
      </c>
      <c r="G3">
        <v>2.89</v>
      </c>
      <c r="H3">
        <v>2.9</v>
      </c>
      <c r="I3">
        <v>2.94</v>
      </c>
      <c r="J3">
        <v>2.89</v>
      </c>
      <c r="K3">
        <v>2.59</v>
      </c>
      <c r="L3">
        <v>2.85</v>
      </c>
      <c r="M3" s="1">
        <v>3.79</v>
      </c>
      <c r="N3">
        <v>2.93</v>
      </c>
      <c r="O3">
        <v>2.91</v>
      </c>
      <c r="P3">
        <v>2.98</v>
      </c>
      <c r="Q3">
        <v>2.9</v>
      </c>
      <c r="R3">
        <v>2.9</v>
      </c>
      <c r="S3">
        <v>2.92</v>
      </c>
      <c r="T3">
        <v>2.93</v>
      </c>
      <c r="U3">
        <v>2.94</v>
      </c>
      <c r="V3">
        <v>3.83</v>
      </c>
      <c r="W3">
        <v>2.91</v>
      </c>
      <c r="X3">
        <v>2.98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Sénégal Sangomar (V0)</vt:lpstr>
      <vt:lpstr>Sénégal Sangomar (V1)</vt:lpstr>
      <vt:lpstr>production mensuelle ministère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2026-07-10T11:28:52Z</dcterms:modified>
</cp:coreProperties>
</file>