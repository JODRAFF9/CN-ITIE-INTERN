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ED2DCD49-7D44-4AC8-ADF9-EA2787668413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1) Données" sheetId="2" r:id="rId1"/>
  </sheets>
  <calcPr calcId="191029"/>
</workbook>
</file>

<file path=xl/calcChain.xml><?xml version="1.0" encoding="utf-8"?>
<calcChain xmlns="http://schemas.openxmlformats.org/spreadsheetml/2006/main">
  <c r="E5" i="2" l="1"/>
  <c r="C5" i="2"/>
  <c r="O5" i="2"/>
  <c r="P4" i="2"/>
  <c r="O3" i="2"/>
  <c r="P2" i="2"/>
  <c r="P3" i="2"/>
  <c r="P5" i="2" s="1"/>
  <c r="D5" i="2"/>
  <c r="F5" i="2"/>
  <c r="G5" i="2"/>
  <c r="H5" i="2"/>
  <c r="I5" i="2"/>
  <c r="J5" i="2"/>
  <c r="K5" i="2"/>
  <c r="L5" i="2"/>
  <c r="M5" i="2"/>
  <c r="N5" i="2"/>
</calcChain>
</file>

<file path=xl/sharedStrings.xml><?xml version="1.0" encoding="utf-8"?>
<sst xmlns="http://schemas.openxmlformats.org/spreadsheetml/2006/main" count="22" uniqueCount="22">
  <si>
    <t>Janvier</t>
  </si>
  <si>
    <t>Mars</t>
  </si>
  <si>
    <t>Avril</t>
  </si>
  <si>
    <t>Mai</t>
  </si>
  <si>
    <t>Juin</t>
  </si>
  <si>
    <t>Juillet</t>
  </si>
  <si>
    <t xml:space="preserve">Août </t>
  </si>
  <si>
    <t>Septembre</t>
  </si>
  <si>
    <t>Octobre</t>
  </si>
  <si>
    <t>Novembre</t>
  </si>
  <si>
    <t>Décembre</t>
  </si>
  <si>
    <t>Total</t>
  </si>
  <si>
    <t>Moyenne</t>
  </si>
  <si>
    <t>Février</t>
  </si>
  <si>
    <t>USD/oz</t>
  </si>
  <si>
    <t>Cours</t>
  </si>
  <si>
    <t>Minerai extrait</t>
  </si>
  <si>
    <t>t</t>
  </si>
  <si>
    <t>oz/t</t>
  </si>
  <si>
    <t>Teneur</t>
  </si>
  <si>
    <t>oz</t>
  </si>
  <si>
    <t>Production réalisée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</si>
</sst>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0"/>
  </numFmts>
  <fonts count="16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theme="0"/>
      <name val="Arial"/>
      <family val="2"/>
    </font>
    <font>
      <sz val="10"/>
      <color rgb="FF11425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14258"/>
        <bgColor indexed="64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9">
    <xf numFmtId="0" fontId="0" fillId="0" borderId="0" xfId="0">
      <alignment horizontal="left" vertical="top"/>
    </xf>
    <xf numFmtId="0" fontId="14" fillId="34" borderId="0" xfId="0" applyFont="1" applyFill="1">
      <alignment horizontal="left" vertical="top"/>
    </xf>
    <xf numFmtId="3" fontId="14" fillId="34" borderId="0" xfId="0" applyNumberFormat="1" applyFont="1" applyFill="1" applyAlignment="1">
      <alignment horizontal="right" vertical="top"/>
    </xf>
    <xf numFmtId="164" fontId="14" fillId="34" borderId="0" xfId="0" applyNumberFormat="1" applyFont="1" applyFill="1" applyAlignment="1">
      <alignment horizontal="right" vertical="top"/>
    </xf>
    <xf numFmtId="0" fontId="15" fillId="0" borderId="0" xfId="0" applyFont="1">
      <alignment horizontal="left" vertical="top"/>
    </xf>
    <xf numFmtId="3" fontId="15" fillId="36" borderId="0" xfId="0" applyNumberFormat="1" applyFont="1" applyFill="1" applyAlignment="1">
      <alignment horizontal="right" vertical="top"/>
    </xf>
    <xf numFmtId="164" fontId="15" fillId="36" borderId="0" xfId="0" applyNumberFormat="1" applyFont="1" applyFill="1" applyAlignment="1">
      <alignment horizontal="right" vertical="top"/>
    </xf>
    <xf numFmtId="3" fontId="15" fillId="35" borderId="0" xfId="0" applyNumberFormat="1" applyFont="1" applyFill="1" applyAlignment="1">
      <alignment horizontal="right" vertical="top"/>
    </xf>
    <xf numFmtId="0" fontId="14" fillId="33" borderId="0" xfId="0" applyFont="1" applyFill="1" applyAlignment="1">
      <alignment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CCE8EF"/>
      <color rgb="FF97C7D3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0E71-3225-4112-A558-F1D9F3061B2E}">
  <dimension ref="A1:P5"/>
  <sheetViews>
    <sheetView tabSelected="1" zoomScaleNormal="100" workbookViewId="0">
      <selection activeCell="O5" sqref="O5"/>
    </sheetView>
  </sheetViews>
  <sheetFormatPr baseColWidth="10" defaultColWidth="10.83203125" defaultRowHeight="12.75" x14ac:dyDescent="0.2"/>
  <cols>
    <col min="1" max="1" width="25.83203125" style="4" customWidth="1"/>
    <col min="2" max="16" width="11.83203125" style="4" customWidth="1"/>
    <col min="17" max="16384" width="10.83203125" style="4"/>
  </cols>
  <sheetData>
    <row r="1" spans="1:16" x14ac:dyDescent="0.2">
      <c r="A1" s="8"/>
      <c r="B1" s="8"/>
      <c r="C1" s="8" t="s">
        <v>0</v>
      </c>
      <c r="D1" s="8" t="s">
        <v>13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</row>
    <row r="2" spans="1:16" x14ac:dyDescent="0.2">
      <c r="A2" s="1" t="s">
        <v>15</v>
      </c>
      <c r="B2" s="1" t="s">
        <v>14</v>
      </c>
      <c r="C2" s="5">
        <v>1000</v>
      </c>
      <c r="D2" s="5">
        <v>1100</v>
      </c>
      <c r="E2" s="5">
        <v>1400</v>
      </c>
      <c r="F2" s="5">
        <v>1050</v>
      </c>
      <c r="G2" s="5">
        <v>900</v>
      </c>
      <c r="H2" s="5">
        <v>800</v>
      </c>
      <c r="I2" s="5">
        <v>850</v>
      </c>
      <c r="J2" s="5">
        <v>1300</v>
      </c>
      <c r="K2" s="5">
        <v>1600</v>
      </c>
      <c r="L2" s="5">
        <v>1700</v>
      </c>
      <c r="M2" s="5">
        <v>1800</v>
      </c>
      <c r="N2" s="5">
        <v>2000</v>
      </c>
      <c r="O2" s="2"/>
      <c r="P2" s="2">
        <f>AVERAGE(C2:N2)</f>
        <v>1291.6666666666667</v>
      </c>
    </row>
    <row r="3" spans="1:16" x14ac:dyDescent="0.2">
      <c r="A3" s="1" t="s">
        <v>16</v>
      </c>
      <c r="B3" s="1" t="s">
        <v>17</v>
      </c>
      <c r="C3" s="5">
        <v>10000</v>
      </c>
      <c r="D3" s="5">
        <v>12000</v>
      </c>
      <c r="E3" s="5">
        <v>12000</v>
      </c>
      <c r="F3" s="5">
        <v>15000</v>
      </c>
      <c r="G3" s="5">
        <v>15000</v>
      </c>
      <c r="H3" s="5">
        <v>9000</v>
      </c>
      <c r="I3" s="5">
        <v>9000</v>
      </c>
      <c r="J3" s="5">
        <v>12000</v>
      </c>
      <c r="K3" s="5">
        <v>12000</v>
      </c>
      <c r="L3" s="5">
        <v>14000</v>
      </c>
      <c r="M3" s="5">
        <v>12000</v>
      </c>
      <c r="N3" s="5">
        <v>10000</v>
      </c>
      <c r="O3" s="2">
        <f>SUM(C3:N3)</f>
        <v>142000</v>
      </c>
      <c r="P3" s="2">
        <f>AVERAGE(C3:N3)</f>
        <v>11833.333333333334</v>
      </c>
    </row>
    <row r="4" spans="1:16" x14ac:dyDescent="0.2">
      <c r="A4" s="1" t="s">
        <v>19</v>
      </c>
      <c r="B4" s="1" t="s">
        <v>18</v>
      </c>
      <c r="C4" s="6">
        <v>0.223</v>
      </c>
      <c r="D4" s="6">
        <v>0.22500000000000001</v>
      </c>
      <c r="E4" s="6">
        <v>0.19800000000000001</v>
      </c>
      <c r="F4" s="6">
        <v>0.185</v>
      </c>
      <c r="G4" s="6">
        <v>0.185</v>
      </c>
      <c r="H4" s="6">
        <v>0.223</v>
      </c>
      <c r="I4" s="6">
        <v>0.32100000000000001</v>
      </c>
      <c r="J4" s="6">
        <v>0.311</v>
      </c>
      <c r="K4" s="6">
        <v>0.255</v>
      </c>
      <c r="L4" s="6">
        <v>0.28599999999999998</v>
      </c>
      <c r="M4" s="6">
        <v>0.29599999999999999</v>
      </c>
      <c r="N4" s="6">
        <v>0.223</v>
      </c>
      <c r="O4" s="3"/>
      <c r="P4" s="3">
        <f>AVERAGE(C4:N4)</f>
        <v>0.24424999999999997</v>
      </c>
    </row>
    <row r="5" spans="1:16" x14ac:dyDescent="0.2">
      <c r="A5" s="1" t="s">
        <v>21</v>
      </c>
      <c r="B5" s="1" t="s">
        <v>20</v>
      </c>
      <c r="C5" s="7">
        <f>C3*C4</f>
        <v>2230</v>
      </c>
      <c r="D5" s="7">
        <f t="shared" ref="D5:P5" si="0">D3*D4</f>
        <v>2700</v>
      </c>
      <c r="E5" s="7">
        <f>E3*E4</f>
        <v>2376</v>
      </c>
      <c r="F5" s="7">
        <f t="shared" si="0"/>
        <v>2775</v>
      </c>
      <c r="G5" s="7">
        <f t="shared" si="0"/>
        <v>2775</v>
      </c>
      <c r="H5" s="7">
        <f t="shared" si="0"/>
        <v>2007</v>
      </c>
      <c r="I5" s="7">
        <f t="shared" si="0"/>
        <v>2889</v>
      </c>
      <c r="J5" s="7">
        <f t="shared" si="0"/>
        <v>3732</v>
      </c>
      <c r="K5" s="7">
        <f t="shared" si="0"/>
        <v>3060</v>
      </c>
      <c r="L5" s="7">
        <f t="shared" si="0"/>
        <v>4003.9999999999995</v>
      </c>
      <c r="M5" s="7">
        <f t="shared" si="0"/>
        <v>3552</v>
      </c>
      <c r="N5" s="7">
        <f t="shared" si="0"/>
        <v>2230</v>
      </c>
      <c r="O5" s="2">
        <f>SUM(C5:N5)</f>
        <v>34330</v>
      </c>
      <c r="P5" s="2">
        <f t="shared" si="0"/>
        <v>2890.2916666666665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1)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2022-09-13T08:39:45Z</dcterms:modified>
</cp:coreProperties>
</file>