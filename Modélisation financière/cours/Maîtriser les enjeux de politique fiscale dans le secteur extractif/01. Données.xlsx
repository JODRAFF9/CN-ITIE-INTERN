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17DCEA77-C086-4378-8F24-1CB4C8AD1496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1) Données" sheetId="2" r:id="rId1"/>
  </sheets>
  <calcPr calcId="191029"/>
</workbook>
</file>

<file path=xl/calcChain.xml><?xml version="1.0" encoding="utf-8"?>
<calcChain xmlns="http://schemas.openxmlformats.org/spreadsheetml/2006/main">
  <c r="F9" i="2" l="1"/>
  <c r="C9" i="2"/>
  <c r="C5" i="2"/>
  <c r="C17" i="2" l="1"/>
  <c r="C16" i="2"/>
  <c r="F13" i="2"/>
  <c r="C14" i="2"/>
  <c r="F19" i="2"/>
  <c r="C13" i="2" l="1"/>
  <c r="C18" i="2" s="1"/>
  <c r="C19" i="2" s="1"/>
</calcChain>
</file>

<file path=xl/sharedStrings.xml><?xml version="1.0" encoding="utf-8"?>
<sst xmlns="http://schemas.openxmlformats.org/spreadsheetml/2006/main" count="24" uniqueCount="24">
  <si>
    <t>BILAN</t>
  </si>
  <si>
    <t>Actif</t>
  </si>
  <si>
    <t>Immobilisations</t>
  </si>
  <si>
    <t>– Terrain</t>
  </si>
  <si>
    <t>– Équipements</t>
  </si>
  <si>
    <t>Stock</t>
  </si>
  <si>
    <t>Capitaux propres</t>
  </si>
  <si>
    <t>Dettes</t>
  </si>
  <si>
    <t>Passif</t>
  </si>
  <si>
    <t>Total Actif</t>
  </si>
  <si>
    <t>Total Passif</t>
  </si>
  <si>
    <t>COMPTE DE RESULTAT</t>
  </si>
  <si>
    <t>Charges</t>
  </si>
  <si>
    <t>Produits</t>
  </si>
  <si>
    <t>Chiffre d'affaires</t>
  </si>
  <si>
    <t>Coûts de production</t>
  </si>
  <si>
    <t>– Charges d'exploitation</t>
  </si>
  <si>
    <t>–– Intrants</t>
  </si>
  <si>
    <t>–– Amortisements</t>
  </si>
  <si>
    <t>– Charges finnacières</t>
  </si>
  <si>
    <t>Profit</t>
  </si>
  <si>
    <t>Total Charges</t>
  </si>
  <si>
    <t>Total Produits</t>
  </si>
  <si>
    <t>1) Comprendre les données de l’exercice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</si>
</sst>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18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114258"/>
      <name val="Arial"/>
      <family val="2"/>
    </font>
    <font>
      <sz val="10"/>
      <color rgb="FF11425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28">
    <xf numFmtId="0" fontId="0" fillId="0" borderId="0" xfId="0">
      <alignment horizontal="left" vertical="top"/>
    </xf>
    <xf numFmtId="0" fontId="14" fillId="33" borderId="10" xfId="0" applyFont="1" applyFill="1" applyBorder="1">
      <alignment horizontal="left" vertical="top"/>
    </xf>
    <xf numFmtId="0" fontId="14" fillId="33" borderId="11" xfId="0" applyFont="1" applyFill="1" applyBorder="1" applyAlignment="1">
      <alignment horizontal="right" vertical="top"/>
    </xf>
    <xf numFmtId="3" fontId="15" fillId="33" borderId="11" xfId="0" applyNumberFormat="1" applyFont="1" applyFill="1" applyBorder="1" applyAlignment="1">
      <alignment horizontal="right" vertical="top"/>
    </xf>
    <xf numFmtId="3" fontId="15" fillId="33" borderId="12" xfId="0" applyNumberFormat="1" applyFont="1" applyFill="1" applyBorder="1" applyAlignment="1">
      <alignment horizontal="right" vertical="top"/>
    </xf>
    <xf numFmtId="3" fontId="14" fillId="33" borderId="12" xfId="0" applyNumberFormat="1" applyFont="1" applyFill="1" applyBorder="1" applyAlignment="1">
      <alignment horizontal="right" vertical="top"/>
    </xf>
    <xf numFmtId="0" fontId="14" fillId="33" borderId="11" xfId="0" applyFont="1" applyFill="1" applyBorder="1">
      <alignment horizontal="left" vertical="top"/>
    </xf>
    <xf numFmtId="0" fontId="14" fillId="33" borderId="12" xfId="0" applyFont="1" applyFill="1" applyBorder="1">
      <alignment horizontal="left" vertical="top"/>
    </xf>
    <xf numFmtId="3" fontId="14" fillId="33" borderId="11" xfId="0" applyNumberFormat="1" applyFont="1" applyFill="1" applyBorder="1" applyAlignment="1">
      <alignment horizontal="right" vertical="top"/>
    </xf>
    <xf numFmtId="0" fontId="16" fillId="0" borderId="0" xfId="0" applyFo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>
      <alignment horizontal="left" vertical="top"/>
    </xf>
    <xf numFmtId="0" fontId="16" fillId="0" borderId="0" xfId="0" applyFont="1" applyAlignment="1">
      <alignment horizontal="left" vertical="top"/>
    </xf>
    <xf numFmtId="0" fontId="17" fillId="35" borderId="6" xfId="0" applyFont="1" applyFill="1" applyBorder="1">
      <alignment horizontal="left" vertical="top"/>
    </xf>
    <xf numFmtId="0" fontId="17" fillId="35" borderId="13" xfId="0" applyFont="1" applyFill="1" applyBorder="1" applyAlignment="1">
      <alignment horizontal="right" vertical="top"/>
    </xf>
    <xf numFmtId="3" fontId="17" fillId="35" borderId="7" xfId="0" applyNumberFormat="1" applyFont="1" applyFill="1" applyBorder="1" applyAlignment="1">
      <alignment horizontal="right" vertical="top"/>
    </xf>
    <xf numFmtId="0" fontId="17" fillId="35" borderId="8" xfId="0" applyFont="1" applyFill="1" applyBorder="1">
      <alignment horizontal="left" vertical="top"/>
    </xf>
    <xf numFmtId="0" fontId="17" fillId="35" borderId="0" xfId="0" applyFont="1" applyFill="1" applyBorder="1" applyAlignment="1">
      <alignment horizontal="right" vertical="top"/>
    </xf>
    <xf numFmtId="3" fontId="17" fillId="35" borderId="9" xfId="0" applyNumberFormat="1" applyFont="1" applyFill="1" applyBorder="1" applyAlignment="1">
      <alignment horizontal="right" vertical="top"/>
    </xf>
    <xf numFmtId="0" fontId="16" fillId="34" borderId="8" xfId="0" applyFont="1" applyFill="1" applyBorder="1">
      <alignment horizontal="left" vertical="top"/>
    </xf>
    <xf numFmtId="0" fontId="16" fillId="34" borderId="0" xfId="0" applyFont="1" applyFill="1" applyBorder="1" applyAlignment="1">
      <alignment horizontal="right" vertical="top"/>
    </xf>
    <xf numFmtId="3" fontId="16" fillId="34" borderId="0" xfId="0" applyNumberFormat="1" applyFont="1" applyFill="1" applyBorder="1" applyAlignment="1">
      <alignment horizontal="right" vertical="top"/>
    </xf>
    <xf numFmtId="3" fontId="16" fillId="34" borderId="9" xfId="0" applyNumberFormat="1" applyFont="1" applyFill="1" applyBorder="1" applyAlignment="1">
      <alignment horizontal="right" vertical="top"/>
    </xf>
    <xf numFmtId="3" fontId="17" fillId="35" borderId="0" xfId="0" applyNumberFormat="1" applyFont="1" applyFill="1" applyBorder="1" applyAlignment="1">
      <alignment horizontal="right" vertical="top"/>
    </xf>
    <xf numFmtId="9" fontId="17" fillId="35" borderId="0" xfId="0" applyNumberFormat="1" applyFont="1" applyFill="1" applyBorder="1" applyAlignment="1">
      <alignment horizontal="right" vertical="top"/>
    </xf>
    <xf numFmtId="0" fontId="16" fillId="35" borderId="8" xfId="0" applyFont="1" applyFill="1" applyBorder="1">
      <alignment horizontal="left" vertical="top"/>
    </xf>
    <xf numFmtId="0" fontId="16" fillId="35" borderId="0" xfId="0" applyFont="1" applyFill="1" applyBorder="1" applyAlignment="1">
      <alignment horizontal="right" vertical="top"/>
    </xf>
    <xf numFmtId="3" fontId="16" fillId="35" borderId="9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97C7D3"/>
      <color rgb="FFCCE8EF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8561-B061-4F02-A5AA-EC0A543EC088}">
  <dimension ref="A1:F19"/>
  <sheetViews>
    <sheetView tabSelected="1" zoomScaleNormal="100" workbookViewId="0"/>
  </sheetViews>
  <sheetFormatPr baseColWidth="10" defaultColWidth="10.83203125" defaultRowHeight="12.75" x14ac:dyDescent="0.2"/>
  <cols>
    <col min="1" max="1" width="30.83203125" style="11" customWidth="1"/>
    <col min="2" max="2" width="5.83203125" style="10" customWidth="1"/>
    <col min="3" max="3" width="10.83203125" style="11"/>
    <col min="4" max="4" width="30.83203125" style="11" customWidth="1"/>
    <col min="5" max="5" width="5.83203125" style="10" customWidth="1"/>
    <col min="6" max="16384" width="10.83203125" style="11"/>
  </cols>
  <sheetData>
    <row r="1" spans="1:6" x14ac:dyDescent="0.2">
      <c r="A1" s="9" t="s">
        <v>23</v>
      </c>
    </row>
    <row r="3" spans="1:6" x14ac:dyDescent="0.2">
      <c r="A3" s="9" t="s">
        <v>0</v>
      </c>
      <c r="B3" s="12"/>
    </row>
    <row r="4" spans="1:6" x14ac:dyDescent="0.2">
      <c r="A4" s="1" t="s">
        <v>1</v>
      </c>
      <c r="B4" s="2"/>
      <c r="C4" s="3"/>
      <c r="D4" s="1" t="s">
        <v>8</v>
      </c>
      <c r="E4" s="2"/>
      <c r="F4" s="4"/>
    </row>
    <row r="5" spans="1:6" x14ac:dyDescent="0.2">
      <c r="A5" s="13" t="s">
        <v>2</v>
      </c>
      <c r="B5" s="14"/>
      <c r="C5" s="15">
        <f>SUM(C6:C7)</f>
        <v>10000</v>
      </c>
      <c r="D5" s="13" t="s">
        <v>6</v>
      </c>
      <c r="E5" s="14"/>
      <c r="F5" s="15">
        <v>3000</v>
      </c>
    </row>
    <row r="6" spans="1:6" x14ac:dyDescent="0.2">
      <c r="A6" s="16" t="s">
        <v>3</v>
      </c>
      <c r="B6" s="17"/>
      <c r="C6" s="18">
        <v>3000</v>
      </c>
      <c r="D6" s="16"/>
      <c r="E6" s="17"/>
      <c r="F6" s="18"/>
    </row>
    <row r="7" spans="1:6" x14ac:dyDescent="0.2">
      <c r="A7" s="16" t="s">
        <v>4</v>
      </c>
      <c r="B7" s="17"/>
      <c r="C7" s="18">
        <v>7000</v>
      </c>
      <c r="D7" s="16"/>
      <c r="E7" s="17"/>
      <c r="F7" s="18"/>
    </row>
    <row r="8" spans="1:6" x14ac:dyDescent="0.2">
      <c r="A8" s="16" t="s">
        <v>5</v>
      </c>
      <c r="B8" s="17"/>
      <c r="C8" s="18">
        <v>1000</v>
      </c>
      <c r="D8" s="16" t="s">
        <v>7</v>
      </c>
      <c r="E8" s="17"/>
      <c r="F8" s="18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9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19" t="s">
        <v>15</v>
      </c>
      <c r="B13" s="20"/>
      <c r="C13" s="21">
        <f>C14+C17</f>
        <v>2750</v>
      </c>
      <c r="D13" s="19" t="s">
        <v>14</v>
      </c>
      <c r="E13" s="20"/>
      <c r="F13" s="22">
        <f>100*50</f>
        <v>5000</v>
      </c>
    </row>
    <row r="14" spans="1:6" x14ac:dyDescent="0.2">
      <c r="A14" s="16" t="s">
        <v>16</v>
      </c>
      <c r="B14" s="17"/>
      <c r="C14" s="23">
        <f>SUM(C15:C16)</f>
        <v>2350</v>
      </c>
      <c r="D14" s="16"/>
      <c r="E14" s="17"/>
      <c r="F14" s="18"/>
    </row>
    <row r="15" spans="1:6" x14ac:dyDescent="0.2">
      <c r="A15" s="16" t="s">
        <v>17</v>
      </c>
      <c r="B15" s="17"/>
      <c r="C15" s="23">
        <v>2000</v>
      </c>
      <c r="D15" s="16"/>
      <c r="E15" s="17"/>
      <c r="F15" s="18"/>
    </row>
    <row r="16" spans="1:6" x14ac:dyDescent="0.2">
      <c r="A16" s="16" t="s">
        <v>18</v>
      </c>
      <c r="B16" s="24">
        <v>0.05</v>
      </c>
      <c r="C16" s="23">
        <f>B16*C7</f>
        <v>350</v>
      </c>
      <c r="D16" s="16"/>
      <c r="E16" s="17"/>
      <c r="F16" s="18"/>
    </row>
    <row r="17" spans="1:6" x14ac:dyDescent="0.2">
      <c r="A17" s="16" t="s">
        <v>19</v>
      </c>
      <c r="B17" s="24">
        <v>0.05</v>
      </c>
      <c r="C17" s="23">
        <f>F8*B17</f>
        <v>400</v>
      </c>
      <c r="D17" s="16"/>
      <c r="E17" s="17"/>
      <c r="F17" s="18"/>
    </row>
    <row r="18" spans="1:6" x14ac:dyDescent="0.2">
      <c r="A18" s="19" t="s">
        <v>20</v>
      </c>
      <c r="B18" s="20"/>
      <c r="C18" s="21">
        <f>F13-C13</f>
        <v>2250</v>
      </c>
      <c r="D18" s="25"/>
      <c r="E18" s="26"/>
      <c r="F18" s="27"/>
    </row>
    <row r="19" spans="1:6" x14ac:dyDescent="0.2">
      <c r="A19" s="1" t="s">
        <v>21</v>
      </c>
      <c r="B19" s="2"/>
      <c r="C19" s="8">
        <f>C13+C18</f>
        <v>5000</v>
      </c>
      <c r="D19" s="1" t="s">
        <v>22</v>
      </c>
      <c r="E19" s="2"/>
      <c r="F19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14 C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1)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2022-09-12T13:35:36Z</dcterms:modified>
</cp:coreProperties>
</file>