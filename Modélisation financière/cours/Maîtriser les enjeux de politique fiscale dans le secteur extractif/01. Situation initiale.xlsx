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9"/>
  <workbookPr filterPrivacy="1" defaultThemeVersion="124226"/>
  <xr:revisionPtr revIDLastSave="0" documentId="13_ncr:1_{52275C62-D448-4FF6-8DE8-307853281635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1) Situation initiale" sheetId="2" r:id="rId1"/>
  </sheets>
  <calcPr calcId="191029"/>
</workbook>
</file>

<file path=xl/calcChain.xml><?xml version="1.0" encoding="utf-8"?>
<calcChain xmlns="http://schemas.openxmlformats.org/spreadsheetml/2006/main">
  <c r="C5" i="2" l="1"/>
  <c r="C21" i="2" l="1"/>
  <c r="C20" i="2"/>
  <c r="C18" i="2"/>
  <c r="C16" i="2"/>
  <c r="F13" i="2"/>
  <c r="C19" i="2" s="1"/>
  <c r="C17" i="2" s="1"/>
  <c r="C14" i="2" s="1"/>
  <c r="C13" i="2" s="1"/>
  <c r="F9" i="2"/>
  <c r="C9" i="2"/>
  <c r="C22" i="2" l="1"/>
  <c r="F27" i="2"/>
  <c r="C23" i="2" l="1"/>
  <c r="C24" i="2" s="1"/>
  <c r="C27" i="2"/>
  <c r="C25" i="2" l="1"/>
  <c r="C26" i="2"/>
</calcChain>
</file>

<file path=xl/sharedStrings.xml><?xml version="1.0" encoding="utf-8"?>
<sst xmlns="http://schemas.openxmlformats.org/spreadsheetml/2006/main" count="32" uniqueCount="32">
  <si>
    <t>BILAN</t>
  </si>
  <si>
    <t>Actif</t>
  </si>
  <si>
    <t>Passif</t>
  </si>
  <si>
    <t>Immobilisations</t>
  </si>
  <si>
    <t>Capitaux propres</t>
  </si>
  <si>
    <t>– Terrain</t>
  </si>
  <si>
    <t>– Équipements</t>
  </si>
  <si>
    <t>Stock</t>
  </si>
  <si>
    <t>Dettes</t>
  </si>
  <si>
    <t>Total Actif</t>
  </si>
  <si>
    <t>Total Passif</t>
  </si>
  <si>
    <t>COMPTE DE RESULTAT</t>
  </si>
  <si>
    <t>Charges</t>
  </si>
  <si>
    <t>Produits</t>
  </si>
  <si>
    <t>Coûts de production</t>
  </si>
  <si>
    <t>Chiffre d'affaires</t>
  </si>
  <si>
    <t>– Charges d'exploitation</t>
  </si>
  <si>
    <t>–– Intrants</t>
  </si>
  <si>
    <t>–– Amortisements</t>
  </si>
  <si>
    <t>–– Taxes</t>
  </si>
  <si>
    <t>––– Redevances superficiaires</t>
  </si>
  <si>
    <t>––– Redevances minières</t>
  </si>
  <si>
    <t>––– Droits de douane</t>
  </si>
  <si>
    <t>– Charges finnacières</t>
  </si>
  <si>
    <t>Profit</t>
  </si>
  <si>
    <t>– Impôt sur les sociétés</t>
  </si>
  <si>
    <t>– Profit après impôt</t>
  </si>
  <si>
    <t>– Dividendes</t>
  </si>
  <si>
    <t>– Réserves</t>
  </si>
  <si>
    <t>Total Charges</t>
  </si>
  <si>
    <t>Total Produits</t>
  </si>
  <si>
    <t>1) Situation initiale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</si>
</sst>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.0%"/>
  </numFmts>
  <fonts count="18" x14ac:knownFonts="1"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color rgb="FF114258"/>
      <name val="Arial"/>
      <family val="2"/>
    </font>
    <font>
      <sz val="10"/>
      <color rgb="FF114258"/>
      <name val="Arial"/>
      <family val="2"/>
    </font>
    <font>
      <b/>
      <sz val="10"/>
      <color theme="0" tint="-4.9989318521683403E-2"/>
      <name val="Arial"/>
      <family val="2"/>
    </font>
    <font>
      <sz val="10"/>
      <color theme="0" tint="-4.9989318521683403E-2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26D8E"/>
        <bgColor indexed="64"/>
      </patternFill>
    </fill>
    <fill>
      <patternFill patternType="solid">
        <fgColor rgb="FF97C7D3"/>
        <bgColor indexed="64"/>
      </patternFill>
    </fill>
    <fill>
      <patternFill patternType="solid">
        <fgColor rgb="FFCCE8EF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>
      <alignment horizontal="left" vertical="top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0" borderId="0" applyNumberFormat="0" applyFont="0" applyFill="0" applyBorder="0" applyAlignment="0" applyProtection="0">
      <alignment horizontal="left" vertical="top"/>
    </xf>
    <xf numFmtId="0" fontId="13" fillId="0" borderId="0" applyNumberFormat="0" applyFont="0" applyFill="0" applyBorder="0" applyAlignment="0" applyProtection="0">
      <alignment horizontal="left" vertical="top"/>
    </xf>
  </cellStyleXfs>
  <cellXfs count="29">
    <xf numFmtId="0" fontId="0" fillId="0" borderId="0" xfId="0">
      <alignment horizontal="left" vertical="top"/>
    </xf>
    <xf numFmtId="0" fontId="14" fillId="0" borderId="0" xfId="0" applyFont="1">
      <alignment horizontal="left" vertical="top"/>
    </xf>
    <xf numFmtId="0" fontId="15" fillId="0" borderId="0" xfId="0" applyFont="1" applyAlignment="1">
      <alignment horizontal="left" vertical="top"/>
    </xf>
    <xf numFmtId="0" fontId="15" fillId="0" borderId="0" xfId="0" applyFont="1">
      <alignment horizontal="left" vertical="top"/>
    </xf>
    <xf numFmtId="0" fontId="14" fillId="0" borderId="0" xfId="0" applyFont="1" applyAlignment="1">
      <alignment horizontal="left" vertical="top"/>
    </xf>
    <xf numFmtId="0" fontId="15" fillId="35" borderId="9" xfId="0" applyFont="1" applyFill="1" applyBorder="1">
      <alignment horizontal="left" vertical="top"/>
    </xf>
    <xf numFmtId="0" fontId="15" fillId="35" borderId="10" xfId="0" applyFont="1" applyFill="1" applyBorder="1" applyAlignment="1">
      <alignment horizontal="right" vertical="top"/>
    </xf>
    <xf numFmtId="3" fontId="15" fillId="35" borderId="11" xfId="0" applyNumberFormat="1" applyFont="1" applyFill="1" applyBorder="1" applyAlignment="1">
      <alignment horizontal="right" vertical="top"/>
    </xf>
    <xf numFmtId="0" fontId="15" fillId="35" borderId="12" xfId="0" applyFont="1" applyFill="1" applyBorder="1">
      <alignment horizontal="left" vertical="top"/>
    </xf>
    <xf numFmtId="0" fontId="15" fillId="35" borderId="0" xfId="0" applyFont="1" applyFill="1" applyBorder="1" applyAlignment="1">
      <alignment horizontal="right" vertical="top"/>
    </xf>
    <xf numFmtId="3" fontId="15" fillId="35" borderId="13" xfId="0" applyNumberFormat="1" applyFont="1" applyFill="1" applyBorder="1" applyAlignment="1">
      <alignment horizontal="right" vertical="top"/>
    </xf>
    <xf numFmtId="0" fontId="14" fillId="34" borderId="12" xfId="0" applyFont="1" applyFill="1" applyBorder="1">
      <alignment horizontal="left" vertical="top"/>
    </xf>
    <xf numFmtId="0" fontId="14" fillId="34" borderId="0" xfId="0" applyFont="1" applyFill="1" applyBorder="1" applyAlignment="1">
      <alignment horizontal="right" vertical="top"/>
    </xf>
    <xf numFmtId="3" fontId="14" fillId="34" borderId="0" xfId="0" applyNumberFormat="1" applyFont="1" applyFill="1" applyBorder="1" applyAlignment="1">
      <alignment horizontal="right" vertical="top"/>
    </xf>
    <xf numFmtId="3" fontId="14" fillId="34" borderId="13" xfId="0" applyNumberFormat="1" applyFont="1" applyFill="1" applyBorder="1" applyAlignment="1">
      <alignment horizontal="right" vertical="top"/>
    </xf>
    <xf numFmtId="3" fontId="15" fillId="35" borderId="0" xfId="0" applyNumberFormat="1" applyFont="1" applyFill="1" applyBorder="1" applyAlignment="1">
      <alignment horizontal="right" vertical="top"/>
    </xf>
    <xf numFmtId="9" fontId="15" fillId="35" borderId="0" xfId="0" applyNumberFormat="1" applyFont="1" applyFill="1" applyBorder="1" applyAlignment="1">
      <alignment horizontal="right" vertical="top"/>
    </xf>
    <xf numFmtId="164" fontId="15" fillId="35" borderId="0" xfId="0" applyNumberFormat="1" applyFont="1" applyFill="1" applyBorder="1" applyAlignment="1">
      <alignment horizontal="right" vertical="top"/>
    </xf>
    <xf numFmtId="0" fontId="14" fillId="35" borderId="12" xfId="0" applyFont="1" applyFill="1" applyBorder="1">
      <alignment horizontal="left" vertical="top"/>
    </xf>
    <xf numFmtId="0" fontId="14" fillId="35" borderId="0" xfId="0" applyFont="1" applyFill="1" applyBorder="1" applyAlignment="1">
      <alignment horizontal="right" vertical="top"/>
    </xf>
    <xf numFmtId="3" fontId="14" fillId="35" borderId="13" xfId="0" applyNumberFormat="1" applyFont="1" applyFill="1" applyBorder="1" applyAlignment="1">
      <alignment horizontal="right" vertical="top"/>
    </xf>
    <xf numFmtId="0" fontId="16" fillId="33" borderId="6" xfId="0" applyFont="1" applyFill="1" applyBorder="1">
      <alignment horizontal="left" vertical="top"/>
    </xf>
    <xf numFmtId="0" fontId="16" fillId="33" borderId="7" xfId="0" applyFont="1" applyFill="1" applyBorder="1" applyAlignment="1">
      <alignment horizontal="right" vertical="top"/>
    </xf>
    <xf numFmtId="3" fontId="17" fillId="33" borderId="7" xfId="0" applyNumberFormat="1" applyFont="1" applyFill="1" applyBorder="1" applyAlignment="1">
      <alignment horizontal="right" vertical="top"/>
    </xf>
    <xf numFmtId="3" fontId="17" fillId="33" borderId="8" xfId="0" applyNumberFormat="1" applyFont="1" applyFill="1" applyBorder="1" applyAlignment="1">
      <alignment horizontal="right" vertical="top"/>
    </xf>
    <xf numFmtId="3" fontId="16" fillId="33" borderId="8" xfId="0" applyNumberFormat="1" applyFont="1" applyFill="1" applyBorder="1" applyAlignment="1">
      <alignment horizontal="right" vertical="top"/>
    </xf>
    <xf numFmtId="0" fontId="16" fillId="33" borderId="7" xfId="0" applyFont="1" applyFill="1" applyBorder="1">
      <alignment horizontal="left" vertical="top"/>
    </xf>
    <xf numFmtId="0" fontId="16" fillId="33" borderId="8" xfId="0" applyFont="1" applyFill="1" applyBorder="1">
      <alignment horizontal="left" vertical="top"/>
    </xf>
    <xf numFmtId="3" fontId="16" fillId="33" borderId="7" xfId="0" applyNumberFormat="1" applyFont="1" applyFill="1" applyBorder="1" applyAlignment="1">
      <alignment horizontal="right" vertical="top"/>
    </xf>
  </cellXfs>
  <cellStyles count="43">
    <cellStyle name="20 % - Accent1" xfId="18" builtinId="30" hidden="1"/>
    <cellStyle name="20 % - Accent2" xfId="22" builtinId="34" hidden="1"/>
    <cellStyle name="20 % - Accent3" xfId="26" builtinId="38" hidden="1"/>
    <cellStyle name="20 % - Accent4" xfId="30" builtinId="42" hidden="1"/>
    <cellStyle name="20 % - Accent5" xfId="34" builtinId="46" hidden="1"/>
    <cellStyle name="20 % - Accent6" xfId="38" builtinId="50" hidden="1"/>
    <cellStyle name="40 % - Accent1" xfId="19" builtinId="31" hidden="1"/>
    <cellStyle name="40 % - Accent2" xfId="23" builtinId="35" hidden="1"/>
    <cellStyle name="40 % - Accent3" xfId="27" builtinId="39" hidden="1"/>
    <cellStyle name="40 % - Accent4" xfId="31" builtinId="43" hidden="1"/>
    <cellStyle name="40 % - Accent5" xfId="35" builtinId="47" hidden="1"/>
    <cellStyle name="40 % - Accent6" xfId="39" builtinId="51" hidden="1"/>
    <cellStyle name="60 % - Accent1" xfId="20" builtinId="32" hidden="1"/>
    <cellStyle name="60 % - Accent2" xfId="24" builtinId="36" hidden="1"/>
    <cellStyle name="60 % - Accent3" xfId="28" builtinId="40" hidden="1"/>
    <cellStyle name="60 % - Accent4" xfId="32" builtinId="44" hidden="1"/>
    <cellStyle name="60 % - Accent5" xfId="36" builtinId="48" hidden="1"/>
    <cellStyle name="60 % - Accent6" xfId="40" builtinId="52" hidden="1"/>
    <cellStyle name="Accent1" xfId="17" builtinId="29" hidden="1"/>
    <cellStyle name="Accent2" xfId="21" builtinId="33" hidden="1"/>
    <cellStyle name="Accent3" xfId="25" builtinId="37" hidden="1"/>
    <cellStyle name="Accent4" xfId="29" builtinId="41" hidden="1"/>
    <cellStyle name="Accent5" xfId="33" builtinId="45" hidden="1"/>
    <cellStyle name="Accent6" xfId="37" builtinId="49" hidden="1"/>
    <cellStyle name="Avertissement" xfId="14" builtinId="11" hidden="1"/>
    <cellStyle name="Calcul" xfId="11" builtinId="22" hidden="1"/>
    <cellStyle name="Cellule liée" xfId="12" builtinId="24" hidden="1"/>
    <cellStyle name="Entrée" xfId="9" builtinId="20" hidden="1"/>
    <cellStyle name="Insatisfaisant" xfId="7" builtinId="27" hidden="1"/>
    <cellStyle name="Lien hypertexte" xfId="41" builtinId="8" customBuiltin="1"/>
    <cellStyle name="Lien hypertexte visité" xfId="42" builtinId="9" customBuiltin="1"/>
    <cellStyle name="Milliers" xfId="1" builtinId="3" hidden="1"/>
    <cellStyle name="Milliers [0]" xfId="2" builtinId="6" hidden="1"/>
    <cellStyle name="Monétaire" xfId="3" builtinId="4" hidden="1"/>
    <cellStyle name="Monétaire [0]" xfId="4" builtinId="7" hidden="1"/>
    <cellStyle name="Neutre" xfId="8" builtinId="28" hidden="1"/>
    <cellStyle name="Normal" xfId="0" builtinId="0" customBuiltin="1"/>
    <cellStyle name="Note" xfId="15" builtinId="10" hidden="1"/>
    <cellStyle name="Pourcentage" xfId="5" builtinId="5" hidden="1"/>
    <cellStyle name="Satisfaisant" xfId="6" builtinId="26" hidden="1"/>
    <cellStyle name="Sortie" xfId="10" builtinId="21" hidden="1"/>
    <cellStyle name="Texte explicatif" xfId="16" builtinId="53" hidden="1"/>
    <cellStyle name="Vérification" xfId="13" builtinId="23" hidden="1"/>
  </cellStyles>
  <dxfs count="0"/>
  <tableStyles count="0" defaultTableStyle="TableStyleMedium2" defaultPivotStyle="PivotStyleMedium9"/>
  <colors>
    <mruColors>
      <color rgb="FFD43738"/>
      <color rgb="FF114258"/>
      <color rgb="FFCCE8EF"/>
      <color rgb="FF97C7D3"/>
      <color rgb="FF026D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6535-0B2E-44D2-971B-2690A2139B4C}">
  <dimension ref="A1:F27"/>
  <sheetViews>
    <sheetView tabSelected="1" zoomScaleNormal="100" workbookViewId="0"/>
  </sheetViews>
  <sheetFormatPr baseColWidth="10" defaultColWidth="10.83203125" defaultRowHeight="12.75" x14ac:dyDescent="0.2"/>
  <cols>
    <col min="1" max="1" width="30.83203125" style="3" customWidth="1"/>
    <col min="2" max="2" width="5.83203125" style="2" customWidth="1"/>
    <col min="3" max="3" width="10.83203125" style="3"/>
    <col min="4" max="4" width="30.83203125" style="3" customWidth="1"/>
    <col min="5" max="5" width="5.83203125" style="2" customWidth="1"/>
    <col min="6" max="16384" width="10.83203125" style="3"/>
  </cols>
  <sheetData>
    <row r="1" spans="1:6" x14ac:dyDescent="0.2">
      <c r="A1" s="1" t="s">
        <v>31</v>
      </c>
    </row>
    <row r="3" spans="1:6" x14ac:dyDescent="0.2">
      <c r="A3" s="1" t="s">
        <v>0</v>
      </c>
      <c r="B3" s="4"/>
    </row>
    <row r="4" spans="1:6" x14ac:dyDescent="0.2">
      <c r="A4" s="21" t="s">
        <v>1</v>
      </c>
      <c r="B4" s="22"/>
      <c r="C4" s="23"/>
      <c r="D4" s="21" t="s">
        <v>2</v>
      </c>
      <c r="E4" s="22"/>
      <c r="F4" s="24"/>
    </row>
    <row r="5" spans="1:6" x14ac:dyDescent="0.2">
      <c r="A5" s="5" t="s">
        <v>3</v>
      </c>
      <c r="B5" s="6"/>
      <c r="C5" s="7">
        <f>SUM(C6:C7)</f>
        <v>10000</v>
      </c>
      <c r="D5" s="5" t="s">
        <v>4</v>
      </c>
      <c r="E5" s="6"/>
      <c r="F5" s="7">
        <v>3000</v>
      </c>
    </row>
    <row r="6" spans="1:6" x14ac:dyDescent="0.2">
      <c r="A6" s="8" t="s">
        <v>5</v>
      </c>
      <c r="B6" s="9"/>
      <c r="C6" s="10">
        <v>3000</v>
      </c>
      <c r="D6" s="8"/>
      <c r="E6" s="9"/>
      <c r="F6" s="10"/>
    </row>
    <row r="7" spans="1:6" x14ac:dyDescent="0.2">
      <c r="A7" s="8" t="s">
        <v>6</v>
      </c>
      <c r="B7" s="9"/>
      <c r="C7" s="10">
        <v>7000</v>
      </c>
      <c r="D7" s="8"/>
      <c r="E7" s="9"/>
      <c r="F7" s="10"/>
    </row>
    <row r="8" spans="1:6" x14ac:dyDescent="0.2">
      <c r="A8" s="8" t="s">
        <v>7</v>
      </c>
      <c r="B8" s="9"/>
      <c r="C8" s="10">
        <v>1000</v>
      </c>
      <c r="D8" s="8" t="s">
        <v>8</v>
      </c>
      <c r="E8" s="9"/>
      <c r="F8" s="10">
        <v>8000</v>
      </c>
    </row>
    <row r="9" spans="1:6" x14ac:dyDescent="0.2">
      <c r="A9" s="21" t="s">
        <v>9</v>
      </c>
      <c r="B9" s="22"/>
      <c r="C9" s="25">
        <f>C5+C8</f>
        <v>11000</v>
      </c>
      <c r="D9" s="21" t="s">
        <v>10</v>
      </c>
      <c r="E9" s="22"/>
      <c r="F9" s="25">
        <f>F5+F8</f>
        <v>11000</v>
      </c>
    </row>
    <row r="11" spans="1:6" x14ac:dyDescent="0.2">
      <c r="A11" s="1" t="s">
        <v>11</v>
      </c>
    </row>
    <row r="12" spans="1:6" x14ac:dyDescent="0.2">
      <c r="A12" s="21" t="s">
        <v>12</v>
      </c>
      <c r="B12" s="22"/>
      <c r="C12" s="26"/>
      <c r="D12" s="21" t="s">
        <v>13</v>
      </c>
      <c r="E12" s="22"/>
      <c r="F12" s="27"/>
    </row>
    <row r="13" spans="1:6" x14ac:dyDescent="0.2">
      <c r="A13" s="11" t="s">
        <v>14</v>
      </c>
      <c r="B13" s="12"/>
      <c r="C13" s="13">
        <f>C14+C21</f>
        <v>3180</v>
      </c>
      <c r="D13" s="11" t="s">
        <v>15</v>
      </c>
      <c r="E13" s="12"/>
      <c r="F13" s="14">
        <f>100*50</f>
        <v>5000</v>
      </c>
    </row>
    <row r="14" spans="1:6" x14ac:dyDescent="0.2">
      <c r="A14" s="8" t="s">
        <v>16</v>
      </c>
      <c r="B14" s="9"/>
      <c r="C14" s="15">
        <f>SUM(C15:C17)</f>
        <v>2780</v>
      </c>
      <c r="D14" s="8"/>
      <c r="E14" s="9"/>
      <c r="F14" s="10"/>
    </row>
    <row r="15" spans="1:6" x14ac:dyDescent="0.2">
      <c r="A15" s="8" t="s">
        <v>17</v>
      </c>
      <c r="B15" s="9"/>
      <c r="C15" s="15">
        <v>2000</v>
      </c>
      <c r="D15" s="8"/>
      <c r="E15" s="9"/>
      <c r="F15" s="10"/>
    </row>
    <row r="16" spans="1:6" x14ac:dyDescent="0.2">
      <c r="A16" s="8" t="s">
        <v>18</v>
      </c>
      <c r="B16" s="16">
        <v>0.05</v>
      </c>
      <c r="C16" s="15">
        <f>B16*C7</f>
        <v>350</v>
      </c>
      <c r="D16" s="8"/>
      <c r="E16" s="9"/>
      <c r="F16" s="10"/>
    </row>
    <row r="17" spans="1:6" x14ac:dyDescent="0.2">
      <c r="A17" s="8" t="s">
        <v>19</v>
      </c>
      <c r="B17" s="16"/>
      <c r="C17" s="15">
        <f>SUM(C18:C20)</f>
        <v>430</v>
      </c>
      <c r="D17" s="8"/>
      <c r="E17" s="9"/>
      <c r="F17" s="10"/>
    </row>
    <row r="18" spans="1:6" x14ac:dyDescent="0.2">
      <c r="A18" s="8" t="s">
        <v>20</v>
      </c>
      <c r="B18" s="16">
        <v>0.01</v>
      </c>
      <c r="C18" s="15">
        <f>C6*B18</f>
        <v>30</v>
      </c>
      <c r="D18" s="8"/>
      <c r="E18" s="9"/>
      <c r="F18" s="10"/>
    </row>
    <row r="19" spans="1:6" x14ac:dyDescent="0.2">
      <c r="A19" s="8" t="s">
        <v>21</v>
      </c>
      <c r="B19" s="16">
        <v>0.05</v>
      </c>
      <c r="C19" s="15">
        <f>F13*B19</f>
        <v>250</v>
      </c>
      <c r="D19" s="8"/>
      <c r="E19" s="9"/>
      <c r="F19" s="10"/>
    </row>
    <row r="20" spans="1:6" x14ac:dyDescent="0.2">
      <c r="A20" s="8" t="s">
        <v>22</v>
      </c>
      <c r="B20" s="17">
        <v>7.4999999999999997E-2</v>
      </c>
      <c r="C20" s="15">
        <f>C15*B20</f>
        <v>150</v>
      </c>
      <c r="D20" s="8"/>
      <c r="E20" s="9"/>
      <c r="F20" s="10"/>
    </row>
    <row r="21" spans="1:6" x14ac:dyDescent="0.2">
      <c r="A21" s="8" t="s">
        <v>23</v>
      </c>
      <c r="B21" s="16">
        <v>0.05</v>
      </c>
      <c r="C21" s="15">
        <f>F8*B21</f>
        <v>400</v>
      </c>
      <c r="D21" s="8"/>
      <c r="E21" s="9"/>
      <c r="F21" s="10"/>
    </row>
    <row r="22" spans="1:6" x14ac:dyDescent="0.2">
      <c r="A22" s="11" t="s">
        <v>24</v>
      </c>
      <c r="B22" s="12"/>
      <c r="C22" s="13">
        <f>F13-C13</f>
        <v>1820</v>
      </c>
      <c r="D22" s="18"/>
      <c r="E22" s="19"/>
      <c r="F22" s="20"/>
    </row>
    <row r="23" spans="1:6" x14ac:dyDescent="0.2">
      <c r="A23" s="8" t="s">
        <v>25</v>
      </c>
      <c r="B23" s="16">
        <v>0.3</v>
      </c>
      <c r="C23" s="15">
        <f>C22*B23</f>
        <v>546</v>
      </c>
      <c r="D23" s="18"/>
      <c r="E23" s="19"/>
      <c r="F23" s="20"/>
    </row>
    <row r="24" spans="1:6" x14ac:dyDescent="0.2">
      <c r="A24" s="8" t="s">
        <v>26</v>
      </c>
      <c r="B24" s="9"/>
      <c r="C24" s="15">
        <f>C22-C23</f>
        <v>1274</v>
      </c>
      <c r="D24" s="18"/>
      <c r="E24" s="19"/>
      <c r="F24" s="20"/>
    </row>
    <row r="25" spans="1:6" x14ac:dyDescent="0.2">
      <c r="A25" s="8" t="s">
        <v>27</v>
      </c>
      <c r="B25" s="16">
        <v>0.5</v>
      </c>
      <c r="C25" s="15">
        <f>C24*B25</f>
        <v>637</v>
      </c>
      <c r="D25" s="18"/>
      <c r="E25" s="19"/>
      <c r="F25" s="20"/>
    </row>
    <row r="26" spans="1:6" x14ac:dyDescent="0.2">
      <c r="A26" s="8" t="s">
        <v>28</v>
      </c>
      <c r="B26" s="16">
        <v>0.5</v>
      </c>
      <c r="C26" s="15">
        <f>C24*B26</f>
        <v>637</v>
      </c>
      <c r="D26" s="18"/>
      <c r="E26" s="19"/>
      <c r="F26" s="20"/>
    </row>
    <row r="27" spans="1:6" x14ac:dyDescent="0.2">
      <c r="A27" s="21" t="s">
        <v>29</v>
      </c>
      <c r="B27" s="22"/>
      <c r="C27" s="28">
        <f>C13+C22</f>
        <v>5000</v>
      </c>
      <c r="D27" s="21" t="s">
        <v>30</v>
      </c>
      <c r="E27" s="22"/>
      <c r="F27" s="25">
        <f>F13</f>
        <v>5000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C24" formula="1"/>
    <ignoredError sqref="C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1) Situation initiale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2022-09-12T15:19:43Z</dcterms:modified>
</cp:coreProperties>
</file>