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filterPrivacy="1" defaultThemeVersion="124226"/>
  <xr:revisionPtr revIDLastSave="0" documentId="13_ncr:1_{8A355BAC-2696-4B6F-921A-8FFCB4531F2A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1) Vente locale" sheetId="7" r:id="rId1"/>
  </sheets>
  <calcPr calcId="191029"/>
</workbook>
</file>

<file path=xl/calcChain.xml><?xml version="1.0" encoding="utf-8"?>
<calcChain xmlns="http://schemas.openxmlformats.org/spreadsheetml/2006/main">
  <c r="C33" i="7" l="1"/>
  <c r="C34" i="7"/>
  <c r="C35" i="7"/>
  <c r="C32" i="7"/>
  <c r="C19" i="7" l="1"/>
  <c r="C18" i="7"/>
  <c r="C17" i="7"/>
  <c r="C16" i="7"/>
  <c r="C15" i="7"/>
  <c r="C11" i="7"/>
  <c r="C10" i="7"/>
  <c r="C9" i="7"/>
  <c r="C8" i="7"/>
  <c r="C7" i="7"/>
  <c r="L32" i="7"/>
  <c r="L39" i="7"/>
  <c r="L38" i="7"/>
  <c r="L31" i="7"/>
  <c r="L30" i="7"/>
  <c r="L29" i="7"/>
  <c r="L23" i="7"/>
  <c r="L22" i="7"/>
  <c r="L21" i="7"/>
  <c r="L15" i="7"/>
  <c r="L14" i="7"/>
  <c r="L13" i="7"/>
  <c r="L7" i="7"/>
  <c r="L6" i="7"/>
  <c r="L5" i="7"/>
  <c r="K39" i="7"/>
  <c r="K38" i="7"/>
  <c r="K37" i="7"/>
  <c r="K31" i="7"/>
  <c r="K30" i="7"/>
  <c r="K29" i="7"/>
  <c r="K23" i="7"/>
  <c r="K22" i="7"/>
  <c r="K21" i="7"/>
  <c r="K15" i="7"/>
  <c r="K14" i="7"/>
  <c r="K13" i="7"/>
  <c r="K7" i="7"/>
  <c r="K6" i="7"/>
  <c r="K5" i="7"/>
  <c r="H37" i="7"/>
  <c r="L37" i="7" s="1"/>
  <c r="H33" i="7"/>
  <c r="F32" i="7" s="1"/>
  <c r="F33" i="7" s="1"/>
  <c r="H25" i="7"/>
  <c r="F24" i="7" s="1"/>
  <c r="F25" i="7" s="1"/>
  <c r="B19" i="7"/>
  <c r="B18" i="7"/>
  <c r="H17" i="7"/>
  <c r="F16" i="7" s="1"/>
  <c r="B17" i="7"/>
  <c r="B16" i="7"/>
  <c r="B11" i="7"/>
  <c r="B10" i="7"/>
  <c r="H9" i="7"/>
  <c r="B9" i="7"/>
  <c r="B8" i="7"/>
  <c r="B7" i="7"/>
  <c r="F5" i="7"/>
  <c r="B15" i="7" s="1"/>
  <c r="B20" i="7" l="1"/>
  <c r="H41" i="7"/>
  <c r="F40" i="7" s="1"/>
  <c r="F41" i="7" s="1"/>
  <c r="B12" i="7"/>
  <c r="F8" i="7"/>
  <c r="B32" i="7" s="1"/>
  <c r="B34" i="7"/>
  <c r="L40" i="7"/>
  <c r="C28" i="7" s="1"/>
  <c r="F17" i="7"/>
  <c r="B33" i="7"/>
  <c r="L16" i="7"/>
  <c r="C25" i="7" s="1"/>
  <c r="B35" i="7"/>
  <c r="L24" i="7"/>
  <c r="C26" i="7" s="1"/>
  <c r="C23" i="7"/>
  <c r="F9" i="7" l="1"/>
  <c r="B36" i="7"/>
  <c r="C36" i="7" s="1"/>
  <c r="L8" i="7"/>
  <c r="C24" i="7" s="1"/>
  <c r="C20" i="7"/>
  <c r="C12" i="7"/>
  <c r="C27" i="7"/>
  <c r="C29" i="7" l="1"/>
  <c r="C40" i="7" s="1"/>
  <c r="C37" i="7"/>
  <c r="C41" i="7" s="1"/>
  <c r="C42" i="7" s="1"/>
</calcChain>
</file>

<file path=xl/sharedStrings.xml><?xml version="1.0" encoding="utf-8"?>
<sst xmlns="http://schemas.openxmlformats.org/spreadsheetml/2006/main" count="120" uniqueCount="35">
  <si>
    <t>Charges</t>
  </si>
  <si>
    <t>Produits</t>
  </si>
  <si>
    <t>Achats locaux</t>
  </si>
  <si>
    <t>Ventes</t>
  </si>
  <si>
    <t>Achats importés</t>
  </si>
  <si>
    <t>Salaires</t>
  </si>
  <si>
    <t>Bénéfice</t>
  </si>
  <si>
    <t>Somme</t>
  </si>
  <si>
    <t>TVA à reverser</t>
  </si>
  <si>
    <t>TVA collectée</t>
  </si>
  <si>
    <t>Entreprise extractive</t>
  </si>
  <si>
    <t>Valeur</t>
  </si>
  <si>
    <t>TVA</t>
  </si>
  <si>
    <t>Sous-traitant 1</t>
  </si>
  <si>
    <t>Sous-traitant 2</t>
  </si>
  <si>
    <t>Sous-traitant 3</t>
  </si>
  <si>
    <t>Total</t>
  </si>
  <si>
    <t>Fournisseurs locaux</t>
  </si>
  <si>
    <t>Sous-traitant 1 : Chimie</t>
  </si>
  <si>
    <t>Sous-traitant 2 : Machines et services après vente</t>
  </si>
  <si>
    <t>Sous-traitant 3 : Société de gardiennage</t>
  </si>
  <si>
    <t>Fournisseurs locaux des sous-traitants</t>
  </si>
  <si>
    <t>Douanes</t>
  </si>
  <si>
    <t>IS</t>
  </si>
  <si>
    <t>Recettes</t>
  </si>
  <si>
    <t>Taux</t>
  </si>
  <si>
    <t>Taux d'imposition</t>
  </si>
  <si>
    <t>TVA déductible Achats locaux</t>
  </si>
  <si>
    <t>TVA déductible Achats importés</t>
  </si>
  <si>
    <t>Recettes de TVA</t>
  </si>
  <si>
    <t>Recettes d'IS</t>
  </si>
  <si>
    <t>RECAPITULATIF</t>
  </si>
  <si>
    <t>COMPTES DE RESULTAT</t>
  </si>
  <si>
    <t>Recettes totales</t>
  </si>
  <si>
    <t>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</si>
</sst>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17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rgb="FF114258"/>
      <name val="Arial"/>
      <family val="2"/>
    </font>
    <font>
      <sz val="10"/>
      <color rgb="FF114258"/>
      <name val="Arial"/>
      <family val="2"/>
    </font>
    <font>
      <b/>
      <sz val="10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0"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5" fillId="0" borderId="0" xfId="0" applyFont="1">
      <alignment horizontal="left" vertical="top"/>
    </xf>
    <xf numFmtId="0" fontId="15" fillId="0" borderId="0" xfId="0" applyFont="1" applyFill="1">
      <alignment horizontal="left" vertical="top"/>
    </xf>
    <xf numFmtId="0" fontId="14" fillId="34" borderId="0" xfId="0" applyFont="1" applyFill="1" applyBorder="1">
      <alignment horizontal="left" vertical="top"/>
    </xf>
    <xf numFmtId="0" fontId="14" fillId="34" borderId="0" xfId="0" applyFont="1" applyFill="1" applyBorder="1" applyAlignment="1">
      <alignment horizontal="right" vertical="top"/>
    </xf>
    <xf numFmtId="0" fontId="15" fillId="35" borderId="0" xfId="0" applyFont="1" applyFill="1" applyBorder="1">
      <alignment horizontal="left" vertical="top"/>
    </xf>
    <xf numFmtId="9" fontId="15" fillId="35" borderId="0" xfId="0" applyNumberFormat="1" applyFont="1" applyFill="1" applyBorder="1" applyAlignment="1">
      <alignment horizontal="right" vertical="top"/>
    </xf>
    <xf numFmtId="0" fontId="16" fillId="33" borderId="10" xfId="0" applyFont="1" applyFill="1" applyBorder="1">
      <alignment horizontal="left" vertical="top"/>
    </xf>
    <xf numFmtId="0" fontId="16" fillId="33" borderId="11" xfId="0" applyFont="1" applyFill="1" applyBorder="1" applyAlignment="1">
      <alignment horizontal="right" vertical="top"/>
    </xf>
    <xf numFmtId="0" fontId="16" fillId="33" borderId="12" xfId="0" applyFont="1" applyFill="1" applyBorder="1" applyAlignment="1">
      <alignment horizontal="right" vertical="top"/>
    </xf>
    <xf numFmtId="3" fontId="14" fillId="0" borderId="0" xfId="0" applyNumberFormat="1" applyFont="1" applyFill="1" applyBorder="1" applyAlignment="1">
      <alignment horizontal="right" vertical="top"/>
    </xf>
    <xf numFmtId="0" fontId="15" fillId="35" borderId="6" xfId="0" applyFont="1" applyFill="1" applyBorder="1">
      <alignment horizontal="left" vertical="top"/>
    </xf>
    <xf numFmtId="3" fontId="15" fillId="35" borderId="0" xfId="0" applyNumberFormat="1" applyFont="1" applyFill="1" applyBorder="1" applyAlignment="1">
      <alignment horizontal="right" vertical="top"/>
    </xf>
    <xf numFmtId="3" fontId="15" fillId="35" borderId="7" xfId="0" applyNumberFormat="1" applyFont="1" applyFill="1" applyBorder="1" applyAlignment="1">
      <alignment horizontal="right" vertical="top"/>
    </xf>
    <xf numFmtId="3" fontId="15" fillId="0" borderId="0" xfId="0" applyNumberFormat="1" applyFont="1" applyFill="1" applyBorder="1" applyAlignment="1">
      <alignment horizontal="right" vertical="top"/>
    </xf>
    <xf numFmtId="0" fontId="15" fillId="34" borderId="0" xfId="0" applyFont="1" applyFill="1">
      <alignment horizontal="left" vertical="top"/>
    </xf>
    <xf numFmtId="9" fontId="15" fillId="34" borderId="0" xfId="0" applyNumberFormat="1" applyFont="1" applyFill="1" applyAlignment="1">
      <alignment horizontal="right" vertical="top"/>
    </xf>
    <xf numFmtId="3" fontId="15" fillId="34" borderId="0" xfId="0" applyNumberFormat="1" applyFont="1" applyFill="1" applyAlignment="1">
      <alignment horizontal="right" vertical="top"/>
    </xf>
    <xf numFmtId="0" fontId="15" fillId="35" borderId="0" xfId="0" applyFont="1" applyFill="1">
      <alignment horizontal="left" vertical="top"/>
    </xf>
    <xf numFmtId="9" fontId="15" fillId="35" borderId="0" xfId="0" applyNumberFormat="1" applyFont="1" applyFill="1" applyAlignment="1">
      <alignment horizontal="right" vertical="top"/>
    </xf>
    <xf numFmtId="3" fontId="15" fillId="35" borderId="0" xfId="0" applyNumberFormat="1" applyFont="1" applyFill="1" applyAlignment="1">
      <alignment horizontal="right" vertical="top"/>
    </xf>
    <xf numFmtId="0" fontId="14" fillId="35" borderId="10" xfId="0" applyFont="1" applyFill="1" applyBorder="1">
      <alignment horizontal="left" vertical="top"/>
    </xf>
    <xf numFmtId="3" fontId="14" fillId="35" borderId="11" xfId="0" applyNumberFormat="1" applyFont="1" applyFill="1" applyBorder="1" applyAlignment="1">
      <alignment horizontal="right" vertical="top"/>
    </xf>
    <xf numFmtId="0" fontId="15" fillId="35" borderId="8" xfId="0" applyFont="1" applyFill="1" applyBorder="1">
      <alignment horizontal="left" vertical="top"/>
    </xf>
    <xf numFmtId="3" fontId="15" fillId="35" borderId="9" xfId="0" applyNumberFormat="1" applyFont="1" applyFill="1" applyBorder="1" applyAlignment="1">
      <alignment horizontal="right" vertical="top"/>
    </xf>
    <xf numFmtId="3" fontId="14" fillId="34" borderId="0" xfId="0" applyNumberFormat="1" applyFont="1" applyFill="1" applyAlignment="1">
      <alignment horizontal="right" vertical="top"/>
    </xf>
    <xf numFmtId="3" fontId="16" fillId="33" borderId="11" xfId="0" applyNumberFormat="1" applyFont="1" applyFill="1" applyBorder="1" applyAlignment="1">
      <alignment horizontal="right" vertical="top"/>
    </xf>
    <xf numFmtId="3" fontId="16" fillId="33" borderId="12" xfId="0" applyNumberFormat="1" applyFont="1" applyFill="1" applyBorder="1" applyAlignment="1">
      <alignment horizontal="right" vertical="top"/>
    </xf>
    <xf numFmtId="3" fontId="14" fillId="34" borderId="0" xfId="0" applyNumberFormat="1" applyFont="1" applyFill="1" applyBorder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114258"/>
      <color rgb="FF026D8E"/>
      <color rgb="FF97C7D3"/>
      <color rgb="FFCCE8EF"/>
      <color rgb="FFD43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A7BF-9DA0-4DEE-B1AB-F49F39DBE3EF}">
  <dimension ref="A1:L42"/>
  <sheetViews>
    <sheetView tabSelected="1" zoomScaleNormal="100" workbookViewId="0"/>
  </sheetViews>
  <sheetFormatPr baseColWidth="10" defaultColWidth="10.83203125" defaultRowHeight="12.75" x14ac:dyDescent="0.2"/>
  <cols>
    <col min="1" max="1" width="20.83203125" style="2" customWidth="1"/>
    <col min="2" max="3" width="10.83203125" style="2"/>
    <col min="4" max="4" width="20.83203125" style="2" customWidth="1"/>
    <col min="5" max="5" width="15.83203125" style="2" customWidth="1"/>
    <col min="6" max="6" width="10.83203125" style="2" customWidth="1"/>
    <col min="7" max="7" width="15.83203125" style="2" customWidth="1"/>
    <col min="8" max="8" width="10.83203125" style="2" customWidth="1"/>
    <col min="9" max="9" width="5.83203125" style="3" customWidth="1"/>
    <col min="10" max="10" width="30.83203125" style="2" customWidth="1"/>
    <col min="11" max="11" width="10.83203125" style="2" customWidth="1"/>
    <col min="12" max="16384" width="10.83203125" style="2"/>
  </cols>
  <sheetData>
    <row r="1" spans="1:12" x14ac:dyDescent="0.2">
      <c r="A1" s="1" t="s">
        <v>31</v>
      </c>
      <c r="E1" s="1" t="s">
        <v>32</v>
      </c>
      <c r="J1" s="1" t="s">
        <v>12</v>
      </c>
      <c r="K1" s="2" t="s">
        <v>25</v>
      </c>
      <c r="L1" s="2" t="s">
        <v>34</v>
      </c>
    </row>
    <row r="2" spans="1:12" x14ac:dyDescent="0.2">
      <c r="A2" s="4" t="s">
        <v>26</v>
      </c>
      <c r="B2" s="4"/>
      <c r="C2" s="5" t="s">
        <v>25</v>
      </c>
    </row>
    <row r="3" spans="1:12" x14ac:dyDescent="0.2">
      <c r="A3" s="6" t="s">
        <v>12</v>
      </c>
      <c r="B3" s="6"/>
      <c r="C3" s="7">
        <v>0.2</v>
      </c>
      <c r="E3" s="1" t="s">
        <v>10</v>
      </c>
      <c r="F3" s="1"/>
    </row>
    <row r="4" spans="1:12" x14ac:dyDescent="0.2">
      <c r="A4" s="6" t="s">
        <v>23</v>
      </c>
      <c r="B4" s="6"/>
      <c r="C4" s="7">
        <v>0.3</v>
      </c>
      <c r="E4" s="8" t="s">
        <v>0</v>
      </c>
      <c r="F4" s="9"/>
      <c r="G4" s="8" t="s">
        <v>1</v>
      </c>
      <c r="H4" s="10"/>
      <c r="I4" s="11"/>
    </row>
    <row r="5" spans="1:12" x14ac:dyDescent="0.2">
      <c r="E5" s="12" t="s">
        <v>2</v>
      </c>
      <c r="F5" s="13">
        <f>H13+H21+H29</f>
        <v>470</v>
      </c>
      <c r="G5" s="12" t="s">
        <v>3</v>
      </c>
      <c r="H5" s="14">
        <v>1000</v>
      </c>
      <c r="I5" s="15"/>
      <c r="J5" s="16" t="s">
        <v>9</v>
      </c>
      <c r="K5" s="17">
        <f>$C$3</f>
        <v>0.2</v>
      </c>
      <c r="L5" s="18">
        <f>H5*K5</f>
        <v>200</v>
      </c>
    </row>
    <row r="6" spans="1:12" x14ac:dyDescent="0.2">
      <c r="A6" s="4" t="s">
        <v>4</v>
      </c>
      <c r="B6" s="5" t="s">
        <v>11</v>
      </c>
      <c r="C6" s="5" t="s">
        <v>12</v>
      </c>
      <c r="E6" s="12" t="s">
        <v>4</v>
      </c>
      <c r="F6" s="13">
        <v>130</v>
      </c>
      <c r="G6" s="12"/>
      <c r="H6" s="14"/>
      <c r="I6" s="15"/>
      <c r="J6" s="19" t="s">
        <v>27</v>
      </c>
      <c r="K6" s="20">
        <f t="shared" ref="K6:K7" si="0">$C$3</f>
        <v>0.2</v>
      </c>
      <c r="L6" s="21">
        <f>F5*K6</f>
        <v>94</v>
      </c>
    </row>
    <row r="7" spans="1:12" x14ac:dyDescent="0.2">
      <c r="A7" s="6" t="s">
        <v>10</v>
      </c>
      <c r="B7" s="13">
        <f>F6</f>
        <v>130</v>
      </c>
      <c r="C7" s="13">
        <f>L7</f>
        <v>26</v>
      </c>
      <c r="E7" s="12" t="s">
        <v>5</v>
      </c>
      <c r="F7" s="13">
        <v>300</v>
      </c>
      <c r="G7" s="12"/>
      <c r="H7" s="14"/>
      <c r="I7" s="15"/>
      <c r="J7" s="19" t="s">
        <v>28</v>
      </c>
      <c r="K7" s="20">
        <f t="shared" si="0"/>
        <v>0.2</v>
      </c>
      <c r="L7" s="21">
        <f>F6*K7</f>
        <v>26</v>
      </c>
    </row>
    <row r="8" spans="1:12" x14ac:dyDescent="0.2">
      <c r="A8" s="6" t="s">
        <v>13</v>
      </c>
      <c r="B8" s="13">
        <f>F14</f>
        <v>20</v>
      </c>
      <c r="C8" s="13">
        <f>L15</f>
        <v>4</v>
      </c>
      <c r="E8" s="22" t="s">
        <v>6</v>
      </c>
      <c r="F8" s="23">
        <f>H9-SUM(F5:F7)</f>
        <v>100</v>
      </c>
      <c r="G8" s="24"/>
      <c r="H8" s="25"/>
      <c r="I8" s="15"/>
      <c r="J8" s="4" t="s">
        <v>8</v>
      </c>
      <c r="K8" s="4"/>
      <c r="L8" s="26">
        <f>L5-SUM(L6:L7)</f>
        <v>80</v>
      </c>
    </row>
    <row r="9" spans="1:12" x14ac:dyDescent="0.2">
      <c r="A9" s="6" t="s">
        <v>14</v>
      </c>
      <c r="B9" s="13">
        <f>F22</f>
        <v>100</v>
      </c>
      <c r="C9" s="13">
        <f>L23</f>
        <v>20</v>
      </c>
      <c r="E9" s="8" t="s">
        <v>7</v>
      </c>
      <c r="F9" s="27">
        <f>SUM(F5:F8)</f>
        <v>1000</v>
      </c>
      <c r="G9" s="8" t="s">
        <v>7</v>
      </c>
      <c r="H9" s="28">
        <f>SUM(H5:H8)</f>
        <v>1000</v>
      </c>
      <c r="I9" s="11"/>
    </row>
    <row r="10" spans="1:12" x14ac:dyDescent="0.2">
      <c r="A10" s="6" t="s">
        <v>15</v>
      </c>
      <c r="B10" s="13">
        <f>F30</f>
        <v>0</v>
      </c>
      <c r="C10" s="13">
        <f>L31</f>
        <v>0</v>
      </c>
    </row>
    <row r="11" spans="1:12" x14ac:dyDescent="0.2">
      <c r="A11" s="6" t="s">
        <v>17</v>
      </c>
      <c r="B11" s="13">
        <f>F38</f>
        <v>0</v>
      </c>
      <c r="C11" s="13">
        <f>L39</f>
        <v>0</v>
      </c>
      <c r="E11" s="1" t="s">
        <v>18</v>
      </c>
      <c r="F11" s="1"/>
    </row>
    <row r="12" spans="1:12" x14ac:dyDescent="0.2">
      <c r="A12" s="4" t="s">
        <v>16</v>
      </c>
      <c r="B12" s="29">
        <f>SUM(B7:B11)</f>
        <v>250</v>
      </c>
      <c r="C12" s="29">
        <f>SUM(C7:C11)</f>
        <v>50</v>
      </c>
      <c r="E12" s="8" t="s">
        <v>0</v>
      </c>
      <c r="F12" s="9"/>
      <c r="G12" s="8" t="s">
        <v>1</v>
      </c>
      <c r="H12" s="10"/>
      <c r="I12" s="11"/>
    </row>
    <row r="13" spans="1:12" x14ac:dyDescent="0.2">
      <c r="E13" s="12" t="s">
        <v>2</v>
      </c>
      <c r="F13" s="13">
        <v>30</v>
      </c>
      <c r="G13" s="12" t="s">
        <v>3</v>
      </c>
      <c r="H13" s="14">
        <v>100</v>
      </c>
      <c r="I13" s="15"/>
      <c r="J13" s="16" t="s">
        <v>9</v>
      </c>
      <c r="K13" s="17">
        <f>$C$3</f>
        <v>0.2</v>
      </c>
      <c r="L13" s="18">
        <f>H13*K13</f>
        <v>20</v>
      </c>
    </row>
    <row r="14" spans="1:12" x14ac:dyDescent="0.2">
      <c r="A14" s="4" t="s">
        <v>2</v>
      </c>
      <c r="B14" s="5" t="s">
        <v>11</v>
      </c>
      <c r="C14" s="5" t="s">
        <v>12</v>
      </c>
      <c r="E14" s="12" t="s">
        <v>4</v>
      </c>
      <c r="F14" s="13">
        <v>20</v>
      </c>
      <c r="G14" s="12"/>
      <c r="H14" s="14"/>
      <c r="I14" s="15"/>
      <c r="J14" s="19" t="s">
        <v>27</v>
      </c>
      <c r="K14" s="20">
        <f t="shared" ref="K14:K15" si="1">$C$3</f>
        <v>0.2</v>
      </c>
      <c r="L14" s="21">
        <f>F13*K14</f>
        <v>6</v>
      </c>
    </row>
    <row r="15" spans="1:12" x14ac:dyDescent="0.2">
      <c r="A15" s="6" t="s">
        <v>10</v>
      </c>
      <c r="B15" s="13">
        <f>F5</f>
        <v>470</v>
      </c>
      <c r="C15" s="13">
        <f>L6</f>
        <v>94</v>
      </c>
      <c r="E15" s="12" t="s">
        <v>5</v>
      </c>
      <c r="F15" s="13">
        <v>20</v>
      </c>
      <c r="G15" s="12"/>
      <c r="H15" s="14"/>
      <c r="I15" s="15"/>
      <c r="J15" s="19" t="s">
        <v>28</v>
      </c>
      <c r="K15" s="20">
        <f t="shared" si="1"/>
        <v>0.2</v>
      </c>
      <c r="L15" s="21">
        <f>F14*K15</f>
        <v>4</v>
      </c>
    </row>
    <row r="16" spans="1:12" x14ac:dyDescent="0.2">
      <c r="A16" s="6" t="s">
        <v>13</v>
      </c>
      <c r="B16" s="13">
        <f>F13</f>
        <v>30</v>
      </c>
      <c r="C16" s="13">
        <f>L14</f>
        <v>6</v>
      </c>
      <c r="E16" s="22" t="s">
        <v>6</v>
      </c>
      <c r="F16" s="23">
        <f>H17-SUM(F13:F15)</f>
        <v>30</v>
      </c>
      <c r="G16" s="24"/>
      <c r="H16" s="25"/>
      <c r="I16" s="15"/>
      <c r="J16" s="4" t="s">
        <v>8</v>
      </c>
      <c r="K16" s="4"/>
      <c r="L16" s="26">
        <f>L13-SUM(L14:L15)</f>
        <v>10</v>
      </c>
    </row>
    <row r="17" spans="1:12" x14ac:dyDescent="0.2">
      <c r="A17" s="6" t="s">
        <v>14</v>
      </c>
      <c r="B17" s="13">
        <f>F21</f>
        <v>50</v>
      </c>
      <c r="C17" s="13">
        <f>L22</f>
        <v>10</v>
      </c>
      <c r="E17" s="8" t="s">
        <v>7</v>
      </c>
      <c r="F17" s="27">
        <f>SUM(F13:F16)</f>
        <v>100</v>
      </c>
      <c r="G17" s="8" t="s">
        <v>7</v>
      </c>
      <c r="H17" s="28">
        <f>SUM(H13:H16)</f>
        <v>100</v>
      </c>
      <c r="I17" s="11"/>
    </row>
    <row r="18" spans="1:12" x14ac:dyDescent="0.2">
      <c r="A18" s="6" t="s">
        <v>15</v>
      </c>
      <c r="B18" s="13">
        <f>F29</f>
        <v>10</v>
      </c>
      <c r="C18" s="13">
        <f>L30</f>
        <v>2</v>
      </c>
    </row>
    <row r="19" spans="1:12" x14ac:dyDescent="0.2">
      <c r="A19" s="6" t="s">
        <v>17</v>
      </c>
      <c r="B19" s="13">
        <f>F37</f>
        <v>0</v>
      </c>
      <c r="C19" s="13">
        <f>L38</f>
        <v>0</v>
      </c>
      <c r="E19" s="1" t="s">
        <v>19</v>
      </c>
      <c r="F19" s="1"/>
    </row>
    <row r="20" spans="1:12" x14ac:dyDescent="0.2">
      <c r="A20" s="4" t="s">
        <v>16</v>
      </c>
      <c r="B20" s="29">
        <f>SUM(B15:B19)</f>
        <v>560</v>
      </c>
      <c r="C20" s="29">
        <f>SUM(C15:C19)</f>
        <v>112</v>
      </c>
      <c r="E20" s="8" t="s">
        <v>0</v>
      </c>
      <c r="F20" s="9"/>
      <c r="G20" s="8" t="s">
        <v>1</v>
      </c>
      <c r="H20" s="10"/>
      <c r="I20" s="11"/>
    </row>
    <row r="21" spans="1:12" x14ac:dyDescent="0.2">
      <c r="E21" s="12" t="s">
        <v>2</v>
      </c>
      <c r="F21" s="13">
        <v>50</v>
      </c>
      <c r="G21" s="12" t="s">
        <v>3</v>
      </c>
      <c r="H21" s="14">
        <v>250</v>
      </c>
      <c r="I21" s="15"/>
      <c r="J21" s="16" t="s">
        <v>9</v>
      </c>
      <c r="K21" s="17">
        <f>$C$3</f>
        <v>0.2</v>
      </c>
      <c r="L21" s="18">
        <f>H21*K21</f>
        <v>50</v>
      </c>
    </row>
    <row r="22" spans="1:12" x14ac:dyDescent="0.2">
      <c r="A22" s="4" t="s">
        <v>29</v>
      </c>
      <c r="B22" s="5"/>
      <c r="C22" s="5" t="s">
        <v>12</v>
      </c>
      <c r="E22" s="12" t="s">
        <v>4</v>
      </c>
      <c r="F22" s="13">
        <v>100</v>
      </c>
      <c r="G22" s="12"/>
      <c r="H22" s="14"/>
      <c r="I22" s="15"/>
      <c r="J22" s="19" t="s">
        <v>27</v>
      </c>
      <c r="K22" s="20">
        <f t="shared" ref="K22:K23" si="2">$C$3</f>
        <v>0.2</v>
      </c>
      <c r="L22" s="21">
        <f>F21*K22</f>
        <v>10</v>
      </c>
    </row>
    <row r="23" spans="1:12" x14ac:dyDescent="0.2">
      <c r="A23" s="6" t="s">
        <v>22</v>
      </c>
      <c r="B23" s="13"/>
      <c r="C23" s="13">
        <f>L7+L15+L23+L31+L39</f>
        <v>50</v>
      </c>
      <c r="E23" s="12" t="s">
        <v>5</v>
      </c>
      <c r="F23" s="13">
        <v>20</v>
      </c>
      <c r="G23" s="12"/>
      <c r="H23" s="14"/>
      <c r="I23" s="15"/>
      <c r="J23" s="19" t="s">
        <v>28</v>
      </c>
      <c r="K23" s="20">
        <f t="shared" si="2"/>
        <v>0.2</v>
      </c>
      <c r="L23" s="21">
        <f>F22*K23</f>
        <v>20</v>
      </c>
    </row>
    <row r="24" spans="1:12" x14ac:dyDescent="0.2">
      <c r="A24" s="6" t="s">
        <v>10</v>
      </c>
      <c r="B24" s="13"/>
      <c r="C24" s="13">
        <f>L8</f>
        <v>80</v>
      </c>
      <c r="E24" s="22" t="s">
        <v>6</v>
      </c>
      <c r="F24" s="23">
        <f>H25-SUM(F21:F23)</f>
        <v>80</v>
      </c>
      <c r="G24" s="24"/>
      <c r="H24" s="25"/>
      <c r="I24" s="15"/>
      <c r="J24" s="4" t="s">
        <v>8</v>
      </c>
      <c r="K24" s="4"/>
      <c r="L24" s="26">
        <f>L21-SUM(L22:L23)</f>
        <v>20</v>
      </c>
    </row>
    <row r="25" spans="1:12" x14ac:dyDescent="0.2">
      <c r="A25" s="6" t="s">
        <v>13</v>
      </c>
      <c r="B25" s="13"/>
      <c r="C25" s="13">
        <f>L16</f>
        <v>10</v>
      </c>
      <c r="E25" s="8" t="s">
        <v>7</v>
      </c>
      <c r="F25" s="27">
        <f>SUM(F21:F24)</f>
        <v>250</v>
      </c>
      <c r="G25" s="8" t="s">
        <v>7</v>
      </c>
      <c r="H25" s="28">
        <f>SUM(H21:H24)</f>
        <v>250</v>
      </c>
      <c r="I25" s="11"/>
    </row>
    <row r="26" spans="1:12" x14ac:dyDescent="0.2">
      <c r="A26" s="6" t="s">
        <v>14</v>
      </c>
      <c r="B26" s="13"/>
      <c r="C26" s="13">
        <f>L24</f>
        <v>20</v>
      </c>
    </row>
    <row r="27" spans="1:12" x14ac:dyDescent="0.2">
      <c r="A27" s="6" t="s">
        <v>15</v>
      </c>
      <c r="B27" s="13"/>
      <c r="C27" s="13">
        <f>L32</f>
        <v>22</v>
      </c>
      <c r="E27" s="1" t="s">
        <v>20</v>
      </c>
      <c r="F27" s="1"/>
    </row>
    <row r="28" spans="1:12" x14ac:dyDescent="0.2">
      <c r="A28" s="6" t="s">
        <v>17</v>
      </c>
      <c r="B28" s="13"/>
      <c r="C28" s="13">
        <f>L40</f>
        <v>18</v>
      </c>
      <c r="E28" s="8" t="s">
        <v>0</v>
      </c>
      <c r="F28" s="9"/>
      <c r="G28" s="8" t="s">
        <v>1</v>
      </c>
      <c r="H28" s="10"/>
      <c r="I28" s="11"/>
    </row>
    <row r="29" spans="1:12" x14ac:dyDescent="0.2">
      <c r="A29" s="4" t="s">
        <v>16</v>
      </c>
      <c r="B29" s="29"/>
      <c r="C29" s="29">
        <f>SUM(C23:C28)</f>
        <v>200</v>
      </c>
      <c r="E29" s="12" t="s">
        <v>2</v>
      </c>
      <c r="F29" s="13">
        <v>10</v>
      </c>
      <c r="G29" s="12" t="s">
        <v>3</v>
      </c>
      <c r="H29" s="14">
        <v>120</v>
      </c>
      <c r="I29" s="15"/>
      <c r="J29" s="16" t="s">
        <v>9</v>
      </c>
      <c r="K29" s="17">
        <f>$C$3</f>
        <v>0.2</v>
      </c>
      <c r="L29" s="18">
        <f>H29*K29</f>
        <v>24</v>
      </c>
    </row>
    <row r="30" spans="1:12" x14ac:dyDescent="0.2">
      <c r="E30" s="12" t="s">
        <v>4</v>
      </c>
      <c r="F30" s="13">
        <v>0</v>
      </c>
      <c r="G30" s="12"/>
      <c r="H30" s="14"/>
      <c r="I30" s="15"/>
      <c r="J30" s="19" t="s">
        <v>27</v>
      </c>
      <c r="K30" s="20">
        <f t="shared" ref="K30:K31" si="3">$C$3</f>
        <v>0.2</v>
      </c>
      <c r="L30" s="21">
        <f>F29*K30</f>
        <v>2</v>
      </c>
    </row>
    <row r="31" spans="1:12" x14ac:dyDescent="0.2">
      <c r="A31" s="4" t="s">
        <v>30</v>
      </c>
      <c r="B31" s="5" t="s">
        <v>6</v>
      </c>
      <c r="C31" s="5" t="s">
        <v>23</v>
      </c>
      <c r="E31" s="12" t="s">
        <v>5</v>
      </c>
      <c r="F31" s="13">
        <v>80</v>
      </c>
      <c r="G31" s="12"/>
      <c r="H31" s="14"/>
      <c r="I31" s="15"/>
      <c r="J31" s="19" t="s">
        <v>28</v>
      </c>
      <c r="K31" s="20">
        <f t="shared" si="3"/>
        <v>0.2</v>
      </c>
      <c r="L31" s="21">
        <f>F30*K31</f>
        <v>0</v>
      </c>
    </row>
    <row r="32" spans="1:12" x14ac:dyDescent="0.2">
      <c r="A32" s="6" t="s">
        <v>10</v>
      </c>
      <c r="B32" s="13">
        <f>F8</f>
        <v>100</v>
      </c>
      <c r="C32" s="13">
        <f>IF(B32&gt;0,B32*$C$4,0)</f>
        <v>30</v>
      </c>
      <c r="E32" s="22" t="s">
        <v>6</v>
      </c>
      <c r="F32" s="23">
        <f>H33-SUM(F29:F31)</f>
        <v>30</v>
      </c>
      <c r="G32" s="24"/>
      <c r="H32" s="25"/>
      <c r="I32" s="15"/>
      <c r="J32" s="4" t="s">
        <v>8</v>
      </c>
      <c r="K32" s="4"/>
      <c r="L32" s="26">
        <f>L29-SUM(L30:L31)</f>
        <v>22</v>
      </c>
    </row>
    <row r="33" spans="1:12" x14ac:dyDescent="0.2">
      <c r="A33" s="6" t="s">
        <v>13</v>
      </c>
      <c r="B33" s="13">
        <f>F16</f>
        <v>30</v>
      </c>
      <c r="C33" s="13">
        <f t="shared" ref="C33:C36" si="4">IF(B33&gt;0,B33*$C$4,0)</f>
        <v>9</v>
      </c>
      <c r="E33" s="8" t="s">
        <v>7</v>
      </c>
      <c r="F33" s="27">
        <f>SUM(F29:F32)</f>
        <v>120</v>
      </c>
      <c r="G33" s="8" t="s">
        <v>7</v>
      </c>
      <c r="H33" s="28">
        <f>SUM(H29:H32)</f>
        <v>120</v>
      </c>
      <c r="I33" s="11"/>
    </row>
    <row r="34" spans="1:12" x14ac:dyDescent="0.2">
      <c r="A34" s="6" t="s">
        <v>14</v>
      </c>
      <c r="B34" s="13">
        <f>F24</f>
        <v>80</v>
      </c>
      <c r="C34" s="13">
        <f t="shared" si="4"/>
        <v>24</v>
      </c>
    </row>
    <row r="35" spans="1:12" x14ac:dyDescent="0.2">
      <c r="A35" s="6" t="s">
        <v>15</v>
      </c>
      <c r="B35" s="13">
        <f>F32</f>
        <v>30</v>
      </c>
      <c r="C35" s="13">
        <f t="shared" si="4"/>
        <v>9</v>
      </c>
      <c r="E35" s="1" t="s">
        <v>21</v>
      </c>
      <c r="F35" s="1"/>
    </row>
    <row r="36" spans="1:12" x14ac:dyDescent="0.2">
      <c r="A36" s="6" t="s">
        <v>17</v>
      </c>
      <c r="B36" s="13">
        <f>F40</f>
        <v>40</v>
      </c>
      <c r="C36" s="13">
        <f t="shared" si="4"/>
        <v>12</v>
      </c>
      <c r="E36" s="8" t="s">
        <v>0</v>
      </c>
      <c r="F36" s="9"/>
      <c r="G36" s="8" t="s">
        <v>1</v>
      </c>
      <c r="H36" s="10"/>
      <c r="I36" s="11"/>
    </row>
    <row r="37" spans="1:12" x14ac:dyDescent="0.2">
      <c r="A37" s="4" t="s">
        <v>16</v>
      </c>
      <c r="B37" s="29"/>
      <c r="C37" s="29">
        <f>SUM(C32:C36)</f>
        <v>84</v>
      </c>
      <c r="E37" s="12" t="s">
        <v>2</v>
      </c>
      <c r="F37" s="13">
        <v>0</v>
      </c>
      <c r="G37" s="12" t="s">
        <v>3</v>
      </c>
      <c r="H37" s="14">
        <f>F13+F21+F29</f>
        <v>90</v>
      </c>
      <c r="I37" s="15"/>
      <c r="J37" s="16" t="s">
        <v>9</v>
      </c>
      <c r="K37" s="17">
        <f>$C$3</f>
        <v>0.2</v>
      </c>
      <c r="L37" s="18">
        <f>H37*K37</f>
        <v>18</v>
      </c>
    </row>
    <row r="38" spans="1:12" x14ac:dyDescent="0.2">
      <c r="E38" s="12" t="s">
        <v>4</v>
      </c>
      <c r="F38" s="13">
        <v>0</v>
      </c>
      <c r="G38" s="12"/>
      <c r="H38" s="14"/>
      <c r="I38" s="15"/>
      <c r="J38" s="19" t="s">
        <v>27</v>
      </c>
      <c r="K38" s="20">
        <f t="shared" ref="K38:K39" si="5">$C$3</f>
        <v>0.2</v>
      </c>
      <c r="L38" s="21">
        <f>F37*K38</f>
        <v>0</v>
      </c>
    </row>
    <row r="39" spans="1:12" x14ac:dyDescent="0.2">
      <c r="A39" s="4" t="s">
        <v>33</v>
      </c>
      <c r="B39" s="5"/>
      <c r="C39" s="5" t="s">
        <v>24</v>
      </c>
      <c r="E39" s="12" t="s">
        <v>5</v>
      </c>
      <c r="F39" s="13">
        <v>50</v>
      </c>
      <c r="G39" s="12"/>
      <c r="H39" s="14"/>
      <c r="I39" s="15"/>
      <c r="J39" s="19" t="s">
        <v>28</v>
      </c>
      <c r="K39" s="20">
        <f t="shared" si="5"/>
        <v>0.2</v>
      </c>
      <c r="L39" s="21">
        <f>F38*K39</f>
        <v>0</v>
      </c>
    </row>
    <row r="40" spans="1:12" x14ac:dyDescent="0.2">
      <c r="A40" s="6" t="s">
        <v>12</v>
      </c>
      <c r="B40" s="13"/>
      <c r="C40" s="13">
        <f>C29</f>
        <v>200</v>
      </c>
      <c r="E40" s="22" t="s">
        <v>6</v>
      </c>
      <c r="F40" s="23">
        <f>H41-SUM(F37:F39)</f>
        <v>40</v>
      </c>
      <c r="G40" s="24"/>
      <c r="H40" s="25"/>
      <c r="I40" s="15"/>
      <c r="J40" s="4" t="s">
        <v>8</v>
      </c>
      <c r="K40" s="4"/>
      <c r="L40" s="26">
        <f>L37-SUM(L38:L39)</f>
        <v>18</v>
      </c>
    </row>
    <row r="41" spans="1:12" x14ac:dyDescent="0.2">
      <c r="A41" s="6" t="s">
        <v>23</v>
      </c>
      <c r="B41" s="13"/>
      <c r="C41" s="13">
        <f>C37</f>
        <v>84</v>
      </c>
      <c r="E41" s="8" t="s">
        <v>7</v>
      </c>
      <c r="F41" s="27">
        <f>SUM(F37:F40)</f>
        <v>90</v>
      </c>
      <c r="G41" s="8" t="s">
        <v>7</v>
      </c>
      <c r="H41" s="28">
        <f>SUM(H37:H40)</f>
        <v>90</v>
      </c>
      <c r="I41" s="11"/>
    </row>
    <row r="42" spans="1:12" x14ac:dyDescent="0.2">
      <c r="A42" s="4" t="s">
        <v>16</v>
      </c>
      <c r="B42" s="29"/>
      <c r="C42" s="29">
        <f>SUM(C40:C41)</f>
        <v>284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1) Vente locale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2022-09-21T12:29:36Z</dcterms:modified>
</cp:coreProperties>
</file>