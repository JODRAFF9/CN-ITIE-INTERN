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9"/>
  <workbookPr filterPrivacy="1" defaultThemeVersion="124226"/>
  <xr:revisionPtr revIDLastSave="0" documentId="13_ncr:1_{CD862793-D8A5-40FB-8F2F-8C451F8648C5}" xr6:coauthVersionLast="36" xr6:coauthVersionMax="36" xr10:uidLastSave="{00000000-0000-0000-0000-000000000000}"/>
  <bookViews>
    <workbookView xWindow="240" yWindow="105" windowWidth="14805" windowHeight="8010" activeTab="1" xr2:uid="{00000000-000D-0000-FFFF-FFFF00000000}"/>
  </bookViews>
  <sheets>
    <sheet name="1) Données" sheetId="2" r:id="rId1"/>
    <sheet name="2) Exportations mensuelles" sheetId="3" r:id="rId2"/>
  </sheets>
  <calcPr calcId="191029"/>
</workbook>
</file>

<file path=xl/calcChain.xml><?xml version="1.0" encoding="utf-8"?>
<calcChain xmlns="http://schemas.openxmlformats.org/spreadsheetml/2006/main">
  <c r="P5" i="3" l="1"/>
  <c r="P4" i="3" l="1"/>
  <c r="P3" i="3"/>
  <c r="P2" i="3"/>
  <c r="D6" i="3"/>
  <c r="D7" i="3" s="1"/>
  <c r="N6" i="3"/>
  <c r="N7" i="3" s="1"/>
  <c r="M6" i="3"/>
  <c r="M7" i="3" s="1"/>
  <c r="L6" i="3"/>
  <c r="L7" i="3" s="1"/>
  <c r="K6" i="3"/>
  <c r="J6" i="3"/>
  <c r="I6" i="3"/>
  <c r="H6" i="3"/>
  <c r="G6" i="3"/>
  <c r="F6" i="3"/>
  <c r="F7" i="3" s="1"/>
  <c r="E6" i="3"/>
  <c r="E7" i="3" s="1"/>
  <c r="C6" i="3"/>
  <c r="C7" i="3" s="1"/>
  <c r="P7" i="3" s="1"/>
  <c r="E5" i="2"/>
  <c r="C5" i="2"/>
  <c r="G7" i="3"/>
  <c r="H7" i="3"/>
  <c r="I7" i="3"/>
  <c r="J7" i="3"/>
  <c r="K7" i="3"/>
  <c r="N5" i="3"/>
  <c r="M5" i="3"/>
  <c r="L5" i="3"/>
  <c r="K5" i="3"/>
  <c r="J5" i="3"/>
  <c r="I5" i="3"/>
  <c r="H5" i="3"/>
  <c r="G5" i="3"/>
  <c r="F5" i="3"/>
  <c r="E5" i="3"/>
  <c r="D5" i="3"/>
  <c r="C5" i="3"/>
  <c r="O3" i="3"/>
  <c r="O5" i="2"/>
  <c r="P4" i="2"/>
  <c r="O3" i="2"/>
  <c r="P2" i="2"/>
  <c r="P3" i="2"/>
  <c r="P5" i="2" s="1"/>
  <c r="D5" i="2"/>
  <c r="F5" i="2"/>
  <c r="G5" i="2"/>
  <c r="H5" i="2"/>
  <c r="I5" i="2"/>
  <c r="J5" i="2"/>
  <c r="K5" i="2"/>
  <c r="L5" i="2"/>
  <c r="M5" i="2"/>
  <c r="N5" i="2"/>
  <c r="P6" i="3" l="1"/>
  <c r="O7" i="3"/>
  <c r="O6" i="3"/>
  <c r="O5" i="3"/>
</calcChain>
</file>

<file path=xl/sharedStrings.xml><?xml version="1.0" encoding="utf-8"?>
<sst xmlns="http://schemas.openxmlformats.org/spreadsheetml/2006/main" count="48" uniqueCount="25">
  <si>
    <t>Janvier</t>
  </si>
  <si>
    <t>Mars</t>
  </si>
  <si>
    <t>Avril</t>
  </si>
  <si>
    <t>Mai</t>
  </si>
  <si>
    <t>Juin</t>
  </si>
  <si>
    <t>Juillet</t>
  </si>
  <si>
    <t xml:space="preserve">Août </t>
  </si>
  <si>
    <t>Septembre</t>
  </si>
  <si>
    <t>Octobre</t>
  </si>
  <si>
    <t>Novembre</t>
  </si>
  <si>
    <t>Décembre</t>
  </si>
  <si>
    <t>Total</t>
  </si>
  <si>
    <t>Moyenne</t>
  </si>
  <si>
    <t>Redevance minière (5%)</t>
  </si>
  <si>
    <t>Février</t>
  </si>
  <si>
    <t>USD/oz</t>
  </si>
  <si>
    <t>Cours</t>
  </si>
  <si>
    <t>Minerai extrait</t>
  </si>
  <si>
    <t>t</t>
  </si>
  <si>
    <t>oz/t</t>
  </si>
  <si>
    <t>Teneur</t>
  </si>
  <si>
    <t>oz</t>
  </si>
  <si>
    <t>Production réalisée</t>
  </si>
  <si>
    <t>Chiffre d'affaires réalisé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</si>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</sst>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* #,##0\ &quot;€&quot;_-;\-* #,##0\ &quot;€&quot;_-;_-* &quot;-&quot;\ &quot;€&quot;_-;_-@_-"/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0"/>
  </numFmts>
  <fonts count="16" x14ac:knownFonts="1"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Times New Roman"/>
      <family val="1"/>
    </font>
    <font>
      <sz val="10"/>
      <color theme="0"/>
      <name val="Arial"/>
      <family val="2"/>
    </font>
    <font>
      <sz val="10"/>
      <color rgb="FF114258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14258"/>
        <bgColor indexed="64"/>
      </patternFill>
    </fill>
    <fill>
      <patternFill patternType="solid">
        <fgColor rgb="FF026D8E"/>
        <bgColor indexed="64"/>
      </patternFill>
    </fill>
    <fill>
      <patternFill patternType="solid">
        <fgColor rgb="FF97C7D3"/>
        <bgColor indexed="64"/>
      </patternFill>
    </fill>
    <fill>
      <patternFill patternType="solid">
        <fgColor rgb="FFCCE8EF"/>
        <bgColor indexed="64"/>
      </patternFill>
    </fill>
    <fill>
      <patternFill patternType="solid">
        <fgColor rgb="FFD43738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3">
    <xf numFmtId="0" fontId="0" fillId="0" borderId="0">
      <alignment horizontal="left" vertical="top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7" fillId="6" borderId="1" applyNumberFormat="0" applyAlignment="0" applyProtection="0"/>
    <xf numFmtId="0" fontId="8" fillId="0" borderId="3" applyNumberFormat="0" applyFill="0" applyAlignment="0" applyProtection="0"/>
    <xf numFmtId="0" fontId="9" fillId="7" borderId="4" applyNumberFormat="0" applyAlignment="0" applyProtection="0"/>
    <xf numFmtId="0" fontId="10" fillId="0" borderId="0" applyNumberFormat="0" applyFill="0" applyBorder="0" applyAlignment="0" applyProtection="0"/>
    <xf numFmtId="0" fontId="1" fillId="8" borderId="5" applyNumberFormat="0" applyFont="0" applyAlignment="0" applyProtection="0"/>
    <xf numFmtId="0" fontId="11" fillId="0" borderId="0" applyNumberFormat="0" applyFill="0" applyBorder="0" applyAlignment="0" applyProtection="0"/>
    <xf numFmtId="0" fontId="12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0" borderId="0" applyNumberFormat="0" applyFont="0" applyFill="0" applyBorder="0" applyAlignment="0" applyProtection="0">
      <alignment horizontal="left" vertical="top"/>
    </xf>
    <xf numFmtId="0" fontId="13" fillId="0" borderId="0" applyNumberFormat="0" applyFont="0" applyFill="0" applyBorder="0" applyAlignment="0" applyProtection="0">
      <alignment horizontal="left" vertical="top"/>
    </xf>
  </cellStyleXfs>
  <cellXfs count="11">
    <xf numFmtId="0" fontId="0" fillId="0" borderId="0" xfId="0">
      <alignment horizontal="left" vertical="top"/>
    </xf>
    <xf numFmtId="0" fontId="14" fillId="33" borderId="0" xfId="0" applyFont="1" applyFill="1">
      <alignment horizontal="left" vertical="top"/>
    </xf>
    <xf numFmtId="0" fontId="14" fillId="34" borderId="0" xfId="0" applyFont="1" applyFill="1">
      <alignment horizontal="left" vertical="top"/>
    </xf>
    <xf numFmtId="3" fontId="14" fillId="34" borderId="0" xfId="0" applyNumberFormat="1" applyFont="1" applyFill="1" applyAlignment="1">
      <alignment horizontal="right" vertical="top"/>
    </xf>
    <xf numFmtId="164" fontId="14" fillId="34" borderId="0" xfId="0" applyNumberFormat="1" applyFont="1" applyFill="1" applyAlignment="1">
      <alignment horizontal="right" vertical="top"/>
    </xf>
    <xf numFmtId="0" fontId="15" fillId="0" borderId="0" xfId="0" applyFont="1">
      <alignment horizontal="left" vertical="top"/>
    </xf>
    <xf numFmtId="3" fontId="15" fillId="36" borderId="0" xfId="0" applyNumberFormat="1" applyFont="1" applyFill="1" applyAlignment="1">
      <alignment horizontal="right" vertical="top"/>
    </xf>
    <xf numFmtId="164" fontId="15" fillId="36" borderId="0" xfId="0" applyNumberFormat="1" applyFont="1" applyFill="1" applyAlignment="1">
      <alignment horizontal="right" vertical="top"/>
    </xf>
    <xf numFmtId="3" fontId="15" fillId="35" borderId="0" xfId="0" applyNumberFormat="1" applyFont="1" applyFill="1" applyAlignment="1">
      <alignment horizontal="right" vertical="top"/>
    </xf>
    <xf numFmtId="0" fontId="14" fillId="33" borderId="0" xfId="0" applyFont="1" applyFill="1" applyAlignment="1">
      <alignment vertical="top"/>
    </xf>
    <xf numFmtId="3" fontId="14" fillId="37" borderId="0" xfId="0" applyNumberFormat="1" applyFont="1" applyFill="1" applyAlignment="1">
      <alignment horizontal="right" vertical="top"/>
    </xf>
  </cellXfs>
  <cellStyles count="43">
    <cellStyle name="20 % - Accent1" xfId="18" builtinId="30" hidden="1"/>
    <cellStyle name="20 % - Accent2" xfId="22" builtinId="34" hidden="1"/>
    <cellStyle name="20 % - Accent3" xfId="26" builtinId="38" hidden="1"/>
    <cellStyle name="20 % - Accent4" xfId="30" builtinId="42" hidden="1"/>
    <cellStyle name="20 % - Accent5" xfId="34" builtinId="46" hidden="1"/>
    <cellStyle name="20 % - Accent6" xfId="38" builtinId="50" hidden="1"/>
    <cellStyle name="40 % - Accent1" xfId="19" builtinId="31" hidden="1"/>
    <cellStyle name="40 % - Accent2" xfId="23" builtinId="35" hidden="1"/>
    <cellStyle name="40 % - Accent3" xfId="27" builtinId="39" hidden="1"/>
    <cellStyle name="40 % - Accent4" xfId="31" builtinId="43" hidden="1"/>
    <cellStyle name="40 % - Accent5" xfId="35" builtinId="47" hidden="1"/>
    <cellStyle name="40 % - Accent6" xfId="39" builtinId="51" hidden="1"/>
    <cellStyle name="60 % - Accent1" xfId="20" builtinId="32" hidden="1"/>
    <cellStyle name="60 % - Accent2" xfId="24" builtinId="36" hidden="1"/>
    <cellStyle name="60 % - Accent3" xfId="28" builtinId="40" hidden="1"/>
    <cellStyle name="60 % - Accent4" xfId="32" builtinId="44" hidden="1"/>
    <cellStyle name="60 % - Accent5" xfId="36" builtinId="48" hidden="1"/>
    <cellStyle name="60 % - Accent6" xfId="40" builtinId="52" hidden="1"/>
    <cellStyle name="Accent1" xfId="17" builtinId="29" hidden="1"/>
    <cellStyle name="Accent2" xfId="21" builtinId="33" hidden="1"/>
    <cellStyle name="Accent3" xfId="25" builtinId="37" hidden="1"/>
    <cellStyle name="Accent4" xfId="29" builtinId="41" hidden="1"/>
    <cellStyle name="Accent5" xfId="33" builtinId="45" hidden="1"/>
    <cellStyle name="Accent6" xfId="37" builtinId="49" hidden="1"/>
    <cellStyle name="Avertissement" xfId="14" builtinId="11" hidden="1"/>
    <cellStyle name="Calcul" xfId="11" builtinId="22" hidden="1"/>
    <cellStyle name="Cellule liée" xfId="12" builtinId="24" hidden="1"/>
    <cellStyle name="Entrée" xfId="9" builtinId="20" hidden="1"/>
    <cellStyle name="Insatisfaisant" xfId="7" builtinId="27" hidden="1"/>
    <cellStyle name="Lien hypertexte" xfId="41" builtinId="8" customBuiltin="1"/>
    <cellStyle name="Lien hypertexte visité" xfId="42" builtinId="9" customBuiltin="1"/>
    <cellStyle name="Milliers" xfId="1" builtinId="3" hidden="1"/>
    <cellStyle name="Milliers [0]" xfId="2" builtinId="6" hidden="1"/>
    <cellStyle name="Monétaire" xfId="3" builtinId="4" hidden="1"/>
    <cellStyle name="Monétaire [0]" xfId="4" builtinId="7" hidden="1"/>
    <cellStyle name="Neutre" xfId="8" builtinId="28" hidden="1"/>
    <cellStyle name="Normal" xfId="0" builtinId="0" customBuiltin="1"/>
    <cellStyle name="Note" xfId="15" builtinId="10" hidden="1"/>
    <cellStyle name="Pourcentage" xfId="5" builtinId="5" hidden="1"/>
    <cellStyle name="Satisfaisant" xfId="6" builtinId="26" hidden="1"/>
    <cellStyle name="Sortie" xfId="10" builtinId="21" hidden="1"/>
    <cellStyle name="Texte explicatif" xfId="16" builtinId="53" hidden="1"/>
    <cellStyle name="Vérification" xfId="13" builtinId="23" hidden="1"/>
  </cellStyles>
  <dxfs count="0"/>
  <tableStyles count="0" defaultTableStyle="TableStyleMedium2" defaultPivotStyle="PivotStyleMedium9"/>
  <colors>
    <mruColors>
      <color rgb="FFD43738"/>
      <color rgb="FF114258"/>
      <color rgb="FFCCE8EF"/>
      <color rgb="FF97C7D3"/>
      <color rgb="FF026D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D0E71-3225-4112-A558-F1D9F3061B2E}">
  <dimension ref="A1:P5"/>
  <sheetViews>
    <sheetView zoomScaleNormal="100" workbookViewId="0">
      <selection activeCell="O5" sqref="O5"/>
    </sheetView>
  </sheetViews>
  <sheetFormatPr baseColWidth="10" defaultColWidth="10.83203125" defaultRowHeight="12.75" x14ac:dyDescent="0.2"/>
  <cols>
    <col min="1" max="1" width="25.83203125" style="5" customWidth="1"/>
    <col min="2" max="16" width="11.83203125" style="5" customWidth="1"/>
    <col min="17" max="16384" width="10.83203125" style="5"/>
  </cols>
  <sheetData>
    <row r="1" spans="1:16" x14ac:dyDescent="0.2">
      <c r="A1" s="9"/>
      <c r="B1" s="9"/>
      <c r="C1" s="9" t="s">
        <v>0</v>
      </c>
      <c r="D1" s="9" t="s">
        <v>14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  <c r="P1" s="9" t="s">
        <v>12</v>
      </c>
    </row>
    <row r="2" spans="1:16" x14ac:dyDescent="0.2">
      <c r="A2" s="2" t="s">
        <v>16</v>
      </c>
      <c r="B2" s="2" t="s">
        <v>15</v>
      </c>
      <c r="C2" s="6">
        <v>1000</v>
      </c>
      <c r="D2" s="6">
        <v>1100</v>
      </c>
      <c r="E2" s="6">
        <v>1400</v>
      </c>
      <c r="F2" s="6">
        <v>1050</v>
      </c>
      <c r="G2" s="6">
        <v>900</v>
      </c>
      <c r="H2" s="6">
        <v>800</v>
      </c>
      <c r="I2" s="6">
        <v>850</v>
      </c>
      <c r="J2" s="6">
        <v>1300</v>
      </c>
      <c r="K2" s="6">
        <v>1600</v>
      </c>
      <c r="L2" s="6">
        <v>1700</v>
      </c>
      <c r="M2" s="6">
        <v>1800</v>
      </c>
      <c r="N2" s="6">
        <v>2000</v>
      </c>
      <c r="O2" s="3"/>
      <c r="P2" s="3">
        <f>AVERAGE(C2:N2)</f>
        <v>1291.6666666666667</v>
      </c>
    </row>
    <row r="3" spans="1:16" x14ac:dyDescent="0.2">
      <c r="A3" s="2" t="s">
        <v>17</v>
      </c>
      <c r="B3" s="2" t="s">
        <v>18</v>
      </c>
      <c r="C3" s="6">
        <v>10000</v>
      </c>
      <c r="D3" s="6">
        <v>12000</v>
      </c>
      <c r="E3" s="6">
        <v>12000</v>
      </c>
      <c r="F3" s="6">
        <v>15000</v>
      </c>
      <c r="G3" s="6">
        <v>15000</v>
      </c>
      <c r="H3" s="6">
        <v>9000</v>
      </c>
      <c r="I3" s="6">
        <v>9000</v>
      </c>
      <c r="J3" s="6">
        <v>12000</v>
      </c>
      <c r="K3" s="6">
        <v>12000</v>
      </c>
      <c r="L3" s="6">
        <v>14000</v>
      </c>
      <c r="M3" s="6">
        <v>12000</v>
      </c>
      <c r="N3" s="6">
        <v>10000</v>
      </c>
      <c r="O3" s="3">
        <f>SUM(C3:N3)</f>
        <v>142000</v>
      </c>
      <c r="P3" s="3">
        <f>AVERAGE(C3:N3)</f>
        <v>11833.333333333334</v>
      </c>
    </row>
    <row r="4" spans="1:16" x14ac:dyDescent="0.2">
      <c r="A4" s="2" t="s">
        <v>20</v>
      </c>
      <c r="B4" s="2" t="s">
        <v>19</v>
      </c>
      <c r="C4" s="7">
        <v>0.223</v>
      </c>
      <c r="D4" s="7">
        <v>0.22500000000000001</v>
      </c>
      <c r="E4" s="7">
        <v>0.19800000000000001</v>
      </c>
      <c r="F4" s="7">
        <v>0.185</v>
      </c>
      <c r="G4" s="7">
        <v>0.185</v>
      </c>
      <c r="H4" s="7">
        <v>0.223</v>
      </c>
      <c r="I4" s="7">
        <v>0.32100000000000001</v>
      </c>
      <c r="J4" s="7">
        <v>0.311</v>
      </c>
      <c r="K4" s="7">
        <v>0.255</v>
      </c>
      <c r="L4" s="7">
        <v>0.28599999999999998</v>
      </c>
      <c r="M4" s="7">
        <v>0.29599999999999999</v>
      </c>
      <c r="N4" s="7">
        <v>0.223</v>
      </c>
      <c r="O4" s="4"/>
      <c r="P4" s="4">
        <f>AVERAGE(C4:N4)</f>
        <v>0.24424999999999997</v>
      </c>
    </row>
    <row r="5" spans="1:16" x14ac:dyDescent="0.2">
      <c r="A5" s="2" t="s">
        <v>22</v>
      </c>
      <c r="B5" s="2" t="s">
        <v>21</v>
      </c>
      <c r="C5" s="8">
        <f>C3*C4</f>
        <v>2230</v>
      </c>
      <c r="D5" s="8">
        <f t="shared" ref="D5:P5" si="0">D3*D4</f>
        <v>2700</v>
      </c>
      <c r="E5" s="8">
        <f>E3*E4</f>
        <v>2376</v>
      </c>
      <c r="F5" s="8">
        <f t="shared" si="0"/>
        <v>2775</v>
      </c>
      <c r="G5" s="8">
        <f t="shared" si="0"/>
        <v>2775</v>
      </c>
      <c r="H5" s="8">
        <f t="shared" si="0"/>
        <v>2007</v>
      </c>
      <c r="I5" s="8">
        <f t="shared" si="0"/>
        <v>2889</v>
      </c>
      <c r="J5" s="8">
        <f t="shared" si="0"/>
        <v>3732</v>
      </c>
      <c r="K5" s="8">
        <f t="shared" si="0"/>
        <v>3060</v>
      </c>
      <c r="L5" s="8">
        <f t="shared" si="0"/>
        <v>4003.9999999999995</v>
      </c>
      <c r="M5" s="8">
        <f t="shared" si="0"/>
        <v>3552</v>
      </c>
      <c r="N5" s="8">
        <f t="shared" si="0"/>
        <v>2230</v>
      </c>
      <c r="O5" s="3">
        <f>SUM(C5:N5)</f>
        <v>34330</v>
      </c>
      <c r="P5" s="3">
        <f t="shared" si="0"/>
        <v>2890.2916666666665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O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2BB50-7CEB-4520-A05F-CEF60FD069E0}">
  <dimension ref="A1:P7"/>
  <sheetViews>
    <sheetView tabSelected="1" zoomScaleNormal="100" workbookViewId="0">
      <selection activeCell="O7" sqref="O7"/>
    </sheetView>
  </sheetViews>
  <sheetFormatPr baseColWidth="10" defaultColWidth="10.83203125" defaultRowHeight="12.75" x14ac:dyDescent="0.2"/>
  <cols>
    <col min="1" max="1" width="25.83203125" style="5" customWidth="1"/>
    <col min="2" max="16" width="11.83203125" style="5" customWidth="1"/>
    <col min="17" max="16384" width="10.83203125" style="5"/>
  </cols>
  <sheetData>
    <row r="1" spans="1:16" x14ac:dyDescent="0.2">
      <c r="A1" s="1"/>
      <c r="B1" s="1"/>
      <c r="C1" s="1" t="s">
        <v>0</v>
      </c>
      <c r="D1" s="1" t="s">
        <v>14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">
      <c r="A2" s="2" t="s">
        <v>16</v>
      </c>
      <c r="B2" s="2" t="s">
        <v>15</v>
      </c>
      <c r="C2" s="6">
        <v>1000</v>
      </c>
      <c r="D2" s="6">
        <v>1100</v>
      </c>
      <c r="E2" s="6">
        <v>1400</v>
      </c>
      <c r="F2" s="6">
        <v>1050</v>
      </c>
      <c r="G2" s="6">
        <v>900</v>
      </c>
      <c r="H2" s="6">
        <v>800</v>
      </c>
      <c r="I2" s="6">
        <v>850</v>
      </c>
      <c r="J2" s="6">
        <v>1300</v>
      </c>
      <c r="K2" s="6">
        <v>1600</v>
      </c>
      <c r="L2" s="6">
        <v>1700</v>
      </c>
      <c r="M2" s="6">
        <v>1800</v>
      </c>
      <c r="N2" s="6">
        <v>2000</v>
      </c>
      <c r="O2" s="3"/>
      <c r="P2" s="3">
        <f>AVERAGE(C2:N2)</f>
        <v>1291.6666666666667</v>
      </c>
    </row>
    <row r="3" spans="1:16" x14ac:dyDescent="0.2">
      <c r="A3" s="2" t="s">
        <v>17</v>
      </c>
      <c r="B3" s="2" t="s">
        <v>18</v>
      </c>
      <c r="C3" s="6">
        <v>10000</v>
      </c>
      <c r="D3" s="6">
        <v>12000</v>
      </c>
      <c r="E3" s="6">
        <v>12000</v>
      </c>
      <c r="F3" s="6">
        <v>15000</v>
      </c>
      <c r="G3" s="6">
        <v>15000</v>
      </c>
      <c r="H3" s="6">
        <v>9000</v>
      </c>
      <c r="I3" s="6">
        <v>9000</v>
      </c>
      <c r="J3" s="6">
        <v>12000</v>
      </c>
      <c r="K3" s="6">
        <v>12000</v>
      </c>
      <c r="L3" s="6">
        <v>14000</v>
      </c>
      <c r="M3" s="6">
        <v>12000</v>
      </c>
      <c r="N3" s="6">
        <v>10000</v>
      </c>
      <c r="O3" s="3">
        <f>SUM(C3:N3)</f>
        <v>142000</v>
      </c>
      <c r="P3" s="3">
        <f>AVERAGE(C3:N3)</f>
        <v>11833.333333333334</v>
      </c>
    </row>
    <row r="4" spans="1:16" x14ac:dyDescent="0.2">
      <c r="A4" s="2" t="s">
        <v>20</v>
      </c>
      <c r="B4" s="2" t="s">
        <v>19</v>
      </c>
      <c r="C4" s="7">
        <v>0.223</v>
      </c>
      <c r="D4" s="7">
        <v>0.22500000000000001</v>
      </c>
      <c r="E4" s="7">
        <v>0.19800000000000001</v>
      </c>
      <c r="F4" s="7">
        <v>0.185</v>
      </c>
      <c r="G4" s="7">
        <v>0.185</v>
      </c>
      <c r="H4" s="7">
        <v>0.223</v>
      </c>
      <c r="I4" s="7">
        <v>0.32100000000000001</v>
      </c>
      <c r="J4" s="7">
        <v>0.311</v>
      </c>
      <c r="K4" s="7">
        <v>0.255</v>
      </c>
      <c r="L4" s="7">
        <v>0.28599999999999998</v>
      </c>
      <c r="M4" s="7">
        <v>0.29599999999999999</v>
      </c>
      <c r="N4" s="7">
        <v>0.223</v>
      </c>
      <c r="O4" s="4"/>
      <c r="P4" s="4">
        <f>AVERAGE(C4:N4)</f>
        <v>0.24424999999999997</v>
      </c>
    </row>
    <row r="5" spans="1:16" x14ac:dyDescent="0.2">
      <c r="A5" s="2" t="s">
        <v>22</v>
      </c>
      <c r="B5" s="2" t="s">
        <v>21</v>
      </c>
      <c r="C5" s="8">
        <f>C3*C4</f>
        <v>2230</v>
      </c>
      <c r="D5" s="8">
        <f t="shared" ref="D5:N5" si="0">D3*D4</f>
        <v>2700</v>
      </c>
      <c r="E5" s="8">
        <f t="shared" si="0"/>
        <v>2376</v>
      </c>
      <c r="F5" s="8">
        <f t="shared" si="0"/>
        <v>2775</v>
      </c>
      <c r="G5" s="8">
        <f t="shared" si="0"/>
        <v>2775</v>
      </c>
      <c r="H5" s="8">
        <f t="shared" si="0"/>
        <v>2007</v>
      </c>
      <c r="I5" s="8">
        <f t="shared" si="0"/>
        <v>2889</v>
      </c>
      <c r="J5" s="8">
        <f t="shared" si="0"/>
        <v>3732</v>
      </c>
      <c r="K5" s="8">
        <f t="shared" si="0"/>
        <v>3060</v>
      </c>
      <c r="L5" s="8">
        <f t="shared" si="0"/>
        <v>4003.9999999999995</v>
      </c>
      <c r="M5" s="8">
        <f t="shared" si="0"/>
        <v>3552</v>
      </c>
      <c r="N5" s="8">
        <f t="shared" si="0"/>
        <v>2230</v>
      </c>
      <c r="O5" s="3">
        <f>SUM(C5:N5)</f>
        <v>34330</v>
      </c>
      <c r="P5" s="3">
        <f>P3*P4</f>
        <v>2890.2916666666665</v>
      </c>
    </row>
    <row r="6" spans="1:16" x14ac:dyDescent="0.2">
      <c r="A6" s="2" t="s">
        <v>23</v>
      </c>
      <c r="B6" s="2" t="s">
        <v>24</v>
      </c>
      <c r="C6" s="8">
        <f t="shared" ref="C6:N6" si="1">C5*C2</f>
        <v>2230000</v>
      </c>
      <c r="D6" s="8">
        <f t="shared" si="1"/>
        <v>2970000</v>
      </c>
      <c r="E6" s="8">
        <f t="shared" si="1"/>
        <v>3326400</v>
      </c>
      <c r="F6" s="8">
        <f t="shared" si="1"/>
        <v>2913750</v>
      </c>
      <c r="G6" s="8">
        <f t="shared" si="1"/>
        <v>2497500</v>
      </c>
      <c r="H6" s="8">
        <f t="shared" si="1"/>
        <v>1605600</v>
      </c>
      <c r="I6" s="8">
        <f t="shared" si="1"/>
        <v>2455650</v>
      </c>
      <c r="J6" s="8">
        <f t="shared" si="1"/>
        <v>4851600</v>
      </c>
      <c r="K6" s="8">
        <f t="shared" si="1"/>
        <v>4896000</v>
      </c>
      <c r="L6" s="8">
        <f t="shared" si="1"/>
        <v>6806799.9999999991</v>
      </c>
      <c r="M6" s="8">
        <f t="shared" si="1"/>
        <v>6393600</v>
      </c>
      <c r="N6" s="8">
        <f t="shared" si="1"/>
        <v>4460000</v>
      </c>
      <c r="O6" s="3">
        <f>SUM(C6:N6)</f>
        <v>45406900</v>
      </c>
      <c r="P6" s="3">
        <f t="shared" ref="P6" si="2">P2*P5</f>
        <v>3733293.402777778</v>
      </c>
    </row>
    <row r="7" spans="1:16" x14ac:dyDescent="0.2">
      <c r="A7" s="2" t="s">
        <v>13</v>
      </c>
      <c r="B7" s="2" t="s">
        <v>24</v>
      </c>
      <c r="C7" s="8">
        <f>C6*5%</f>
        <v>111500</v>
      </c>
      <c r="D7" s="8">
        <f t="shared" ref="D7:N7" si="3">D6*5%</f>
        <v>148500</v>
      </c>
      <c r="E7" s="8">
        <f t="shared" si="3"/>
        <v>166320</v>
      </c>
      <c r="F7" s="8">
        <f t="shared" si="3"/>
        <v>145687.5</v>
      </c>
      <c r="G7" s="8">
        <f t="shared" si="3"/>
        <v>124875</v>
      </c>
      <c r="H7" s="8">
        <f t="shared" si="3"/>
        <v>80280</v>
      </c>
      <c r="I7" s="8">
        <f t="shared" si="3"/>
        <v>122782.5</v>
      </c>
      <c r="J7" s="8">
        <f t="shared" si="3"/>
        <v>242580</v>
      </c>
      <c r="K7" s="8">
        <f t="shared" si="3"/>
        <v>244800</v>
      </c>
      <c r="L7" s="8">
        <f t="shared" si="3"/>
        <v>340340</v>
      </c>
      <c r="M7" s="8">
        <f t="shared" si="3"/>
        <v>319680</v>
      </c>
      <c r="N7" s="8">
        <f t="shared" si="3"/>
        <v>223000</v>
      </c>
      <c r="O7" s="10">
        <f>SUM(C7:N7)</f>
        <v>2270345</v>
      </c>
      <c r="P7" s="3">
        <f>AVERAGE(C7:N7)</f>
        <v>189195.41666666666</v>
      </c>
    </row>
  </sheetData>
  <pageMargins left="0.19685039370078741" right="0.19685039370078741" top="0.39370078740157483" bottom="0.39370078740157483" header="0.19685039370078741" footer="0.19685039370078741"/>
  <pageSetup paperSize="9" orientation="landscape" r:id="rId1"/>
  <headerFooter>
    <oddHeader>&amp;L&amp;"Arial Black,Normal"Imprimé le &amp;D à &amp;T&amp;R&amp;"Arial Black,Normal"- Excel -</oddHeader>
    <oddFooter>&amp;C&amp;"Arial Black,Normal"- Page &amp;P sur &amp;N -</oddFooter>
  </headerFooter>
  <ignoredErrors>
    <ignoredError sqref="O5:O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1) Données</vt:lpstr>
      <vt:lpstr>2) Exportations mensuelles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2022-09-13T08:42:00Z</dcterms:modified>
</cp:coreProperties>
</file>