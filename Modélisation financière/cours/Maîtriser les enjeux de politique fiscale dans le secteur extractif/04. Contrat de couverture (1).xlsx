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A8FA3A73-48AC-40E4-BCAE-68FF773AD1EE}" xr6:coauthVersionLast="36" xr6:coauthVersionMax="36" xr10:uidLastSave="{00000000-0000-0000-0000-000000000000}"/>
  <bookViews>
    <workbookView xWindow="240" yWindow="105" windowWidth="14805" windowHeight="8010" activeTab="3" xr2:uid="{00000000-000D-0000-FFFF-FFFF00000000}"/>
  </bookViews>
  <sheets>
    <sheet name="1) Données" sheetId="2" r:id="rId1"/>
    <sheet name="2) Exportations mensuelles" sheetId="3" r:id="rId2"/>
    <sheet name="3) Exportations semestrielles" sheetId="4" r:id="rId3"/>
    <sheet name="4) Contrat de couverture" sheetId="5" r:id="rId4"/>
  </sheets>
  <calcPr calcId="191029"/>
</workbook>
</file>

<file path=xl/calcChain.xml><?xml version="1.0" encoding="utf-8"?>
<calcChain xmlns="http://schemas.openxmlformats.org/spreadsheetml/2006/main">
  <c r="N5" i="5" l="1"/>
  <c r="M5" i="5"/>
  <c r="L5" i="5"/>
  <c r="N6" i="5" s="1"/>
  <c r="N7" i="5" s="1"/>
  <c r="K5" i="5"/>
  <c r="J5" i="5"/>
  <c r="I5" i="5"/>
  <c r="H5" i="5"/>
  <c r="G5" i="5"/>
  <c r="F5" i="5"/>
  <c r="E5" i="5"/>
  <c r="D5" i="5"/>
  <c r="C5" i="5"/>
  <c r="O9" i="4"/>
  <c r="P4" i="5"/>
  <c r="P3" i="5"/>
  <c r="P5" i="5" s="1"/>
  <c r="O3" i="5"/>
  <c r="P2" i="5"/>
  <c r="O7" i="4"/>
  <c r="N6" i="4"/>
  <c r="P5" i="3"/>
  <c r="O7" i="5" l="1"/>
  <c r="P7" i="5" s="1"/>
  <c r="O6" i="5"/>
  <c r="P6" i="5" s="1"/>
  <c r="O5" i="5"/>
  <c r="H6" i="4"/>
  <c r="O6" i="4" s="1"/>
  <c r="P6" i="4" s="1"/>
  <c r="P5" i="4"/>
  <c r="P4" i="3"/>
  <c r="P3" i="3"/>
  <c r="P2" i="3"/>
  <c r="D6" i="3"/>
  <c r="D7" i="3" s="1"/>
  <c r="N6" i="3"/>
  <c r="N7" i="3" s="1"/>
  <c r="M6" i="3"/>
  <c r="M7" i="3" s="1"/>
  <c r="L6" i="3"/>
  <c r="L7" i="3" s="1"/>
  <c r="K6" i="3"/>
  <c r="J6" i="3"/>
  <c r="I6" i="3"/>
  <c r="H6" i="3"/>
  <c r="G6" i="3"/>
  <c r="F6" i="3"/>
  <c r="F7" i="3" s="1"/>
  <c r="E6" i="3"/>
  <c r="E7" i="3" s="1"/>
  <c r="C6" i="3"/>
  <c r="C7" i="3" s="1"/>
  <c r="P7" i="3" s="1"/>
  <c r="E5" i="2"/>
  <c r="C5" i="2"/>
  <c r="N5" i="4"/>
  <c r="M5" i="4"/>
  <c r="L5" i="4"/>
  <c r="K5" i="4"/>
  <c r="J5" i="4"/>
  <c r="I5" i="4"/>
  <c r="H5" i="4"/>
  <c r="G5" i="4"/>
  <c r="F5" i="4"/>
  <c r="E5" i="4"/>
  <c r="D5" i="4"/>
  <c r="C5" i="4"/>
  <c r="O5" i="4" s="1"/>
  <c r="P4" i="4"/>
  <c r="P3" i="4"/>
  <c r="O3" i="4"/>
  <c r="P2" i="4"/>
  <c r="G7" i="3"/>
  <c r="H7" i="3"/>
  <c r="I7" i="3"/>
  <c r="J7" i="3"/>
  <c r="K7" i="3"/>
  <c r="N5" i="3"/>
  <c r="M5" i="3"/>
  <c r="L5" i="3"/>
  <c r="K5" i="3"/>
  <c r="J5" i="3"/>
  <c r="I5" i="3"/>
  <c r="H5" i="3"/>
  <c r="G5" i="3"/>
  <c r="F5" i="3"/>
  <c r="E5" i="3"/>
  <c r="D5" i="3"/>
  <c r="C5" i="3"/>
  <c r="O3" i="3"/>
  <c r="O5" i="2"/>
  <c r="P4" i="2"/>
  <c r="O3" i="2"/>
  <c r="P2" i="2"/>
  <c r="P3" i="2"/>
  <c r="P5" i="2" s="1"/>
  <c r="D5" i="2"/>
  <c r="F5" i="2"/>
  <c r="G5" i="2"/>
  <c r="H5" i="2"/>
  <c r="I5" i="2"/>
  <c r="J5" i="2"/>
  <c r="K5" i="2"/>
  <c r="L5" i="2"/>
  <c r="M5" i="2"/>
  <c r="N5" i="2"/>
  <c r="O8" i="5" l="1"/>
  <c r="O9" i="5" s="1"/>
  <c r="N7" i="4"/>
  <c r="H7" i="4"/>
  <c r="P6" i="3"/>
  <c r="O7" i="3"/>
  <c r="O6" i="3"/>
  <c r="O5" i="3"/>
  <c r="O8" i="4" l="1"/>
  <c r="P7" i="4" l="1"/>
</calcChain>
</file>

<file path=xl/sharedStrings.xml><?xml version="1.0" encoding="utf-8"?>
<sst xmlns="http://schemas.openxmlformats.org/spreadsheetml/2006/main" count="100" uniqueCount="25">
  <si>
    <t>Janvier</t>
  </si>
  <si>
    <t>Mars</t>
  </si>
  <si>
    <t>Avril</t>
  </si>
  <si>
    <t>Mai</t>
  </si>
  <si>
    <t>Juin</t>
  </si>
  <si>
    <t>Juillet</t>
  </si>
  <si>
    <t xml:space="preserve">Août </t>
  </si>
  <si>
    <t>Septembre</t>
  </si>
  <si>
    <t>Octobre</t>
  </si>
  <si>
    <t>Novembre</t>
  </si>
  <si>
    <t>Décembre</t>
  </si>
  <si>
    <t>Total</t>
  </si>
  <si>
    <t>Moyenne</t>
  </si>
  <si>
    <t>Redevance minière (5%)</t>
  </si>
  <si>
    <t>Février</t>
  </si>
  <si>
    <t>USD/oz</t>
  </si>
  <si>
    <t>Cours</t>
  </si>
  <si>
    <t>Minerai extrait</t>
  </si>
  <si>
    <t>t</t>
  </si>
  <si>
    <t>oz/t</t>
  </si>
  <si>
    <t>Teneur</t>
  </si>
  <si>
    <t>oz</t>
  </si>
  <si>
    <t>Production réalisée</t>
  </si>
  <si>
    <t>Chiffre d'affaires réalisé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</si>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</sst>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0"/>
  </numFmts>
  <fonts count="17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10"/>
      <color theme="0"/>
      <name val="Arial"/>
      <family val="2"/>
    </font>
    <font>
      <sz val="10"/>
      <color rgb="FF114258"/>
      <name val="Arial"/>
      <family val="2"/>
    </font>
    <font>
      <sz val="10"/>
      <color rgb="FFD4373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14258"/>
        <bgColor indexed="64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  <fill>
      <patternFill patternType="solid">
        <fgColor rgb="FFD43738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14">
    <xf numFmtId="0" fontId="0" fillId="0" borderId="0" xfId="0">
      <alignment horizontal="left" vertical="top"/>
    </xf>
    <xf numFmtId="0" fontId="14" fillId="33" borderId="0" xfId="0" applyFont="1" applyFill="1">
      <alignment horizontal="left" vertical="top"/>
    </xf>
    <xf numFmtId="0" fontId="14" fillId="34" borderId="0" xfId="0" applyFont="1" applyFill="1">
      <alignment horizontal="left" vertical="top"/>
    </xf>
    <xf numFmtId="3" fontId="14" fillId="34" borderId="0" xfId="0" applyNumberFormat="1" applyFont="1" applyFill="1" applyAlignment="1">
      <alignment horizontal="right" vertical="top"/>
    </xf>
    <xf numFmtId="164" fontId="14" fillId="34" borderId="0" xfId="0" applyNumberFormat="1" applyFont="1" applyFill="1" applyAlignment="1">
      <alignment horizontal="right" vertical="top"/>
    </xf>
    <xf numFmtId="0" fontId="15" fillId="0" borderId="0" xfId="0" applyFont="1">
      <alignment horizontal="left" vertical="top"/>
    </xf>
    <xf numFmtId="3" fontId="15" fillId="36" borderId="0" xfId="0" applyNumberFormat="1" applyFont="1" applyFill="1" applyAlignment="1">
      <alignment horizontal="right" vertical="top"/>
    </xf>
    <xf numFmtId="164" fontId="15" fillId="36" borderId="0" xfId="0" applyNumberFormat="1" applyFont="1" applyFill="1" applyAlignment="1">
      <alignment horizontal="right" vertical="top"/>
    </xf>
    <xf numFmtId="3" fontId="15" fillId="35" borderId="0" xfId="0" applyNumberFormat="1" applyFont="1" applyFill="1" applyAlignment="1">
      <alignment horizontal="right" vertical="top"/>
    </xf>
    <xf numFmtId="0" fontId="14" fillId="33" borderId="0" xfId="0" applyFont="1" applyFill="1" applyAlignment="1">
      <alignment vertical="top"/>
    </xf>
    <xf numFmtId="3" fontId="14" fillId="37" borderId="0" xfId="0" applyNumberFormat="1" applyFont="1" applyFill="1" applyAlignment="1">
      <alignment horizontal="right" vertical="top"/>
    </xf>
    <xf numFmtId="3" fontId="16" fillId="36" borderId="0" xfId="0" applyNumberFormat="1" applyFont="1" applyFill="1" applyAlignment="1">
      <alignment horizontal="right" vertical="top"/>
    </xf>
    <xf numFmtId="3" fontId="16" fillId="0" borderId="0" xfId="0" applyNumberFormat="1" applyFont="1" applyFill="1" applyAlignment="1">
      <alignment horizontal="right" vertical="top"/>
    </xf>
    <xf numFmtId="9" fontId="16" fillId="0" borderId="0" xfId="0" applyNumberFormat="1" applyFon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CCE8EF"/>
      <color rgb="FF97C7D3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0E71-3225-4112-A558-F1D9F3061B2E}">
  <dimension ref="A1:P5"/>
  <sheetViews>
    <sheetView zoomScaleNormal="100" workbookViewId="0">
      <selection activeCell="O5" sqref="O5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9"/>
      <c r="B1" s="9"/>
      <c r="C1" s="9" t="s">
        <v>0</v>
      </c>
      <c r="D1" s="9" t="s">
        <v>14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6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P5" si="0">D3*D4</f>
        <v>2700</v>
      </c>
      <c r="E5" s="8">
        <f>E3*E4</f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 t="shared" si="0"/>
        <v>2890.2916666666665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BB50-7CEB-4520-A05F-CEF60FD069E0}">
  <dimension ref="A1:P7"/>
  <sheetViews>
    <sheetView zoomScaleNormal="100" workbookViewId="0">
      <selection activeCell="O7" sqref="O7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1"/>
      <c r="B1" s="1"/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6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N5" si="0">D3*D4</f>
        <v>2700</v>
      </c>
      <c r="E5" s="8">
        <f t="shared" si="0"/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>P3*P4</f>
        <v>2890.2916666666665</v>
      </c>
    </row>
    <row r="6" spans="1:16" x14ac:dyDescent="0.2">
      <c r="A6" s="2" t="s">
        <v>23</v>
      </c>
      <c r="B6" s="2" t="s">
        <v>24</v>
      </c>
      <c r="C6" s="8">
        <f t="shared" ref="C6:N6" si="1">C5*C2</f>
        <v>2230000</v>
      </c>
      <c r="D6" s="8">
        <f t="shared" si="1"/>
        <v>2970000</v>
      </c>
      <c r="E6" s="8">
        <f t="shared" si="1"/>
        <v>3326400</v>
      </c>
      <c r="F6" s="8">
        <f t="shared" si="1"/>
        <v>2913750</v>
      </c>
      <c r="G6" s="8">
        <f t="shared" si="1"/>
        <v>2497500</v>
      </c>
      <c r="H6" s="8">
        <f t="shared" si="1"/>
        <v>1605600</v>
      </c>
      <c r="I6" s="8">
        <f t="shared" si="1"/>
        <v>2455650</v>
      </c>
      <c r="J6" s="8">
        <f t="shared" si="1"/>
        <v>4851600</v>
      </c>
      <c r="K6" s="8">
        <f t="shared" si="1"/>
        <v>4896000</v>
      </c>
      <c r="L6" s="8">
        <f t="shared" si="1"/>
        <v>6806799.9999999991</v>
      </c>
      <c r="M6" s="8">
        <f t="shared" si="1"/>
        <v>6393600</v>
      </c>
      <c r="N6" s="8">
        <f t="shared" si="1"/>
        <v>4460000</v>
      </c>
      <c r="O6" s="3">
        <f>SUM(C6:N6)</f>
        <v>45406900</v>
      </c>
      <c r="P6" s="3">
        <f t="shared" ref="P6" si="2">P2*P5</f>
        <v>3733293.402777778</v>
      </c>
    </row>
    <row r="7" spans="1:16" x14ac:dyDescent="0.2">
      <c r="A7" s="2" t="s">
        <v>13</v>
      </c>
      <c r="B7" s="2" t="s">
        <v>24</v>
      </c>
      <c r="C7" s="8">
        <f>C6*5%</f>
        <v>111500</v>
      </c>
      <c r="D7" s="8">
        <f t="shared" ref="D7:N7" si="3">D6*5%</f>
        <v>148500</v>
      </c>
      <c r="E7" s="8">
        <f t="shared" si="3"/>
        <v>166320</v>
      </c>
      <c r="F7" s="8">
        <f t="shared" si="3"/>
        <v>145687.5</v>
      </c>
      <c r="G7" s="8">
        <f t="shared" si="3"/>
        <v>124875</v>
      </c>
      <c r="H7" s="8">
        <f t="shared" si="3"/>
        <v>80280</v>
      </c>
      <c r="I7" s="8">
        <f t="shared" si="3"/>
        <v>122782.5</v>
      </c>
      <c r="J7" s="8">
        <f t="shared" si="3"/>
        <v>242580</v>
      </c>
      <c r="K7" s="8">
        <f t="shared" si="3"/>
        <v>244800</v>
      </c>
      <c r="L7" s="8">
        <f t="shared" si="3"/>
        <v>340340</v>
      </c>
      <c r="M7" s="8">
        <f t="shared" si="3"/>
        <v>319680</v>
      </c>
      <c r="N7" s="8">
        <f t="shared" si="3"/>
        <v>223000</v>
      </c>
      <c r="O7" s="10">
        <f>SUM(C7:N7)</f>
        <v>2270345</v>
      </c>
      <c r="P7" s="3">
        <f>AVERAGE(C7:N7)</f>
        <v>189195.41666666666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:O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5D76-D70D-4ED4-A114-D1F9BF90C5D1}">
  <dimension ref="A1:P9"/>
  <sheetViews>
    <sheetView zoomScaleNormal="100" workbookViewId="0">
      <selection activeCell="O7" sqref="O7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1"/>
      <c r="B1" s="1"/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11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11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N5" si="0">D3*D4</f>
        <v>2700</v>
      </c>
      <c r="E5" s="8">
        <f t="shared" si="0"/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>P3*P4</f>
        <v>2890.2916666666665</v>
      </c>
    </row>
    <row r="6" spans="1:16" x14ac:dyDescent="0.2">
      <c r="A6" s="2" t="s">
        <v>23</v>
      </c>
      <c r="B6" s="2" t="s">
        <v>24</v>
      </c>
      <c r="C6" s="8"/>
      <c r="D6" s="8"/>
      <c r="E6" s="8"/>
      <c r="F6" s="8"/>
      <c r="G6" s="8"/>
      <c r="H6" s="8">
        <f>SUM(C5:H5)*H2</f>
        <v>11890400</v>
      </c>
      <c r="I6" s="8"/>
      <c r="J6" s="8"/>
      <c r="K6" s="8"/>
      <c r="L6" s="8"/>
      <c r="M6" s="8"/>
      <c r="N6" s="8">
        <f>SUM(I5:N5)*N2</f>
        <v>38934000</v>
      </c>
      <c r="O6" s="3">
        <f>SUM(C6:N6)</f>
        <v>50824400</v>
      </c>
      <c r="P6" s="3">
        <f>O6/12</f>
        <v>4235366.666666667</v>
      </c>
    </row>
    <row r="7" spans="1:16" x14ac:dyDescent="0.2">
      <c r="A7" s="2" t="s">
        <v>13</v>
      </c>
      <c r="B7" s="2" t="s">
        <v>24</v>
      </c>
      <c r="C7" s="8"/>
      <c r="D7" s="8"/>
      <c r="E7" s="8"/>
      <c r="F7" s="8"/>
      <c r="G7" s="8"/>
      <c r="H7" s="8">
        <f t="shared" ref="H7:N7" si="1">H6*5%</f>
        <v>594520</v>
      </c>
      <c r="I7" s="8"/>
      <c r="J7" s="8"/>
      <c r="K7" s="8"/>
      <c r="L7" s="8"/>
      <c r="M7" s="8"/>
      <c r="N7" s="8">
        <f t="shared" si="1"/>
        <v>1946700</v>
      </c>
      <c r="O7" s="10">
        <f>SUM(C7:N7)</f>
        <v>2541220</v>
      </c>
      <c r="P7" s="3">
        <f>O7/12</f>
        <v>211768.33333333334</v>
      </c>
    </row>
    <row r="8" spans="1:16" x14ac:dyDescent="0.2">
      <c r="O8" s="12">
        <f>O7-'2) Exportations mensuelles'!O7</f>
        <v>270875</v>
      </c>
    </row>
    <row r="9" spans="1:16" x14ac:dyDescent="0.2">
      <c r="O9" s="13">
        <f>O8/'2) Exportations mensuelles'!O7</f>
        <v>0.11931006080573657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D606-4D03-4F75-A836-CAC1EFAE0BC7}">
  <dimension ref="A1:P9"/>
  <sheetViews>
    <sheetView tabSelected="1" zoomScaleNormal="100" workbookViewId="0">
      <selection activeCell="O7" sqref="O7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1"/>
      <c r="B1" s="1"/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11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N5" si="0">D3*D4</f>
        <v>2700</v>
      </c>
      <c r="E5" s="8">
        <f>E3*E4</f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>P3*P4</f>
        <v>2890.2916666666665</v>
      </c>
    </row>
    <row r="6" spans="1:16" x14ac:dyDescent="0.2">
      <c r="A6" s="2" t="s">
        <v>23</v>
      </c>
      <c r="B6" s="2" t="s">
        <v>24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>
        <f>SUM(C5:N5)*H2</f>
        <v>27464000</v>
      </c>
      <c r="O6" s="3">
        <f>SUM(C6:N6)</f>
        <v>27464000</v>
      </c>
      <c r="P6" s="3">
        <f>O6/12</f>
        <v>2288666.6666666665</v>
      </c>
    </row>
    <row r="7" spans="1:16" x14ac:dyDescent="0.2">
      <c r="A7" s="2" t="s">
        <v>13</v>
      </c>
      <c r="B7" s="2" t="s">
        <v>24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>
        <f t="shared" ref="N7" si="1">N6*5%</f>
        <v>1373200</v>
      </c>
      <c r="O7" s="10">
        <f>SUM(C7:N7)</f>
        <v>1373200</v>
      </c>
      <c r="P7" s="3">
        <f>O7/12</f>
        <v>114433.33333333333</v>
      </c>
    </row>
    <row r="8" spans="1:16" x14ac:dyDescent="0.2">
      <c r="O8" s="12">
        <f>O7-'2) Exportations mensuelles'!O7</f>
        <v>-897145</v>
      </c>
    </row>
    <row r="9" spans="1:16" x14ac:dyDescent="0.2">
      <c r="O9" s="13">
        <f>O8/'2) Exportations mensuelles'!O7</f>
        <v>-0.39515800462044315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1) Données</vt:lpstr>
      <vt:lpstr>2) Exportations mensuelles</vt:lpstr>
      <vt:lpstr>3) Exportations semestrielles</vt:lpstr>
      <vt:lpstr>4) Contrat de couverture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2022-09-13T08:42:43Z</dcterms:modified>
</cp:coreProperties>
</file>