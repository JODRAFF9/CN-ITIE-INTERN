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364B23AD-B00C-4C7F-ACE9-76D9F477A122}" xr6:coauthVersionLast="36" xr6:coauthVersionMax="36" xr10:uidLastSave="{00000000-0000-0000-0000-000000000000}"/>
  <bookViews>
    <workbookView xWindow="240" yWindow="105" windowWidth="14805" windowHeight="8010" activeTab="3" xr2:uid="{00000000-000D-0000-FFFF-FFFF00000000}"/>
  </bookViews>
  <sheets>
    <sheet name="1) Situation initiale" sheetId="2" r:id="rId1"/>
    <sheet name="2) Sous-capitalisation" sheetId="3" r:id="rId2"/>
    <sheet name="3) Manipulation des coûts" sheetId="4" r:id="rId3"/>
    <sheet name="4) Contrat de couverture" sheetId="5" r:id="rId4"/>
  </sheets>
  <calcPr calcId="191029"/>
</workbook>
</file>

<file path=xl/calcChain.xml><?xml version="1.0" encoding="utf-8"?>
<calcChain xmlns="http://schemas.openxmlformats.org/spreadsheetml/2006/main">
  <c r="F13" i="5" l="1"/>
  <c r="C21" i="5"/>
  <c r="C20" i="5"/>
  <c r="C18" i="5"/>
  <c r="C16" i="5"/>
  <c r="F9" i="5"/>
  <c r="C5" i="5"/>
  <c r="C9" i="5" s="1"/>
  <c r="C5" i="4"/>
  <c r="C5" i="3"/>
  <c r="C5" i="2"/>
  <c r="F27" i="5" l="1"/>
  <c r="C19" i="5"/>
  <c r="C17" i="5" s="1"/>
  <c r="C14" i="5" s="1"/>
  <c r="C13" i="5" s="1"/>
  <c r="C22" i="5" s="1"/>
  <c r="C21" i="4"/>
  <c r="C20" i="4"/>
  <c r="C18" i="4"/>
  <c r="C16" i="4"/>
  <c r="F13" i="4"/>
  <c r="F9" i="4"/>
  <c r="C9" i="4"/>
  <c r="C24" i="5" l="1"/>
  <c r="C27" i="5"/>
  <c r="F27" i="4"/>
  <c r="C19" i="4"/>
  <c r="C17" i="4" s="1"/>
  <c r="C14" i="4" s="1"/>
  <c r="C13" i="4" s="1"/>
  <c r="C21" i="3"/>
  <c r="C20" i="3"/>
  <c r="C18" i="3"/>
  <c r="C16" i="3"/>
  <c r="F13" i="3"/>
  <c r="F9" i="3"/>
  <c r="C9" i="3"/>
  <c r="C21" i="2"/>
  <c r="C20" i="2"/>
  <c r="C18" i="2"/>
  <c r="C16" i="2"/>
  <c r="F13" i="2"/>
  <c r="C19" i="2" s="1"/>
  <c r="C17" i="2" s="1"/>
  <c r="C14" i="2" s="1"/>
  <c r="C13" i="2" s="1"/>
  <c r="F9" i="2"/>
  <c r="C9" i="2"/>
  <c r="C22" i="4" l="1"/>
  <c r="C19" i="3"/>
  <c r="C17" i="3" s="1"/>
  <c r="C14" i="3" s="1"/>
  <c r="C13" i="3" s="1"/>
  <c r="C22" i="3" s="1"/>
  <c r="F27" i="3"/>
  <c r="C22" i="2"/>
  <c r="F27" i="2"/>
  <c r="C23" i="4" l="1"/>
  <c r="C24" i="4" s="1"/>
  <c r="C27" i="4"/>
  <c r="C23" i="3"/>
  <c r="C24" i="3" s="1"/>
  <c r="C27" i="3"/>
  <c r="C23" i="2"/>
  <c r="C24" i="2" s="1"/>
  <c r="C27" i="2"/>
  <c r="C25" i="4" l="1"/>
  <c r="C26" i="4"/>
  <c r="C26" i="3"/>
  <c r="C25" i="3"/>
  <c r="C25" i="2"/>
  <c r="C26" i="2"/>
</calcChain>
</file>

<file path=xl/sharedStrings.xml><?xml version="1.0" encoding="utf-8"?>
<sst xmlns="http://schemas.openxmlformats.org/spreadsheetml/2006/main" count="128" uniqueCount="35">
  <si>
    <t>BILAN</t>
  </si>
  <si>
    <t>Actif</t>
  </si>
  <si>
    <t>Passif</t>
  </si>
  <si>
    <t>Immobilisations</t>
  </si>
  <si>
    <t>Capitaux propres</t>
  </si>
  <si>
    <t>– Terrain</t>
  </si>
  <si>
    <t>– Équipements</t>
  </si>
  <si>
    <t>Stock</t>
  </si>
  <si>
    <t>Dettes</t>
  </si>
  <si>
    <t>Total Actif</t>
  </si>
  <si>
    <t>Total Passif</t>
  </si>
  <si>
    <t>COMPTE DE RESULTAT</t>
  </si>
  <si>
    <t>Charges</t>
  </si>
  <si>
    <t>Produits</t>
  </si>
  <si>
    <t>Coûts de production</t>
  </si>
  <si>
    <t>Chiffre d'affaires</t>
  </si>
  <si>
    <t>– Charges d'exploitation</t>
  </si>
  <si>
    <t>–– Intrants</t>
  </si>
  <si>
    <t>–– Amortisements</t>
  </si>
  <si>
    <t>–– Taxes</t>
  </si>
  <si>
    <t>––– Redevances superficiaires</t>
  </si>
  <si>
    <t>––– Redevances minières</t>
  </si>
  <si>
    <t>––– Droits de douane</t>
  </si>
  <si>
    <t>– Charges finnacières</t>
  </si>
  <si>
    <t>Profit</t>
  </si>
  <si>
    <t>– Impôt sur les sociétés</t>
  </si>
  <si>
    <t>– Profit après impôt</t>
  </si>
  <si>
    <t>– Dividendes</t>
  </si>
  <si>
    <t>– Réserves</t>
  </si>
  <si>
    <t>Total Charges</t>
  </si>
  <si>
    <t>Total Produits</t>
  </si>
  <si>
    <t>1) Situation initiale</t>
  </si>
  <si>
    <t>2) Sous-capitalisation</t>
  </si>
  <si>
    <t>3) Manipulation des coûts</t>
  </si>
  <si>
    <t>4) Contrat de couverture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</si>
</sst>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22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D43738"/>
      <name val="Arial"/>
      <family val="2"/>
    </font>
    <font>
      <b/>
      <sz val="10"/>
      <color rgb="FFD43738"/>
      <name val="Arial"/>
      <family val="2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42">
    <xf numFmtId="0" fontId="0" fillId="0" borderId="0" xfId="0">
      <alignment horizontal="left" vertical="top"/>
    </xf>
    <xf numFmtId="0" fontId="14" fillId="33" borderId="6" xfId="0" applyFont="1" applyFill="1" applyBorder="1">
      <alignment horizontal="left" vertical="top"/>
    </xf>
    <xf numFmtId="0" fontId="14" fillId="33" borderId="7" xfId="0" applyFont="1" applyFill="1" applyBorder="1" applyAlignment="1">
      <alignment horizontal="right" vertical="top"/>
    </xf>
    <xf numFmtId="3" fontId="15" fillId="33" borderId="7" xfId="0" applyNumberFormat="1" applyFont="1" applyFill="1" applyBorder="1" applyAlignment="1">
      <alignment horizontal="right" vertical="top"/>
    </xf>
    <xf numFmtId="3" fontId="15" fillId="33" borderId="8" xfId="0" applyNumberFormat="1" applyFont="1" applyFill="1" applyBorder="1" applyAlignment="1">
      <alignment horizontal="right" vertical="top"/>
    </xf>
    <xf numFmtId="3" fontId="14" fillId="33" borderId="8" xfId="0" applyNumberFormat="1" applyFont="1" applyFill="1" applyBorder="1" applyAlignment="1">
      <alignment horizontal="right" vertical="top"/>
    </xf>
    <xf numFmtId="0" fontId="14" fillId="33" borderId="7" xfId="0" applyFont="1" applyFill="1" applyBorder="1">
      <alignment horizontal="left" vertical="top"/>
    </xf>
    <xf numFmtId="0" fontId="14" fillId="33" borderId="8" xfId="0" applyFont="1" applyFill="1" applyBorder="1">
      <alignment horizontal="left" vertical="top"/>
    </xf>
    <xf numFmtId="3" fontId="14" fillId="33" borderId="7" xfId="0" applyNumberFormat="1" applyFont="1" applyFill="1" applyBorder="1" applyAlignment="1">
      <alignment horizontal="right" vertical="top"/>
    </xf>
    <xf numFmtId="3" fontId="16" fillId="35" borderId="11" xfId="0" applyNumberFormat="1" applyFont="1" applyFill="1" applyBorder="1" applyAlignment="1">
      <alignment horizontal="right" vertical="top"/>
    </xf>
    <xf numFmtId="3" fontId="16" fillId="35" borderId="13" xfId="0" applyNumberFormat="1" applyFont="1" applyFill="1" applyBorder="1" applyAlignment="1">
      <alignment horizontal="right" vertical="top"/>
    </xf>
    <xf numFmtId="3" fontId="17" fillId="34" borderId="0" xfId="0" applyNumberFormat="1" applyFont="1" applyFill="1" applyBorder="1" applyAlignment="1">
      <alignment horizontal="right" vertical="top"/>
    </xf>
    <xf numFmtId="3" fontId="16" fillId="35" borderId="0" xfId="0" applyNumberFormat="1" applyFont="1" applyFill="1" applyBorder="1" applyAlignment="1">
      <alignment horizontal="right" vertical="top"/>
    </xf>
    <xf numFmtId="3" fontId="17" fillId="34" borderId="13" xfId="0" applyNumberFormat="1" applyFont="1" applyFill="1" applyBorder="1" applyAlignment="1">
      <alignment horizontal="right" vertical="top"/>
    </xf>
    <xf numFmtId="0" fontId="18" fillId="0" borderId="0" xfId="0" applyFo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0" applyFont="1">
      <alignment horizontal="left" vertical="top"/>
    </xf>
    <xf numFmtId="0" fontId="18" fillId="0" borderId="0" xfId="0" applyFont="1" applyAlignment="1">
      <alignment horizontal="left" vertical="top"/>
    </xf>
    <xf numFmtId="0" fontId="19" fillId="35" borderId="9" xfId="0" applyFont="1" applyFill="1" applyBorder="1">
      <alignment horizontal="left" vertical="top"/>
    </xf>
    <xf numFmtId="0" fontId="19" fillId="35" borderId="10" xfId="0" applyFont="1" applyFill="1" applyBorder="1" applyAlignment="1">
      <alignment horizontal="right" vertical="top"/>
    </xf>
    <xf numFmtId="3" fontId="19" fillId="35" borderId="11" xfId="0" applyNumberFormat="1" applyFont="1" applyFill="1" applyBorder="1" applyAlignment="1">
      <alignment horizontal="right" vertical="top"/>
    </xf>
    <xf numFmtId="0" fontId="19" fillId="35" borderId="12" xfId="0" applyFont="1" applyFill="1" applyBorder="1">
      <alignment horizontal="left" vertical="top"/>
    </xf>
    <xf numFmtId="0" fontId="19" fillId="35" borderId="0" xfId="0" applyFont="1" applyFill="1" applyBorder="1" applyAlignment="1">
      <alignment horizontal="right" vertical="top"/>
    </xf>
    <xf numFmtId="3" fontId="19" fillId="35" borderId="13" xfId="0" applyNumberFormat="1" applyFont="1" applyFill="1" applyBorder="1" applyAlignment="1">
      <alignment horizontal="right" vertical="top"/>
    </xf>
    <xf numFmtId="0" fontId="18" fillId="34" borderId="12" xfId="0" applyFont="1" applyFill="1" applyBorder="1">
      <alignment horizontal="left" vertical="top"/>
    </xf>
    <xf numFmtId="0" fontId="18" fillId="34" borderId="0" xfId="0" applyFont="1" applyFill="1" applyBorder="1" applyAlignment="1">
      <alignment horizontal="right" vertical="top"/>
    </xf>
    <xf numFmtId="3" fontId="18" fillId="34" borderId="0" xfId="0" applyNumberFormat="1" applyFont="1" applyFill="1" applyBorder="1" applyAlignment="1">
      <alignment horizontal="right" vertical="top"/>
    </xf>
    <xf numFmtId="3" fontId="18" fillId="34" borderId="13" xfId="0" applyNumberFormat="1" applyFont="1" applyFill="1" applyBorder="1" applyAlignment="1">
      <alignment horizontal="right" vertical="top"/>
    </xf>
    <xf numFmtId="3" fontId="19" fillId="35" borderId="0" xfId="0" applyNumberFormat="1" applyFont="1" applyFill="1" applyBorder="1" applyAlignment="1">
      <alignment horizontal="right" vertical="top"/>
    </xf>
    <xf numFmtId="9" fontId="19" fillId="35" borderId="0" xfId="0" applyNumberFormat="1" applyFont="1" applyFill="1" applyBorder="1" applyAlignment="1">
      <alignment horizontal="right" vertical="top"/>
    </xf>
    <xf numFmtId="164" fontId="19" fillId="35" borderId="0" xfId="0" applyNumberFormat="1" applyFont="1" applyFill="1" applyBorder="1" applyAlignment="1">
      <alignment horizontal="right" vertical="top"/>
    </xf>
    <xf numFmtId="0" fontId="18" fillId="35" borderId="12" xfId="0" applyFont="1" applyFill="1" applyBorder="1">
      <alignment horizontal="left" vertical="top"/>
    </xf>
    <xf numFmtId="0" fontId="18" fillId="35" borderId="0" xfId="0" applyFont="1" applyFill="1" applyBorder="1" applyAlignment="1">
      <alignment horizontal="right" vertical="top"/>
    </xf>
    <xf numFmtId="3" fontId="18" fillId="35" borderId="13" xfId="0" applyNumberFormat="1" applyFont="1" applyFill="1" applyBorder="1" applyAlignment="1">
      <alignment horizontal="right" vertical="top"/>
    </xf>
    <xf numFmtId="0" fontId="20" fillId="33" borderId="6" xfId="0" applyFont="1" applyFill="1" applyBorder="1">
      <alignment horizontal="left" vertical="top"/>
    </xf>
    <xf numFmtId="0" fontId="20" fillId="33" borderId="7" xfId="0" applyFont="1" applyFill="1" applyBorder="1" applyAlignment="1">
      <alignment horizontal="right" vertical="top"/>
    </xf>
    <xf numFmtId="3" fontId="21" fillId="33" borderId="7" xfId="0" applyNumberFormat="1" applyFont="1" applyFill="1" applyBorder="1" applyAlignment="1">
      <alignment horizontal="right" vertical="top"/>
    </xf>
    <xf numFmtId="3" fontId="21" fillId="33" borderId="8" xfId="0" applyNumberFormat="1" applyFont="1" applyFill="1" applyBorder="1" applyAlignment="1">
      <alignment horizontal="right" vertical="top"/>
    </xf>
    <xf numFmtId="3" fontId="20" fillId="33" borderId="8" xfId="0" applyNumberFormat="1" applyFont="1" applyFill="1" applyBorder="1" applyAlignment="1">
      <alignment horizontal="right" vertical="top"/>
    </xf>
    <xf numFmtId="0" fontId="20" fillId="33" borderId="7" xfId="0" applyFont="1" applyFill="1" applyBorder="1">
      <alignment horizontal="left" vertical="top"/>
    </xf>
    <xf numFmtId="0" fontId="20" fillId="33" borderId="8" xfId="0" applyFont="1" applyFill="1" applyBorder="1">
      <alignment horizontal="left" vertical="top"/>
    </xf>
    <xf numFmtId="3" fontId="20" fillId="33" borderId="7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6535-0B2E-44D2-971B-2690A2139B4C}">
  <dimension ref="A1:F27"/>
  <sheetViews>
    <sheetView zoomScaleNormal="100" workbookViewId="0"/>
  </sheetViews>
  <sheetFormatPr baseColWidth="10" defaultColWidth="10.83203125" defaultRowHeight="12.75" x14ac:dyDescent="0.2"/>
  <cols>
    <col min="1" max="1" width="30.83203125" style="16" customWidth="1"/>
    <col min="2" max="2" width="5.83203125" style="15" customWidth="1"/>
    <col min="3" max="3" width="10.83203125" style="16"/>
    <col min="4" max="4" width="30.83203125" style="16" customWidth="1"/>
    <col min="5" max="5" width="5.83203125" style="15" customWidth="1"/>
    <col min="6" max="16384" width="10.83203125" style="16"/>
  </cols>
  <sheetData>
    <row r="1" spans="1:6" x14ac:dyDescent="0.2">
      <c r="A1" s="14" t="s">
        <v>31</v>
      </c>
    </row>
    <row r="3" spans="1:6" x14ac:dyDescent="0.2">
      <c r="A3" s="14" t="s">
        <v>0</v>
      </c>
      <c r="B3" s="17"/>
    </row>
    <row r="4" spans="1:6" x14ac:dyDescent="0.2">
      <c r="A4" s="34" t="s">
        <v>1</v>
      </c>
      <c r="B4" s="35"/>
      <c r="C4" s="36"/>
      <c r="D4" s="34" t="s">
        <v>2</v>
      </c>
      <c r="E4" s="35"/>
      <c r="F4" s="37"/>
    </row>
    <row r="5" spans="1:6" x14ac:dyDescent="0.2">
      <c r="A5" s="18" t="s">
        <v>3</v>
      </c>
      <c r="B5" s="19"/>
      <c r="C5" s="20">
        <f>SUM(C6:C7)</f>
        <v>10000</v>
      </c>
      <c r="D5" s="18" t="s">
        <v>4</v>
      </c>
      <c r="E5" s="19"/>
      <c r="F5" s="20">
        <v>3000</v>
      </c>
    </row>
    <row r="6" spans="1:6" x14ac:dyDescent="0.2">
      <c r="A6" s="21" t="s">
        <v>5</v>
      </c>
      <c r="B6" s="22"/>
      <c r="C6" s="23">
        <v>3000</v>
      </c>
      <c r="D6" s="21"/>
      <c r="E6" s="22"/>
      <c r="F6" s="23"/>
    </row>
    <row r="7" spans="1:6" x14ac:dyDescent="0.2">
      <c r="A7" s="21" t="s">
        <v>6</v>
      </c>
      <c r="B7" s="22"/>
      <c r="C7" s="23">
        <v>7000</v>
      </c>
      <c r="D7" s="21"/>
      <c r="E7" s="22"/>
      <c r="F7" s="23"/>
    </row>
    <row r="8" spans="1:6" x14ac:dyDescent="0.2">
      <c r="A8" s="21" t="s">
        <v>7</v>
      </c>
      <c r="B8" s="22"/>
      <c r="C8" s="23">
        <v>1000</v>
      </c>
      <c r="D8" s="21" t="s">
        <v>8</v>
      </c>
      <c r="E8" s="22"/>
      <c r="F8" s="23">
        <v>8000</v>
      </c>
    </row>
    <row r="9" spans="1:6" x14ac:dyDescent="0.2">
      <c r="A9" s="34" t="s">
        <v>9</v>
      </c>
      <c r="B9" s="35"/>
      <c r="C9" s="38">
        <f>C5+C8</f>
        <v>11000</v>
      </c>
      <c r="D9" s="34" t="s">
        <v>10</v>
      </c>
      <c r="E9" s="35"/>
      <c r="F9" s="38">
        <f>F5+F8</f>
        <v>11000</v>
      </c>
    </row>
    <row r="11" spans="1:6" x14ac:dyDescent="0.2">
      <c r="A11" s="14" t="s">
        <v>11</v>
      </c>
    </row>
    <row r="12" spans="1:6" x14ac:dyDescent="0.2">
      <c r="A12" s="34" t="s">
        <v>12</v>
      </c>
      <c r="B12" s="35"/>
      <c r="C12" s="39"/>
      <c r="D12" s="34" t="s">
        <v>13</v>
      </c>
      <c r="E12" s="35"/>
      <c r="F12" s="40"/>
    </row>
    <row r="13" spans="1:6" x14ac:dyDescent="0.2">
      <c r="A13" s="24" t="s">
        <v>14</v>
      </c>
      <c r="B13" s="25"/>
      <c r="C13" s="26">
        <f>C14+C21</f>
        <v>3180</v>
      </c>
      <c r="D13" s="24" t="s">
        <v>15</v>
      </c>
      <c r="E13" s="25"/>
      <c r="F13" s="27">
        <f>100*50</f>
        <v>5000</v>
      </c>
    </row>
    <row r="14" spans="1:6" x14ac:dyDescent="0.2">
      <c r="A14" s="21" t="s">
        <v>16</v>
      </c>
      <c r="B14" s="22"/>
      <c r="C14" s="28">
        <f>SUM(C15:C17)</f>
        <v>2780</v>
      </c>
      <c r="D14" s="21"/>
      <c r="E14" s="22"/>
      <c r="F14" s="23"/>
    </row>
    <row r="15" spans="1:6" x14ac:dyDescent="0.2">
      <c r="A15" s="21" t="s">
        <v>17</v>
      </c>
      <c r="B15" s="22"/>
      <c r="C15" s="28">
        <v>2000</v>
      </c>
      <c r="D15" s="21"/>
      <c r="E15" s="22"/>
      <c r="F15" s="23"/>
    </row>
    <row r="16" spans="1:6" x14ac:dyDescent="0.2">
      <c r="A16" s="21" t="s">
        <v>18</v>
      </c>
      <c r="B16" s="29">
        <v>0.05</v>
      </c>
      <c r="C16" s="28">
        <f>B16*C7</f>
        <v>350</v>
      </c>
      <c r="D16" s="21"/>
      <c r="E16" s="22"/>
      <c r="F16" s="23"/>
    </row>
    <row r="17" spans="1:6" x14ac:dyDescent="0.2">
      <c r="A17" s="21" t="s">
        <v>19</v>
      </c>
      <c r="B17" s="29"/>
      <c r="C17" s="28">
        <f>SUM(C18:C20)</f>
        <v>430</v>
      </c>
      <c r="D17" s="21"/>
      <c r="E17" s="22"/>
      <c r="F17" s="23"/>
    </row>
    <row r="18" spans="1:6" x14ac:dyDescent="0.2">
      <c r="A18" s="21" t="s">
        <v>20</v>
      </c>
      <c r="B18" s="29">
        <v>0.01</v>
      </c>
      <c r="C18" s="28">
        <f>C6*B18</f>
        <v>30</v>
      </c>
      <c r="D18" s="21"/>
      <c r="E18" s="22"/>
      <c r="F18" s="23"/>
    </row>
    <row r="19" spans="1:6" x14ac:dyDescent="0.2">
      <c r="A19" s="21" t="s">
        <v>21</v>
      </c>
      <c r="B19" s="29">
        <v>0.05</v>
      </c>
      <c r="C19" s="28">
        <f>F13*B19</f>
        <v>250</v>
      </c>
      <c r="D19" s="21"/>
      <c r="E19" s="22"/>
      <c r="F19" s="23"/>
    </row>
    <row r="20" spans="1:6" x14ac:dyDescent="0.2">
      <c r="A20" s="21" t="s">
        <v>22</v>
      </c>
      <c r="B20" s="30">
        <v>7.4999999999999997E-2</v>
      </c>
      <c r="C20" s="28">
        <f>C15*B20</f>
        <v>150</v>
      </c>
      <c r="D20" s="21"/>
      <c r="E20" s="22"/>
      <c r="F20" s="23"/>
    </row>
    <row r="21" spans="1:6" x14ac:dyDescent="0.2">
      <c r="A21" s="21" t="s">
        <v>23</v>
      </c>
      <c r="B21" s="29">
        <v>0.05</v>
      </c>
      <c r="C21" s="28">
        <f>F8*B21</f>
        <v>400</v>
      </c>
      <c r="D21" s="21"/>
      <c r="E21" s="22"/>
      <c r="F21" s="23"/>
    </row>
    <row r="22" spans="1:6" x14ac:dyDescent="0.2">
      <c r="A22" s="24" t="s">
        <v>24</v>
      </c>
      <c r="B22" s="25"/>
      <c r="C22" s="26">
        <f>F13-C13</f>
        <v>1820</v>
      </c>
      <c r="D22" s="31"/>
      <c r="E22" s="32"/>
      <c r="F22" s="33"/>
    </row>
    <row r="23" spans="1:6" x14ac:dyDescent="0.2">
      <c r="A23" s="21" t="s">
        <v>25</v>
      </c>
      <c r="B23" s="29">
        <v>0.3</v>
      </c>
      <c r="C23" s="28">
        <f>C22*B23</f>
        <v>546</v>
      </c>
      <c r="D23" s="31"/>
      <c r="E23" s="32"/>
      <c r="F23" s="33"/>
    </row>
    <row r="24" spans="1:6" x14ac:dyDescent="0.2">
      <c r="A24" s="21" t="s">
        <v>26</v>
      </c>
      <c r="B24" s="22"/>
      <c r="C24" s="28">
        <f>C22-C23</f>
        <v>1274</v>
      </c>
      <c r="D24" s="31"/>
      <c r="E24" s="32"/>
      <c r="F24" s="33"/>
    </row>
    <row r="25" spans="1:6" x14ac:dyDescent="0.2">
      <c r="A25" s="21" t="s">
        <v>27</v>
      </c>
      <c r="B25" s="29">
        <v>0.5</v>
      </c>
      <c r="C25" s="28">
        <f>C24*B25</f>
        <v>637</v>
      </c>
      <c r="D25" s="31"/>
      <c r="E25" s="32"/>
      <c r="F25" s="33"/>
    </row>
    <row r="26" spans="1:6" x14ac:dyDescent="0.2">
      <c r="A26" s="21" t="s">
        <v>28</v>
      </c>
      <c r="B26" s="29">
        <v>0.5</v>
      </c>
      <c r="C26" s="28">
        <f>C24*B26</f>
        <v>637</v>
      </c>
      <c r="D26" s="31"/>
      <c r="E26" s="32"/>
      <c r="F26" s="33"/>
    </row>
    <row r="27" spans="1:6" x14ac:dyDescent="0.2">
      <c r="A27" s="34" t="s">
        <v>29</v>
      </c>
      <c r="B27" s="35"/>
      <c r="C27" s="41">
        <f>C13+C22</f>
        <v>5000</v>
      </c>
      <c r="D27" s="34" t="s">
        <v>30</v>
      </c>
      <c r="E27" s="35"/>
      <c r="F27" s="38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76FA-2A3C-49B8-836B-99399C56916B}">
  <dimension ref="A1:F27"/>
  <sheetViews>
    <sheetView zoomScaleNormal="100" workbookViewId="0"/>
  </sheetViews>
  <sheetFormatPr baseColWidth="10" defaultColWidth="10.83203125" defaultRowHeight="12.75" x14ac:dyDescent="0.2"/>
  <cols>
    <col min="1" max="1" width="30.83203125" style="16" customWidth="1"/>
    <col min="2" max="2" width="5.83203125" style="15" customWidth="1"/>
    <col min="3" max="3" width="10.83203125" style="16"/>
    <col min="4" max="4" width="30.83203125" style="16" customWidth="1"/>
    <col min="5" max="5" width="5.83203125" style="15" customWidth="1"/>
    <col min="6" max="16384" width="10.83203125" style="16"/>
  </cols>
  <sheetData>
    <row r="1" spans="1:6" x14ac:dyDescent="0.2">
      <c r="A1" s="14" t="s">
        <v>32</v>
      </c>
    </row>
    <row r="3" spans="1:6" x14ac:dyDescent="0.2">
      <c r="A3" s="14" t="s">
        <v>0</v>
      </c>
      <c r="B3" s="17"/>
    </row>
    <row r="4" spans="1:6" x14ac:dyDescent="0.2">
      <c r="A4" s="1" t="s">
        <v>1</v>
      </c>
      <c r="B4" s="2"/>
      <c r="C4" s="3"/>
      <c r="D4" s="1" t="s">
        <v>2</v>
      </c>
      <c r="E4" s="2"/>
      <c r="F4" s="4"/>
    </row>
    <row r="5" spans="1:6" x14ac:dyDescent="0.2">
      <c r="A5" s="18" t="s">
        <v>3</v>
      </c>
      <c r="B5" s="19"/>
      <c r="C5" s="20">
        <f>SUM(C6:C7)</f>
        <v>10000</v>
      </c>
      <c r="D5" s="18" t="s">
        <v>4</v>
      </c>
      <c r="E5" s="19"/>
      <c r="F5" s="9">
        <v>1000</v>
      </c>
    </row>
    <row r="6" spans="1:6" x14ac:dyDescent="0.2">
      <c r="A6" s="21" t="s">
        <v>5</v>
      </c>
      <c r="B6" s="22"/>
      <c r="C6" s="23">
        <v>3000</v>
      </c>
      <c r="D6" s="21"/>
      <c r="E6" s="22"/>
      <c r="F6" s="23"/>
    </row>
    <row r="7" spans="1:6" x14ac:dyDescent="0.2">
      <c r="A7" s="21" t="s">
        <v>6</v>
      </c>
      <c r="B7" s="22"/>
      <c r="C7" s="23">
        <v>7000</v>
      </c>
      <c r="D7" s="21"/>
      <c r="E7" s="22"/>
      <c r="F7" s="23"/>
    </row>
    <row r="8" spans="1:6" x14ac:dyDescent="0.2">
      <c r="A8" s="21" t="s">
        <v>7</v>
      </c>
      <c r="B8" s="22"/>
      <c r="C8" s="23">
        <v>1000</v>
      </c>
      <c r="D8" s="21" t="s">
        <v>8</v>
      </c>
      <c r="E8" s="22"/>
      <c r="F8" s="10">
        <v>10000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14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24" t="s">
        <v>14</v>
      </c>
      <c r="B13" s="25"/>
      <c r="C13" s="11">
        <f>C14+C21</f>
        <v>3280</v>
      </c>
      <c r="D13" s="24" t="s">
        <v>15</v>
      </c>
      <c r="E13" s="25"/>
      <c r="F13" s="27">
        <f>100*50</f>
        <v>5000</v>
      </c>
    </row>
    <row r="14" spans="1:6" x14ac:dyDescent="0.2">
      <c r="A14" s="21" t="s">
        <v>16</v>
      </c>
      <c r="B14" s="22"/>
      <c r="C14" s="28">
        <f>SUM(C15:C17)</f>
        <v>2780</v>
      </c>
      <c r="D14" s="21"/>
      <c r="E14" s="22"/>
      <c r="F14" s="23"/>
    </row>
    <row r="15" spans="1:6" x14ac:dyDescent="0.2">
      <c r="A15" s="21" t="s">
        <v>17</v>
      </c>
      <c r="B15" s="22"/>
      <c r="C15" s="28">
        <v>2000</v>
      </c>
      <c r="D15" s="21"/>
      <c r="E15" s="22"/>
      <c r="F15" s="23"/>
    </row>
    <row r="16" spans="1:6" x14ac:dyDescent="0.2">
      <c r="A16" s="21" t="s">
        <v>18</v>
      </c>
      <c r="B16" s="29">
        <v>0.05</v>
      </c>
      <c r="C16" s="28">
        <f>B16*C7</f>
        <v>350</v>
      </c>
      <c r="D16" s="21"/>
      <c r="E16" s="22"/>
      <c r="F16" s="23"/>
    </row>
    <row r="17" spans="1:6" x14ac:dyDescent="0.2">
      <c r="A17" s="21" t="s">
        <v>19</v>
      </c>
      <c r="B17" s="29"/>
      <c r="C17" s="28">
        <f>SUM(C18:C20)</f>
        <v>430</v>
      </c>
      <c r="D17" s="21"/>
      <c r="E17" s="22"/>
      <c r="F17" s="23"/>
    </row>
    <row r="18" spans="1:6" x14ac:dyDescent="0.2">
      <c r="A18" s="21" t="s">
        <v>20</v>
      </c>
      <c r="B18" s="29">
        <v>0.01</v>
      </c>
      <c r="C18" s="28">
        <f>C6*B18</f>
        <v>30</v>
      </c>
      <c r="D18" s="21"/>
      <c r="E18" s="22"/>
      <c r="F18" s="23"/>
    </row>
    <row r="19" spans="1:6" x14ac:dyDescent="0.2">
      <c r="A19" s="21" t="s">
        <v>21</v>
      </c>
      <c r="B19" s="29">
        <v>0.05</v>
      </c>
      <c r="C19" s="28">
        <f>F13*B19</f>
        <v>250</v>
      </c>
      <c r="D19" s="21"/>
      <c r="E19" s="22"/>
      <c r="F19" s="23"/>
    </row>
    <row r="20" spans="1:6" x14ac:dyDescent="0.2">
      <c r="A20" s="21" t="s">
        <v>22</v>
      </c>
      <c r="B20" s="30">
        <v>7.4999999999999997E-2</v>
      </c>
      <c r="C20" s="28">
        <f>C15*B20</f>
        <v>150</v>
      </c>
      <c r="D20" s="21"/>
      <c r="E20" s="22"/>
      <c r="F20" s="23"/>
    </row>
    <row r="21" spans="1:6" x14ac:dyDescent="0.2">
      <c r="A21" s="21" t="s">
        <v>23</v>
      </c>
      <c r="B21" s="29">
        <v>0.05</v>
      </c>
      <c r="C21" s="12">
        <f>F8*B21</f>
        <v>500</v>
      </c>
      <c r="D21" s="21"/>
      <c r="E21" s="22"/>
      <c r="F21" s="23"/>
    </row>
    <row r="22" spans="1:6" x14ac:dyDescent="0.2">
      <c r="A22" s="24" t="s">
        <v>24</v>
      </c>
      <c r="B22" s="25"/>
      <c r="C22" s="11">
        <f>F13-C13</f>
        <v>1720</v>
      </c>
      <c r="D22" s="31"/>
      <c r="E22" s="32"/>
      <c r="F22" s="33"/>
    </row>
    <row r="23" spans="1:6" x14ac:dyDescent="0.2">
      <c r="A23" s="21" t="s">
        <v>25</v>
      </c>
      <c r="B23" s="29">
        <v>0.3</v>
      </c>
      <c r="C23" s="12">
        <f>C22*B23</f>
        <v>516</v>
      </c>
      <c r="D23" s="31"/>
      <c r="E23" s="32"/>
      <c r="F23" s="33"/>
    </row>
    <row r="24" spans="1:6" x14ac:dyDescent="0.2">
      <c r="A24" s="21" t="s">
        <v>26</v>
      </c>
      <c r="B24" s="22"/>
      <c r="C24" s="12">
        <f>C22-C23</f>
        <v>1204</v>
      </c>
      <c r="D24" s="31"/>
      <c r="E24" s="32"/>
      <c r="F24" s="33"/>
    </row>
    <row r="25" spans="1:6" x14ac:dyDescent="0.2">
      <c r="A25" s="21" t="s">
        <v>27</v>
      </c>
      <c r="B25" s="29">
        <v>0.5</v>
      </c>
      <c r="C25" s="12">
        <f>C24*B25</f>
        <v>602</v>
      </c>
      <c r="D25" s="31"/>
      <c r="E25" s="32"/>
      <c r="F25" s="33"/>
    </row>
    <row r="26" spans="1:6" x14ac:dyDescent="0.2">
      <c r="A26" s="21" t="s">
        <v>28</v>
      </c>
      <c r="B26" s="29">
        <v>0.5</v>
      </c>
      <c r="C26" s="12">
        <f>C24*B26</f>
        <v>602</v>
      </c>
      <c r="D26" s="31"/>
      <c r="E26" s="32"/>
      <c r="F26" s="33"/>
    </row>
    <row r="27" spans="1:6" x14ac:dyDescent="0.2">
      <c r="A27" s="1" t="s">
        <v>29</v>
      </c>
      <c r="B27" s="2"/>
      <c r="C27" s="8">
        <f>C13+C22</f>
        <v>5000</v>
      </c>
      <c r="D27" s="1" t="s">
        <v>30</v>
      </c>
      <c r="E27" s="2"/>
      <c r="F27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48EC-B275-4C5B-AA39-7FCC4AA401DD}">
  <dimension ref="A1:F27"/>
  <sheetViews>
    <sheetView zoomScaleNormal="100" workbookViewId="0"/>
  </sheetViews>
  <sheetFormatPr baseColWidth="10" defaultColWidth="10.83203125" defaultRowHeight="12.75" x14ac:dyDescent="0.2"/>
  <cols>
    <col min="1" max="1" width="30.83203125" style="16" customWidth="1"/>
    <col min="2" max="2" width="5.83203125" style="15" customWidth="1"/>
    <col min="3" max="3" width="10.83203125" style="16"/>
    <col min="4" max="4" width="30.83203125" style="16" customWidth="1"/>
    <col min="5" max="5" width="5.83203125" style="15" customWidth="1"/>
    <col min="6" max="16384" width="10.83203125" style="16"/>
  </cols>
  <sheetData>
    <row r="1" spans="1:6" x14ac:dyDescent="0.2">
      <c r="A1" s="14" t="s">
        <v>33</v>
      </c>
    </row>
    <row r="3" spans="1:6" x14ac:dyDescent="0.2">
      <c r="A3" s="14" t="s">
        <v>0</v>
      </c>
      <c r="B3" s="17"/>
    </row>
    <row r="4" spans="1:6" x14ac:dyDescent="0.2">
      <c r="A4" s="1" t="s">
        <v>1</v>
      </c>
      <c r="B4" s="2"/>
      <c r="C4" s="3"/>
      <c r="D4" s="1" t="s">
        <v>2</v>
      </c>
      <c r="E4" s="2"/>
      <c r="F4" s="4"/>
    </row>
    <row r="5" spans="1:6" x14ac:dyDescent="0.2">
      <c r="A5" s="18" t="s">
        <v>3</v>
      </c>
      <c r="B5" s="19"/>
      <c r="C5" s="20">
        <f>SUM(C6:C7)</f>
        <v>15000</v>
      </c>
      <c r="D5" s="18" t="s">
        <v>4</v>
      </c>
      <c r="E5" s="19"/>
      <c r="F5" s="20">
        <v>1000</v>
      </c>
    </row>
    <row r="6" spans="1:6" x14ac:dyDescent="0.2">
      <c r="A6" s="21" t="s">
        <v>5</v>
      </c>
      <c r="B6" s="22"/>
      <c r="C6" s="23">
        <v>3000</v>
      </c>
      <c r="D6" s="21"/>
      <c r="E6" s="22"/>
      <c r="F6" s="23"/>
    </row>
    <row r="7" spans="1:6" x14ac:dyDescent="0.2">
      <c r="A7" s="21" t="s">
        <v>6</v>
      </c>
      <c r="B7" s="22"/>
      <c r="C7" s="10">
        <v>12000</v>
      </c>
      <c r="D7" s="21"/>
      <c r="E7" s="22"/>
      <c r="F7" s="23"/>
    </row>
    <row r="8" spans="1:6" x14ac:dyDescent="0.2">
      <c r="A8" s="21" t="s">
        <v>7</v>
      </c>
      <c r="B8" s="22"/>
      <c r="C8" s="23">
        <v>1000</v>
      </c>
      <c r="D8" s="21" t="s">
        <v>8</v>
      </c>
      <c r="E8" s="22"/>
      <c r="F8" s="10">
        <v>15000</v>
      </c>
    </row>
    <row r="9" spans="1:6" x14ac:dyDescent="0.2">
      <c r="A9" s="1" t="s">
        <v>9</v>
      </c>
      <c r="B9" s="2"/>
      <c r="C9" s="5">
        <f>C5+C8</f>
        <v>16000</v>
      </c>
      <c r="D9" s="1" t="s">
        <v>10</v>
      </c>
      <c r="E9" s="2"/>
      <c r="F9" s="5">
        <f>F5+F8</f>
        <v>16000</v>
      </c>
    </row>
    <row r="11" spans="1:6" x14ac:dyDescent="0.2">
      <c r="A11" s="14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24" t="s">
        <v>14</v>
      </c>
      <c r="B13" s="25"/>
      <c r="C13" s="11">
        <f>C14+C21</f>
        <v>4640</v>
      </c>
      <c r="D13" s="24" t="s">
        <v>15</v>
      </c>
      <c r="E13" s="25"/>
      <c r="F13" s="27">
        <f>100*50</f>
        <v>5000</v>
      </c>
    </row>
    <row r="14" spans="1:6" x14ac:dyDescent="0.2">
      <c r="A14" s="21" t="s">
        <v>16</v>
      </c>
      <c r="B14" s="22"/>
      <c r="C14" s="12">
        <f>SUM(C15:C17)</f>
        <v>3890</v>
      </c>
      <c r="D14" s="21"/>
      <c r="E14" s="22"/>
      <c r="F14" s="23"/>
    </row>
    <row r="15" spans="1:6" x14ac:dyDescent="0.2">
      <c r="A15" s="21" t="s">
        <v>17</v>
      </c>
      <c r="B15" s="22"/>
      <c r="C15" s="12">
        <v>2800</v>
      </c>
      <c r="D15" s="21"/>
      <c r="E15" s="22"/>
      <c r="F15" s="23"/>
    </row>
    <row r="16" spans="1:6" x14ac:dyDescent="0.2">
      <c r="A16" s="21" t="s">
        <v>18</v>
      </c>
      <c r="B16" s="29">
        <v>0.05</v>
      </c>
      <c r="C16" s="12">
        <f>B16*C7</f>
        <v>600</v>
      </c>
      <c r="D16" s="21"/>
      <c r="E16" s="22"/>
      <c r="F16" s="23"/>
    </row>
    <row r="17" spans="1:6" x14ac:dyDescent="0.2">
      <c r="A17" s="21" t="s">
        <v>19</v>
      </c>
      <c r="B17" s="29"/>
      <c r="C17" s="12">
        <f>SUM(C18:C20)</f>
        <v>490</v>
      </c>
      <c r="D17" s="21"/>
      <c r="E17" s="22"/>
      <c r="F17" s="23"/>
    </row>
    <row r="18" spans="1:6" x14ac:dyDescent="0.2">
      <c r="A18" s="21" t="s">
        <v>20</v>
      </c>
      <c r="B18" s="29">
        <v>0.01</v>
      </c>
      <c r="C18" s="28">
        <f>C6*B18</f>
        <v>30</v>
      </c>
      <c r="D18" s="21"/>
      <c r="E18" s="22"/>
      <c r="F18" s="23"/>
    </row>
    <row r="19" spans="1:6" x14ac:dyDescent="0.2">
      <c r="A19" s="21" t="s">
        <v>21</v>
      </c>
      <c r="B19" s="29">
        <v>0.05</v>
      </c>
      <c r="C19" s="28">
        <f>F13*B19</f>
        <v>250</v>
      </c>
      <c r="D19" s="21"/>
      <c r="E19" s="22"/>
      <c r="F19" s="23"/>
    </row>
    <row r="20" spans="1:6" x14ac:dyDescent="0.2">
      <c r="A20" s="21" t="s">
        <v>22</v>
      </c>
      <c r="B20" s="30">
        <v>7.4999999999999997E-2</v>
      </c>
      <c r="C20" s="12">
        <f>C15*B20</f>
        <v>210</v>
      </c>
      <c r="D20" s="21"/>
      <c r="E20" s="22"/>
      <c r="F20" s="23"/>
    </row>
    <row r="21" spans="1:6" x14ac:dyDescent="0.2">
      <c r="A21" s="21" t="s">
        <v>23</v>
      </c>
      <c r="B21" s="29">
        <v>0.05</v>
      </c>
      <c r="C21" s="12">
        <f>F8*B21</f>
        <v>750</v>
      </c>
      <c r="D21" s="21"/>
      <c r="E21" s="22"/>
      <c r="F21" s="23"/>
    </row>
    <row r="22" spans="1:6" x14ac:dyDescent="0.2">
      <c r="A22" s="24" t="s">
        <v>24</v>
      </c>
      <c r="B22" s="25"/>
      <c r="C22" s="11">
        <f>F13-C13</f>
        <v>360</v>
      </c>
      <c r="D22" s="31"/>
      <c r="E22" s="32"/>
      <c r="F22" s="33"/>
    </row>
    <row r="23" spans="1:6" x14ac:dyDescent="0.2">
      <c r="A23" s="21" t="s">
        <v>25</v>
      </c>
      <c r="B23" s="29">
        <v>0.3</v>
      </c>
      <c r="C23" s="12">
        <f>C22*B23</f>
        <v>108</v>
      </c>
      <c r="D23" s="31"/>
      <c r="E23" s="32"/>
      <c r="F23" s="33"/>
    </row>
    <row r="24" spans="1:6" x14ac:dyDescent="0.2">
      <c r="A24" s="21" t="s">
        <v>26</v>
      </c>
      <c r="B24" s="22"/>
      <c r="C24" s="12">
        <f>C22-C23</f>
        <v>252</v>
      </c>
      <c r="D24" s="31"/>
      <c r="E24" s="32"/>
      <c r="F24" s="33"/>
    </row>
    <row r="25" spans="1:6" x14ac:dyDescent="0.2">
      <c r="A25" s="21" t="s">
        <v>27</v>
      </c>
      <c r="B25" s="29">
        <v>0.5</v>
      </c>
      <c r="C25" s="12">
        <f>C24*B25</f>
        <v>126</v>
      </c>
      <c r="D25" s="31"/>
      <c r="E25" s="32"/>
      <c r="F25" s="33"/>
    </row>
    <row r="26" spans="1:6" x14ac:dyDescent="0.2">
      <c r="A26" s="21" t="s">
        <v>28</v>
      </c>
      <c r="B26" s="29">
        <v>0.5</v>
      </c>
      <c r="C26" s="12">
        <f>C24*B26</f>
        <v>126</v>
      </c>
      <c r="D26" s="31"/>
      <c r="E26" s="32"/>
      <c r="F26" s="33"/>
    </row>
    <row r="27" spans="1:6" x14ac:dyDescent="0.2">
      <c r="A27" s="1" t="s">
        <v>29</v>
      </c>
      <c r="B27" s="2"/>
      <c r="C27" s="8">
        <f>C13+C22</f>
        <v>5000</v>
      </c>
      <c r="D27" s="1" t="s">
        <v>30</v>
      </c>
      <c r="E27" s="2"/>
      <c r="F27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5" formulaRange="1"/>
    <ignoredError sqref="C2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F275-2705-47E4-AB71-4A6C57B48670}">
  <dimension ref="A1:F27"/>
  <sheetViews>
    <sheetView tabSelected="1" zoomScaleNormal="100" workbookViewId="0"/>
  </sheetViews>
  <sheetFormatPr baseColWidth="10" defaultColWidth="10.83203125" defaultRowHeight="12.75" x14ac:dyDescent="0.2"/>
  <cols>
    <col min="1" max="1" width="30.83203125" style="16" customWidth="1"/>
    <col min="2" max="2" width="5.83203125" style="15" customWidth="1"/>
    <col min="3" max="3" width="10.83203125" style="16"/>
    <col min="4" max="4" width="30.83203125" style="16" customWidth="1"/>
    <col min="5" max="5" width="5.83203125" style="15" customWidth="1"/>
    <col min="6" max="16384" width="10.83203125" style="16"/>
  </cols>
  <sheetData>
    <row r="1" spans="1:6" x14ac:dyDescent="0.2">
      <c r="A1" s="14" t="s">
        <v>34</v>
      </c>
    </row>
    <row r="3" spans="1:6" x14ac:dyDescent="0.2">
      <c r="A3" s="14" t="s">
        <v>0</v>
      </c>
      <c r="B3" s="17"/>
    </row>
    <row r="4" spans="1:6" x14ac:dyDescent="0.2">
      <c r="A4" s="1" t="s">
        <v>1</v>
      </c>
      <c r="B4" s="2"/>
      <c r="C4" s="3"/>
      <c r="D4" s="1" t="s">
        <v>2</v>
      </c>
      <c r="E4" s="2"/>
      <c r="F4" s="4"/>
    </row>
    <row r="5" spans="1:6" x14ac:dyDescent="0.2">
      <c r="A5" s="18" t="s">
        <v>3</v>
      </c>
      <c r="B5" s="19"/>
      <c r="C5" s="20">
        <f>SUM(C6:C7)</f>
        <v>10000</v>
      </c>
      <c r="D5" s="18" t="s">
        <v>4</v>
      </c>
      <c r="E5" s="19"/>
      <c r="F5" s="20">
        <v>3000</v>
      </c>
    </row>
    <row r="6" spans="1:6" x14ac:dyDescent="0.2">
      <c r="A6" s="21" t="s">
        <v>5</v>
      </c>
      <c r="B6" s="22"/>
      <c r="C6" s="23">
        <v>3000</v>
      </c>
      <c r="D6" s="21"/>
      <c r="E6" s="22"/>
      <c r="F6" s="23"/>
    </row>
    <row r="7" spans="1:6" x14ac:dyDescent="0.2">
      <c r="A7" s="21" t="s">
        <v>6</v>
      </c>
      <c r="B7" s="22"/>
      <c r="C7" s="23">
        <v>7000</v>
      </c>
      <c r="D7" s="21"/>
      <c r="E7" s="22"/>
      <c r="F7" s="23"/>
    </row>
    <row r="8" spans="1:6" x14ac:dyDescent="0.2">
      <c r="A8" s="21" t="s">
        <v>7</v>
      </c>
      <c r="B8" s="22"/>
      <c r="C8" s="23">
        <v>1000</v>
      </c>
      <c r="D8" s="21" t="s">
        <v>8</v>
      </c>
      <c r="E8" s="22"/>
      <c r="F8" s="23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14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24" t="s">
        <v>14</v>
      </c>
      <c r="B13" s="25"/>
      <c r="C13" s="11">
        <f>C14+C21</f>
        <v>3080</v>
      </c>
      <c r="D13" s="24" t="s">
        <v>15</v>
      </c>
      <c r="E13" s="25"/>
      <c r="F13" s="13">
        <f>100*30</f>
        <v>3000</v>
      </c>
    </row>
    <row r="14" spans="1:6" x14ac:dyDescent="0.2">
      <c r="A14" s="21" t="s">
        <v>16</v>
      </c>
      <c r="B14" s="22"/>
      <c r="C14" s="12">
        <f>SUM(C15:C17)</f>
        <v>2680</v>
      </c>
      <c r="D14" s="21"/>
      <c r="E14" s="22"/>
      <c r="F14" s="23"/>
    </row>
    <row r="15" spans="1:6" x14ac:dyDescent="0.2">
      <c r="A15" s="21" t="s">
        <v>17</v>
      </c>
      <c r="B15" s="22"/>
      <c r="C15" s="28">
        <v>2000</v>
      </c>
      <c r="D15" s="21"/>
      <c r="E15" s="22"/>
      <c r="F15" s="23"/>
    </row>
    <row r="16" spans="1:6" x14ac:dyDescent="0.2">
      <c r="A16" s="21" t="s">
        <v>18</v>
      </c>
      <c r="B16" s="29">
        <v>0.05</v>
      </c>
      <c r="C16" s="28">
        <f>B16*C7</f>
        <v>350</v>
      </c>
      <c r="D16" s="21"/>
      <c r="E16" s="22"/>
      <c r="F16" s="23"/>
    </row>
    <row r="17" spans="1:6" x14ac:dyDescent="0.2">
      <c r="A17" s="21" t="s">
        <v>19</v>
      </c>
      <c r="B17" s="29"/>
      <c r="C17" s="12">
        <f>SUM(C18:C20)</f>
        <v>330</v>
      </c>
      <c r="D17" s="21"/>
      <c r="E17" s="22"/>
      <c r="F17" s="23"/>
    </row>
    <row r="18" spans="1:6" x14ac:dyDescent="0.2">
      <c r="A18" s="21" t="s">
        <v>20</v>
      </c>
      <c r="B18" s="29">
        <v>0.01</v>
      </c>
      <c r="C18" s="28">
        <f>C6*B18</f>
        <v>30</v>
      </c>
      <c r="D18" s="21"/>
      <c r="E18" s="22"/>
      <c r="F18" s="23"/>
    </row>
    <row r="19" spans="1:6" x14ac:dyDescent="0.2">
      <c r="A19" s="21" t="s">
        <v>21</v>
      </c>
      <c r="B19" s="29">
        <v>0.05</v>
      </c>
      <c r="C19" s="12">
        <f>F13*B19</f>
        <v>150</v>
      </c>
      <c r="D19" s="21"/>
      <c r="E19" s="22"/>
      <c r="F19" s="23"/>
    </row>
    <row r="20" spans="1:6" x14ac:dyDescent="0.2">
      <c r="A20" s="21" t="s">
        <v>22</v>
      </c>
      <c r="B20" s="30">
        <v>7.4999999999999997E-2</v>
      </c>
      <c r="C20" s="28">
        <f>C15*B20</f>
        <v>150</v>
      </c>
      <c r="D20" s="21"/>
      <c r="E20" s="22"/>
      <c r="F20" s="23"/>
    </row>
    <row r="21" spans="1:6" x14ac:dyDescent="0.2">
      <c r="A21" s="21" t="s">
        <v>23</v>
      </c>
      <c r="B21" s="29">
        <v>0.05</v>
      </c>
      <c r="C21" s="28">
        <f>F8*B21</f>
        <v>400</v>
      </c>
      <c r="D21" s="21"/>
      <c r="E21" s="22"/>
      <c r="F21" s="23"/>
    </row>
    <row r="22" spans="1:6" x14ac:dyDescent="0.2">
      <c r="A22" s="24" t="s">
        <v>24</v>
      </c>
      <c r="B22" s="25"/>
      <c r="C22" s="11">
        <f>F13-C13</f>
        <v>-80</v>
      </c>
      <c r="D22" s="31"/>
      <c r="E22" s="32"/>
      <c r="F22" s="33"/>
    </row>
    <row r="23" spans="1:6" x14ac:dyDescent="0.2">
      <c r="A23" s="21" t="s">
        <v>25</v>
      </c>
      <c r="B23" s="29">
        <v>0.3</v>
      </c>
      <c r="C23" s="12">
        <v>0</v>
      </c>
      <c r="D23" s="31"/>
      <c r="E23" s="32"/>
      <c r="F23" s="33"/>
    </row>
    <row r="24" spans="1:6" x14ac:dyDescent="0.2">
      <c r="A24" s="21" t="s">
        <v>26</v>
      </c>
      <c r="B24" s="22"/>
      <c r="C24" s="12">
        <f>C22-C23</f>
        <v>-80</v>
      </c>
      <c r="D24" s="31"/>
      <c r="E24" s="32"/>
      <c r="F24" s="33"/>
    </row>
    <row r="25" spans="1:6" x14ac:dyDescent="0.2">
      <c r="A25" s="21" t="s">
        <v>27</v>
      </c>
      <c r="B25" s="29">
        <v>0.5</v>
      </c>
      <c r="C25" s="12">
        <v>0</v>
      </c>
      <c r="D25" s="31"/>
      <c r="E25" s="32"/>
      <c r="F25" s="33"/>
    </row>
    <row r="26" spans="1:6" x14ac:dyDescent="0.2">
      <c r="A26" s="21" t="s">
        <v>28</v>
      </c>
      <c r="B26" s="29">
        <v>0.5</v>
      </c>
      <c r="C26" s="12">
        <v>0</v>
      </c>
      <c r="D26" s="31"/>
      <c r="E26" s="32"/>
      <c r="F26" s="33"/>
    </row>
    <row r="27" spans="1:6" x14ac:dyDescent="0.2">
      <c r="A27" s="1" t="s">
        <v>29</v>
      </c>
      <c r="B27" s="2"/>
      <c r="C27" s="8">
        <f>C13+C22</f>
        <v>3000</v>
      </c>
      <c r="D27" s="1" t="s">
        <v>30</v>
      </c>
      <c r="E27" s="2"/>
      <c r="F27" s="5">
        <f>F13</f>
        <v>3000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5" formulaRange="1"/>
    <ignoredError sqref="C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1) Situation initiale</vt:lpstr>
      <vt:lpstr>2) Sous-capitalisation</vt:lpstr>
      <vt:lpstr>3) Manipulation des coûts</vt:lpstr>
      <vt:lpstr>4) Contrat de couverture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2022-09-12T15:23:10Z</dcterms:modified>
</cp:coreProperties>
</file>