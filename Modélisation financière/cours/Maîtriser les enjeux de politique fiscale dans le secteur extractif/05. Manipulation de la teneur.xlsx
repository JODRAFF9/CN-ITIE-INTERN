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filterPrivacy="1" defaultThemeVersion="124226"/>
  <xr:revisionPtr revIDLastSave="0" documentId="13_ncr:1_{F40BA436-EB6C-4557-9CC0-09FD4953A451}" xr6:coauthVersionLast="36" xr6:coauthVersionMax="36" xr10:uidLastSave="{00000000-0000-0000-0000-000000000000}"/>
  <bookViews>
    <workbookView xWindow="240" yWindow="105" windowWidth="14805" windowHeight="8010" activeTab="4" xr2:uid="{00000000-000D-0000-FFFF-FFFF00000000}"/>
  </bookViews>
  <sheets>
    <sheet name="1) Données" sheetId="2" r:id="rId1"/>
    <sheet name="2) Exportations mensuelles" sheetId="3" r:id="rId2"/>
    <sheet name="3) Exportations semestrielles" sheetId="4" r:id="rId3"/>
    <sheet name="4) Contrat de couverture" sheetId="5" r:id="rId4"/>
    <sheet name="5) Manipulation de la teneur" sheetId="6" r:id="rId5"/>
  </sheets>
  <calcPr calcId="191029"/>
</workbook>
</file>

<file path=xl/calcChain.xml><?xml version="1.0" encoding="utf-8"?>
<calcChain xmlns="http://schemas.openxmlformats.org/spreadsheetml/2006/main">
  <c r="O7" i="6" l="1"/>
  <c r="D5" i="6"/>
  <c r="D6" i="6" s="1"/>
  <c r="D7" i="6" s="1"/>
  <c r="E5" i="6"/>
  <c r="O5" i="6" s="1"/>
  <c r="F5" i="6"/>
  <c r="F6" i="6" s="1"/>
  <c r="F7" i="6" s="1"/>
  <c r="G5" i="6"/>
  <c r="G6" i="6" s="1"/>
  <c r="G7" i="6" s="1"/>
  <c r="H5" i="6"/>
  <c r="I5" i="6"/>
  <c r="J5" i="6"/>
  <c r="J6" i="6" s="1"/>
  <c r="J7" i="6" s="1"/>
  <c r="K5" i="6"/>
  <c r="L5" i="6"/>
  <c r="M5" i="6"/>
  <c r="N5" i="6"/>
  <c r="C5" i="6"/>
  <c r="C6" i="6" s="1"/>
  <c r="C7" i="6" s="1"/>
  <c r="N6" i="6"/>
  <c r="N7" i="6" s="1"/>
  <c r="M6" i="6"/>
  <c r="M7" i="6" s="1"/>
  <c r="L6" i="6"/>
  <c r="L7" i="6" s="1"/>
  <c r="K6" i="6"/>
  <c r="K7" i="6" s="1"/>
  <c r="I6" i="6"/>
  <c r="I7" i="6" s="1"/>
  <c r="H6" i="6"/>
  <c r="H7" i="6" s="1"/>
  <c r="P4" i="6"/>
  <c r="P3" i="6"/>
  <c r="P5" i="6" s="1"/>
  <c r="O3" i="6"/>
  <c r="P2" i="6"/>
  <c r="N5" i="5"/>
  <c r="M5" i="5"/>
  <c r="L5" i="5"/>
  <c r="N6" i="5" s="1"/>
  <c r="N7" i="5" s="1"/>
  <c r="K5" i="5"/>
  <c r="J5" i="5"/>
  <c r="I5" i="5"/>
  <c r="H5" i="5"/>
  <c r="G5" i="5"/>
  <c r="F5" i="5"/>
  <c r="E5" i="5"/>
  <c r="D5" i="5"/>
  <c r="C5" i="5"/>
  <c r="O9" i="4"/>
  <c r="P4" i="5"/>
  <c r="P3" i="5"/>
  <c r="P5" i="5" s="1"/>
  <c r="O3" i="5"/>
  <c r="P2" i="5"/>
  <c r="O7" i="4"/>
  <c r="N6" i="4"/>
  <c r="P5" i="3"/>
  <c r="E6" i="6" l="1"/>
  <c r="E7" i="6" s="1"/>
  <c r="O7" i="5"/>
  <c r="P7" i="5" s="1"/>
  <c r="O6" i="5"/>
  <c r="P6" i="5" s="1"/>
  <c r="O5" i="5"/>
  <c r="H6" i="4"/>
  <c r="O6" i="4" s="1"/>
  <c r="P6" i="4" s="1"/>
  <c r="P5" i="4"/>
  <c r="P4" i="3"/>
  <c r="P3" i="3"/>
  <c r="P2" i="3"/>
  <c r="D6" i="3"/>
  <c r="D7" i="3" s="1"/>
  <c r="N6" i="3"/>
  <c r="N7" i="3" s="1"/>
  <c r="M6" i="3"/>
  <c r="M7" i="3" s="1"/>
  <c r="L6" i="3"/>
  <c r="L7" i="3" s="1"/>
  <c r="K6" i="3"/>
  <c r="J6" i="3"/>
  <c r="I6" i="3"/>
  <c r="H6" i="3"/>
  <c r="G6" i="3"/>
  <c r="F6" i="3"/>
  <c r="F7" i="3" s="1"/>
  <c r="E6" i="3"/>
  <c r="E7" i="3" s="1"/>
  <c r="C6" i="3"/>
  <c r="C7" i="3" s="1"/>
  <c r="P7" i="3" s="1"/>
  <c r="E5" i="2"/>
  <c r="C5" i="2"/>
  <c r="N5" i="4"/>
  <c r="M5" i="4"/>
  <c r="L5" i="4"/>
  <c r="K5" i="4"/>
  <c r="J5" i="4"/>
  <c r="I5" i="4"/>
  <c r="H5" i="4"/>
  <c r="G5" i="4"/>
  <c r="F5" i="4"/>
  <c r="E5" i="4"/>
  <c r="D5" i="4"/>
  <c r="C5" i="4"/>
  <c r="O5" i="4" s="1"/>
  <c r="P4" i="4"/>
  <c r="P3" i="4"/>
  <c r="O3" i="4"/>
  <c r="P2" i="4"/>
  <c r="G7" i="3"/>
  <c r="H7" i="3"/>
  <c r="I7" i="3"/>
  <c r="J7" i="3"/>
  <c r="K7" i="3"/>
  <c r="N5" i="3"/>
  <c r="M5" i="3"/>
  <c r="L5" i="3"/>
  <c r="K5" i="3"/>
  <c r="J5" i="3"/>
  <c r="I5" i="3"/>
  <c r="H5" i="3"/>
  <c r="G5" i="3"/>
  <c r="F5" i="3"/>
  <c r="E5" i="3"/>
  <c r="D5" i="3"/>
  <c r="C5" i="3"/>
  <c r="O3" i="3"/>
  <c r="O5" i="2"/>
  <c r="P4" i="2"/>
  <c r="O3" i="2"/>
  <c r="P2" i="2"/>
  <c r="P3" i="2"/>
  <c r="P5" i="2" s="1"/>
  <c r="D5" i="2"/>
  <c r="F5" i="2"/>
  <c r="G5" i="2"/>
  <c r="H5" i="2"/>
  <c r="I5" i="2"/>
  <c r="J5" i="2"/>
  <c r="K5" i="2"/>
  <c r="L5" i="2"/>
  <c r="M5" i="2"/>
  <c r="N5" i="2"/>
  <c r="O6" i="6" l="1"/>
  <c r="P6" i="6" s="1"/>
  <c r="O8" i="5"/>
  <c r="O9" i="5" s="1"/>
  <c r="N7" i="4"/>
  <c r="H7" i="4"/>
  <c r="P6" i="3"/>
  <c r="O7" i="3"/>
  <c r="O6" i="3"/>
  <c r="O5" i="3"/>
  <c r="P7" i="6" l="1"/>
  <c r="O8" i="6"/>
  <c r="O9" i="6" s="1"/>
  <c r="O8" i="4"/>
  <c r="P7" i="4" l="1"/>
</calcChain>
</file>

<file path=xl/sharedStrings.xml><?xml version="1.0" encoding="utf-8"?>
<sst xmlns="http://schemas.openxmlformats.org/spreadsheetml/2006/main" count="126" uniqueCount="25">
  <si>
    <t>Janvier</t>
  </si>
  <si>
    <t>Mars</t>
  </si>
  <si>
    <t>Avril</t>
  </si>
  <si>
    <t>Mai</t>
  </si>
  <si>
    <t>Juin</t>
  </si>
  <si>
    <t>Juillet</t>
  </si>
  <si>
    <t xml:space="preserve">Août </t>
  </si>
  <si>
    <t>Septembre</t>
  </si>
  <si>
    <t>Octobre</t>
  </si>
  <si>
    <t>Novembre</t>
  </si>
  <si>
    <t>Décembre</t>
  </si>
  <si>
    <t>Total</t>
  </si>
  <si>
    <t>Moyenne</t>
  </si>
  <si>
    <t>Redevance minière (5%)</t>
  </si>
  <si>
    <t>Février</t>
  </si>
  <si>
    <t>USD/oz</t>
  </si>
  <si>
    <t>Cours</t>
  </si>
  <si>
    <t>Minerai extrait</t>
  </si>
  <si>
    <t>t</t>
  </si>
  <si>
    <t>oz/t</t>
  </si>
  <si>
    <t>Teneur</t>
  </si>
  <si>
    <t>oz</t>
  </si>
  <si>
    <t>Production réalisée</t>
  </si>
  <si>
    <t>Chiffre d'affaires réalisé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</si>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</sst>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0"/>
  </numFmts>
  <fonts count="17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sz val="10"/>
      <color theme="0"/>
      <name val="Arial"/>
      <family val="2"/>
    </font>
    <font>
      <sz val="10"/>
      <color rgb="FF114258"/>
      <name val="Arial"/>
      <family val="2"/>
    </font>
    <font>
      <sz val="10"/>
      <color rgb="FFD4373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14258"/>
        <bgColor indexed="64"/>
      </patternFill>
    </fill>
    <fill>
      <patternFill patternType="solid">
        <fgColor rgb="FF026D8E"/>
        <bgColor indexed="64"/>
      </patternFill>
    </fill>
    <fill>
      <patternFill patternType="solid">
        <fgColor rgb="FF97C7D3"/>
        <bgColor indexed="64"/>
      </patternFill>
    </fill>
    <fill>
      <patternFill patternType="solid">
        <fgColor rgb="FFCCE8EF"/>
        <bgColor indexed="64"/>
      </patternFill>
    </fill>
    <fill>
      <patternFill patternType="solid">
        <fgColor rgb="FFD43738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15">
    <xf numFmtId="0" fontId="0" fillId="0" borderId="0" xfId="0">
      <alignment horizontal="left" vertical="top"/>
    </xf>
    <xf numFmtId="0" fontId="14" fillId="33" borderId="0" xfId="0" applyFont="1" applyFill="1">
      <alignment horizontal="left" vertical="top"/>
    </xf>
    <xf numFmtId="0" fontId="14" fillId="34" borderId="0" xfId="0" applyFont="1" applyFill="1">
      <alignment horizontal="left" vertical="top"/>
    </xf>
    <xf numFmtId="3" fontId="14" fillId="34" borderId="0" xfId="0" applyNumberFormat="1" applyFont="1" applyFill="1" applyAlignment="1">
      <alignment horizontal="right" vertical="top"/>
    </xf>
    <xf numFmtId="164" fontId="14" fillId="34" borderId="0" xfId="0" applyNumberFormat="1" applyFont="1" applyFill="1" applyAlignment="1">
      <alignment horizontal="right" vertical="top"/>
    </xf>
    <xf numFmtId="0" fontId="15" fillId="0" borderId="0" xfId="0" applyFont="1">
      <alignment horizontal="left" vertical="top"/>
    </xf>
    <xf numFmtId="3" fontId="15" fillId="36" borderId="0" xfId="0" applyNumberFormat="1" applyFont="1" applyFill="1" applyAlignment="1">
      <alignment horizontal="right" vertical="top"/>
    </xf>
    <xf numFmtId="164" fontId="15" fillId="36" borderId="0" xfId="0" applyNumberFormat="1" applyFont="1" applyFill="1" applyAlignment="1">
      <alignment horizontal="right" vertical="top"/>
    </xf>
    <xf numFmtId="3" fontId="15" fillId="35" borderId="0" xfId="0" applyNumberFormat="1" applyFont="1" applyFill="1" applyAlignment="1">
      <alignment horizontal="right" vertical="top"/>
    </xf>
    <xf numFmtId="0" fontId="14" fillId="33" borderId="0" xfId="0" applyFont="1" applyFill="1" applyAlignment="1">
      <alignment vertical="top"/>
    </xf>
    <xf numFmtId="3" fontId="14" fillId="37" borderId="0" xfId="0" applyNumberFormat="1" applyFont="1" applyFill="1" applyAlignment="1">
      <alignment horizontal="right" vertical="top"/>
    </xf>
    <xf numFmtId="3" fontId="16" fillId="36" borderId="0" xfId="0" applyNumberFormat="1" applyFont="1" applyFill="1" applyAlignment="1">
      <alignment horizontal="right" vertical="top"/>
    </xf>
    <xf numFmtId="3" fontId="16" fillId="0" borderId="0" xfId="0" applyNumberFormat="1" applyFont="1" applyFill="1" applyAlignment="1">
      <alignment horizontal="right" vertical="top"/>
    </xf>
    <xf numFmtId="9" fontId="16" fillId="0" borderId="0" xfId="0" applyNumberFormat="1" applyFont="1" applyFill="1" applyAlignment="1">
      <alignment horizontal="right" vertical="top"/>
    </xf>
    <xf numFmtId="164" fontId="16" fillId="36" borderId="0" xfId="0" applyNumberFormat="1" applyFont="1" applyFill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43738"/>
      <color rgb="FF114258"/>
      <color rgb="FFCCE8EF"/>
      <color rgb="FF97C7D3"/>
      <color rgb="FF026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0E71-3225-4112-A558-F1D9F3061B2E}">
  <dimension ref="A1:P5"/>
  <sheetViews>
    <sheetView zoomScaleNormal="100" workbookViewId="0">
      <selection activeCell="O5" sqref="O5"/>
    </sheetView>
  </sheetViews>
  <sheetFormatPr baseColWidth="10" defaultColWidth="10.83203125" defaultRowHeight="12.75" x14ac:dyDescent="0.2"/>
  <cols>
    <col min="1" max="1" width="25.83203125" style="5" customWidth="1"/>
    <col min="2" max="16" width="11.83203125" style="5" customWidth="1"/>
    <col min="17" max="16384" width="10.83203125" style="5"/>
  </cols>
  <sheetData>
    <row r="1" spans="1:16" x14ac:dyDescent="0.2">
      <c r="A1" s="9"/>
      <c r="B1" s="9"/>
      <c r="C1" s="9" t="s">
        <v>0</v>
      </c>
      <c r="D1" s="9" t="s">
        <v>14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</row>
    <row r="2" spans="1:16" x14ac:dyDescent="0.2">
      <c r="A2" s="2" t="s">
        <v>16</v>
      </c>
      <c r="B2" s="2" t="s">
        <v>15</v>
      </c>
      <c r="C2" s="6">
        <v>1000</v>
      </c>
      <c r="D2" s="6">
        <v>1100</v>
      </c>
      <c r="E2" s="6">
        <v>1400</v>
      </c>
      <c r="F2" s="6">
        <v>1050</v>
      </c>
      <c r="G2" s="6">
        <v>900</v>
      </c>
      <c r="H2" s="6">
        <v>800</v>
      </c>
      <c r="I2" s="6">
        <v>850</v>
      </c>
      <c r="J2" s="6">
        <v>1300</v>
      </c>
      <c r="K2" s="6">
        <v>1600</v>
      </c>
      <c r="L2" s="6">
        <v>1700</v>
      </c>
      <c r="M2" s="6">
        <v>1800</v>
      </c>
      <c r="N2" s="6">
        <v>2000</v>
      </c>
      <c r="O2" s="3"/>
      <c r="P2" s="3">
        <f>AVERAGE(C2:N2)</f>
        <v>1291.6666666666667</v>
      </c>
    </row>
    <row r="3" spans="1:16" x14ac:dyDescent="0.2">
      <c r="A3" s="2" t="s">
        <v>17</v>
      </c>
      <c r="B3" s="2" t="s">
        <v>18</v>
      </c>
      <c r="C3" s="6">
        <v>10000</v>
      </c>
      <c r="D3" s="6">
        <v>12000</v>
      </c>
      <c r="E3" s="6">
        <v>12000</v>
      </c>
      <c r="F3" s="6">
        <v>15000</v>
      </c>
      <c r="G3" s="6">
        <v>15000</v>
      </c>
      <c r="H3" s="6">
        <v>9000</v>
      </c>
      <c r="I3" s="6">
        <v>9000</v>
      </c>
      <c r="J3" s="6">
        <v>12000</v>
      </c>
      <c r="K3" s="6">
        <v>12000</v>
      </c>
      <c r="L3" s="6">
        <v>14000</v>
      </c>
      <c r="M3" s="6">
        <v>12000</v>
      </c>
      <c r="N3" s="6">
        <v>10000</v>
      </c>
      <c r="O3" s="3">
        <f>SUM(C3:N3)</f>
        <v>142000</v>
      </c>
      <c r="P3" s="3">
        <f>AVERAGE(C3:N3)</f>
        <v>11833.333333333334</v>
      </c>
    </row>
    <row r="4" spans="1:16" x14ac:dyDescent="0.2">
      <c r="A4" s="2" t="s">
        <v>20</v>
      </c>
      <c r="B4" s="2" t="s">
        <v>19</v>
      </c>
      <c r="C4" s="7">
        <v>0.223</v>
      </c>
      <c r="D4" s="7">
        <v>0.22500000000000001</v>
      </c>
      <c r="E4" s="7">
        <v>0.19800000000000001</v>
      </c>
      <c r="F4" s="7">
        <v>0.185</v>
      </c>
      <c r="G4" s="7">
        <v>0.185</v>
      </c>
      <c r="H4" s="7">
        <v>0.223</v>
      </c>
      <c r="I4" s="7">
        <v>0.32100000000000001</v>
      </c>
      <c r="J4" s="7">
        <v>0.311</v>
      </c>
      <c r="K4" s="7">
        <v>0.255</v>
      </c>
      <c r="L4" s="7">
        <v>0.28599999999999998</v>
      </c>
      <c r="M4" s="7">
        <v>0.29599999999999999</v>
      </c>
      <c r="N4" s="7">
        <v>0.223</v>
      </c>
      <c r="O4" s="4"/>
      <c r="P4" s="4">
        <f>AVERAGE(C4:N4)</f>
        <v>0.24424999999999997</v>
      </c>
    </row>
    <row r="5" spans="1:16" x14ac:dyDescent="0.2">
      <c r="A5" s="2" t="s">
        <v>22</v>
      </c>
      <c r="B5" s="2" t="s">
        <v>21</v>
      </c>
      <c r="C5" s="8">
        <f>C3*C4</f>
        <v>2230</v>
      </c>
      <c r="D5" s="8">
        <f t="shared" ref="D5:P5" si="0">D3*D4</f>
        <v>2700</v>
      </c>
      <c r="E5" s="8">
        <f>E3*E4</f>
        <v>2376</v>
      </c>
      <c r="F5" s="8">
        <f t="shared" si="0"/>
        <v>2775</v>
      </c>
      <c r="G5" s="8">
        <f t="shared" si="0"/>
        <v>2775</v>
      </c>
      <c r="H5" s="8">
        <f t="shared" si="0"/>
        <v>2007</v>
      </c>
      <c r="I5" s="8">
        <f t="shared" si="0"/>
        <v>2889</v>
      </c>
      <c r="J5" s="8">
        <f t="shared" si="0"/>
        <v>3732</v>
      </c>
      <c r="K5" s="8">
        <f t="shared" si="0"/>
        <v>3060</v>
      </c>
      <c r="L5" s="8">
        <f t="shared" si="0"/>
        <v>4003.9999999999995</v>
      </c>
      <c r="M5" s="8">
        <f t="shared" si="0"/>
        <v>3552</v>
      </c>
      <c r="N5" s="8">
        <f t="shared" si="0"/>
        <v>2230</v>
      </c>
      <c r="O5" s="3">
        <f>SUM(C5:N5)</f>
        <v>34330</v>
      </c>
      <c r="P5" s="3">
        <f t="shared" si="0"/>
        <v>2890.2916666666665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O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BB50-7CEB-4520-A05F-CEF60FD069E0}">
  <dimension ref="A1:P7"/>
  <sheetViews>
    <sheetView zoomScaleNormal="100" workbookViewId="0">
      <selection activeCell="O7" sqref="O7"/>
    </sheetView>
  </sheetViews>
  <sheetFormatPr baseColWidth="10" defaultColWidth="10.83203125" defaultRowHeight="12.75" x14ac:dyDescent="0.2"/>
  <cols>
    <col min="1" max="1" width="25.83203125" style="5" customWidth="1"/>
    <col min="2" max="16" width="11.83203125" style="5" customWidth="1"/>
    <col min="17" max="16384" width="10.83203125" style="5"/>
  </cols>
  <sheetData>
    <row r="1" spans="1:16" x14ac:dyDescent="0.2">
      <c r="A1" s="1"/>
      <c r="B1" s="1"/>
      <c r="C1" s="1" t="s">
        <v>0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">
      <c r="A2" s="2" t="s">
        <v>16</v>
      </c>
      <c r="B2" s="2" t="s">
        <v>15</v>
      </c>
      <c r="C2" s="6">
        <v>1000</v>
      </c>
      <c r="D2" s="6">
        <v>1100</v>
      </c>
      <c r="E2" s="6">
        <v>1400</v>
      </c>
      <c r="F2" s="6">
        <v>1050</v>
      </c>
      <c r="G2" s="6">
        <v>900</v>
      </c>
      <c r="H2" s="6">
        <v>800</v>
      </c>
      <c r="I2" s="6">
        <v>850</v>
      </c>
      <c r="J2" s="6">
        <v>1300</v>
      </c>
      <c r="K2" s="6">
        <v>1600</v>
      </c>
      <c r="L2" s="6">
        <v>1700</v>
      </c>
      <c r="M2" s="6">
        <v>1800</v>
      </c>
      <c r="N2" s="6">
        <v>2000</v>
      </c>
      <c r="O2" s="3"/>
      <c r="P2" s="3">
        <f>AVERAGE(C2:N2)</f>
        <v>1291.6666666666667</v>
      </c>
    </row>
    <row r="3" spans="1:16" x14ac:dyDescent="0.2">
      <c r="A3" s="2" t="s">
        <v>17</v>
      </c>
      <c r="B3" s="2" t="s">
        <v>18</v>
      </c>
      <c r="C3" s="6">
        <v>10000</v>
      </c>
      <c r="D3" s="6">
        <v>12000</v>
      </c>
      <c r="E3" s="6">
        <v>12000</v>
      </c>
      <c r="F3" s="6">
        <v>15000</v>
      </c>
      <c r="G3" s="6">
        <v>15000</v>
      </c>
      <c r="H3" s="6">
        <v>9000</v>
      </c>
      <c r="I3" s="6">
        <v>9000</v>
      </c>
      <c r="J3" s="6">
        <v>12000</v>
      </c>
      <c r="K3" s="6">
        <v>12000</v>
      </c>
      <c r="L3" s="6">
        <v>14000</v>
      </c>
      <c r="M3" s="6">
        <v>12000</v>
      </c>
      <c r="N3" s="6">
        <v>10000</v>
      </c>
      <c r="O3" s="3">
        <f>SUM(C3:N3)</f>
        <v>142000</v>
      </c>
      <c r="P3" s="3">
        <f>AVERAGE(C3:N3)</f>
        <v>11833.333333333334</v>
      </c>
    </row>
    <row r="4" spans="1:16" x14ac:dyDescent="0.2">
      <c r="A4" s="2" t="s">
        <v>20</v>
      </c>
      <c r="B4" s="2" t="s">
        <v>19</v>
      </c>
      <c r="C4" s="7">
        <v>0.223</v>
      </c>
      <c r="D4" s="7">
        <v>0.22500000000000001</v>
      </c>
      <c r="E4" s="7">
        <v>0.19800000000000001</v>
      </c>
      <c r="F4" s="7">
        <v>0.185</v>
      </c>
      <c r="G4" s="7">
        <v>0.185</v>
      </c>
      <c r="H4" s="7">
        <v>0.223</v>
      </c>
      <c r="I4" s="7">
        <v>0.32100000000000001</v>
      </c>
      <c r="J4" s="7">
        <v>0.311</v>
      </c>
      <c r="K4" s="7">
        <v>0.255</v>
      </c>
      <c r="L4" s="7">
        <v>0.28599999999999998</v>
      </c>
      <c r="M4" s="7">
        <v>0.29599999999999999</v>
      </c>
      <c r="N4" s="7">
        <v>0.223</v>
      </c>
      <c r="O4" s="4"/>
      <c r="P4" s="4">
        <f>AVERAGE(C4:N4)</f>
        <v>0.24424999999999997</v>
      </c>
    </row>
    <row r="5" spans="1:16" x14ac:dyDescent="0.2">
      <c r="A5" s="2" t="s">
        <v>22</v>
      </c>
      <c r="B5" s="2" t="s">
        <v>21</v>
      </c>
      <c r="C5" s="8">
        <f>C3*C4</f>
        <v>2230</v>
      </c>
      <c r="D5" s="8">
        <f t="shared" ref="D5:N5" si="0">D3*D4</f>
        <v>2700</v>
      </c>
      <c r="E5" s="8">
        <f t="shared" si="0"/>
        <v>2376</v>
      </c>
      <c r="F5" s="8">
        <f t="shared" si="0"/>
        <v>2775</v>
      </c>
      <c r="G5" s="8">
        <f t="shared" si="0"/>
        <v>2775</v>
      </c>
      <c r="H5" s="8">
        <f t="shared" si="0"/>
        <v>2007</v>
      </c>
      <c r="I5" s="8">
        <f t="shared" si="0"/>
        <v>2889</v>
      </c>
      <c r="J5" s="8">
        <f t="shared" si="0"/>
        <v>3732</v>
      </c>
      <c r="K5" s="8">
        <f t="shared" si="0"/>
        <v>3060</v>
      </c>
      <c r="L5" s="8">
        <f t="shared" si="0"/>
        <v>4003.9999999999995</v>
      </c>
      <c r="M5" s="8">
        <f t="shared" si="0"/>
        <v>3552</v>
      </c>
      <c r="N5" s="8">
        <f t="shared" si="0"/>
        <v>2230</v>
      </c>
      <c r="O5" s="3">
        <f>SUM(C5:N5)</f>
        <v>34330</v>
      </c>
      <c r="P5" s="3">
        <f>P3*P4</f>
        <v>2890.2916666666665</v>
      </c>
    </row>
    <row r="6" spans="1:16" x14ac:dyDescent="0.2">
      <c r="A6" s="2" t="s">
        <v>23</v>
      </c>
      <c r="B6" s="2" t="s">
        <v>24</v>
      </c>
      <c r="C6" s="8">
        <f t="shared" ref="C6:N6" si="1">C5*C2</f>
        <v>2230000</v>
      </c>
      <c r="D6" s="8">
        <f t="shared" si="1"/>
        <v>2970000</v>
      </c>
      <c r="E6" s="8">
        <f t="shared" si="1"/>
        <v>3326400</v>
      </c>
      <c r="F6" s="8">
        <f t="shared" si="1"/>
        <v>2913750</v>
      </c>
      <c r="G6" s="8">
        <f t="shared" si="1"/>
        <v>2497500</v>
      </c>
      <c r="H6" s="8">
        <f t="shared" si="1"/>
        <v>1605600</v>
      </c>
      <c r="I6" s="8">
        <f t="shared" si="1"/>
        <v>2455650</v>
      </c>
      <c r="J6" s="8">
        <f t="shared" si="1"/>
        <v>4851600</v>
      </c>
      <c r="K6" s="8">
        <f t="shared" si="1"/>
        <v>4896000</v>
      </c>
      <c r="L6" s="8">
        <f t="shared" si="1"/>
        <v>6806799.9999999991</v>
      </c>
      <c r="M6" s="8">
        <f t="shared" si="1"/>
        <v>6393600</v>
      </c>
      <c r="N6" s="8">
        <f t="shared" si="1"/>
        <v>4460000</v>
      </c>
      <c r="O6" s="3">
        <f>SUM(C6:N6)</f>
        <v>45406900</v>
      </c>
      <c r="P6" s="3">
        <f t="shared" ref="P6" si="2">P2*P5</f>
        <v>3733293.402777778</v>
      </c>
    </row>
    <row r="7" spans="1:16" x14ac:dyDescent="0.2">
      <c r="A7" s="2" t="s">
        <v>13</v>
      </c>
      <c r="B7" s="2" t="s">
        <v>24</v>
      </c>
      <c r="C7" s="8">
        <f>C6*5%</f>
        <v>111500</v>
      </c>
      <c r="D7" s="8">
        <f t="shared" ref="D7:N7" si="3">D6*5%</f>
        <v>148500</v>
      </c>
      <c r="E7" s="8">
        <f t="shared" si="3"/>
        <v>166320</v>
      </c>
      <c r="F7" s="8">
        <f t="shared" si="3"/>
        <v>145687.5</v>
      </c>
      <c r="G7" s="8">
        <f t="shared" si="3"/>
        <v>124875</v>
      </c>
      <c r="H7" s="8">
        <f t="shared" si="3"/>
        <v>80280</v>
      </c>
      <c r="I7" s="8">
        <f t="shared" si="3"/>
        <v>122782.5</v>
      </c>
      <c r="J7" s="8">
        <f t="shared" si="3"/>
        <v>242580</v>
      </c>
      <c r="K7" s="8">
        <f t="shared" si="3"/>
        <v>244800</v>
      </c>
      <c r="L7" s="8">
        <f t="shared" si="3"/>
        <v>340340</v>
      </c>
      <c r="M7" s="8">
        <f t="shared" si="3"/>
        <v>319680</v>
      </c>
      <c r="N7" s="8">
        <f t="shared" si="3"/>
        <v>223000</v>
      </c>
      <c r="O7" s="10">
        <f>SUM(C7:N7)</f>
        <v>2270345</v>
      </c>
      <c r="P7" s="3">
        <f>AVERAGE(C7:N7)</f>
        <v>189195.41666666666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O5:O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5D76-D70D-4ED4-A114-D1F9BF90C5D1}">
  <dimension ref="A1:P9"/>
  <sheetViews>
    <sheetView zoomScaleNormal="100" workbookViewId="0">
      <selection activeCell="O7" sqref="O7"/>
    </sheetView>
  </sheetViews>
  <sheetFormatPr baseColWidth="10" defaultColWidth="10.83203125" defaultRowHeight="12.75" x14ac:dyDescent="0.2"/>
  <cols>
    <col min="1" max="1" width="25.83203125" style="5" customWidth="1"/>
    <col min="2" max="16" width="11.83203125" style="5" customWidth="1"/>
    <col min="17" max="16384" width="10.83203125" style="5"/>
  </cols>
  <sheetData>
    <row r="1" spans="1:16" x14ac:dyDescent="0.2">
      <c r="A1" s="1"/>
      <c r="B1" s="1"/>
      <c r="C1" s="1" t="s">
        <v>0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">
      <c r="A2" s="2" t="s">
        <v>16</v>
      </c>
      <c r="B2" s="2" t="s">
        <v>15</v>
      </c>
      <c r="C2" s="6">
        <v>1000</v>
      </c>
      <c r="D2" s="6">
        <v>1100</v>
      </c>
      <c r="E2" s="6">
        <v>1400</v>
      </c>
      <c r="F2" s="6">
        <v>1050</v>
      </c>
      <c r="G2" s="6">
        <v>900</v>
      </c>
      <c r="H2" s="11">
        <v>800</v>
      </c>
      <c r="I2" s="6">
        <v>850</v>
      </c>
      <c r="J2" s="6">
        <v>1300</v>
      </c>
      <c r="K2" s="6">
        <v>1600</v>
      </c>
      <c r="L2" s="6">
        <v>1700</v>
      </c>
      <c r="M2" s="6">
        <v>1800</v>
      </c>
      <c r="N2" s="11">
        <v>2000</v>
      </c>
      <c r="O2" s="3"/>
      <c r="P2" s="3">
        <f>AVERAGE(C2:N2)</f>
        <v>1291.6666666666667</v>
      </c>
    </row>
    <row r="3" spans="1:16" x14ac:dyDescent="0.2">
      <c r="A3" s="2" t="s">
        <v>17</v>
      </c>
      <c r="B3" s="2" t="s">
        <v>18</v>
      </c>
      <c r="C3" s="6">
        <v>10000</v>
      </c>
      <c r="D3" s="6">
        <v>12000</v>
      </c>
      <c r="E3" s="6">
        <v>12000</v>
      </c>
      <c r="F3" s="6">
        <v>15000</v>
      </c>
      <c r="G3" s="6">
        <v>15000</v>
      </c>
      <c r="H3" s="6">
        <v>9000</v>
      </c>
      <c r="I3" s="6">
        <v>9000</v>
      </c>
      <c r="J3" s="6">
        <v>12000</v>
      </c>
      <c r="K3" s="6">
        <v>12000</v>
      </c>
      <c r="L3" s="6">
        <v>14000</v>
      </c>
      <c r="M3" s="6">
        <v>12000</v>
      </c>
      <c r="N3" s="6">
        <v>10000</v>
      </c>
      <c r="O3" s="3">
        <f>SUM(C3:N3)</f>
        <v>142000</v>
      </c>
      <c r="P3" s="3">
        <f>AVERAGE(C3:N3)</f>
        <v>11833.333333333334</v>
      </c>
    </row>
    <row r="4" spans="1:16" x14ac:dyDescent="0.2">
      <c r="A4" s="2" t="s">
        <v>20</v>
      </c>
      <c r="B4" s="2" t="s">
        <v>19</v>
      </c>
      <c r="C4" s="7">
        <v>0.223</v>
      </c>
      <c r="D4" s="7">
        <v>0.22500000000000001</v>
      </c>
      <c r="E4" s="7">
        <v>0.19800000000000001</v>
      </c>
      <c r="F4" s="7">
        <v>0.185</v>
      </c>
      <c r="G4" s="7">
        <v>0.185</v>
      </c>
      <c r="H4" s="7">
        <v>0.223</v>
      </c>
      <c r="I4" s="7">
        <v>0.32100000000000001</v>
      </c>
      <c r="J4" s="7">
        <v>0.311</v>
      </c>
      <c r="K4" s="7">
        <v>0.255</v>
      </c>
      <c r="L4" s="7">
        <v>0.28599999999999998</v>
      </c>
      <c r="M4" s="7">
        <v>0.29599999999999999</v>
      </c>
      <c r="N4" s="7">
        <v>0.223</v>
      </c>
      <c r="O4" s="4"/>
      <c r="P4" s="4">
        <f>AVERAGE(C4:N4)</f>
        <v>0.24424999999999997</v>
      </c>
    </row>
    <row r="5" spans="1:16" x14ac:dyDescent="0.2">
      <c r="A5" s="2" t="s">
        <v>22</v>
      </c>
      <c r="B5" s="2" t="s">
        <v>21</v>
      </c>
      <c r="C5" s="8">
        <f>C3*C4</f>
        <v>2230</v>
      </c>
      <c r="D5" s="8">
        <f t="shared" ref="D5:N5" si="0">D3*D4</f>
        <v>2700</v>
      </c>
      <c r="E5" s="8">
        <f t="shared" si="0"/>
        <v>2376</v>
      </c>
      <c r="F5" s="8">
        <f t="shared" si="0"/>
        <v>2775</v>
      </c>
      <c r="G5" s="8">
        <f t="shared" si="0"/>
        <v>2775</v>
      </c>
      <c r="H5" s="8">
        <f t="shared" si="0"/>
        <v>2007</v>
      </c>
      <c r="I5" s="8">
        <f t="shared" si="0"/>
        <v>2889</v>
      </c>
      <c r="J5" s="8">
        <f t="shared" si="0"/>
        <v>3732</v>
      </c>
      <c r="K5" s="8">
        <f t="shared" si="0"/>
        <v>3060</v>
      </c>
      <c r="L5" s="8">
        <f t="shared" si="0"/>
        <v>4003.9999999999995</v>
      </c>
      <c r="M5" s="8">
        <f t="shared" si="0"/>
        <v>3552</v>
      </c>
      <c r="N5" s="8">
        <f t="shared" si="0"/>
        <v>2230</v>
      </c>
      <c r="O5" s="3">
        <f>SUM(C5:N5)</f>
        <v>34330</v>
      </c>
      <c r="P5" s="3">
        <f>P3*P4</f>
        <v>2890.2916666666665</v>
      </c>
    </row>
    <row r="6" spans="1:16" x14ac:dyDescent="0.2">
      <c r="A6" s="2" t="s">
        <v>23</v>
      </c>
      <c r="B6" s="2" t="s">
        <v>24</v>
      </c>
      <c r="C6" s="8"/>
      <c r="D6" s="8"/>
      <c r="E6" s="8"/>
      <c r="F6" s="8"/>
      <c r="G6" s="8"/>
      <c r="H6" s="8">
        <f>SUM(C5:H5)*H2</f>
        <v>11890400</v>
      </c>
      <c r="I6" s="8"/>
      <c r="J6" s="8"/>
      <c r="K6" s="8"/>
      <c r="L6" s="8"/>
      <c r="M6" s="8"/>
      <c r="N6" s="8">
        <f>SUM(I5:N5)*N2</f>
        <v>38934000</v>
      </c>
      <c r="O6" s="3">
        <f>SUM(C6:N6)</f>
        <v>50824400</v>
      </c>
      <c r="P6" s="3">
        <f>O6/12</f>
        <v>4235366.666666667</v>
      </c>
    </row>
    <row r="7" spans="1:16" x14ac:dyDescent="0.2">
      <c r="A7" s="2" t="s">
        <v>13</v>
      </c>
      <c r="B7" s="2" t="s">
        <v>24</v>
      </c>
      <c r="C7" s="8"/>
      <c r="D7" s="8"/>
      <c r="E7" s="8"/>
      <c r="F7" s="8"/>
      <c r="G7" s="8"/>
      <c r="H7" s="8">
        <f t="shared" ref="H7:N7" si="1">H6*5%</f>
        <v>594520</v>
      </c>
      <c r="I7" s="8"/>
      <c r="J7" s="8"/>
      <c r="K7" s="8"/>
      <c r="L7" s="8"/>
      <c r="M7" s="8"/>
      <c r="N7" s="8">
        <f t="shared" si="1"/>
        <v>1946700</v>
      </c>
      <c r="O7" s="10">
        <f>SUM(C7:N7)</f>
        <v>2541220</v>
      </c>
      <c r="P7" s="3">
        <f>O7/12</f>
        <v>211768.33333333334</v>
      </c>
    </row>
    <row r="8" spans="1:16" x14ac:dyDescent="0.2">
      <c r="O8" s="12">
        <f>O7-'2) Exportations mensuelles'!O7</f>
        <v>270875</v>
      </c>
    </row>
    <row r="9" spans="1:16" x14ac:dyDescent="0.2">
      <c r="O9" s="13">
        <f>O8/'2) Exportations mensuelles'!O7</f>
        <v>0.11931006080573657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O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D606-4D03-4F75-A836-CAC1EFAE0BC7}">
  <dimension ref="A1:P9"/>
  <sheetViews>
    <sheetView zoomScaleNormal="100" workbookViewId="0">
      <selection activeCell="O7" sqref="O7"/>
    </sheetView>
  </sheetViews>
  <sheetFormatPr baseColWidth="10" defaultColWidth="10.83203125" defaultRowHeight="12.75" x14ac:dyDescent="0.2"/>
  <cols>
    <col min="1" max="1" width="25.83203125" style="5" customWidth="1"/>
    <col min="2" max="16" width="11.83203125" style="5" customWidth="1"/>
    <col min="17" max="16384" width="10.83203125" style="5"/>
  </cols>
  <sheetData>
    <row r="1" spans="1:16" x14ac:dyDescent="0.2">
      <c r="A1" s="1"/>
      <c r="B1" s="1"/>
      <c r="C1" s="1" t="s">
        <v>0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">
      <c r="A2" s="2" t="s">
        <v>16</v>
      </c>
      <c r="B2" s="2" t="s">
        <v>15</v>
      </c>
      <c r="C2" s="6">
        <v>1000</v>
      </c>
      <c r="D2" s="6">
        <v>1100</v>
      </c>
      <c r="E2" s="6">
        <v>1400</v>
      </c>
      <c r="F2" s="6">
        <v>1050</v>
      </c>
      <c r="G2" s="6">
        <v>900</v>
      </c>
      <c r="H2" s="11">
        <v>800</v>
      </c>
      <c r="I2" s="6">
        <v>850</v>
      </c>
      <c r="J2" s="6">
        <v>1300</v>
      </c>
      <c r="K2" s="6">
        <v>1600</v>
      </c>
      <c r="L2" s="6">
        <v>1700</v>
      </c>
      <c r="M2" s="6">
        <v>1800</v>
      </c>
      <c r="N2" s="6">
        <v>2000</v>
      </c>
      <c r="O2" s="3"/>
      <c r="P2" s="3">
        <f>AVERAGE(C2:N2)</f>
        <v>1291.6666666666667</v>
      </c>
    </row>
    <row r="3" spans="1:16" x14ac:dyDescent="0.2">
      <c r="A3" s="2" t="s">
        <v>17</v>
      </c>
      <c r="B3" s="2" t="s">
        <v>18</v>
      </c>
      <c r="C3" s="6">
        <v>10000</v>
      </c>
      <c r="D3" s="6">
        <v>12000</v>
      </c>
      <c r="E3" s="6">
        <v>12000</v>
      </c>
      <c r="F3" s="6">
        <v>15000</v>
      </c>
      <c r="G3" s="6">
        <v>15000</v>
      </c>
      <c r="H3" s="6">
        <v>9000</v>
      </c>
      <c r="I3" s="6">
        <v>9000</v>
      </c>
      <c r="J3" s="6">
        <v>12000</v>
      </c>
      <c r="K3" s="6">
        <v>12000</v>
      </c>
      <c r="L3" s="6">
        <v>14000</v>
      </c>
      <c r="M3" s="6">
        <v>12000</v>
      </c>
      <c r="N3" s="6">
        <v>10000</v>
      </c>
      <c r="O3" s="3">
        <f>SUM(C3:N3)</f>
        <v>142000</v>
      </c>
      <c r="P3" s="3">
        <f>AVERAGE(C3:N3)</f>
        <v>11833.333333333334</v>
      </c>
    </row>
    <row r="4" spans="1:16" x14ac:dyDescent="0.2">
      <c r="A4" s="2" t="s">
        <v>20</v>
      </c>
      <c r="B4" s="2" t="s">
        <v>19</v>
      </c>
      <c r="C4" s="7">
        <v>0.223</v>
      </c>
      <c r="D4" s="7">
        <v>0.22500000000000001</v>
      </c>
      <c r="E4" s="7">
        <v>0.19800000000000001</v>
      </c>
      <c r="F4" s="7">
        <v>0.185</v>
      </c>
      <c r="G4" s="7">
        <v>0.185</v>
      </c>
      <c r="H4" s="7">
        <v>0.223</v>
      </c>
      <c r="I4" s="7">
        <v>0.32100000000000001</v>
      </c>
      <c r="J4" s="7">
        <v>0.311</v>
      </c>
      <c r="K4" s="7">
        <v>0.255</v>
      </c>
      <c r="L4" s="7">
        <v>0.28599999999999998</v>
      </c>
      <c r="M4" s="7">
        <v>0.29599999999999999</v>
      </c>
      <c r="N4" s="7">
        <v>0.223</v>
      </c>
      <c r="O4" s="4"/>
      <c r="P4" s="4">
        <f>AVERAGE(C4:N4)</f>
        <v>0.24424999999999997</v>
      </c>
    </row>
    <row r="5" spans="1:16" x14ac:dyDescent="0.2">
      <c r="A5" s="2" t="s">
        <v>22</v>
      </c>
      <c r="B5" s="2" t="s">
        <v>21</v>
      </c>
      <c r="C5" s="8">
        <f>C3*C4</f>
        <v>2230</v>
      </c>
      <c r="D5" s="8">
        <f t="shared" ref="D5:N5" si="0">D3*D4</f>
        <v>2700</v>
      </c>
      <c r="E5" s="8">
        <f>E3*E4</f>
        <v>2376</v>
      </c>
      <c r="F5" s="8">
        <f t="shared" si="0"/>
        <v>2775</v>
      </c>
      <c r="G5" s="8">
        <f t="shared" si="0"/>
        <v>2775</v>
      </c>
      <c r="H5" s="8">
        <f t="shared" si="0"/>
        <v>2007</v>
      </c>
      <c r="I5" s="8">
        <f t="shared" si="0"/>
        <v>2889</v>
      </c>
      <c r="J5" s="8">
        <f t="shared" si="0"/>
        <v>3732</v>
      </c>
      <c r="K5" s="8">
        <f t="shared" si="0"/>
        <v>3060</v>
      </c>
      <c r="L5" s="8">
        <f t="shared" si="0"/>
        <v>4003.9999999999995</v>
      </c>
      <c r="M5" s="8">
        <f t="shared" si="0"/>
        <v>3552</v>
      </c>
      <c r="N5" s="8">
        <f t="shared" si="0"/>
        <v>2230</v>
      </c>
      <c r="O5" s="3">
        <f>SUM(C5:N5)</f>
        <v>34330</v>
      </c>
      <c r="P5" s="3">
        <f>P3*P4</f>
        <v>2890.2916666666665</v>
      </c>
    </row>
    <row r="6" spans="1:16" x14ac:dyDescent="0.2">
      <c r="A6" s="2" t="s">
        <v>23</v>
      </c>
      <c r="B6" s="2" t="s">
        <v>24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>
        <f>SUM(C5:N5)*H2</f>
        <v>27464000</v>
      </c>
      <c r="O6" s="3">
        <f>SUM(C6:N6)</f>
        <v>27464000</v>
      </c>
      <c r="P6" s="3">
        <f>O6/12</f>
        <v>2288666.6666666665</v>
      </c>
    </row>
    <row r="7" spans="1:16" x14ac:dyDescent="0.2">
      <c r="A7" s="2" t="s">
        <v>13</v>
      </c>
      <c r="B7" s="2" t="s">
        <v>24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>
        <f t="shared" ref="N7" si="1">N6*5%</f>
        <v>1373200</v>
      </c>
      <c r="O7" s="10">
        <f>SUM(C7:N7)</f>
        <v>1373200</v>
      </c>
      <c r="P7" s="3">
        <f>O7/12</f>
        <v>114433.33333333333</v>
      </c>
    </row>
    <row r="8" spans="1:16" x14ac:dyDescent="0.2">
      <c r="O8" s="12">
        <f>O7-'2) Exportations mensuelles'!O7</f>
        <v>-897145</v>
      </c>
    </row>
    <row r="9" spans="1:16" x14ac:dyDescent="0.2">
      <c r="O9" s="13">
        <f>O8/'2) Exportations mensuelles'!O7</f>
        <v>-0.39515800462044315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O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F3DA-7A6F-4A96-8E48-A60846152B89}">
  <dimension ref="A1:P9"/>
  <sheetViews>
    <sheetView tabSelected="1" zoomScaleNormal="100" workbookViewId="0">
      <selection activeCell="O7" sqref="O7"/>
    </sheetView>
  </sheetViews>
  <sheetFormatPr baseColWidth="10" defaultColWidth="10.83203125" defaultRowHeight="12.75" x14ac:dyDescent="0.2"/>
  <cols>
    <col min="1" max="1" width="25.83203125" style="5" customWidth="1"/>
    <col min="2" max="16" width="11.83203125" style="5" customWidth="1"/>
    <col min="17" max="16384" width="10.83203125" style="5"/>
  </cols>
  <sheetData>
    <row r="1" spans="1:16" x14ac:dyDescent="0.2">
      <c r="A1" s="1"/>
      <c r="B1" s="1"/>
      <c r="C1" s="1" t="s">
        <v>0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">
      <c r="A2" s="2" t="s">
        <v>16</v>
      </c>
      <c r="B2" s="2" t="s">
        <v>15</v>
      </c>
      <c r="C2" s="6">
        <v>1000</v>
      </c>
      <c r="D2" s="6">
        <v>1100</v>
      </c>
      <c r="E2" s="6">
        <v>1400</v>
      </c>
      <c r="F2" s="6">
        <v>1050</v>
      </c>
      <c r="G2" s="6">
        <v>900</v>
      </c>
      <c r="H2" s="6">
        <v>800</v>
      </c>
      <c r="I2" s="6">
        <v>850</v>
      </c>
      <c r="J2" s="6">
        <v>1300</v>
      </c>
      <c r="K2" s="6">
        <v>1600</v>
      </c>
      <c r="L2" s="6">
        <v>1700</v>
      </c>
      <c r="M2" s="6">
        <v>1800</v>
      </c>
      <c r="N2" s="6">
        <v>2000</v>
      </c>
      <c r="O2" s="3"/>
      <c r="P2" s="3">
        <f>AVERAGE(C2:N2)</f>
        <v>1291.6666666666667</v>
      </c>
    </row>
    <row r="3" spans="1:16" x14ac:dyDescent="0.2">
      <c r="A3" s="2" t="s">
        <v>17</v>
      </c>
      <c r="B3" s="2" t="s">
        <v>18</v>
      </c>
      <c r="C3" s="6">
        <v>10000</v>
      </c>
      <c r="D3" s="6">
        <v>12000</v>
      </c>
      <c r="E3" s="6">
        <v>12000</v>
      </c>
      <c r="F3" s="6">
        <v>15000</v>
      </c>
      <c r="G3" s="6">
        <v>15000</v>
      </c>
      <c r="H3" s="6">
        <v>9000</v>
      </c>
      <c r="I3" s="6">
        <v>9000</v>
      </c>
      <c r="J3" s="6">
        <v>12000</v>
      </c>
      <c r="K3" s="6">
        <v>12000</v>
      </c>
      <c r="L3" s="6">
        <v>14000</v>
      </c>
      <c r="M3" s="6">
        <v>12000</v>
      </c>
      <c r="N3" s="6">
        <v>10000</v>
      </c>
      <c r="O3" s="3">
        <f>SUM(C3:N3)</f>
        <v>142000</v>
      </c>
      <c r="P3" s="3">
        <f>AVERAGE(C3:N3)</f>
        <v>11833.333333333334</v>
      </c>
    </row>
    <row r="4" spans="1:16" x14ac:dyDescent="0.2">
      <c r="A4" s="2" t="s">
        <v>20</v>
      </c>
      <c r="B4" s="2" t="s">
        <v>19</v>
      </c>
      <c r="C4" s="7">
        <v>0.223</v>
      </c>
      <c r="D4" s="7">
        <v>0.22500000000000001</v>
      </c>
      <c r="E4" s="7">
        <v>0.19800000000000001</v>
      </c>
      <c r="F4" s="14">
        <v>0.185</v>
      </c>
      <c r="G4" s="14">
        <v>0.185</v>
      </c>
      <c r="H4" s="7">
        <v>0.223</v>
      </c>
      <c r="I4" s="7">
        <v>0.32100000000000001</v>
      </c>
      <c r="J4" s="7">
        <v>0.311</v>
      </c>
      <c r="K4" s="7">
        <v>0.255</v>
      </c>
      <c r="L4" s="7">
        <v>0.28599999999999998</v>
      </c>
      <c r="M4" s="7">
        <v>0.29599999999999999</v>
      </c>
      <c r="N4" s="7">
        <v>0.223</v>
      </c>
      <c r="O4" s="4"/>
      <c r="P4" s="4">
        <f>AVERAGE(C4:N4)</f>
        <v>0.24424999999999997</v>
      </c>
    </row>
    <row r="5" spans="1:16" x14ac:dyDescent="0.2">
      <c r="A5" s="2" t="s">
        <v>22</v>
      </c>
      <c r="B5" s="2" t="s">
        <v>21</v>
      </c>
      <c r="C5" s="8">
        <f>C3*$F$4</f>
        <v>1850</v>
      </c>
      <c r="D5" s="8">
        <f t="shared" ref="D5:N5" si="0">D3*$F$4</f>
        <v>2220</v>
      </c>
      <c r="E5" s="8">
        <f t="shared" si="0"/>
        <v>2220</v>
      </c>
      <c r="F5" s="8">
        <f t="shared" si="0"/>
        <v>2775</v>
      </c>
      <c r="G5" s="8">
        <f t="shared" si="0"/>
        <v>2775</v>
      </c>
      <c r="H5" s="8">
        <f t="shared" si="0"/>
        <v>1665</v>
      </c>
      <c r="I5" s="8">
        <f t="shared" si="0"/>
        <v>1665</v>
      </c>
      <c r="J5" s="8">
        <f t="shared" si="0"/>
        <v>2220</v>
      </c>
      <c r="K5" s="8">
        <f t="shared" si="0"/>
        <v>2220</v>
      </c>
      <c r="L5" s="8">
        <f t="shared" si="0"/>
        <v>2590</v>
      </c>
      <c r="M5" s="8">
        <f t="shared" si="0"/>
        <v>2220</v>
      </c>
      <c r="N5" s="8">
        <f t="shared" si="0"/>
        <v>1850</v>
      </c>
      <c r="O5" s="3">
        <f>SUM(C5:N5)</f>
        <v>26270</v>
      </c>
      <c r="P5" s="3">
        <f>P3*P4</f>
        <v>2890.2916666666665</v>
      </c>
    </row>
    <row r="6" spans="1:16" x14ac:dyDescent="0.2">
      <c r="A6" s="2" t="s">
        <v>23</v>
      </c>
      <c r="B6" s="2" t="s">
        <v>24</v>
      </c>
      <c r="C6" s="8">
        <f t="shared" ref="C6:N6" si="1">C5*C2</f>
        <v>1850000</v>
      </c>
      <c r="D6" s="8">
        <f t="shared" si="1"/>
        <v>2442000</v>
      </c>
      <c r="E6" s="8">
        <f t="shared" si="1"/>
        <v>3108000</v>
      </c>
      <c r="F6" s="8">
        <f t="shared" si="1"/>
        <v>2913750</v>
      </c>
      <c r="G6" s="8">
        <f t="shared" si="1"/>
        <v>2497500</v>
      </c>
      <c r="H6" s="8">
        <f t="shared" si="1"/>
        <v>1332000</v>
      </c>
      <c r="I6" s="8">
        <f t="shared" si="1"/>
        <v>1415250</v>
      </c>
      <c r="J6" s="8">
        <f t="shared" si="1"/>
        <v>2886000</v>
      </c>
      <c r="K6" s="8">
        <f t="shared" si="1"/>
        <v>3552000</v>
      </c>
      <c r="L6" s="8">
        <f t="shared" si="1"/>
        <v>4403000</v>
      </c>
      <c r="M6" s="8">
        <f t="shared" si="1"/>
        <v>3996000</v>
      </c>
      <c r="N6" s="8">
        <f t="shared" si="1"/>
        <v>3700000</v>
      </c>
      <c r="O6" s="3">
        <f>SUM(C6:N6)</f>
        <v>34095500</v>
      </c>
      <c r="P6" s="3">
        <f>O6/12</f>
        <v>2841291.6666666665</v>
      </c>
    </row>
    <row r="7" spans="1:16" x14ac:dyDescent="0.2">
      <c r="A7" s="2" t="s">
        <v>13</v>
      </c>
      <c r="B7" s="2" t="s">
        <v>24</v>
      </c>
      <c r="C7" s="8">
        <f>C6*5%</f>
        <v>92500</v>
      </c>
      <c r="D7" s="8">
        <f t="shared" ref="D7:N7" si="2">D6*5%</f>
        <v>122100</v>
      </c>
      <c r="E7" s="8">
        <f t="shared" si="2"/>
        <v>155400</v>
      </c>
      <c r="F7" s="8">
        <f t="shared" si="2"/>
        <v>145687.5</v>
      </c>
      <c r="G7" s="8">
        <f t="shared" si="2"/>
        <v>124875</v>
      </c>
      <c r="H7" s="8">
        <f t="shared" si="2"/>
        <v>66600</v>
      </c>
      <c r="I7" s="8">
        <f t="shared" si="2"/>
        <v>70762.5</v>
      </c>
      <c r="J7" s="8">
        <f t="shared" si="2"/>
        <v>144300</v>
      </c>
      <c r="K7" s="8">
        <f t="shared" si="2"/>
        <v>177600</v>
      </c>
      <c r="L7" s="8">
        <f t="shared" si="2"/>
        <v>220150</v>
      </c>
      <c r="M7" s="8">
        <f t="shared" si="2"/>
        <v>199800</v>
      </c>
      <c r="N7" s="8">
        <f t="shared" si="2"/>
        <v>185000</v>
      </c>
      <c r="O7" s="10">
        <f>SUM(C7:N7)</f>
        <v>1704775</v>
      </c>
      <c r="P7" s="3">
        <f>O7/12</f>
        <v>142064.58333333334</v>
      </c>
    </row>
    <row r="8" spans="1:16" x14ac:dyDescent="0.2">
      <c r="O8" s="12">
        <f>O7-'2) Exportations mensuelles'!O7</f>
        <v>-565570</v>
      </c>
    </row>
    <row r="9" spans="1:16" x14ac:dyDescent="0.2">
      <c r="O9" s="13">
        <f>O8/'2) Exportations mensuelles'!O7</f>
        <v>-0.24911191911361488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O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1) Données</vt:lpstr>
      <vt:lpstr>2) Exportations mensuelles</vt:lpstr>
      <vt:lpstr>3) Exportations semestrielles</vt:lpstr>
      <vt:lpstr>4) Contrat de couverture</vt:lpstr>
      <vt:lpstr>5) Manipulation de la teneur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2022-09-13T08:42:58Z</dcterms:modified>
</cp:coreProperties>
</file>