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01_00_Donn_es" sheetId="2" state="visible" r:id="rId2"/>
    <sheet name="02_01_Donn_es_3" sheetId="3" state="visible" r:id="rId3"/>
    <sheet name="03_01_Donn_es" sheetId="4" state="visible" r:id="rId4"/>
    <sheet name="04_01_Situation" sheetId="5" state="visible" r:id="rId5"/>
    <sheet name="05_01_Vente_loc" sheetId="6" state="visible" r:id="rId6"/>
    <sheet name="06_02_Exportati_1" sheetId="7" state="visible" r:id="rId7"/>
    <sheet name="06_02_Exportati_2" sheetId="8" state="visible" r:id="rId8"/>
    <sheet name="07_02_R_gime_fi_1" sheetId="9" state="visible" r:id="rId9"/>
    <sheet name="07_02_R_gime_fi_2" sheetId="10" state="visible" r:id="rId10"/>
    <sheet name="08_03_Exportati_1" sheetId="11" state="visible" r:id="rId11"/>
    <sheet name="08_03_Exportati_2" sheetId="12" state="visible" r:id="rId12"/>
    <sheet name="08_03_Exportati_3" sheetId="13" state="visible" r:id="rId13"/>
    <sheet name="09_03_Manipulat_1" sheetId="14" state="visible" r:id="rId14"/>
    <sheet name="09_03_Manipulat_2" sheetId="15" state="visible" r:id="rId15"/>
    <sheet name="09_03_Manipulat_3" sheetId="16" state="visible" r:id="rId16"/>
    <sheet name="10_03_Variation_1" sheetId="17" state="visible" r:id="rId17"/>
    <sheet name="10_03_Variation_2" sheetId="18" state="visible" r:id="rId18"/>
    <sheet name="10_03_Variation_3" sheetId="19" state="visible" r:id="rId19"/>
    <sheet name="11_04_Contrat_d_1" sheetId="20" state="visible" r:id="rId20"/>
    <sheet name="11_04_Contrat_d_2" sheetId="21" state="visible" r:id="rId21"/>
    <sheet name="11_04_Contrat_d_3" sheetId="22" state="visible" r:id="rId22"/>
    <sheet name="11_04_Contrat_d_4" sheetId="23" state="visible" r:id="rId23"/>
    <sheet name="12_04_Contrat_d_1" sheetId="24" state="visible" r:id="rId24"/>
    <sheet name="12_04_Contrat_d_2" sheetId="25" state="visible" r:id="rId25"/>
    <sheet name="12_04_Contrat_d_3" sheetId="26" state="visible" r:id="rId26"/>
    <sheet name="12_04_Contrat_d_4" sheetId="27" state="visible" r:id="rId27"/>
    <sheet name="13_05_Manipulat_1" sheetId="28" state="visible" r:id="rId28"/>
    <sheet name="13_05_Manipulat_2" sheetId="29" state="visible" r:id="rId29"/>
    <sheet name="13_05_Manipulat_3" sheetId="30" state="visible" r:id="rId30"/>
    <sheet name="13_05_Manipulat_4" sheetId="31" state="visible" r:id="rId31"/>
    <sheet name="13_05_Manipulat_5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114258"/>
      <sz val="10"/>
    </font>
    <font>
      <name val="Arial"/>
      <family val="2"/>
      <color rgb="FF114258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rgb="FFD43738"/>
      <sz val="10"/>
    </font>
    <font>
      <name val="Arial"/>
      <family val="2"/>
      <color rgb="FFD43738"/>
      <sz val="10"/>
    </font>
  </fonts>
  <fills count="7">
    <fill>
      <patternFill/>
    </fill>
    <fill>
      <patternFill patternType="gray125"/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  <fill>
      <patternFill patternType="solid">
        <fgColor rgb="FF026D8E"/>
        <bgColor indexed="64"/>
      </patternFill>
    </fill>
    <fill>
      <patternFill patternType="solid">
        <fgColor rgb="FF114258"/>
        <bgColor indexed="64"/>
      </patternFill>
    </fill>
    <fill>
      <patternFill patternType="solid">
        <fgColor rgb="FFD4373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right" vertical="top"/>
    </xf>
    <xf numFmtId="0" fontId="2" fillId="3" borderId="0" applyAlignment="1" pivotButton="0" quotePrefix="0" xfId="0">
      <alignment horizontal="left" vertical="top"/>
    </xf>
    <xf numFmtId="9" fontId="2" fillId="3" borderId="0" applyAlignment="1" pivotButton="0" quotePrefix="0" xfId="0">
      <alignment horizontal="right" vertical="top"/>
    </xf>
    <xf numFmtId="0" fontId="3" fillId="4" borderId="1" applyAlignment="1" pivotButton="0" quotePrefix="0" xfId="0">
      <alignment horizontal="left" vertical="top"/>
    </xf>
    <xf numFmtId="0" fontId="3" fillId="4" borderId="2" applyAlignment="1" pivotButton="0" quotePrefix="0" xfId="0">
      <alignment horizontal="right" vertical="top"/>
    </xf>
    <xf numFmtId="0" fontId="3" fillId="4" borderId="3" applyAlignment="1" pivotButton="0" quotePrefix="0" xfId="0">
      <alignment horizontal="right" vertical="top"/>
    </xf>
    <xf numFmtId="3" fontId="1" fillId="0" borderId="0" applyAlignment="1" pivotButton="0" quotePrefix="0" xfId="0">
      <alignment horizontal="right" vertical="top"/>
    </xf>
    <xf numFmtId="0" fontId="2" fillId="3" borderId="4" applyAlignment="1" pivotButton="0" quotePrefix="0" xfId="0">
      <alignment horizontal="left" vertical="top"/>
    </xf>
    <xf numFmtId="3" fontId="2" fillId="3" borderId="0" applyAlignment="1" pivotButton="0" quotePrefix="0" xfId="0">
      <alignment horizontal="right" vertical="top"/>
    </xf>
    <xf numFmtId="3" fontId="2" fillId="3" borderId="5" applyAlignment="1" pivotButton="0" quotePrefix="0" xfId="0">
      <alignment horizontal="right" vertical="top"/>
    </xf>
    <xf numFmtId="3" fontId="2" fillId="0" borderId="0" applyAlignment="1" pivotButton="0" quotePrefix="0" xfId="0">
      <alignment horizontal="right" vertical="top"/>
    </xf>
    <xf numFmtId="0" fontId="2" fillId="2" borderId="0" applyAlignment="1" pivotButton="0" quotePrefix="0" xfId="0">
      <alignment horizontal="left" vertical="top"/>
    </xf>
    <xf numFmtId="9" fontId="2" fillId="2" borderId="0" applyAlignment="1" pivotButton="0" quotePrefix="0" xfId="0">
      <alignment horizontal="right" vertical="top"/>
    </xf>
    <xf numFmtId="3" fontId="2" fillId="2" borderId="0" applyAlignment="1" pivotButton="0" quotePrefix="0" xfId="0">
      <alignment horizontal="right" vertical="top"/>
    </xf>
    <xf numFmtId="0" fontId="1" fillId="3" borderId="1" applyAlignment="1" pivotButton="0" quotePrefix="0" xfId="0">
      <alignment horizontal="left" vertical="top"/>
    </xf>
    <xf numFmtId="3" fontId="1" fillId="3" borderId="2" applyAlignment="1" pivotButton="0" quotePrefix="0" xfId="0">
      <alignment horizontal="right" vertical="top"/>
    </xf>
    <xf numFmtId="0" fontId="2" fillId="3" borderId="6" applyAlignment="1" pivotButton="0" quotePrefix="0" xfId="0">
      <alignment horizontal="left" vertical="top"/>
    </xf>
    <xf numFmtId="3" fontId="2" fillId="3" borderId="7" applyAlignment="1" pivotButton="0" quotePrefix="0" xfId="0">
      <alignment horizontal="right" vertical="top"/>
    </xf>
    <xf numFmtId="3" fontId="1" fillId="2" borderId="0" applyAlignment="1" pivotButton="0" quotePrefix="0" xfId="0">
      <alignment horizontal="right" vertical="top"/>
    </xf>
    <xf numFmtId="3" fontId="3" fillId="4" borderId="2" applyAlignment="1" pivotButton="0" quotePrefix="0" xfId="0">
      <alignment horizontal="right" vertical="top"/>
    </xf>
    <xf numFmtId="3" fontId="3" fillId="4" borderId="3" applyAlignment="1" pivotButton="0" quotePrefix="0" xfId="0">
      <alignment horizontal="right" vertical="top"/>
    </xf>
    <xf numFmtId="0" fontId="4" fillId="5" borderId="0" applyAlignment="1" pivotButton="0" quotePrefix="0" xfId="0">
      <alignment vertical="top"/>
    </xf>
    <xf numFmtId="0" fontId="4" fillId="4" borderId="0" applyAlignment="1" pivotButton="0" quotePrefix="0" xfId="0">
      <alignment horizontal="left" vertical="top"/>
    </xf>
    <xf numFmtId="3" fontId="4" fillId="4" borderId="0" applyAlignment="1" pivotButton="0" quotePrefix="0" xfId="0">
      <alignment horizontal="right" vertical="top"/>
    </xf>
    <xf numFmtId="164" fontId="2" fillId="3" borderId="0" applyAlignment="1" pivotButton="0" quotePrefix="0" xfId="0">
      <alignment horizontal="right" vertical="top"/>
    </xf>
    <xf numFmtId="164" fontId="4" fillId="4" borderId="0" applyAlignment="1" pivotButton="0" quotePrefix="0" xfId="0">
      <alignment horizontal="right" vertical="top"/>
    </xf>
    <xf numFmtId="3" fontId="4" fillId="4" borderId="2" applyAlignment="1" pivotButton="0" quotePrefix="0" xfId="0">
      <alignment horizontal="right" vertical="top"/>
    </xf>
    <xf numFmtId="3" fontId="4" fillId="4" borderId="3" applyAlignment="1" pivotButton="0" quotePrefix="0" xfId="0">
      <alignment horizontal="right" vertical="top"/>
    </xf>
    <xf numFmtId="0" fontId="2" fillId="3" borderId="8" applyAlignment="1" pivotButton="0" quotePrefix="0" xfId="0">
      <alignment horizontal="left" vertical="top"/>
    </xf>
    <xf numFmtId="0" fontId="2" fillId="3" borderId="9" applyAlignment="1" pivotButton="0" quotePrefix="0" xfId="0">
      <alignment horizontal="right" vertical="top"/>
    </xf>
    <xf numFmtId="3" fontId="2" fillId="3" borderId="10" applyAlignment="1" pivotButton="0" quotePrefix="0" xfId="0">
      <alignment horizontal="right" vertical="top"/>
    </xf>
    <xf numFmtId="0" fontId="2" fillId="3" borderId="0" applyAlignment="1" pivotButton="0" quotePrefix="0" xfId="0">
      <alignment horizontal="right" vertical="top"/>
    </xf>
    <xf numFmtId="0" fontId="3" fillId="4" borderId="2" applyAlignment="1" pivotButton="0" quotePrefix="0" xfId="0">
      <alignment horizontal="left" vertical="top"/>
    </xf>
    <xf numFmtId="0" fontId="3" fillId="4" borderId="3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3" fontId="1" fillId="2" borderId="5" applyAlignment="1" pivotButton="0" quotePrefix="0" xfId="0">
      <alignment horizontal="right" vertical="top"/>
    </xf>
    <xf numFmtId="0" fontId="1" fillId="3" borderId="4" applyAlignment="1" pivotButton="0" quotePrefix="0" xfId="0">
      <alignment horizontal="left" vertical="top"/>
    </xf>
    <xf numFmtId="0" fontId="1" fillId="3" borderId="0" applyAlignment="1" pivotButton="0" quotePrefix="0" xfId="0">
      <alignment horizontal="right" vertical="top"/>
    </xf>
    <xf numFmtId="3" fontId="1" fillId="3" borderId="5" applyAlignment="1" pivotButton="0" quotePrefix="0" xfId="0">
      <alignment horizontal="right" vertical="top"/>
    </xf>
    <xf numFmtId="0" fontId="5" fillId="4" borderId="1" applyAlignment="1" pivotButton="0" quotePrefix="0" xfId="0">
      <alignment horizontal="left" vertical="top"/>
    </xf>
    <xf numFmtId="0" fontId="5" fillId="4" borderId="2" applyAlignment="1" pivotButton="0" quotePrefix="0" xfId="0">
      <alignment horizontal="right" vertical="top"/>
    </xf>
    <xf numFmtId="3" fontId="6" fillId="4" borderId="2" applyAlignment="1" pivotButton="0" quotePrefix="0" xfId="0">
      <alignment horizontal="right" vertical="top"/>
    </xf>
    <xf numFmtId="3" fontId="6" fillId="4" borderId="3" applyAlignment="1" pivotButton="0" quotePrefix="0" xfId="0">
      <alignment horizontal="right" vertical="top"/>
    </xf>
    <xf numFmtId="3" fontId="5" fillId="4" borderId="3" applyAlignment="1" pivotButton="0" quotePrefix="0" xfId="0">
      <alignment horizontal="right" vertical="top"/>
    </xf>
    <xf numFmtId="0" fontId="5" fillId="4" borderId="2" applyAlignment="1" pivotButton="0" quotePrefix="0" xfId="0">
      <alignment horizontal="left" vertical="top"/>
    </xf>
    <xf numFmtId="0" fontId="5" fillId="4" borderId="3" applyAlignment="1" pivotButton="0" quotePrefix="0" xfId="0">
      <alignment horizontal="left" vertical="top"/>
    </xf>
    <xf numFmtId="165" fontId="2" fillId="3" borderId="0" applyAlignment="1" pivotButton="0" quotePrefix="0" xfId="0">
      <alignment horizontal="right" vertical="top"/>
    </xf>
    <xf numFmtId="3" fontId="5" fillId="4" borderId="2" applyAlignment="1" pivotButton="0" quotePrefix="0" xfId="0">
      <alignment horizontal="right" vertical="top"/>
    </xf>
    <xf numFmtId="0" fontId="4" fillId="5" borderId="0" applyAlignment="1" pivotButton="0" quotePrefix="0" xfId="0">
      <alignment horizontal="left" vertical="top"/>
    </xf>
    <xf numFmtId="3" fontId="4" fillId="6" borderId="0" applyAlignment="1" pivotButton="0" quotePrefix="0" xfId="0">
      <alignment horizontal="right" vertical="top"/>
    </xf>
    <xf numFmtId="3" fontId="7" fillId="2" borderId="0" applyAlignment="1" pivotButton="0" quotePrefix="0" xfId="0">
      <alignment horizontal="right" vertical="top"/>
    </xf>
    <xf numFmtId="3" fontId="8" fillId="3" borderId="0" applyAlignment="1" pivotButton="0" quotePrefix="0" xfId="0">
      <alignment horizontal="right" vertical="top"/>
    </xf>
    <xf numFmtId="9" fontId="8" fillId="3" borderId="0" applyAlignment="1" pivotButton="0" quotePrefix="0" xfId="0">
      <alignment horizontal="right" vertical="top"/>
    </xf>
    <xf numFmtId="165" fontId="8" fillId="3" borderId="0" applyAlignment="1" pivotButton="0" quotePrefix="0" xfId="0">
      <alignment horizontal="right" vertical="top"/>
    </xf>
    <xf numFmtId="3" fontId="8" fillId="0" borderId="0" applyAlignment="1" pivotButton="0" quotePrefix="0" xfId="0">
      <alignment horizontal="right" vertical="top"/>
    </xf>
    <xf numFmtId="9" fontId="8" fillId="0" borderId="0" applyAlignment="1" pivotButton="0" quotePrefix="0" xfId="0">
      <alignment horizontal="right" vertical="top"/>
    </xf>
    <xf numFmtId="3" fontId="8" fillId="3" borderId="10" applyAlignment="1" pivotButton="0" quotePrefix="0" xfId="0">
      <alignment horizontal="right" vertical="top"/>
    </xf>
    <xf numFmtId="3" fontId="8" fillId="3" borderId="5" applyAlignment="1" pivotButton="0" quotePrefix="0" xfId="0">
      <alignment horizontal="right" vertical="top"/>
    </xf>
    <xf numFmtId="3" fontId="7" fillId="2" borderId="5" applyAlignment="1" pivotButton="0" quotePrefix="0" xfId="0">
      <alignment horizontal="right" vertical="top"/>
    </xf>
    <xf numFmtId="166" fontId="8" fillId="3" borderId="0" applyAlignment="1" pivotButton="0" quotePrefix="0" xfId="0">
      <alignment horizontal="right" vertical="top"/>
    </xf>
    <xf numFmtId="164" fontId="8" fillId="3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</t>
        </is>
      </c>
      <c r="B1" t="inlineStr">
        <is>
          <t>Fichier source</t>
        </is>
      </c>
      <c r="C1" t="inlineStr">
        <is>
          <t>Feuille d'origine</t>
        </is>
      </c>
    </row>
    <row r="2">
      <c r="A2" t="inlineStr">
        <is>
          <t>01_00_Donn_es</t>
        </is>
      </c>
      <c r="B2" t="inlineStr">
        <is>
          <t>00. Données.xlsx</t>
        </is>
      </c>
      <c r="C2" t="inlineStr">
        <is>
          <t>0) Données</t>
        </is>
      </c>
    </row>
    <row r="3">
      <c r="A3" t="inlineStr">
        <is>
          <t>02_01_Donn_es_3</t>
        </is>
      </c>
      <c r="B3" t="inlineStr">
        <is>
          <t>01. Données (3).xlsx</t>
        </is>
      </c>
      <c r="C3" t="inlineStr">
        <is>
          <t>1) Données</t>
        </is>
      </c>
    </row>
    <row r="4">
      <c r="A4" t="inlineStr">
        <is>
          <t>03_01_Donn_es</t>
        </is>
      </c>
      <c r="B4" t="inlineStr">
        <is>
          <t>01. Données.xlsx</t>
        </is>
      </c>
      <c r="C4" t="inlineStr">
        <is>
          <t>1) Données</t>
        </is>
      </c>
    </row>
    <row r="5">
      <c r="A5" t="inlineStr">
        <is>
          <t>04_01_Situation</t>
        </is>
      </c>
      <c r="B5" t="inlineStr">
        <is>
          <t>01. Situation initiale.xlsx</t>
        </is>
      </c>
      <c r="C5" t="inlineStr">
        <is>
          <t>1) Situation initiale</t>
        </is>
      </c>
    </row>
    <row r="6">
      <c r="A6" t="inlineStr">
        <is>
          <t>05_01_Vente_loc</t>
        </is>
      </c>
      <c r="B6" t="inlineStr">
        <is>
          <t>01. Vente locale.xlsx</t>
        </is>
      </c>
      <c r="C6" t="inlineStr">
        <is>
          <t>1) Vente locale</t>
        </is>
      </c>
    </row>
    <row r="7">
      <c r="A7" t="inlineStr">
        <is>
          <t>06_02_Exportati_1</t>
        </is>
      </c>
      <c r="B7" t="inlineStr">
        <is>
          <t>02. Exportations mensuelles.xlsx</t>
        </is>
      </c>
      <c r="C7" t="inlineStr">
        <is>
          <t>1) Données</t>
        </is>
      </c>
    </row>
    <row r="8">
      <c r="A8" t="inlineStr">
        <is>
          <t>06_02_Exportati_2</t>
        </is>
      </c>
      <c r="B8" t="inlineStr">
        <is>
          <t>02. Exportations mensuelles.xlsx</t>
        </is>
      </c>
      <c r="C8" t="inlineStr">
        <is>
          <t>2) Exportations mensuelles</t>
        </is>
      </c>
    </row>
    <row r="9">
      <c r="A9" t="inlineStr">
        <is>
          <t>07_02_R_gime_fi_1</t>
        </is>
      </c>
      <c r="B9" t="inlineStr">
        <is>
          <t>02. Régime fiscal.xlsx</t>
        </is>
      </c>
      <c r="C9" t="inlineStr">
        <is>
          <t>1) Données</t>
        </is>
      </c>
    </row>
    <row r="10">
      <c r="A10" t="inlineStr">
        <is>
          <t>07_02_R_gime_fi_2</t>
        </is>
      </c>
      <c r="B10" t="inlineStr">
        <is>
          <t>02. Régime fiscal.xlsx</t>
        </is>
      </c>
      <c r="C10" t="inlineStr">
        <is>
          <t>2) Régime fiscal</t>
        </is>
      </c>
    </row>
    <row r="11">
      <c r="A11" t="inlineStr">
        <is>
          <t>08_03_Exportati_1</t>
        </is>
      </c>
      <c r="B11" t="inlineStr">
        <is>
          <t>03. Exportations semestrielles.xlsx</t>
        </is>
      </c>
      <c r="C11" t="inlineStr">
        <is>
          <t>1) Données</t>
        </is>
      </c>
    </row>
    <row r="12">
      <c r="A12" t="inlineStr">
        <is>
          <t>08_03_Exportati_2</t>
        </is>
      </c>
      <c r="B12" t="inlineStr">
        <is>
          <t>03. Exportations semestrielles.xlsx</t>
        </is>
      </c>
      <c r="C12" t="inlineStr">
        <is>
          <t>2) Exportations mensuelles</t>
        </is>
      </c>
    </row>
    <row r="13">
      <c r="A13" t="inlineStr">
        <is>
          <t>08_03_Exportati_3</t>
        </is>
      </c>
      <c r="B13" t="inlineStr">
        <is>
          <t>03. Exportations semestrielles.xlsx</t>
        </is>
      </c>
      <c r="C13" t="inlineStr">
        <is>
          <t>3) Exportations semestrielles</t>
        </is>
      </c>
    </row>
    <row r="14">
      <c r="A14" t="inlineStr">
        <is>
          <t>09_03_Manipulat_1</t>
        </is>
      </c>
      <c r="B14" t="inlineStr">
        <is>
          <t>03. Manipulation des coûts.xlsx</t>
        </is>
      </c>
      <c r="C14" t="inlineStr">
        <is>
          <t>1) Situation initiale</t>
        </is>
      </c>
    </row>
    <row r="15">
      <c r="A15" t="inlineStr">
        <is>
          <t>09_03_Manipulat_2</t>
        </is>
      </c>
      <c r="B15" t="inlineStr">
        <is>
          <t>03. Manipulation des coûts.xlsx</t>
        </is>
      </c>
      <c r="C15" t="inlineStr">
        <is>
          <t>2) Sous-capitalisation</t>
        </is>
      </c>
    </row>
    <row r="16">
      <c r="A16" t="inlineStr">
        <is>
          <t>09_03_Manipulat_3</t>
        </is>
      </c>
      <c r="B16" t="inlineStr">
        <is>
          <t>03. Manipulation des coûts.xlsx</t>
        </is>
      </c>
      <c r="C16" t="inlineStr">
        <is>
          <t>3) Manipulation des coûts</t>
        </is>
      </c>
    </row>
    <row r="17">
      <c r="A17" t="inlineStr">
        <is>
          <t>10_03_Variation_1</t>
        </is>
      </c>
      <c r="B17" t="inlineStr">
        <is>
          <t>03. Variation des cours.xlsx</t>
        </is>
      </c>
      <c r="C17" t="inlineStr">
        <is>
          <t>1) Données</t>
        </is>
      </c>
    </row>
    <row r="18">
      <c r="A18" t="inlineStr">
        <is>
          <t>10_03_Variation_2</t>
        </is>
      </c>
      <c r="B18" t="inlineStr">
        <is>
          <t>03. Variation des cours.xlsx</t>
        </is>
      </c>
      <c r="C18" t="inlineStr">
        <is>
          <t>2) Régime fiscal</t>
        </is>
      </c>
    </row>
    <row r="19">
      <c r="A19" t="inlineStr">
        <is>
          <t>10_03_Variation_3</t>
        </is>
      </c>
      <c r="B19" t="inlineStr">
        <is>
          <t>03. Variation des cours.xlsx</t>
        </is>
      </c>
      <c r="C19" t="inlineStr">
        <is>
          <t>3) Variation de cours</t>
        </is>
      </c>
    </row>
    <row r="20">
      <c r="A20" t="inlineStr">
        <is>
          <t>11_04_Contrat_d_1</t>
        </is>
      </c>
      <c r="B20" t="inlineStr">
        <is>
          <t>04. Contrat de couverture (1).xlsx</t>
        </is>
      </c>
      <c r="C20" t="inlineStr">
        <is>
          <t>1) Données</t>
        </is>
      </c>
    </row>
    <row r="21">
      <c r="A21" t="inlineStr">
        <is>
          <t>11_04_Contrat_d_2</t>
        </is>
      </c>
      <c r="B21" t="inlineStr">
        <is>
          <t>04. Contrat de couverture (1).xlsx</t>
        </is>
      </c>
      <c r="C21" t="inlineStr">
        <is>
          <t>2) Exportations mensuelles</t>
        </is>
      </c>
    </row>
    <row r="22">
      <c r="A22" t="inlineStr">
        <is>
          <t>11_04_Contrat_d_3</t>
        </is>
      </c>
      <c r="B22" t="inlineStr">
        <is>
          <t>04. Contrat de couverture (1).xlsx</t>
        </is>
      </c>
      <c r="C22" t="inlineStr">
        <is>
          <t>3) Exportations semestrielles</t>
        </is>
      </c>
    </row>
    <row r="23">
      <c r="A23" t="inlineStr">
        <is>
          <t>11_04_Contrat_d_4</t>
        </is>
      </c>
      <c r="B23" t="inlineStr">
        <is>
          <t>04. Contrat de couverture (1).xlsx</t>
        </is>
      </c>
      <c r="C23" t="inlineStr">
        <is>
          <t>4) Contrat de couverture</t>
        </is>
      </c>
    </row>
    <row r="24">
      <c r="A24" t="inlineStr">
        <is>
          <t>12_04_Contrat_d_1</t>
        </is>
      </c>
      <c r="B24" t="inlineStr">
        <is>
          <t>04. Contrat de couverture.xlsx</t>
        </is>
      </c>
      <c r="C24" t="inlineStr">
        <is>
          <t>1) Situation initiale</t>
        </is>
      </c>
    </row>
    <row r="25">
      <c r="A25" t="inlineStr">
        <is>
          <t>12_04_Contrat_d_2</t>
        </is>
      </c>
      <c r="B25" t="inlineStr">
        <is>
          <t>04. Contrat de couverture.xlsx</t>
        </is>
      </c>
      <c r="C25" t="inlineStr">
        <is>
          <t>2) Sous-capitalisation</t>
        </is>
      </c>
    </row>
    <row r="26">
      <c r="A26" t="inlineStr">
        <is>
          <t>12_04_Contrat_d_3</t>
        </is>
      </c>
      <c r="B26" t="inlineStr">
        <is>
          <t>04. Contrat de couverture.xlsx</t>
        </is>
      </c>
      <c r="C26" t="inlineStr">
        <is>
          <t>3) Manipulation des coûts</t>
        </is>
      </c>
    </row>
    <row r="27">
      <c r="A27" t="inlineStr">
        <is>
          <t>12_04_Contrat_d_4</t>
        </is>
      </c>
      <c r="B27" t="inlineStr">
        <is>
          <t>04. Contrat de couverture.xlsx</t>
        </is>
      </c>
      <c r="C27" t="inlineStr">
        <is>
          <t>4) Contrat de couverture</t>
        </is>
      </c>
    </row>
    <row r="28">
      <c r="A28" t="inlineStr">
        <is>
          <t>13_05_Manipulat_1</t>
        </is>
      </c>
      <c r="B28" t="inlineStr">
        <is>
          <t>05. Manipulation de la teneur.xlsx</t>
        </is>
      </c>
      <c r="C28" t="inlineStr">
        <is>
          <t>1) Données</t>
        </is>
      </c>
    </row>
    <row r="29">
      <c r="A29" t="inlineStr">
        <is>
          <t>13_05_Manipulat_2</t>
        </is>
      </c>
      <c r="B29" t="inlineStr">
        <is>
          <t>05. Manipulation de la teneur.xlsx</t>
        </is>
      </c>
      <c r="C29" t="inlineStr">
        <is>
          <t>2) Exportations mensuelles</t>
        </is>
      </c>
    </row>
    <row r="30">
      <c r="A30" t="inlineStr">
        <is>
          <t>13_05_Manipulat_3</t>
        </is>
      </c>
      <c r="B30" t="inlineStr">
        <is>
          <t>05. Manipulation de la teneur.xlsx</t>
        </is>
      </c>
      <c r="C30" t="inlineStr">
        <is>
          <t>3) Exportations semestrielles</t>
        </is>
      </c>
    </row>
    <row r="31">
      <c r="A31" t="inlineStr">
        <is>
          <t>13_05_Manipulat_4</t>
        </is>
      </c>
      <c r="B31" t="inlineStr">
        <is>
          <t>05. Manipulation de la teneur.xlsx</t>
        </is>
      </c>
      <c r="C31" t="inlineStr">
        <is>
          <t>4) Contrat de couverture</t>
        </is>
      </c>
    </row>
    <row r="32">
      <c r="A32" t="inlineStr">
        <is>
          <t>13_05_Manipulat_5</t>
        </is>
      </c>
      <c r="B32" t="inlineStr">
        <is>
          <t>05. Manipulation de la teneur.xlsx</t>
        </is>
      </c>
      <c r="C32" t="inlineStr">
        <is>
          <t>5) Manipulation de la teneur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0.83203125" customWidth="1" min="2" max="2"/>
    <col width="20.83203125" customWidth="1" min="4" max="4"/>
    <col width="15.83203125" customWidth="1" min="5" max="5"/>
    <col width="10.83203125" customWidth="1" min="6" max="6"/>
    <col width="15.83203125" customWidth="1" min="7" max="7"/>
    <col width="10.83203125" customWidth="1" min="8" max="8"/>
    <col width="5.83203125" customWidth="1" min="9" max="9"/>
    <col width="30.83203125" customWidth="1" min="10" max="10"/>
    <col width="10.83203125" customWidth="1" min="11" max="11"/>
    <col width="10.83203125" customWidth="1" min="12" max="12"/>
  </cols>
  <sheetData>
    <row r="1">
      <c r="A1" s="1" t="inlineStr">
        <is>
          <t>RECAPITULATIF</t>
        </is>
      </c>
      <c r="E1" s="1" t="inlineStr">
        <is>
          <t>COMPTES DE RESULTAT</t>
        </is>
      </c>
      <c r="J1" s="1" t="inlineStr">
        <is>
          <t>TVA</t>
        </is>
      </c>
      <c r="K1" s="2" t="inlineStr">
        <is>
          <t>Taux</t>
        </is>
      </c>
      <c r="L1" s="2" t="inlineStr">
        <is>
          <t>Montant</t>
        </is>
      </c>
    </row>
    <row r="2">
      <c r="A2" s="3" t="inlineStr">
        <is>
          <t>Taux d'imposition</t>
        </is>
      </c>
      <c r="B2" s="3" t="n"/>
      <c r="C2" s="4" t="inlineStr">
        <is>
          <t>Taux</t>
        </is>
      </c>
    </row>
    <row r="3">
      <c r="A3" s="5" t="inlineStr">
        <is>
          <t>TVA</t>
        </is>
      </c>
      <c r="B3" s="5" t="n"/>
      <c r="C3" s="6" t="n">
        <v>0.2</v>
      </c>
      <c r="E3" s="1" t="inlineStr">
        <is>
          <t>Entreprise extractive</t>
        </is>
      </c>
      <c r="F3" s="1" t="n"/>
    </row>
    <row r="4">
      <c r="A4" s="5" t="inlineStr">
        <is>
          <t>IS</t>
        </is>
      </c>
      <c r="B4" s="5" t="n"/>
      <c r="C4" s="6" t="n">
        <v>0.3</v>
      </c>
      <c r="E4" s="7" t="inlineStr">
        <is>
          <t>Charges</t>
        </is>
      </c>
      <c r="F4" s="8" t="n"/>
      <c r="G4" s="7" t="inlineStr">
        <is>
          <t>Produits</t>
        </is>
      </c>
      <c r="H4" s="9" t="n"/>
      <c r="I4" s="10" t="n"/>
    </row>
    <row r="5">
      <c r="E5" s="11" t="inlineStr">
        <is>
          <t>Achats locaux</t>
        </is>
      </c>
      <c r="F5" s="12">
        <f>H13+H21+H29</f>
        <v/>
      </c>
      <c r="G5" s="11" t="inlineStr">
        <is>
          <t>Ventes</t>
        </is>
      </c>
      <c r="H5" s="13" t="n">
        <v>1000</v>
      </c>
      <c r="I5" s="14" t="n"/>
      <c r="J5" s="15" t="inlineStr">
        <is>
          <t>TVA collectée</t>
        </is>
      </c>
      <c r="K5" s="16" t="inlineStr">
        <is>
          <t>X</t>
        </is>
      </c>
      <c r="L5" s="17" t="inlineStr">
        <is>
          <t>X</t>
        </is>
      </c>
    </row>
    <row r="6">
      <c r="A6" s="3" t="inlineStr">
        <is>
          <t>Achats importés</t>
        </is>
      </c>
      <c r="B6" s="4" t="inlineStr">
        <is>
          <t>Valeur</t>
        </is>
      </c>
      <c r="C6" s="4" t="inlineStr">
        <is>
          <t>TVA</t>
        </is>
      </c>
      <c r="E6" s="11" t="inlineStr">
        <is>
          <t>Achats importés</t>
        </is>
      </c>
      <c r="F6" s="12" t="n">
        <v>130</v>
      </c>
      <c r="G6" s="11" t="n"/>
      <c r="H6" s="13" t="n"/>
      <c r="I6" s="14" t="n"/>
      <c r="J6" s="5" t="inlineStr">
        <is>
          <t>TVA déductible Achats locaux</t>
        </is>
      </c>
      <c r="K6" s="6" t="inlineStr">
        <is>
          <t>X</t>
        </is>
      </c>
      <c r="L6" s="12" t="inlineStr">
        <is>
          <t>X</t>
        </is>
      </c>
    </row>
    <row r="7">
      <c r="A7" s="5" t="inlineStr">
        <is>
          <t>Entreprise extractive</t>
        </is>
      </c>
      <c r="B7" s="12" t="inlineStr">
        <is>
          <t>X</t>
        </is>
      </c>
      <c r="C7" s="12" t="inlineStr">
        <is>
          <t>X</t>
        </is>
      </c>
      <c r="E7" s="11" t="inlineStr">
        <is>
          <t>Salaires</t>
        </is>
      </c>
      <c r="F7" s="12" t="n">
        <v>300</v>
      </c>
      <c r="G7" s="11" t="n"/>
      <c r="H7" s="13" t="n"/>
      <c r="I7" s="14" t="n"/>
      <c r="J7" s="5" t="inlineStr">
        <is>
          <t>TVA déductible Achats importés</t>
        </is>
      </c>
      <c r="K7" s="6" t="inlineStr">
        <is>
          <t>X</t>
        </is>
      </c>
      <c r="L7" s="12" t="inlineStr">
        <is>
          <t>X</t>
        </is>
      </c>
    </row>
    <row r="8">
      <c r="A8" s="5" t="inlineStr">
        <is>
          <t>Sous-traitant 1</t>
        </is>
      </c>
      <c r="B8" s="12" t="inlineStr">
        <is>
          <t>X</t>
        </is>
      </c>
      <c r="C8" s="12" t="inlineStr">
        <is>
          <t>X</t>
        </is>
      </c>
      <c r="E8" s="18" t="inlineStr">
        <is>
          <t>Bénéfice</t>
        </is>
      </c>
      <c r="F8" s="19">
        <f>H9-SUM(F5:F7)</f>
        <v/>
      </c>
      <c r="G8" s="20" t="n"/>
      <c r="H8" s="21" t="n"/>
      <c r="I8" s="14" t="n"/>
      <c r="J8" s="3" t="inlineStr">
        <is>
          <t>TVA à reverser</t>
        </is>
      </c>
      <c r="K8" s="3" t="n"/>
      <c r="L8" s="22" t="inlineStr">
        <is>
          <t>X</t>
        </is>
      </c>
    </row>
    <row r="9">
      <c r="A9" s="5" t="inlineStr">
        <is>
          <t>Sous-traitant 2</t>
        </is>
      </c>
      <c r="B9" s="12" t="inlineStr">
        <is>
          <t>X</t>
        </is>
      </c>
      <c r="C9" s="12" t="inlineStr">
        <is>
          <t>X</t>
        </is>
      </c>
      <c r="E9" s="7" t="inlineStr">
        <is>
          <t>Somme</t>
        </is>
      </c>
      <c r="F9" s="23">
        <f>SUM(F5:F8)</f>
        <v/>
      </c>
      <c r="G9" s="7" t="inlineStr">
        <is>
          <t>Somme</t>
        </is>
      </c>
      <c r="H9" s="24">
        <f>SUM(H5:H8)</f>
        <v/>
      </c>
      <c r="I9" s="10" t="n"/>
    </row>
    <row r="10">
      <c r="A10" s="5" t="inlineStr">
        <is>
          <t>Sous-traitant 3</t>
        </is>
      </c>
      <c r="B10" s="12" t="inlineStr">
        <is>
          <t>X</t>
        </is>
      </c>
      <c r="C10" s="12" t="inlineStr">
        <is>
          <t>X</t>
        </is>
      </c>
    </row>
    <row r="11">
      <c r="A11" s="5" t="inlineStr">
        <is>
          <t>Fournisseurs locaux</t>
        </is>
      </c>
      <c r="B11" s="12" t="inlineStr">
        <is>
          <t>X</t>
        </is>
      </c>
      <c r="C11" s="12" t="inlineStr">
        <is>
          <t>X</t>
        </is>
      </c>
      <c r="E11" s="1" t="inlineStr">
        <is>
          <t>Sous-traitant 1 : Chimie</t>
        </is>
      </c>
      <c r="F11" s="1" t="n"/>
    </row>
    <row r="12">
      <c r="A12" s="3" t="inlineStr">
        <is>
          <t>Total</t>
        </is>
      </c>
      <c r="B12" s="22">
        <f>SUM(B7:B11)</f>
        <v/>
      </c>
      <c r="C12" s="22">
        <f>SUM(C7:C11)</f>
        <v/>
      </c>
      <c r="E12" s="7" t="inlineStr">
        <is>
          <t>Charges</t>
        </is>
      </c>
      <c r="F12" s="8" t="n"/>
      <c r="G12" s="7" t="inlineStr">
        <is>
          <t>Produits</t>
        </is>
      </c>
      <c r="H12" s="9" t="n"/>
      <c r="I12" s="10" t="n"/>
    </row>
    <row r="13">
      <c r="E13" s="11" t="inlineStr">
        <is>
          <t>Achats locaux</t>
        </is>
      </c>
      <c r="F13" s="12" t="n">
        <v>30</v>
      </c>
      <c r="G13" s="11" t="inlineStr">
        <is>
          <t>Ventes</t>
        </is>
      </c>
      <c r="H13" s="13" t="n">
        <v>100</v>
      </c>
      <c r="I13" s="14" t="n"/>
      <c r="J13" s="15" t="inlineStr">
        <is>
          <t>TVA collectée</t>
        </is>
      </c>
      <c r="K13" s="16" t="inlineStr">
        <is>
          <t>X</t>
        </is>
      </c>
      <c r="L13" s="17" t="inlineStr">
        <is>
          <t>X</t>
        </is>
      </c>
    </row>
    <row r="14">
      <c r="A14" s="3" t="inlineStr">
        <is>
          <t>Achats locaux</t>
        </is>
      </c>
      <c r="B14" s="4" t="inlineStr">
        <is>
          <t>Valeur</t>
        </is>
      </c>
      <c r="C14" s="4" t="inlineStr">
        <is>
          <t>TVA</t>
        </is>
      </c>
      <c r="E14" s="11" t="inlineStr">
        <is>
          <t>Achats importés</t>
        </is>
      </c>
      <c r="F14" s="12" t="n">
        <v>20</v>
      </c>
      <c r="G14" s="11" t="n"/>
      <c r="H14" s="13" t="n"/>
      <c r="I14" s="14" t="n"/>
      <c r="J14" s="5" t="inlineStr">
        <is>
          <t>TVA déductible Achats locaux</t>
        </is>
      </c>
      <c r="K14" s="6" t="inlineStr">
        <is>
          <t>X</t>
        </is>
      </c>
      <c r="L14" s="12" t="inlineStr">
        <is>
          <t>X</t>
        </is>
      </c>
    </row>
    <row r="15">
      <c r="A15" s="5" t="inlineStr">
        <is>
          <t>Entreprise extractive</t>
        </is>
      </c>
      <c r="B15" s="12" t="inlineStr">
        <is>
          <t>X</t>
        </is>
      </c>
      <c r="C15" s="12" t="inlineStr">
        <is>
          <t>X</t>
        </is>
      </c>
      <c r="E15" s="11" t="inlineStr">
        <is>
          <t>Salaires</t>
        </is>
      </c>
      <c r="F15" s="12" t="n">
        <v>20</v>
      </c>
      <c r="G15" s="11" t="n"/>
      <c r="H15" s="13" t="n"/>
      <c r="I15" s="14" t="n"/>
      <c r="J15" s="5" t="inlineStr">
        <is>
          <t>TVA déductible Achats importés</t>
        </is>
      </c>
      <c r="K15" s="6" t="inlineStr">
        <is>
          <t>X</t>
        </is>
      </c>
      <c r="L15" s="12" t="inlineStr">
        <is>
          <t>X</t>
        </is>
      </c>
    </row>
    <row r="16">
      <c r="A16" s="5" t="inlineStr">
        <is>
          <t>Sous-traitant 1</t>
        </is>
      </c>
      <c r="B16" s="12" t="inlineStr">
        <is>
          <t>X</t>
        </is>
      </c>
      <c r="C16" s="12" t="inlineStr">
        <is>
          <t>X</t>
        </is>
      </c>
      <c r="E16" s="18" t="inlineStr">
        <is>
          <t>Bénéfice</t>
        </is>
      </c>
      <c r="F16" s="19">
        <f>H17-SUM(F13:F15)</f>
        <v/>
      </c>
      <c r="G16" s="20" t="n"/>
      <c r="H16" s="21" t="n"/>
      <c r="I16" s="14" t="n"/>
      <c r="J16" s="3" t="inlineStr">
        <is>
          <t>TVA à reverser</t>
        </is>
      </c>
      <c r="K16" s="3" t="n"/>
      <c r="L16" s="22" t="inlineStr">
        <is>
          <t>X</t>
        </is>
      </c>
    </row>
    <row r="17">
      <c r="A17" s="5" t="inlineStr">
        <is>
          <t>Sous-traitant 2</t>
        </is>
      </c>
      <c r="B17" s="12" t="inlineStr">
        <is>
          <t>X</t>
        </is>
      </c>
      <c r="C17" s="12" t="inlineStr">
        <is>
          <t>X</t>
        </is>
      </c>
      <c r="E17" s="7" t="inlineStr">
        <is>
          <t>Somme</t>
        </is>
      </c>
      <c r="F17" s="23">
        <f>SUM(F13:F16)</f>
        <v/>
      </c>
      <c r="G17" s="7" t="inlineStr">
        <is>
          <t>Somme</t>
        </is>
      </c>
      <c r="H17" s="24">
        <f>SUM(H13:H16)</f>
        <v/>
      </c>
      <c r="I17" s="10" t="n"/>
    </row>
    <row r="18">
      <c r="A18" s="5" t="inlineStr">
        <is>
          <t>Sous-traitant 3</t>
        </is>
      </c>
      <c r="B18" s="12" t="inlineStr">
        <is>
          <t>X</t>
        </is>
      </c>
      <c r="C18" s="12" t="inlineStr">
        <is>
          <t>X</t>
        </is>
      </c>
    </row>
    <row r="19">
      <c r="A19" s="5" t="inlineStr">
        <is>
          <t>Fournisseurs locaux</t>
        </is>
      </c>
      <c r="B19" s="12" t="inlineStr">
        <is>
          <t>X</t>
        </is>
      </c>
      <c r="C19" s="12" t="inlineStr">
        <is>
          <t>X</t>
        </is>
      </c>
      <c r="E19" s="1" t="inlineStr">
        <is>
          <t>Sous-traitant 2 : Machines et services après vente</t>
        </is>
      </c>
      <c r="F19" s="1" t="n"/>
    </row>
    <row r="20">
      <c r="A20" s="3" t="inlineStr">
        <is>
          <t>Total</t>
        </is>
      </c>
      <c r="B20" s="22">
        <f>SUM(B15:B19)</f>
        <v/>
      </c>
      <c r="C20" s="22">
        <f>SUM(C15:C19)</f>
        <v/>
      </c>
      <c r="E20" s="7" t="inlineStr">
        <is>
          <t>Charges</t>
        </is>
      </c>
      <c r="F20" s="8" t="n"/>
      <c r="G20" s="7" t="inlineStr">
        <is>
          <t>Produits</t>
        </is>
      </c>
      <c r="H20" s="9" t="n"/>
      <c r="I20" s="10" t="n"/>
    </row>
    <row r="21">
      <c r="E21" s="11" t="inlineStr">
        <is>
          <t>Achats locaux</t>
        </is>
      </c>
      <c r="F21" s="12" t="n">
        <v>50</v>
      </c>
      <c r="G21" s="11" t="inlineStr">
        <is>
          <t>Ventes</t>
        </is>
      </c>
      <c r="H21" s="13" t="n">
        <v>250</v>
      </c>
      <c r="I21" s="14" t="n"/>
      <c r="J21" s="15" t="inlineStr">
        <is>
          <t>TVA collectée</t>
        </is>
      </c>
      <c r="K21" s="16" t="inlineStr">
        <is>
          <t>X</t>
        </is>
      </c>
      <c r="L21" s="17" t="inlineStr">
        <is>
          <t>X</t>
        </is>
      </c>
    </row>
    <row r="22">
      <c r="A22" s="3" t="inlineStr">
        <is>
          <t>Recettes de TVA</t>
        </is>
      </c>
      <c r="B22" s="4" t="n"/>
      <c r="C22" s="4" t="inlineStr">
        <is>
          <t>TVA</t>
        </is>
      </c>
      <c r="E22" s="11" t="inlineStr">
        <is>
          <t>Achats importés</t>
        </is>
      </c>
      <c r="F22" s="12" t="n">
        <v>100</v>
      </c>
      <c r="G22" s="11" t="n"/>
      <c r="H22" s="13" t="n"/>
      <c r="I22" s="14" t="n"/>
      <c r="J22" s="5" t="inlineStr">
        <is>
          <t>TVA déductible Achats locaux</t>
        </is>
      </c>
      <c r="K22" s="6" t="inlineStr">
        <is>
          <t>X</t>
        </is>
      </c>
      <c r="L22" s="12" t="inlineStr">
        <is>
          <t>X</t>
        </is>
      </c>
    </row>
    <row r="23">
      <c r="A23" s="5" t="inlineStr">
        <is>
          <t>Douanes</t>
        </is>
      </c>
      <c r="B23" s="12" t="n"/>
      <c r="C23" s="12" t="inlineStr">
        <is>
          <t>X</t>
        </is>
      </c>
      <c r="E23" s="11" t="inlineStr">
        <is>
          <t>Salaires</t>
        </is>
      </c>
      <c r="F23" s="12" t="n">
        <v>20</v>
      </c>
      <c r="G23" s="11" t="n"/>
      <c r="H23" s="13" t="n"/>
      <c r="I23" s="14" t="n"/>
      <c r="J23" s="5" t="inlineStr">
        <is>
          <t>TVA déductible Achats importés</t>
        </is>
      </c>
      <c r="K23" s="6" t="inlineStr">
        <is>
          <t>X</t>
        </is>
      </c>
      <c r="L23" s="12" t="inlineStr">
        <is>
          <t>X</t>
        </is>
      </c>
    </row>
    <row r="24">
      <c r="A24" s="5" t="inlineStr">
        <is>
          <t>Entreprise extractive</t>
        </is>
      </c>
      <c r="B24" s="12" t="n"/>
      <c r="C24" s="12" t="inlineStr">
        <is>
          <t>X</t>
        </is>
      </c>
      <c r="E24" s="18" t="inlineStr">
        <is>
          <t>Bénéfice</t>
        </is>
      </c>
      <c r="F24" s="19">
        <f>H25-SUM(F21:F23)</f>
        <v/>
      </c>
      <c r="G24" s="20" t="n"/>
      <c r="H24" s="21" t="n"/>
      <c r="I24" s="14" t="n"/>
      <c r="J24" s="3" t="inlineStr">
        <is>
          <t>TVA à reverser</t>
        </is>
      </c>
      <c r="K24" s="3" t="n"/>
      <c r="L24" s="22" t="inlineStr">
        <is>
          <t>X</t>
        </is>
      </c>
    </row>
    <row r="25">
      <c r="A25" s="5" t="inlineStr">
        <is>
          <t>Sous-traitant 1</t>
        </is>
      </c>
      <c r="B25" s="12" t="n"/>
      <c r="C25" s="12" t="inlineStr">
        <is>
          <t>X</t>
        </is>
      </c>
      <c r="E25" s="7" t="inlineStr">
        <is>
          <t>Somme</t>
        </is>
      </c>
      <c r="F25" s="23">
        <f>SUM(F21:F24)</f>
        <v/>
      </c>
      <c r="G25" s="7" t="inlineStr">
        <is>
          <t>Somme</t>
        </is>
      </c>
      <c r="H25" s="24">
        <f>SUM(H21:H24)</f>
        <v/>
      </c>
      <c r="I25" s="10" t="n"/>
    </row>
    <row r="26">
      <c r="A26" s="5" t="inlineStr">
        <is>
          <t>Sous-traitant 2</t>
        </is>
      </c>
      <c r="B26" s="12" t="n"/>
      <c r="C26" s="12" t="inlineStr">
        <is>
          <t>X</t>
        </is>
      </c>
    </row>
    <row r="27">
      <c r="A27" s="5" t="inlineStr">
        <is>
          <t>Sous-traitant 3</t>
        </is>
      </c>
      <c r="B27" s="12" t="n"/>
      <c r="C27" s="12" t="inlineStr">
        <is>
          <t>X</t>
        </is>
      </c>
      <c r="E27" s="1" t="inlineStr">
        <is>
          <t>Sous-traitant 3 : Société de gardiennage</t>
        </is>
      </c>
      <c r="F27" s="1" t="n"/>
    </row>
    <row r="28">
      <c r="A28" s="5" t="inlineStr">
        <is>
          <t>Fournisseurs locaux</t>
        </is>
      </c>
      <c r="B28" s="12" t="n"/>
      <c r="C28" s="12" t="inlineStr">
        <is>
          <t>X</t>
        </is>
      </c>
      <c r="E28" s="7" t="inlineStr">
        <is>
          <t>Charges</t>
        </is>
      </c>
      <c r="F28" s="8" t="n"/>
      <c r="G28" s="7" t="inlineStr">
        <is>
          <t>Produits</t>
        </is>
      </c>
      <c r="H28" s="9" t="n"/>
      <c r="I28" s="10" t="n"/>
    </row>
    <row r="29">
      <c r="A29" s="3" t="inlineStr">
        <is>
          <t>Total</t>
        </is>
      </c>
      <c r="B29" s="22" t="n"/>
      <c r="C29" s="22">
        <f>SUM(C23:C28)</f>
        <v/>
      </c>
      <c r="E29" s="11" t="inlineStr">
        <is>
          <t>Achats locaux</t>
        </is>
      </c>
      <c r="F29" s="12" t="n">
        <v>10</v>
      </c>
      <c r="G29" s="11" t="inlineStr">
        <is>
          <t>Ventes</t>
        </is>
      </c>
      <c r="H29" s="13" t="n">
        <v>120</v>
      </c>
      <c r="I29" s="14" t="n"/>
      <c r="J29" s="15" t="inlineStr">
        <is>
          <t>TVA collectée</t>
        </is>
      </c>
      <c r="K29" s="16" t="inlineStr">
        <is>
          <t>X</t>
        </is>
      </c>
      <c r="L29" s="17" t="inlineStr">
        <is>
          <t>X</t>
        </is>
      </c>
    </row>
    <row r="30">
      <c r="E30" s="11" t="inlineStr">
        <is>
          <t>Achats importés</t>
        </is>
      </c>
      <c r="F30" s="12" t="n">
        <v>0</v>
      </c>
      <c r="G30" s="11" t="n"/>
      <c r="H30" s="13" t="n"/>
      <c r="I30" s="14" t="n"/>
      <c r="J30" s="5" t="inlineStr">
        <is>
          <t>TVA déductible Achats locaux</t>
        </is>
      </c>
      <c r="K30" s="6" t="inlineStr">
        <is>
          <t>X</t>
        </is>
      </c>
      <c r="L30" s="12" t="inlineStr">
        <is>
          <t>X</t>
        </is>
      </c>
    </row>
    <row r="31">
      <c r="A31" s="3" t="inlineStr">
        <is>
          <t>Recettes d'IS</t>
        </is>
      </c>
      <c r="B31" s="4" t="inlineStr">
        <is>
          <t>Bénéfice</t>
        </is>
      </c>
      <c r="C31" s="4" t="inlineStr">
        <is>
          <t>IS</t>
        </is>
      </c>
      <c r="E31" s="11" t="inlineStr">
        <is>
          <t>Salaires</t>
        </is>
      </c>
      <c r="F31" s="12" t="n">
        <v>80</v>
      </c>
      <c r="G31" s="11" t="n"/>
      <c r="H31" s="13" t="n"/>
      <c r="I31" s="14" t="n"/>
      <c r="J31" s="5" t="inlineStr">
        <is>
          <t>TVA déductible Achats importés</t>
        </is>
      </c>
      <c r="K31" s="6" t="inlineStr">
        <is>
          <t>X</t>
        </is>
      </c>
      <c r="L31" s="12" t="inlineStr">
        <is>
          <t>X</t>
        </is>
      </c>
    </row>
    <row r="32">
      <c r="A32" s="5" t="inlineStr">
        <is>
          <t>Entreprise extractive</t>
        </is>
      </c>
      <c r="B32" s="12" t="inlineStr">
        <is>
          <t>X</t>
        </is>
      </c>
      <c r="C32" s="12" t="inlineStr">
        <is>
          <t>X</t>
        </is>
      </c>
      <c r="E32" s="18" t="inlineStr">
        <is>
          <t>Bénéfice</t>
        </is>
      </c>
      <c r="F32" s="19">
        <f>H33-SUM(F29:F31)</f>
        <v/>
      </c>
      <c r="G32" s="20" t="n"/>
      <c r="H32" s="21" t="n"/>
      <c r="I32" s="14" t="n"/>
      <c r="J32" s="3" t="inlineStr">
        <is>
          <t>TVA à reverser</t>
        </is>
      </c>
      <c r="K32" s="3" t="n"/>
      <c r="L32" s="22" t="inlineStr">
        <is>
          <t>X</t>
        </is>
      </c>
    </row>
    <row r="33">
      <c r="A33" s="5" t="inlineStr">
        <is>
          <t>Sous-traitant 1</t>
        </is>
      </c>
      <c r="B33" s="12" t="inlineStr">
        <is>
          <t>X</t>
        </is>
      </c>
      <c r="C33" s="12" t="inlineStr">
        <is>
          <t>X</t>
        </is>
      </c>
      <c r="E33" s="7" t="inlineStr">
        <is>
          <t>Somme</t>
        </is>
      </c>
      <c r="F33" s="23">
        <f>SUM(F29:F32)</f>
        <v/>
      </c>
      <c r="G33" s="7" t="inlineStr">
        <is>
          <t>Somme</t>
        </is>
      </c>
      <c r="H33" s="24">
        <f>SUM(H29:H32)</f>
        <v/>
      </c>
      <c r="I33" s="10" t="n"/>
    </row>
    <row r="34">
      <c r="A34" s="5" t="inlineStr">
        <is>
          <t>Sous-traitant 2</t>
        </is>
      </c>
      <c r="B34" s="12" t="inlineStr">
        <is>
          <t>X</t>
        </is>
      </c>
      <c r="C34" s="12" t="inlineStr">
        <is>
          <t>X</t>
        </is>
      </c>
    </row>
    <row r="35">
      <c r="A35" s="5" t="inlineStr">
        <is>
          <t>Sous-traitant 3</t>
        </is>
      </c>
      <c r="B35" s="12" t="inlineStr">
        <is>
          <t>X</t>
        </is>
      </c>
      <c r="C35" s="12" t="inlineStr">
        <is>
          <t>X</t>
        </is>
      </c>
      <c r="E35" s="1" t="inlineStr">
        <is>
          <t>Fournisseurs locaux des sous-traitants</t>
        </is>
      </c>
      <c r="F35" s="1" t="n"/>
    </row>
    <row r="36">
      <c r="A36" s="5" t="inlineStr">
        <is>
          <t>Fournisseurs locaux</t>
        </is>
      </c>
      <c r="B36" s="12" t="inlineStr">
        <is>
          <t>X</t>
        </is>
      </c>
      <c r="C36" s="12" t="inlineStr">
        <is>
          <t>X</t>
        </is>
      </c>
      <c r="E36" s="7" t="inlineStr">
        <is>
          <t>Charges</t>
        </is>
      </c>
      <c r="F36" s="8" t="n"/>
      <c r="G36" s="7" t="inlineStr">
        <is>
          <t>Produits</t>
        </is>
      </c>
      <c r="H36" s="9" t="n"/>
      <c r="I36" s="10" t="n"/>
    </row>
    <row r="37">
      <c r="A37" s="3" t="inlineStr">
        <is>
          <t>Total</t>
        </is>
      </c>
      <c r="B37" s="22" t="n"/>
      <c r="C37" s="22">
        <f>SUM(C32:C36)</f>
        <v/>
      </c>
      <c r="E37" s="11" t="inlineStr">
        <is>
          <t>Achats locaux</t>
        </is>
      </c>
      <c r="F37" s="12" t="n">
        <v>0</v>
      </c>
      <c r="G37" s="11" t="inlineStr">
        <is>
          <t>Ventes</t>
        </is>
      </c>
      <c r="H37" s="13">
        <f>F13+F21+F29</f>
        <v/>
      </c>
      <c r="I37" s="14" t="n"/>
      <c r="J37" s="15" t="inlineStr">
        <is>
          <t>TVA collectée</t>
        </is>
      </c>
      <c r="K37" s="16" t="inlineStr">
        <is>
          <t>X</t>
        </is>
      </c>
      <c r="L37" s="17" t="inlineStr">
        <is>
          <t>X</t>
        </is>
      </c>
    </row>
    <row r="38">
      <c r="E38" s="11" t="inlineStr">
        <is>
          <t>Achats importés</t>
        </is>
      </c>
      <c r="F38" s="12" t="n">
        <v>0</v>
      </c>
      <c r="G38" s="11" t="n"/>
      <c r="H38" s="13" t="n"/>
      <c r="I38" s="14" t="n"/>
      <c r="J38" s="5" t="inlineStr">
        <is>
          <t>TVA déductible Achats locaux</t>
        </is>
      </c>
      <c r="K38" s="6" t="inlineStr">
        <is>
          <t>X</t>
        </is>
      </c>
      <c r="L38" s="12" t="inlineStr">
        <is>
          <t>X</t>
        </is>
      </c>
    </row>
    <row r="39">
      <c r="A39" s="3" t="inlineStr">
        <is>
          <t>Recettes totales</t>
        </is>
      </c>
      <c r="B39" s="4" t="n"/>
      <c r="C39" s="4" t="inlineStr">
        <is>
          <t>Recettes</t>
        </is>
      </c>
      <c r="E39" s="11" t="inlineStr">
        <is>
          <t>Salaires</t>
        </is>
      </c>
      <c r="F39" s="12" t="n">
        <v>50</v>
      </c>
      <c r="G39" s="11" t="n"/>
      <c r="H39" s="13" t="n"/>
      <c r="I39" s="14" t="n"/>
      <c r="J39" s="5" t="inlineStr">
        <is>
          <t>TVA déductible Achats importés</t>
        </is>
      </c>
      <c r="K39" s="6" t="inlineStr">
        <is>
          <t>X</t>
        </is>
      </c>
      <c r="L39" s="12" t="inlineStr">
        <is>
          <t>X</t>
        </is>
      </c>
    </row>
    <row r="40">
      <c r="A40" s="5" t="inlineStr">
        <is>
          <t>TVA</t>
        </is>
      </c>
      <c r="B40" s="12" t="n"/>
      <c r="C40" s="12" t="inlineStr">
        <is>
          <t>X</t>
        </is>
      </c>
      <c r="E40" s="18" t="inlineStr">
        <is>
          <t>Bénéfice</t>
        </is>
      </c>
      <c r="F40" s="19">
        <f>H41-SUM(F37:F39)</f>
        <v/>
      </c>
      <c r="G40" s="20" t="n"/>
      <c r="H40" s="21" t="n"/>
      <c r="I40" s="14" t="n"/>
      <c r="J40" s="3" t="inlineStr">
        <is>
          <t>TVA à reverser</t>
        </is>
      </c>
      <c r="K40" s="3" t="n"/>
      <c r="L40" s="22" t="inlineStr">
        <is>
          <t>X</t>
        </is>
      </c>
    </row>
    <row r="41">
      <c r="A41" s="5" t="inlineStr">
        <is>
          <t>IS</t>
        </is>
      </c>
      <c r="B41" s="12" t="n"/>
      <c r="C41" s="12" t="inlineStr">
        <is>
          <t>X</t>
        </is>
      </c>
      <c r="E41" s="7" t="inlineStr">
        <is>
          <t>Somme</t>
        </is>
      </c>
      <c r="F41" s="23">
        <f>SUM(F37:F40)</f>
        <v/>
      </c>
      <c r="G41" s="7" t="inlineStr">
        <is>
          <t>Somme</t>
        </is>
      </c>
      <c r="H41" s="24">
        <f>SUM(H37:H40)</f>
        <v/>
      </c>
      <c r="I41" s="10" t="n"/>
    </row>
    <row r="42">
      <c r="A42" s="3" t="inlineStr">
        <is>
          <t>Total</t>
        </is>
      </c>
      <c r="B42" s="22" t="n"/>
      <c r="C42" s="22">
        <f>SUM(C40:C41)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25" t="n"/>
      <c r="B1" s="25" t="n"/>
      <c r="C1" s="25" t="inlineStr">
        <is>
          <t>Janvier</t>
        </is>
      </c>
      <c r="D1" s="25" t="inlineStr">
        <is>
          <t>Février</t>
        </is>
      </c>
      <c r="E1" s="25" t="inlineStr">
        <is>
          <t>Mars</t>
        </is>
      </c>
      <c r="F1" s="25" t="inlineStr">
        <is>
          <t>Avril</t>
        </is>
      </c>
      <c r="G1" s="25" t="inlineStr">
        <is>
          <t>Mai</t>
        </is>
      </c>
      <c r="H1" s="25" t="inlineStr">
        <is>
          <t>Juin</t>
        </is>
      </c>
      <c r="I1" s="25" t="inlineStr">
        <is>
          <t>Juillet</t>
        </is>
      </c>
      <c r="J1" s="25" t="inlineStr">
        <is>
          <t xml:space="preserve">Août </t>
        </is>
      </c>
      <c r="K1" s="25" t="inlineStr">
        <is>
          <t>Septembre</t>
        </is>
      </c>
      <c r="L1" s="25" t="inlineStr">
        <is>
          <t>Octobre</t>
        </is>
      </c>
      <c r="M1" s="25" t="inlineStr">
        <is>
          <t>Novembre</t>
        </is>
      </c>
      <c r="N1" s="25" t="inlineStr">
        <is>
          <t>Décembre</t>
        </is>
      </c>
      <c r="O1" s="25" t="inlineStr">
        <is>
          <t>Total</t>
        </is>
      </c>
      <c r="P1" s="25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1) Comprendre les données de l’exercice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22">
        <f>C14+C17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SUM(C15:C16)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 Charges finnacières</t>
        </is>
      </c>
      <c r="B17" s="6" t="n">
        <v>0.05</v>
      </c>
      <c r="C17" s="12">
        <f>F8*B17</f>
        <v/>
      </c>
      <c r="D17" s="11" t="n"/>
      <c r="E17" s="35" t="n"/>
      <c r="F17" s="13" t="n"/>
    </row>
    <row r="18">
      <c r="A18" s="38" t="inlineStr">
        <is>
          <t>Profit</t>
        </is>
      </c>
      <c r="B18" s="4" t="n"/>
      <c r="C18" s="22">
        <f>F13-C13</f>
        <v/>
      </c>
      <c r="D18" s="40" t="n"/>
      <c r="E18" s="41" t="n"/>
      <c r="F18" s="42" t="n"/>
    </row>
    <row r="19">
      <c r="A19" s="7" t="inlineStr">
        <is>
          <t>Total Charges</t>
        </is>
      </c>
      <c r="B19" s="8" t="n"/>
      <c r="C19" s="23">
        <f>C13+C18</f>
        <v/>
      </c>
      <c r="D19" s="7" t="inlineStr">
        <is>
          <t>Total Produits</t>
        </is>
      </c>
      <c r="E19" s="8" t="n"/>
      <c r="F19" s="24">
        <f>F13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1) Situation initiale</t>
        </is>
      </c>
    </row>
    <row r="2"/>
    <row r="3">
      <c r="A3" s="1" t="inlineStr">
        <is>
          <t>BILAN</t>
        </is>
      </c>
      <c r="B3" s="1" t="n"/>
    </row>
    <row r="4">
      <c r="A4" s="43" t="inlineStr">
        <is>
          <t>Actif</t>
        </is>
      </c>
      <c r="B4" s="44" t="n"/>
      <c r="C4" s="45" t="n"/>
      <c r="D4" s="43" t="inlineStr">
        <is>
          <t>Passif</t>
        </is>
      </c>
      <c r="E4" s="44" t="n"/>
      <c r="F4" s="46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43" t="inlineStr">
        <is>
          <t>Total Actif</t>
        </is>
      </c>
      <c r="B9" s="44" t="n"/>
      <c r="C9" s="47">
        <f>C5+C8</f>
        <v/>
      </c>
      <c r="D9" s="43" t="inlineStr">
        <is>
          <t>Total Passif</t>
        </is>
      </c>
      <c r="E9" s="44" t="n"/>
      <c r="F9" s="47">
        <f>F5+F8</f>
        <v/>
      </c>
    </row>
    <row r="10"/>
    <row r="11">
      <c r="A11" s="1" t="inlineStr">
        <is>
          <t>COMPTE DE RESULTAT</t>
        </is>
      </c>
    </row>
    <row r="12">
      <c r="A12" s="43" t="inlineStr">
        <is>
          <t>Charges</t>
        </is>
      </c>
      <c r="B12" s="44" t="n"/>
      <c r="C12" s="48" t="n"/>
      <c r="D12" s="43" t="inlineStr">
        <is>
          <t>Produits</t>
        </is>
      </c>
      <c r="E12" s="44" t="n"/>
      <c r="F12" s="49" t="n"/>
    </row>
    <row r="13">
      <c r="A13" s="38" t="inlineStr">
        <is>
          <t>Coûts de production</t>
        </is>
      </c>
      <c r="B13" s="4" t="n"/>
      <c r="C13" s="22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12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12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12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12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22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12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12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12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12">
        <f>C24*B26</f>
        <v/>
      </c>
      <c r="D26" s="40" t="n"/>
      <c r="E26" s="41" t="n"/>
      <c r="F26" s="42" t="n"/>
    </row>
    <row r="27">
      <c r="A27" s="43" t="inlineStr">
        <is>
          <t>Total Charges</t>
        </is>
      </c>
      <c r="B27" s="44" t="n"/>
      <c r="C27" s="51">
        <f>C13+C22</f>
        <v/>
      </c>
      <c r="D27" s="43" t="inlineStr">
        <is>
          <t>Total Produits</t>
        </is>
      </c>
      <c r="E27" s="44" t="n"/>
      <c r="F27" s="47">
        <f>F13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0.83203125" customWidth="1" min="2" max="2"/>
    <col width="20.83203125" customWidth="1" min="4" max="4"/>
    <col width="15.83203125" customWidth="1" min="5" max="5"/>
    <col width="10.83203125" customWidth="1" min="6" max="6"/>
    <col width="15.83203125" customWidth="1" min="7" max="7"/>
    <col width="10.83203125" customWidth="1" min="8" max="8"/>
    <col width="5.83203125" customWidth="1" min="9" max="9"/>
    <col width="30.83203125" customWidth="1" min="10" max="10"/>
    <col width="10.83203125" customWidth="1" min="11" max="11"/>
    <col width="10.83203125" customWidth="1" min="12" max="12"/>
  </cols>
  <sheetData>
    <row r="1">
      <c r="A1" s="1" t="inlineStr">
        <is>
          <t>RECAPITULATIF</t>
        </is>
      </c>
      <c r="E1" s="1" t="inlineStr">
        <is>
          <t>COMPTES DE RESULTAT</t>
        </is>
      </c>
      <c r="J1" s="1" t="inlineStr">
        <is>
          <t>TVA</t>
        </is>
      </c>
      <c r="K1" s="2" t="inlineStr">
        <is>
          <t>Taux</t>
        </is>
      </c>
      <c r="L1" s="2" t="inlineStr">
        <is>
          <t>Montant</t>
        </is>
      </c>
    </row>
    <row r="2">
      <c r="A2" s="3" t="inlineStr">
        <is>
          <t>Taux d'imposition</t>
        </is>
      </c>
      <c r="B2" s="3" t="n"/>
      <c r="C2" s="4" t="inlineStr">
        <is>
          <t>Taux</t>
        </is>
      </c>
    </row>
    <row r="3">
      <c r="A3" s="5" t="inlineStr">
        <is>
          <t>TVA</t>
        </is>
      </c>
      <c r="B3" s="5" t="n"/>
      <c r="C3" s="6" t="n">
        <v>0.2</v>
      </c>
      <c r="E3" s="1" t="inlineStr">
        <is>
          <t>Entreprise extractive</t>
        </is>
      </c>
      <c r="F3" s="1" t="n"/>
    </row>
    <row r="4">
      <c r="A4" s="5" t="inlineStr">
        <is>
          <t>IS</t>
        </is>
      </c>
      <c r="B4" s="5" t="n"/>
      <c r="C4" s="6" t="n">
        <v>0.3</v>
      </c>
      <c r="E4" s="7" t="inlineStr">
        <is>
          <t>Charges</t>
        </is>
      </c>
      <c r="F4" s="8" t="n"/>
      <c r="G4" s="7" t="inlineStr">
        <is>
          <t>Produits</t>
        </is>
      </c>
      <c r="H4" s="9" t="n"/>
      <c r="I4" s="10" t="n"/>
    </row>
    <row r="5">
      <c r="E5" s="11" t="inlineStr">
        <is>
          <t>Achats locaux</t>
        </is>
      </c>
      <c r="F5" s="12">
        <f>H13+H21+H29</f>
        <v/>
      </c>
      <c r="G5" s="11" t="inlineStr">
        <is>
          <t>Ventes</t>
        </is>
      </c>
      <c r="H5" s="13" t="n">
        <v>1000</v>
      </c>
      <c r="I5" s="14" t="n"/>
      <c r="J5" s="15" t="inlineStr">
        <is>
          <t>TVA collectée</t>
        </is>
      </c>
      <c r="K5" s="16">
        <f>$C$3</f>
        <v/>
      </c>
      <c r="L5" s="17">
        <f>H5*K5</f>
        <v/>
      </c>
    </row>
    <row r="6">
      <c r="A6" s="3" t="inlineStr">
        <is>
          <t>Achats importés</t>
        </is>
      </c>
      <c r="B6" s="4" t="inlineStr">
        <is>
          <t>Valeur</t>
        </is>
      </c>
      <c r="C6" s="4" t="inlineStr">
        <is>
          <t>TVA</t>
        </is>
      </c>
      <c r="E6" s="11" t="inlineStr">
        <is>
          <t>Achats importés</t>
        </is>
      </c>
      <c r="F6" s="12" t="n">
        <v>130</v>
      </c>
      <c r="G6" s="11" t="n"/>
      <c r="H6" s="13" t="n"/>
      <c r="I6" s="14" t="n"/>
      <c r="J6" s="5" t="inlineStr">
        <is>
          <t>TVA déductible Achats locaux</t>
        </is>
      </c>
      <c r="K6" s="6">
        <f>$C$3</f>
        <v/>
      </c>
      <c r="L6" s="12">
        <f>F5*K6</f>
        <v/>
      </c>
    </row>
    <row r="7">
      <c r="A7" s="5" t="inlineStr">
        <is>
          <t>Entreprise extractive</t>
        </is>
      </c>
      <c r="B7" s="12">
        <f>F6</f>
        <v/>
      </c>
      <c r="C7" s="12">
        <f>L7</f>
        <v/>
      </c>
      <c r="E7" s="11" t="inlineStr">
        <is>
          <t>Salaires</t>
        </is>
      </c>
      <c r="F7" s="12" t="n">
        <v>300</v>
      </c>
      <c r="G7" s="11" t="n"/>
      <c r="H7" s="13" t="n"/>
      <c r="I7" s="14" t="n"/>
      <c r="J7" s="5" t="inlineStr">
        <is>
          <t>TVA déductible Achats importés</t>
        </is>
      </c>
      <c r="K7" s="6">
        <f>$C$3</f>
        <v/>
      </c>
      <c r="L7" s="12">
        <f>F6*K7</f>
        <v/>
      </c>
    </row>
    <row r="8">
      <c r="A8" s="5" t="inlineStr">
        <is>
          <t>Sous-traitant 1</t>
        </is>
      </c>
      <c r="B8" s="12">
        <f>F14</f>
        <v/>
      </c>
      <c r="C8" s="12">
        <f>L15</f>
        <v/>
      </c>
      <c r="E8" s="18" t="inlineStr">
        <is>
          <t>Bénéfice</t>
        </is>
      </c>
      <c r="F8" s="19">
        <f>H9-SUM(F5:F7)</f>
        <v/>
      </c>
      <c r="G8" s="20" t="n"/>
      <c r="H8" s="21" t="n"/>
      <c r="I8" s="14" t="n"/>
      <c r="J8" s="3" t="inlineStr">
        <is>
          <t>TVA à reverser</t>
        </is>
      </c>
      <c r="K8" s="3" t="n"/>
      <c r="L8" s="22">
        <f>L5-SUM(L6:L7)</f>
        <v/>
      </c>
    </row>
    <row r="9">
      <c r="A9" s="5" t="inlineStr">
        <is>
          <t>Sous-traitant 2</t>
        </is>
      </c>
      <c r="B9" s="12">
        <f>F22</f>
        <v/>
      </c>
      <c r="C9" s="12">
        <f>L23</f>
        <v/>
      </c>
      <c r="E9" s="7" t="inlineStr">
        <is>
          <t>Somme</t>
        </is>
      </c>
      <c r="F9" s="23">
        <f>SUM(F5:F8)</f>
        <v/>
      </c>
      <c r="G9" s="7" t="inlineStr">
        <is>
          <t>Somme</t>
        </is>
      </c>
      <c r="H9" s="24">
        <f>SUM(H5:H8)</f>
        <v/>
      </c>
      <c r="I9" s="10" t="n"/>
    </row>
    <row r="10">
      <c r="A10" s="5" t="inlineStr">
        <is>
          <t>Sous-traitant 3</t>
        </is>
      </c>
      <c r="B10" s="12">
        <f>F30</f>
        <v/>
      </c>
      <c r="C10" s="12">
        <f>L31</f>
        <v/>
      </c>
    </row>
    <row r="11">
      <c r="A11" s="5" t="inlineStr">
        <is>
          <t>Fournisseurs locaux</t>
        </is>
      </c>
      <c r="B11" s="12">
        <f>F38</f>
        <v/>
      </c>
      <c r="C11" s="12">
        <f>L39</f>
        <v/>
      </c>
      <c r="E11" s="1" t="inlineStr">
        <is>
          <t>Sous-traitant 1 : Chimie</t>
        </is>
      </c>
      <c r="F11" s="1" t="n"/>
    </row>
    <row r="12">
      <c r="A12" s="3" t="inlineStr">
        <is>
          <t>Total</t>
        </is>
      </c>
      <c r="B12" s="22">
        <f>SUM(B7:B11)</f>
        <v/>
      </c>
      <c r="C12" s="22">
        <f>SUM(C7:C11)</f>
        <v/>
      </c>
      <c r="E12" s="7" t="inlineStr">
        <is>
          <t>Charges</t>
        </is>
      </c>
      <c r="F12" s="8" t="n"/>
      <c r="G12" s="7" t="inlineStr">
        <is>
          <t>Produits</t>
        </is>
      </c>
      <c r="H12" s="9" t="n"/>
      <c r="I12" s="10" t="n"/>
    </row>
    <row r="13">
      <c r="E13" s="11" t="inlineStr">
        <is>
          <t>Achats locaux</t>
        </is>
      </c>
      <c r="F13" s="12" t="n">
        <v>30</v>
      </c>
      <c r="G13" s="11" t="inlineStr">
        <is>
          <t>Ventes</t>
        </is>
      </c>
      <c r="H13" s="13" t="n">
        <v>100</v>
      </c>
      <c r="I13" s="14" t="n"/>
      <c r="J13" s="15" t="inlineStr">
        <is>
          <t>TVA collectée</t>
        </is>
      </c>
      <c r="K13" s="16">
        <f>$C$3</f>
        <v/>
      </c>
      <c r="L13" s="17">
        <f>H13*K13</f>
        <v/>
      </c>
    </row>
    <row r="14">
      <c r="A14" s="3" t="inlineStr">
        <is>
          <t>Achats locaux</t>
        </is>
      </c>
      <c r="B14" s="4" t="inlineStr">
        <is>
          <t>Valeur</t>
        </is>
      </c>
      <c r="C14" s="4" t="inlineStr">
        <is>
          <t>TVA</t>
        </is>
      </c>
      <c r="E14" s="11" t="inlineStr">
        <is>
          <t>Achats importés</t>
        </is>
      </c>
      <c r="F14" s="12" t="n">
        <v>20</v>
      </c>
      <c r="G14" s="11" t="n"/>
      <c r="H14" s="13" t="n"/>
      <c r="I14" s="14" t="n"/>
      <c r="J14" s="5" t="inlineStr">
        <is>
          <t>TVA déductible Achats locaux</t>
        </is>
      </c>
      <c r="K14" s="6">
        <f>$C$3</f>
        <v/>
      </c>
      <c r="L14" s="12">
        <f>F13*K14</f>
        <v/>
      </c>
    </row>
    <row r="15">
      <c r="A15" s="5" t="inlineStr">
        <is>
          <t>Entreprise extractive</t>
        </is>
      </c>
      <c r="B15" s="12">
        <f>F5</f>
        <v/>
      </c>
      <c r="C15" s="12">
        <f>L6</f>
        <v/>
      </c>
      <c r="E15" s="11" t="inlineStr">
        <is>
          <t>Salaires</t>
        </is>
      </c>
      <c r="F15" s="12" t="n">
        <v>20</v>
      </c>
      <c r="G15" s="11" t="n"/>
      <c r="H15" s="13" t="n"/>
      <c r="I15" s="14" t="n"/>
      <c r="J15" s="5" t="inlineStr">
        <is>
          <t>TVA déductible Achats importés</t>
        </is>
      </c>
      <c r="K15" s="6">
        <f>$C$3</f>
        <v/>
      </c>
      <c r="L15" s="12">
        <f>F14*K15</f>
        <v/>
      </c>
    </row>
    <row r="16">
      <c r="A16" s="5" t="inlineStr">
        <is>
          <t>Sous-traitant 1</t>
        </is>
      </c>
      <c r="B16" s="12">
        <f>F13</f>
        <v/>
      </c>
      <c r="C16" s="12">
        <f>L14</f>
        <v/>
      </c>
      <c r="E16" s="18" t="inlineStr">
        <is>
          <t>Bénéfice</t>
        </is>
      </c>
      <c r="F16" s="19">
        <f>H17-SUM(F13:F15)</f>
        <v/>
      </c>
      <c r="G16" s="20" t="n"/>
      <c r="H16" s="21" t="n"/>
      <c r="I16" s="14" t="n"/>
      <c r="J16" s="3" t="inlineStr">
        <is>
          <t>TVA à reverser</t>
        </is>
      </c>
      <c r="K16" s="3" t="n"/>
      <c r="L16" s="22">
        <f>L13-SUM(L14:L15)</f>
        <v/>
      </c>
    </row>
    <row r="17">
      <c r="A17" s="5" t="inlineStr">
        <is>
          <t>Sous-traitant 2</t>
        </is>
      </c>
      <c r="B17" s="12">
        <f>F21</f>
        <v/>
      </c>
      <c r="C17" s="12">
        <f>L22</f>
        <v/>
      </c>
      <c r="E17" s="7" t="inlineStr">
        <is>
          <t>Somme</t>
        </is>
      </c>
      <c r="F17" s="23">
        <f>SUM(F13:F16)</f>
        <v/>
      </c>
      <c r="G17" s="7" t="inlineStr">
        <is>
          <t>Somme</t>
        </is>
      </c>
      <c r="H17" s="24">
        <f>SUM(H13:H16)</f>
        <v/>
      </c>
      <c r="I17" s="10" t="n"/>
    </row>
    <row r="18">
      <c r="A18" s="5" t="inlineStr">
        <is>
          <t>Sous-traitant 3</t>
        </is>
      </c>
      <c r="B18" s="12">
        <f>F29</f>
        <v/>
      </c>
      <c r="C18" s="12">
        <f>L30</f>
        <v/>
      </c>
    </row>
    <row r="19">
      <c r="A19" s="5" t="inlineStr">
        <is>
          <t>Fournisseurs locaux</t>
        </is>
      </c>
      <c r="B19" s="12">
        <f>F37</f>
        <v/>
      </c>
      <c r="C19" s="12">
        <f>L38</f>
        <v/>
      </c>
      <c r="E19" s="1" t="inlineStr">
        <is>
          <t>Sous-traitant 2 : Machines et services après vente</t>
        </is>
      </c>
      <c r="F19" s="1" t="n"/>
    </row>
    <row r="20">
      <c r="A20" s="3" t="inlineStr">
        <is>
          <t>Total</t>
        </is>
      </c>
      <c r="B20" s="22">
        <f>SUM(B15:B19)</f>
        <v/>
      </c>
      <c r="C20" s="22">
        <f>SUM(C15:C19)</f>
        <v/>
      </c>
      <c r="E20" s="7" t="inlineStr">
        <is>
          <t>Charges</t>
        </is>
      </c>
      <c r="F20" s="8" t="n"/>
      <c r="G20" s="7" t="inlineStr">
        <is>
          <t>Produits</t>
        </is>
      </c>
      <c r="H20" s="9" t="n"/>
      <c r="I20" s="10" t="n"/>
    </row>
    <row r="21">
      <c r="E21" s="11" t="inlineStr">
        <is>
          <t>Achats locaux</t>
        </is>
      </c>
      <c r="F21" s="12" t="n">
        <v>50</v>
      </c>
      <c r="G21" s="11" t="inlineStr">
        <is>
          <t>Ventes</t>
        </is>
      </c>
      <c r="H21" s="13" t="n">
        <v>250</v>
      </c>
      <c r="I21" s="14" t="n"/>
      <c r="J21" s="15" t="inlineStr">
        <is>
          <t>TVA collectée</t>
        </is>
      </c>
      <c r="K21" s="16">
        <f>$C$3</f>
        <v/>
      </c>
      <c r="L21" s="17">
        <f>H21*K21</f>
        <v/>
      </c>
    </row>
    <row r="22">
      <c r="A22" s="3" t="inlineStr">
        <is>
          <t>Recettes de TVA</t>
        </is>
      </c>
      <c r="B22" s="4" t="n"/>
      <c r="C22" s="4" t="inlineStr">
        <is>
          <t>TVA</t>
        </is>
      </c>
      <c r="E22" s="11" t="inlineStr">
        <is>
          <t>Achats importés</t>
        </is>
      </c>
      <c r="F22" s="12" t="n">
        <v>100</v>
      </c>
      <c r="G22" s="11" t="n"/>
      <c r="H22" s="13" t="n"/>
      <c r="I22" s="14" t="n"/>
      <c r="J22" s="5" t="inlineStr">
        <is>
          <t>TVA déductible Achats locaux</t>
        </is>
      </c>
      <c r="K22" s="6">
        <f>$C$3</f>
        <v/>
      </c>
      <c r="L22" s="12">
        <f>F21*K22</f>
        <v/>
      </c>
    </row>
    <row r="23">
      <c r="A23" s="5" t="inlineStr">
        <is>
          <t>Douanes</t>
        </is>
      </c>
      <c r="B23" s="12" t="n"/>
      <c r="C23" s="12">
        <f>L7+L15+L23+L31+L39</f>
        <v/>
      </c>
      <c r="E23" s="11" t="inlineStr">
        <is>
          <t>Salaires</t>
        </is>
      </c>
      <c r="F23" s="12" t="n">
        <v>20</v>
      </c>
      <c r="G23" s="11" t="n"/>
      <c r="H23" s="13" t="n"/>
      <c r="I23" s="14" t="n"/>
      <c r="J23" s="5" t="inlineStr">
        <is>
          <t>TVA déductible Achats importés</t>
        </is>
      </c>
      <c r="K23" s="6">
        <f>$C$3</f>
        <v/>
      </c>
      <c r="L23" s="12">
        <f>F22*K23</f>
        <v/>
      </c>
    </row>
    <row r="24">
      <c r="A24" s="5" t="inlineStr">
        <is>
          <t>Entreprise extractive</t>
        </is>
      </c>
      <c r="B24" s="12" t="n"/>
      <c r="C24" s="12">
        <f>L8</f>
        <v/>
      </c>
      <c r="E24" s="18" t="inlineStr">
        <is>
          <t>Bénéfice</t>
        </is>
      </c>
      <c r="F24" s="19">
        <f>H25-SUM(F21:F23)</f>
        <v/>
      </c>
      <c r="G24" s="20" t="n"/>
      <c r="H24" s="21" t="n"/>
      <c r="I24" s="14" t="n"/>
      <c r="J24" s="3" t="inlineStr">
        <is>
          <t>TVA à reverser</t>
        </is>
      </c>
      <c r="K24" s="3" t="n"/>
      <c r="L24" s="22">
        <f>L21-SUM(L22:L23)</f>
        <v/>
      </c>
    </row>
    <row r="25">
      <c r="A25" s="5" t="inlineStr">
        <is>
          <t>Sous-traitant 1</t>
        </is>
      </c>
      <c r="B25" s="12" t="n"/>
      <c r="C25" s="12">
        <f>L16</f>
        <v/>
      </c>
      <c r="E25" s="7" t="inlineStr">
        <is>
          <t>Somme</t>
        </is>
      </c>
      <c r="F25" s="23">
        <f>SUM(F21:F24)</f>
        <v/>
      </c>
      <c r="G25" s="7" t="inlineStr">
        <is>
          <t>Somme</t>
        </is>
      </c>
      <c r="H25" s="24">
        <f>SUM(H21:H24)</f>
        <v/>
      </c>
      <c r="I25" s="10" t="n"/>
    </row>
    <row r="26">
      <c r="A26" s="5" t="inlineStr">
        <is>
          <t>Sous-traitant 2</t>
        </is>
      </c>
      <c r="B26" s="12" t="n"/>
      <c r="C26" s="12">
        <f>L24</f>
        <v/>
      </c>
    </row>
    <row r="27">
      <c r="A27" s="5" t="inlineStr">
        <is>
          <t>Sous-traitant 3</t>
        </is>
      </c>
      <c r="B27" s="12" t="n"/>
      <c r="C27" s="12">
        <f>L32</f>
        <v/>
      </c>
      <c r="E27" s="1" t="inlineStr">
        <is>
          <t>Sous-traitant 3 : Société de gardiennage</t>
        </is>
      </c>
      <c r="F27" s="1" t="n"/>
    </row>
    <row r="28">
      <c r="A28" s="5" t="inlineStr">
        <is>
          <t>Fournisseurs locaux</t>
        </is>
      </c>
      <c r="B28" s="12" t="n"/>
      <c r="C28" s="12">
        <f>L40</f>
        <v/>
      </c>
      <c r="E28" s="7" t="inlineStr">
        <is>
          <t>Charges</t>
        </is>
      </c>
      <c r="F28" s="8" t="n"/>
      <c r="G28" s="7" t="inlineStr">
        <is>
          <t>Produits</t>
        </is>
      </c>
      <c r="H28" s="9" t="n"/>
      <c r="I28" s="10" t="n"/>
    </row>
    <row r="29">
      <c r="A29" s="3" t="inlineStr">
        <is>
          <t>Total</t>
        </is>
      </c>
      <c r="B29" s="22" t="n"/>
      <c r="C29" s="22">
        <f>SUM(C23:C28)</f>
        <v/>
      </c>
      <c r="E29" s="11" t="inlineStr">
        <is>
          <t>Achats locaux</t>
        </is>
      </c>
      <c r="F29" s="12" t="n">
        <v>10</v>
      </c>
      <c r="G29" s="11" t="inlineStr">
        <is>
          <t>Ventes</t>
        </is>
      </c>
      <c r="H29" s="13" t="n">
        <v>120</v>
      </c>
      <c r="I29" s="14" t="n"/>
      <c r="J29" s="15" t="inlineStr">
        <is>
          <t>TVA collectée</t>
        </is>
      </c>
      <c r="K29" s="16">
        <f>$C$3</f>
        <v/>
      </c>
      <c r="L29" s="17">
        <f>H29*K29</f>
        <v/>
      </c>
    </row>
    <row r="30">
      <c r="E30" s="11" t="inlineStr">
        <is>
          <t>Achats importés</t>
        </is>
      </c>
      <c r="F30" s="12" t="n">
        <v>0</v>
      </c>
      <c r="G30" s="11" t="n"/>
      <c r="H30" s="13" t="n"/>
      <c r="I30" s="14" t="n"/>
      <c r="J30" s="5" t="inlineStr">
        <is>
          <t>TVA déductible Achats locaux</t>
        </is>
      </c>
      <c r="K30" s="6">
        <f>$C$3</f>
        <v/>
      </c>
      <c r="L30" s="12">
        <f>F29*K30</f>
        <v/>
      </c>
    </row>
    <row r="31">
      <c r="A31" s="3" t="inlineStr">
        <is>
          <t>Recettes d'IS</t>
        </is>
      </c>
      <c r="B31" s="4" t="inlineStr">
        <is>
          <t>Bénéfice</t>
        </is>
      </c>
      <c r="C31" s="4" t="inlineStr">
        <is>
          <t>IS</t>
        </is>
      </c>
      <c r="E31" s="11" t="inlineStr">
        <is>
          <t>Salaires</t>
        </is>
      </c>
      <c r="F31" s="12" t="n">
        <v>80</v>
      </c>
      <c r="G31" s="11" t="n"/>
      <c r="H31" s="13" t="n"/>
      <c r="I31" s="14" t="n"/>
      <c r="J31" s="5" t="inlineStr">
        <is>
          <t>TVA déductible Achats importés</t>
        </is>
      </c>
      <c r="K31" s="6">
        <f>$C$3</f>
        <v/>
      </c>
      <c r="L31" s="12">
        <f>F30*K31</f>
        <v/>
      </c>
    </row>
    <row r="32">
      <c r="A32" s="5" t="inlineStr">
        <is>
          <t>Entreprise extractive</t>
        </is>
      </c>
      <c r="B32" s="12">
        <f>F8</f>
        <v/>
      </c>
      <c r="C32" s="12">
        <f>IF(B32&gt;0,B32*$C$4,0)</f>
        <v/>
      </c>
      <c r="E32" s="18" t="inlineStr">
        <is>
          <t>Bénéfice</t>
        </is>
      </c>
      <c r="F32" s="19">
        <f>H33-SUM(F29:F31)</f>
        <v/>
      </c>
      <c r="G32" s="20" t="n"/>
      <c r="H32" s="21" t="n"/>
      <c r="I32" s="14" t="n"/>
      <c r="J32" s="3" t="inlineStr">
        <is>
          <t>TVA à reverser</t>
        </is>
      </c>
      <c r="K32" s="3" t="n"/>
      <c r="L32" s="22">
        <f>L29-SUM(L30:L31)</f>
        <v/>
      </c>
    </row>
    <row r="33">
      <c r="A33" s="5" t="inlineStr">
        <is>
          <t>Sous-traitant 1</t>
        </is>
      </c>
      <c r="B33" s="12">
        <f>F16</f>
        <v/>
      </c>
      <c r="C33" s="12">
        <f>IF(B33&gt;0,B33*$C$4,0)</f>
        <v/>
      </c>
      <c r="E33" s="7" t="inlineStr">
        <is>
          <t>Somme</t>
        </is>
      </c>
      <c r="F33" s="23">
        <f>SUM(F29:F32)</f>
        <v/>
      </c>
      <c r="G33" s="7" t="inlineStr">
        <is>
          <t>Somme</t>
        </is>
      </c>
      <c r="H33" s="24">
        <f>SUM(H29:H32)</f>
        <v/>
      </c>
      <c r="I33" s="10" t="n"/>
    </row>
    <row r="34">
      <c r="A34" s="5" t="inlineStr">
        <is>
          <t>Sous-traitant 2</t>
        </is>
      </c>
      <c r="B34" s="12">
        <f>F24</f>
        <v/>
      </c>
      <c r="C34" s="12">
        <f>IF(B34&gt;0,B34*$C$4,0)</f>
        <v/>
      </c>
    </row>
    <row r="35">
      <c r="A35" s="5" t="inlineStr">
        <is>
          <t>Sous-traitant 3</t>
        </is>
      </c>
      <c r="B35" s="12">
        <f>F32</f>
        <v/>
      </c>
      <c r="C35" s="12">
        <f>IF(B35&gt;0,B35*$C$4,0)</f>
        <v/>
      </c>
      <c r="E35" s="1" t="inlineStr">
        <is>
          <t>Fournisseurs locaux des sous-traitants</t>
        </is>
      </c>
      <c r="F35" s="1" t="n"/>
    </row>
    <row r="36">
      <c r="A36" s="5" t="inlineStr">
        <is>
          <t>Fournisseurs locaux</t>
        </is>
      </c>
      <c r="B36" s="12">
        <f>F40</f>
        <v/>
      </c>
      <c r="C36" s="12">
        <f>IF(B36&gt;0,B36*$C$4,0)</f>
        <v/>
      </c>
      <c r="E36" s="7" t="inlineStr">
        <is>
          <t>Charges</t>
        </is>
      </c>
      <c r="F36" s="8" t="n"/>
      <c r="G36" s="7" t="inlineStr">
        <is>
          <t>Produits</t>
        </is>
      </c>
      <c r="H36" s="9" t="n"/>
      <c r="I36" s="10" t="n"/>
    </row>
    <row r="37">
      <c r="A37" s="3" t="inlineStr">
        <is>
          <t>Total</t>
        </is>
      </c>
      <c r="B37" s="22" t="n"/>
      <c r="C37" s="22">
        <f>SUM(C32:C36)</f>
        <v/>
      </c>
      <c r="E37" s="11" t="inlineStr">
        <is>
          <t>Achats locaux</t>
        </is>
      </c>
      <c r="F37" s="12" t="n">
        <v>0</v>
      </c>
      <c r="G37" s="11" t="inlineStr">
        <is>
          <t>Ventes</t>
        </is>
      </c>
      <c r="H37" s="13">
        <f>F13+F21+F29</f>
        <v/>
      </c>
      <c r="I37" s="14" t="n"/>
      <c r="J37" s="15" t="inlineStr">
        <is>
          <t>TVA collectée</t>
        </is>
      </c>
      <c r="K37" s="16">
        <f>$C$3</f>
        <v/>
      </c>
      <c r="L37" s="17">
        <f>H37*K37</f>
        <v/>
      </c>
    </row>
    <row r="38">
      <c r="E38" s="11" t="inlineStr">
        <is>
          <t>Achats importés</t>
        </is>
      </c>
      <c r="F38" s="12" t="n">
        <v>0</v>
      </c>
      <c r="G38" s="11" t="n"/>
      <c r="H38" s="13" t="n"/>
      <c r="I38" s="14" t="n"/>
      <c r="J38" s="5" t="inlineStr">
        <is>
          <t>TVA déductible Achats locaux</t>
        </is>
      </c>
      <c r="K38" s="6">
        <f>$C$3</f>
        <v/>
      </c>
      <c r="L38" s="12">
        <f>F37*K38</f>
        <v/>
      </c>
    </row>
    <row r="39">
      <c r="A39" s="3" t="inlineStr">
        <is>
          <t>Recettes totales</t>
        </is>
      </c>
      <c r="B39" s="4" t="n"/>
      <c r="C39" s="4" t="inlineStr">
        <is>
          <t>Recettes</t>
        </is>
      </c>
      <c r="E39" s="11" t="inlineStr">
        <is>
          <t>Salaires</t>
        </is>
      </c>
      <c r="F39" s="12" t="n">
        <v>50</v>
      </c>
      <c r="G39" s="11" t="n"/>
      <c r="H39" s="13" t="n"/>
      <c r="I39" s="14" t="n"/>
      <c r="J39" s="5" t="inlineStr">
        <is>
          <t>TVA déductible Achats importés</t>
        </is>
      </c>
      <c r="K39" s="6">
        <f>$C$3</f>
        <v/>
      </c>
      <c r="L39" s="12">
        <f>F38*K39</f>
        <v/>
      </c>
    </row>
    <row r="40">
      <c r="A40" s="5" t="inlineStr">
        <is>
          <t>TVA</t>
        </is>
      </c>
      <c r="B40" s="12" t="n"/>
      <c r="C40" s="12">
        <f>C29</f>
        <v/>
      </c>
      <c r="E40" s="18" t="inlineStr">
        <is>
          <t>Bénéfice</t>
        </is>
      </c>
      <c r="F40" s="19">
        <f>H41-SUM(F37:F39)</f>
        <v/>
      </c>
      <c r="G40" s="20" t="n"/>
      <c r="H40" s="21" t="n"/>
      <c r="I40" s="14" t="n"/>
      <c r="J40" s="3" t="inlineStr">
        <is>
          <t>TVA à reverser</t>
        </is>
      </c>
      <c r="K40" s="3" t="n"/>
      <c r="L40" s="22">
        <f>L37-SUM(L38:L39)</f>
        <v/>
      </c>
    </row>
    <row r="41">
      <c r="A41" s="5" t="inlineStr">
        <is>
          <t>IS</t>
        </is>
      </c>
      <c r="B41" s="12" t="n"/>
      <c r="C41" s="12">
        <f>C37</f>
        <v/>
      </c>
      <c r="E41" s="7" t="inlineStr">
        <is>
          <t>Somme</t>
        </is>
      </c>
      <c r="F41" s="23">
        <f>SUM(F37:F40)</f>
        <v/>
      </c>
      <c r="G41" s="7" t="inlineStr">
        <is>
          <t>Somme</t>
        </is>
      </c>
      <c r="H41" s="24">
        <f>SUM(H37:H40)</f>
        <v/>
      </c>
      <c r="I41" s="10" t="n"/>
    </row>
    <row r="42">
      <c r="A42" s="3" t="inlineStr">
        <is>
          <t>Total</t>
        </is>
      </c>
      <c r="B42" s="22" t="n"/>
      <c r="C42" s="22">
        <f>SUM(C40:C41)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25" t="n"/>
      <c r="B1" s="25" t="n"/>
      <c r="C1" s="25" t="inlineStr">
        <is>
          <t>Janvier</t>
        </is>
      </c>
      <c r="D1" s="25" t="inlineStr">
        <is>
          <t>Février</t>
        </is>
      </c>
      <c r="E1" s="25" t="inlineStr">
        <is>
          <t>Mars</t>
        </is>
      </c>
      <c r="F1" s="25" t="inlineStr">
        <is>
          <t>Avril</t>
        </is>
      </c>
      <c r="G1" s="25" t="inlineStr">
        <is>
          <t>Mai</t>
        </is>
      </c>
      <c r="H1" s="25" t="inlineStr">
        <is>
          <t>Juin</t>
        </is>
      </c>
      <c r="I1" s="25" t="inlineStr">
        <is>
          <t>Juillet</t>
        </is>
      </c>
      <c r="J1" s="25" t="inlineStr">
        <is>
          <t xml:space="preserve">Août </t>
        </is>
      </c>
      <c r="K1" s="25" t="inlineStr">
        <is>
          <t>Septembre</t>
        </is>
      </c>
      <c r="L1" s="25" t="inlineStr">
        <is>
          <t>Octobre</t>
        </is>
      </c>
      <c r="M1" s="25" t="inlineStr">
        <is>
          <t>Novembre</t>
        </is>
      </c>
      <c r="N1" s="25" t="inlineStr">
        <is>
          <t>Décembre</t>
        </is>
      </c>
      <c r="O1" s="25" t="inlineStr">
        <is>
          <t>Total</t>
        </is>
      </c>
      <c r="P1" s="25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>
        <f>C5*C2</f>
        <v/>
      </c>
      <c r="D6" s="17">
        <f>D5*D2</f>
        <v/>
      </c>
      <c r="E6" s="17">
        <f>E5*E2</f>
        <v/>
      </c>
      <c r="F6" s="17">
        <f>F5*F2</f>
        <v/>
      </c>
      <c r="G6" s="17">
        <f>G5*G2</f>
        <v/>
      </c>
      <c r="H6" s="17">
        <f>H5*H2</f>
        <v/>
      </c>
      <c r="I6" s="17">
        <f>I5*I2</f>
        <v/>
      </c>
      <c r="J6" s="17">
        <f>J5*J2</f>
        <v/>
      </c>
      <c r="K6" s="17">
        <f>K5*K2</f>
        <v/>
      </c>
      <c r="L6" s="17">
        <f>L5*L2</f>
        <v/>
      </c>
      <c r="M6" s="17">
        <f>M5*M2</f>
        <v/>
      </c>
      <c r="N6" s="17">
        <f>N5*N2</f>
        <v/>
      </c>
      <c r="O6" s="27">
        <f>SUM(C6:N6)</f>
        <v/>
      </c>
      <c r="P6" s="27">
        <f>P2*P5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>
        <f>C6*5%</f>
        <v/>
      </c>
      <c r="D7" s="17">
        <f>D6*5%</f>
        <v/>
      </c>
      <c r="E7" s="17">
        <f>E6*5%</f>
        <v/>
      </c>
      <c r="F7" s="17">
        <f>F6*5%</f>
        <v/>
      </c>
      <c r="G7" s="17">
        <f>G6*5%</f>
        <v/>
      </c>
      <c r="H7" s="17">
        <f>H6*5%</f>
        <v/>
      </c>
      <c r="I7" s="17">
        <f>I6*5%</f>
        <v/>
      </c>
      <c r="J7" s="17">
        <f>J6*5%</f>
        <v/>
      </c>
      <c r="K7" s="17">
        <f>K6*5%</f>
        <v/>
      </c>
      <c r="L7" s="17">
        <f>L6*5%</f>
        <v/>
      </c>
      <c r="M7" s="17">
        <f>M6*5%</f>
        <v/>
      </c>
      <c r="N7" s="17">
        <f>N6*5%</f>
        <v/>
      </c>
      <c r="O7" s="53">
        <f>SUM(C7:N7)</f>
        <v/>
      </c>
      <c r="P7" s="27">
        <f>AVERAGE(C7:N7)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1) Comprendre les données de l’exercice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22">
        <f>C14+C17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SUM(C15:C16)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 Charges finnacières</t>
        </is>
      </c>
      <c r="B17" s="6" t="n">
        <v>0.05</v>
      </c>
      <c r="C17" s="12">
        <f>F8*B17</f>
        <v/>
      </c>
      <c r="D17" s="11" t="n"/>
      <c r="E17" s="35" t="n"/>
      <c r="F17" s="13" t="n"/>
    </row>
    <row r="18">
      <c r="A18" s="38" t="inlineStr">
        <is>
          <t>Profit</t>
        </is>
      </c>
      <c r="B18" s="4" t="n"/>
      <c r="C18" s="22">
        <f>F13-C13</f>
        <v/>
      </c>
      <c r="D18" s="40" t="n"/>
      <c r="E18" s="41" t="n"/>
      <c r="F18" s="42" t="n"/>
    </row>
    <row r="19">
      <c r="A19" s="7" t="inlineStr">
        <is>
          <t>Total Charges</t>
        </is>
      </c>
      <c r="B19" s="8" t="n"/>
      <c r="C19" s="23">
        <f>C13+C18</f>
        <v/>
      </c>
      <c r="D19" s="7" t="inlineStr">
        <is>
          <t>Total Produits</t>
        </is>
      </c>
      <c r="E19" s="8" t="n"/>
      <c r="F19" s="24">
        <f>F13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2) Appliquer un régime fiscal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55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55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56" t="n">
        <v>0.01</v>
      </c>
      <c r="C18" s="55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56" t="n">
        <v>0.05</v>
      </c>
      <c r="C19" s="55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7" t="n">
        <v>0.075</v>
      </c>
      <c r="C20" s="55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12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56" t="n">
        <v>0.3</v>
      </c>
      <c r="C23" s="55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56" t="n">
        <v>0.5</v>
      </c>
      <c r="C25" s="55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56" t="n">
        <v>0.5</v>
      </c>
      <c r="C26" s="55">
        <f>C24*B26</f>
        <v/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25" t="n"/>
      <c r="B1" s="25" t="n"/>
      <c r="C1" s="25" t="inlineStr">
        <is>
          <t>Janvier</t>
        </is>
      </c>
      <c r="D1" s="25" t="inlineStr">
        <is>
          <t>Février</t>
        </is>
      </c>
      <c r="E1" s="25" t="inlineStr">
        <is>
          <t>Mars</t>
        </is>
      </c>
      <c r="F1" s="25" t="inlineStr">
        <is>
          <t>Avril</t>
        </is>
      </c>
      <c r="G1" s="25" t="inlineStr">
        <is>
          <t>Mai</t>
        </is>
      </c>
      <c r="H1" s="25" t="inlineStr">
        <is>
          <t>Juin</t>
        </is>
      </c>
      <c r="I1" s="25" t="inlineStr">
        <is>
          <t>Juillet</t>
        </is>
      </c>
      <c r="J1" s="25" t="inlineStr">
        <is>
          <t xml:space="preserve">Août </t>
        </is>
      </c>
      <c r="K1" s="25" t="inlineStr">
        <is>
          <t>Septembre</t>
        </is>
      </c>
      <c r="L1" s="25" t="inlineStr">
        <is>
          <t>Octobre</t>
        </is>
      </c>
      <c r="M1" s="25" t="inlineStr">
        <is>
          <t>Novembre</t>
        </is>
      </c>
      <c r="N1" s="25" t="inlineStr">
        <is>
          <t>Décembre</t>
        </is>
      </c>
      <c r="O1" s="25" t="inlineStr">
        <is>
          <t>Total</t>
        </is>
      </c>
      <c r="P1" s="25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>
        <f>C5*C2</f>
        <v/>
      </c>
      <c r="D6" s="17">
        <f>D5*D2</f>
        <v/>
      </c>
      <c r="E6" s="17">
        <f>E5*E2</f>
        <v/>
      </c>
      <c r="F6" s="17">
        <f>F5*F2</f>
        <v/>
      </c>
      <c r="G6" s="17">
        <f>G5*G2</f>
        <v/>
      </c>
      <c r="H6" s="17">
        <f>H5*H2</f>
        <v/>
      </c>
      <c r="I6" s="17">
        <f>I5*I2</f>
        <v/>
      </c>
      <c r="J6" s="17">
        <f>J5*J2</f>
        <v/>
      </c>
      <c r="K6" s="17">
        <f>K5*K2</f>
        <v/>
      </c>
      <c r="L6" s="17">
        <f>L5*L2</f>
        <v/>
      </c>
      <c r="M6" s="17">
        <f>M5*M2</f>
        <v/>
      </c>
      <c r="N6" s="17">
        <f>N5*N2</f>
        <v/>
      </c>
      <c r="O6" s="27">
        <f>SUM(C6:N6)</f>
        <v/>
      </c>
      <c r="P6" s="27">
        <f>P2*P5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>
        <f>C6*5%</f>
        <v/>
      </c>
      <c r="D7" s="17">
        <f>D6*5%</f>
        <v/>
      </c>
      <c r="E7" s="17">
        <f>E6*5%</f>
        <v/>
      </c>
      <c r="F7" s="17">
        <f>F6*5%</f>
        <v/>
      </c>
      <c r="G7" s="17">
        <f>G6*5%</f>
        <v/>
      </c>
      <c r="H7" s="17">
        <f>H6*5%</f>
        <v/>
      </c>
      <c r="I7" s="17">
        <f>I6*5%</f>
        <v/>
      </c>
      <c r="J7" s="17">
        <f>J6*5%</f>
        <v/>
      </c>
      <c r="K7" s="17">
        <f>K6*5%</f>
        <v/>
      </c>
      <c r="L7" s="17">
        <f>L6*5%</f>
        <v/>
      </c>
      <c r="M7" s="17">
        <f>M6*5%</f>
        <v/>
      </c>
      <c r="N7" s="17">
        <f>N6*5%</f>
        <v/>
      </c>
      <c r="O7" s="53">
        <f>SUM(C7:N7)</f>
        <v/>
      </c>
      <c r="P7" s="27">
        <f>AVERAGE(C7:N7)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55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55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 t="n"/>
      <c r="D6" s="17" t="n"/>
      <c r="E6" s="17" t="n"/>
      <c r="F6" s="17" t="n"/>
      <c r="G6" s="17" t="n"/>
      <c r="H6" s="17">
        <f>SUM(C5:H5)*H2</f>
        <v/>
      </c>
      <c r="I6" s="17" t="n"/>
      <c r="J6" s="17" t="n"/>
      <c r="K6" s="17" t="n"/>
      <c r="L6" s="17" t="n"/>
      <c r="M6" s="17" t="n"/>
      <c r="N6" s="17">
        <f>SUM(I5:N5)*N2</f>
        <v/>
      </c>
      <c r="O6" s="27">
        <f>SUM(C6:N6)</f>
        <v/>
      </c>
      <c r="P6" s="27">
        <f>O6/12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 t="n"/>
      <c r="D7" s="17" t="n"/>
      <c r="E7" s="17" t="n"/>
      <c r="F7" s="17" t="n"/>
      <c r="G7" s="17" t="n"/>
      <c r="H7" s="17">
        <f>H6*5%</f>
        <v/>
      </c>
      <c r="I7" s="17" t="n"/>
      <c r="J7" s="17" t="n"/>
      <c r="K7" s="17" t="n"/>
      <c r="L7" s="17" t="n"/>
      <c r="M7" s="17" t="n"/>
      <c r="N7" s="17">
        <f>N6*5%</f>
        <v/>
      </c>
      <c r="O7" s="53">
        <f>SUM(C7:N7)</f>
        <v/>
      </c>
      <c r="P7" s="27">
        <f>O7/12</f>
        <v/>
      </c>
    </row>
    <row r="8">
      <c r="O8" s="58">
        <f>O7-'2) Exportations mensuelles'!O7</f>
        <v/>
      </c>
    </row>
    <row r="9">
      <c r="O9" s="59">
        <f>O8/'2) Exportations mensuelles'!O7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1) Situation initiale</t>
        </is>
      </c>
    </row>
    <row r="2"/>
    <row r="3">
      <c r="A3" s="1" t="inlineStr">
        <is>
          <t>BILAN</t>
        </is>
      </c>
      <c r="B3" s="1" t="n"/>
    </row>
    <row r="4">
      <c r="A4" s="43" t="inlineStr">
        <is>
          <t>Actif</t>
        </is>
      </c>
      <c r="B4" s="44" t="n"/>
      <c r="C4" s="45" t="n"/>
      <c r="D4" s="43" t="inlineStr">
        <is>
          <t>Passif</t>
        </is>
      </c>
      <c r="E4" s="44" t="n"/>
      <c r="F4" s="46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43" t="inlineStr">
        <is>
          <t>Total Actif</t>
        </is>
      </c>
      <c r="B9" s="44" t="n"/>
      <c r="C9" s="47">
        <f>C5+C8</f>
        <v/>
      </c>
      <c r="D9" s="43" t="inlineStr">
        <is>
          <t>Total Passif</t>
        </is>
      </c>
      <c r="E9" s="44" t="n"/>
      <c r="F9" s="47">
        <f>F5+F8</f>
        <v/>
      </c>
    </row>
    <row r="10"/>
    <row r="11">
      <c r="A11" s="1" t="inlineStr">
        <is>
          <t>COMPTE DE RESULTAT</t>
        </is>
      </c>
    </row>
    <row r="12">
      <c r="A12" s="43" t="inlineStr">
        <is>
          <t>Charges</t>
        </is>
      </c>
      <c r="B12" s="44" t="n"/>
      <c r="C12" s="48" t="n"/>
      <c r="D12" s="43" t="inlineStr">
        <is>
          <t>Produits</t>
        </is>
      </c>
      <c r="E12" s="44" t="n"/>
      <c r="F12" s="49" t="n"/>
    </row>
    <row r="13">
      <c r="A13" s="38" t="inlineStr">
        <is>
          <t>Coûts de production</t>
        </is>
      </c>
      <c r="B13" s="4" t="n"/>
      <c r="C13" s="22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12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12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12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12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22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12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12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12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12">
        <f>C24*B26</f>
        <v/>
      </c>
      <c r="D26" s="40" t="n"/>
      <c r="E26" s="41" t="n"/>
      <c r="F26" s="42" t="n"/>
    </row>
    <row r="27">
      <c r="A27" s="43" t="inlineStr">
        <is>
          <t>Total Charges</t>
        </is>
      </c>
      <c r="B27" s="44" t="n"/>
      <c r="C27" s="51">
        <f>C13+C22</f>
        <v/>
      </c>
      <c r="D27" s="43" t="inlineStr">
        <is>
          <t>Total Produits</t>
        </is>
      </c>
      <c r="E27" s="44" t="n"/>
      <c r="F27" s="47">
        <f>F13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2) Sous-capitalisation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60" t="n">
        <v>1000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61" t="n">
        <v>10000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12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12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12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55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55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55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55">
        <f>C24*B26</f>
        <v/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3) Manipulation des coûts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1000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61" t="n">
        <v>12000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61" t="n">
        <v>15000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55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55" t="n">
        <v>2800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55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55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12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55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55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55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55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55">
        <f>C24*B26</f>
        <v/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1) Comprendre les données de l’exercice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22">
        <f>C14+C17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SUM(C15:C16)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 Charges finnacières</t>
        </is>
      </c>
      <c r="B17" s="6" t="n">
        <v>0.05</v>
      </c>
      <c r="C17" s="12">
        <f>F8*B17</f>
        <v/>
      </c>
      <c r="D17" s="11" t="n"/>
      <c r="E17" s="35" t="n"/>
      <c r="F17" s="13" t="n"/>
    </row>
    <row r="18">
      <c r="A18" s="38" t="inlineStr">
        <is>
          <t>Profit</t>
        </is>
      </c>
      <c r="B18" s="4" t="n"/>
      <c r="C18" s="22">
        <f>F13-C13</f>
        <v/>
      </c>
      <c r="D18" s="40" t="n"/>
      <c r="E18" s="41" t="n"/>
      <c r="F18" s="42" t="n"/>
    </row>
    <row r="19">
      <c r="A19" s="7" t="inlineStr">
        <is>
          <t>Total Charges</t>
        </is>
      </c>
      <c r="B19" s="8" t="n"/>
      <c r="C19" s="23">
        <f>C13+C18</f>
        <v/>
      </c>
      <c r="D19" s="7" t="inlineStr">
        <is>
          <t>Total Produits</t>
        </is>
      </c>
      <c r="E19" s="8" t="n"/>
      <c r="F19" s="24">
        <f>F13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2) Appliquer un régime fiscal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55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55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56" t="n">
        <v>0.01</v>
      </c>
      <c r="C18" s="55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56" t="n">
        <v>0.05</v>
      </c>
      <c r="C19" s="55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7" t="n">
        <v>0.075</v>
      </c>
      <c r="C20" s="55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12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56" t="n">
        <v>0.3</v>
      </c>
      <c r="C23" s="55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56" t="n">
        <v>0.5</v>
      </c>
      <c r="C25" s="55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56" t="n">
        <v>0.5</v>
      </c>
      <c r="C26" s="55">
        <f>C24*B26</f>
        <v/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3) Simuler une variation des cours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62">
        <f>100*60</f>
        <v/>
      </c>
    </row>
    <row r="14">
      <c r="A14" s="11" t="inlineStr">
        <is>
          <t>– Charges d'exploitation</t>
        </is>
      </c>
      <c r="B14" s="35" t="n"/>
      <c r="C14" s="55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55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55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12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12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55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63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63">
        <f>C24*B26</f>
        <v/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25" t="n"/>
      <c r="B1" s="25" t="n"/>
      <c r="C1" s="25" t="inlineStr">
        <is>
          <t>Janvier</t>
        </is>
      </c>
      <c r="D1" s="25" t="inlineStr">
        <is>
          <t>Février</t>
        </is>
      </c>
      <c r="E1" s="25" t="inlineStr">
        <is>
          <t>Mars</t>
        </is>
      </c>
      <c r="F1" s="25" t="inlineStr">
        <is>
          <t>Avril</t>
        </is>
      </c>
      <c r="G1" s="25" t="inlineStr">
        <is>
          <t>Mai</t>
        </is>
      </c>
      <c r="H1" s="25" t="inlineStr">
        <is>
          <t>Juin</t>
        </is>
      </c>
      <c r="I1" s="25" t="inlineStr">
        <is>
          <t>Juillet</t>
        </is>
      </c>
      <c r="J1" s="25" t="inlineStr">
        <is>
          <t xml:space="preserve">Août </t>
        </is>
      </c>
      <c r="K1" s="25" t="inlineStr">
        <is>
          <t>Septembre</t>
        </is>
      </c>
      <c r="L1" s="25" t="inlineStr">
        <is>
          <t>Octobre</t>
        </is>
      </c>
      <c r="M1" s="25" t="inlineStr">
        <is>
          <t>Novembre</t>
        </is>
      </c>
      <c r="N1" s="25" t="inlineStr">
        <is>
          <t>Décembre</t>
        </is>
      </c>
      <c r="O1" s="25" t="inlineStr">
        <is>
          <t>Total</t>
        </is>
      </c>
      <c r="P1" s="25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>
        <f>C5*C2</f>
        <v/>
      </c>
      <c r="D6" s="17">
        <f>D5*D2</f>
        <v/>
      </c>
      <c r="E6" s="17">
        <f>E5*E2</f>
        <v/>
      </c>
      <c r="F6" s="17">
        <f>F5*F2</f>
        <v/>
      </c>
      <c r="G6" s="17">
        <f>G5*G2</f>
        <v/>
      </c>
      <c r="H6" s="17">
        <f>H5*H2</f>
        <v/>
      </c>
      <c r="I6" s="17">
        <f>I5*I2</f>
        <v/>
      </c>
      <c r="J6" s="17">
        <f>J5*J2</f>
        <v/>
      </c>
      <c r="K6" s="17">
        <f>K5*K2</f>
        <v/>
      </c>
      <c r="L6" s="17">
        <f>L5*L2</f>
        <v/>
      </c>
      <c r="M6" s="17">
        <f>M5*M2</f>
        <v/>
      </c>
      <c r="N6" s="17">
        <f>N5*N2</f>
        <v/>
      </c>
      <c r="O6" s="27">
        <f>SUM(C6:N6)</f>
        <v/>
      </c>
      <c r="P6" s="27">
        <f>P2*P5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>
        <f>C6*5%</f>
        <v/>
      </c>
      <c r="D7" s="17">
        <f>D6*5%</f>
        <v/>
      </c>
      <c r="E7" s="17">
        <f>E6*5%</f>
        <v/>
      </c>
      <c r="F7" s="17">
        <f>F6*5%</f>
        <v/>
      </c>
      <c r="G7" s="17">
        <f>G6*5%</f>
        <v/>
      </c>
      <c r="H7" s="17">
        <f>H6*5%</f>
        <v/>
      </c>
      <c r="I7" s="17">
        <f>I6*5%</f>
        <v/>
      </c>
      <c r="J7" s="17">
        <f>J6*5%</f>
        <v/>
      </c>
      <c r="K7" s="17">
        <f>K6*5%</f>
        <v/>
      </c>
      <c r="L7" s="17">
        <f>L6*5%</f>
        <v/>
      </c>
      <c r="M7" s="17">
        <f>M6*5%</f>
        <v/>
      </c>
      <c r="N7" s="17">
        <f>N6*5%</f>
        <v/>
      </c>
      <c r="O7" s="53">
        <f>SUM(C7:N7)</f>
        <v/>
      </c>
      <c r="P7" s="27">
        <f>AVERAGE(C7:N7)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55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55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 t="n"/>
      <c r="D6" s="17" t="n"/>
      <c r="E6" s="17" t="n"/>
      <c r="F6" s="17" t="n"/>
      <c r="G6" s="17" t="n"/>
      <c r="H6" s="17">
        <f>SUM(C5:H5)*H2</f>
        <v/>
      </c>
      <c r="I6" s="17" t="n"/>
      <c r="J6" s="17" t="n"/>
      <c r="K6" s="17" t="n"/>
      <c r="L6" s="17" t="n"/>
      <c r="M6" s="17" t="n"/>
      <c r="N6" s="17">
        <f>SUM(I5:N5)*N2</f>
        <v/>
      </c>
      <c r="O6" s="27">
        <f>SUM(C6:N6)</f>
        <v/>
      </c>
      <c r="P6" s="27">
        <f>O6/12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 t="n"/>
      <c r="D7" s="17" t="n"/>
      <c r="E7" s="17" t="n"/>
      <c r="F7" s="17" t="n"/>
      <c r="G7" s="17" t="n"/>
      <c r="H7" s="17">
        <f>H6*5%</f>
        <v/>
      </c>
      <c r="I7" s="17" t="n"/>
      <c r="J7" s="17" t="n"/>
      <c r="K7" s="17" t="n"/>
      <c r="L7" s="17" t="n"/>
      <c r="M7" s="17" t="n"/>
      <c r="N7" s="17">
        <f>N6*5%</f>
        <v/>
      </c>
      <c r="O7" s="53">
        <f>SUM(C7:N7)</f>
        <v/>
      </c>
      <c r="P7" s="27">
        <f>O7/12</f>
        <v/>
      </c>
    </row>
    <row r="8">
      <c r="O8" s="58">
        <f>O7-'2) Exportations mensuelles'!O7</f>
        <v/>
      </c>
    </row>
    <row r="9">
      <c r="O9" s="59">
        <f>O8/'2) Exportations mensuelles'!O7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55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>
        <f>SUM(C5:N5)*H2</f>
        <v/>
      </c>
      <c r="O6" s="27">
        <f>SUM(C6:N6)</f>
        <v/>
      </c>
      <c r="P6" s="27">
        <f>O6/12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>
        <f>N6*5%</f>
        <v/>
      </c>
      <c r="O7" s="53">
        <f>SUM(C7:N7)</f>
        <v/>
      </c>
      <c r="P7" s="27">
        <f>O7/12</f>
        <v/>
      </c>
    </row>
    <row r="8">
      <c r="O8" s="58">
        <f>O7-'2) Exportations mensuelles'!O7</f>
        <v/>
      </c>
    </row>
    <row r="9">
      <c r="O9" s="59">
        <f>O8/'2) Exportations mensuelles'!O7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1) Situation initiale</t>
        </is>
      </c>
    </row>
    <row r="2"/>
    <row r="3">
      <c r="A3" s="1" t="inlineStr">
        <is>
          <t>BILAN</t>
        </is>
      </c>
      <c r="B3" s="1" t="n"/>
    </row>
    <row r="4">
      <c r="A4" s="43" t="inlineStr">
        <is>
          <t>Actif</t>
        </is>
      </c>
      <c r="B4" s="44" t="n"/>
      <c r="C4" s="45" t="n"/>
      <c r="D4" s="43" t="inlineStr">
        <is>
          <t>Passif</t>
        </is>
      </c>
      <c r="E4" s="44" t="n"/>
      <c r="F4" s="46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43" t="inlineStr">
        <is>
          <t>Total Actif</t>
        </is>
      </c>
      <c r="B9" s="44" t="n"/>
      <c r="C9" s="47">
        <f>C5+C8</f>
        <v/>
      </c>
      <c r="D9" s="43" t="inlineStr">
        <is>
          <t>Total Passif</t>
        </is>
      </c>
      <c r="E9" s="44" t="n"/>
      <c r="F9" s="47">
        <f>F5+F8</f>
        <v/>
      </c>
    </row>
    <row r="10"/>
    <row r="11">
      <c r="A11" s="1" t="inlineStr">
        <is>
          <t>COMPTE DE RESULTAT</t>
        </is>
      </c>
    </row>
    <row r="12">
      <c r="A12" s="43" t="inlineStr">
        <is>
          <t>Charges</t>
        </is>
      </c>
      <c r="B12" s="44" t="n"/>
      <c r="C12" s="48" t="n"/>
      <c r="D12" s="43" t="inlineStr">
        <is>
          <t>Produits</t>
        </is>
      </c>
      <c r="E12" s="44" t="n"/>
      <c r="F12" s="49" t="n"/>
    </row>
    <row r="13">
      <c r="A13" s="38" t="inlineStr">
        <is>
          <t>Coûts de production</t>
        </is>
      </c>
      <c r="B13" s="4" t="n"/>
      <c r="C13" s="22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12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12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12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12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22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12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12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12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12">
        <f>C24*B26</f>
        <v/>
      </c>
      <c r="D26" s="40" t="n"/>
      <c r="E26" s="41" t="n"/>
      <c r="F26" s="42" t="n"/>
    </row>
    <row r="27">
      <c r="A27" s="43" t="inlineStr">
        <is>
          <t>Total Charges</t>
        </is>
      </c>
      <c r="B27" s="44" t="n"/>
      <c r="C27" s="51">
        <f>C13+C22</f>
        <v/>
      </c>
      <c r="D27" s="43" t="inlineStr">
        <is>
          <t>Total Produits</t>
        </is>
      </c>
      <c r="E27" s="44" t="n"/>
      <c r="F27" s="47">
        <f>F13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2) Sous-capitalisation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60" t="n">
        <v>1000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61" t="n">
        <v>10000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12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12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12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12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55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55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55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55">
        <f>C24*B26</f>
        <v/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3) Manipulation des coûts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1000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61" t="n">
        <v>12000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61" t="n">
        <v>15000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39">
        <f>100*50</f>
        <v/>
      </c>
    </row>
    <row r="14">
      <c r="A14" s="11" t="inlineStr">
        <is>
          <t>– Charges d'exploitation</t>
        </is>
      </c>
      <c r="B14" s="35" t="n"/>
      <c r="C14" s="55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55" t="n">
        <v>2800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55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55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12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55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55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55">
        <f>C22*B23</f>
        <v/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55">
        <f>C24*B25</f>
        <v/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55">
        <f>C24*B26</f>
        <v/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.83203125" customWidth="1" min="2" max="2"/>
    <col width="10.83203125" customWidth="1" min="3" max="3"/>
    <col width="30.83203125" customWidth="1" min="4" max="4"/>
    <col width="5.83203125" customWidth="1" min="5" max="5"/>
    <col width="10.83203125" customWidth="1" min="6" max="6"/>
  </cols>
  <sheetData>
    <row r="1">
      <c r="A1" s="1" t="inlineStr">
        <is>
          <t>4) Contrat de couverture</t>
        </is>
      </c>
    </row>
    <row r="2"/>
    <row r="3">
      <c r="A3" s="1" t="inlineStr">
        <is>
          <t>BILAN</t>
        </is>
      </c>
      <c r="B3" s="1" t="n"/>
    </row>
    <row r="4">
      <c r="A4" s="7" t="inlineStr">
        <is>
          <t>Actif</t>
        </is>
      </c>
      <c r="B4" s="8" t="n"/>
      <c r="C4" s="30" t="n"/>
      <c r="D4" s="7" t="inlineStr">
        <is>
          <t>Passif</t>
        </is>
      </c>
      <c r="E4" s="8" t="n"/>
      <c r="F4" s="31" t="n"/>
    </row>
    <row r="5">
      <c r="A5" s="32" t="inlineStr">
        <is>
          <t>Immobilisations</t>
        </is>
      </c>
      <c r="B5" s="33" t="n"/>
      <c r="C5" s="34">
        <f>SUM(C6:C7)</f>
        <v/>
      </c>
      <c r="D5" s="32" t="inlineStr">
        <is>
          <t>Capitaux propres</t>
        </is>
      </c>
      <c r="E5" s="33" t="n"/>
      <c r="F5" s="34" t="n">
        <v>3000</v>
      </c>
    </row>
    <row r="6">
      <c r="A6" s="11" t="inlineStr">
        <is>
          <t>– Terrain</t>
        </is>
      </c>
      <c r="B6" s="35" t="n"/>
      <c r="C6" s="13" t="n">
        <v>3000</v>
      </c>
      <c r="D6" s="11" t="n"/>
      <c r="E6" s="35" t="n"/>
      <c r="F6" s="13" t="n"/>
    </row>
    <row r="7">
      <c r="A7" s="11" t="inlineStr">
        <is>
          <t>– Équipements</t>
        </is>
      </c>
      <c r="B7" s="35" t="n"/>
      <c r="C7" s="13" t="n">
        <v>7000</v>
      </c>
      <c r="D7" s="11" t="n"/>
      <c r="E7" s="35" t="n"/>
      <c r="F7" s="13" t="n"/>
    </row>
    <row r="8">
      <c r="A8" s="11" t="inlineStr">
        <is>
          <t>Stock</t>
        </is>
      </c>
      <c r="B8" s="35" t="n"/>
      <c r="C8" s="13" t="n">
        <v>1000</v>
      </c>
      <c r="D8" s="11" t="inlineStr">
        <is>
          <t>Dettes</t>
        </is>
      </c>
      <c r="E8" s="35" t="n"/>
      <c r="F8" s="13" t="n">
        <v>8000</v>
      </c>
    </row>
    <row r="9">
      <c r="A9" s="7" t="inlineStr">
        <is>
          <t>Total Actif</t>
        </is>
      </c>
      <c r="B9" s="8" t="n"/>
      <c r="C9" s="24">
        <f>C5+C8</f>
        <v/>
      </c>
      <c r="D9" s="7" t="inlineStr">
        <is>
          <t>Total Passif</t>
        </is>
      </c>
      <c r="E9" s="8" t="n"/>
      <c r="F9" s="24">
        <f>F5+F8</f>
        <v/>
      </c>
    </row>
    <row r="10"/>
    <row r="11">
      <c r="A11" s="1" t="inlineStr">
        <is>
          <t>COMPTE DE RESULTAT</t>
        </is>
      </c>
    </row>
    <row r="12">
      <c r="A12" s="7" t="inlineStr">
        <is>
          <t>Charges</t>
        </is>
      </c>
      <c r="B12" s="8" t="n"/>
      <c r="C12" s="36" t="n"/>
      <c r="D12" s="7" t="inlineStr">
        <is>
          <t>Produits</t>
        </is>
      </c>
      <c r="E12" s="8" t="n"/>
      <c r="F12" s="37" t="n"/>
    </row>
    <row r="13">
      <c r="A13" s="38" t="inlineStr">
        <is>
          <t>Coûts de production</t>
        </is>
      </c>
      <c r="B13" s="4" t="n"/>
      <c r="C13" s="54">
        <f>C14+C21</f>
        <v/>
      </c>
      <c r="D13" s="38" t="inlineStr">
        <is>
          <t>Chiffre d'affaires</t>
        </is>
      </c>
      <c r="E13" s="4" t="n"/>
      <c r="F13" s="62">
        <f>100*30</f>
        <v/>
      </c>
    </row>
    <row r="14">
      <c r="A14" s="11" t="inlineStr">
        <is>
          <t>– Charges d'exploitation</t>
        </is>
      </c>
      <c r="B14" s="35" t="n"/>
      <c r="C14" s="55">
        <f>SUM(C15:C17)</f>
        <v/>
      </c>
      <c r="D14" s="11" t="n"/>
      <c r="E14" s="35" t="n"/>
      <c r="F14" s="13" t="n"/>
    </row>
    <row r="15">
      <c r="A15" s="11" t="inlineStr">
        <is>
          <t>–– Intrants</t>
        </is>
      </c>
      <c r="B15" s="35" t="n"/>
      <c r="C15" s="12" t="n">
        <v>2000</v>
      </c>
      <c r="D15" s="11" t="n"/>
      <c r="E15" s="35" t="n"/>
      <c r="F15" s="13" t="n"/>
    </row>
    <row r="16">
      <c r="A16" s="11" t="inlineStr">
        <is>
          <t>–– Amortisements</t>
        </is>
      </c>
      <c r="B16" s="6" t="n">
        <v>0.05</v>
      </c>
      <c r="C16" s="12">
        <f>B16*C7</f>
        <v/>
      </c>
      <c r="D16" s="11" t="n"/>
      <c r="E16" s="35" t="n"/>
      <c r="F16" s="13" t="n"/>
    </row>
    <row r="17">
      <c r="A17" s="11" t="inlineStr">
        <is>
          <t>–– Taxes</t>
        </is>
      </c>
      <c r="B17" s="6" t="n"/>
      <c r="C17" s="55">
        <f>SUM(C18:C20)</f>
        <v/>
      </c>
      <c r="D17" s="11" t="n"/>
      <c r="E17" s="35" t="n"/>
      <c r="F17" s="13" t="n"/>
    </row>
    <row r="18">
      <c r="A18" s="11" t="inlineStr">
        <is>
          <t>––– Redevances superficiaires</t>
        </is>
      </c>
      <c r="B18" s="6" t="n">
        <v>0.01</v>
      </c>
      <c r="C18" s="12">
        <f>C6*B18</f>
        <v/>
      </c>
      <c r="D18" s="11" t="n"/>
      <c r="E18" s="35" t="n"/>
      <c r="F18" s="13" t="n"/>
    </row>
    <row r="19">
      <c r="A19" s="11" t="inlineStr">
        <is>
          <t>––– Redevances minières</t>
        </is>
      </c>
      <c r="B19" s="6" t="n">
        <v>0.05</v>
      </c>
      <c r="C19" s="55">
        <f>F13*B19</f>
        <v/>
      </c>
      <c r="D19" s="11" t="n"/>
      <c r="E19" s="35" t="n"/>
      <c r="F19" s="13" t="n"/>
    </row>
    <row r="20">
      <c r="A20" s="11" t="inlineStr">
        <is>
          <t>––– Droits de douane</t>
        </is>
      </c>
      <c r="B20" s="50" t="n">
        <v>0.075</v>
      </c>
      <c r="C20" s="12">
        <f>C15*B20</f>
        <v/>
      </c>
      <c r="D20" s="11" t="n"/>
      <c r="E20" s="35" t="n"/>
      <c r="F20" s="13" t="n"/>
    </row>
    <row r="21">
      <c r="A21" s="11" t="inlineStr">
        <is>
          <t>– Charges finnacières</t>
        </is>
      </c>
      <c r="B21" s="6" t="n">
        <v>0.05</v>
      </c>
      <c r="C21" s="12">
        <f>F8*B21</f>
        <v/>
      </c>
      <c r="D21" s="11" t="n"/>
      <c r="E21" s="35" t="n"/>
      <c r="F21" s="13" t="n"/>
    </row>
    <row r="22">
      <c r="A22" s="38" t="inlineStr">
        <is>
          <t>Profit</t>
        </is>
      </c>
      <c r="B22" s="4" t="n"/>
      <c r="C22" s="54">
        <f>F13-C13</f>
        <v/>
      </c>
      <c r="D22" s="40" t="n"/>
      <c r="E22" s="41" t="n"/>
      <c r="F22" s="42" t="n"/>
    </row>
    <row r="23">
      <c r="A23" s="11" t="inlineStr">
        <is>
          <t>– Impôt sur les sociétés</t>
        </is>
      </c>
      <c r="B23" s="6" t="n">
        <v>0.3</v>
      </c>
      <c r="C23" s="55" t="n">
        <v>0</v>
      </c>
      <c r="D23" s="40" t="n"/>
      <c r="E23" s="41" t="n"/>
      <c r="F23" s="42" t="n"/>
    </row>
    <row r="24">
      <c r="A24" s="11" t="inlineStr">
        <is>
          <t>– Profit après impôt</t>
        </is>
      </c>
      <c r="B24" s="35" t="n"/>
      <c r="C24" s="55">
        <f>C22-C23</f>
        <v/>
      </c>
      <c r="D24" s="40" t="n"/>
      <c r="E24" s="41" t="n"/>
      <c r="F24" s="42" t="n"/>
    </row>
    <row r="25">
      <c r="A25" s="11" t="inlineStr">
        <is>
          <t>– Dividendes</t>
        </is>
      </c>
      <c r="B25" s="6" t="n">
        <v>0.5</v>
      </c>
      <c r="C25" s="55" t="n">
        <v>0</v>
      </c>
      <c r="D25" s="40" t="n"/>
      <c r="E25" s="41" t="n"/>
      <c r="F25" s="42" t="n"/>
    </row>
    <row r="26">
      <c r="A26" s="11" t="inlineStr">
        <is>
          <t>– Réserves</t>
        </is>
      </c>
      <c r="B26" s="6" t="n">
        <v>0.5</v>
      </c>
      <c r="C26" s="55" t="n">
        <v>0</v>
      </c>
      <c r="D26" s="40" t="n"/>
      <c r="E26" s="41" t="n"/>
      <c r="F26" s="42" t="n"/>
    </row>
    <row r="27">
      <c r="A27" s="7" t="inlineStr">
        <is>
          <t>Total Charges</t>
        </is>
      </c>
      <c r="B27" s="8" t="n"/>
      <c r="C27" s="23">
        <f>C13+C22</f>
        <v/>
      </c>
      <c r="D27" s="7" t="inlineStr">
        <is>
          <t>Total Produits</t>
        </is>
      </c>
      <c r="E27" s="8" t="n"/>
      <c r="F27" s="24">
        <f>F13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25" t="n"/>
      <c r="B1" s="25" t="n"/>
      <c r="C1" s="25" t="inlineStr">
        <is>
          <t>Janvier</t>
        </is>
      </c>
      <c r="D1" s="25" t="inlineStr">
        <is>
          <t>Février</t>
        </is>
      </c>
      <c r="E1" s="25" t="inlineStr">
        <is>
          <t>Mars</t>
        </is>
      </c>
      <c r="F1" s="25" t="inlineStr">
        <is>
          <t>Avril</t>
        </is>
      </c>
      <c r="G1" s="25" t="inlineStr">
        <is>
          <t>Mai</t>
        </is>
      </c>
      <c r="H1" s="25" t="inlineStr">
        <is>
          <t>Juin</t>
        </is>
      </c>
      <c r="I1" s="25" t="inlineStr">
        <is>
          <t>Juillet</t>
        </is>
      </c>
      <c r="J1" s="25" t="inlineStr">
        <is>
          <t xml:space="preserve">Août </t>
        </is>
      </c>
      <c r="K1" s="25" t="inlineStr">
        <is>
          <t>Septembre</t>
        </is>
      </c>
      <c r="L1" s="25" t="inlineStr">
        <is>
          <t>Octobre</t>
        </is>
      </c>
      <c r="M1" s="25" t="inlineStr">
        <is>
          <t>Novembre</t>
        </is>
      </c>
      <c r="N1" s="25" t="inlineStr">
        <is>
          <t>Décembre</t>
        </is>
      </c>
      <c r="O1" s="25" t="inlineStr">
        <is>
          <t>Total</t>
        </is>
      </c>
      <c r="P1" s="25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>
        <f>C5*C2</f>
        <v/>
      </c>
      <c r="D6" s="17">
        <f>D5*D2</f>
        <v/>
      </c>
      <c r="E6" s="17">
        <f>E5*E2</f>
        <v/>
      </c>
      <c r="F6" s="17">
        <f>F5*F2</f>
        <v/>
      </c>
      <c r="G6" s="17">
        <f>G5*G2</f>
        <v/>
      </c>
      <c r="H6" s="17">
        <f>H5*H2</f>
        <v/>
      </c>
      <c r="I6" s="17">
        <f>I5*I2</f>
        <v/>
      </c>
      <c r="J6" s="17">
        <f>J5*J2</f>
        <v/>
      </c>
      <c r="K6" s="17">
        <f>K5*K2</f>
        <v/>
      </c>
      <c r="L6" s="17">
        <f>L5*L2</f>
        <v/>
      </c>
      <c r="M6" s="17">
        <f>M5*M2</f>
        <v/>
      </c>
      <c r="N6" s="17">
        <f>N5*N2</f>
        <v/>
      </c>
      <c r="O6" s="27">
        <f>SUM(C6:N6)</f>
        <v/>
      </c>
      <c r="P6" s="27">
        <f>P2*P5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>
        <f>C6*5%</f>
        <v/>
      </c>
      <c r="D7" s="17">
        <f>D6*5%</f>
        <v/>
      </c>
      <c r="E7" s="17">
        <f>E6*5%</f>
        <v/>
      </c>
      <c r="F7" s="17">
        <f>F6*5%</f>
        <v/>
      </c>
      <c r="G7" s="17">
        <f>G6*5%</f>
        <v/>
      </c>
      <c r="H7" s="17">
        <f>H6*5%</f>
        <v/>
      </c>
      <c r="I7" s="17">
        <f>I6*5%</f>
        <v/>
      </c>
      <c r="J7" s="17">
        <f>J6*5%</f>
        <v/>
      </c>
      <c r="K7" s="17">
        <f>K6*5%</f>
        <v/>
      </c>
      <c r="L7" s="17">
        <f>L6*5%</f>
        <v/>
      </c>
      <c r="M7" s="17">
        <f>M6*5%</f>
        <v/>
      </c>
      <c r="N7" s="17">
        <f>N6*5%</f>
        <v/>
      </c>
      <c r="O7" s="53">
        <f>SUM(C7:N7)</f>
        <v/>
      </c>
      <c r="P7" s="27">
        <f>AVERAGE(C7:N7)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55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55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 t="n"/>
      <c r="D6" s="17" t="n"/>
      <c r="E6" s="17" t="n"/>
      <c r="F6" s="17" t="n"/>
      <c r="G6" s="17" t="n"/>
      <c r="H6" s="17">
        <f>SUM(C5:H5)*H2</f>
        <v/>
      </c>
      <c r="I6" s="17" t="n"/>
      <c r="J6" s="17" t="n"/>
      <c r="K6" s="17" t="n"/>
      <c r="L6" s="17" t="n"/>
      <c r="M6" s="17" t="n"/>
      <c r="N6" s="17">
        <f>SUM(I5:N5)*N2</f>
        <v/>
      </c>
      <c r="O6" s="27">
        <f>SUM(C6:N6)</f>
        <v/>
      </c>
      <c r="P6" s="27">
        <f>O6/12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 t="n"/>
      <c r="D7" s="17" t="n"/>
      <c r="E7" s="17" t="n"/>
      <c r="F7" s="17" t="n"/>
      <c r="G7" s="17" t="n"/>
      <c r="H7" s="17">
        <f>H6*5%</f>
        <v/>
      </c>
      <c r="I7" s="17" t="n"/>
      <c r="J7" s="17" t="n"/>
      <c r="K7" s="17" t="n"/>
      <c r="L7" s="17" t="n"/>
      <c r="M7" s="17" t="n"/>
      <c r="N7" s="17">
        <f>N6*5%</f>
        <v/>
      </c>
      <c r="O7" s="53">
        <f>SUM(C7:N7)</f>
        <v/>
      </c>
      <c r="P7" s="27">
        <f>O7/12</f>
        <v/>
      </c>
    </row>
    <row r="8">
      <c r="O8" s="58">
        <f>O7-'2) Exportations mensuelles'!O7</f>
        <v/>
      </c>
    </row>
    <row r="9">
      <c r="O9" s="59">
        <f>O8/'2) Exportations mensuelles'!O7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55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28" t="n">
        <v>0.185</v>
      </c>
      <c r="G4" s="28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  <c r="H5" s="17">
        <f>H3*H4</f>
        <v/>
      </c>
      <c r="I5" s="17">
        <f>I3*I4</f>
        <v/>
      </c>
      <c r="J5" s="17">
        <f>J3*J4</f>
        <v/>
      </c>
      <c r="K5" s="17">
        <f>K3*K4</f>
        <v/>
      </c>
      <c r="L5" s="17">
        <f>L3*L4</f>
        <v/>
      </c>
      <c r="M5" s="17">
        <f>M3*M4</f>
        <v/>
      </c>
      <c r="N5" s="17">
        <f>N3*N4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>
        <f>SUM(C5:N5)*H2</f>
        <v/>
      </c>
      <c r="O6" s="27">
        <f>SUM(C6:N6)</f>
        <v/>
      </c>
      <c r="P6" s="27">
        <f>O6/12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>
        <f>N6*5%</f>
        <v/>
      </c>
      <c r="O7" s="53">
        <f>SUM(C7:N7)</f>
        <v/>
      </c>
      <c r="P7" s="27">
        <f>O7/12</f>
        <v/>
      </c>
    </row>
    <row r="8">
      <c r="O8" s="58">
        <f>O7-'2) Exportations mensuelles'!O7</f>
        <v/>
      </c>
    </row>
    <row r="9">
      <c r="O9" s="59">
        <f>O8/'2) Exportations mensuelles'!O7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0.83203125" customWidth="1" min="17" max="17"/>
  </cols>
  <sheetData>
    <row r="1">
      <c r="A1" s="52" t="n"/>
      <c r="B1" s="52" t="n"/>
      <c r="C1" s="52" t="inlineStr">
        <is>
          <t>Janvier</t>
        </is>
      </c>
      <c r="D1" s="52" t="inlineStr">
        <is>
          <t>Février</t>
        </is>
      </c>
      <c r="E1" s="52" t="inlineStr">
        <is>
          <t>Mars</t>
        </is>
      </c>
      <c r="F1" s="52" t="inlineStr">
        <is>
          <t>Avril</t>
        </is>
      </c>
      <c r="G1" s="52" t="inlineStr">
        <is>
          <t>Mai</t>
        </is>
      </c>
      <c r="H1" s="52" t="inlineStr">
        <is>
          <t>Juin</t>
        </is>
      </c>
      <c r="I1" s="52" t="inlineStr">
        <is>
          <t>Juillet</t>
        </is>
      </c>
      <c r="J1" s="52" t="inlineStr">
        <is>
          <t xml:space="preserve">Août </t>
        </is>
      </c>
      <c r="K1" s="52" t="inlineStr">
        <is>
          <t>Septembre</t>
        </is>
      </c>
      <c r="L1" s="52" t="inlineStr">
        <is>
          <t>Octobre</t>
        </is>
      </c>
      <c r="M1" s="52" t="inlineStr">
        <is>
          <t>Novembre</t>
        </is>
      </c>
      <c r="N1" s="52" t="inlineStr">
        <is>
          <t>Décembre</t>
        </is>
      </c>
      <c r="O1" s="52" t="inlineStr">
        <is>
          <t>Total</t>
        </is>
      </c>
      <c r="P1" s="52" t="inlineStr">
        <is>
          <t>Moyenne</t>
        </is>
      </c>
    </row>
    <row r="2">
      <c r="A2" s="26" t="inlineStr">
        <is>
          <t>Cours</t>
        </is>
      </c>
      <c r="B2" s="26" t="inlineStr">
        <is>
          <t>USD/oz</t>
        </is>
      </c>
      <c r="C2" s="12" t="n">
        <v>1000</v>
      </c>
      <c r="D2" s="12" t="n">
        <v>1100</v>
      </c>
      <c r="E2" s="12" t="n">
        <v>1400</v>
      </c>
      <c r="F2" s="12" t="n">
        <v>1050</v>
      </c>
      <c r="G2" s="12" t="n">
        <v>900</v>
      </c>
      <c r="H2" s="12" t="n">
        <v>800</v>
      </c>
      <c r="I2" s="12" t="n">
        <v>850</v>
      </c>
      <c r="J2" s="12" t="n">
        <v>1300</v>
      </c>
      <c r="K2" s="12" t="n">
        <v>1600</v>
      </c>
      <c r="L2" s="12" t="n">
        <v>1700</v>
      </c>
      <c r="M2" s="12" t="n">
        <v>1800</v>
      </c>
      <c r="N2" s="12" t="n">
        <v>2000</v>
      </c>
      <c r="O2" s="27" t="n"/>
      <c r="P2" s="27">
        <f>AVERAGE(C2:N2)</f>
        <v/>
      </c>
    </row>
    <row r="3">
      <c r="A3" s="26" t="inlineStr">
        <is>
          <t>Minerai extrait</t>
        </is>
      </c>
      <c r="B3" s="26" t="inlineStr">
        <is>
          <t>t</t>
        </is>
      </c>
      <c r="C3" s="12" t="n">
        <v>10000</v>
      </c>
      <c r="D3" s="12" t="n">
        <v>12000</v>
      </c>
      <c r="E3" s="12" t="n">
        <v>12000</v>
      </c>
      <c r="F3" s="12" t="n">
        <v>15000</v>
      </c>
      <c r="G3" s="12" t="n">
        <v>15000</v>
      </c>
      <c r="H3" s="12" t="n">
        <v>9000</v>
      </c>
      <c r="I3" s="12" t="n">
        <v>9000</v>
      </c>
      <c r="J3" s="12" t="n">
        <v>12000</v>
      </c>
      <c r="K3" s="12" t="n">
        <v>12000</v>
      </c>
      <c r="L3" s="12" t="n">
        <v>14000</v>
      </c>
      <c r="M3" s="12" t="n">
        <v>12000</v>
      </c>
      <c r="N3" s="12" t="n">
        <v>10000</v>
      </c>
      <c r="O3" s="27">
        <f>SUM(C3:N3)</f>
        <v/>
      </c>
      <c r="P3" s="27">
        <f>AVERAGE(C3:N3)</f>
        <v/>
      </c>
    </row>
    <row r="4">
      <c r="A4" s="26" t="inlineStr">
        <is>
          <t>Teneur</t>
        </is>
      </c>
      <c r="B4" s="26" t="inlineStr">
        <is>
          <t>oz/t</t>
        </is>
      </c>
      <c r="C4" s="28" t="n">
        <v>0.223</v>
      </c>
      <c r="D4" s="28" t="n">
        <v>0.225</v>
      </c>
      <c r="E4" s="28" t="n">
        <v>0.198</v>
      </c>
      <c r="F4" s="64" t="n">
        <v>0.185</v>
      </c>
      <c r="G4" s="64" t="n">
        <v>0.185</v>
      </c>
      <c r="H4" s="28" t="n">
        <v>0.223</v>
      </c>
      <c r="I4" s="28" t="n">
        <v>0.321</v>
      </c>
      <c r="J4" s="28" t="n">
        <v>0.311</v>
      </c>
      <c r="K4" s="28" t="n">
        <v>0.255</v>
      </c>
      <c r="L4" s="28" t="n">
        <v>0.286</v>
      </c>
      <c r="M4" s="28" t="n">
        <v>0.296</v>
      </c>
      <c r="N4" s="28" t="n">
        <v>0.223</v>
      </c>
      <c r="O4" s="29" t="n"/>
      <c r="P4" s="29">
        <f>AVERAGE(C4:N4)</f>
        <v/>
      </c>
    </row>
    <row r="5">
      <c r="A5" s="26" t="inlineStr">
        <is>
          <t>Production réalisée</t>
        </is>
      </c>
      <c r="B5" s="26" t="inlineStr">
        <is>
          <t>oz</t>
        </is>
      </c>
      <c r="C5" s="17">
        <f>C3*$F$4</f>
        <v/>
      </c>
      <c r="D5" s="17">
        <f>D3*$F$4</f>
        <v/>
      </c>
      <c r="E5" s="17">
        <f>E3*$F$4</f>
        <v/>
      </c>
      <c r="F5" s="17">
        <f>F3*$F$4</f>
        <v/>
      </c>
      <c r="G5" s="17">
        <f>G3*$F$4</f>
        <v/>
      </c>
      <c r="H5" s="17">
        <f>H3*$F$4</f>
        <v/>
      </c>
      <c r="I5" s="17">
        <f>I3*$F$4</f>
        <v/>
      </c>
      <c r="J5" s="17">
        <f>J3*$F$4</f>
        <v/>
      </c>
      <c r="K5" s="17">
        <f>K3*$F$4</f>
        <v/>
      </c>
      <c r="L5" s="17">
        <f>L3*$F$4</f>
        <v/>
      </c>
      <c r="M5" s="17">
        <f>M3*$F$4</f>
        <v/>
      </c>
      <c r="N5" s="17">
        <f>N3*$F$4</f>
        <v/>
      </c>
      <c r="O5" s="27">
        <f>SUM(C5:N5)</f>
        <v/>
      </c>
      <c r="P5" s="27">
        <f>P3*P4</f>
        <v/>
      </c>
    </row>
    <row r="6">
      <c r="A6" s="26" t="inlineStr">
        <is>
          <t>Chiffre d'affaires réalisé</t>
        </is>
      </c>
      <c r="B6" s="26" t="inlineStr">
        <is>
          <t>USD</t>
        </is>
      </c>
      <c r="C6" s="17">
        <f>C5*C2</f>
        <v/>
      </c>
      <c r="D6" s="17">
        <f>D5*D2</f>
        <v/>
      </c>
      <c r="E6" s="17">
        <f>E5*E2</f>
        <v/>
      </c>
      <c r="F6" s="17">
        <f>F5*F2</f>
        <v/>
      </c>
      <c r="G6" s="17">
        <f>G5*G2</f>
        <v/>
      </c>
      <c r="H6" s="17">
        <f>H5*H2</f>
        <v/>
      </c>
      <c r="I6" s="17">
        <f>I5*I2</f>
        <v/>
      </c>
      <c r="J6" s="17">
        <f>J5*J2</f>
        <v/>
      </c>
      <c r="K6" s="17">
        <f>K5*K2</f>
        <v/>
      </c>
      <c r="L6" s="17">
        <f>L5*L2</f>
        <v/>
      </c>
      <c r="M6" s="17">
        <f>M5*M2</f>
        <v/>
      </c>
      <c r="N6" s="17">
        <f>N5*N2</f>
        <v/>
      </c>
      <c r="O6" s="27">
        <f>SUM(C6:N6)</f>
        <v/>
      </c>
      <c r="P6" s="27">
        <f>O6/12</f>
        <v/>
      </c>
    </row>
    <row r="7">
      <c r="A7" s="26" t="inlineStr">
        <is>
          <t>Redevance minière (5%)</t>
        </is>
      </c>
      <c r="B7" s="26" t="inlineStr">
        <is>
          <t>USD</t>
        </is>
      </c>
      <c r="C7" s="17">
        <f>C6*5%</f>
        <v/>
      </c>
      <c r="D7" s="17">
        <f>D6*5%</f>
        <v/>
      </c>
      <c r="E7" s="17">
        <f>E6*5%</f>
        <v/>
      </c>
      <c r="F7" s="17">
        <f>F6*5%</f>
        <v/>
      </c>
      <c r="G7" s="17">
        <f>G6*5%</f>
        <v/>
      </c>
      <c r="H7" s="17">
        <f>H6*5%</f>
        <v/>
      </c>
      <c r="I7" s="17">
        <f>I6*5%</f>
        <v/>
      </c>
      <c r="J7" s="17">
        <f>J6*5%</f>
        <v/>
      </c>
      <c r="K7" s="17">
        <f>K6*5%</f>
        <v/>
      </c>
      <c r="L7" s="17">
        <f>L6*5%</f>
        <v/>
      </c>
      <c r="M7" s="17">
        <f>M6*5%</f>
        <v/>
      </c>
      <c r="N7" s="17">
        <f>N6*5%</f>
        <v/>
      </c>
      <c r="O7" s="53">
        <f>SUM(C7:N7)</f>
        <v/>
      </c>
      <c r="P7" s="27">
        <f>O7/12</f>
        <v/>
      </c>
    </row>
    <row r="8">
      <c r="O8" s="58">
        <f>O7-'2) Exportations mensuelles'!O7</f>
        <v/>
      </c>
    </row>
    <row r="9">
      <c r="O9" s="59">
        <f>O8/'2) Exportations mensuelles'!O7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2026-07-10T15:00:13Z</dcterms:created>
  <dcterms:modified xsi:type="dcterms:W3CDTF">2026-07-10T15:00:14Z</dcterms:modified>
</cp:coreProperties>
</file>