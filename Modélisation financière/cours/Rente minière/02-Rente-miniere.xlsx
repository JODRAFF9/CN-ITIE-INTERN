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2"/>
  </bookViews>
  <sheets>
    <sheet name="Modèle" sheetId="3" r:id="rId1"/>
  </sheets>
  <calcPr calcId="162913"/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E26" i="3"/>
  <c r="M25" i="3"/>
  <c r="L25" i="3"/>
  <c r="K25" i="3"/>
  <c r="J25" i="3"/>
  <c r="I25" i="3"/>
  <c r="H25" i="3"/>
  <c r="G25" i="3"/>
  <c r="F25" i="3"/>
  <c r="E25" i="3"/>
  <c r="D25" i="3"/>
  <c r="C25" i="3"/>
  <c r="G20" i="3"/>
  <c r="F20" i="3"/>
  <c r="C20" i="3"/>
  <c r="C19" i="3"/>
  <c r="M16" i="3"/>
  <c r="L12" i="3"/>
  <c r="M12" i="3"/>
  <c r="O6" i="3"/>
  <c r="N6" i="3"/>
  <c r="M6" i="3"/>
  <c r="E6" i="3"/>
  <c r="F16" i="3" l="1"/>
  <c r="F12" i="3"/>
  <c r="F6" i="3"/>
  <c r="C6" i="3"/>
  <c r="E16" i="3" l="1"/>
  <c r="G16" i="3" l="1"/>
  <c r="H16" i="3"/>
  <c r="I16" i="3"/>
  <c r="J16" i="3"/>
  <c r="K16" i="3"/>
  <c r="L16" i="3"/>
  <c r="D16" i="3"/>
  <c r="C16" i="3"/>
  <c r="N16" i="3" l="1"/>
  <c r="O16" i="3"/>
  <c r="N10" i="3"/>
  <c r="O10" i="3"/>
  <c r="N11" i="3"/>
  <c r="O11" i="3"/>
  <c r="O9" i="3"/>
  <c r="N9" i="3"/>
  <c r="K12" i="3"/>
  <c r="J12" i="3"/>
  <c r="I12" i="3"/>
  <c r="H12" i="3"/>
  <c r="G12" i="3"/>
  <c r="E12" i="3"/>
  <c r="D12" i="3"/>
  <c r="C12" i="3"/>
  <c r="N4" i="3"/>
  <c r="L6" i="3"/>
  <c r="K6" i="3"/>
  <c r="J6" i="3"/>
  <c r="I6" i="3"/>
  <c r="H6" i="3"/>
  <c r="G6" i="3"/>
  <c r="D6" i="3"/>
  <c r="G19" i="3" l="1"/>
  <c r="E19" i="3"/>
  <c r="N12" i="3"/>
  <c r="O12" i="3"/>
  <c r="D19" i="3"/>
  <c r="H19" i="3"/>
  <c r="L19" i="3"/>
  <c r="I19" i="3"/>
  <c r="M19" i="3"/>
  <c r="F19" i="3"/>
  <c r="J19" i="3"/>
  <c r="K19" i="3"/>
  <c r="D20" i="3" l="1"/>
  <c r="J20" i="3"/>
  <c r="I20" i="3"/>
  <c r="E20" i="3"/>
  <c r="N19" i="3"/>
  <c r="M20" i="3"/>
  <c r="H20" i="3"/>
  <c r="O19" i="3"/>
  <c r="K20" i="3"/>
  <c r="L20" i="3"/>
</calcChain>
</file>

<file path=xl/sharedStrings.xml><?xml version="1.0" encoding="utf-8"?>
<sst xmlns="http://schemas.openxmlformats.org/spreadsheetml/2006/main" count="48" uniqueCount="38">
  <si>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</si>
  <si>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</si>
  <si>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</si>
  <si>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</si>
  <si>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</si>
  <si>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</si>
  <si>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</si>
  <si>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</si>
  <si>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</si>
  <si>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</si>
  <si>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</si>
  <si>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</si>
  <si>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</si>
  <si>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</si>
  <si>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</si>
  <si>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</si>
  <si>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</si>
  <si>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</si>
  <si>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</si>
  <si>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</si>
  <si>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</si>
  <si>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</si>
  <si>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</si>
  <si>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</si>
  <si>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</si>
  <si>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</si>
  <si>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</si>
  <si>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</si>
  <si>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</si>
  <si>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</si>
  <si>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</si>
  <si>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</si>
  <si>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</si>
  <si>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</si>
  <si>
    <t>V. IMPOT SUR LA PRODUCTION</t>
  </si>
  <si>
    <t>Droit fixes</t>
  </si>
  <si>
    <t>Redevance superficiaire</t>
  </si>
  <si>
    <t>Redevance minière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</si>
</sst>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20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21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0" fontId="0" fillId="0" borderId="0" xfId="0" applyFill="1">
      <alignment horizontal="left" vertical="top"/>
    </xf>
    <xf numFmtId="0" fontId="19" fillId="33" borderId="0" xfId="0" applyFont="1" applyFill="1" applyAlignment="1">
      <alignment horizontal="center" vertical="center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E26" sqref="E26:M26"/>
    </sheetView>
  </sheetViews>
  <sheetFormatPr baseColWidth="10" defaultColWidth="10.77734375" defaultRowHeight="13.2" x14ac:dyDescent="0.25"/>
  <cols>
    <col min="1" max="1" width="40.77734375" style="1" customWidth="1"/>
    <col min="2" max="2" width="10.77734375" style="1"/>
    <col min="3" max="15" width="15.77734375" style="1" customWidth="1"/>
    <col min="16" max="16384" width="10.77734375" style="1"/>
  </cols>
  <sheetData>
    <row r="1" spans="1:15" s="2" customFormat="1" x14ac:dyDescent="0.25">
      <c r="A1" s="20" t="s">
        <v>16</v>
      </c>
      <c r="B1" s="20" t="s">
        <v>0</v>
      </c>
      <c r="C1" s="20" t="s">
        <v>23</v>
      </c>
      <c r="D1" s="20" t="s">
        <v>24</v>
      </c>
      <c r="E1" s="20" t="s">
        <v>25</v>
      </c>
      <c r="F1" s="20" t="s">
        <v>26</v>
      </c>
      <c r="G1" s="20" t="s">
        <v>27</v>
      </c>
      <c r="H1" s="20" t="s">
        <v>28</v>
      </c>
      <c r="I1" s="20" t="s">
        <v>29</v>
      </c>
      <c r="J1" s="20" t="s">
        <v>30</v>
      </c>
      <c r="K1" s="20" t="s">
        <v>31</v>
      </c>
      <c r="L1" s="20" t="s">
        <v>32</v>
      </c>
      <c r="M1" s="20" t="s">
        <v>33</v>
      </c>
      <c r="N1" s="20" t="s">
        <v>22</v>
      </c>
      <c r="O1" s="20" t="s">
        <v>1</v>
      </c>
    </row>
    <row r="2" spans="1:15" s="2" customFormat="1" x14ac:dyDescent="0.25">
      <c r="A2" s="8"/>
      <c r="B2" s="9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6" t="s">
        <v>3</v>
      </c>
      <c r="B4" s="7" t="s">
        <v>2</v>
      </c>
      <c r="C4" s="10"/>
      <c r="D4" s="10"/>
      <c r="E4" s="10">
        <v>250000</v>
      </c>
      <c r="F4" s="10">
        <v>250000</v>
      </c>
      <c r="G4" s="10">
        <v>250000</v>
      </c>
      <c r="H4" s="10">
        <v>250000</v>
      </c>
      <c r="I4" s="10">
        <v>250000</v>
      </c>
      <c r="J4" s="10">
        <v>250000</v>
      </c>
      <c r="K4" s="10">
        <v>250000</v>
      </c>
      <c r="L4" s="10">
        <v>250000</v>
      </c>
      <c r="M4" s="10"/>
      <c r="N4" s="11">
        <f>SUM($C4:$M4)</f>
        <v>2000000</v>
      </c>
      <c r="O4" s="11"/>
    </row>
    <row r="5" spans="1:15" x14ac:dyDescent="0.25">
      <c r="A5" s="6" t="s">
        <v>4</v>
      </c>
      <c r="B5" s="7" t="s">
        <v>5</v>
      </c>
      <c r="C5" s="10"/>
      <c r="D5" s="10"/>
      <c r="E5" s="10">
        <v>1300</v>
      </c>
      <c r="F5" s="10">
        <v>1300</v>
      </c>
      <c r="G5" s="10">
        <v>1300</v>
      </c>
      <c r="H5" s="10">
        <v>1300</v>
      </c>
      <c r="I5" s="10">
        <v>1300</v>
      </c>
      <c r="J5" s="10">
        <v>1300</v>
      </c>
      <c r="K5" s="10">
        <v>1300</v>
      </c>
      <c r="L5" s="10">
        <v>1300</v>
      </c>
      <c r="M5" s="10"/>
      <c r="N5" s="11"/>
      <c r="O5" s="11"/>
    </row>
    <row r="6" spans="1:15" x14ac:dyDescent="0.25">
      <c r="A6" s="6" t="s">
        <v>6</v>
      </c>
      <c r="B6" s="7" t="s">
        <v>7</v>
      </c>
      <c r="C6" s="12">
        <f>C$4*C$5</f>
        <v>0</v>
      </c>
      <c r="D6" s="12">
        <f t="shared" ref="D6:M6" si="0">D$4*D$5</f>
        <v>0</v>
      </c>
      <c r="E6" s="12">
        <f>E$4*E$5</f>
        <v>325000000</v>
      </c>
      <c r="F6" s="12">
        <f>F$4*F$5</f>
        <v>325000000</v>
      </c>
      <c r="G6" s="12">
        <f t="shared" si="0"/>
        <v>325000000</v>
      </c>
      <c r="H6" s="12">
        <f t="shared" si="0"/>
        <v>325000000</v>
      </c>
      <c r="I6" s="12">
        <f t="shared" si="0"/>
        <v>325000000</v>
      </c>
      <c r="J6" s="12">
        <f t="shared" si="0"/>
        <v>325000000</v>
      </c>
      <c r="K6" s="12">
        <f t="shared" si="0"/>
        <v>325000000</v>
      </c>
      <c r="L6" s="12">
        <f t="shared" si="0"/>
        <v>325000000</v>
      </c>
      <c r="M6" s="12">
        <f>M$4*M$5</f>
        <v>0</v>
      </c>
      <c r="N6" s="12">
        <f>SUM($C6:$M6)</f>
        <v>2600000000</v>
      </c>
      <c r="O6" s="12">
        <f>$C6+NPV(10%,$D6:$M6)</f>
        <v>1576228194.834878</v>
      </c>
    </row>
    <row r="7" spans="1:15" x14ac:dyDescent="0.25">
      <c r="A7" s="8"/>
      <c r="B7" s="9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x14ac:dyDescent="0.25">
      <c r="A8" s="3" t="s">
        <v>18</v>
      </c>
      <c r="B8" s="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6" t="s">
        <v>9</v>
      </c>
      <c r="B9" s="7" t="s">
        <v>7</v>
      </c>
      <c r="C9" s="10">
        <v>50000000</v>
      </c>
      <c r="D9" s="10">
        <v>100000000</v>
      </c>
      <c r="E9" s="10"/>
      <c r="F9" s="10"/>
      <c r="G9" s="10"/>
      <c r="H9" s="10"/>
      <c r="I9" s="10"/>
      <c r="J9" s="10"/>
      <c r="K9" s="10"/>
      <c r="L9" s="10"/>
      <c r="M9" s="10"/>
      <c r="N9" s="11">
        <f>SUM($C9:$M9)</f>
        <v>150000000</v>
      </c>
      <c r="O9" s="11">
        <f>$C9+NPV(10%,$D9:$M9)</f>
        <v>140909090.90909091</v>
      </c>
    </row>
    <row r="10" spans="1:15" x14ac:dyDescent="0.25">
      <c r="A10" s="6" t="s">
        <v>10</v>
      </c>
      <c r="B10" s="7" t="s">
        <v>7</v>
      </c>
      <c r="C10" s="10"/>
      <c r="D10" s="10">
        <v>50000000</v>
      </c>
      <c r="E10" s="10">
        <v>5000000</v>
      </c>
      <c r="F10" s="10">
        <v>5000000</v>
      </c>
      <c r="G10" s="10">
        <v>5000000</v>
      </c>
      <c r="H10" s="10">
        <v>5000000</v>
      </c>
      <c r="I10" s="10">
        <v>5000000</v>
      </c>
      <c r="J10" s="10">
        <v>5000000</v>
      </c>
      <c r="K10" s="10">
        <v>5000000</v>
      </c>
      <c r="L10" s="10">
        <v>5000000</v>
      </c>
      <c r="M10" s="10"/>
      <c r="N10" s="11">
        <f t="shared" ref="N10:N12" si="1">SUM($C10:$M10)</f>
        <v>90000000</v>
      </c>
      <c r="O10" s="11">
        <f t="shared" ref="O10:O12" si="2">$C10+NPV(10%,$D10:$M10)</f>
        <v>69704209.990466639</v>
      </c>
    </row>
    <row r="11" spans="1:15" x14ac:dyDescent="0.25">
      <c r="A11" s="6" t="s">
        <v>11</v>
      </c>
      <c r="B11" s="7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>
        <v>10000000</v>
      </c>
      <c r="N11" s="11">
        <f t="shared" si="1"/>
        <v>10000000</v>
      </c>
      <c r="O11" s="11">
        <f t="shared" si="2"/>
        <v>9090909.0909090899</v>
      </c>
    </row>
    <row r="12" spans="1:15" x14ac:dyDescent="0.25">
      <c r="A12" s="6" t="s">
        <v>12</v>
      </c>
      <c r="B12" s="7" t="s">
        <v>7</v>
      </c>
      <c r="C12" s="12">
        <f>SUM(C$9:C$11)</f>
        <v>50000000</v>
      </c>
      <c r="D12" s="12">
        <f t="shared" ref="D12:M12" si="3">SUM(D$9:D$11)</f>
        <v>150000000</v>
      </c>
      <c r="E12" s="12">
        <f>SUM(E$9:E$11)</f>
        <v>5000000</v>
      </c>
      <c r="F12" s="12">
        <f>SUM(F$9:F$11)</f>
        <v>5000000</v>
      </c>
      <c r="G12" s="12">
        <f t="shared" si="3"/>
        <v>5000000</v>
      </c>
      <c r="H12" s="12">
        <f t="shared" si="3"/>
        <v>5000000</v>
      </c>
      <c r="I12" s="12">
        <f t="shared" si="3"/>
        <v>5000000</v>
      </c>
      <c r="J12" s="12">
        <f t="shared" si="3"/>
        <v>5000000</v>
      </c>
      <c r="K12" s="12">
        <f t="shared" si="3"/>
        <v>5000000</v>
      </c>
      <c r="L12" s="12">
        <f>SUM(L$9:L$11)</f>
        <v>5000000</v>
      </c>
      <c r="M12" s="12">
        <f>SUM(M$9:M$11)</f>
        <v>10000000</v>
      </c>
      <c r="N12" s="12">
        <f t="shared" si="1"/>
        <v>250000000</v>
      </c>
      <c r="O12" s="12">
        <f t="shared" si="2"/>
        <v>214468733.79385284</v>
      </c>
    </row>
    <row r="13" spans="1:15" s="19" customFormat="1" x14ac:dyDescent="0.25">
      <c r="A13" s="8"/>
      <c r="B13" s="9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x14ac:dyDescent="0.25">
      <c r="A14" s="3" t="s">
        <v>20</v>
      </c>
      <c r="B14" s="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6" t="s">
        <v>14</v>
      </c>
      <c r="B15" s="7" t="s">
        <v>5</v>
      </c>
      <c r="C15" s="10"/>
      <c r="D15" s="10"/>
      <c r="E15" s="10">
        <v>700</v>
      </c>
      <c r="F15" s="10">
        <v>700</v>
      </c>
      <c r="G15" s="10">
        <v>700</v>
      </c>
      <c r="H15" s="10">
        <v>700</v>
      </c>
      <c r="I15" s="10">
        <v>700</v>
      </c>
      <c r="J15" s="10">
        <v>700</v>
      </c>
      <c r="K15" s="10">
        <v>700</v>
      </c>
      <c r="L15" s="10">
        <v>700</v>
      </c>
      <c r="M15" s="10"/>
      <c r="N15" s="15"/>
      <c r="O15" s="15"/>
    </row>
    <row r="16" spans="1:15" x14ac:dyDescent="0.25">
      <c r="A16" s="6" t="s">
        <v>13</v>
      </c>
      <c r="B16" s="7" t="s">
        <v>7</v>
      </c>
      <c r="C16" s="12">
        <f>C$4*C$15</f>
        <v>0</v>
      </c>
      <c r="D16" s="12">
        <f t="shared" ref="D16:M16" si="4">D$4*D$15</f>
        <v>0</v>
      </c>
      <c r="E16" s="12">
        <f>E$4*E$15</f>
        <v>175000000</v>
      </c>
      <c r="F16" s="12">
        <f>F$4*F$15</f>
        <v>175000000</v>
      </c>
      <c r="G16" s="12">
        <f t="shared" si="4"/>
        <v>175000000</v>
      </c>
      <c r="H16" s="12">
        <f t="shared" si="4"/>
        <v>175000000</v>
      </c>
      <c r="I16" s="12">
        <f t="shared" si="4"/>
        <v>175000000</v>
      </c>
      <c r="J16" s="12">
        <f t="shared" si="4"/>
        <v>175000000</v>
      </c>
      <c r="K16" s="12">
        <f t="shared" si="4"/>
        <v>175000000</v>
      </c>
      <c r="L16" s="12">
        <f t="shared" si="4"/>
        <v>175000000</v>
      </c>
      <c r="M16" s="12">
        <f>M$4*M$15</f>
        <v>0</v>
      </c>
      <c r="N16" s="12">
        <f t="shared" ref="N16" si="5">SUM($C16:$M16)</f>
        <v>1400000000</v>
      </c>
      <c r="O16" s="12">
        <f t="shared" ref="O16" si="6">$C16+NPV(10%,$D16:$M16)</f>
        <v>848738258.75724196</v>
      </c>
    </row>
    <row r="17" spans="1:15" x14ac:dyDescent="0.25">
      <c r="A17" s="8"/>
      <c r="B17" s="9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x14ac:dyDescent="0.25">
      <c r="A18" s="3" t="s">
        <v>21</v>
      </c>
      <c r="B18" s="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x14ac:dyDescent="0.25">
      <c r="A19" s="6" t="s">
        <v>19</v>
      </c>
      <c r="B19" s="7" t="s">
        <v>7</v>
      </c>
      <c r="C19" s="12">
        <f>C$6-C$12-C$16</f>
        <v>-50000000</v>
      </c>
      <c r="D19" s="12">
        <f t="shared" ref="D19:M19" si="7">D$6-D$12-D$16</f>
        <v>-150000000</v>
      </c>
      <c r="E19" s="12">
        <f>E$6-E$12-E$16</f>
        <v>145000000</v>
      </c>
      <c r="F19" s="12">
        <f t="shared" si="7"/>
        <v>145000000</v>
      </c>
      <c r="G19" s="12">
        <f>G$6-G$12-G$16</f>
        <v>145000000</v>
      </c>
      <c r="H19" s="12">
        <f t="shared" si="7"/>
        <v>145000000</v>
      </c>
      <c r="I19" s="12">
        <f t="shared" si="7"/>
        <v>145000000</v>
      </c>
      <c r="J19" s="12">
        <f t="shared" si="7"/>
        <v>145000000</v>
      </c>
      <c r="K19" s="12">
        <f t="shared" si="7"/>
        <v>145000000</v>
      </c>
      <c r="L19" s="12">
        <f t="shared" si="7"/>
        <v>145000000</v>
      </c>
      <c r="M19" s="12">
        <f t="shared" si="7"/>
        <v>-10000000</v>
      </c>
      <c r="N19" s="12">
        <f t="shared" ref="N19" si="8">SUM($C19:$M19)</f>
        <v>950000000</v>
      </c>
      <c r="O19" s="12">
        <f t="shared" ref="O19" si="9">$C19+NPV(10%,$D19:$M19)</f>
        <v>513021202.28378308</v>
      </c>
    </row>
    <row r="20" spans="1:15" x14ac:dyDescent="0.25">
      <c r="A20" s="6" t="s">
        <v>15</v>
      </c>
      <c r="B20" s="7" t="s">
        <v>8</v>
      </c>
      <c r="C20" s="17" t="str">
        <f>IF(ISNUMBER(IRR($C19:C19)),IF(IRR($C19:C19)&gt;0,IRR($C19:C19),""),"")</f>
        <v/>
      </c>
      <c r="D20" s="17" t="str">
        <f>IF(ISNUMBER(IRR($C19:D19)),IF(IRR($C19:D19)&gt;0,IRR($C19:D19),""),"")</f>
        <v/>
      </c>
      <c r="E20" s="17" t="str">
        <f>IF(ISNUMBER(IRR($C19:E19)),IF(IRR($C19:E19)&gt;0,IRR($C19:E19),""),"")</f>
        <v/>
      </c>
      <c r="F20" s="17">
        <f>IF(ISNUMBER(IRR($C19:F19)),IF(IRR($C19:F19)&gt;0,IRR($C19:F19),""),"")</f>
        <v>0.23743595812084983</v>
      </c>
      <c r="G20" s="17">
        <f>IF(ISNUMBER(IRR($C19:G19)),IF(IRR($C19:G19)&gt;0,IRR($C19:G19),""),"")</f>
        <v>0.4312133242672187</v>
      </c>
      <c r="H20" s="17">
        <f>IF(ISNUMBER(IRR($C19:H19)),IF(IRR($C19:H19)&gt;0,IRR($C19:H19),""),"")</f>
        <v>0.52174773300464294</v>
      </c>
      <c r="I20" s="17">
        <f>IF(ISNUMBER(IRR($C19:I19)),IF(IRR($C19:I19)&gt;0,IRR($C19:I19),""),"")</f>
        <v>0.56785909655562739</v>
      </c>
      <c r="J20" s="17">
        <f>IF(ISNUMBER(IRR($C19:J19)),IF(IRR($C19:J19)&gt;0,IRR($C19:J19),""),"")</f>
        <v>0.59275422323488747</v>
      </c>
      <c r="K20" s="17">
        <f>IF(ISNUMBER(IRR($C19:K19)),IF(IRR($C19:K19)&gt;0,IRR($C19:K19),""),"")</f>
        <v>0.60674121571268969</v>
      </c>
      <c r="L20" s="17">
        <f>IF(ISNUMBER(IRR($C19:L19)),IF(IRR($C19:L19)&gt;0,IRR($C19:L19),""),"")</f>
        <v>0.61481929116363609</v>
      </c>
      <c r="M20" s="17">
        <f>IF(ISNUMBER(IRR($C19:M19)),IF(IRR($C19:M19)&gt;0,IRR($C19:M19),""),"")</f>
        <v>0.61448399953834887</v>
      </c>
      <c r="N20" s="18"/>
      <c r="O20" s="18"/>
    </row>
    <row r="23" spans="1:15" x14ac:dyDescent="0.25">
      <c r="A23" s="3" t="s">
        <v>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6" t="s">
        <v>35</v>
      </c>
      <c r="B24" s="7" t="s">
        <v>7</v>
      </c>
      <c r="C24" s="10">
        <v>100000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5"/>
      <c r="O24" s="15"/>
    </row>
    <row r="25" spans="1:15" x14ac:dyDescent="0.25">
      <c r="A25" s="6" t="s">
        <v>36</v>
      </c>
      <c r="B25" s="7" t="s">
        <v>7</v>
      </c>
      <c r="C25" s="10">
        <f>100*100</f>
        <v>10000</v>
      </c>
      <c r="D25" s="10">
        <f>100*100</f>
        <v>10000</v>
      </c>
      <c r="E25" s="10">
        <f>100*100</f>
        <v>10000</v>
      </c>
      <c r="F25" s="10">
        <f t="shared" ref="F25:M25" si="10">100*100</f>
        <v>10000</v>
      </c>
      <c r="G25" s="10">
        <f t="shared" si="10"/>
        <v>10000</v>
      </c>
      <c r="H25" s="10">
        <f t="shared" si="10"/>
        <v>10000</v>
      </c>
      <c r="I25" s="10">
        <f t="shared" si="10"/>
        <v>10000</v>
      </c>
      <c r="J25" s="10">
        <f t="shared" si="10"/>
        <v>10000</v>
      </c>
      <c r="K25" s="10">
        <f t="shared" si="10"/>
        <v>10000</v>
      </c>
      <c r="L25" s="10">
        <f t="shared" si="10"/>
        <v>10000</v>
      </c>
      <c r="M25" s="10">
        <f t="shared" si="10"/>
        <v>10000</v>
      </c>
      <c r="N25" s="15"/>
      <c r="O25" s="15"/>
    </row>
    <row r="26" spans="1:15" x14ac:dyDescent="0.25">
      <c r="A26" s="6" t="s">
        <v>37</v>
      </c>
      <c r="B26" s="7" t="s">
        <v>7</v>
      </c>
      <c r="C26" s="10"/>
      <c r="D26" s="10"/>
      <c r="E26" s="10">
        <f>E6*0.04</f>
        <v>13000000</v>
      </c>
      <c r="F26" s="10">
        <f t="shared" ref="F26:M26" si="11">F6*0.04</f>
        <v>13000000</v>
      </c>
      <c r="G26" s="10">
        <f t="shared" si="11"/>
        <v>13000000</v>
      </c>
      <c r="H26" s="10">
        <f t="shared" si="11"/>
        <v>13000000</v>
      </c>
      <c r="I26" s="10">
        <f t="shared" si="11"/>
        <v>13000000</v>
      </c>
      <c r="J26" s="10">
        <f t="shared" si="11"/>
        <v>13000000</v>
      </c>
      <c r="K26" s="10">
        <f t="shared" si="11"/>
        <v>13000000</v>
      </c>
      <c r="L26" s="10">
        <f t="shared" si="11"/>
        <v>13000000</v>
      </c>
      <c r="M26" s="10">
        <f t="shared" si="11"/>
        <v>0</v>
      </c>
      <c r="N26" s="15"/>
      <c r="O26" s="15"/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Modèle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2023-03-06T12:34:04Z</dcterms:modified>
</cp:coreProperties>
</file>