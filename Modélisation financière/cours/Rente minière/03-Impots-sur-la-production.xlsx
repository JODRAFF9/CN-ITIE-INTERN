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filterPrivacy="1" defaultThemeVersion="124226"/>
  <xr:revisionPtr revIDLastSave="0" documentId="13_ncr:1_{3148470C-9FFC-426F-B1C2-3B53354AD806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Modèle" sheetId="3" r:id="rId1"/>
  </sheets>
  <calcPr calcId="191029"/>
</workbook>
</file>

<file path=xl/calcChain.xml><?xml version="1.0" encoding="utf-8"?>
<calcChain xmlns="http://schemas.openxmlformats.org/spreadsheetml/2006/main">
  <c r="D31" i="3" l="1"/>
  <c r="D32" i="3" s="1"/>
  <c r="E31" i="3"/>
  <c r="F31" i="3"/>
  <c r="G31" i="3"/>
  <c r="H31" i="3"/>
  <c r="I31" i="3"/>
  <c r="J31" i="3"/>
  <c r="K31" i="3"/>
  <c r="L31" i="3"/>
  <c r="M31" i="3"/>
  <c r="M32" i="3" s="1"/>
  <c r="C31" i="3"/>
  <c r="C32" i="3" s="1"/>
  <c r="E28" i="3"/>
  <c r="F16" i="3"/>
  <c r="F12" i="3"/>
  <c r="F6" i="3"/>
  <c r="C6" i="3"/>
  <c r="F32" i="3" l="1"/>
  <c r="E16" i="3"/>
  <c r="F28" i="3" l="1"/>
  <c r="G28" i="3"/>
  <c r="H28" i="3"/>
  <c r="I28" i="3"/>
  <c r="J28" i="3"/>
  <c r="K28" i="3"/>
  <c r="L28" i="3"/>
  <c r="M28" i="3"/>
  <c r="D28" i="3"/>
  <c r="C28" i="3"/>
  <c r="O23" i="3"/>
  <c r="N23" i="3"/>
  <c r="G16" i="3"/>
  <c r="H16" i="3"/>
  <c r="I16" i="3"/>
  <c r="J16" i="3"/>
  <c r="K16" i="3"/>
  <c r="L16" i="3"/>
  <c r="M16" i="3"/>
  <c r="D16" i="3"/>
  <c r="C16" i="3"/>
  <c r="N16" i="3" l="1"/>
  <c r="O28" i="3"/>
  <c r="O16" i="3"/>
  <c r="N28" i="3"/>
  <c r="N10" i="3"/>
  <c r="O10" i="3"/>
  <c r="N11" i="3"/>
  <c r="O11" i="3"/>
  <c r="O9" i="3"/>
  <c r="N9" i="3"/>
  <c r="M12" i="3"/>
  <c r="L12" i="3"/>
  <c r="K12" i="3"/>
  <c r="J12" i="3"/>
  <c r="I12" i="3"/>
  <c r="H12" i="3"/>
  <c r="G12" i="3"/>
  <c r="E12" i="3"/>
  <c r="D12" i="3"/>
  <c r="C12" i="3"/>
  <c r="N4" i="3"/>
  <c r="M6" i="3"/>
  <c r="L6" i="3"/>
  <c r="K6" i="3"/>
  <c r="J6" i="3"/>
  <c r="I6" i="3"/>
  <c r="H6" i="3"/>
  <c r="G6" i="3"/>
  <c r="E6" i="3"/>
  <c r="D6" i="3"/>
  <c r="G19" i="3" l="1"/>
  <c r="E19" i="3"/>
  <c r="L32" i="3"/>
  <c r="G32" i="3"/>
  <c r="K32" i="3"/>
  <c r="H32" i="3"/>
  <c r="E32" i="3"/>
  <c r="I32" i="3"/>
  <c r="J32" i="3"/>
  <c r="C19" i="3"/>
  <c r="N12" i="3"/>
  <c r="O12" i="3"/>
  <c r="D19" i="3"/>
  <c r="H19" i="3"/>
  <c r="L19" i="3"/>
  <c r="I19" i="3"/>
  <c r="M19" i="3"/>
  <c r="F19" i="3"/>
  <c r="J19" i="3"/>
  <c r="K19" i="3"/>
  <c r="O6" i="3"/>
  <c r="N6" i="3"/>
  <c r="D20" i="3" l="1"/>
  <c r="J20" i="3"/>
  <c r="F20" i="3"/>
  <c r="C20" i="3"/>
  <c r="I20" i="3"/>
  <c r="E20" i="3"/>
  <c r="N19" i="3"/>
  <c r="G20" i="3"/>
  <c r="M20" i="3"/>
  <c r="H20" i="3"/>
  <c r="N32" i="3"/>
  <c r="O32" i="3"/>
  <c r="O19" i="3"/>
  <c r="K20" i="3"/>
  <c r="L20" i="3"/>
</calcChain>
</file>

<file path=xl/sharedStrings.xml><?xml version="1.0" encoding="utf-8"?>
<sst xmlns="http://schemas.openxmlformats.org/spreadsheetml/2006/main" count="56" uniqueCount="45">
  <si>
    <t>Unité</t>
  </si>
  <si>
    <t>VAN</t>
  </si>
  <si>
    <t>oz</t>
  </si>
  <si>
    <t>Production d'or</t>
  </si>
  <si>
    <t>Cours de l'or</t>
  </si>
  <si>
    <t>USD/oz</t>
  </si>
  <si>
    <t>Chiffre d'affaires</t>
  </si>
  <si>
    <t>USD</t>
  </si>
  <si>
    <t>%</t>
  </si>
  <si>
    <t>Coûts des construction industrielles</t>
  </si>
  <si>
    <t>Coûts des biens d'équipement</t>
  </si>
  <si>
    <t>Coûts de réhabilitation du site</t>
  </si>
  <si>
    <t>Total des dépenses d'investissement</t>
  </si>
  <si>
    <t>Total des coûts d'exploitation</t>
  </si>
  <si>
    <t>Coût moyen d'exploitation</t>
  </si>
  <si>
    <t>Taux de rendement interne avant impôts</t>
  </si>
  <si>
    <t>Nom</t>
  </si>
  <si>
    <t>I. PRODUCTION</t>
  </si>
  <si>
    <t>II. DEPENSES D'INVESTISSEMENT (CAPEX)</t>
  </si>
  <si>
    <t>Flux nets de trésorerie avant impôts</t>
  </si>
  <si>
    <t>III. COÛTS D'EXPLOITATION (OPEX)</t>
  </si>
  <si>
    <t>IV. FLUX NETS DE TRESORERIE AVANT IMPÔTS</t>
  </si>
  <si>
    <t>SOMME</t>
  </si>
  <si>
    <t>km²</t>
  </si>
  <si>
    <t>USD/km²</t>
  </si>
  <si>
    <t>Droits fixes</t>
  </si>
  <si>
    <t>Redevance superficiaire</t>
  </si>
  <si>
    <t>Redevance minière</t>
  </si>
  <si>
    <t>Superficie de la mine</t>
  </si>
  <si>
    <t>Montant de la redevance superfiaire</t>
  </si>
  <si>
    <t>Taux de la redevance minière</t>
  </si>
  <si>
    <t>V. DROITS FIXES</t>
  </si>
  <si>
    <t>VI. REDEVANCE SUPERFICAIRE</t>
  </si>
  <si>
    <t>VII. REDEVANCE MINIERE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</si>
  <si>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</si>
  <si>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</si>
  <si>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</si>
  <si>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</si>
  <si>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</si>
  <si>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</si>
  <si>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</si>
  <si>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</si>
  <si>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</si>
  <si>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</si>
  <si>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Année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</si>
</sst>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21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9"/>
      <color theme="0"/>
      <name val="Arial"/>
      <family val="2"/>
    </font>
    <font>
      <b/>
      <sz val="9"/>
      <color rgb="FF104258"/>
      <name val="Arial"/>
      <family val="2"/>
    </font>
    <font>
      <sz val="9"/>
      <color rgb="FF10425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04258"/>
        <bgColor indexed="64"/>
      </patternFill>
    </fill>
    <fill>
      <patternFill patternType="solid">
        <fgColor rgb="FFCFDCE8"/>
        <bgColor indexed="64"/>
      </patternFill>
    </fill>
    <fill>
      <patternFill patternType="solid">
        <fgColor rgb="FF026E8F"/>
        <bgColor indexed="64"/>
      </patternFill>
    </fill>
    <fill>
      <patternFill patternType="solid">
        <fgColor rgb="FFE75D5C"/>
        <bgColor indexed="64"/>
      </patternFill>
    </fill>
    <fill>
      <patternFill patternType="solid">
        <fgColor rgb="FFD53738"/>
        <bgColor indexed="64"/>
      </patternFill>
    </fill>
    <fill>
      <patternFill patternType="solid">
        <fgColor rgb="FFE3A728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27">
    <xf numFmtId="0" fontId="0" fillId="0" borderId="0" xfId="0">
      <alignment horizontal="left" vertical="top"/>
    </xf>
    <xf numFmtId="0" fontId="0" fillId="0" borderId="0" xfId="0">
      <alignment horizontal="left" vertical="top"/>
    </xf>
    <xf numFmtId="0" fontId="14" fillId="0" borderId="0" xfId="0" applyFont="1">
      <alignment horizontal="left" vertical="top"/>
    </xf>
    <xf numFmtId="0" fontId="16" fillId="34" borderId="0" xfId="0" applyFont="1" applyFill="1">
      <alignment horizontal="left" vertical="top"/>
    </xf>
    <xf numFmtId="0" fontId="16" fillId="34" borderId="0" xfId="0" applyFont="1" applyFill="1" applyAlignment="1">
      <alignment horizontal="center" vertical="top"/>
    </xf>
    <xf numFmtId="0" fontId="17" fillId="34" borderId="0" xfId="0" applyFont="1" applyFill="1" applyAlignment="1">
      <alignment vertical="top"/>
    </xf>
    <xf numFmtId="0" fontId="16" fillId="0" borderId="0" xfId="0" applyFont="1">
      <alignment horizontal="left" vertical="top"/>
    </xf>
    <xf numFmtId="0" fontId="16" fillId="0" borderId="0" xfId="0" applyFont="1" applyAlignment="1">
      <alignment horizontal="center" vertical="top"/>
    </xf>
    <xf numFmtId="0" fontId="16" fillId="0" borderId="0" xfId="0" applyFont="1" applyFill="1">
      <alignment horizontal="left" vertical="top"/>
    </xf>
    <xf numFmtId="0" fontId="16" fillId="0" borderId="0" xfId="0" applyFont="1" applyFill="1" applyAlignment="1">
      <alignment horizontal="center" vertical="top"/>
    </xf>
    <xf numFmtId="0" fontId="19" fillId="34" borderId="0" xfId="0" applyFont="1" applyFill="1" applyAlignment="1">
      <alignment horizontal="center" vertical="top"/>
    </xf>
    <xf numFmtId="3" fontId="15" fillId="35" borderId="0" xfId="0" applyNumberFormat="1" applyFont="1" applyFill="1" applyAlignment="1">
      <alignment horizontal="right" vertical="top"/>
    </xf>
    <xf numFmtId="3" fontId="15" fillId="36" borderId="0" xfId="0" applyNumberFormat="1" applyFont="1" applyFill="1" applyAlignment="1">
      <alignment horizontal="right" vertical="top"/>
    </xf>
    <xf numFmtId="3" fontId="15" fillId="37" borderId="0" xfId="0" applyNumberFormat="1" applyFont="1" applyFill="1" applyAlignment="1">
      <alignment horizontal="right" vertical="top"/>
    </xf>
    <xf numFmtId="3" fontId="15" fillId="0" borderId="0" xfId="0" applyNumberFormat="1" applyFont="1" applyFill="1" applyAlignment="1">
      <alignment horizontal="right" vertical="top"/>
    </xf>
    <xf numFmtId="0" fontId="17" fillId="34" borderId="0" xfId="0" applyFont="1" applyFill="1" applyAlignment="1">
      <alignment horizontal="right" vertical="top"/>
    </xf>
    <xf numFmtId="0" fontId="15" fillId="36" borderId="0" xfId="0" applyFont="1" applyFill="1" applyAlignment="1">
      <alignment horizontal="right" vertical="top"/>
    </xf>
    <xf numFmtId="0" fontId="18" fillId="34" borderId="0" xfId="0" applyFont="1" applyFill="1" applyAlignment="1">
      <alignment horizontal="right" vertical="top"/>
    </xf>
    <xf numFmtId="9" fontId="15" fillId="37" borderId="0" xfId="0" applyNumberFormat="1" applyFont="1" applyFill="1" applyAlignment="1">
      <alignment horizontal="right" vertical="top"/>
    </xf>
    <xf numFmtId="0" fontId="15" fillId="37" borderId="0" xfId="0" applyFont="1" applyFill="1" applyAlignment="1">
      <alignment horizontal="right" vertical="top"/>
    </xf>
    <xf numFmtId="9" fontId="15" fillId="0" borderId="0" xfId="0" applyNumberFormat="1" applyFont="1" applyFill="1" applyAlignment="1">
      <alignment horizontal="right" vertical="top"/>
    </xf>
    <xf numFmtId="0" fontId="15" fillId="0" borderId="0" xfId="0" applyFont="1" applyFill="1" applyAlignment="1">
      <alignment horizontal="right" vertical="top"/>
    </xf>
    <xf numFmtId="3" fontId="15" fillId="38" borderId="0" xfId="0" applyNumberFormat="1" applyFont="1" applyFill="1" applyAlignment="1">
      <alignment horizontal="right" vertical="top"/>
    </xf>
    <xf numFmtId="0" fontId="15" fillId="34" borderId="0" xfId="0" applyFont="1" applyFill="1" applyAlignment="1">
      <alignment horizontal="right" vertical="top"/>
    </xf>
    <xf numFmtId="9" fontId="15" fillId="38" borderId="0" xfId="0" applyNumberFormat="1" applyFont="1" applyFill="1" applyAlignment="1">
      <alignment horizontal="right" vertical="top"/>
    </xf>
    <xf numFmtId="0" fontId="0" fillId="0" borderId="0" xfId="0" applyFill="1">
      <alignment horizontal="left" vertical="top"/>
    </xf>
    <xf numFmtId="0" fontId="20" fillId="33" borderId="0" xfId="0" applyFont="1" applyFill="1" applyAlignment="1">
      <alignment horizontal="center" vertical="center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53738"/>
      <color rgb="FF026E8F"/>
      <color rgb="FF104258"/>
      <color rgb="FFA63535"/>
      <color rgb="FFE3A728"/>
      <color rgb="FFCFD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0.83203125" defaultRowHeight="12.75" x14ac:dyDescent="0.2"/>
  <cols>
    <col min="1" max="1" width="40.83203125" style="1" customWidth="1"/>
    <col min="2" max="2" width="10.83203125" style="1"/>
    <col min="3" max="15" width="15.83203125" style="1" customWidth="1"/>
    <col min="16" max="16384" width="10.83203125" style="1"/>
  </cols>
  <sheetData>
    <row r="1" spans="1:15" s="2" customFormat="1" x14ac:dyDescent="0.2">
      <c r="A1" s="26" t="s">
        <v>16</v>
      </c>
      <c r="B1" s="26" t="s">
        <v>0</v>
      </c>
      <c r="C1" s="26" t="s">
        <v>34</v>
      </c>
      <c r="D1" s="26" t="s">
        <v>35</v>
      </c>
      <c r="E1" s="26" t="s">
        <v>36</v>
      </c>
      <c r="F1" s="26" t="s">
        <v>37</v>
      </c>
      <c r="G1" s="26" t="s">
        <v>38</v>
      </c>
      <c r="H1" s="26" t="s">
        <v>39</v>
      </c>
      <c r="I1" s="26" t="s">
        <v>40</v>
      </c>
      <c r="J1" s="26" t="s">
        <v>41</v>
      </c>
      <c r="K1" s="26" t="s">
        <v>42</v>
      </c>
      <c r="L1" s="26" t="s">
        <v>43</v>
      </c>
      <c r="M1" s="26" t="s">
        <v>44</v>
      </c>
      <c r="N1" s="26" t="s">
        <v>22</v>
      </c>
      <c r="O1" s="26" t="s">
        <v>1</v>
      </c>
    </row>
    <row r="2" spans="1:15" s="2" customFormat="1" x14ac:dyDescent="0.2">
      <c r="A2" s="8"/>
      <c r="B2" s="9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2">
      <c r="A3" s="3" t="s">
        <v>17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6" t="s">
        <v>3</v>
      </c>
      <c r="B4" s="7" t="s">
        <v>2</v>
      </c>
      <c r="C4" s="11"/>
      <c r="D4" s="11"/>
      <c r="E4" s="11">
        <v>250000</v>
      </c>
      <c r="F4" s="11">
        <v>250000</v>
      </c>
      <c r="G4" s="11">
        <v>250000</v>
      </c>
      <c r="H4" s="11">
        <v>250000</v>
      </c>
      <c r="I4" s="11">
        <v>250000</v>
      </c>
      <c r="J4" s="11">
        <v>250000</v>
      </c>
      <c r="K4" s="11">
        <v>250000</v>
      </c>
      <c r="L4" s="11">
        <v>250000</v>
      </c>
      <c r="M4" s="11"/>
      <c r="N4" s="12">
        <f>SUM($C4:$M4)</f>
        <v>2000000</v>
      </c>
      <c r="O4" s="12"/>
    </row>
    <row r="5" spans="1:15" x14ac:dyDescent="0.2">
      <c r="A5" s="6" t="s">
        <v>4</v>
      </c>
      <c r="B5" s="7" t="s">
        <v>5</v>
      </c>
      <c r="C5" s="11"/>
      <c r="D5" s="11"/>
      <c r="E5" s="11">
        <v>1300</v>
      </c>
      <c r="F5" s="11">
        <v>1300</v>
      </c>
      <c r="G5" s="11">
        <v>1300</v>
      </c>
      <c r="H5" s="11">
        <v>1300</v>
      </c>
      <c r="I5" s="11">
        <v>1300</v>
      </c>
      <c r="J5" s="11">
        <v>1300</v>
      </c>
      <c r="K5" s="11">
        <v>1300</v>
      </c>
      <c r="L5" s="11">
        <v>1300</v>
      </c>
      <c r="M5" s="11"/>
      <c r="N5" s="12"/>
      <c r="O5" s="12"/>
    </row>
    <row r="6" spans="1:15" x14ac:dyDescent="0.2">
      <c r="A6" s="6" t="s">
        <v>6</v>
      </c>
      <c r="B6" s="7" t="s">
        <v>7</v>
      </c>
      <c r="C6" s="13">
        <f>C$4*C$5</f>
        <v>0</v>
      </c>
      <c r="D6" s="13">
        <f t="shared" ref="D6:M6" si="0">D$4*D$5</f>
        <v>0</v>
      </c>
      <c r="E6" s="13">
        <f t="shared" si="0"/>
        <v>325000000</v>
      </c>
      <c r="F6" s="13">
        <f>F$4*F$5</f>
        <v>325000000</v>
      </c>
      <c r="G6" s="13">
        <f t="shared" si="0"/>
        <v>325000000</v>
      </c>
      <c r="H6" s="13">
        <f t="shared" si="0"/>
        <v>325000000</v>
      </c>
      <c r="I6" s="13">
        <f t="shared" si="0"/>
        <v>325000000</v>
      </c>
      <c r="J6" s="13">
        <f t="shared" si="0"/>
        <v>325000000</v>
      </c>
      <c r="K6" s="13">
        <f t="shared" si="0"/>
        <v>325000000</v>
      </c>
      <c r="L6" s="13">
        <f t="shared" si="0"/>
        <v>325000000</v>
      </c>
      <c r="M6" s="13">
        <f t="shared" si="0"/>
        <v>0</v>
      </c>
      <c r="N6" s="13">
        <f>SUM($C6:$M6)</f>
        <v>2600000000</v>
      </c>
      <c r="O6" s="13">
        <f>$C6+NPV(10%,$D6:$M6)</f>
        <v>1576228194.834878</v>
      </c>
    </row>
    <row r="7" spans="1:15" x14ac:dyDescent="0.2">
      <c r="A7" s="8"/>
      <c r="B7" s="9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2">
      <c r="A8" s="3" t="s">
        <v>18</v>
      </c>
      <c r="B8" s="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x14ac:dyDescent="0.2">
      <c r="A9" s="6" t="s">
        <v>9</v>
      </c>
      <c r="B9" s="7" t="s">
        <v>7</v>
      </c>
      <c r="C9" s="11">
        <v>50000000</v>
      </c>
      <c r="D9" s="11">
        <v>100000000</v>
      </c>
      <c r="E9" s="11"/>
      <c r="F9" s="11"/>
      <c r="G9" s="11"/>
      <c r="H9" s="11"/>
      <c r="I9" s="11"/>
      <c r="J9" s="11"/>
      <c r="K9" s="11"/>
      <c r="L9" s="11"/>
      <c r="M9" s="11"/>
      <c r="N9" s="12">
        <f>SUM($C9:$M9)</f>
        <v>150000000</v>
      </c>
      <c r="O9" s="12">
        <f>$C9+NPV(10%,$D9:$M9)</f>
        <v>140909090.90909091</v>
      </c>
    </row>
    <row r="10" spans="1:15" x14ac:dyDescent="0.2">
      <c r="A10" s="6" t="s">
        <v>10</v>
      </c>
      <c r="B10" s="7" t="s">
        <v>7</v>
      </c>
      <c r="C10" s="11"/>
      <c r="D10" s="11">
        <v>50000000</v>
      </c>
      <c r="E10" s="11">
        <v>5000000</v>
      </c>
      <c r="F10" s="11">
        <v>5000000</v>
      </c>
      <c r="G10" s="11">
        <v>5000000</v>
      </c>
      <c r="H10" s="11">
        <v>5000000</v>
      </c>
      <c r="I10" s="11">
        <v>5000000</v>
      </c>
      <c r="J10" s="11">
        <v>5000000</v>
      </c>
      <c r="K10" s="11">
        <v>5000000</v>
      </c>
      <c r="L10" s="11">
        <v>5000000</v>
      </c>
      <c r="M10" s="11"/>
      <c r="N10" s="12">
        <f t="shared" ref="N10:N12" si="1">SUM($C10:$M10)</f>
        <v>90000000</v>
      </c>
      <c r="O10" s="12">
        <f t="shared" ref="O10:O12" si="2">$C10+NPV(10%,$D10:$M10)</f>
        <v>69704209.990466639</v>
      </c>
    </row>
    <row r="11" spans="1:15" x14ac:dyDescent="0.2">
      <c r="A11" s="6" t="s">
        <v>11</v>
      </c>
      <c r="B11" s="7" t="s">
        <v>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>
        <v>10000000</v>
      </c>
      <c r="N11" s="12">
        <f t="shared" si="1"/>
        <v>10000000</v>
      </c>
      <c r="O11" s="12">
        <f t="shared" si="2"/>
        <v>9090909.0909090899</v>
      </c>
    </row>
    <row r="12" spans="1:15" x14ac:dyDescent="0.2">
      <c r="A12" s="6" t="s">
        <v>12</v>
      </c>
      <c r="B12" s="7" t="s">
        <v>7</v>
      </c>
      <c r="C12" s="13">
        <f>SUM(C$9:C$11)</f>
        <v>50000000</v>
      </c>
      <c r="D12" s="13">
        <f t="shared" ref="D12:M12" si="3">SUM(D$9:D$11)</f>
        <v>150000000</v>
      </c>
      <c r="E12" s="13">
        <f>SUM(E$9:E$11)</f>
        <v>5000000</v>
      </c>
      <c r="F12" s="13">
        <f>SUM(F$9:F$11)</f>
        <v>5000000</v>
      </c>
      <c r="G12" s="13">
        <f t="shared" si="3"/>
        <v>5000000</v>
      </c>
      <c r="H12" s="13">
        <f t="shared" si="3"/>
        <v>5000000</v>
      </c>
      <c r="I12" s="13">
        <f t="shared" si="3"/>
        <v>5000000</v>
      </c>
      <c r="J12" s="13">
        <f t="shared" si="3"/>
        <v>5000000</v>
      </c>
      <c r="K12" s="13">
        <f t="shared" si="3"/>
        <v>5000000</v>
      </c>
      <c r="L12" s="13">
        <f t="shared" si="3"/>
        <v>5000000</v>
      </c>
      <c r="M12" s="13">
        <f t="shared" si="3"/>
        <v>10000000</v>
      </c>
      <c r="N12" s="13">
        <f t="shared" si="1"/>
        <v>250000000</v>
      </c>
      <c r="O12" s="13">
        <f t="shared" si="2"/>
        <v>214468733.79385284</v>
      </c>
    </row>
    <row r="13" spans="1:15" s="25" customFormat="1" x14ac:dyDescent="0.2">
      <c r="A13" s="8"/>
      <c r="B13" s="9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2">
      <c r="A14" s="3" t="s">
        <v>20</v>
      </c>
      <c r="B14" s="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x14ac:dyDescent="0.2">
      <c r="A15" s="6" t="s">
        <v>14</v>
      </c>
      <c r="B15" s="7" t="s">
        <v>5</v>
      </c>
      <c r="C15" s="11"/>
      <c r="D15" s="11"/>
      <c r="E15" s="11">
        <v>700</v>
      </c>
      <c r="F15" s="11">
        <v>700</v>
      </c>
      <c r="G15" s="11">
        <v>700</v>
      </c>
      <c r="H15" s="11">
        <v>700</v>
      </c>
      <c r="I15" s="11">
        <v>700</v>
      </c>
      <c r="J15" s="11">
        <v>700</v>
      </c>
      <c r="K15" s="11">
        <v>700</v>
      </c>
      <c r="L15" s="11">
        <v>700</v>
      </c>
      <c r="M15" s="11"/>
      <c r="N15" s="16"/>
      <c r="O15" s="16"/>
    </row>
    <row r="16" spans="1:15" x14ac:dyDescent="0.2">
      <c r="A16" s="6" t="s">
        <v>13</v>
      </c>
      <c r="B16" s="7" t="s">
        <v>7</v>
      </c>
      <c r="C16" s="13">
        <f>C$4*C$15</f>
        <v>0</v>
      </c>
      <c r="D16" s="13">
        <f t="shared" ref="D16:M16" si="4">D$4*D$15</f>
        <v>0</v>
      </c>
      <c r="E16" s="13">
        <f>E$4*E$15</f>
        <v>175000000</v>
      </c>
      <c r="F16" s="13">
        <f>F$4*F$15</f>
        <v>175000000</v>
      </c>
      <c r="G16" s="13">
        <f t="shared" si="4"/>
        <v>175000000</v>
      </c>
      <c r="H16" s="13">
        <f t="shared" si="4"/>
        <v>175000000</v>
      </c>
      <c r="I16" s="13">
        <f t="shared" si="4"/>
        <v>175000000</v>
      </c>
      <c r="J16" s="13">
        <f t="shared" si="4"/>
        <v>175000000</v>
      </c>
      <c r="K16" s="13">
        <f t="shared" si="4"/>
        <v>175000000</v>
      </c>
      <c r="L16" s="13">
        <f t="shared" si="4"/>
        <v>175000000</v>
      </c>
      <c r="M16" s="13">
        <f t="shared" si="4"/>
        <v>0</v>
      </c>
      <c r="N16" s="13">
        <f t="shared" ref="N16" si="5">SUM($C16:$M16)</f>
        <v>1400000000</v>
      </c>
      <c r="O16" s="13">
        <f t="shared" ref="O16" si="6">$C16+NPV(10%,$D16:$M16)</f>
        <v>848738258.75724196</v>
      </c>
    </row>
    <row r="17" spans="1:15" x14ac:dyDescent="0.2">
      <c r="A17" s="8"/>
      <c r="B17" s="9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">
      <c r="A18" s="3" t="s">
        <v>21</v>
      </c>
      <c r="B18" s="4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x14ac:dyDescent="0.2">
      <c r="A19" s="6" t="s">
        <v>19</v>
      </c>
      <c r="B19" s="7" t="s">
        <v>7</v>
      </c>
      <c r="C19" s="13">
        <f>C$6-C$12-C$16</f>
        <v>-50000000</v>
      </c>
      <c r="D19" s="13">
        <f t="shared" ref="D19:M19" si="7">D$6-D$12-D$16</f>
        <v>-150000000</v>
      </c>
      <c r="E19" s="13">
        <f>E$6-E$12-E$16</f>
        <v>145000000</v>
      </c>
      <c r="F19" s="13">
        <f t="shared" si="7"/>
        <v>145000000</v>
      </c>
      <c r="G19" s="13">
        <f>G$6-G$12-G$16</f>
        <v>145000000</v>
      </c>
      <c r="H19" s="13">
        <f t="shared" si="7"/>
        <v>145000000</v>
      </c>
      <c r="I19" s="13">
        <f t="shared" si="7"/>
        <v>145000000</v>
      </c>
      <c r="J19" s="13">
        <f t="shared" si="7"/>
        <v>145000000</v>
      </c>
      <c r="K19" s="13">
        <f t="shared" si="7"/>
        <v>145000000</v>
      </c>
      <c r="L19" s="13">
        <f t="shared" si="7"/>
        <v>145000000</v>
      </c>
      <c r="M19" s="13">
        <f t="shared" si="7"/>
        <v>-10000000</v>
      </c>
      <c r="N19" s="13">
        <f t="shared" ref="N19" si="8">SUM($C19:$M19)</f>
        <v>950000000</v>
      </c>
      <c r="O19" s="13">
        <f t="shared" ref="O19" si="9">$C19+NPV(10%,$D19:$M19)</f>
        <v>513021202.28378308</v>
      </c>
    </row>
    <row r="20" spans="1:15" x14ac:dyDescent="0.2">
      <c r="A20" s="6" t="s">
        <v>15</v>
      </c>
      <c r="B20" s="7" t="s">
        <v>8</v>
      </c>
      <c r="C20" s="18" t="str">
        <f>IF(ISNUMBER(IRR($C19:C19)),IF(IRR($C19:C19)&gt;0,IRR($C19:C19),""),"")</f>
        <v/>
      </c>
      <c r="D20" s="18" t="str">
        <f>IF(ISNUMBER(IRR($C19:D19)),IF(IRR($C19:D19)&gt;0,IRR($C19:D19),""),"")</f>
        <v/>
      </c>
      <c r="E20" s="18" t="str">
        <f>IF(ISNUMBER(IRR($C19:E19)),IF(IRR($C19:E19)&gt;0,IRR($C19:E19),""),"")</f>
        <v/>
      </c>
      <c r="F20" s="18">
        <f>IF(ISNUMBER(IRR($C19:F19)),IF(IRR($C19:F19)&gt;0,IRR($C19:F19),""),"")</f>
        <v>0.23743595812084983</v>
      </c>
      <c r="G20" s="18">
        <f>IF(ISNUMBER(IRR($C19:G19)),IF(IRR($C19:G19)&gt;0,IRR($C19:G19),""),"")</f>
        <v>0.4312133242672187</v>
      </c>
      <c r="H20" s="18">
        <f>IF(ISNUMBER(IRR($C19:H19)),IF(IRR($C19:H19)&gt;0,IRR($C19:H19),""),"")</f>
        <v>0.52174773300464294</v>
      </c>
      <c r="I20" s="18">
        <f>IF(ISNUMBER(IRR($C19:I19)),IF(IRR($C19:I19)&gt;0,IRR($C19:I19),""),"")</f>
        <v>0.56785909655562739</v>
      </c>
      <c r="J20" s="18">
        <f>IF(ISNUMBER(IRR($C19:J19)),IF(IRR($C19:J19)&gt;0,IRR($C19:J19),""),"")</f>
        <v>0.59275422323488747</v>
      </c>
      <c r="K20" s="18">
        <f>IF(ISNUMBER(IRR($C19:K19)),IF(IRR($C19:K19)&gt;0,IRR($C19:K19),""),"")</f>
        <v>0.60674121571268969</v>
      </c>
      <c r="L20" s="18">
        <f>IF(ISNUMBER(IRR($C19:L19)),IF(IRR($C19:L19)&gt;0,IRR($C19:L19),""),"")</f>
        <v>0.61481929116363609</v>
      </c>
      <c r="M20" s="18">
        <f>IF(ISNUMBER(IRR($C19:M19)),IF(IRR($C19:M19)&gt;0,IRR($C19:M19),""),"")</f>
        <v>0.61448399953834887</v>
      </c>
      <c r="N20" s="19"/>
      <c r="O20" s="19"/>
    </row>
    <row r="21" spans="1:15" x14ac:dyDescent="0.2">
      <c r="A21" s="8"/>
      <c r="B21" s="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/>
      <c r="O21" s="21"/>
    </row>
    <row r="22" spans="1:15" x14ac:dyDescent="0.2">
      <c r="A22" s="3" t="s">
        <v>31</v>
      </c>
      <c r="B22" s="10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x14ac:dyDescent="0.2">
      <c r="A23" s="6" t="s">
        <v>25</v>
      </c>
      <c r="B23" s="7" t="s">
        <v>7</v>
      </c>
      <c r="C23" s="22">
        <v>100000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13">
        <f t="shared" ref="N23" si="10">SUM($C23:$M23)</f>
        <v>100000</v>
      </c>
      <c r="O23" s="13">
        <f t="shared" ref="O23" si="11">$C23+NPV(10%,$D23:$M23)</f>
        <v>100000</v>
      </c>
    </row>
    <row r="24" spans="1:15" x14ac:dyDescent="0.2">
      <c r="A24" s="6"/>
      <c r="B24" s="7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1"/>
      <c r="O24" s="21"/>
    </row>
    <row r="25" spans="1:15" x14ac:dyDescent="0.2">
      <c r="A25" s="3" t="s">
        <v>32</v>
      </c>
      <c r="B25" s="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1:15" x14ac:dyDescent="0.2">
      <c r="A26" s="6" t="s">
        <v>28</v>
      </c>
      <c r="B26" s="7" t="s">
        <v>23</v>
      </c>
      <c r="C26" s="11">
        <v>100</v>
      </c>
      <c r="D26" s="11">
        <v>100</v>
      </c>
      <c r="E26" s="11">
        <v>100</v>
      </c>
      <c r="F26" s="11">
        <v>100</v>
      </c>
      <c r="G26" s="11">
        <v>100</v>
      </c>
      <c r="H26" s="11">
        <v>100</v>
      </c>
      <c r="I26" s="11">
        <v>100</v>
      </c>
      <c r="J26" s="11">
        <v>100</v>
      </c>
      <c r="K26" s="11">
        <v>100</v>
      </c>
      <c r="L26" s="11">
        <v>100</v>
      </c>
      <c r="M26" s="11">
        <v>100</v>
      </c>
      <c r="N26" s="16"/>
      <c r="O26" s="16"/>
    </row>
    <row r="27" spans="1:15" x14ac:dyDescent="0.2">
      <c r="A27" s="6" t="s">
        <v>29</v>
      </c>
      <c r="B27" s="7" t="s">
        <v>24</v>
      </c>
      <c r="C27" s="22">
        <v>100</v>
      </c>
      <c r="D27" s="22">
        <v>100</v>
      </c>
      <c r="E27" s="22">
        <v>100</v>
      </c>
      <c r="F27" s="22">
        <v>100</v>
      </c>
      <c r="G27" s="22">
        <v>100</v>
      </c>
      <c r="H27" s="22">
        <v>100</v>
      </c>
      <c r="I27" s="22">
        <v>100</v>
      </c>
      <c r="J27" s="22">
        <v>100</v>
      </c>
      <c r="K27" s="22">
        <v>100</v>
      </c>
      <c r="L27" s="22">
        <v>100</v>
      </c>
      <c r="M27" s="22">
        <v>100</v>
      </c>
      <c r="N27" s="16"/>
      <c r="O27" s="16"/>
    </row>
    <row r="28" spans="1:15" x14ac:dyDescent="0.2">
      <c r="A28" s="6" t="s">
        <v>26</v>
      </c>
      <c r="B28" s="7" t="s">
        <v>7</v>
      </c>
      <c r="C28" s="13">
        <f>C$26*C$27</f>
        <v>10000</v>
      </c>
      <c r="D28" s="13">
        <f t="shared" ref="D28:M28" si="12">D$26*D$27</f>
        <v>10000</v>
      </c>
      <c r="E28" s="13">
        <f>E$26*E$27</f>
        <v>10000</v>
      </c>
      <c r="F28" s="13">
        <f t="shared" si="12"/>
        <v>10000</v>
      </c>
      <c r="G28" s="13">
        <f t="shared" si="12"/>
        <v>10000</v>
      </c>
      <c r="H28" s="13">
        <f t="shared" si="12"/>
        <v>10000</v>
      </c>
      <c r="I28" s="13">
        <f t="shared" si="12"/>
        <v>10000</v>
      </c>
      <c r="J28" s="13">
        <f t="shared" si="12"/>
        <v>10000</v>
      </c>
      <c r="K28" s="13">
        <f t="shared" si="12"/>
        <v>10000</v>
      </c>
      <c r="L28" s="13">
        <f t="shared" si="12"/>
        <v>10000</v>
      </c>
      <c r="M28" s="13">
        <f t="shared" si="12"/>
        <v>10000</v>
      </c>
      <c r="N28" s="13">
        <f t="shared" ref="N28" si="13">SUM($C28:$M28)</f>
        <v>110000</v>
      </c>
      <c r="O28" s="13">
        <f t="shared" ref="O28" si="14">$C28+NPV(10%,$D28:$M28)</f>
        <v>71445.671057046799</v>
      </c>
    </row>
    <row r="29" spans="1:15" x14ac:dyDescent="0.2">
      <c r="A29" s="8"/>
      <c r="B29" s="9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x14ac:dyDescent="0.2">
      <c r="A30" s="3" t="s">
        <v>33</v>
      </c>
      <c r="B30" s="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1:15" x14ac:dyDescent="0.2">
      <c r="A31" s="6" t="s">
        <v>30</v>
      </c>
      <c r="B31" s="7" t="s">
        <v>8</v>
      </c>
      <c r="C31" s="24" t="str">
        <f t="shared" ref="C31:M31" si="15">IF(ISNUMBER(C5),IF(C$5&lt;1300,3%,IF(C$5&lt;1500,4%,5%)),"")</f>
        <v/>
      </c>
      <c r="D31" s="24" t="str">
        <f t="shared" si="15"/>
        <v/>
      </c>
      <c r="E31" s="24">
        <f t="shared" si="15"/>
        <v>0.04</v>
      </c>
      <c r="F31" s="24">
        <f t="shared" si="15"/>
        <v>0.04</v>
      </c>
      <c r="G31" s="24">
        <f t="shared" si="15"/>
        <v>0.04</v>
      </c>
      <c r="H31" s="24">
        <f t="shared" si="15"/>
        <v>0.04</v>
      </c>
      <c r="I31" s="24">
        <f t="shared" si="15"/>
        <v>0.04</v>
      </c>
      <c r="J31" s="24">
        <f t="shared" si="15"/>
        <v>0.04</v>
      </c>
      <c r="K31" s="24">
        <f t="shared" si="15"/>
        <v>0.04</v>
      </c>
      <c r="L31" s="24">
        <f t="shared" si="15"/>
        <v>0.04</v>
      </c>
      <c r="M31" s="24" t="str">
        <f t="shared" si="15"/>
        <v/>
      </c>
      <c r="N31" s="16"/>
      <c r="O31" s="16"/>
    </row>
    <row r="32" spans="1:15" x14ac:dyDescent="0.2">
      <c r="A32" s="6" t="s">
        <v>27</v>
      </c>
      <c r="B32" s="7" t="s">
        <v>7</v>
      </c>
      <c r="C32" s="13">
        <f t="shared" ref="C32:M32" si="16">IF(ISNUMBER(C31),C$6*C$31,0)</f>
        <v>0</v>
      </c>
      <c r="D32" s="13">
        <f t="shared" si="16"/>
        <v>0</v>
      </c>
      <c r="E32" s="13">
        <f t="shared" si="16"/>
        <v>13000000</v>
      </c>
      <c r="F32" s="13">
        <f t="shared" si="16"/>
        <v>13000000</v>
      </c>
      <c r="G32" s="13">
        <f t="shared" si="16"/>
        <v>13000000</v>
      </c>
      <c r="H32" s="13">
        <f t="shared" si="16"/>
        <v>13000000</v>
      </c>
      <c r="I32" s="13">
        <f t="shared" si="16"/>
        <v>13000000</v>
      </c>
      <c r="J32" s="13">
        <f t="shared" si="16"/>
        <v>13000000</v>
      </c>
      <c r="K32" s="13">
        <f t="shared" si="16"/>
        <v>13000000</v>
      </c>
      <c r="L32" s="13">
        <f t="shared" si="16"/>
        <v>13000000</v>
      </c>
      <c r="M32" s="13">
        <f t="shared" si="16"/>
        <v>0</v>
      </c>
      <c r="N32" s="13">
        <f>SUM($C32:$M32)</f>
        <v>104000000</v>
      </c>
      <c r="O32" s="13">
        <f t="shared" ref="O32" si="17">$C32+NPV(10%,$D32:$M32)</f>
        <v>63049127.793395109</v>
      </c>
    </row>
  </sheetData>
  <pageMargins left="0.19685039370078741" right="0.19685039370078741" top="0.39370078740157483" bottom="0.39370078740157483" header="0.19685039370078741" footer="0.19685039370078741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Modèle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2021-10-06T15:37:11Z</dcterms:modified>
</cp:coreProperties>
</file>