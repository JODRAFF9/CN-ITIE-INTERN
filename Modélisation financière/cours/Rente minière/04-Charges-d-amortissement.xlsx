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784" activeTab="1"/>
  </bookViews>
  <sheets>
    <sheet name="Modèle" sheetId="3" r:id="rId1"/>
    <sheet name="Amortissements" sheetId="4" r:id="rId2"/>
  </sheets>
  <calcPr calcId="191029"/>
</workbook>
</file>

<file path=xl/calcChain.xml><?xml version="1.0" encoding="utf-8"?>
<calcChain xmlns="http://schemas.openxmlformats.org/spreadsheetml/2006/main">
  <c r="D133" i="4" l="1"/>
  <c r="E133" i="4"/>
  <c r="F133" i="4"/>
  <c r="G133" i="4"/>
  <c r="H133" i="4"/>
  <c r="I133" i="4"/>
  <c r="J133" i="4"/>
  <c r="K133" i="4"/>
  <c r="L133" i="4"/>
  <c r="C133" i="4"/>
  <c r="M127" i="4"/>
  <c r="M126" i="4"/>
  <c r="M112" i="4"/>
  <c r="M128" i="4" l="1"/>
  <c r="M129" i="4" s="1"/>
  <c r="M130" i="4" s="1"/>
  <c r="D31" i="3"/>
  <c r="D32" i="3" s="1"/>
  <c r="E31" i="3"/>
  <c r="F31" i="3"/>
  <c r="G31" i="3"/>
  <c r="H31" i="3"/>
  <c r="I31" i="3"/>
  <c r="J31" i="3"/>
  <c r="K31" i="3"/>
  <c r="L31" i="3"/>
  <c r="M31" i="3"/>
  <c r="M32" i="3" s="1"/>
  <c r="C31" i="3"/>
  <c r="C32" i="3" s="1"/>
  <c r="E28" i="3"/>
  <c r="F16" i="3"/>
  <c r="F12" i="3"/>
  <c r="F6" i="3"/>
  <c r="C6" i="3"/>
  <c r="F32" i="3" l="1"/>
  <c r="M131" i="4"/>
  <c r="M133" i="4"/>
  <c r="E16" i="3"/>
  <c r="M113" i="4" l="1"/>
  <c r="M114" i="4"/>
  <c r="M115" i="4" s="1"/>
  <c r="L105" i="4"/>
  <c r="L104" i="4"/>
  <c r="L106" i="4" s="1"/>
  <c r="K97" i="4"/>
  <c r="K96" i="4"/>
  <c r="J89" i="4"/>
  <c r="J88" i="4"/>
  <c r="K88" i="4" s="1"/>
  <c r="I81" i="4"/>
  <c r="I80" i="4"/>
  <c r="J80" i="4" s="1"/>
  <c r="H73" i="4"/>
  <c r="H72" i="4"/>
  <c r="G65" i="4"/>
  <c r="G64" i="4"/>
  <c r="F57" i="4"/>
  <c r="F56" i="4"/>
  <c r="G56" i="4" s="1"/>
  <c r="E49" i="4"/>
  <c r="E48" i="4"/>
  <c r="F48" i="4" s="1"/>
  <c r="D41" i="4"/>
  <c r="D40" i="4"/>
  <c r="C33" i="4"/>
  <c r="C32" i="4"/>
  <c r="D19" i="4"/>
  <c r="D18" i="4"/>
  <c r="D20" i="4" s="1"/>
  <c r="C11" i="4"/>
  <c r="C10" i="4"/>
  <c r="C12" i="4" s="1"/>
  <c r="C34" i="4" l="1"/>
  <c r="C35" i="4" s="1"/>
  <c r="C36" i="4" s="1"/>
  <c r="C119" i="4" s="1"/>
  <c r="M116" i="4"/>
  <c r="M117" i="4" s="1"/>
  <c r="D32" i="4"/>
  <c r="E50" i="4"/>
  <c r="E51" i="4" s="1"/>
  <c r="E52" i="4" s="1"/>
  <c r="E53" i="4" s="1"/>
  <c r="F49" i="4" s="1"/>
  <c r="M104" i="4"/>
  <c r="L107" i="4"/>
  <c r="K98" i="4"/>
  <c r="K99" i="4" s="1"/>
  <c r="K100" i="4" s="1"/>
  <c r="K101" i="4" s="1"/>
  <c r="L97" i="4" s="1"/>
  <c r="L96" i="4"/>
  <c r="L88" i="4"/>
  <c r="K90" i="4"/>
  <c r="K91" i="4" s="1"/>
  <c r="J90" i="4"/>
  <c r="J91" i="4" s="1"/>
  <c r="J92" i="4" s="1"/>
  <c r="J93" i="4" s="1"/>
  <c r="K89" i="4" s="1"/>
  <c r="J82" i="4"/>
  <c r="J83" i="4" s="1"/>
  <c r="K80" i="4"/>
  <c r="I82" i="4"/>
  <c r="I83" i="4" s="1"/>
  <c r="I84" i="4" s="1"/>
  <c r="I85" i="4" s="1"/>
  <c r="J81" i="4" s="1"/>
  <c r="H74" i="4"/>
  <c r="H75" i="4" s="1"/>
  <c r="H76" i="4" s="1"/>
  <c r="H77" i="4" s="1"/>
  <c r="I73" i="4" s="1"/>
  <c r="I72" i="4"/>
  <c r="G66" i="4"/>
  <c r="G67" i="4" s="1"/>
  <c r="G68" i="4" s="1"/>
  <c r="G69" i="4" s="1"/>
  <c r="H65" i="4" s="1"/>
  <c r="H64" i="4"/>
  <c r="H56" i="4"/>
  <c r="G58" i="4"/>
  <c r="G59" i="4" s="1"/>
  <c r="F58" i="4"/>
  <c r="F59" i="4" s="1"/>
  <c r="F60" i="4" s="1"/>
  <c r="F61" i="4" s="1"/>
  <c r="G57" i="4" s="1"/>
  <c r="G48" i="4"/>
  <c r="F50" i="4"/>
  <c r="F51" i="4" s="1"/>
  <c r="D42" i="4"/>
  <c r="D43" i="4" s="1"/>
  <c r="D44" i="4" s="1"/>
  <c r="D45" i="4" s="1"/>
  <c r="E41" i="4" s="1"/>
  <c r="E40" i="4"/>
  <c r="C13" i="4"/>
  <c r="C14" i="4" s="1"/>
  <c r="C25" i="4" s="1"/>
  <c r="D10" i="4"/>
  <c r="D12" i="4" s="1"/>
  <c r="E18" i="4"/>
  <c r="D21" i="4"/>
  <c r="D22" i="4" s="1"/>
  <c r="D23" i="4" s="1"/>
  <c r="E19" i="4" s="1"/>
  <c r="L108" i="4" l="1"/>
  <c r="L109" i="4" s="1"/>
  <c r="M105" i="4" s="1"/>
  <c r="C37" i="4"/>
  <c r="D33" i="4" s="1"/>
  <c r="D34" i="4"/>
  <c r="D35" i="4" s="1"/>
  <c r="E32" i="4"/>
  <c r="M106" i="4"/>
  <c r="M107" i="4" s="1"/>
  <c r="L98" i="4"/>
  <c r="L99" i="4" s="1"/>
  <c r="L100" i="4" s="1"/>
  <c r="L101" i="4" s="1"/>
  <c r="M97" i="4" s="1"/>
  <c r="M96" i="4"/>
  <c r="K92" i="4"/>
  <c r="K93" i="4" s="1"/>
  <c r="L89" i="4" s="1"/>
  <c r="M88" i="4"/>
  <c r="L90" i="4"/>
  <c r="L91" i="4" s="1"/>
  <c r="J84" i="4"/>
  <c r="J85" i="4" s="1"/>
  <c r="K81" i="4" s="1"/>
  <c r="K82" i="4"/>
  <c r="K83" i="4" s="1"/>
  <c r="L80" i="4"/>
  <c r="J72" i="4"/>
  <c r="I74" i="4"/>
  <c r="I75" i="4" s="1"/>
  <c r="I76" i="4" s="1"/>
  <c r="I77" i="4" s="1"/>
  <c r="J73" i="4" s="1"/>
  <c r="I64" i="4"/>
  <c r="H66" i="4"/>
  <c r="H67" i="4" s="1"/>
  <c r="H68" i="4" s="1"/>
  <c r="H69" i="4" s="1"/>
  <c r="I65" i="4" s="1"/>
  <c r="G60" i="4"/>
  <c r="G61" i="4" s="1"/>
  <c r="H57" i="4" s="1"/>
  <c r="I56" i="4"/>
  <c r="H58" i="4"/>
  <c r="H59" i="4" s="1"/>
  <c r="F52" i="4"/>
  <c r="F53" i="4" s="1"/>
  <c r="G49" i="4" s="1"/>
  <c r="G50" i="4"/>
  <c r="G51" i="4" s="1"/>
  <c r="H48" i="4"/>
  <c r="F40" i="4"/>
  <c r="E42" i="4"/>
  <c r="E43" i="4" s="1"/>
  <c r="E44" i="4" s="1"/>
  <c r="E45" i="4" s="1"/>
  <c r="F41" i="4" s="1"/>
  <c r="D13" i="4"/>
  <c r="E10" i="4"/>
  <c r="C15" i="4"/>
  <c r="D11" i="4" s="1"/>
  <c r="E20" i="4"/>
  <c r="E21" i="4" s="1"/>
  <c r="E22" i="4" s="1"/>
  <c r="E23" i="4" s="1"/>
  <c r="F19" i="4" s="1"/>
  <c r="F18" i="4"/>
  <c r="M108" i="4" l="1"/>
  <c r="M109" i="4" s="1"/>
  <c r="D36" i="4"/>
  <c r="D37" i="4" s="1"/>
  <c r="E33" i="4" s="1"/>
  <c r="F32" i="4"/>
  <c r="E34" i="4"/>
  <c r="E35" i="4" s="1"/>
  <c r="M98" i="4"/>
  <c r="M99" i="4" s="1"/>
  <c r="M100" i="4" s="1"/>
  <c r="M101" i="4" s="1"/>
  <c r="L92" i="4"/>
  <c r="L93" i="4" s="1"/>
  <c r="M89" i="4" s="1"/>
  <c r="M90" i="4"/>
  <c r="M91" i="4" s="1"/>
  <c r="K84" i="4"/>
  <c r="K85" i="4" s="1"/>
  <c r="L81" i="4" s="1"/>
  <c r="L82" i="4"/>
  <c r="L83" i="4" s="1"/>
  <c r="M80" i="4"/>
  <c r="K72" i="4"/>
  <c r="J74" i="4"/>
  <c r="J75" i="4" s="1"/>
  <c r="J76" i="4" s="1"/>
  <c r="J77" i="4" s="1"/>
  <c r="K73" i="4" s="1"/>
  <c r="I66" i="4"/>
  <c r="I67" i="4" s="1"/>
  <c r="I68" i="4" s="1"/>
  <c r="I69" i="4" s="1"/>
  <c r="J65" i="4" s="1"/>
  <c r="J64" i="4"/>
  <c r="H60" i="4"/>
  <c r="H61" i="4" s="1"/>
  <c r="I57" i="4" s="1"/>
  <c r="I58" i="4"/>
  <c r="I59" i="4" s="1"/>
  <c r="J56" i="4"/>
  <c r="G52" i="4"/>
  <c r="G53" i="4" s="1"/>
  <c r="H49" i="4" s="1"/>
  <c r="H50" i="4"/>
  <c r="H51" i="4" s="1"/>
  <c r="I48" i="4"/>
  <c r="G40" i="4"/>
  <c r="F42" i="4"/>
  <c r="F43" i="4" s="1"/>
  <c r="F44" i="4" s="1"/>
  <c r="F45" i="4" s="1"/>
  <c r="G41" i="4" s="1"/>
  <c r="F10" i="4"/>
  <c r="E12" i="4"/>
  <c r="E13" i="4" s="1"/>
  <c r="D14" i="4"/>
  <c r="D25" i="4" s="1"/>
  <c r="G18" i="4"/>
  <c r="F20" i="4"/>
  <c r="F21" i="4" s="1"/>
  <c r="F22" i="4" s="1"/>
  <c r="F23" i="4" s="1"/>
  <c r="G19" i="4" s="1"/>
  <c r="D119" i="4" l="1"/>
  <c r="E36" i="4"/>
  <c r="E37" i="4" s="1"/>
  <c r="F33" i="4" s="1"/>
  <c r="D15" i="4"/>
  <c r="E11" i="4" s="1"/>
  <c r="E14" i="4" s="1"/>
  <c r="E25" i="4" s="1"/>
  <c r="F34" i="4"/>
  <c r="F35" i="4" s="1"/>
  <c r="G32" i="4"/>
  <c r="M92" i="4"/>
  <c r="M93" i="4" s="1"/>
  <c r="M82" i="4"/>
  <c r="M83" i="4" s="1"/>
  <c r="L84" i="4"/>
  <c r="L85" i="4" s="1"/>
  <c r="M81" i="4" s="1"/>
  <c r="K74" i="4"/>
  <c r="K75" i="4" s="1"/>
  <c r="K76" i="4" s="1"/>
  <c r="K77" i="4" s="1"/>
  <c r="L73" i="4" s="1"/>
  <c r="L72" i="4"/>
  <c r="J66" i="4"/>
  <c r="J67" i="4" s="1"/>
  <c r="J68" i="4" s="1"/>
  <c r="J69" i="4" s="1"/>
  <c r="K65" i="4" s="1"/>
  <c r="K64" i="4"/>
  <c r="I60" i="4"/>
  <c r="I61" i="4" s="1"/>
  <c r="J57" i="4" s="1"/>
  <c r="K56" i="4"/>
  <c r="J58" i="4"/>
  <c r="J59" i="4" s="1"/>
  <c r="H52" i="4"/>
  <c r="H53" i="4" s="1"/>
  <c r="I49" i="4" s="1"/>
  <c r="J48" i="4"/>
  <c r="I50" i="4"/>
  <c r="I51" i="4" s="1"/>
  <c r="G42" i="4"/>
  <c r="G43" i="4" s="1"/>
  <c r="G44" i="4" s="1"/>
  <c r="G45" i="4" s="1"/>
  <c r="H41" i="4" s="1"/>
  <c r="H40" i="4"/>
  <c r="G10" i="4"/>
  <c r="F12" i="4"/>
  <c r="F13" i="4" s="1"/>
  <c r="G20" i="4"/>
  <c r="G21" i="4" s="1"/>
  <c r="G22" i="4" s="1"/>
  <c r="G23" i="4" s="1"/>
  <c r="H19" i="4" s="1"/>
  <c r="H18" i="4"/>
  <c r="E119" i="4" l="1"/>
  <c r="F36" i="4"/>
  <c r="F37" i="4" s="1"/>
  <c r="G33" i="4" s="1"/>
  <c r="E15" i="4"/>
  <c r="F11" i="4" s="1"/>
  <c r="F14" i="4" s="1"/>
  <c r="F25" i="4" s="1"/>
  <c r="H32" i="4"/>
  <c r="G34" i="4"/>
  <c r="G35" i="4" s="1"/>
  <c r="M84" i="4"/>
  <c r="M85" i="4" s="1"/>
  <c r="M72" i="4"/>
  <c r="L74" i="4"/>
  <c r="L75" i="4" s="1"/>
  <c r="L76" i="4" s="1"/>
  <c r="L77" i="4" s="1"/>
  <c r="M73" i="4" s="1"/>
  <c r="L64" i="4"/>
  <c r="K66" i="4"/>
  <c r="K67" i="4" s="1"/>
  <c r="K68" i="4" s="1"/>
  <c r="K69" i="4" s="1"/>
  <c r="L65" i="4" s="1"/>
  <c r="J60" i="4"/>
  <c r="J61" i="4" s="1"/>
  <c r="K57" i="4" s="1"/>
  <c r="L56" i="4"/>
  <c r="K59" i="4"/>
  <c r="K58" i="4"/>
  <c r="I52" i="4"/>
  <c r="I53" i="4" s="1"/>
  <c r="J49" i="4" s="1"/>
  <c r="J51" i="4"/>
  <c r="J50" i="4"/>
  <c r="K48" i="4"/>
  <c r="I40" i="4"/>
  <c r="H42" i="4"/>
  <c r="H43" i="4" s="1"/>
  <c r="H44" i="4" s="1"/>
  <c r="H45" i="4" s="1"/>
  <c r="I41" i="4" s="1"/>
  <c r="H10" i="4"/>
  <c r="G12" i="4"/>
  <c r="G13" i="4" s="1"/>
  <c r="I18" i="4"/>
  <c r="H20" i="4"/>
  <c r="H21" i="4" s="1"/>
  <c r="H22" i="4" s="1"/>
  <c r="H23" i="4" s="1"/>
  <c r="I19" i="4" s="1"/>
  <c r="F119" i="4" l="1"/>
  <c r="F15" i="4"/>
  <c r="G11" i="4" s="1"/>
  <c r="G14" i="4" s="1"/>
  <c r="G25" i="4" s="1"/>
  <c r="G36" i="4"/>
  <c r="G119" i="4" s="1"/>
  <c r="H34" i="4"/>
  <c r="I32" i="4"/>
  <c r="H35" i="4"/>
  <c r="M75" i="4"/>
  <c r="M76" i="4" s="1"/>
  <c r="M77" i="4" s="1"/>
  <c r="M74" i="4"/>
  <c r="L67" i="4"/>
  <c r="L68" i="4" s="1"/>
  <c r="L69" i="4" s="1"/>
  <c r="M65" i="4" s="1"/>
  <c r="L66" i="4"/>
  <c r="M64" i="4"/>
  <c r="K60" i="4"/>
  <c r="K61" i="4" s="1"/>
  <c r="L57" i="4" s="1"/>
  <c r="M56" i="4"/>
  <c r="L59" i="4"/>
  <c r="L58" i="4"/>
  <c r="J52" i="4"/>
  <c r="J53" i="4" s="1"/>
  <c r="K49" i="4" s="1"/>
  <c r="K51" i="4"/>
  <c r="L48" i="4"/>
  <c r="K50" i="4"/>
  <c r="I43" i="4"/>
  <c r="I44" i="4" s="1"/>
  <c r="I45" i="4" s="1"/>
  <c r="J41" i="4" s="1"/>
  <c r="J40" i="4"/>
  <c r="I42" i="4"/>
  <c r="H12" i="4"/>
  <c r="H13" i="4" s="1"/>
  <c r="I10" i="4"/>
  <c r="J18" i="4"/>
  <c r="I20" i="4"/>
  <c r="I21" i="4" s="1"/>
  <c r="I22" i="4" s="1"/>
  <c r="I23" i="4" s="1"/>
  <c r="J19" i="4" s="1"/>
  <c r="G37" i="4" l="1"/>
  <c r="H33" i="4" s="1"/>
  <c r="H36" i="4" s="1"/>
  <c r="I35" i="4"/>
  <c r="I34" i="4"/>
  <c r="J32" i="4"/>
  <c r="M66" i="4"/>
  <c r="M67" i="4"/>
  <c r="M68" i="4" s="1"/>
  <c r="M69" i="4" s="1"/>
  <c r="L60" i="4"/>
  <c r="L61" i="4" s="1"/>
  <c r="M57" i="4" s="1"/>
  <c r="M59" i="4"/>
  <c r="M58" i="4"/>
  <c r="L50" i="4"/>
  <c r="L51" i="4"/>
  <c r="M48" i="4"/>
  <c r="K52" i="4"/>
  <c r="K53" i="4" s="1"/>
  <c r="L49" i="4" s="1"/>
  <c r="K40" i="4"/>
  <c r="J42" i="4"/>
  <c r="J43" i="4"/>
  <c r="J44" i="4" s="1"/>
  <c r="J45" i="4" s="1"/>
  <c r="K41" i="4" s="1"/>
  <c r="I12" i="4"/>
  <c r="I13" i="4" s="1"/>
  <c r="J10" i="4"/>
  <c r="G15" i="4"/>
  <c r="H11" i="4" s="1"/>
  <c r="H14" i="4" s="1"/>
  <c r="K18" i="4"/>
  <c r="J20" i="4"/>
  <c r="J21" i="4" s="1"/>
  <c r="J22" i="4" s="1"/>
  <c r="J23" i="4" s="1"/>
  <c r="K19" i="4" s="1"/>
  <c r="H37" i="4" l="1"/>
  <c r="I33" i="4" s="1"/>
  <c r="I36" i="4" s="1"/>
  <c r="I119" i="4" s="1"/>
  <c r="H119" i="4"/>
  <c r="J35" i="4"/>
  <c r="K32" i="4"/>
  <c r="J34" i="4"/>
  <c r="M60" i="4"/>
  <c r="M61" i="4" s="1"/>
  <c r="L52" i="4"/>
  <c r="L53" i="4" s="1"/>
  <c r="M49" i="4" s="1"/>
  <c r="M51" i="4"/>
  <c r="M50" i="4"/>
  <c r="K42" i="4"/>
  <c r="K43" i="4"/>
  <c r="K44" i="4" s="1"/>
  <c r="K45" i="4" s="1"/>
  <c r="L41" i="4" s="1"/>
  <c r="L40" i="4"/>
  <c r="J12" i="4"/>
  <c r="J13" i="4" s="1"/>
  <c r="K10" i="4"/>
  <c r="H15" i="4"/>
  <c r="I11" i="4" s="1"/>
  <c r="H25" i="4"/>
  <c r="K20" i="4"/>
  <c r="K21" i="4" s="1"/>
  <c r="K22" i="4" s="1"/>
  <c r="K23" i="4" s="1"/>
  <c r="L19" i="4" s="1"/>
  <c r="L18" i="4"/>
  <c r="I37" i="4" l="1"/>
  <c r="J33" i="4" s="1"/>
  <c r="J36" i="4" s="1"/>
  <c r="J37" i="4" s="1"/>
  <c r="K33" i="4" s="1"/>
  <c r="K34" i="4"/>
  <c r="K35" i="4"/>
  <c r="L32" i="4"/>
  <c r="M52" i="4"/>
  <c r="M53" i="4" s="1"/>
  <c r="L43" i="4"/>
  <c r="L44" i="4" s="1"/>
  <c r="L45" i="4" s="1"/>
  <c r="M41" i="4" s="1"/>
  <c r="M40" i="4"/>
  <c r="L42" i="4"/>
  <c r="L10" i="4"/>
  <c r="K12" i="4"/>
  <c r="K13" i="4" s="1"/>
  <c r="I14" i="4"/>
  <c r="I25" i="4" s="1"/>
  <c r="M18" i="4"/>
  <c r="L20" i="4"/>
  <c r="L21" i="4" s="1"/>
  <c r="L22" i="4" s="1"/>
  <c r="L23" i="4" s="1"/>
  <c r="M19" i="4" s="1"/>
  <c r="J119" i="4" l="1"/>
  <c r="K36" i="4"/>
  <c r="K119" i="4" s="1"/>
  <c r="M32" i="4"/>
  <c r="L35" i="4"/>
  <c r="L34" i="4"/>
  <c r="M43" i="4"/>
  <c r="M44" i="4" s="1"/>
  <c r="M45" i="4" s="1"/>
  <c r="M42" i="4"/>
  <c r="L12" i="4"/>
  <c r="L13" i="4" s="1"/>
  <c r="M10" i="4"/>
  <c r="I15" i="4"/>
  <c r="J11" i="4" s="1"/>
  <c r="M20" i="4"/>
  <c r="M21" i="4" s="1"/>
  <c r="M22" i="4" s="1"/>
  <c r="M23" i="4" s="1"/>
  <c r="K37" i="4" l="1"/>
  <c r="L33" i="4" s="1"/>
  <c r="L36" i="4" s="1"/>
  <c r="L37" i="4" s="1"/>
  <c r="M33" i="4" s="1"/>
  <c r="M35" i="4"/>
  <c r="M34" i="4"/>
  <c r="M12" i="4"/>
  <c r="M13" i="4"/>
  <c r="J14" i="4"/>
  <c r="J25" i="4" s="1"/>
  <c r="J15" i="4" l="1"/>
  <c r="K11" i="4" s="1"/>
  <c r="K14" i="4" s="1"/>
  <c r="K25" i="4" s="1"/>
  <c r="L119" i="4"/>
  <c r="M36" i="4"/>
  <c r="M37" i="4" s="1"/>
  <c r="K15" i="4" l="1"/>
  <c r="L11" i="4" s="1"/>
  <c r="L14" i="4" s="1"/>
  <c r="L25" i="4" s="1"/>
  <c r="M119" i="4"/>
  <c r="L15" i="4" l="1"/>
  <c r="M11" i="4" s="1"/>
  <c r="M14" i="4" s="1"/>
  <c r="M25" i="4" l="1"/>
  <c r="M15" i="4"/>
  <c r="F28" i="3" l="1"/>
  <c r="G28" i="3"/>
  <c r="H28" i="3"/>
  <c r="I28" i="3"/>
  <c r="J28" i="3"/>
  <c r="K28" i="3"/>
  <c r="L28" i="3"/>
  <c r="M28" i="3"/>
  <c r="D28" i="3"/>
  <c r="C28" i="3"/>
  <c r="O23" i="3"/>
  <c r="N23" i="3"/>
  <c r="G16" i="3"/>
  <c r="H16" i="3"/>
  <c r="I16" i="3"/>
  <c r="J16" i="3"/>
  <c r="K16" i="3"/>
  <c r="L16" i="3"/>
  <c r="M16" i="3"/>
  <c r="D16" i="3"/>
  <c r="C16" i="3"/>
  <c r="N16" i="3" l="1"/>
  <c r="O28" i="3"/>
  <c r="O16" i="3"/>
  <c r="N28" i="3"/>
  <c r="N10" i="3"/>
  <c r="O10" i="3"/>
  <c r="N11" i="3"/>
  <c r="O11" i="3"/>
  <c r="O9" i="3"/>
  <c r="N9" i="3"/>
  <c r="M12" i="3"/>
  <c r="L12" i="3"/>
  <c r="K12" i="3"/>
  <c r="J12" i="3"/>
  <c r="I12" i="3"/>
  <c r="H12" i="3"/>
  <c r="G12" i="3"/>
  <c r="E12" i="3"/>
  <c r="D12" i="3"/>
  <c r="C12" i="3"/>
  <c r="N4" i="3"/>
  <c r="M6" i="3"/>
  <c r="L6" i="3"/>
  <c r="K6" i="3"/>
  <c r="J6" i="3"/>
  <c r="I6" i="3"/>
  <c r="H6" i="3"/>
  <c r="G6" i="3"/>
  <c r="E6" i="3"/>
  <c r="D6" i="3"/>
  <c r="G19" i="3" l="1"/>
  <c r="E19" i="3"/>
  <c r="L32" i="3"/>
  <c r="G32" i="3"/>
  <c r="K32" i="3"/>
  <c r="H32" i="3"/>
  <c r="E32" i="3"/>
  <c r="I32" i="3"/>
  <c r="J32" i="3"/>
  <c r="C19" i="3"/>
  <c r="N12" i="3"/>
  <c r="O12" i="3"/>
  <c r="D19" i="3"/>
  <c r="H19" i="3"/>
  <c r="L19" i="3"/>
  <c r="I19" i="3"/>
  <c r="M19" i="3"/>
  <c r="F19" i="3"/>
  <c r="J19" i="3"/>
  <c r="K19" i="3"/>
  <c r="O6" i="3"/>
  <c r="N6" i="3"/>
  <c r="D20" i="3" l="1"/>
  <c r="J20" i="3"/>
  <c r="F20" i="3"/>
  <c r="C20" i="3"/>
  <c r="I20" i="3"/>
  <c r="E20" i="3"/>
  <c r="N19" i="3"/>
  <c r="G20" i="3"/>
  <c r="M20" i="3"/>
  <c r="H20" i="3"/>
  <c r="N32" i="3"/>
  <c r="O32" i="3"/>
  <c r="O19" i="3"/>
  <c r="K20" i="3"/>
  <c r="L20" i="3"/>
</calcChain>
</file>

<file path=xl/sharedStrings.xml><?xml version="1.0" encoding="utf-8"?>
<sst xmlns="http://schemas.openxmlformats.org/spreadsheetml/2006/main" count="274" uniqueCount="73">
  <si>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</si>
  <si>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</si>
  <si>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</si>
  <si>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</si>
  <si>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</si>
  <si>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</si>
  <si>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</si>
  <si>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</si>
  <si>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</si>
  <si>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</si>
  <si>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</si>
  <si>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</si>
  <si>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</si>
  <si>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</si>
  <si>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</si>
  <si>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</si>
  <si>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</si>
  <si>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</si>
  <si>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</si>
  <si>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</si>
  <si>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</si>
  <si>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</si>
  <si>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</si>
  <si>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km²</t>
  </si>
  <si>
    <t>USD/km²</t>
  </si>
  <si>
    <t>Droits fixes</t>
  </si>
  <si>
    <t>Redevance superficiaire</t>
  </si>
  <si>
    <t>Redevance minière</t>
  </si>
  <si>
    <t>Superficie de la mine</t>
  </si>
  <si>
    <t>Montant de la redevance superfiaire</t>
  </si>
  <si>
    <t>Taux de la redevance minière</t>
  </si>
  <si>
    <t>V. DROITS FIXES</t>
  </si>
  <si>
    <t>VI. REDEVANCE SUPERFICAIRE</t>
  </si>
  <si>
    <t>VII. REDEVANCE MINIERE</t>
  </si>
  <si>
    <t>Durée d'amortissement linéaire</t>
  </si>
  <si>
    <t>Années</t>
  </si>
  <si>
    <t>Coefficient d'amortissement dégressif</t>
  </si>
  <si>
    <t>Coefficient</t>
  </si>
  <si>
    <t>Durée restante maximum</t>
  </si>
  <si>
    <t>Base amortissable</t>
  </si>
  <si>
    <t>Durée restante</t>
  </si>
  <si>
    <t>Charge d'amortissement</t>
  </si>
  <si>
    <t>Amortissement restant</t>
  </si>
  <si>
    <t>Amortissements des constructions industrielles</t>
  </si>
  <si>
    <t>Amortissements des biens d'équipement</t>
  </si>
  <si>
    <t>I. AMORTISSEMENTS DES CONSTRUCTIONS INDUSTRIELLES</t>
  </si>
  <si>
    <t>II. AMORTISSEMENTS DES BIENS D'EQUIPEMENT</t>
  </si>
  <si>
    <t>Immobilisations de l'année A1</t>
  </si>
  <si>
    <t>Immobilisations de l'année A2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</si>
  <si>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</si>
  <si>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</si>
  <si>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</si>
  <si>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</si>
  <si>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</si>
  <si>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</si>
  <si>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</si>
  <si>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</si>
  <si>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</si>
  <si>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Amortissements des dépenses de réhabilitation</t>
  </si>
  <si>
    <t>III. AMORTISSEMENTS DES DEPENSES DE REHABILITATION</t>
  </si>
  <si>
    <t>Taux dégressif</t>
  </si>
  <si>
    <t>Inverse de la durée restante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</si>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</sst>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</numFmts>
  <fonts count="21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34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0" fontId="19" fillId="34" borderId="0" xfId="0" applyFont="1" applyFill="1" applyAlignment="1">
      <alignment horizontal="center" vertical="top"/>
    </xf>
    <xf numFmtId="0" fontId="18" fillId="0" borderId="0" xfId="0" applyFont="1">
      <alignment horizontal="left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9" fontId="15" fillId="0" borderId="0" xfId="0" applyNumberFormat="1" applyFont="1" applyFill="1" applyAlignment="1">
      <alignment horizontal="right" vertical="top"/>
    </xf>
    <xf numFmtId="0" fontId="15" fillId="0" borderId="0" xfId="0" applyFont="1" applyFill="1" applyAlignment="1">
      <alignment horizontal="right" vertical="top"/>
    </xf>
    <xf numFmtId="3" fontId="15" fillId="38" borderId="0" xfId="0" applyNumberFormat="1" applyFont="1" applyFill="1" applyAlignment="1">
      <alignment horizontal="right" vertical="top"/>
    </xf>
    <xf numFmtId="0" fontId="15" fillId="34" borderId="0" xfId="0" applyFont="1" applyFill="1" applyAlignment="1">
      <alignment horizontal="right" vertical="top"/>
    </xf>
    <xf numFmtId="9" fontId="15" fillId="38" borderId="0" xfId="0" applyNumberFormat="1" applyFont="1" applyFill="1" applyAlignment="1">
      <alignment horizontal="right" vertical="top"/>
    </xf>
    <xf numFmtId="0" fontId="0" fillId="0" borderId="0" xfId="0" applyFill="1">
      <alignment horizontal="left" vertical="top"/>
    </xf>
    <xf numFmtId="3" fontId="18" fillId="0" borderId="0" xfId="0" applyNumberFormat="1" applyFont="1" applyFill="1" applyAlignment="1">
      <alignment horizontal="right" vertical="top"/>
    </xf>
    <xf numFmtId="0" fontId="20" fillId="33" borderId="0" xfId="0" applyFont="1" applyFill="1" applyAlignment="1">
      <alignment horizontal="center" vertical="center"/>
    </xf>
    <xf numFmtId="0" fontId="17" fillId="0" borderId="0" xfId="0" applyFont="1">
      <alignment horizontal="left" vertical="top"/>
    </xf>
    <xf numFmtId="3" fontId="15" fillId="33" borderId="0" xfId="0" applyNumberFormat="1" applyFont="1" applyFill="1" applyAlignment="1">
      <alignment horizontal="right" vertical="top"/>
    </xf>
    <xf numFmtId="9" fontId="17" fillId="34" borderId="0" xfId="0" applyNumberFormat="1" applyFont="1" applyFill="1" applyAlignment="1">
      <alignment horizontal="right" vertical="top"/>
    </xf>
    <xf numFmtId="0" fontId="18" fillId="34" borderId="0" xfId="0" applyFont="1" applyFill="1">
      <alignment horizontal="left" vertical="top"/>
    </xf>
    <xf numFmtId="0" fontId="17" fillId="34" borderId="0" xfId="0" applyFont="1" applyFill="1">
      <alignment horizontal="lef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77734375" defaultRowHeight="13.2" x14ac:dyDescent="0.25"/>
  <cols>
    <col min="1" max="1" width="40.77734375" style="1" customWidth="1"/>
    <col min="2" max="2" width="10.77734375" style="1"/>
    <col min="3" max="15" width="15.77734375" style="1" customWidth="1"/>
    <col min="16" max="16384" width="10.77734375" style="1"/>
  </cols>
  <sheetData>
    <row r="1" spans="1:15" s="2" customFormat="1" x14ac:dyDescent="0.25">
      <c r="A1" s="28" t="s">
        <v>16</v>
      </c>
      <c r="B1" s="28" t="s">
        <v>0</v>
      </c>
      <c r="C1" s="28" t="s">
        <v>62</v>
      </c>
      <c r="D1" s="28" t="s">
        <v>63</v>
      </c>
      <c r="E1" s="28" t="s">
        <v>64</v>
      </c>
      <c r="F1" s="28" t="s">
        <v>65</v>
      </c>
      <c r="G1" s="28" t="s">
        <v>66</v>
      </c>
      <c r="H1" s="28" t="s">
        <v>67</v>
      </c>
      <c r="I1" s="28" t="s">
        <v>68</v>
      </c>
      <c r="J1" s="28" t="s">
        <v>69</v>
      </c>
      <c r="K1" s="28" t="s">
        <v>70</v>
      </c>
      <c r="L1" s="28" t="s">
        <v>71</v>
      </c>
      <c r="M1" s="28" t="s">
        <v>72</v>
      </c>
      <c r="N1" s="28" t="s">
        <v>22</v>
      </c>
      <c r="O1" s="28" t="s">
        <v>1</v>
      </c>
    </row>
    <row r="2" spans="1:15" s="2" customFormat="1" x14ac:dyDescent="0.25">
      <c r="A2" s="8"/>
      <c r="B2" s="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6" t="s">
        <v>3</v>
      </c>
      <c r="B4" s="7" t="s">
        <v>2</v>
      </c>
      <c r="C4" s="12"/>
      <c r="D4" s="12"/>
      <c r="E4" s="12">
        <v>250000</v>
      </c>
      <c r="F4" s="12">
        <v>250000</v>
      </c>
      <c r="G4" s="12">
        <v>250000</v>
      </c>
      <c r="H4" s="12">
        <v>250000</v>
      </c>
      <c r="I4" s="12">
        <v>250000</v>
      </c>
      <c r="J4" s="12">
        <v>250000</v>
      </c>
      <c r="K4" s="12">
        <v>250000</v>
      </c>
      <c r="L4" s="12">
        <v>250000</v>
      </c>
      <c r="M4" s="12"/>
      <c r="N4" s="13">
        <f>SUM($C4:$M4)</f>
        <v>2000000</v>
      </c>
      <c r="O4" s="13"/>
    </row>
    <row r="5" spans="1:15" x14ac:dyDescent="0.25">
      <c r="A5" s="6" t="s">
        <v>4</v>
      </c>
      <c r="B5" s="7" t="s">
        <v>5</v>
      </c>
      <c r="C5" s="12"/>
      <c r="D5" s="12"/>
      <c r="E5" s="12">
        <v>1300</v>
      </c>
      <c r="F5" s="12">
        <v>1300</v>
      </c>
      <c r="G5" s="12">
        <v>1300</v>
      </c>
      <c r="H5" s="12">
        <v>1300</v>
      </c>
      <c r="I5" s="12">
        <v>1300</v>
      </c>
      <c r="J5" s="12">
        <v>1300</v>
      </c>
      <c r="K5" s="12">
        <v>1300</v>
      </c>
      <c r="L5" s="12">
        <v>1300</v>
      </c>
      <c r="M5" s="12"/>
      <c r="N5" s="13"/>
      <c r="O5" s="13"/>
    </row>
    <row r="6" spans="1:15" x14ac:dyDescent="0.25">
      <c r="A6" s="6" t="s">
        <v>6</v>
      </c>
      <c r="B6" s="7" t="s">
        <v>7</v>
      </c>
      <c r="C6" s="14">
        <f>C$4*C$5</f>
        <v>0</v>
      </c>
      <c r="D6" s="14">
        <f t="shared" ref="D6:M6" si="0">D$4*D$5</f>
        <v>0</v>
      </c>
      <c r="E6" s="14">
        <f t="shared" si="0"/>
        <v>325000000</v>
      </c>
      <c r="F6" s="14">
        <f>F$4*F$5</f>
        <v>325000000</v>
      </c>
      <c r="G6" s="14">
        <f t="shared" si="0"/>
        <v>325000000</v>
      </c>
      <c r="H6" s="14">
        <f t="shared" si="0"/>
        <v>325000000</v>
      </c>
      <c r="I6" s="14">
        <f t="shared" si="0"/>
        <v>325000000</v>
      </c>
      <c r="J6" s="14">
        <f t="shared" si="0"/>
        <v>325000000</v>
      </c>
      <c r="K6" s="14">
        <f t="shared" si="0"/>
        <v>325000000</v>
      </c>
      <c r="L6" s="14">
        <f t="shared" si="0"/>
        <v>325000000</v>
      </c>
      <c r="M6" s="14">
        <f t="shared" si="0"/>
        <v>0</v>
      </c>
      <c r="N6" s="14">
        <f>SUM($C6:$M6)</f>
        <v>2600000000</v>
      </c>
      <c r="O6" s="14">
        <f>$C6+NPV(10%,$D6:$M6)</f>
        <v>1576228194.834878</v>
      </c>
    </row>
    <row r="7" spans="1:15" x14ac:dyDescent="0.25">
      <c r="A7" s="8"/>
      <c r="B7" s="9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3" t="s">
        <v>18</v>
      </c>
      <c r="B8" s="4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5">
      <c r="A9" s="6" t="s">
        <v>9</v>
      </c>
      <c r="B9" s="7" t="s">
        <v>7</v>
      </c>
      <c r="C9" s="12">
        <v>50000000</v>
      </c>
      <c r="D9" s="12">
        <v>100000000</v>
      </c>
      <c r="E9" s="12"/>
      <c r="F9" s="12"/>
      <c r="G9" s="12"/>
      <c r="H9" s="12"/>
      <c r="I9" s="12"/>
      <c r="J9" s="12"/>
      <c r="K9" s="12"/>
      <c r="L9" s="12"/>
      <c r="M9" s="12"/>
      <c r="N9" s="13">
        <f>SUM($C9:$M9)</f>
        <v>150000000</v>
      </c>
      <c r="O9" s="13">
        <f>$C9+NPV(10%,$D9:$M9)</f>
        <v>140909090.90909091</v>
      </c>
    </row>
    <row r="10" spans="1:15" x14ac:dyDescent="0.25">
      <c r="A10" s="6" t="s">
        <v>10</v>
      </c>
      <c r="B10" s="7" t="s">
        <v>7</v>
      </c>
      <c r="C10" s="12"/>
      <c r="D10" s="12">
        <v>50000000</v>
      </c>
      <c r="E10" s="12">
        <v>5000000</v>
      </c>
      <c r="F10" s="12">
        <v>5000000</v>
      </c>
      <c r="G10" s="12">
        <v>5000000</v>
      </c>
      <c r="H10" s="12">
        <v>5000000</v>
      </c>
      <c r="I10" s="12">
        <v>5000000</v>
      </c>
      <c r="J10" s="12">
        <v>5000000</v>
      </c>
      <c r="K10" s="12">
        <v>5000000</v>
      </c>
      <c r="L10" s="12">
        <v>5000000</v>
      </c>
      <c r="M10" s="12"/>
      <c r="N10" s="13">
        <f t="shared" ref="N10:N12" si="1">SUM($C10:$M10)</f>
        <v>90000000</v>
      </c>
      <c r="O10" s="13">
        <f t="shared" ref="O10:O12" si="2">$C10+NPV(10%,$D10:$M10)</f>
        <v>69704209.990466639</v>
      </c>
    </row>
    <row r="11" spans="1:15" x14ac:dyDescent="0.25">
      <c r="A11" s="6" t="s">
        <v>11</v>
      </c>
      <c r="B11" s="7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>
        <v>10000000</v>
      </c>
      <c r="N11" s="13">
        <f t="shared" si="1"/>
        <v>10000000</v>
      </c>
      <c r="O11" s="13">
        <f t="shared" si="2"/>
        <v>9090909.0909090899</v>
      </c>
    </row>
    <row r="12" spans="1:15" x14ac:dyDescent="0.25">
      <c r="A12" s="6" t="s">
        <v>12</v>
      </c>
      <c r="B12" s="7" t="s">
        <v>7</v>
      </c>
      <c r="C12" s="14">
        <f>SUM(C$9:C$11)</f>
        <v>50000000</v>
      </c>
      <c r="D12" s="14">
        <f t="shared" ref="D12:M12" si="3">SUM(D$9:D$11)</f>
        <v>150000000</v>
      </c>
      <c r="E12" s="14">
        <f>SUM(E$9:E$11)</f>
        <v>5000000</v>
      </c>
      <c r="F12" s="14">
        <f>SUM(F$9:F$11)</f>
        <v>5000000</v>
      </c>
      <c r="G12" s="14">
        <f t="shared" si="3"/>
        <v>5000000</v>
      </c>
      <c r="H12" s="14">
        <f t="shared" si="3"/>
        <v>5000000</v>
      </c>
      <c r="I12" s="14">
        <f t="shared" si="3"/>
        <v>5000000</v>
      </c>
      <c r="J12" s="14">
        <f t="shared" si="3"/>
        <v>5000000</v>
      </c>
      <c r="K12" s="14">
        <f t="shared" si="3"/>
        <v>5000000</v>
      </c>
      <c r="L12" s="14">
        <f t="shared" si="3"/>
        <v>5000000</v>
      </c>
      <c r="M12" s="14">
        <f t="shared" si="3"/>
        <v>10000000</v>
      </c>
      <c r="N12" s="14">
        <f t="shared" si="1"/>
        <v>250000000</v>
      </c>
      <c r="O12" s="14">
        <f t="shared" si="2"/>
        <v>214468733.79385284</v>
      </c>
    </row>
    <row r="13" spans="1:15" s="26" customFormat="1" x14ac:dyDescent="0.25">
      <c r="A13" s="8"/>
      <c r="B13" s="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3" t="s">
        <v>20</v>
      </c>
      <c r="B14" s="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5">
      <c r="A15" s="6" t="s">
        <v>14</v>
      </c>
      <c r="B15" s="7" t="s">
        <v>5</v>
      </c>
      <c r="C15" s="12"/>
      <c r="D15" s="12"/>
      <c r="E15" s="12">
        <v>700</v>
      </c>
      <c r="F15" s="12">
        <v>700</v>
      </c>
      <c r="G15" s="12">
        <v>700</v>
      </c>
      <c r="H15" s="12">
        <v>700</v>
      </c>
      <c r="I15" s="12">
        <v>700</v>
      </c>
      <c r="J15" s="12">
        <v>700</v>
      </c>
      <c r="K15" s="12">
        <v>700</v>
      </c>
      <c r="L15" s="12">
        <v>700</v>
      </c>
      <c r="M15" s="12"/>
      <c r="N15" s="17"/>
      <c r="O15" s="17"/>
    </row>
    <row r="16" spans="1:15" x14ac:dyDescent="0.25">
      <c r="A16" s="6" t="s">
        <v>13</v>
      </c>
      <c r="B16" s="7" t="s">
        <v>7</v>
      </c>
      <c r="C16" s="14">
        <f>C$4*C$15</f>
        <v>0</v>
      </c>
      <c r="D16" s="14">
        <f t="shared" ref="D16:M16" si="4">D$4*D$15</f>
        <v>0</v>
      </c>
      <c r="E16" s="14">
        <f>E$4*E$15</f>
        <v>175000000</v>
      </c>
      <c r="F16" s="14">
        <f>F$4*F$15</f>
        <v>175000000</v>
      </c>
      <c r="G16" s="14">
        <f t="shared" si="4"/>
        <v>175000000</v>
      </c>
      <c r="H16" s="14">
        <f t="shared" si="4"/>
        <v>175000000</v>
      </c>
      <c r="I16" s="14">
        <f t="shared" si="4"/>
        <v>175000000</v>
      </c>
      <c r="J16" s="14">
        <f t="shared" si="4"/>
        <v>175000000</v>
      </c>
      <c r="K16" s="14">
        <f t="shared" si="4"/>
        <v>175000000</v>
      </c>
      <c r="L16" s="14">
        <f t="shared" si="4"/>
        <v>175000000</v>
      </c>
      <c r="M16" s="14">
        <f t="shared" si="4"/>
        <v>0</v>
      </c>
      <c r="N16" s="14">
        <f t="shared" ref="N16" si="5">SUM($C16:$M16)</f>
        <v>1400000000</v>
      </c>
      <c r="O16" s="14">
        <f t="shared" ref="O16" si="6">$C16+NPV(10%,$D16:$M16)</f>
        <v>848738258.75724196</v>
      </c>
    </row>
    <row r="17" spans="1:15" x14ac:dyDescent="0.25">
      <c r="A17" s="8"/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3" t="s">
        <v>21</v>
      </c>
      <c r="B18" s="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25">
      <c r="A19" s="6" t="s">
        <v>19</v>
      </c>
      <c r="B19" s="7" t="s">
        <v>7</v>
      </c>
      <c r="C19" s="14">
        <f>C$6-C$12-C$16</f>
        <v>-50000000</v>
      </c>
      <c r="D19" s="14">
        <f t="shared" ref="D19:M19" si="7">D$6-D$12-D$16</f>
        <v>-150000000</v>
      </c>
      <c r="E19" s="14">
        <f>E$6-E$12-E$16</f>
        <v>145000000</v>
      </c>
      <c r="F19" s="14">
        <f t="shared" si="7"/>
        <v>145000000</v>
      </c>
      <c r="G19" s="14">
        <f>G$6-G$12-G$16</f>
        <v>145000000</v>
      </c>
      <c r="H19" s="14">
        <f t="shared" si="7"/>
        <v>145000000</v>
      </c>
      <c r="I19" s="14">
        <f t="shared" si="7"/>
        <v>145000000</v>
      </c>
      <c r="J19" s="14">
        <f t="shared" si="7"/>
        <v>145000000</v>
      </c>
      <c r="K19" s="14">
        <f t="shared" si="7"/>
        <v>145000000</v>
      </c>
      <c r="L19" s="14">
        <f t="shared" si="7"/>
        <v>145000000</v>
      </c>
      <c r="M19" s="14">
        <f t="shared" si="7"/>
        <v>-10000000</v>
      </c>
      <c r="N19" s="14">
        <f t="shared" ref="N19" si="8">SUM($C19:$M19)</f>
        <v>950000000</v>
      </c>
      <c r="O19" s="14">
        <f t="shared" ref="O19" si="9">$C19+NPV(10%,$D19:$M19)</f>
        <v>513021202.28378308</v>
      </c>
    </row>
    <row r="20" spans="1:15" x14ac:dyDescent="0.25">
      <c r="A20" s="6" t="s">
        <v>15</v>
      </c>
      <c r="B20" s="7" t="s">
        <v>8</v>
      </c>
      <c r="C20" s="19" t="str">
        <f>IF(ISNUMBER(IRR($C19:C19)),IF(IRR($C19:C19)&gt;0,IRR($C19:C19),""),"")</f>
        <v/>
      </c>
      <c r="D20" s="19" t="str">
        <f>IF(ISNUMBER(IRR($C19:D19)),IF(IRR($C19:D19)&gt;0,IRR($C19:D19),""),"")</f>
        <v/>
      </c>
      <c r="E20" s="19" t="str">
        <f>IF(ISNUMBER(IRR($C19:E19)),IF(IRR($C19:E19)&gt;0,IRR($C19:E19),""),"")</f>
        <v/>
      </c>
      <c r="F20" s="19">
        <f>IF(ISNUMBER(IRR($C19:F19)),IF(IRR($C19:F19)&gt;0,IRR($C19:F19),""),"")</f>
        <v>0.23743595812084983</v>
      </c>
      <c r="G20" s="19">
        <f>IF(ISNUMBER(IRR($C19:G19)),IF(IRR($C19:G19)&gt;0,IRR($C19:G19),""),"")</f>
        <v>0.4312133242672187</v>
      </c>
      <c r="H20" s="19">
        <f>IF(ISNUMBER(IRR($C19:H19)),IF(IRR($C19:H19)&gt;0,IRR($C19:H19),""),"")</f>
        <v>0.52174773300464294</v>
      </c>
      <c r="I20" s="19">
        <f>IF(ISNUMBER(IRR($C19:I19)),IF(IRR($C19:I19)&gt;0,IRR($C19:I19),""),"")</f>
        <v>0.56785909655562739</v>
      </c>
      <c r="J20" s="19">
        <f>IF(ISNUMBER(IRR($C19:J19)),IF(IRR($C19:J19)&gt;0,IRR($C19:J19),""),"")</f>
        <v>0.59275422323488747</v>
      </c>
      <c r="K20" s="19">
        <f>IF(ISNUMBER(IRR($C19:K19)),IF(IRR($C19:K19)&gt;0,IRR($C19:K19),""),"")</f>
        <v>0.60674121571268969</v>
      </c>
      <c r="L20" s="19">
        <f>IF(ISNUMBER(IRR($C19:L19)),IF(IRR($C19:L19)&gt;0,IRR($C19:L19),""),"")</f>
        <v>0.61481929116363609</v>
      </c>
      <c r="M20" s="19">
        <f>IF(ISNUMBER(IRR($C19:M19)),IF(IRR($C19:M19)&gt;0,IRR($C19:M19),""),"")</f>
        <v>0.61448399953834887</v>
      </c>
      <c r="N20" s="20"/>
      <c r="O20" s="20"/>
    </row>
    <row r="21" spans="1:15" x14ac:dyDescent="0.25">
      <c r="A21" s="8"/>
      <c r="B21" s="9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2"/>
      <c r="O21" s="22"/>
    </row>
    <row r="22" spans="1:15" x14ac:dyDescent="0.25">
      <c r="A22" s="3" t="s">
        <v>31</v>
      </c>
      <c r="B22" s="1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5">
      <c r="A23" s="6" t="s">
        <v>25</v>
      </c>
      <c r="B23" s="7" t="s">
        <v>7</v>
      </c>
      <c r="C23" s="23">
        <v>100000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4">
        <f t="shared" ref="N23" si="10">SUM($C23:$M23)</f>
        <v>100000</v>
      </c>
      <c r="O23" s="14">
        <f t="shared" ref="O23" si="11">$C23+NPV(10%,$D23:$M23)</f>
        <v>100000</v>
      </c>
    </row>
    <row r="24" spans="1:15" x14ac:dyDescent="0.25">
      <c r="A24" s="6"/>
      <c r="B24" s="7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O24" s="22"/>
    </row>
    <row r="25" spans="1:15" x14ac:dyDescent="0.25">
      <c r="A25" s="3" t="s">
        <v>32</v>
      </c>
      <c r="B25" s="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5">
      <c r="A26" s="6" t="s">
        <v>28</v>
      </c>
      <c r="B26" s="7" t="s">
        <v>23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7"/>
      <c r="O26" s="17"/>
    </row>
    <row r="27" spans="1:15" x14ac:dyDescent="0.25">
      <c r="A27" s="6" t="s">
        <v>29</v>
      </c>
      <c r="B27" s="7" t="s">
        <v>24</v>
      </c>
      <c r="C27" s="23">
        <v>100</v>
      </c>
      <c r="D27" s="23">
        <v>100</v>
      </c>
      <c r="E27" s="23">
        <v>100</v>
      </c>
      <c r="F27" s="23">
        <v>100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3">
        <v>100</v>
      </c>
      <c r="N27" s="17"/>
      <c r="O27" s="17"/>
    </row>
    <row r="28" spans="1:15" x14ac:dyDescent="0.25">
      <c r="A28" s="6" t="s">
        <v>26</v>
      </c>
      <c r="B28" s="7" t="s">
        <v>7</v>
      </c>
      <c r="C28" s="14">
        <f>C$26*C$27</f>
        <v>10000</v>
      </c>
      <c r="D28" s="14">
        <f t="shared" ref="D28:M28" si="12">D$26*D$27</f>
        <v>10000</v>
      </c>
      <c r="E28" s="14">
        <f>E$26*E$27</f>
        <v>10000</v>
      </c>
      <c r="F28" s="14">
        <f t="shared" si="12"/>
        <v>10000</v>
      </c>
      <c r="G28" s="14">
        <f t="shared" si="12"/>
        <v>10000</v>
      </c>
      <c r="H28" s="14">
        <f t="shared" si="12"/>
        <v>10000</v>
      </c>
      <c r="I28" s="14">
        <f t="shared" si="12"/>
        <v>10000</v>
      </c>
      <c r="J28" s="14">
        <f t="shared" si="12"/>
        <v>10000</v>
      </c>
      <c r="K28" s="14">
        <f t="shared" si="12"/>
        <v>10000</v>
      </c>
      <c r="L28" s="14">
        <f t="shared" si="12"/>
        <v>10000</v>
      </c>
      <c r="M28" s="14">
        <f t="shared" si="12"/>
        <v>10000</v>
      </c>
      <c r="N28" s="14">
        <f t="shared" ref="N28" si="13">SUM($C28:$M28)</f>
        <v>110000</v>
      </c>
      <c r="O28" s="14">
        <f t="shared" ref="O28" si="14">$C28+NPV(10%,$D28:$M28)</f>
        <v>71445.671057046799</v>
      </c>
    </row>
    <row r="29" spans="1:15" x14ac:dyDescent="0.25">
      <c r="A29" s="8"/>
      <c r="B29" s="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3" t="s">
        <v>33</v>
      </c>
      <c r="B30" s="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5">
      <c r="A31" s="6" t="s">
        <v>30</v>
      </c>
      <c r="B31" s="7" t="s">
        <v>8</v>
      </c>
      <c r="C31" s="25" t="str">
        <f t="shared" ref="C31:M31" si="15">IF(ISNUMBER(C5),IF(C$5&lt;1300,3%,IF(C$5&lt;1500,4%,5%)),"")</f>
        <v/>
      </c>
      <c r="D31" s="25" t="str">
        <f t="shared" si="15"/>
        <v/>
      </c>
      <c r="E31" s="25">
        <f t="shared" si="15"/>
        <v>0.04</v>
      </c>
      <c r="F31" s="25">
        <f t="shared" si="15"/>
        <v>0.04</v>
      </c>
      <c r="G31" s="25">
        <f t="shared" si="15"/>
        <v>0.04</v>
      </c>
      <c r="H31" s="25">
        <f t="shared" si="15"/>
        <v>0.04</v>
      </c>
      <c r="I31" s="25">
        <f t="shared" si="15"/>
        <v>0.04</v>
      </c>
      <c r="J31" s="25">
        <f t="shared" si="15"/>
        <v>0.04</v>
      </c>
      <c r="K31" s="25">
        <f t="shared" si="15"/>
        <v>0.04</v>
      </c>
      <c r="L31" s="25">
        <f t="shared" si="15"/>
        <v>0.04</v>
      </c>
      <c r="M31" s="25" t="str">
        <f t="shared" si="15"/>
        <v/>
      </c>
      <c r="N31" s="17"/>
      <c r="O31" s="17"/>
    </row>
    <row r="32" spans="1:15" x14ac:dyDescent="0.25">
      <c r="A32" s="6" t="s">
        <v>27</v>
      </c>
      <c r="B32" s="7" t="s">
        <v>7</v>
      </c>
      <c r="C32" s="14">
        <f t="shared" ref="C32:M32" si="16">IF(ISNUMBER(C31),C$6*C$31,0)</f>
        <v>0</v>
      </c>
      <c r="D32" s="14">
        <f t="shared" si="16"/>
        <v>0</v>
      </c>
      <c r="E32" s="14">
        <f t="shared" si="16"/>
        <v>13000000</v>
      </c>
      <c r="F32" s="14">
        <f t="shared" si="16"/>
        <v>13000000</v>
      </c>
      <c r="G32" s="14">
        <f t="shared" si="16"/>
        <v>13000000</v>
      </c>
      <c r="H32" s="14">
        <f t="shared" si="16"/>
        <v>13000000</v>
      </c>
      <c r="I32" s="14">
        <f t="shared" si="16"/>
        <v>13000000</v>
      </c>
      <c r="J32" s="14">
        <f t="shared" si="16"/>
        <v>13000000</v>
      </c>
      <c r="K32" s="14">
        <f t="shared" si="16"/>
        <v>13000000</v>
      </c>
      <c r="L32" s="14">
        <f t="shared" si="16"/>
        <v>13000000</v>
      </c>
      <c r="M32" s="14">
        <f t="shared" si="16"/>
        <v>0</v>
      </c>
      <c r="N32" s="14">
        <f>SUM($C32:$M32)</f>
        <v>104000000</v>
      </c>
      <c r="O32" s="14">
        <f t="shared" ref="O32" si="17">$C32+NPV(10%,$D32:$M32)</f>
        <v>63049127.793395109</v>
      </c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tabSelected="1" zoomScaleNormal="100" workbookViewId="0">
      <pane xSplit="2" ySplit="1" topLeftCell="C65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77734375" defaultRowHeight="13.2" x14ac:dyDescent="0.25"/>
  <cols>
    <col min="1" max="1" width="40.77734375" style="1" customWidth="1"/>
    <col min="2" max="2" width="10.77734375" style="1"/>
    <col min="3" max="13" width="15.77734375" style="1" customWidth="1"/>
    <col min="14" max="16384" width="10.77734375" style="1"/>
  </cols>
  <sheetData>
    <row r="1" spans="1:13" s="11" customFormat="1" ht="12" x14ac:dyDescent="0.25">
      <c r="A1" s="28" t="s">
        <v>16</v>
      </c>
      <c r="B1" s="28" t="s">
        <v>0</v>
      </c>
      <c r="C1" s="28" t="s">
        <v>62</v>
      </c>
      <c r="D1" s="28" t="s">
        <v>63</v>
      </c>
      <c r="E1" s="28" t="s">
        <v>64</v>
      </c>
      <c r="F1" s="28" t="s">
        <v>65</v>
      </c>
      <c r="G1" s="28" t="s">
        <v>66</v>
      </c>
      <c r="H1" s="28" t="s">
        <v>67</v>
      </c>
      <c r="I1" s="28" t="s">
        <v>68</v>
      </c>
      <c r="J1" s="28" t="s">
        <v>69</v>
      </c>
      <c r="K1" s="28" t="s">
        <v>70</v>
      </c>
      <c r="L1" s="28" t="s">
        <v>71</v>
      </c>
      <c r="M1" s="28" t="s">
        <v>72</v>
      </c>
    </row>
    <row r="2" spans="1:13" s="11" customFormat="1" ht="11.4" x14ac:dyDescent="0.25"/>
    <row r="3" spans="1:13" s="11" customFormat="1" ht="12" x14ac:dyDescent="0.25">
      <c r="A3" s="6" t="s">
        <v>38</v>
      </c>
      <c r="B3" s="29" t="s">
        <v>35</v>
      </c>
      <c r="C3" s="30">
        <v>11</v>
      </c>
      <c r="D3" s="30">
        <v>10</v>
      </c>
      <c r="E3" s="30">
        <v>9</v>
      </c>
      <c r="F3" s="30">
        <v>8</v>
      </c>
      <c r="G3" s="30">
        <v>7</v>
      </c>
      <c r="H3" s="30">
        <v>6</v>
      </c>
      <c r="I3" s="30">
        <v>5</v>
      </c>
      <c r="J3" s="30">
        <v>4</v>
      </c>
      <c r="K3" s="30">
        <v>3</v>
      </c>
      <c r="L3" s="30">
        <v>2</v>
      </c>
      <c r="M3" s="30">
        <v>1</v>
      </c>
    </row>
    <row r="4" spans="1:13" s="11" customFormat="1" ht="11.4" x14ac:dyDescent="0.25">
      <c r="A4" s="29"/>
      <c r="B4" s="29"/>
    </row>
    <row r="5" spans="1:13" s="11" customFormat="1" ht="12" x14ac:dyDescent="0.25">
      <c r="A5" s="3" t="s">
        <v>45</v>
      </c>
      <c r="B5" s="33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1" customFormat="1" ht="12" x14ac:dyDescent="0.25">
      <c r="A6" s="6" t="s">
        <v>34</v>
      </c>
      <c r="B6" s="29" t="s">
        <v>35</v>
      </c>
      <c r="C6" s="23">
        <v>10</v>
      </c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s="11" customFormat="1" ht="12" x14ac:dyDescent="0.25">
      <c r="A7" s="6" t="s">
        <v>36</v>
      </c>
      <c r="B7" s="29" t="s">
        <v>37</v>
      </c>
      <c r="C7" s="23">
        <v>1</v>
      </c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s="11" customFormat="1" ht="11.4" x14ac:dyDescent="0.25">
      <c r="A8" s="29"/>
      <c r="B8" s="29"/>
    </row>
    <row r="9" spans="1:13" s="11" customFormat="1" ht="12" x14ac:dyDescent="0.25">
      <c r="A9" s="6" t="s">
        <v>47</v>
      </c>
      <c r="B9" s="29"/>
    </row>
    <row r="10" spans="1:13" s="11" customFormat="1" ht="11.4" x14ac:dyDescent="0.25">
      <c r="A10" s="29" t="s">
        <v>40</v>
      </c>
      <c r="B10" s="29" t="s">
        <v>35</v>
      </c>
      <c r="C10" s="30">
        <f>IF($C$6&lt;C$3,$C$6,C$3)</f>
        <v>10</v>
      </c>
      <c r="D10" s="12">
        <f t="shared" ref="D10:M10" si="0">IF(C10=0,0,IF(C10-1&lt;D$3,C10-1,D$3))</f>
        <v>9</v>
      </c>
      <c r="E10" s="12">
        <f t="shared" si="0"/>
        <v>8</v>
      </c>
      <c r="F10" s="12">
        <f t="shared" si="0"/>
        <v>7</v>
      </c>
      <c r="G10" s="12">
        <f t="shared" si="0"/>
        <v>6</v>
      </c>
      <c r="H10" s="12">
        <f t="shared" si="0"/>
        <v>5</v>
      </c>
      <c r="I10" s="12">
        <f t="shared" si="0"/>
        <v>4</v>
      </c>
      <c r="J10" s="12">
        <f t="shared" si="0"/>
        <v>3</v>
      </c>
      <c r="K10" s="12">
        <f t="shared" si="0"/>
        <v>2</v>
      </c>
      <c r="L10" s="12">
        <f t="shared" si="0"/>
        <v>1</v>
      </c>
      <c r="M10" s="12">
        <f t="shared" si="0"/>
        <v>0</v>
      </c>
    </row>
    <row r="11" spans="1:13" s="11" customFormat="1" ht="11.4" x14ac:dyDescent="0.25">
      <c r="A11" s="29" t="s">
        <v>39</v>
      </c>
      <c r="B11" s="29" t="s">
        <v>7</v>
      </c>
      <c r="C11" s="30">
        <f>Modèle!C$9</f>
        <v>50000000</v>
      </c>
      <c r="D11" s="12">
        <f>C15</f>
        <v>45000000</v>
      </c>
      <c r="E11" s="12">
        <f t="shared" ref="E11:M11" si="1">D15</f>
        <v>40000000</v>
      </c>
      <c r="F11" s="12">
        <f t="shared" si="1"/>
        <v>35000000</v>
      </c>
      <c r="G11" s="12">
        <f t="shared" si="1"/>
        <v>30000000</v>
      </c>
      <c r="H11" s="12">
        <f t="shared" si="1"/>
        <v>25000000</v>
      </c>
      <c r="I11" s="12">
        <f t="shared" si="1"/>
        <v>20000000</v>
      </c>
      <c r="J11" s="12">
        <f t="shared" si="1"/>
        <v>15000000</v>
      </c>
      <c r="K11" s="12">
        <f t="shared" si="1"/>
        <v>10000000</v>
      </c>
      <c r="L11" s="12">
        <f t="shared" si="1"/>
        <v>5000000</v>
      </c>
      <c r="M11" s="12">
        <f t="shared" si="1"/>
        <v>0</v>
      </c>
    </row>
    <row r="12" spans="1:13" s="11" customFormat="1" ht="11.4" x14ac:dyDescent="0.25">
      <c r="A12" s="29" t="s">
        <v>61</v>
      </c>
      <c r="B12" s="29" t="s">
        <v>8</v>
      </c>
      <c r="C12" s="31">
        <f>IF(C10=0,0,1/C10)</f>
        <v>0.1</v>
      </c>
      <c r="D12" s="31">
        <f>IF(D10=0,0,1/D10)</f>
        <v>0.1111111111111111</v>
      </c>
      <c r="E12" s="31">
        <f t="shared" ref="E12:M12" si="2">IF(E10=0,0,1/E10)</f>
        <v>0.125</v>
      </c>
      <c r="F12" s="31">
        <f t="shared" si="2"/>
        <v>0.14285714285714285</v>
      </c>
      <c r="G12" s="31">
        <f t="shared" si="2"/>
        <v>0.16666666666666666</v>
      </c>
      <c r="H12" s="31">
        <f t="shared" si="2"/>
        <v>0.2</v>
      </c>
      <c r="I12" s="31">
        <f t="shared" si="2"/>
        <v>0.25</v>
      </c>
      <c r="J12" s="31">
        <f t="shared" si="2"/>
        <v>0.33333333333333331</v>
      </c>
      <c r="K12" s="31">
        <f t="shared" si="2"/>
        <v>0.5</v>
      </c>
      <c r="L12" s="31">
        <f t="shared" si="2"/>
        <v>1</v>
      </c>
      <c r="M12" s="31">
        <f t="shared" si="2"/>
        <v>0</v>
      </c>
    </row>
    <row r="13" spans="1:13" s="11" customFormat="1" ht="11.4" x14ac:dyDescent="0.25">
      <c r="A13" s="29" t="s">
        <v>60</v>
      </c>
      <c r="B13" s="29" t="s">
        <v>8</v>
      </c>
      <c r="C13" s="31">
        <f>IF(C10=0,0,IF($C$7*1/$C$6&gt;C12,$C$7*1/$C$6,C12))</f>
        <v>0.1</v>
      </c>
      <c r="D13" s="31">
        <f>IF(D10=0,0,IF($C$7*1/$C$6&gt;D12,$C$7*1/$C$6,D12))</f>
        <v>0.1111111111111111</v>
      </c>
      <c r="E13" s="31">
        <f t="shared" ref="E13:M13" si="3">IF(E10=0,0,IF($C$7*1/$C$6&gt;E12,$C$7*1/$C$6,E12))</f>
        <v>0.125</v>
      </c>
      <c r="F13" s="31">
        <f t="shared" si="3"/>
        <v>0.14285714285714285</v>
      </c>
      <c r="G13" s="31">
        <f t="shared" si="3"/>
        <v>0.16666666666666666</v>
      </c>
      <c r="H13" s="31">
        <f t="shared" si="3"/>
        <v>0.2</v>
      </c>
      <c r="I13" s="31">
        <f t="shared" si="3"/>
        <v>0.25</v>
      </c>
      <c r="J13" s="31">
        <f t="shared" si="3"/>
        <v>0.33333333333333331</v>
      </c>
      <c r="K13" s="31">
        <f t="shared" si="3"/>
        <v>0.5</v>
      </c>
      <c r="L13" s="31">
        <f t="shared" si="3"/>
        <v>1</v>
      </c>
      <c r="M13" s="31">
        <f t="shared" si="3"/>
        <v>0</v>
      </c>
    </row>
    <row r="14" spans="1:13" s="11" customFormat="1" ht="11.4" x14ac:dyDescent="0.25">
      <c r="A14" s="29" t="s">
        <v>41</v>
      </c>
      <c r="B14" s="29" t="s">
        <v>7</v>
      </c>
      <c r="C14" s="12">
        <f>C11*C13</f>
        <v>5000000</v>
      </c>
      <c r="D14" s="12">
        <f>D11*D13</f>
        <v>5000000</v>
      </c>
      <c r="E14" s="12">
        <f t="shared" ref="E14:M14" si="4">E11*E13</f>
        <v>5000000</v>
      </c>
      <c r="F14" s="12">
        <f t="shared" si="4"/>
        <v>5000000</v>
      </c>
      <c r="G14" s="12">
        <f t="shared" si="4"/>
        <v>5000000</v>
      </c>
      <c r="H14" s="12">
        <f t="shared" si="4"/>
        <v>5000000</v>
      </c>
      <c r="I14" s="12">
        <f t="shared" si="4"/>
        <v>5000000</v>
      </c>
      <c r="J14" s="12">
        <f t="shared" si="4"/>
        <v>5000000</v>
      </c>
      <c r="K14" s="12">
        <f t="shared" si="4"/>
        <v>5000000</v>
      </c>
      <c r="L14" s="12">
        <f t="shared" si="4"/>
        <v>5000000</v>
      </c>
      <c r="M14" s="12">
        <f t="shared" si="4"/>
        <v>0</v>
      </c>
    </row>
    <row r="15" spans="1:13" s="11" customFormat="1" ht="11.4" x14ac:dyDescent="0.25">
      <c r="A15" s="29" t="s">
        <v>42</v>
      </c>
      <c r="B15" s="29" t="s">
        <v>7</v>
      </c>
      <c r="C15" s="12">
        <f>C11-C14</f>
        <v>45000000</v>
      </c>
      <c r="D15" s="12">
        <f>D11-D14</f>
        <v>40000000</v>
      </c>
      <c r="E15" s="12">
        <f t="shared" ref="E15:M15" si="5">E11-E14</f>
        <v>35000000</v>
      </c>
      <c r="F15" s="12">
        <f t="shared" si="5"/>
        <v>30000000</v>
      </c>
      <c r="G15" s="12">
        <f t="shared" si="5"/>
        <v>25000000</v>
      </c>
      <c r="H15" s="12">
        <f t="shared" si="5"/>
        <v>20000000</v>
      </c>
      <c r="I15" s="12">
        <f t="shared" si="5"/>
        <v>15000000</v>
      </c>
      <c r="J15" s="12">
        <f t="shared" si="5"/>
        <v>10000000</v>
      </c>
      <c r="K15" s="12">
        <f t="shared" si="5"/>
        <v>5000000</v>
      </c>
      <c r="L15" s="12">
        <f t="shared" si="5"/>
        <v>0</v>
      </c>
      <c r="M15" s="12">
        <f t="shared" si="5"/>
        <v>0</v>
      </c>
    </row>
    <row r="16" spans="1:13" s="11" customFormat="1" ht="11.4" x14ac:dyDescent="0.25">
      <c r="A16" s="29"/>
      <c r="B16" s="29"/>
    </row>
    <row r="17" spans="1:13" s="11" customFormat="1" ht="12" x14ac:dyDescent="0.25">
      <c r="A17" s="6" t="s">
        <v>48</v>
      </c>
      <c r="B17" s="29"/>
    </row>
    <row r="18" spans="1:13" s="11" customFormat="1" ht="11.4" x14ac:dyDescent="0.25">
      <c r="A18" s="29" t="s">
        <v>40</v>
      </c>
      <c r="B18" s="29" t="s">
        <v>35</v>
      </c>
      <c r="D18" s="30">
        <f>IF($C$6&lt;D$3,$C$6,D$3)</f>
        <v>10</v>
      </c>
      <c r="E18" s="12">
        <f t="shared" ref="E18:M18" si="6">IF(D18=0,0,IF(D18-1&lt;E$3,D18-1,E$3))</f>
        <v>9</v>
      </c>
      <c r="F18" s="12">
        <f t="shared" si="6"/>
        <v>8</v>
      </c>
      <c r="G18" s="12">
        <f t="shared" si="6"/>
        <v>7</v>
      </c>
      <c r="H18" s="12">
        <f t="shared" si="6"/>
        <v>6</v>
      </c>
      <c r="I18" s="12">
        <f t="shared" si="6"/>
        <v>5</v>
      </c>
      <c r="J18" s="12">
        <f t="shared" si="6"/>
        <v>4</v>
      </c>
      <c r="K18" s="12">
        <f t="shared" si="6"/>
        <v>3</v>
      </c>
      <c r="L18" s="12">
        <f t="shared" si="6"/>
        <v>2</v>
      </c>
      <c r="M18" s="12">
        <f t="shared" si="6"/>
        <v>1</v>
      </c>
    </row>
    <row r="19" spans="1:13" s="11" customFormat="1" ht="11.4" x14ac:dyDescent="0.25">
      <c r="A19" s="29" t="s">
        <v>39</v>
      </c>
      <c r="B19" s="29" t="s">
        <v>7</v>
      </c>
      <c r="D19" s="30">
        <f>Modèle!D$9</f>
        <v>100000000</v>
      </c>
      <c r="E19" s="12">
        <f>D23</f>
        <v>90000000</v>
      </c>
      <c r="F19" s="12">
        <f t="shared" ref="F19:M19" si="7">E23</f>
        <v>80000000</v>
      </c>
      <c r="G19" s="12">
        <f t="shared" si="7"/>
        <v>70000000</v>
      </c>
      <c r="H19" s="12">
        <f t="shared" si="7"/>
        <v>60000000</v>
      </c>
      <c r="I19" s="12">
        <f t="shared" si="7"/>
        <v>50000000</v>
      </c>
      <c r="J19" s="12">
        <f t="shared" si="7"/>
        <v>40000000</v>
      </c>
      <c r="K19" s="12">
        <f t="shared" si="7"/>
        <v>30000000</v>
      </c>
      <c r="L19" s="12">
        <f t="shared" si="7"/>
        <v>20000000</v>
      </c>
      <c r="M19" s="12">
        <f t="shared" si="7"/>
        <v>10000000</v>
      </c>
    </row>
    <row r="20" spans="1:13" s="11" customFormat="1" ht="11.4" x14ac:dyDescent="0.25">
      <c r="A20" s="29" t="s">
        <v>61</v>
      </c>
      <c r="B20" s="29" t="s">
        <v>8</v>
      </c>
      <c r="D20" s="31">
        <f>IF(D18=0,0,1/D18)</f>
        <v>0.1</v>
      </c>
      <c r="E20" s="31">
        <f>IF(E18=0,0,1/E18)</f>
        <v>0.1111111111111111</v>
      </c>
      <c r="F20" s="31">
        <f t="shared" ref="F20:M20" si="8">IF(F18=0,0,1/F18)</f>
        <v>0.125</v>
      </c>
      <c r="G20" s="31">
        <f t="shared" si="8"/>
        <v>0.14285714285714285</v>
      </c>
      <c r="H20" s="31">
        <f t="shared" si="8"/>
        <v>0.16666666666666666</v>
      </c>
      <c r="I20" s="31">
        <f t="shared" si="8"/>
        <v>0.2</v>
      </c>
      <c r="J20" s="31">
        <f t="shared" si="8"/>
        <v>0.25</v>
      </c>
      <c r="K20" s="31">
        <f t="shared" si="8"/>
        <v>0.33333333333333331</v>
      </c>
      <c r="L20" s="31">
        <f t="shared" si="8"/>
        <v>0.5</v>
      </c>
      <c r="M20" s="31">
        <f t="shared" si="8"/>
        <v>1</v>
      </c>
    </row>
    <row r="21" spans="1:13" s="11" customFormat="1" ht="11.4" x14ac:dyDescent="0.25">
      <c r="A21" s="29" t="s">
        <v>60</v>
      </c>
      <c r="B21" s="29" t="s">
        <v>8</v>
      </c>
      <c r="D21" s="31">
        <f>IF(D18=0,0,IF($C$7*1/$C$6&gt;D20,$C$7*1/$C$6,D20))</f>
        <v>0.1</v>
      </c>
      <c r="E21" s="31">
        <f>IF(E18=0,0,IF($C$7*1/$C$6&gt;E20,$C$7*1/$C$6,E20))</f>
        <v>0.1111111111111111</v>
      </c>
      <c r="F21" s="31">
        <f t="shared" ref="F21" si="9">IF(F18=0,0,IF($C$7*1/$C$6&gt;F20,$C$7*1/$C$6,F20))</f>
        <v>0.125</v>
      </c>
      <c r="G21" s="31">
        <f t="shared" ref="G21" si="10">IF(G18=0,0,IF($C$7*1/$C$6&gt;G20,$C$7*1/$C$6,G20))</f>
        <v>0.14285714285714285</v>
      </c>
      <c r="H21" s="31">
        <f t="shared" ref="H21" si="11">IF(H18=0,0,IF($C$7*1/$C$6&gt;H20,$C$7*1/$C$6,H20))</f>
        <v>0.16666666666666666</v>
      </c>
      <c r="I21" s="31">
        <f t="shared" ref="I21" si="12">IF(I18=0,0,IF($C$7*1/$C$6&gt;I20,$C$7*1/$C$6,I20))</f>
        <v>0.2</v>
      </c>
      <c r="J21" s="31">
        <f t="shared" ref="J21" si="13">IF(J18=0,0,IF($C$7*1/$C$6&gt;J20,$C$7*1/$C$6,J20))</f>
        <v>0.25</v>
      </c>
      <c r="K21" s="31">
        <f t="shared" ref="K21" si="14">IF(K18=0,0,IF($C$7*1/$C$6&gt;K20,$C$7*1/$C$6,K20))</f>
        <v>0.33333333333333331</v>
      </c>
      <c r="L21" s="31">
        <f t="shared" ref="L21" si="15">IF(L18=0,0,IF($C$7*1/$C$6&gt;L20,$C$7*1/$C$6,L20))</f>
        <v>0.5</v>
      </c>
      <c r="M21" s="31">
        <f t="shared" ref="M21" si="16">IF(M18=0,0,IF($C$7*1/$C$6&gt;M20,$C$7*1/$C$6,M20))</f>
        <v>1</v>
      </c>
    </row>
    <row r="22" spans="1:13" s="11" customFormat="1" ht="11.4" x14ac:dyDescent="0.25">
      <c r="A22" s="29" t="s">
        <v>41</v>
      </c>
      <c r="B22" s="29" t="s">
        <v>7</v>
      </c>
      <c r="D22" s="12">
        <f>D19*D21</f>
        <v>10000000</v>
      </c>
      <c r="E22" s="12">
        <f>E19*E21</f>
        <v>10000000</v>
      </c>
      <c r="F22" s="12">
        <f t="shared" ref="F22" si="17">F19*F21</f>
        <v>10000000</v>
      </c>
      <c r="G22" s="12">
        <f t="shared" ref="G22" si="18">G19*G21</f>
        <v>10000000</v>
      </c>
      <c r="H22" s="12">
        <f t="shared" ref="H22" si="19">H19*H21</f>
        <v>10000000</v>
      </c>
      <c r="I22" s="12">
        <f t="shared" ref="I22" si="20">I19*I21</f>
        <v>10000000</v>
      </c>
      <c r="J22" s="12">
        <f t="shared" ref="J22" si="21">J19*J21</f>
        <v>10000000</v>
      </c>
      <c r="K22" s="12">
        <f t="shared" ref="K22" si="22">K19*K21</f>
        <v>10000000</v>
      </c>
      <c r="L22" s="12">
        <f t="shared" ref="L22" si="23">L19*L21</f>
        <v>10000000</v>
      </c>
      <c r="M22" s="12">
        <f t="shared" ref="M22" si="24">M19*M21</f>
        <v>10000000</v>
      </c>
    </row>
    <row r="23" spans="1:13" s="11" customFormat="1" ht="11.4" x14ac:dyDescent="0.25">
      <c r="A23" s="29" t="s">
        <v>42</v>
      </c>
      <c r="B23" s="29" t="s">
        <v>7</v>
      </c>
      <c r="D23" s="12">
        <f>D19-D22</f>
        <v>90000000</v>
      </c>
      <c r="E23" s="12">
        <f>E19-E22</f>
        <v>80000000</v>
      </c>
      <c r="F23" s="12">
        <f t="shared" ref="F23" si="25">F19-F22</f>
        <v>70000000</v>
      </c>
      <c r="G23" s="12">
        <f t="shared" ref="G23" si="26">G19-G22</f>
        <v>60000000</v>
      </c>
      <c r="H23" s="12">
        <f t="shared" ref="H23" si="27">H19-H22</f>
        <v>50000000</v>
      </c>
      <c r="I23" s="12">
        <f t="shared" ref="I23" si="28">I19-I22</f>
        <v>40000000</v>
      </c>
      <c r="J23" s="12">
        <f t="shared" ref="J23" si="29">J19-J22</f>
        <v>30000000</v>
      </c>
      <c r="K23" s="12">
        <f t="shared" ref="K23" si="30">K19-K22</f>
        <v>20000000</v>
      </c>
      <c r="L23" s="12">
        <f t="shared" ref="L23" si="31">L19-L22</f>
        <v>10000000</v>
      </c>
      <c r="M23" s="12">
        <f t="shared" ref="M23" si="32">M19-M22</f>
        <v>0</v>
      </c>
    </row>
    <row r="24" spans="1:13" s="11" customFormat="1" ht="11.4" x14ac:dyDescent="0.25">
      <c r="A24" s="29"/>
      <c r="B24" s="29"/>
    </row>
    <row r="25" spans="1:13" s="11" customFormat="1" ht="12" x14ac:dyDescent="0.25">
      <c r="A25" s="6" t="s">
        <v>43</v>
      </c>
      <c r="B25" s="29" t="s">
        <v>7</v>
      </c>
      <c r="C25" s="12">
        <f t="shared" ref="C25:M25" si="33">C$14+C$22</f>
        <v>5000000</v>
      </c>
      <c r="D25" s="12">
        <f t="shared" si="33"/>
        <v>15000000</v>
      </c>
      <c r="E25" s="12">
        <f t="shared" si="33"/>
        <v>15000000</v>
      </c>
      <c r="F25" s="12">
        <f t="shared" si="33"/>
        <v>15000000</v>
      </c>
      <c r="G25" s="12">
        <f t="shared" si="33"/>
        <v>15000000</v>
      </c>
      <c r="H25" s="12">
        <f t="shared" si="33"/>
        <v>15000000</v>
      </c>
      <c r="I25" s="12">
        <f t="shared" si="33"/>
        <v>15000000</v>
      </c>
      <c r="J25" s="12">
        <f t="shared" si="33"/>
        <v>15000000</v>
      </c>
      <c r="K25" s="12">
        <f t="shared" si="33"/>
        <v>15000000</v>
      </c>
      <c r="L25" s="12">
        <f t="shared" si="33"/>
        <v>15000000</v>
      </c>
      <c r="M25" s="12">
        <f t="shared" si="33"/>
        <v>10000000</v>
      </c>
    </row>
    <row r="26" spans="1:13" s="11" customFormat="1" ht="11.4" x14ac:dyDescent="0.25">
      <c r="A26" s="29"/>
      <c r="B26" s="29"/>
    </row>
    <row r="27" spans="1:13" s="11" customFormat="1" ht="12" x14ac:dyDescent="0.25">
      <c r="A27" s="3" t="s">
        <v>46</v>
      </c>
      <c r="B27" s="3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s="11" customFormat="1" ht="12" x14ac:dyDescent="0.25">
      <c r="A28" s="6" t="s">
        <v>34</v>
      </c>
      <c r="B28" s="29" t="s">
        <v>35</v>
      </c>
      <c r="C28" s="23">
        <v>5</v>
      </c>
    </row>
    <row r="29" spans="1:13" s="11" customFormat="1" ht="12" x14ac:dyDescent="0.25">
      <c r="A29" s="6" t="s">
        <v>36</v>
      </c>
      <c r="B29" s="29" t="s">
        <v>37</v>
      </c>
      <c r="C29" s="23">
        <v>2</v>
      </c>
    </row>
    <row r="30" spans="1:13" s="11" customFormat="1" ht="11.4" x14ac:dyDescent="0.25">
      <c r="A30" s="29"/>
      <c r="B30" s="29"/>
    </row>
    <row r="31" spans="1:13" s="11" customFormat="1" ht="12" x14ac:dyDescent="0.25">
      <c r="A31" s="6" t="s">
        <v>47</v>
      </c>
      <c r="B31" s="29"/>
    </row>
    <row r="32" spans="1:13" s="11" customFormat="1" ht="11.4" x14ac:dyDescent="0.25">
      <c r="A32" s="29" t="s">
        <v>40</v>
      </c>
      <c r="B32" s="29" t="s">
        <v>35</v>
      </c>
      <c r="C32" s="30">
        <f>IF($C$28&lt;C$3,$C$28,C$3)</f>
        <v>5</v>
      </c>
      <c r="D32" s="12">
        <f>IF(C32=0,0,IF(C32-1&lt;D$3,C32-1,D$3))</f>
        <v>4</v>
      </c>
      <c r="E32" s="12">
        <f t="shared" ref="E32:M32" si="34">IF(D32=0,0,IF(D32-1&lt;E$3,D32-1,E$3))</f>
        <v>3</v>
      </c>
      <c r="F32" s="12">
        <f t="shared" si="34"/>
        <v>2</v>
      </c>
      <c r="G32" s="12">
        <f t="shared" si="34"/>
        <v>1</v>
      </c>
      <c r="H32" s="12">
        <f t="shared" si="34"/>
        <v>0</v>
      </c>
      <c r="I32" s="12">
        <f t="shared" si="34"/>
        <v>0</v>
      </c>
      <c r="J32" s="12">
        <f t="shared" si="34"/>
        <v>0</v>
      </c>
      <c r="K32" s="12">
        <f t="shared" si="34"/>
        <v>0</v>
      </c>
      <c r="L32" s="12">
        <f t="shared" si="34"/>
        <v>0</v>
      </c>
      <c r="M32" s="12">
        <f t="shared" si="34"/>
        <v>0</v>
      </c>
    </row>
    <row r="33" spans="1:13" s="11" customFormat="1" ht="11.4" x14ac:dyDescent="0.25">
      <c r="A33" s="29" t="s">
        <v>39</v>
      </c>
      <c r="B33" s="29" t="s">
        <v>7</v>
      </c>
      <c r="C33" s="30">
        <f>Modèle!C$10</f>
        <v>0</v>
      </c>
      <c r="D33" s="12">
        <f>C37</f>
        <v>0</v>
      </c>
      <c r="E33" s="12">
        <f t="shared" ref="E33:M33" si="35">D37</f>
        <v>0</v>
      </c>
      <c r="F33" s="12">
        <f t="shared" si="35"/>
        <v>0</v>
      </c>
      <c r="G33" s="12">
        <f t="shared" si="35"/>
        <v>0</v>
      </c>
      <c r="H33" s="12">
        <f t="shared" si="35"/>
        <v>0</v>
      </c>
      <c r="I33" s="12">
        <f t="shared" si="35"/>
        <v>0</v>
      </c>
      <c r="J33" s="12">
        <f t="shared" si="35"/>
        <v>0</v>
      </c>
      <c r="K33" s="12">
        <f t="shared" si="35"/>
        <v>0</v>
      </c>
      <c r="L33" s="12">
        <f t="shared" si="35"/>
        <v>0</v>
      </c>
      <c r="M33" s="12">
        <f t="shared" si="35"/>
        <v>0</v>
      </c>
    </row>
    <row r="34" spans="1:13" s="11" customFormat="1" ht="11.4" x14ac:dyDescent="0.25">
      <c r="A34" s="29" t="s">
        <v>61</v>
      </c>
      <c r="B34" s="29" t="s">
        <v>8</v>
      </c>
      <c r="C34" s="31">
        <f>IF(C32=0,0,1/C32)</f>
        <v>0.2</v>
      </c>
      <c r="D34" s="31">
        <f>IF(D32=0,0,1/D32)</f>
        <v>0.25</v>
      </c>
      <c r="E34" s="31">
        <f t="shared" ref="E34:M34" si="36">IF(E32=0,0,1/E32)</f>
        <v>0.33333333333333331</v>
      </c>
      <c r="F34" s="31">
        <f t="shared" si="36"/>
        <v>0.5</v>
      </c>
      <c r="G34" s="31">
        <f t="shared" si="36"/>
        <v>1</v>
      </c>
      <c r="H34" s="31">
        <f t="shared" si="36"/>
        <v>0</v>
      </c>
      <c r="I34" s="31">
        <f t="shared" si="36"/>
        <v>0</v>
      </c>
      <c r="J34" s="31">
        <f t="shared" si="36"/>
        <v>0</v>
      </c>
      <c r="K34" s="31">
        <f t="shared" si="36"/>
        <v>0</v>
      </c>
      <c r="L34" s="31">
        <f t="shared" si="36"/>
        <v>0</v>
      </c>
      <c r="M34" s="31">
        <f t="shared" si="36"/>
        <v>0</v>
      </c>
    </row>
    <row r="35" spans="1:13" s="11" customFormat="1" ht="11.4" x14ac:dyDescent="0.25">
      <c r="A35" s="29" t="s">
        <v>60</v>
      </c>
      <c r="B35" s="29" t="s">
        <v>8</v>
      </c>
      <c r="C35" s="31">
        <f>IF(C32=0,0,IF($C$29*1/$C$28&gt;C34,$C$29*1/$C$28,C34))</f>
        <v>0.4</v>
      </c>
      <c r="D35" s="31">
        <f>IF(D32=0,0,IF($C$29*1/$C$28&gt;D34,$C$29*1/$C$28,D34))</f>
        <v>0.4</v>
      </c>
      <c r="E35" s="31">
        <f t="shared" ref="E35:M35" si="37">IF(E32=0,0,IF($C$29*1/$C$28&gt;E34,$C$29*1/$C$28,E34))</f>
        <v>0.4</v>
      </c>
      <c r="F35" s="31">
        <f t="shared" si="37"/>
        <v>0.5</v>
      </c>
      <c r="G35" s="31">
        <f t="shared" si="37"/>
        <v>1</v>
      </c>
      <c r="H35" s="31">
        <f t="shared" si="37"/>
        <v>0</v>
      </c>
      <c r="I35" s="31">
        <f t="shared" si="37"/>
        <v>0</v>
      </c>
      <c r="J35" s="31">
        <f t="shared" si="37"/>
        <v>0</v>
      </c>
      <c r="K35" s="31">
        <f t="shared" si="37"/>
        <v>0</v>
      </c>
      <c r="L35" s="31">
        <f t="shared" si="37"/>
        <v>0</v>
      </c>
      <c r="M35" s="31">
        <f t="shared" si="37"/>
        <v>0</v>
      </c>
    </row>
    <row r="36" spans="1:13" s="11" customFormat="1" ht="11.4" x14ac:dyDescent="0.25">
      <c r="A36" s="29" t="s">
        <v>41</v>
      </c>
      <c r="B36" s="29" t="s">
        <v>7</v>
      </c>
      <c r="C36" s="12">
        <f>C33*C35</f>
        <v>0</v>
      </c>
      <c r="D36" s="12">
        <f>D33*D35</f>
        <v>0</v>
      </c>
      <c r="E36" s="12">
        <f t="shared" ref="E36:M36" si="38">E33*E35</f>
        <v>0</v>
      </c>
      <c r="F36" s="12">
        <f t="shared" si="38"/>
        <v>0</v>
      </c>
      <c r="G36" s="12">
        <f t="shared" si="38"/>
        <v>0</v>
      </c>
      <c r="H36" s="12">
        <f t="shared" si="38"/>
        <v>0</v>
      </c>
      <c r="I36" s="12">
        <f t="shared" si="38"/>
        <v>0</v>
      </c>
      <c r="J36" s="12">
        <f t="shared" si="38"/>
        <v>0</v>
      </c>
      <c r="K36" s="12">
        <f t="shared" si="38"/>
        <v>0</v>
      </c>
      <c r="L36" s="12">
        <f t="shared" si="38"/>
        <v>0</v>
      </c>
      <c r="M36" s="12">
        <f t="shared" si="38"/>
        <v>0</v>
      </c>
    </row>
    <row r="37" spans="1:13" s="11" customFormat="1" ht="11.4" x14ac:dyDescent="0.25">
      <c r="A37" s="29" t="s">
        <v>42</v>
      </c>
      <c r="B37" s="29" t="s">
        <v>7</v>
      </c>
      <c r="C37" s="12">
        <f>C33-C36</f>
        <v>0</v>
      </c>
      <c r="D37" s="12">
        <f>D33-D36</f>
        <v>0</v>
      </c>
      <c r="E37" s="12">
        <f t="shared" ref="E37:M37" si="39">E33-E36</f>
        <v>0</v>
      </c>
      <c r="F37" s="12">
        <f t="shared" si="39"/>
        <v>0</v>
      </c>
      <c r="G37" s="12">
        <f t="shared" si="39"/>
        <v>0</v>
      </c>
      <c r="H37" s="12">
        <f t="shared" si="39"/>
        <v>0</v>
      </c>
      <c r="I37" s="12">
        <f t="shared" si="39"/>
        <v>0</v>
      </c>
      <c r="J37" s="12">
        <f t="shared" si="39"/>
        <v>0</v>
      </c>
      <c r="K37" s="12">
        <f t="shared" si="39"/>
        <v>0</v>
      </c>
      <c r="L37" s="12">
        <f t="shared" si="39"/>
        <v>0</v>
      </c>
      <c r="M37" s="12">
        <f t="shared" si="39"/>
        <v>0</v>
      </c>
    </row>
    <row r="38" spans="1:13" s="11" customFormat="1" ht="11.4" x14ac:dyDescent="0.25">
      <c r="A38" s="29"/>
      <c r="B38" s="29"/>
    </row>
    <row r="39" spans="1:13" s="11" customFormat="1" ht="12" x14ac:dyDescent="0.25">
      <c r="A39" s="6" t="s">
        <v>48</v>
      </c>
      <c r="B39" s="29"/>
    </row>
    <row r="40" spans="1:13" s="11" customFormat="1" ht="11.4" x14ac:dyDescent="0.25">
      <c r="A40" s="29" t="s">
        <v>40</v>
      </c>
      <c r="B40" s="29" t="s">
        <v>35</v>
      </c>
      <c r="D40" s="30">
        <f>IF($C$28&lt;D$3,$C$28,D$3)</f>
        <v>5</v>
      </c>
      <c r="E40" s="12">
        <f>IF(D40=0,0,IF(D40-1&lt;E$3,D40-1,E$3))</f>
        <v>4</v>
      </c>
      <c r="F40" s="12">
        <f t="shared" ref="F40:M40" si="40">IF(E40=0,0,IF(E40-1&lt;F$3,E40-1,F$3))</f>
        <v>3</v>
      </c>
      <c r="G40" s="12">
        <f t="shared" si="40"/>
        <v>2</v>
      </c>
      <c r="H40" s="12">
        <f t="shared" si="40"/>
        <v>1</v>
      </c>
      <c r="I40" s="12">
        <f t="shared" si="40"/>
        <v>0</v>
      </c>
      <c r="J40" s="12">
        <f t="shared" si="40"/>
        <v>0</v>
      </c>
      <c r="K40" s="12">
        <f t="shared" si="40"/>
        <v>0</v>
      </c>
      <c r="L40" s="12">
        <f t="shared" si="40"/>
        <v>0</v>
      </c>
      <c r="M40" s="12">
        <f t="shared" si="40"/>
        <v>0</v>
      </c>
    </row>
    <row r="41" spans="1:13" s="11" customFormat="1" ht="11.4" x14ac:dyDescent="0.25">
      <c r="A41" s="29" t="s">
        <v>39</v>
      </c>
      <c r="B41" s="29" t="s">
        <v>7</v>
      </c>
      <c r="D41" s="30">
        <f>Modèle!D$10</f>
        <v>50000000</v>
      </c>
      <c r="E41" s="12">
        <f>D45</f>
        <v>30000000</v>
      </c>
      <c r="F41" s="12">
        <f t="shared" ref="F41:M41" si="41">E45</f>
        <v>18000000</v>
      </c>
      <c r="G41" s="12">
        <f t="shared" si="41"/>
        <v>10800000</v>
      </c>
      <c r="H41" s="12">
        <f t="shared" si="41"/>
        <v>5400000</v>
      </c>
      <c r="I41" s="12">
        <f t="shared" si="41"/>
        <v>0</v>
      </c>
      <c r="J41" s="12">
        <f t="shared" si="41"/>
        <v>0</v>
      </c>
      <c r="K41" s="12">
        <f t="shared" si="41"/>
        <v>0</v>
      </c>
      <c r="L41" s="12">
        <f t="shared" si="41"/>
        <v>0</v>
      </c>
      <c r="M41" s="12">
        <f t="shared" si="41"/>
        <v>0</v>
      </c>
    </row>
    <row r="42" spans="1:13" s="11" customFormat="1" ht="11.4" x14ac:dyDescent="0.25">
      <c r="A42" s="29" t="s">
        <v>61</v>
      </c>
      <c r="B42" s="29" t="s">
        <v>8</v>
      </c>
      <c r="D42" s="31">
        <f>IF(D40=0,0,1/D40)</f>
        <v>0.2</v>
      </c>
      <c r="E42" s="31">
        <f>IF(E40=0,0,1/E40)</f>
        <v>0.25</v>
      </c>
      <c r="F42" s="31">
        <f t="shared" ref="F42:M42" si="42">IF(F40=0,0,1/F40)</f>
        <v>0.33333333333333331</v>
      </c>
      <c r="G42" s="31">
        <f t="shared" si="42"/>
        <v>0.5</v>
      </c>
      <c r="H42" s="31">
        <f t="shared" si="42"/>
        <v>1</v>
      </c>
      <c r="I42" s="31">
        <f t="shared" si="42"/>
        <v>0</v>
      </c>
      <c r="J42" s="31">
        <f t="shared" si="42"/>
        <v>0</v>
      </c>
      <c r="K42" s="31">
        <f t="shared" si="42"/>
        <v>0</v>
      </c>
      <c r="L42" s="31">
        <f t="shared" si="42"/>
        <v>0</v>
      </c>
      <c r="M42" s="31">
        <f t="shared" si="42"/>
        <v>0</v>
      </c>
    </row>
    <row r="43" spans="1:13" s="11" customFormat="1" ht="11.4" x14ac:dyDescent="0.25">
      <c r="A43" s="29" t="s">
        <v>60</v>
      </c>
      <c r="B43" s="29" t="s">
        <v>8</v>
      </c>
      <c r="D43" s="31">
        <f>IF(D40=0,0,IF($C$29*1/$C$28&gt;D42,$C$29*1/$C$28,D42))</f>
        <v>0.4</v>
      </c>
      <c r="E43" s="31">
        <f>IF(E40=0,0,IF($C$29*1/$C$28&gt;E42,$C$29*1/$C$28,E42))</f>
        <v>0.4</v>
      </c>
      <c r="F43" s="31">
        <f t="shared" ref="F43" si="43">IF(F40=0,0,IF($C$29*1/$C$28&gt;F42,$C$29*1/$C$28,F42))</f>
        <v>0.4</v>
      </c>
      <c r="G43" s="31">
        <f t="shared" ref="G43" si="44">IF(G40=0,0,IF($C$29*1/$C$28&gt;G42,$C$29*1/$C$28,G42))</f>
        <v>0.5</v>
      </c>
      <c r="H43" s="31">
        <f t="shared" ref="H43" si="45">IF(H40=0,0,IF($C$29*1/$C$28&gt;H42,$C$29*1/$C$28,H42))</f>
        <v>1</v>
      </c>
      <c r="I43" s="31">
        <f t="shared" ref="I43" si="46">IF(I40=0,0,IF($C$29*1/$C$28&gt;I42,$C$29*1/$C$28,I42))</f>
        <v>0</v>
      </c>
      <c r="J43" s="31">
        <f t="shared" ref="J43" si="47">IF(J40=0,0,IF($C$29*1/$C$28&gt;J42,$C$29*1/$C$28,J42))</f>
        <v>0</v>
      </c>
      <c r="K43" s="31">
        <f t="shared" ref="K43" si="48">IF(K40=0,0,IF($C$29*1/$C$28&gt;K42,$C$29*1/$C$28,K42))</f>
        <v>0</v>
      </c>
      <c r="L43" s="31">
        <f t="shared" ref="L43" si="49">IF(L40=0,0,IF($C$29*1/$C$28&gt;L42,$C$29*1/$C$28,L42))</f>
        <v>0</v>
      </c>
      <c r="M43" s="31">
        <f t="shared" ref="M43" si="50">IF(M40=0,0,IF($C$29*1/$C$28&gt;M42,$C$29*1/$C$28,M42))</f>
        <v>0</v>
      </c>
    </row>
    <row r="44" spans="1:13" s="11" customFormat="1" ht="11.4" x14ac:dyDescent="0.25">
      <c r="A44" s="29" t="s">
        <v>41</v>
      </c>
      <c r="B44" s="29" t="s">
        <v>7</v>
      </c>
      <c r="D44" s="12">
        <f>D41*D43</f>
        <v>20000000</v>
      </c>
      <c r="E44" s="12">
        <f>E41*E43</f>
        <v>12000000</v>
      </c>
      <c r="F44" s="12">
        <f t="shared" ref="F44" si="51">F41*F43</f>
        <v>7200000</v>
      </c>
      <c r="G44" s="12">
        <f t="shared" ref="G44" si="52">G41*G43</f>
        <v>5400000</v>
      </c>
      <c r="H44" s="12">
        <f t="shared" ref="H44" si="53">H41*H43</f>
        <v>5400000</v>
      </c>
      <c r="I44" s="12">
        <f t="shared" ref="I44" si="54">I41*I43</f>
        <v>0</v>
      </c>
      <c r="J44" s="12">
        <f t="shared" ref="J44" si="55">J41*J43</f>
        <v>0</v>
      </c>
      <c r="K44" s="12">
        <f t="shared" ref="K44" si="56">K41*K43</f>
        <v>0</v>
      </c>
      <c r="L44" s="12">
        <f t="shared" ref="L44" si="57">L41*L43</f>
        <v>0</v>
      </c>
      <c r="M44" s="12">
        <f t="shared" ref="M44" si="58">M41*M43</f>
        <v>0</v>
      </c>
    </row>
    <row r="45" spans="1:13" s="11" customFormat="1" ht="11.4" x14ac:dyDescent="0.25">
      <c r="A45" s="29" t="s">
        <v>42</v>
      </c>
      <c r="B45" s="29" t="s">
        <v>7</v>
      </c>
      <c r="D45" s="12">
        <f>D41-D44</f>
        <v>30000000</v>
      </c>
      <c r="E45" s="12">
        <f>E41-E44</f>
        <v>18000000</v>
      </c>
      <c r="F45" s="12">
        <f t="shared" ref="F45" si="59">F41-F44</f>
        <v>10800000</v>
      </c>
      <c r="G45" s="12">
        <f t="shared" ref="G45" si="60">G41-G44</f>
        <v>5400000</v>
      </c>
      <c r="H45" s="12">
        <f t="shared" ref="H45" si="61">H41-H44</f>
        <v>0</v>
      </c>
      <c r="I45" s="12">
        <f t="shared" ref="I45" si="62">I41-I44</f>
        <v>0</v>
      </c>
      <c r="J45" s="12">
        <f t="shared" ref="J45" si="63">J41-J44</f>
        <v>0</v>
      </c>
      <c r="K45" s="12">
        <f t="shared" ref="K45" si="64">K41-K44</f>
        <v>0</v>
      </c>
      <c r="L45" s="12">
        <f t="shared" ref="L45" si="65">L41-L44</f>
        <v>0</v>
      </c>
      <c r="M45" s="12">
        <f t="shared" ref="M45" si="66">M41-M44</f>
        <v>0</v>
      </c>
    </row>
    <row r="46" spans="1:13" s="11" customFormat="1" ht="11.4" x14ac:dyDescent="0.25">
      <c r="A46" s="29"/>
      <c r="B46" s="29"/>
    </row>
    <row r="47" spans="1:13" s="11" customFormat="1" ht="12" x14ac:dyDescent="0.25">
      <c r="A47" s="6" t="s">
        <v>49</v>
      </c>
      <c r="B47" s="29"/>
    </row>
    <row r="48" spans="1:13" s="11" customFormat="1" ht="11.4" x14ac:dyDescent="0.25">
      <c r="A48" s="29" t="s">
        <v>40</v>
      </c>
      <c r="B48" s="29" t="s">
        <v>35</v>
      </c>
      <c r="E48" s="30">
        <f>IF($C$28&lt;E$3,$C$28,E$3)</f>
        <v>5</v>
      </c>
      <c r="F48" s="12">
        <f>IF(E48=0,0,IF(E48-1&lt;F$3,E48-1,F$3))</f>
        <v>4</v>
      </c>
      <c r="G48" s="12">
        <f t="shared" ref="G48:M48" si="67">IF(F48=0,0,IF(F48-1&lt;G$3,F48-1,G$3))</f>
        <v>3</v>
      </c>
      <c r="H48" s="12">
        <f t="shared" si="67"/>
        <v>2</v>
      </c>
      <c r="I48" s="12">
        <f t="shared" si="67"/>
        <v>1</v>
      </c>
      <c r="J48" s="12">
        <f t="shared" si="67"/>
        <v>0</v>
      </c>
      <c r="K48" s="12">
        <f t="shared" si="67"/>
        <v>0</v>
      </c>
      <c r="L48" s="12">
        <f t="shared" si="67"/>
        <v>0</v>
      </c>
      <c r="M48" s="12">
        <f t="shared" si="67"/>
        <v>0</v>
      </c>
    </row>
    <row r="49" spans="1:13" s="11" customFormat="1" ht="11.4" x14ac:dyDescent="0.25">
      <c r="A49" s="29" t="s">
        <v>39</v>
      </c>
      <c r="B49" s="29" t="s">
        <v>7</v>
      </c>
      <c r="E49" s="30">
        <f>Modèle!E$10</f>
        <v>5000000</v>
      </c>
      <c r="F49" s="12">
        <f>E53</f>
        <v>3000000</v>
      </c>
      <c r="G49" s="12">
        <f t="shared" ref="G49:M49" si="68">F53</f>
        <v>1800000</v>
      </c>
      <c r="H49" s="12">
        <f t="shared" si="68"/>
        <v>1080000</v>
      </c>
      <c r="I49" s="12">
        <f t="shared" si="68"/>
        <v>540000</v>
      </c>
      <c r="J49" s="12">
        <f t="shared" si="68"/>
        <v>0</v>
      </c>
      <c r="K49" s="12">
        <f t="shared" si="68"/>
        <v>0</v>
      </c>
      <c r="L49" s="12">
        <f t="shared" si="68"/>
        <v>0</v>
      </c>
      <c r="M49" s="12">
        <f t="shared" si="68"/>
        <v>0</v>
      </c>
    </row>
    <row r="50" spans="1:13" s="11" customFormat="1" ht="11.4" x14ac:dyDescent="0.25">
      <c r="A50" s="29" t="s">
        <v>61</v>
      </c>
      <c r="B50" s="29" t="s">
        <v>8</v>
      </c>
      <c r="E50" s="31">
        <f>IF(E48=0,0,1/E48)</f>
        <v>0.2</v>
      </c>
      <c r="F50" s="31">
        <f>IF(F48=0,0,1/F48)</f>
        <v>0.25</v>
      </c>
      <c r="G50" s="31">
        <f t="shared" ref="G50:M50" si="69">IF(G48=0,0,1/G48)</f>
        <v>0.33333333333333331</v>
      </c>
      <c r="H50" s="31">
        <f t="shared" si="69"/>
        <v>0.5</v>
      </c>
      <c r="I50" s="31">
        <f t="shared" si="69"/>
        <v>1</v>
      </c>
      <c r="J50" s="31">
        <f t="shared" si="69"/>
        <v>0</v>
      </c>
      <c r="K50" s="31">
        <f t="shared" si="69"/>
        <v>0</v>
      </c>
      <c r="L50" s="31">
        <f t="shared" si="69"/>
        <v>0</v>
      </c>
      <c r="M50" s="31">
        <f t="shared" si="69"/>
        <v>0</v>
      </c>
    </row>
    <row r="51" spans="1:13" s="11" customFormat="1" ht="11.4" x14ac:dyDescent="0.25">
      <c r="A51" s="29" t="s">
        <v>60</v>
      </c>
      <c r="B51" s="29" t="s">
        <v>8</v>
      </c>
      <c r="E51" s="31">
        <f>IF(E48=0,0,IF($C$29*1/$C$28&gt;E50,$C$29*1/$C$28,E50))</f>
        <v>0.4</v>
      </c>
      <c r="F51" s="31">
        <f>IF(F48=0,0,IF($C$29*1/$C$28&gt;F50,$C$29*1/$C$28,F50))</f>
        <v>0.4</v>
      </c>
      <c r="G51" s="31">
        <f t="shared" ref="G51" si="70">IF(G48=0,0,IF($C$29*1/$C$28&gt;G50,$C$29*1/$C$28,G50))</f>
        <v>0.4</v>
      </c>
      <c r="H51" s="31">
        <f t="shared" ref="H51" si="71">IF(H48=0,0,IF($C$29*1/$C$28&gt;H50,$C$29*1/$C$28,H50))</f>
        <v>0.5</v>
      </c>
      <c r="I51" s="31">
        <f t="shared" ref="I51" si="72">IF(I48=0,0,IF($C$29*1/$C$28&gt;I50,$C$29*1/$C$28,I50))</f>
        <v>1</v>
      </c>
      <c r="J51" s="31">
        <f t="shared" ref="J51" si="73">IF(J48=0,0,IF($C$29*1/$C$28&gt;J50,$C$29*1/$C$28,J50))</f>
        <v>0</v>
      </c>
      <c r="K51" s="31">
        <f t="shared" ref="K51" si="74">IF(K48=0,0,IF($C$29*1/$C$28&gt;K50,$C$29*1/$C$28,K50))</f>
        <v>0</v>
      </c>
      <c r="L51" s="31">
        <f t="shared" ref="L51" si="75">IF(L48=0,0,IF($C$29*1/$C$28&gt;L50,$C$29*1/$C$28,L50))</f>
        <v>0</v>
      </c>
      <c r="M51" s="31">
        <f t="shared" ref="M51" si="76">IF(M48=0,0,IF($C$29*1/$C$28&gt;M50,$C$29*1/$C$28,M50))</f>
        <v>0</v>
      </c>
    </row>
    <row r="52" spans="1:13" s="11" customFormat="1" ht="11.4" x14ac:dyDescent="0.25">
      <c r="A52" s="29" t="s">
        <v>41</v>
      </c>
      <c r="B52" s="29" t="s">
        <v>7</v>
      </c>
      <c r="E52" s="12">
        <f>E49*E51</f>
        <v>2000000</v>
      </c>
      <c r="F52" s="12">
        <f>F49*F51</f>
        <v>1200000</v>
      </c>
      <c r="G52" s="12">
        <f t="shared" ref="G52" si="77">G49*G51</f>
        <v>720000</v>
      </c>
      <c r="H52" s="12">
        <f t="shared" ref="H52" si="78">H49*H51</f>
        <v>540000</v>
      </c>
      <c r="I52" s="12">
        <f t="shared" ref="I52" si="79">I49*I51</f>
        <v>540000</v>
      </c>
      <c r="J52" s="12">
        <f t="shared" ref="J52" si="80">J49*J51</f>
        <v>0</v>
      </c>
      <c r="K52" s="12">
        <f t="shared" ref="K52" si="81">K49*K51</f>
        <v>0</v>
      </c>
      <c r="L52" s="12">
        <f t="shared" ref="L52" si="82">L49*L51</f>
        <v>0</v>
      </c>
      <c r="M52" s="12">
        <f t="shared" ref="M52" si="83">M49*M51</f>
        <v>0</v>
      </c>
    </row>
    <row r="53" spans="1:13" s="11" customFormat="1" ht="11.4" x14ac:dyDescent="0.25">
      <c r="A53" s="29" t="s">
        <v>42</v>
      </c>
      <c r="B53" s="29" t="s">
        <v>7</v>
      </c>
      <c r="E53" s="12">
        <f>E49-E52</f>
        <v>3000000</v>
      </c>
      <c r="F53" s="12">
        <f>F49-F52</f>
        <v>1800000</v>
      </c>
      <c r="G53" s="12">
        <f t="shared" ref="G53" si="84">G49-G52</f>
        <v>1080000</v>
      </c>
      <c r="H53" s="12">
        <f t="shared" ref="H53" si="85">H49-H52</f>
        <v>540000</v>
      </c>
      <c r="I53" s="12">
        <f t="shared" ref="I53" si="86">I49-I52</f>
        <v>0</v>
      </c>
      <c r="J53" s="12">
        <f t="shared" ref="J53" si="87">J49-J52</f>
        <v>0</v>
      </c>
      <c r="K53" s="12">
        <f t="shared" ref="K53" si="88">K49-K52</f>
        <v>0</v>
      </c>
      <c r="L53" s="12">
        <f t="shared" ref="L53" si="89">L49-L52</f>
        <v>0</v>
      </c>
      <c r="M53" s="12">
        <f t="shared" ref="M53" si="90">M49-M52</f>
        <v>0</v>
      </c>
    </row>
    <row r="54" spans="1:13" s="11" customFormat="1" ht="11.4" x14ac:dyDescent="0.25">
      <c r="A54" s="29"/>
      <c r="B54" s="29"/>
    </row>
    <row r="55" spans="1:13" s="11" customFormat="1" ht="12" x14ac:dyDescent="0.25">
      <c r="A55" s="6" t="s">
        <v>50</v>
      </c>
      <c r="B55" s="29"/>
    </row>
    <row r="56" spans="1:13" s="11" customFormat="1" ht="11.4" x14ac:dyDescent="0.25">
      <c r="A56" s="29" t="s">
        <v>40</v>
      </c>
      <c r="B56" s="29" t="s">
        <v>35</v>
      </c>
      <c r="F56" s="30">
        <f>IF($C$28&lt;F$3,$C$28,F$3)</f>
        <v>5</v>
      </c>
      <c r="G56" s="12">
        <f>IF(F56=0,0,IF(F56-1&lt;G$3,F56-1,G$3))</f>
        <v>4</v>
      </c>
      <c r="H56" s="12">
        <f t="shared" ref="H56:M56" si="91">IF(G56=0,0,IF(G56-1&lt;H$3,G56-1,H$3))</f>
        <v>3</v>
      </c>
      <c r="I56" s="12">
        <f t="shared" si="91"/>
        <v>2</v>
      </c>
      <c r="J56" s="12">
        <f t="shared" si="91"/>
        <v>1</v>
      </c>
      <c r="K56" s="12">
        <f t="shared" si="91"/>
        <v>0</v>
      </c>
      <c r="L56" s="12">
        <f t="shared" si="91"/>
        <v>0</v>
      </c>
      <c r="M56" s="12">
        <f t="shared" si="91"/>
        <v>0</v>
      </c>
    </row>
    <row r="57" spans="1:13" s="11" customFormat="1" ht="11.4" x14ac:dyDescent="0.25">
      <c r="A57" s="29" t="s">
        <v>39</v>
      </c>
      <c r="B57" s="29" t="s">
        <v>7</v>
      </c>
      <c r="F57" s="30">
        <f>Modèle!F$10</f>
        <v>5000000</v>
      </c>
      <c r="G57" s="12">
        <f>F61</f>
        <v>3000000</v>
      </c>
      <c r="H57" s="12">
        <f t="shared" ref="H57:M57" si="92">G61</f>
        <v>1800000</v>
      </c>
      <c r="I57" s="12">
        <f t="shared" si="92"/>
        <v>1080000</v>
      </c>
      <c r="J57" s="12">
        <f t="shared" si="92"/>
        <v>540000</v>
      </c>
      <c r="K57" s="12">
        <f t="shared" si="92"/>
        <v>0</v>
      </c>
      <c r="L57" s="12">
        <f t="shared" si="92"/>
        <v>0</v>
      </c>
      <c r="M57" s="12">
        <f t="shared" si="92"/>
        <v>0</v>
      </c>
    </row>
    <row r="58" spans="1:13" s="11" customFormat="1" ht="11.4" x14ac:dyDescent="0.25">
      <c r="A58" s="29" t="s">
        <v>61</v>
      </c>
      <c r="B58" s="29" t="s">
        <v>8</v>
      </c>
      <c r="F58" s="31">
        <f>IF(F56=0,0,1/F56)</f>
        <v>0.2</v>
      </c>
      <c r="G58" s="31">
        <f>IF(G56=0,0,1/G56)</f>
        <v>0.25</v>
      </c>
      <c r="H58" s="31">
        <f t="shared" ref="H58:M58" si="93">IF(H56=0,0,1/H56)</f>
        <v>0.33333333333333331</v>
      </c>
      <c r="I58" s="31">
        <f t="shared" si="93"/>
        <v>0.5</v>
      </c>
      <c r="J58" s="31">
        <f t="shared" si="93"/>
        <v>1</v>
      </c>
      <c r="K58" s="31">
        <f t="shared" si="93"/>
        <v>0</v>
      </c>
      <c r="L58" s="31">
        <f t="shared" si="93"/>
        <v>0</v>
      </c>
      <c r="M58" s="31">
        <f t="shared" si="93"/>
        <v>0</v>
      </c>
    </row>
    <row r="59" spans="1:13" s="11" customFormat="1" ht="11.4" x14ac:dyDescent="0.25">
      <c r="A59" s="29" t="s">
        <v>60</v>
      </c>
      <c r="B59" s="29" t="s">
        <v>8</v>
      </c>
      <c r="F59" s="31">
        <f>IF(F56=0,0,IF($C$29*1/$C$28&gt;F58,$C$29*1/$C$28,F58))</f>
        <v>0.4</v>
      </c>
      <c r="G59" s="31">
        <f>IF(G56=0,0,IF($C$29*1/$C$28&gt;G58,$C$29*1/$C$28,G58))</f>
        <v>0.4</v>
      </c>
      <c r="H59" s="31">
        <f t="shared" ref="H59" si="94">IF(H56=0,0,IF($C$29*1/$C$28&gt;H58,$C$29*1/$C$28,H58))</f>
        <v>0.4</v>
      </c>
      <c r="I59" s="31">
        <f t="shared" ref="I59" si="95">IF(I56=0,0,IF($C$29*1/$C$28&gt;I58,$C$29*1/$C$28,I58))</f>
        <v>0.5</v>
      </c>
      <c r="J59" s="31">
        <f t="shared" ref="J59" si="96">IF(J56=0,0,IF($C$29*1/$C$28&gt;J58,$C$29*1/$C$28,J58))</f>
        <v>1</v>
      </c>
      <c r="K59" s="31">
        <f t="shared" ref="K59" si="97">IF(K56=0,0,IF($C$29*1/$C$28&gt;K58,$C$29*1/$C$28,K58))</f>
        <v>0</v>
      </c>
      <c r="L59" s="31">
        <f t="shared" ref="L59" si="98">IF(L56=0,0,IF($C$29*1/$C$28&gt;L58,$C$29*1/$C$28,L58))</f>
        <v>0</v>
      </c>
      <c r="M59" s="31">
        <f t="shared" ref="M59" si="99">IF(M56=0,0,IF($C$29*1/$C$28&gt;M58,$C$29*1/$C$28,M58))</f>
        <v>0</v>
      </c>
    </row>
    <row r="60" spans="1:13" s="11" customFormat="1" ht="11.4" x14ac:dyDescent="0.25">
      <c r="A60" s="29" t="s">
        <v>41</v>
      </c>
      <c r="B60" s="29" t="s">
        <v>7</v>
      </c>
      <c r="F60" s="12">
        <f>F57*F59</f>
        <v>2000000</v>
      </c>
      <c r="G60" s="12">
        <f>G57*G59</f>
        <v>1200000</v>
      </c>
      <c r="H60" s="12">
        <f t="shared" ref="H60" si="100">H57*H59</f>
        <v>720000</v>
      </c>
      <c r="I60" s="12">
        <f t="shared" ref="I60" si="101">I57*I59</f>
        <v>540000</v>
      </c>
      <c r="J60" s="12">
        <f t="shared" ref="J60" si="102">J57*J59</f>
        <v>540000</v>
      </c>
      <c r="K60" s="12">
        <f t="shared" ref="K60" si="103">K57*K59</f>
        <v>0</v>
      </c>
      <c r="L60" s="12">
        <f t="shared" ref="L60" si="104">L57*L59</f>
        <v>0</v>
      </c>
      <c r="M60" s="12">
        <f t="shared" ref="M60" si="105">M57*M59</f>
        <v>0</v>
      </c>
    </row>
    <row r="61" spans="1:13" s="11" customFormat="1" ht="11.4" x14ac:dyDescent="0.25">
      <c r="A61" s="29" t="s">
        <v>42</v>
      </c>
      <c r="B61" s="29" t="s">
        <v>7</v>
      </c>
      <c r="F61" s="12">
        <f>F57-F60</f>
        <v>3000000</v>
      </c>
      <c r="G61" s="12">
        <f>G57-G60</f>
        <v>1800000</v>
      </c>
      <c r="H61" s="12">
        <f t="shared" ref="H61" si="106">H57-H60</f>
        <v>1080000</v>
      </c>
      <c r="I61" s="12">
        <f t="shared" ref="I61" si="107">I57-I60</f>
        <v>540000</v>
      </c>
      <c r="J61" s="12">
        <f t="shared" ref="J61" si="108">J57-J60</f>
        <v>0</v>
      </c>
      <c r="K61" s="12">
        <f t="shared" ref="K61" si="109">K57-K60</f>
        <v>0</v>
      </c>
      <c r="L61" s="12">
        <f t="shared" ref="L61" si="110">L57-L60</f>
        <v>0</v>
      </c>
      <c r="M61" s="12">
        <f t="shared" ref="M61" si="111">M57-M60</f>
        <v>0</v>
      </c>
    </row>
    <row r="62" spans="1:13" s="11" customFormat="1" ht="11.4" x14ac:dyDescent="0.25">
      <c r="A62" s="29"/>
      <c r="B62" s="29"/>
    </row>
    <row r="63" spans="1:13" s="11" customFormat="1" ht="12" x14ac:dyDescent="0.25">
      <c r="A63" s="6" t="s">
        <v>51</v>
      </c>
      <c r="B63" s="29"/>
    </row>
    <row r="64" spans="1:13" s="11" customFormat="1" ht="11.4" x14ac:dyDescent="0.25">
      <c r="A64" s="29" t="s">
        <v>40</v>
      </c>
      <c r="B64" s="29" t="s">
        <v>35</v>
      </c>
      <c r="G64" s="30">
        <f>IF($C$28&lt;G$3,$C$28,G$3)</f>
        <v>5</v>
      </c>
      <c r="H64" s="12">
        <f>IF(G64=0,0,IF(G64-1&lt;H$3,G64-1,H$3))</f>
        <v>4</v>
      </c>
      <c r="I64" s="12">
        <f t="shared" ref="I64:M64" si="112">IF(H64=0,0,IF(H64-1&lt;I$3,H64-1,I$3))</f>
        <v>3</v>
      </c>
      <c r="J64" s="12">
        <f t="shared" si="112"/>
        <v>2</v>
      </c>
      <c r="K64" s="12">
        <f t="shared" si="112"/>
        <v>1</v>
      </c>
      <c r="L64" s="12">
        <f t="shared" si="112"/>
        <v>0</v>
      </c>
      <c r="M64" s="12">
        <f t="shared" si="112"/>
        <v>0</v>
      </c>
    </row>
    <row r="65" spans="1:13" s="11" customFormat="1" ht="11.4" x14ac:dyDescent="0.25">
      <c r="A65" s="29" t="s">
        <v>39</v>
      </c>
      <c r="B65" s="29" t="s">
        <v>7</v>
      </c>
      <c r="G65" s="30">
        <f>Modèle!G$10</f>
        <v>5000000</v>
      </c>
      <c r="H65" s="12">
        <f>G69</f>
        <v>3000000</v>
      </c>
      <c r="I65" s="12">
        <f t="shared" ref="I65:M65" si="113">H69</f>
        <v>1800000</v>
      </c>
      <c r="J65" s="12">
        <f t="shared" si="113"/>
        <v>1080000</v>
      </c>
      <c r="K65" s="12">
        <f t="shared" si="113"/>
        <v>540000</v>
      </c>
      <c r="L65" s="12">
        <f t="shared" si="113"/>
        <v>0</v>
      </c>
      <c r="M65" s="12">
        <f t="shared" si="113"/>
        <v>0</v>
      </c>
    </row>
    <row r="66" spans="1:13" s="11" customFormat="1" ht="11.4" x14ac:dyDescent="0.25">
      <c r="A66" s="29" t="s">
        <v>61</v>
      </c>
      <c r="B66" s="29" t="s">
        <v>8</v>
      </c>
      <c r="G66" s="31">
        <f>IF(G64=0,0,1/G64)</f>
        <v>0.2</v>
      </c>
      <c r="H66" s="31">
        <f>IF(H64=0,0,1/H64)</f>
        <v>0.25</v>
      </c>
      <c r="I66" s="31">
        <f t="shared" ref="I66:M66" si="114">IF(I64=0,0,1/I64)</f>
        <v>0.33333333333333331</v>
      </c>
      <c r="J66" s="31">
        <f t="shared" si="114"/>
        <v>0.5</v>
      </c>
      <c r="K66" s="31">
        <f t="shared" si="114"/>
        <v>1</v>
      </c>
      <c r="L66" s="31">
        <f t="shared" si="114"/>
        <v>0</v>
      </c>
      <c r="M66" s="31">
        <f t="shared" si="114"/>
        <v>0</v>
      </c>
    </row>
    <row r="67" spans="1:13" s="11" customFormat="1" ht="11.4" x14ac:dyDescent="0.25">
      <c r="A67" s="29" t="s">
        <v>60</v>
      </c>
      <c r="B67" s="29" t="s">
        <v>8</v>
      </c>
      <c r="G67" s="31">
        <f>IF(G64=0,0,IF($C$29*1/$C$28&gt;G66,$C$29*1/$C$28,G66))</f>
        <v>0.4</v>
      </c>
      <c r="H67" s="31">
        <f>IF(H64=0,0,IF($C$29*1/$C$28&gt;H66,$C$29*1/$C$28,H66))</f>
        <v>0.4</v>
      </c>
      <c r="I67" s="31">
        <f t="shared" ref="I67" si="115">IF(I64=0,0,IF($C$29*1/$C$28&gt;I66,$C$29*1/$C$28,I66))</f>
        <v>0.4</v>
      </c>
      <c r="J67" s="31">
        <f t="shared" ref="J67" si="116">IF(J64=0,0,IF($C$29*1/$C$28&gt;J66,$C$29*1/$C$28,J66))</f>
        <v>0.5</v>
      </c>
      <c r="K67" s="31">
        <f t="shared" ref="K67" si="117">IF(K64=0,0,IF($C$29*1/$C$28&gt;K66,$C$29*1/$C$28,K66))</f>
        <v>1</v>
      </c>
      <c r="L67" s="31">
        <f t="shared" ref="L67" si="118">IF(L64=0,0,IF($C$29*1/$C$28&gt;L66,$C$29*1/$C$28,L66))</f>
        <v>0</v>
      </c>
      <c r="M67" s="31">
        <f t="shared" ref="M67" si="119">IF(M64=0,0,IF($C$29*1/$C$28&gt;M66,$C$29*1/$C$28,M66))</f>
        <v>0</v>
      </c>
    </row>
    <row r="68" spans="1:13" s="11" customFormat="1" ht="11.4" x14ac:dyDescent="0.25">
      <c r="A68" s="29" t="s">
        <v>41</v>
      </c>
      <c r="B68" s="29" t="s">
        <v>7</v>
      </c>
      <c r="G68" s="12">
        <f>G65*G67</f>
        <v>2000000</v>
      </c>
      <c r="H68" s="12">
        <f>H65*H67</f>
        <v>1200000</v>
      </c>
      <c r="I68" s="12">
        <f t="shared" ref="I68" si="120">I65*I67</f>
        <v>720000</v>
      </c>
      <c r="J68" s="12">
        <f t="shared" ref="J68" si="121">J65*J67</f>
        <v>540000</v>
      </c>
      <c r="K68" s="12">
        <f t="shared" ref="K68" si="122">K65*K67</f>
        <v>540000</v>
      </c>
      <c r="L68" s="12">
        <f t="shared" ref="L68" si="123">L65*L67</f>
        <v>0</v>
      </c>
      <c r="M68" s="12">
        <f t="shared" ref="M68" si="124">M65*M67</f>
        <v>0</v>
      </c>
    </row>
    <row r="69" spans="1:13" s="11" customFormat="1" ht="11.4" x14ac:dyDescent="0.25">
      <c r="A69" s="29" t="s">
        <v>42</v>
      </c>
      <c r="B69" s="29" t="s">
        <v>7</v>
      </c>
      <c r="G69" s="12">
        <f>G65-G68</f>
        <v>3000000</v>
      </c>
      <c r="H69" s="12">
        <f>H65-H68</f>
        <v>1800000</v>
      </c>
      <c r="I69" s="12">
        <f t="shared" ref="I69" si="125">I65-I68</f>
        <v>1080000</v>
      </c>
      <c r="J69" s="12">
        <f t="shared" ref="J69" si="126">J65-J68</f>
        <v>540000</v>
      </c>
      <c r="K69" s="12">
        <f t="shared" ref="K69" si="127">K65-K68</f>
        <v>0</v>
      </c>
      <c r="L69" s="12">
        <f t="shared" ref="L69" si="128">L65-L68</f>
        <v>0</v>
      </c>
      <c r="M69" s="12">
        <f t="shared" ref="M69" si="129">M65-M68</f>
        <v>0</v>
      </c>
    </row>
    <row r="70" spans="1:13" s="11" customFormat="1" ht="11.4" x14ac:dyDescent="0.25">
      <c r="A70" s="29"/>
      <c r="B70" s="29"/>
    </row>
    <row r="71" spans="1:13" s="11" customFormat="1" ht="12" x14ac:dyDescent="0.25">
      <c r="A71" s="6" t="s">
        <v>52</v>
      </c>
      <c r="B71" s="29"/>
    </row>
    <row r="72" spans="1:13" s="11" customFormat="1" ht="11.4" x14ac:dyDescent="0.25">
      <c r="A72" s="29" t="s">
        <v>40</v>
      </c>
      <c r="B72" s="29" t="s">
        <v>35</v>
      </c>
      <c r="H72" s="30">
        <f>IF($C$28&lt;H$3,$C$28,H$3)</f>
        <v>5</v>
      </c>
      <c r="I72" s="12">
        <f>IF(H72=0,0,IF(H72-1&lt;I$3,H72-1,I$3))</f>
        <v>4</v>
      </c>
      <c r="J72" s="12">
        <f t="shared" ref="J72:M72" si="130">IF(I72=0,0,IF(I72-1&lt;J$3,I72-1,J$3))</f>
        <v>3</v>
      </c>
      <c r="K72" s="12">
        <f t="shared" si="130"/>
        <v>2</v>
      </c>
      <c r="L72" s="12">
        <f t="shared" si="130"/>
        <v>1</v>
      </c>
      <c r="M72" s="12">
        <f t="shared" si="130"/>
        <v>0</v>
      </c>
    </row>
    <row r="73" spans="1:13" s="11" customFormat="1" ht="11.4" x14ac:dyDescent="0.25">
      <c r="A73" s="29" t="s">
        <v>39</v>
      </c>
      <c r="B73" s="29" t="s">
        <v>7</v>
      </c>
      <c r="H73" s="30">
        <f>Modèle!H$10</f>
        <v>5000000</v>
      </c>
      <c r="I73" s="12">
        <f>H77</f>
        <v>3000000</v>
      </c>
      <c r="J73" s="12">
        <f t="shared" ref="J73:M73" si="131">I77</f>
        <v>1800000</v>
      </c>
      <c r="K73" s="12">
        <f t="shared" si="131"/>
        <v>1080000</v>
      </c>
      <c r="L73" s="12">
        <f t="shared" si="131"/>
        <v>540000</v>
      </c>
      <c r="M73" s="12">
        <f t="shared" si="131"/>
        <v>0</v>
      </c>
    </row>
    <row r="74" spans="1:13" s="11" customFormat="1" ht="11.4" x14ac:dyDescent="0.25">
      <c r="A74" s="29" t="s">
        <v>61</v>
      </c>
      <c r="B74" s="29" t="s">
        <v>8</v>
      </c>
      <c r="H74" s="31">
        <f>IF(H72=0,0,1/H72)</f>
        <v>0.2</v>
      </c>
      <c r="I74" s="31">
        <f>IF(I72=0,0,1/I72)</f>
        <v>0.25</v>
      </c>
      <c r="J74" s="31">
        <f t="shared" ref="J74:M74" si="132">IF(J72=0,0,1/J72)</f>
        <v>0.33333333333333331</v>
      </c>
      <c r="K74" s="31">
        <f t="shared" si="132"/>
        <v>0.5</v>
      </c>
      <c r="L74" s="31">
        <f t="shared" si="132"/>
        <v>1</v>
      </c>
      <c r="M74" s="31">
        <f t="shared" si="132"/>
        <v>0</v>
      </c>
    </row>
    <row r="75" spans="1:13" s="11" customFormat="1" ht="11.4" x14ac:dyDescent="0.25">
      <c r="A75" s="29" t="s">
        <v>60</v>
      </c>
      <c r="B75" s="29" t="s">
        <v>8</v>
      </c>
      <c r="H75" s="31">
        <f>IF(H72=0,0,IF($C$29*1/$C$28&gt;H74,$C$29*1/$C$28,H74))</f>
        <v>0.4</v>
      </c>
      <c r="I75" s="31">
        <f>IF(I72=0,0,IF($C$29*1/$C$28&gt;I74,$C$29*1/$C$28,I74))</f>
        <v>0.4</v>
      </c>
      <c r="J75" s="31">
        <f t="shared" ref="J75" si="133">IF(J72=0,0,IF($C$29*1/$C$28&gt;J74,$C$29*1/$C$28,J74))</f>
        <v>0.4</v>
      </c>
      <c r="K75" s="31">
        <f t="shared" ref="K75" si="134">IF(K72=0,0,IF($C$29*1/$C$28&gt;K74,$C$29*1/$C$28,K74))</f>
        <v>0.5</v>
      </c>
      <c r="L75" s="31">
        <f t="shared" ref="L75" si="135">IF(L72=0,0,IF($C$29*1/$C$28&gt;L74,$C$29*1/$C$28,L74))</f>
        <v>1</v>
      </c>
      <c r="M75" s="31">
        <f t="shared" ref="M75" si="136">IF(M72=0,0,IF($C$29*1/$C$28&gt;M74,$C$29*1/$C$28,M74))</f>
        <v>0</v>
      </c>
    </row>
    <row r="76" spans="1:13" s="11" customFormat="1" ht="11.4" x14ac:dyDescent="0.25">
      <c r="A76" s="29" t="s">
        <v>41</v>
      </c>
      <c r="B76" s="29" t="s">
        <v>7</v>
      </c>
      <c r="H76" s="12">
        <f>H73*H75</f>
        <v>2000000</v>
      </c>
      <c r="I76" s="12">
        <f>I73*I75</f>
        <v>1200000</v>
      </c>
      <c r="J76" s="12">
        <f t="shared" ref="J76" si="137">J73*J75</f>
        <v>720000</v>
      </c>
      <c r="K76" s="12">
        <f t="shared" ref="K76" si="138">K73*K75</f>
        <v>540000</v>
      </c>
      <c r="L76" s="12">
        <f t="shared" ref="L76" si="139">L73*L75</f>
        <v>540000</v>
      </c>
      <c r="M76" s="12">
        <f t="shared" ref="M76" si="140">M73*M75</f>
        <v>0</v>
      </c>
    </row>
    <row r="77" spans="1:13" s="11" customFormat="1" ht="11.4" x14ac:dyDescent="0.25">
      <c r="A77" s="29" t="s">
        <v>42</v>
      </c>
      <c r="B77" s="29" t="s">
        <v>7</v>
      </c>
      <c r="H77" s="12">
        <f>H73-H76</f>
        <v>3000000</v>
      </c>
      <c r="I77" s="12">
        <f>I73-I76</f>
        <v>1800000</v>
      </c>
      <c r="J77" s="12">
        <f t="shared" ref="J77" si="141">J73-J76</f>
        <v>1080000</v>
      </c>
      <c r="K77" s="12">
        <f t="shared" ref="K77" si="142">K73-K76</f>
        <v>540000</v>
      </c>
      <c r="L77" s="12">
        <f t="shared" ref="L77" si="143">L73-L76</f>
        <v>0</v>
      </c>
      <c r="M77" s="12">
        <f t="shared" ref="M77" si="144">M73-M76</f>
        <v>0</v>
      </c>
    </row>
    <row r="78" spans="1:13" s="11" customFormat="1" ht="11.4" x14ac:dyDescent="0.25">
      <c r="A78" s="29"/>
      <c r="B78" s="29"/>
    </row>
    <row r="79" spans="1:13" s="11" customFormat="1" ht="12" x14ac:dyDescent="0.25">
      <c r="A79" s="6" t="s">
        <v>53</v>
      </c>
      <c r="B79" s="29"/>
    </row>
    <row r="80" spans="1:13" s="11" customFormat="1" ht="11.4" x14ac:dyDescent="0.25">
      <c r="A80" s="29" t="s">
        <v>40</v>
      </c>
      <c r="B80" s="29" t="s">
        <v>35</v>
      </c>
      <c r="I80" s="30">
        <f>IF($C$28&lt;I$3,$C$28,I$3)</f>
        <v>5</v>
      </c>
      <c r="J80" s="12">
        <f>IF(I80=0,0,IF(I80-1&lt;J$3,I80-1,J$3))</f>
        <v>4</v>
      </c>
      <c r="K80" s="12">
        <f t="shared" ref="K80:M80" si="145">IF(J80=0,0,IF(J80-1&lt;K$3,J80-1,K$3))</f>
        <v>3</v>
      </c>
      <c r="L80" s="12">
        <f t="shared" si="145"/>
        <v>2</v>
      </c>
      <c r="M80" s="12">
        <f t="shared" si="145"/>
        <v>1</v>
      </c>
    </row>
    <row r="81" spans="1:13" s="11" customFormat="1" ht="11.4" x14ac:dyDescent="0.25">
      <c r="A81" s="29" t="s">
        <v>39</v>
      </c>
      <c r="B81" s="29" t="s">
        <v>7</v>
      </c>
      <c r="I81" s="30">
        <f>Modèle!I$10</f>
        <v>5000000</v>
      </c>
      <c r="J81" s="12">
        <f>I85</f>
        <v>3000000</v>
      </c>
      <c r="K81" s="12">
        <f t="shared" ref="K81:M81" si="146">J85</f>
        <v>1800000</v>
      </c>
      <c r="L81" s="12">
        <f t="shared" si="146"/>
        <v>1080000</v>
      </c>
      <c r="M81" s="12">
        <f t="shared" si="146"/>
        <v>540000</v>
      </c>
    </row>
    <row r="82" spans="1:13" s="11" customFormat="1" ht="11.4" x14ac:dyDescent="0.25">
      <c r="A82" s="29" t="s">
        <v>61</v>
      </c>
      <c r="B82" s="29" t="s">
        <v>8</v>
      </c>
      <c r="I82" s="31">
        <f>IF(I80=0,0,1/I80)</f>
        <v>0.2</v>
      </c>
      <c r="J82" s="31">
        <f>IF(J80=0,0,1/J80)</f>
        <v>0.25</v>
      </c>
      <c r="K82" s="31">
        <f t="shared" ref="K82:M82" si="147">IF(K80=0,0,1/K80)</f>
        <v>0.33333333333333331</v>
      </c>
      <c r="L82" s="31">
        <f t="shared" si="147"/>
        <v>0.5</v>
      </c>
      <c r="M82" s="31">
        <f t="shared" si="147"/>
        <v>1</v>
      </c>
    </row>
    <row r="83" spans="1:13" s="11" customFormat="1" ht="11.4" x14ac:dyDescent="0.25">
      <c r="A83" s="29" t="s">
        <v>60</v>
      </c>
      <c r="B83" s="29" t="s">
        <v>8</v>
      </c>
      <c r="I83" s="31">
        <f>IF(I80=0,0,IF($C$29*1/$C$28&gt;I82,$C$29*1/$C$28,I82))</f>
        <v>0.4</v>
      </c>
      <c r="J83" s="31">
        <f>IF(J80=0,0,IF($C$29*1/$C$28&gt;J82,$C$29*1/$C$28,J82))</f>
        <v>0.4</v>
      </c>
      <c r="K83" s="31">
        <f t="shared" ref="K83" si="148">IF(K80=0,0,IF($C$29*1/$C$28&gt;K82,$C$29*1/$C$28,K82))</f>
        <v>0.4</v>
      </c>
      <c r="L83" s="31">
        <f t="shared" ref="L83" si="149">IF(L80=0,0,IF($C$29*1/$C$28&gt;L82,$C$29*1/$C$28,L82))</f>
        <v>0.5</v>
      </c>
      <c r="M83" s="31">
        <f t="shared" ref="M83" si="150">IF(M80=0,0,IF($C$29*1/$C$28&gt;M82,$C$29*1/$C$28,M82))</f>
        <v>1</v>
      </c>
    </row>
    <row r="84" spans="1:13" s="11" customFormat="1" ht="11.4" x14ac:dyDescent="0.25">
      <c r="A84" s="29" t="s">
        <v>41</v>
      </c>
      <c r="B84" s="29" t="s">
        <v>7</v>
      </c>
      <c r="I84" s="12">
        <f>I81*I83</f>
        <v>2000000</v>
      </c>
      <c r="J84" s="12">
        <f>J81*J83</f>
        <v>1200000</v>
      </c>
      <c r="K84" s="12">
        <f t="shared" ref="K84" si="151">K81*K83</f>
        <v>720000</v>
      </c>
      <c r="L84" s="12">
        <f t="shared" ref="L84" si="152">L81*L83</f>
        <v>540000</v>
      </c>
      <c r="M84" s="12">
        <f t="shared" ref="M84" si="153">M81*M83</f>
        <v>540000</v>
      </c>
    </row>
    <row r="85" spans="1:13" s="11" customFormat="1" ht="11.4" x14ac:dyDescent="0.25">
      <c r="A85" s="29" t="s">
        <v>42</v>
      </c>
      <c r="B85" s="29" t="s">
        <v>7</v>
      </c>
      <c r="I85" s="12">
        <f>I81-I84</f>
        <v>3000000</v>
      </c>
      <c r="J85" s="12">
        <f>J81-J84</f>
        <v>1800000</v>
      </c>
      <c r="K85" s="12">
        <f t="shared" ref="K85" si="154">K81-K84</f>
        <v>1080000</v>
      </c>
      <c r="L85" s="12">
        <f t="shared" ref="L85" si="155">L81-L84</f>
        <v>540000</v>
      </c>
      <c r="M85" s="12">
        <f t="shared" ref="M85" si="156">M81-M84</f>
        <v>0</v>
      </c>
    </row>
    <row r="86" spans="1:13" s="11" customFormat="1" ht="11.4" x14ac:dyDescent="0.25">
      <c r="A86" s="29"/>
      <c r="B86" s="29"/>
    </row>
    <row r="87" spans="1:13" s="11" customFormat="1" ht="12" x14ac:dyDescent="0.25">
      <c r="A87" s="6" t="s">
        <v>54</v>
      </c>
      <c r="B87" s="29"/>
    </row>
    <row r="88" spans="1:13" s="11" customFormat="1" ht="11.4" x14ac:dyDescent="0.25">
      <c r="A88" s="29" t="s">
        <v>40</v>
      </c>
      <c r="B88" s="29" t="s">
        <v>35</v>
      </c>
      <c r="J88" s="30">
        <f>IF($C$28&lt;J$3,$C$28,J$3)</f>
        <v>4</v>
      </c>
      <c r="K88" s="12">
        <f>IF(J88=0,0,IF(J88-1&lt;K$3,J88-1,K$3))</f>
        <v>3</v>
      </c>
      <c r="L88" s="12">
        <f t="shared" ref="L88:M88" si="157">IF(K88=0,0,IF(K88-1&lt;L$3,K88-1,L$3))</f>
        <v>2</v>
      </c>
      <c r="M88" s="12">
        <f t="shared" si="157"/>
        <v>1</v>
      </c>
    </row>
    <row r="89" spans="1:13" s="11" customFormat="1" ht="11.4" x14ac:dyDescent="0.25">
      <c r="A89" s="29" t="s">
        <v>39</v>
      </c>
      <c r="B89" s="29" t="s">
        <v>7</v>
      </c>
      <c r="J89" s="30">
        <f>Modèle!J$10</f>
        <v>5000000</v>
      </c>
      <c r="K89" s="12">
        <f>J93</f>
        <v>3000000</v>
      </c>
      <c r="L89" s="12">
        <f t="shared" ref="L89:M89" si="158">K93</f>
        <v>1800000</v>
      </c>
      <c r="M89" s="12">
        <f t="shared" si="158"/>
        <v>900000</v>
      </c>
    </row>
    <row r="90" spans="1:13" s="11" customFormat="1" ht="11.4" x14ac:dyDescent="0.25">
      <c r="A90" s="29" t="s">
        <v>61</v>
      </c>
      <c r="B90" s="29" t="s">
        <v>8</v>
      </c>
      <c r="J90" s="31">
        <f>IF(J88=0,0,1/J88)</f>
        <v>0.25</v>
      </c>
      <c r="K90" s="31">
        <f>IF(K88=0,0,1/K88)</f>
        <v>0.33333333333333331</v>
      </c>
      <c r="L90" s="31">
        <f t="shared" ref="L90:M90" si="159">IF(L88=0,0,1/L88)</f>
        <v>0.5</v>
      </c>
      <c r="M90" s="31">
        <f t="shared" si="159"/>
        <v>1</v>
      </c>
    </row>
    <row r="91" spans="1:13" s="11" customFormat="1" ht="11.4" x14ac:dyDescent="0.25">
      <c r="A91" s="29" t="s">
        <v>60</v>
      </c>
      <c r="B91" s="29" t="s">
        <v>8</v>
      </c>
      <c r="J91" s="31">
        <f>IF(J88=0,0,IF($C$29*1/$C$28&gt;J90,$C$29*1/$C$28,J90))</f>
        <v>0.4</v>
      </c>
      <c r="K91" s="31">
        <f>IF(K88=0,0,IF($C$29*1/$C$28&gt;K90,$C$29*1/$C$28,K90))</f>
        <v>0.4</v>
      </c>
      <c r="L91" s="31">
        <f t="shared" ref="L91" si="160">IF(L88=0,0,IF($C$29*1/$C$28&gt;L90,$C$29*1/$C$28,L90))</f>
        <v>0.5</v>
      </c>
      <c r="M91" s="31">
        <f t="shared" ref="M91" si="161">IF(M88=0,0,IF($C$29*1/$C$28&gt;M90,$C$29*1/$C$28,M90))</f>
        <v>1</v>
      </c>
    </row>
    <row r="92" spans="1:13" s="11" customFormat="1" ht="11.4" x14ac:dyDescent="0.25">
      <c r="A92" s="29" t="s">
        <v>41</v>
      </c>
      <c r="B92" s="29" t="s">
        <v>7</v>
      </c>
      <c r="J92" s="12">
        <f>J89*J91</f>
        <v>2000000</v>
      </c>
      <c r="K92" s="12">
        <f>K89*K91</f>
        <v>1200000</v>
      </c>
      <c r="L92" s="12">
        <f t="shared" ref="L92" si="162">L89*L91</f>
        <v>900000</v>
      </c>
      <c r="M92" s="12">
        <f t="shared" ref="M92" si="163">M89*M91</f>
        <v>900000</v>
      </c>
    </row>
    <row r="93" spans="1:13" s="11" customFormat="1" ht="11.4" x14ac:dyDescent="0.25">
      <c r="A93" s="29" t="s">
        <v>42</v>
      </c>
      <c r="B93" s="29" t="s">
        <v>7</v>
      </c>
      <c r="J93" s="12">
        <f>J89-J92</f>
        <v>3000000</v>
      </c>
      <c r="K93" s="12">
        <f>K89-K92</f>
        <v>1800000</v>
      </c>
      <c r="L93" s="12">
        <f t="shared" ref="L93" si="164">L89-L92</f>
        <v>900000</v>
      </c>
      <c r="M93" s="12">
        <f t="shared" ref="M93" si="165">M89-M92</f>
        <v>0</v>
      </c>
    </row>
    <row r="94" spans="1:13" s="11" customFormat="1" ht="11.4" x14ac:dyDescent="0.25">
      <c r="A94" s="29"/>
      <c r="B94" s="29"/>
    </row>
    <row r="95" spans="1:13" s="11" customFormat="1" ht="12" x14ac:dyDescent="0.25">
      <c r="A95" s="6" t="s">
        <v>55</v>
      </c>
      <c r="B95" s="29"/>
    </row>
    <row r="96" spans="1:13" s="11" customFormat="1" ht="11.4" x14ac:dyDescent="0.25">
      <c r="A96" s="29" t="s">
        <v>40</v>
      </c>
      <c r="B96" s="29" t="s">
        <v>35</v>
      </c>
      <c r="K96" s="30">
        <f>IF($C$28&lt;K$3,$C$28,K$3)</f>
        <v>3</v>
      </c>
      <c r="L96" s="12">
        <f>IF(K96=0,0,IF(K96-1&lt;L$3,K96-1,L$3))</f>
        <v>2</v>
      </c>
      <c r="M96" s="12">
        <f t="shared" ref="M96" si="166">IF(L96=0,0,IF(L96-1&lt;M$3,L96-1,M$3))</f>
        <v>1</v>
      </c>
    </row>
    <row r="97" spans="1:13" s="11" customFormat="1" ht="11.4" x14ac:dyDescent="0.25">
      <c r="A97" s="29" t="s">
        <v>39</v>
      </c>
      <c r="B97" s="29" t="s">
        <v>7</v>
      </c>
      <c r="K97" s="30">
        <f>Modèle!K$10</f>
        <v>5000000</v>
      </c>
      <c r="L97" s="12">
        <f>K101</f>
        <v>3000000</v>
      </c>
      <c r="M97" s="12">
        <f t="shared" ref="M97" si="167">L101</f>
        <v>1500000</v>
      </c>
    </row>
    <row r="98" spans="1:13" s="11" customFormat="1" ht="11.4" x14ac:dyDescent="0.25">
      <c r="A98" s="29" t="s">
        <v>61</v>
      </c>
      <c r="B98" s="29" t="s">
        <v>8</v>
      </c>
      <c r="K98" s="31">
        <f>IF(K96=0,0,1/K96)</f>
        <v>0.33333333333333331</v>
      </c>
      <c r="L98" s="31">
        <f>IF(L96=0,0,1/L96)</f>
        <v>0.5</v>
      </c>
      <c r="M98" s="31">
        <f t="shared" ref="M98" si="168">IF(M96=0,0,1/M96)</f>
        <v>1</v>
      </c>
    </row>
    <row r="99" spans="1:13" s="11" customFormat="1" ht="11.4" x14ac:dyDescent="0.25">
      <c r="A99" s="29" t="s">
        <v>60</v>
      </c>
      <c r="B99" s="29" t="s">
        <v>8</v>
      </c>
      <c r="K99" s="31">
        <f>IF(K96=0,0,IF($C$29*1/$C$28&gt;K98,$C$29*1/$C$28,K98))</f>
        <v>0.4</v>
      </c>
      <c r="L99" s="31">
        <f>IF(L96=0,0,IF($C$29*1/$C$28&gt;L98,$C$29*1/$C$28,L98))</f>
        <v>0.5</v>
      </c>
      <c r="M99" s="31">
        <f t="shared" ref="M99" si="169">IF(M96=0,0,IF($C$29*1/$C$28&gt;M98,$C$29*1/$C$28,M98))</f>
        <v>1</v>
      </c>
    </row>
    <row r="100" spans="1:13" s="11" customFormat="1" ht="11.4" x14ac:dyDescent="0.25">
      <c r="A100" s="29" t="s">
        <v>41</v>
      </c>
      <c r="B100" s="29" t="s">
        <v>7</v>
      </c>
      <c r="K100" s="12">
        <f>K97*K99</f>
        <v>2000000</v>
      </c>
      <c r="L100" s="12">
        <f>L97*L99</f>
        <v>1500000</v>
      </c>
      <c r="M100" s="12">
        <f t="shared" ref="M100" si="170">M97*M99</f>
        <v>1500000</v>
      </c>
    </row>
    <row r="101" spans="1:13" s="11" customFormat="1" ht="11.4" x14ac:dyDescent="0.25">
      <c r="A101" s="29" t="s">
        <v>42</v>
      </c>
      <c r="B101" s="29" t="s">
        <v>7</v>
      </c>
      <c r="K101" s="12">
        <f>K97-K100</f>
        <v>3000000</v>
      </c>
      <c r="L101" s="12">
        <f>L97-L100</f>
        <v>1500000</v>
      </c>
      <c r="M101" s="12">
        <f t="shared" ref="M101" si="171">M97-M100</f>
        <v>0</v>
      </c>
    </row>
    <row r="102" spans="1:13" s="11" customFormat="1" ht="11.4" x14ac:dyDescent="0.25">
      <c r="A102" s="29"/>
      <c r="B102" s="29"/>
    </row>
    <row r="103" spans="1:13" s="11" customFormat="1" ht="12" x14ac:dyDescent="0.25">
      <c r="A103" s="6" t="s">
        <v>56</v>
      </c>
      <c r="B103" s="29"/>
    </row>
    <row r="104" spans="1:13" s="11" customFormat="1" ht="11.4" x14ac:dyDescent="0.25">
      <c r="A104" s="29" t="s">
        <v>40</v>
      </c>
      <c r="B104" s="29" t="s">
        <v>35</v>
      </c>
      <c r="L104" s="30">
        <f>IF($C$28&lt;L$3,$C$28,L$3)</f>
        <v>2</v>
      </c>
      <c r="M104" s="12">
        <f>IF(L104=0,0,IF(L104-1&lt;M$3,L104-1,M$3))</f>
        <v>1</v>
      </c>
    </row>
    <row r="105" spans="1:13" s="11" customFormat="1" ht="11.4" x14ac:dyDescent="0.25">
      <c r="A105" s="29" t="s">
        <v>39</v>
      </c>
      <c r="B105" s="29" t="s">
        <v>7</v>
      </c>
      <c r="L105" s="30">
        <f>Modèle!L$10</f>
        <v>5000000</v>
      </c>
      <c r="M105" s="12">
        <f>L109</f>
        <v>2500000</v>
      </c>
    </row>
    <row r="106" spans="1:13" s="11" customFormat="1" ht="11.4" x14ac:dyDescent="0.25">
      <c r="A106" s="29" t="s">
        <v>61</v>
      </c>
      <c r="B106" s="29" t="s">
        <v>8</v>
      </c>
      <c r="L106" s="31">
        <f>IF(L104=0,0,1/L104)</f>
        <v>0.5</v>
      </c>
      <c r="M106" s="31">
        <f>IF(M104=0,0,1/M104)</f>
        <v>1</v>
      </c>
    </row>
    <row r="107" spans="1:13" s="11" customFormat="1" ht="11.4" x14ac:dyDescent="0.25">
      <c r="A107" s="29" t="s">
        <v>60</v>
      </c>
      <c r="B107" s="29" t="s">
        <v>8</v>
      </c>
      <c r="L107" s="31">
        <f>IF(L104=0,0,IF($C$29*1/$C$28&gt;L106,$C$29*1/$C$28,L106))</f>
        <v>0.5</v>
      </c>
      <c r="M107" s="31">
        <f>IF(M104=0,0,IF($C$29*1/$C$28&gt;M106,$C$29*1/$C$28,M106))</f>
        <v>1</v>
      </c>
    </row>
    <row r="108" spans="1:13" s="11" customFormat="1" ht="11.4" x14ac:dyDescent="0.25">
      <c r="A108" s="29" t="s">
        <v>41</v>
      </c>
      <c r="B108" s="29" t="s">
        <v>7</v>
      </c>
      <c r="L108" s="12">
        <f>L105*L107</f>
        <v>2500000</v>
      </c>
      <c r="M108" s="12">
        <f>M105*M107</f>
        <v>2500000</v>
      </c>
    </row>
    <row r="109" spans="1:13" s="11" customFormat="1" ht="11.4" x14ac:dyDescent="0.25">
      <c r="A109" s="29" t="s">
        <v>42</v>
      </c>
      <c r="B109" s="29" t="s">
        <v>7</v>
      </c>
      <c r="L109" s="12">
        <f>L105-L108</f>
        <v>2500000</v>
      </c>
      <c r="M109" s="12">
        <f>M105-M108</f>
        <v>0</v>
      </c>
    </row>
    <row r="110" spans="1:13" s="11" customFormat="1" ht="11.4" x14ac:dyDescent="0.25">
      <c r="A110" s="29"/>
      <c r="B110" s="29"/>
    </row>
    <row r="111" spans="1:13" s="11" customFormat="1" ht="12" x14ac:dyDescent="0.25">
      <c r="A111" s="6" t="s">
        <v>57</v>
      </c>
      <c r="B111" s="29"/>
    </row>
    <row r="112" spans="1:13" s="11" customFormat="1" ht="11.4" x14ac:dyDescent="0.25">
      <c r="A112" s="29" t="s">
        <v>40</v>
      </c>
      <c r="B112" s="29" t="s">
        <v>35</v>
      </c>
      <c r="M112" s="30">
        <f>IF($C$28&lt;M$3,$C$28,M$3)</f>
        <v>1</v>
      </c>
    </row>
    <row r="113" spans="1:13" s="11" customFormat="1" ht="11.4" x14ac:dyDescent="0.25">
      <c r="A113" s="29" t="s">
        <v>39</v>
      </c>
      <c r="B113" s="29" t="s">
        <v>7</v>
      </c>
      <c r="M113" s="30">
        <f>Modèle!M$10</f>
        <v>0</v>
      </c>
    </row>
    <row r="114" spans="1:13" s="11" customFormat="1" ht="11.4" x14ac:dyDescent="0.25">
      <c r="A114" s="29" t="s">
        <v>61</v>
      </c>
      <c r="B114" s="29" t="s">
        <v>8</v>
      </c>
      <c r="M114" s="31">
        <f>IF(M112=0,0,1/M112)</f>
        <v>1</v>
      </c>
    </row>
    <row r="115" spans="1:13" s="11" customFormat="1" ht="11.4" x14ac:dyDescent="0.25">
      <c r="A115" s="29" t="s">
        <v>60</v>
      </c>
      <c r="B115" s="29" t="s">
        <v>8</v>
      </c>
      <c r="M115" s="31">
        <f>IF(M112=0,0,IF($C$29*1/$C$28&gt;M114,$C$29*1/$C$28,M114))</f>
        <v>1</v>
      </c>
    </row>
    <row r="116" spans="1:13" s="11" customFormat="1" ht="11.4" x14ac:dyDescent="0.25">
      <c r="A116" s="29" t="s">
        <v>41</v>
      </c>
      <c r="B116" s="29" t="s">
        <v>7</v>
      </c>
      <c r="M116" s="12">
        <f>M113*M115</f>
        <v>0</v>
      </c>
    </row>
    <row r="117" spans="1:13" s="11" customFormat="1" ht="11.4" x14ac:dyDescent="0.25">
      <c r="A117" s="29" t="s">
        <v>42</v>
      </c>
      <c r="B117" s="29" t="s">
        <v>7</v>
      </c>
      <c r="M117" s="12">
        <f>M113-M116</f>
        <v>0</v>
      </c>
    </row>
    <row r="118" spans="1:13" s="11" customFormat="1" ht="11.4" x14ac:dyDescent="0.25">
      <c r="A118" s="29"/>
      <c r="B118" s="29"/>
    </row>
    <row r="119" spans="1:13" s="11" customFormat="1" ht="12" x14ac:dyDescent="0.25">
      <c r="A119" s="6" t="s">
        <v>44</v>
      </c>
      <c r="B119" s="29" t="s">
        <v>7</v>
      </c>
      <c r="C119" s="12">
        <f>C$36+C$44+C$52+C$60+C$68+C$76+C$84+C$92+C$100+C$108+C$116</f>
        <v>0</v>
      </c>
      <c r="D119" s="12">
        <f t="shared" ref="D119:M119" si="172">D$36+D$44+D$52+D$60+D$68+D$76+D$84+D$92+D$100+D$108+D$116</f>
        <v>20000000</v>
      </c>
      <c r="E119" s="12">
        <f t="shared" si="172"/>
        <v>14000000</v>
      </c>
      <c r="F119" s="12">
        <f t="shared" si="172"/>
        <v>10400000</v>
      </c>
      <c r="G119" s="12">
        <f t="shared" si="172"/>
        <v>9320000</v>
      </c>
      <c r="H119" s="12">
        <f t="shared" si="172"/>
        <v>9860000</v>
      </c>
      <c r="I119" s="12">
        <f t="shared" si="172"/>
        <v>5000000</v>
      </c>
      <c r="J119" s="12">
        <f t="shared" si="172"/>
        <v>5000000</v>
      </c>
      <c r="K119" s="12">
        <f t="shared" si="172"/>
        <v>5000000</v>
      </c>
      <c r="L119" s="12">
        <f t="shared" si="172"/>
        <v>5980000</v>
      </c>
      <c r="M119" s="12">
        <f t="shared" si="172"/>
        <v>5440000</v>
      </c>
    </row>
    <row r="120" spans="1:13" s="11" customFormat="1" ht="11.4" x14ac:dyDescent="0.25">
      <c r="A120" s="29"/>
      <c r="B120" s="29"/>
    </row>
    <row r="121" spans="1:13" s="11" customFormat="1" ht="12" x14ac:dyDescent="0.25">
      <c r="A121" s="3" t="s">
        <v>59</v>
      </c>
      <c r="B121" s="33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</row>
    <row r="122" spans="1:13" s="11" customFormat="1" ht="12" x14ac:dyDescent="0.25">
      <c r="A122" s="6" t="s">
        <v>34</v>
      </c>
      <c r="B122" s="29" t="s">
        <v>35</v>
      </c>
      <c r="C122" s="23">
        <v>1</v>
      </c>
    </row>
    <row r="123" spans="1:13" s="11" customFormat="1" ht="12" x14ac:dyDescent="0.25">
      <c r="A123" s="6" t="s">
        <v>36</v>
      </c>
      <c r="B123" s="29" t="s">
        <v>37</v>
      </c>
      <c r="C123" s="23">
        <v>1</v>
      </c>
    </row>
    <row r="124" spans="1:13" s="11" customFormat="1" ht="11.4" x14ac:dyDescent="0.25">
      <c r="A124" s="29"/>
      <c r="B124" s="29"/>
    </row>
    <row r="125" spans="1:13" s="11" customFormat="1" ht="12" x14ac:dyDescent="0.25">
      <c r="A125" s="6" t="s">
        <v>57</v>
      </c>
      <c r="B125" s="29"/>
    </row>
    <row r="126" spans="1:13" s="11" customFormat="1" ht="11.4" x14ac:dyDescent="0.25">
      <c r="A126" s="29" t="s">
        <v>40</v>
      </c>
      <c r="B126" s="29" t="s">
        <v>35</v>
      </c>
      <c r="M126" s="30">
        <f>IF($C$122&lt;M$3,$C$122,M$3)</f>
        <v>1</v>
      </c>
    </row>
    <row r="127" spans="1:13" s="11" customFormat="1" ht="11.4" x14ac:dyDescent="0.25">
      <c r="A127" s="29" t="s">
        <v>39</v>
      </c>
      <c r="B127" s="29" t="s">
        <v>7</v>
      </c>
      <c r="M127" s="30">
        <f>Modèle!M$11</f>
        <v>10000000</v>
      </c>
    </row>
    <row r="128" spans="1:13" s="11" customFormat="1" ht="11.4" x14ac:dyDescent="0.25">
      <c r="A128" s="29" t="s">
        <v>61</v>
      </c>
      <c r="B128" s="29" t="s">
        <v>8</v>
      </c>
      <c r="M128" s="31">
        <f>IF(M126=0,0,1/M126)</f>
        <v>1</v>
      </c>
    </row>
    <row r="129" spans="1:13" s="11" customFormat="1" ht="11.4" x14ac:dyDescent="0.25">
      <c r="A129" s="29" t="s">
        <v>60</v>
      </c>
      <c r="B129" s="29" t="s">
        <v>8</v>
      </c>
      <c r="M129" s="31">
        <f>IF(M126=0,0,IF($C$123*1/$C$122&gt;M128,$C$123*1/$C$122,M128))</f>
        <v>1</v>
      </c>
    </row>
    <row r="130" spans="1:13" s="11" customFormat="1" ht="11.4" x14ac:dyDescent="0.25">
      <c r="A130" s="29" t="s">
        <v>41</v>
      </c>
      <c r="B130" s="29" t="s">
        <v>7</v>
      </c>
      <c r="M130" s="12">
        <f>M127*M129</f>
        <v>10000000</v>
      </c>
    </row>
    <row r="131" spans="1:13" s="11" customFormat="1" ht="11.4" x14ac:dyDescent="0.25">
      <c r="A131" s="29" t="s">
        <v>42</v>
      </c>
      <c r="B131" s="29" t="s">
        <v>7</v>
      </c>
      <c r="M131" s="12">
        <f>M127-M130</f>
        <v>0</v>
      </c>
    </row>
    <row r="132" spans="1:13" s="11" customFormat="1" ht="11.4" x14ac:dyDescent="0.25">
      <c r="A132" s="29"/>
      <c r="B132" s="29"/>
    </row>
    <row r="133" spans="1:13" s="11" customFormat="1" ht="12" x14ac:dyDescent="0.25">
      <c r="A133" s="6" t="s">
        <v>58</v>
      </c>
      <c r="B133" s="29" t="s">
        <v>7</v>
      </c>
      <c r="C133" s="12">
        <f>C130</f>
        <v>0</v>
      </c>
      <c r="D133" s="12">
        <f t="shared" ref="D133:M133" si="173">D130</f>
        <v>0</v>
      </c>
      <c r="E133" s="12">
        <f t="shared" si="173"/>
        <v>0</v>
      </c>
      <c r="F133" s="12">
        <f t="shared" si="173"/>
        <v>0</v>
      </c>
      <c r="G133" s="12">
        <f t="shared" si="173"/>
        <v>0</v>
      </c>
      <c r="H133" s="12">
        <f t="shared" si="173"/>
        <v>0</v>
      </c>
      <c r="I133" s="12">
        <f t="shared" si="173"/>
        <v>0</v>
      </c>
      <c r="J133" s="12">
        <f t="shared" si="173"/>
        <v>0</v>
      </c>
      <c r="K133" s="12">
        <f t="shared" si="173"/>
        <v>0</v>
      </c>
      <c r="L133" s="12">
        <f t="shared" si="173"/>
        <v>0</v>
      </c>
      <c r="M133" s="12">
        <f t="shared" si="173"/>
        <v>10000000</v>
      </c>
    </row>
  </sheetData>
  <pageMargins left="0.19685039370078741" right="0.19685039370078741" top="0.39370078740157483" bottom="0.39370078740157483" header="0.19685039370078741" footer="0.19685039370078741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</vt:lpstr>
      <vt:lpstr>Amortissements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2023-03-11T16:20:46Z</dcterms:modified>
</cp:coreProperties>
</file>