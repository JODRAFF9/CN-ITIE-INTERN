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56" windowHeight="5400" activeTab="1"/>
  </bookViews>
  <sheets>
    <sheet name="Modèle" sheetId="3" r:id="rId1"/>
    <sheet name="Amortissements et Emprunt" sheetId="4" r:id="rId2"/>
  </sheets>
  <calcPr calcId="191029"/>
</workbook>
</file>

<file path=xl/calcChain.xml><?xml version="1.0" encoding="utf-8"?>
<calcChain xmlns="http://schemas.openxmlformats.org/spreadsheetml/2006/main">
  <c r="D133" i="4" l="1"/>
  <c r="E133" i="4"/>
  <c r="F133" i="4"/>
  <c r="G133" i="4"/>
  <c r="H133" i="4"/>
  <c r="I133" i="4"/>
  <c r="J133" i="4"/>
  <c r="K133" i="4"/>
  <c r="L133" i="4"/>
  <c r="C133" i="4"/>
  <c r="M127" i="4"/>
  <c r="M126" i="4"/>
  <c r="M112" i="4"/>
  <c r="M128" i="4" l="1"/>
  <c r="M129" i="4" s="1"/>
  <c r="M130" i="4" s="1"/>
  <c r="D31" i="3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F32" i="3" l="1"/>
  <c r="M131" i="4"/>
  <c r="M133" i="4"/>
  <c r="E16" i="3"/>
  <c r="D150" i="4" l="1"/>
  <c r="E150" i="4" s="1"/>
  <c r="C143" i="4"/>
  <c r="D143" i="4" s="1"/>
  <c r="M113" i="4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18" i="4"/>
  <c r="D20" i="4" s="1"/>
  <c r="C11" i="4"/>
  <c r="C10" i="4"/>
  <c r="C12" i="4" s="1"/>
  <c r="C34" i="4" l="1"/>
  <c r="C35" i="4" s="1"/>
  <c r="C36" i="4" s="1"/>
  <c r="C119" i="4" s="1"/>
  <c r="M116" i="4"/>
  <c r="M117" i="4" s="1"/>
  <c r="E143" i="4"/>
  <c r="F150" i="4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F143" i="4"/>
  <c r="G150" i="4"/>
  <c r="C37" i="4"/>
  <c r="D33" i="4" s="1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D11" i="4" s="1"/>
  <c r="E20" i="4"/>
  <c r="E21" i="4" s="1"/>
  <c r="E22" i="4" s="1"/>
  <c r="E23" i="4" s="1"/>
  <c r="F19" i="4" s="1"/>
  <c r="F18" i="4"/>
  <c r="M108" i="4" l="1"/>
  <c r="M109" i="4" s="1"/>
  <c r="D36" i="4"/>
  <c r="D37" i="4" s="1"/>
  <c r="E33" i="4" s="1"/>
  <c r="G143" i="4"/>
  <c r="H150" i="4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F33" i="4" s="1"/>
  <c r="H143" i="4"/>
  <c r="I150" i="4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I143" i="4"/>
  <c r="J150" i="4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J143" i="4"/>
  <c r="I145" i="4"/>
  <c r="K150" i="4"/>
  <c r="J152" i="4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J145" i="4"/>
  <c r="K143" i="4"/>
  <c r="L150" i="4"/>
  <c r="K152" i="4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H119" i="4"/>
  <c r="L143" i="4"/>
  <c r="K145" i="4"/>
  <c r="L152" i="4"/>
  <c r="M150" i="4"/>
  <c r="M152" i="4" s="1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L145" i="4"/>
  <c r="M143" i="4"/>
  <c r="M145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D151" i="4" s="1"/>
  <c r="C12" i="3"/>
  <c r="N4" i="3"/>
  <c r="M6" i="3"/>
  <c r="L6" i="3"/>
  <c r="K6" i="3"/>
  <c r="J6" i="3"/>
  <c r="I6" i="3"/>
  <c r="H6" i="3"/>
  <c r="G6" i="3"/>
  <c r="E6" i="3"/>
  <c r="D6" i="3"/>
  <c r="G19" i="3" l="1"/>
  <c r="E19" i="3"/>
  <c r="L32" i="3"/>
  <c r="G32" i="3"/>
  <c r="K32" i="3"/>
  <c r="H32" i="3"/>
  <c r="E32" i="3"/>
  <c r="I32" i="3"/>
  <c r="J32" i="3"/>
  <c r="C19" i="3"/>
  <c r="N12" i="3"/>
  <c r="O12" i="3"/>
  <c r="C144" i="4"/>
  <c r="D19" i="3"/>
  <c r="H19" i="3"/>
  <c r="L19" i="3"/>
  <c r="E152" i="4"/>
  <c r="E151" i="4" s="1"/>
  <c r="D153" i="4"/>
  <c r="D154" i="4" s="1"/>
  <c r="I19" i="3"/>
  <c r="M19" i="3"/>
  <c r="F19" i="3"/>
  <c r="J19" i="3"/>
  <c r="K19" i="3"/>
  <c r="O6" i="3"/>
  <c r="N6" i="3"/>
  <c r="D20" i="3" l="1"/>
  <c r="J20" i="3"/>
  <c r="F20" i="3"/>
  <c r="C20" i="3"/>
  <c r="F152" i="4"/>
  <c r="F151" i="4" s="1"/>
  <c r="E153" i="4"/>
  <c r="E154" i="4" s="1"/>
  <c r="C146" i="4"/>
  <c r="D145" i="4"/>
  <c r="D144" i="4" s="1"/>
  <c r="I20" i="3"/>
  <c r="E20" i="3"/>
  <c r="N19" i="3"/>
  <c r="G20" i="3"/>
  <c r="M20" i="3"/>
  <c r="H20" i="3"/>
  <c r="N32" i="3"/>
  <c r="O32" i="3"/>
  <c r="O19" i="3"/>
  <c r="K20" i="3"/>
  <c r="L20" i="3"/>
  <c r="C156" i="4" l="1"/>
  <c r="C147" i="4"/>
  <c r="C157" i="4" s="1"/>
  <c r="E145" i="4"/>
  <c r="E144" i="4" s="1"/>
  <c r="D146" i="4"/>
  <c r="F153" i="4"/>
  <c r="F154" i="4" s="1"/>
  <c r="G152" i="4"/>
  <c r="G151" i="4" s="1"/>
  <c r="D156" i="4" l="1"/>
  <c r="D147" i="4"/>
  <c r="D157" i="4" s="1"/>
  <c r="H152" i="4"/>
  <c r="H151" i="4" s="1"/>
  <c r="G153" i="4"/>
  <c r="G154" i="4" s="1"/>
  <c r="F145" i="4"/>
  <c r="F144" i="4" s="1"/>
  <c r="E146" i="4"/>
  <c r="E156" i="4" l="1"/>
  <c r="E147" i="4"/>
  <c r="E157" i="4" s="1"/>
  <c r="H153" i="4"/>
  <c r="H154" i="4" s="1"/>
  <c r="I152" i="4"/>
  <c r="I151" i="4" s="1"/>
  <c r="G145" i="4"/>
  <c r="G144" i="4" s="1"/>
  <c r="F146" i="4"/>
  <c r="F156" i="4" l="1"/>
  <c r="F147" i="4"/>
  <c r="F157" i="4" s="1"/>
  <c r="G146" i="4"/>
  <c r="H145" i="4"/>
  <c r="H144" i="4" s="1"/>
  <c r="I153" i="4"/>
  <c r="I154" i="4" s="1"/>
  <c r="J151" i="4"/>
  <c r="G156" i="4" l="1"/>
  <c r="G147" i="4"/>
  <c r="G157" i="4" s="1"/>
  <c r="J153" i="4"/>
  <c r="J154" i="4" s="1"/>
  <c r="K151" i="4"/>
  <c r="H146" i="4"/>
  <c r="I144" i="4"/>
  <c r="H156" i="4" l="1"/>
  <c r="H147" i="4"/>
  <c r="H157" i="4" s="1"/>
  <c r="K153" i="4"/>
  <c r="K154" i="4" s="1"/>
  <c r="L151" i="4"/>
  <c r="I146" i="4"/>
  <c r="J144" i="4"/>
  <c r="I156" i="4" l="1"/>
  <c r="I147" i="4"/>
  <c r="I157" i="4" s="1"/>
  <c r="J146" i="4"/>
  <c r="K144" i="4"/>
  <c r="M151" i="4"/>
  <c r="L153" i="4"/>
  <c r="L154" i="4" s="1"/>
  <c r="J156" i="4" l="1"/>
  <c r="J147" i="4"/>
  <c r="J157" i="4" s="1"/>
  <c r="M153" i="4"/>
  <c r="M154" i="4" s="1"/>
  <c r="K146" i="4"/>
  <c r="L144" i="4"/>
  <c r="K156" i="4" l="1"/>
  <c r="K147" i="4"/>
  <c r="K157" i="4" s="1"/>
  <c r="M144" i="4"/>
  <c r="L146" i="4"/>
  <c r="L156" i="4" l="1"/>
  <c r="L147" i="4"/>
  <c r="L157" i="4" s="1"/>
  <c r="M146" i="4"/>
  <c r="M156" i="4" l="1"/>
  <c r="M147" i="4"/>
  <c r="M157" i="4" s="1"/>
</calcChain>
</file>

<file path=xl/sharedStrings.xml><?xml version="1.0" encoding="utf-8"?>
<sst xmlns="http://schemas.openxmlformats.org/spreadsheetml/2006/main" count="309" uniqueCount="87">
  <si>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</si>
  <si>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</si>
  <si>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</si>
  <si>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</si>
  <si>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</si>
  <si>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</si>
  <si>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</si>
  <si>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</si>
  <si>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</si>
  <si>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</si>
  <si>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</si>
  <si>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</si>
  <si>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</si>
  <si>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</si>
  <si>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</si>
  <si>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</si>
  <si>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</si>
  <si>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</si>
  <si>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</si>
  <si>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</si>
  <si>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</si>
  <si>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</si>
  <si>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</si>
  <si>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</si>
  <si>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</si>
  <si>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</si>
  <si>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</si>
  <si>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</si>
  <si>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</si>
  <si>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</si>
  <si>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</si>
  <si>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</si>
  <si>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</si>
  <si>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</si>
  <si>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</si>
  <si>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</si>
  <si>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</si>
  <si>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</si>
  <si>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</si>
  <si>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</si>
  <si>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</si>
  <si>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</si>
  <si>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</si>
  <si>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</si>
  <si>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</si>
  <si>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Intérêts versés</t>
  </si>
  <si>
    <t>Durée de l'emprunt</t>
  </si>
  <si>
    <t>Taux d'intérêt de l'emprunt</t>
  </si>
  <si>
    <t>Emprunt restant</t>
  </si>
  <si>
    <t>Emprunt de l'année A1</t>
  </si>
  <si>
    <t>Remboursement du principal</t>
  </si>
  <si>
    <t>Emprunt de l'année A2</t>
  </si>
  <si>
    <t>Total des intérêts versés</t>
  </si>
  <si>
    <t>Emprunt</t>
  </si>
  <si>
    <t>Intérêts déductibles</t>
  </si>
  <si>
    <t>Régle de sous-capitalisation</t>
  </si>
  <si>
    <t>Taux d'intérêt légal maximum</t>
  </si>
  <si>
    <t>Total des intérêts déductibles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</si>
  <si>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</si>
  <si>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</si>
  <si>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</si>
  <si>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</si>
  <si>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</si>
  <si>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</si>
  <si>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</si>
  <si>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</si>
  <si>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</si>
  <si>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</si>
  <si>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</si>
  <si>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</si>
  <si>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</si>
  <si>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</si>
  <si>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</si>
  <si>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IV. CHARGES FINANCIERES</t>
  </si>
  <si>
    <t>Taux dégressif</t>
  </si>
  <si>
    <t>Inverse de la durée restante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</si>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</sst>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5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  <xf numFmtId="3" fontId="17" fillId="34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77734375" defaultRowHeight="13.2" x14ac:dyDescent="0.25"/>
  <cols>
    <col min="1" max="1" width="40.77734375" style="1" customWidth="1"/>
    <col min="2" max="2" width="10.77734375" style="1"/>
    <col min="3" max="15" width="15.77734375" style="1" customWidth="1"/>
    <col min="16" max="16384" width="10.77734375" style="1"/>
  </cols>
  <sheetData>
    <row r="1" spans="1:15" s="2" customFormat="1" x14ac:dyDescent="0.25">
      <c r="A1" s="28" t="s">
        <v>16</v>
      </c>
      <c r="B1" s="28" t="s">
        <v>0</v>
      </c>
      <c r="C1" s="28" t="s">
        <v>76</v>
      </c>
      <c r="D1" s="28" t="s">
        <v>77</v>
      </c>
      <c r="E1" s="28" t="s">
        <v>78</v>
      </c>
      <c r="F1" s="28" t="s">
        <v>79</v>
      </c>
      <c r="G1" s="28" t="s">
        <v>80</v>
      </c>
      <c r="H1" s="28" t="s">
        <v>81</v>
      </c>
      <c r="I1" s="28" t="s">
        <v>82</v>
      </c>
      <c r="J1" s="28" t="s">
        <v>83</v>
      </c>
      <c r="K1" s="28" t="s">
        <v>84</v>
      </c>
      <c r="L1" s="28" t="s">
        <v>85</v>
      </c>
      <c r="M1" s="28" t="s">
        <v>86</v>
      </c>
      <c r="N1" s="28" t="s">
        <v>22</v>
      </c>
      <c r="O1" s="28" t="s">
        <v>1</v>
      </c>
    </row>
    <row r="2" spans="1:15" s="2" customFormat="1" x14ac:dyDescent="0.25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/>
      <c r="N4" s="13">
        <f>SUM($C4:$M4)</f>
        <v>2000000</v>
      </c>
      <c r="O4" s="13"/>
    </row>
    <row r="5" spans="1:15" x14ac:dyDescent="0.25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/>
      <c r="N5" s="13"/>
      <c r="O5" s="13"/>
    </row>
    <row r="6" spans="1:15" x14ac:dyDescent="0.25">
      <c r="A6" s="6" t="s">
        <v>6</v>
      </c>
      <c r="B6" s="7" t="s">
        <v>7</v>
      </c>
      <c r="C6" s="14">
        <f>C$4*C$5</f>
        <v>0</v>
      </c>
      <c r="D6" s="14">
        <f t="shared" ref="D6:M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0</v>
      </c>
      <c r="N6" s="14">
        <f>SUM($C6:$M6)</f>
        <v>2600000000</v>
      </c>
      <c r="O6" s="14">
        <f>$C6+NPV(10%,$D6:$M6)</f>
        <v>1576228194.834878</v>
      </c>
    </row>
    <row r="7" spans="1:15" x14ac:dyDescent="0.25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3">
        <f>SUM($C9:$M9)</f>
        <v>150000000</v>
      </c>
      <c r="O9" s="13">
        <f>$C9+NPV(10%,$D9:$M9)</f>
        <v>140909090.90909091</v>
      </c>
    </row>
    <row r="10" spans="1:15" x14ac:dyDescent="0.25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/>
      <c r="N10" s="13">
        <f t="shared" ref="N10:N12" si="1">SUM($C10:$M10)</f>
        <v>90000000</v>
      </c>
      <c r="O10" s="13">
        <f t="shared" ref="O10:O12" si="2">$C10+NPV(10%,$D10:$M10)</f>
        <v>69704209.990466639</v>
      </c>
    </row>
    <row r="11" spans="1:15" x14ac:dyDescent="0.25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10000000</v>
      </c>
      <c r="N11" s="13">
        <f t="shared" si="1"/>
        <v>10000000</v>
      </c>
      <c r="O11" s="13">
        <f t="shared" si="2"/>
        <v>9090909.0909090899</v>
      </c>
    </row>
    <row r="12" spans="1:15" x14ac:dyDescent="0.25">
      <c r="A12" s="6" t="s">
        <v>12</v>
      </c>
      <c r="B12" s="7" t="s">
        <v>7</v>
      </c>
      <c r="C12" s="14">
        <f>SUM(C$9:C$11)</f>
        <v>50000000</v>
      </c>
      <c r="D12" s="14">
        <f t="shared" ref="D12:M12" si="3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3"/>
        <v>5000000</v>
      </c>
      <c r="H12" s="14">
        <f t="shared" si="3"/>
        <v>5000000</v>
      </c>
      <c r="I12" s="14">
        <f t="shared" si="3"/>
        <v>5000000</v>
      </c>
      <c r="J12" s="14">
        <f t="shared" si="3"/>
        <v>5000000</v>
      </c>
      <c r="K12" s="14">
        <f t="shared" si="3"/>
        <v>5000000</v>
      </c>
      <c r="L12" s="14">
        <f t="shared" si="3"/>
        <v>5000000</v>
      </c>
      <c r="M12" s="14">
        <f t="shared" si="3"/>
        <v>10000000</v>
      </c>
      <c r="N12" s="14">
        <f t="shared" si="1"/>
        <v>250000000</v>
      </c>
      <c r="O12" s="14">
        <f t="shared" si="2"/>
        <v>214468733.79385284</v>
      </c>
    </row>
    <row r="13" spans="1:15" s="26" customFormat="1" x14ac:dyDescent="0.25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5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/>
      <c r="N15" s="17"/>
      <c r="O15" s="17"/>
    </row>
    <row r="16" spans="1:15" x14ac:dyDescent="0.25">
      <c r="A16" s="6" t="s">
        <v>13</v>
      </c>
      <c r="B16" s="7" t="s">
        <v>7</v>
      </c>
      <c r="C16" s="14">
        <f>C$4*C$15</f>
        <v>0</v>
      </c>
      <c r="D16" s="14">
        <f t="shared" ref="D16:M16" si="4">D$4*D$15</f>
        <v>0</v>
      </c>
      <c r="E16" s="14">
        <f>E$4*E$15</f>
        <v>175000000</v>
      </c>
      <c r="F16" s="14">
        <f>F$4*F$15</f>
        <v>175000000</v>
      </c>
      <c r="G16" s="14">
        <f t="shared" si="4"/>
        <v>175000000</v>
      </c>
      <c r="H16" s="14">
        <f t="shared" si="4"/>
        <v>175000000</v>
      </c>
      <c r="I16" s="14">
        <f t="shared" si="4"/>
        <v>175000000</v>
      </c>
      <c r="J16" s="14">
        <f t="shared" si="4"/>
        <v>175000000</v>
      </c>
      <c r="K16" s="14">
        <f t="shared" si="4"/>
        <v>175000000</v>
      </c>
      <c r="L16" s="14">
        <f t="shared" si="4"/>
        <v>175000000</v>
      </c>
      <c r="M16" s="14">
        <f t="shared" si="4"/>
        <v>0</v>
      </c>
      <c r="N16" s="14">
        <f t="shared" ref="N16" si="5">SUM($C16:$M16)</f>
        <v>1400000000</v>
      </c>
      <c r="O16" s="14">
        <f t="shared" ref="O16" si="6">$C16+NPV(10%,$D16:$M16)</f>
        <v>848738258.75724196</v>
      </c>
    </row>
    <row r="17" spans="1:15" x14ac:dyDescent="0.25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5">
      <c r="A19" s="6" t="s">
        <v>19</v>
      </c>
      <c r="B19" s="7" t="s">
        <v>7</v>
      </c>
      <c r="C19" s="14">
        <f>C$6-C$12-C$16</f>
        <v>-50000000</v>
      </c>
      <c r="D19" s="14">
        <f t="shared" ref="D19:M19" si="7">D$6-D$12-D$16</f>
        <v>-150000000</v>
      </c>
      <c r="E19" s="14">
        <f>E$6-E$12-E$16</f>
        <v>145000000</v>
      </c>
      <c r="F19" s="14">
        <f t="shared" si="7"/>
        <v>145000000</v>
      </c>
      <c r="G19" s="14">
        <f>G$6-G$12-G$16</f>
        <v>145000000</v>
      </c>
      <c r="H19" s="14">
        <f t="shared" si="7"/>
        <v>145000000</v>
      </c>
      <c r="I19" s="14">
        <f t="shared" si="7"/>
        <v>145000000</v>
      </c>
      <c r="J19" s="14">
        <f t="shared" si="7"/>
        <v>145000000</v>
      </c>
      <c r="K19" s="14">
        <f t="shared" si="7"/>
        <v>145000000</v>
      </c>
      <c r="L19" s="14">
        <f t="shared" si="7"/>
        <v>145000000</v>
      </c>
      <c r="M19" s="14">
        <f t="shared" si="7"/>
        <v>-10000000</v>
      </c>
      <c r="N19" s="14">
        <f t="shared" ref="N19" si="8">SUM($C19:$M19)</f>
        <v>950000000</v>
      </c>
      <c r="O19" s="14">
        <f t="shared" ref="O19" si="9">$C19+NPV(10%,$D19:$M19)</f>
        <v>513021202.28378308</v>
      </c>
    </row>
    <row r="20" spans="1:15" x14ac:dyDescent="0.25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0.61448399953834887</v>
      </c>
      <c r="N20" s="20"/>
      <c r="O20" s="20"/>
    </row>
    <row r="21" spans="1:15" x14ac:dyDescent="0.25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2"/>
    </row>
    <row r="22" spans="1:15" x14ac:dyDescent="0.25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5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>
        <f t="shared" ref="N23" si="10">SUM($C23:$M23)</f>
        <v>100000</v>
      </c>
      <c r="O23" s="14">
        <f t="shared" ref="O23" si="11">$C23+NPV(10%,$D23:$M23)</f>
        <v>100000</v>
      </c>
    </row>
    <row r="24" spans="1:15" x14ac:dyDescent="0.25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22"/>
    </row>
    <row r="25" spans="1:15" x14ac:dyDescent="0.25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5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7"/>
      <c r="O26" s="17"/>
    </row>
    <row r="27" spans="1:15" x14ac:dyDescent="0.25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17"/>
      <c r="O27" s="17"/>
    </row>
    <row r="28" spans="1:15" x14ac:dyDescent="0.25">
      <c r="A28" s="6" t="s">
        <v>26</v>
      </c>
      <c r="B28" s="7" t="s">
        <v>7</v>
      </c>
      <c r="C28" s="14">
        <f>C$26*C$27</f>
        <v>10000</v>
      </c>
      <c r="D28" s="14">
        <f t="shared" ref="D28:M28" si="12">D$26*D$27</f>
        <v>10000</v>
      </c>
      <c r="E28" s="14">
        <f>E$26*E$27</f>
        <v>10000</v>
      </c>
      <c r="F28" s="14">
        <f t="shared" si="12"/>
        <v>10000</v>
      </c>
      <c r="G28" s="14">
        <f t="shared" si="12"/>
        <v>10000</v>
      </c>
      <c r="H28" s="14">
        <f t="shared" si="12"/>
        <v>10000</v>
      </c>
      <c r="I28" s="14">
        <f t="shared" si="12"/>
        <v>10000</v>
      </c>
      <c r="J28" s="14">
        <f t="shared" si="12"/>
        <v>10000</v>
      </c>
      <c r="K28" s="14">
        <f t="shared" si="12"/>
        <v>10000</v>
      </c>
      <c r="L28" s="14">
        <f t="shared" si="12"/>
        <v>10000</v>
      </c>
      <c r="M28" s="14">
        <f t="shared" si="12"/>
        <v>10000</v>
      </c>
      <c r="N28" s="14">
        <f t="shared" ref="N28" si="13">SUM($C28:$M28)</f>
        <v>110000</v>
      </c>
      <c r="O28" s="14">
        <f t="shared" ref="O28" si="14">$C28+NPV(10%,$D28:$M28)</f>
        <v>71445.671057046799</v>
      </c>
    </row>
    <row r="29" spans="1:15" x14ac:dyDescent="0.25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5">
      <c r="A31" s="6" t="s">
        <v>30</v>
      </c>
      <c r="B31" s="7" t="s">
        <v>8</v>
      </c>
      <c r="C31" s="25" t="str">
        <f t="shared" ref="C31:M31" si="15">IF(ISNUMBER(C5),IF(C$5&lt;1300,3%,IF(C$5&lt;1500,4%,5%)),"")</f>
        <v/>
      </c>
      <c r="D31" s="25" t="str">
        <f t="shared" si="15"/>
        <v/>
      </c>
      <c r="E31" s="25">
        <f t="shared" si="15"/>
        <v>0.04</v>
      </c>
      <c r="F31" s="25">
        <f t="shared" si="15"/>
        <v>0.04</v>
      </c>
      <c r="G31" s="25">
        <f t="shared" si="15"/>
        <v>0.04</v>
      </c>
      <c r="H31" s="25">
        <f t="shared" si="15"/>
        <v>0.04</v>
      </c>
      <c r="I31" s="25">
        <f t="shared" si="15"/>
        <v>0.04</v>
      </c>
      <c r="J31" s="25">
        <f t="shared" si="15"/>
        <v>0.04</v>
      </c>
      <c r="K31" s="25">
        <f t="shared" si="15"/>
        <v>0.04</v>
      </c>
      <c r="L31" s="25">
        <f t="shared" si="15"/>
        <v>0.04</v>
      </c>
      <c r="M31" s="25" t="str">
        <f t="shared" si="15"/>
        <v/>
      </c>
      <c r="N31" s="17"/>
      <c r="O31" s="17"/>
    </row>
    <row r="32" spans="1:15" x14ac:dyDescent="0.25">
      <c r="A32" s="6" t="s">
        <v>27</v>
      </c>
      <c r="B32" s="7" t="s">
        <v>7</v>
      </c>
      <c r="C32" s="14">
        <f t="shared" ref="C32:M32" si="16">IF(ISNUMBER(C31),C$6*C$31,0)</f>
        <v>0</v>
      </c>
      <c r="D32" s="14">
        <f t="shared" si="16"/>
        <v>0</v>
      </c>
      <c r="E32" s="14">
        <f t="shared" si="16"/>
        <v>13000000</v>
      </c>
      <c r="F32" s="14">
        <f t="shared" si="16"/>
        <v>13000000</v>
      </c>
      <c r="G32" s="14">
        <f t="shared" si="16"/>
        <v>13000000</v>
      </c>
      <c r="H32" s="14">
        <f t="shared" si="16"/>
        <v>13000000</v>
      </c>
      <c r="I32" s="14">
        <f t="shared" si="16"/>
        <v>13000000</v>
      </c>
      <c r="J32" s="14">
        <f t="shared" si="16"/>
        <v>13000000</v>
      </c>
      <c r="K32" s="14">
        <f t="shared" si="16"/>
        <v>13000000</v>
      </c>
      <c r="L32" s="14">
        <f t="shared" si="16"/>
        <v>13000000</v>
      </c>
      <c r="M32" s="14">
        <f t="shared" si="16"/>
        <v>0</v>
      </c>
      <c r="N32" s="14">
        <f>SUM($C32:$M32)</f>
        <v>104000000</v>
      </c>
      <c r="O32" s="14">
        <f t="shared" ref="O32" si="17">$C32+NPV(10%,$D32:$M32)</f>
        <v>63049127.793395109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tabSelected="1" zoomScaleNormal="100" workbookViewId="0">
      <pane xSplit="2" ySplit="1" topLeftCell="C148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77734375" defaultRowHeight="13.2" x14ac:dyDescent="0.25"/>
  <cols>
    <col min="1" max="1" width="40.77734375" style="1" customWidth="1"/>
    <col min="2" max="2" width="10.77734375" style="1"/>
    <col min="3" max="13" width="15.77734375" style="1" customWidth="1"/>
    <col min="14" max="16384" width="10.77734375" style="1"/>
  </cols>
  <sheetData>
    <row r="1" spans="1:13" s="11" customFormat="1" ht="12" x14ac:dyDescent="0.25">
      <c r="A1" s="28" t="s">
        <v>16</v>
      </c>
      <c r="B1" s="28" t="s">
        <v>0</v>
      </c>
      <c r="C1" s="28" t="s">
        <v>76</v>
      </c>
      <c r="D1" s="28" t="s">
        <v>77</v>
      </c>
      <c r="E1" s="28" t="s">
        <v>78</v>
      </c>
      <c r="F1" s="28" t="s">
        <v>79</v>
      </c>
      <c r="G1" s="28" t="s">
        <v>80</v>
      </c>
      <c r="H1" s="28" t="s">
        <v>81</v>
      </c>
      <c r="I1" s="28" t="s">
        <v>82</v>
      </c>
      <c r="J1" s="28" t="s">
        <v>83</v>
      </c>
      <c r="K1" s="28" t="s">
        <v>84</v>
      </c>
      <c r="L1" s="28" t="s">
        <v>85</v>
      </c>
      <c r="M1" s="28" t="s">
        <v>86</v>
      </c>
    </row>
    <row r="2" spans="1:13" s="11" customFormat="1" ht="11.4" x14ac:dyDescent="0.25"/>
    <row r="3" spans="1:13" s="11" customFormat="1" ht="12" x14ac:dyDescent="0.25">
      <c r="A3" s="6" t="s">
        <v>38</v>
      </c>
      <c r="B3" s="29" t="s">
        <v>35</v>
      </c>
      <c r="C3" s="30">
        <v>11</v>
      </c>
      <c r="D3" s="30">
        <v>10</v>
      </c>
      <c r="E3" s="30">
        <v>9</v>
      </c>
      <c r="F3" s="30">
        <v>8</v>
      </c>
      <c r="G3" s="30">
        <v>7</v>
      </c>
      <c r="H3" s="30">
        <v>6</v>
      </c>
      <c r="I3" s="30">
        <v>5</v>
      </c>
      <c r="J3" s="30">
        <v>4</v>
      </c>
      <c r="K3" s="30">
        <v>3</v>
      </c>
      <c r="L3" s="30">
        <v>2</v>
      </c>
      <c r="M3" s="30">
        <v>1</v>
      </c>
    </row>
    <row r="4" spans="1:13" s="11" customFormat="1" ht="11.4" x14ac:dyDescent="0.25">
      <c r="A4" s="29"/>
      <c r="B4" s="29"/>
    </row>
    <row r="5" spans="1:13" s="11" customFormat="1" ht="12" x14ac:dyDescent="0.25">
      <c r="A5" s="3" t="s">
        <v>58</v>
      </c>
      <c r="B5" s="33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1" customFormat="1" ht="12" x14ac:dyDescent="0.25">
      <c r="A6" s="6" t="s">
        <v>34</v>
      </c>
      <c r="B6" s="29" t="s">
        <v>35</v>
      </c>
      <c r="C6" s="23">
        <v>10</v>
      </c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s="11" customFormat="1" ht="12" x14ac:dyDescent="0.25">
      <c r="A7" s="6" t="s">
        <v>36</v>
      </c>
      <c r="B7" s="29" t="s">
        <v>37</v>
      </c>
      <c r="C7" s="23">
        <v>1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s="11" customFormat="1" ht="11.4" x14ac:dyDescent="0.25">
      <c r="A8" s="29"/>
      <c r="B8" s="29"/>
    </row>
    <row r="9" spans="1:13" s="11" customFormat="1" ht="12" x14ac:dyDescent="0.25">
      <c r="A9" s="6" t="s">
        <v>60</v>
      </c>
      <c r="B9" s="29"/>
    </row>
    <row r="10" spans="1:13" s="11" customFormat="1" ht="11.4" x14ac:dyDescent="0.25">
      <c r="A10" s="29" t="s">
        <v>40</v>
      </c>
      <c r="B10" s="29" t="s">
        <v>35</v>
      </c>
      <c r="C10" s="30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1.4" x14ac:dyDescent="0.25">
      <c r="A11" s="29" t="s">
        <v>39</v>
      </c>
      <c r="B11" s="29" t="s">
        <v>7</v>
      </c>
      <c r="C11" s="30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1.4" x14ac:dyDescent="0.25">
      <c r="A12" s="29" t="s">
        <v>75</v>
      </c>
      <c r="B12" s="29" t="s">
        <v>8</v>
      </c>
      <c r="C12" s="31">
        <f>IF(C10=0,0,1/C10)</f>
        <v>0.1</v>
      </c>
      <c r="D12" s="31">
        <f>IF(D10=0,0,1/D10)</f>
        <v>0.1111111111111111</v>
      </c>
      <c r="E12" s="31">
        <f t="shared" ref="E12:M12" si="2">IF(E10=0,0,1/E10)</f>
        <v>0.125</v>
      </c>
      <c r="F12" s="31">
        <f t="shared" si="2"/>
        <v>0.14285714285714285</v>
      </c>
      <c r="G12" s="31">
        <f t="shared" si="2"/>
        <v>0.16666666666666666</v>
      </c>
      <c r="H12" s="31">
        <f t="shared" si="2"/>
        <v>0.2</v>
      </c>
      <c r="I12" s="31">
        <f t="shared" si="2"/>
        <v>0.25</v>
      </c>
      <c r="J12" s="31">
        <f t="shared" si="2"/>
        <v>0.33333333333333331</v>
      </c>
      <c r="K12" s="31">
        <f t="shared" si="2"/>
        <v>0.5</v>
      </c>
      <c r="L12" s="31">
        <f t="shared" si="2"/>
        <v>1</v>
      </c>
      <c r="M12" s="31">
        <f t="shared" si="2"/>
        <v>0</v>
      </c>
    </row>
    <row r="13" spans="1:13" s="11" customFormat="1" ht="11.4" x14ac:dyDescent="0.25">
      <c r="A13" s="29" t="s">
        <v>74</v>
      </c>
      <c r="B13" s="29" t="s">
        <v>8</v>
      </c>
      <c r="C13" s="31">
        <f>IF(C10=0,0,IF($C$7*1/$C$6&gt;C12,$C$7*1/$C$6,C12))</f>
        <v>0.1</v>
      </c>
      <c r="D13" s="31">
        <f>IF(D10=0,0,IF($C$7*1/$C$6&gt;D12,$C$7*1/$C$6,D12))</f>
        <v>0.1111111111111111</v>
      </c>
      <c r="E13" s="31">
        <f t="shared" ref="E13:M13" si="3">IF(E10=0,0,IF($C$7*1/$C$6&gt;E12,$C$7*1/$C$6,E12))</f>
        <v>0.125</v>
      </c>
      <c r="F13" s="31">
        <f t="shared" si="3"/>
        <v>0.14285714285714285</v>
      </c>
      <c r="G13" s="31">
        <f t="shared" si="3"/>
        <v>0.16666666666666666</v>
      </c>
      <c r="H13" s="31">
        <f t="shared" si="3"/>
        <v>0.2</v>
      </c>
      <c r="I13" s="31">
        <f t="shared" si="3"/>
        <v>0.25</v>
      </c>
      <c r="J13" s="31">
        <f t="shared" si="3"/>
        <v>0.33333333333333331</v>
      </c>
      <c r="K13" s="31">
        <f t="shared" si="3"/>
        <v>0.5</v>
      </c>
      <c r="L13" s="31">
        <f t="shared" si="3"/>
        <v>1</v>
      </c>
      <c r="M13" s="31">
        <f t="shared" si="3"/>
        <v>0</v>
      </c>
    </row>
    <row r="14" spans="1:13" s="11" customFormat="1" ht="11.4" x14ac:dyDescent="0.25">
      <c r="A14" s="29" t="s">
        <v>41</v>
      </c>
      <c r="B14" s="29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1.4" x14ac:dyDescent="0.25">
      <c r="A15" s="29" t="s">
        <v>42</v>
      </c>
      <c r="B15" s="29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1.4" x14ac:dyDescent="0.25">
      <c r="A16" s="29"/>
      <c r="B16" s="29"/>
    </row>
    <row r="17" spans="1:13" s="11" customFormat="1" ht="12" x14ac:dyDescent="0.25">
      <c r="A17" s="6" t="s">
        <v>61</v>
      </c>
      <c r="B17" s="29"/>
    </row>
    <row r="18" spans="1:13" s="11" customFormat="1" ht="11.4" x14ac:dyDescent="0.25">
      <c r="A18" s="29" t="s">
        <v>40</v>
      </c>
      <c r="B18" s="29" t="s">
        <v>35</v>
      </c>
      <c r="D18" s="30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1.4" x14ac:dyDescent="0.25">
      <c r="A19" s="29" t="s">
        <v>39</v>
      </c>
      <c r="B19" s="29" t="s">
        <v>7</v>
      </c>
      <c r="D19" s="30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1.4" x14ac:dyDescent="0.25">
      <c r="A20" s="29" t="s">
        <v>75</v>
      </c>
      <c r="B20" s="29" t="s">
        <v>8</v>
      </c>
      <c r="D20" s="31">
        <f>IF(D18=0,0,1/D18)</f>
        <v>0.1</v>
      </c>
      <c r="E20" s="31">
        <f>IF(E18=0,0,1/E18)</f>
        <v>0.1111111111111111</v>
      </c>
      <c r="F20" s="31">
        <f t="shared" ref="F20:M20" si="8">IF(F18=0,0,1/F18)</f>
        <v>0.125</v>
      </c>
      <c r="G20" s="31">
        <f t="shared" si="8"/>
        <v>0.14285714285714285</v>
      </c>
      <c r="H20" s="31">
        <f t="shared" si="8"/>
        <v>0.16666666666666666</v>
      </c>
      <c r="I20" s="31">
        <f t="shared" si="8"/>
        <v>0.2</v>
      </c>
      <c r="J20" s="31">
        <f t="shared" si="8"/>
        <v>0.25</v>
      </c>
      <c r="K20" s="31">
        <f t="shared" si="8"/>
        <v>0.33333333333333331</v>
      </c>
      <c r="L20" s="31">
        <f t="shared" si="8"/>
        <v>0.5</v>
      </c>
      <c r="M20" s="31">
        <f t="shared" si="8"/>
        <v>1</v>
      </c>
    </row>
    <row r="21" spans="1:13" s="11" customFormat="1" ht="11.4" x14ac:dyDescent="0.25">
      <c r="A21" s="29" t="s">
        <v>74</v>
      </c>
      <c r="B21" s="29" t="s">
        <v>8</v>
      </c>
      <c r="D21" s="31">
        <f>IF(D18=0,0,IF($C$7*1/$C$6&gt;D20,$C$7*1/$C$6,D20))</f>
        <v>0.1</v>
      </c>
      <c r="E21" s="31">
        <f>IF(E18=0,0,IF($C$7*1/$C$6&gt;E20,$C$7*1/$C$6,E20))</f>
        <v>0.1111111111111111</v>
      </c>
      <c r="F21" s="31">
        <f t="shared" ref="F21" si="9">IF(F18=0,0,IF($C$7*1/$C$6&gt;F20,$C$7*1/$C$6,F20))</f>
        <v>0.125</v>
      </c>
      <c r="G21" s="31">
        <f t="shared" ref="G21" si="10">IF(G18=0,0,IF($C$7*1/$C$6&gt;G20,$C$7*1/$C$6,G20))</f>
        <v>0.14285714285714285</v>
      </c>
      <c r="H21" s="31">
        <f t="shared" ref="H21" si="11">IF(H18=0,0,IF($C$7*1/$C$6&gt;H20,$C$7*1/$C$6,H20))</f>
        <v>0.16666666666666666</v>
      </c>
      <c r="I21" s="31">
        <f t="shared" ref="I21" si="12">IF(I18=0,0,IF($C$7*1/$C$6&gt;I20,$C$7*1/$C$6,I20))</f>
        <v>0.2</v>
      </c>
      <c r="J21" s="31">
        <f t="shared" ref="J21" si="13">IF(J18=0,0,IF($C$7*1/$C$6&gt;J20,$C$7*1/$C$6,J20))</f>
        <v>0.25</v>
      </c>
      <c r="K21" s="31">
        <f t="shared" ref="K21" si="14">IF(K18=0,0,IF($C$7*1/$C$6&gt;K20,$C$7*1/$C$6,K20))</f>
        <v>0.33333333333333331</v>
      </c>
      <c r="L21" s="31">
        <f t="shared" ref="L21" si="15">IF(L18=0,0,IF($C$7*1/$C$6&gt;L20,$C$7*1/$C$6,L20))</f>
        <v>0.5</v>
      </c>
      <c r="M21" s="31">
        <f t="shared" ref="M21" si="16">IF(M18=0,0,IF($C$7*1/$C$6&gt;M20,$C$7*1/$C$6,M20))</f>
        <v>1</v>
      </c>
    </row>
    <row r="22" spans="1:13" s="11" customFormat="1" ht="11.4" x14ac:dyDescent="0.25">
      <c r="A22" s="29" t="s">
        <v>41</v>
      </c>
      <c r="B22" s="29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1.4" x14ac:dyDescent="0.25">
      <c r="A23" s="29" t="s">
        <v>42</v>
      </c>
      <c r="B23" s="29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1.4" x14ac:dyDescent="0.25">
      <c r="A24" s="29"/>
      <c r="B24" s="29"/>
    </row>
    <row r="25" spans="1:13" s="11" customFormat="1" ht="12" x14ac:dyDescent="0.25">
      <c r="A25" s="6" t="s">
        <v>43</v>
      </c>
      <c r="B25" s="29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1.4" x14ac:dyDescent="0.25">
      <c r="A26" s="29"/>
      <c r="B26" s="29"/>
    </row>
    <row r="27" spans="1:13" s="11" customFormat="1" ht="12" x14ac:dyDescent="0.25">
      <c r="A27" s="3" t="s">
        <v>59</v>
      </c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s="11" customFormat="1" ht="12" x14ac:dyDescent="0.25">
      <c r="A28" s="6" t="s">
        <v>34</v>
      </c>
      <c r="B28" s="29" t="s">
        <v>35</v>
      </c>
      <c r="C28" s="23">
        <v>5</v>
      </c>
    </row>
    <row r="29" spans="1:13" s="11" customFormat="1" ht="12" x14ac:dyDescent="0.25">
      <c r="A29" s="6" t="s">
        <v>36</v>
      </c>
      <c r="B29" s="29" t="s">
        <v>37</v>
      </c>
      <c r="C29" s="23">
        <v>2</v>
      </c>
    </row>
    <row r="30" spans="1:13" s="11" customFormat="1" ht="11.4" x14ac:dyDescent="0.25">
      <c r="A30" s="29"/>
      <c r="B30" s="29"/>
    </row>
    <row r="31" spans="1:13" s="11" customFormat="1" ht="12" x14ac:dyDescent="0.25">
      <c r="A31" s="6" t="s">
        <v>60</v>
      </c>
      <c r="B31" s="29"/>
    </row>
    <row r="32" spans="1:13" s="11" customFormat="1" ht="11.4" x14ac:dyDescent="0.25">
      <c r="A32" s="29" t="s">
        <v>40</v>
      </c>
      <c r="B32" s="29" t="s">
        <v>35</v>
      </c>
      <c r="C32" s="30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1.4" x14ac:dyDescent="0.25">
      <c r="A33" s="29" t="s">
        <v>39</v>
      </c>
      <c r="B33" s="29" t="s">
        <v>7</v>
      </c>
      <c r="C33" s="30">
        <f>Modèle!C$10</f>
        <v>0</v>
      </c>
      <c r="D33" s="12">
        <f>C37</f>
        <v>0</v>
      </c>
      <c r="E33" s="12">
        <f t="shared" ref="E33:M33" si="35">D37</f>
        <v>0</v>
      </c>
      <c r="F33" s="12">
        <f t="shared" si="35"/>
        <v>0</v>
      </c>
      <c r="G33" s="12">
        <f t="shared" si="35"/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1.4" x14ac:dyDescent="0.25">
      <c r="A34" s="29" t="s">
        <v>75</v>
      </c>
      <c r="B34" s="29" t="s">
        <v>8</v>
      </c>
      <c r="C34" s="31">
        <f>IF(C32=0,0,1/C32)</f>
        <v>0.2</v>
      </c>
      <c r="D34" s="31">
        <f>IF(D32=0,0,1/D32)</f>
        <v>0.25</v>
      </c>
      <c r="E34" s="31">
        <f t="shared" ref="E34:M34" si="36">IF(E32=0,0,1/E32)</f>
        <v>0.33333333333333331</v>
      </c>
      <c r="F34" s="31">
        <f t="shared" si="36"/>
        <v>0.5</v>
      </c>
      <c r="G34" s="31">
        <f t="shared" si="36"/>
        <v>1</v>
      </c>
      <c r="H34" s="31">
        <f t="shared" si="36"/>
        <v>0</v>
      </c>
      <c r="I34" s="31">
        <f t="shared" si="36"/>
        <v>0</v>
      </c>
      <c r="J34" s="31">
        <f t="shared" si="36"/>
        <v>0</v>
      </c>
      <c r="K34" s="31">
        <f t="shared" si="36"/>
        <v>0</v>
      </c>
      <c r="L34" s="31">
        <f t="shared" si="36"/>
        <v>0</v>
      </c>
      <c r="M34" s="31">
        <f t="shared" si="36"/>
        <v>0</v>
      </c>
    </row>
    <row r="35" spans="1:13" s="11" customFormat="1" ht="11.4" x14ac:dyDescent="0.25">
      <c r="A35" s="29" t="s">
        <v>74</v>
      </c>
      <c r="B35" s="29" t="s">
        <v>8</v>
      </c>
      <c r="C35" s="31">
        <f>IF(C32=0,0,IF($C$29*1/$C$28&gt;C34,$C$29*1/$C$28,C34))</f>
        <v>0.4</v>
      </c>
      <c r="D35" s="31">
        <f>IF(D32=0,0,IF($C$29*1/$C$28&gt;D34,$C$29*1/$C$28,D34))</f>
        <v>0.4</v>
      </c>
      <c r="E35" s="31">
        <f t="shared" ref="E35:M35" si="37">IF(E32=0,0,IF($C$29*1/$C$28&gt;E34,$C$29*1/$C$28,E34))</f>
        <v>0.4</v>
      </c>
      <c r="F35" s="31">
        <f t="shared" si="37"/>
        <v>0.5</v>
      </c>
      <c r="G35" s="31">
        <f t="shared" si="37"/>
        <v>1</v>
      </c>
      <c r="H35" s="31">
        <f t="shared" si="37"/>
        <v>0</v>
      </c>
      <c r="I35" s="31">
        <f t="shared" si="37"/>
        <v>0</v>
      </c>
      <c r="J35" s="31">
        <f t="shared" si="37"/>
        <v>0</v>
      </c>
      <c r="K35" s="31">
        <f t="shared" si="37"/>
        <v>0</v>
      </c>
      <c r="L35" s="31">
        <f t="shared" si="37"/>
        <v>0</v>
      </c>
      <c r="M35" s="31">
        <f t="shared" si="37"/>
        <v>0</v>
      </c>
    </row>
    <row r="36" spans="1:13" s="11" customFormat="1" ht="11.4" x14ac:dyDescent="0.25">
      <c r="A36" s="29" t="s">
        <v>41</v>
      </c>
      <c r="B36" s="29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1.4" x14ac:dyDescent="0.25">
      <c r="A37" s="29" t="s">
        <v>42</v>
      </c>
      <c r="B37" s="29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1.4" x14ac:dyDescent="0.25">
      <c r="A38" s="29"/>
      <c r="B38" s="29"/>
    </row>
    <row r="39" spans="1:13" s="11" customFormat="1" ht="12" x14ac:dyDescent="0.25">
      <c r="A39" s="6" t="s">
        <v>61</v>
      </c>
      <c r="B39" s="29"/>
    </row>
    <row r="40" spans="1:13" s="11" customFormat="1" ht="11.4" x14ac:dyDescent="0.25">
      <c r="A40" s="29" t="s">
        <v>40</v>
      </c>
      <c r="B40" s="29" t="s">
        <v>35</v>
      </c>
      <c r="D40" s="30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1.4" x14ac:dyDescent="0.25">
      <c r="A41" s="29" t="s">
        <v>39</v>
      </c>
      <c r="B41" s="29" t="s">
        <v>7</v>
      </c>
      <c r="D41" s="30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1.4" x14ac:dyDescent="0.25">
      <c r="A42" s="29" t="s">
        <v>75</v>
      </c>
      <c r="B42" s="29" t="s">
        <v>8</v>
      </c>
      <c r="D42" s="31">
        <f>IF(D40=0,0,1/D40)</f>
        <v>0.2</v>
      </c>
      <c r="E42" s="31">
        <f>IF(E40=0,0,1/E40)</f>
        <v>0.25</v>
      </c>
      <c r="F42" s="31">
        <f t="shared" ref="F42:M42" si="42">IF(F40=0,0,1/F40)</f>
        <v>0.33333333333333331</v>
      </c>
      <c r="G42" s="31">
        <f t="shared" si="42"/>
        <v>0.5</v>
      </c>
      <c r="H42" s="31">
        <f t="shared" si="42"/>
        <v>1</v>
      </c>
      <c r="I42" s="31">
        <f t="shared" si="42"/>
        <v>0</v>
      </c>
      <c r="J42" s="31">
        <f t="shared" si="42"/>
        <v>0</v>
      </c>
      <c r="K42" s="31">
        <f t="shared" si="42"/>
        <v>0</v>
      </c>
      <c r="L42" s="31">
        <f t="shared" si="42"/>
        <v>0</v>
      </c>
      <c r="M42" s="31">
        <f t="shared" si="42"/>
        <v>0</v>
      </c>
    </row>
    <row r="43" spans="1:13" s="11" customFormat="1" ht="11.4" x14ac:dyDescent="0.25">
      <c r="A43" s="29" t="s">
        <v>74</v>
      </c>
      <c r="B43" s="29" t="s">
        <v>8</v>
      </c>
      <c r="D43" s="31">
        <f>IF(D40=0,0,IF($C$29*1/$C$28&gt;D42,$C$29*1/$C$28,D42))</f>
        <v>0.4</v>
      </c>
      <c r="E43" s="31">
        <f>IF(E40=0,0,IF($C$29*1/$C$28&gt;E42,$C$29*1/$C$28,E42))</f>
        <v>0.4</v>
      </c>
      <c r="F43" s="31">
        <f t="shared" ref="F43" si="43">IF(F40=0,0,IF($C$29*1/$C$28&gt;F42,$C$29*1/$C$28,F42))</f>
        <v>0.4</v>
      </c>
      <c r="G43" s="31">
        <f t="shared" ref="G43" si="44">IF(G40=0,0,IF($C$29*1/$C$28&gt;G42,$C$29*1/$C$28,G42))</f>
        <v>0.5</v>
      </c>
      <c r="H43" s="31">
        <f t="shared" ref="H43" si="45">IF(H40=0,0,IF($C$29*1/$C$28&gt;H42,$C$29*1/$C$28,H42))</f>
        <v>1</v>
      </c>
      <c r="I43" s="31">
        <f t="shared" ref="I43" si="46">IF(I40=0,0,IF($C$29*1/$C$28&gt;I42,$C$29*1/$C$28,I42))</f>
        <v>0</v>
      </c>
      <c r="J43" s="31">
        <f t="shared" ref="J43" si="47">IF(J40=0,0,IF($C$29*1/$C$28&gt;J42,$C$29*1/$C$28,J42))</f>
        <v>0</v>
      </c>
      <c r="K43" s="31">
        <f t="shared" ref="K43" si="48">IF(K40=0,0,IF($C$29*1/$C$28&gt;K42,$C$29*1/$C$28,K42))</f>
        <v>0</v>
      </c>
      <c r="L43" s="31">
        <f t="shared" ref="L43" si="49">IF(L40=0,0,IF($C$29*1/$C$28&gt;L42,$C$29*1/$C$28,L42))</f>
        <v>0</v>
      </c>
      <c r="M43" s="31">
        <f t="shared" ref="M43" si="50">IF(M40=0,0,IF($C$29*1/$C$28&gt;M42,$C$29*1/$C$28,M42))</f>
        <v>0</v>
      </c>
    </row>
    <row r="44" spans="1:13" s="11" customFormat="1" ht="11.4" x14ac:dyDescent="0.25">
      <c r="A44" s="29" t="s">
        <v>41</v>
      </c>
      <c r="B44" s="29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1.4" x14ac:dyDescent="0.25">
      <c r="A45" s="29" t="s">
        <v>42</v>
      </c>
      <c r="B45" s="29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1.4" x14ac:dyDescent="0.25">
      <c r="A46" s="29"/>
      <c r="B46" s="29"/>
    </row>
    <row r="47" spans="1:13" s="11" customFormat="1" ht="12" x14ac:dyDescent="0.25">
      <c r="A47" s="6" t="s">
        <v>62</v>
      </c>
      <c r="B47" s="29"/>
    </row>
    <row r="48" spans="1:13" s="11" customFormat="1" ht="11.4" x14ac:dyDescent="0.25">
      <c r="A48" s="29" t="s">
        <v>40</v>
      </c>
      <c r="B48" s="29" t="s">
        <v>35</v>
      </c>
      <c r="E48" s="30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1.4" x14ac:dyDescent="0.25">
      <c r="A49" s="29" t="s">
        <v>39</v>
      </c>
      <c r="B49" s="29" t="s">
        <v>7</v>
      </c>
      <c r="E49" s="30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1.4" x14ac:dyDescent="0.25">
      <c r="A50" s="29" t="s">
        <v>75</v>
      </c>
      <c r="B50" s="29" t="s">
        <v>8</v>
      </c>
      <c r="E50" s="31">
        <f>IF(E48=0,0,1/E48)</f>
        <v>0.2</v>
      </c>
      <c r="F50" s="31">
        <f>IF(F48=0,0,1/F48)</f>
        <v>0.25</v>
      </c>
      <c r="G50" s="31">
        <f t="shared" ref="G50:M50" si="69">IF(G48=0,0,1/G48)</f>
        <v>0.33333333333333331</v>
      </c>
      <c r="H50" s="31">
        <f t="shared" si="69"/>
        <v>0.5</v>
      </c>
      <c r="I50" s="31">
        <f t="shared" si="69"/>
        <v>1</v>
      </c>
      <c r="J50" s="31">
        <f t="shared" si="69"/>
        <v>0</v>
      </c>
      <c r="K50" s="31">
        <f t="shared" si="69"/>
        <v>0</v>
      </c>
      <c r="L50" s="31">
        <f t="shared" si="69"/>
        <v>0</v>
      </c>
      <c r="M50" s="31">
        <f t="shared" si="69"/>
        <v>0</v>
      </c>
    </row>
    <row r="51" spans="1:13" s="11" customFormat="1" ht="11.4" x14ac:dyDescent="0.25">
      <c r="A51" s="29" t="s">
        <v>74</v>
      </c>
      <c r="B51" s="29" t="s">
        <v>8</v>
      </c>
      <c r="E51" s="31">
        <f>IF(E48=0,0,IF($C$29*1/$C$28&gt;E50,$C$29*1/$C$28,E50))</f>
        <v>0.4</v>
      </c>
      <c r="F51" s="31">
        <f>IF(F48=0,0,IF($C$29*1/$C$28&gt;F50,$C$29*1/$C$28,F50))</f>
        <v>0.4</v>
      </c>
      <c r="G51" s="31">
        <f t="shared" ref="G51" si="70">IF(G48=0,0,IF($C$29*1/$C$28&gt;G50,$C$29*1/$C$28,G50))</f>
        <v>0.4</v>
      </c>
      <c r="H51" s="31">
        <f t="shared" ref="H51" si="71">IF(H48=0,0,IF($C$29*1/$C$28&gt;H50,$C$29*1/$C$28,H50))</f>
        <v>0.5</v>
      </c>
      <c r="I51" s="31">
        <f t="shared" ref="I51" si="72">IF(I48=0,0,IF($C$29*1/$C$28&gt;I50,$C$29*1/$C$28,I50))</f>
        <v>1</v>
      </c>
      <c r="J51" s="31">
        <f t="shared" ref="J51" si="73">IF(J48=0,0,IF($C$29*1/$C$28&gt;J50,$C$29*1/$C$28,J50))</f>
        <v>0</v>
      </c>
      <c r="K51" s="31">
        <f t="shared" ref="K51" si="74">IF(K48=0,0,IF($C$29*1/$C$28&gt;K50,$C$29*1/$C$28,K50))</f>
        <v>0</v>
      </c>
      <c r="L51" s="31">
        <f t="shared" ref="L51" si="75">IF(L48=0,0,IF($C$29*1/$C$28&gt;L50,$C$29*1/$C$28,L50))</f>
        <v>0</v>
      </c>
      <c r="M51" s="31">
        <f t="shared" ref="M51" si="76">IF(M48=0,0,IF($C$29*1/$C$28&gt;M50,$C$29*1/$C$28,M50))</f>
        <v>0</v>
      </c>
    </row>
    <row r="52" spans="1:13" s="11" customFormat="1" ht="11.4" x14ac:dyDescent="0.25">
      <c r="A52" s="29" t="s">
        <v>41</v>
      </c>
      <c r="B52" s="29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1.4" x14ac:dyDescent="0.25">
      <c r="A53" s="29" t="s">
        <v>42</v>
      </c>
      <c r="B53" s="29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1.4" x14ac:dyDescent="0.25">
      <c r="A54" s="29"/>
      <c r="B54" s="29"/>
    </row>
    <row r="55" spans="1:13" s="11" customFormat="1" ht="12" x14ac:dyDescent="0.25">
      <c r="A55" s="6" t="s">
        <v>63</v>
      </c>
      <c r="B55" s="29"/>
    </row>
    <row r="56" spans="1:13" s="11" customFormat="1" ht="11.4" x14ac:dyDescent="0.25">
      <c r="A56" s="29" t="s">
        <v>40</v>
      </c>
      <c r="B56" s="29" t="s">
        <v>35</v>
      </c>
      <c r="F56" s="30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1.4" x14ac:dyDescent="0.25">
      <c r="A57" s="29" t="s">
        <v>39</v>
      </c>
      <c r="B57" s="29" t="s">
        <v>7</v>
      </c>
      <c r="F57" s="30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1.4" x14ac:dyDescent="0.25">
      <c r="A58" s="29" t="s">
        <v>75</v>
      </c>
      <c r="B58" s="29" t="s">
        <v>8</v>
      </c>
      <c r="F58" s="31">
        <f>IF(F56=0,0,1/F56)</f>
        <v>0.2</v>
      </c>
      <c r="G58" s="31">
        <f>IF(G56=0,0,1/G56)</f>
        <v>0.25</v>
      </c>
      <c r="H58" s="31">
        <f t="shared" ref="H58:M58" si="93">IF(H56=0,0,1/H56)</f>
        <v>0.33333333333333331</v>
      </c>
      <c r="I58" s="31">
        <f t="shared" si="93"/>
        <v>0.5</v>
      </c>
      <c r="J58" s="31">
        <f t="shared" si="93"/>
        <v>1</v>
      </c>
      <c r="K58" s="31">
        <f t="shared" si="93"/>
        <v>0</v>
      </c>
      <c r="L58" s="31">
        <f t="shared" si="93"/>
        <v>0</v>
      </c>
      <c r="M58" s="31">
        <f t="shared" si="93"/>
        <v>0</v>
      </c>
    </row>
    <row r="59" spans="1:13" s="11" customFormat="1" ht="11.4" x14ac:dyDescent="0.25">
      <c r="A59" s="29" t="s">
        <v>74</v>
      </c>
      <c r="B59" s="29" t="s">
        <v>8</v>
      </c>
      <c r="F59" s="31">
        <f>IF(F56=0,0,IF($C$29*1/$C$28&gt;F58,$C$29*1/$C$28,F58))</f>
        <v>0.4</v>
      </c>
      <c r="G59" s="31">
        <f>IF(G56=0,0,IF($C$29*1/$C$28&gt;G58,$C$29*1/$C$28,G58))</f>
        <v>0.4</v>
      </c>
      <c r="H59" s="31">
        <f t="shared" ref="H59" si="94">IF(H56=0,0,IF($C$29*1/$C$28&gt;H58,$C$29*1/$C$28,H58))</f>
        <v>0.4</v>
      </c>
      <c r="I59" s="31">
        <f t="shared" ref="I59" si="95">IF(I56=0,0,IF($C$29*1/$C$28&gt;I58,$C$29*1/$C$28,I58))</f>
        <v>0.5</v>
      </c>
      <c r="J59" s="31">
        <f t="shared" ref="J59" si="96">IF(J56=0,0,IF($C$29*1/$C$28&gt;J58,$C$29*1/$C$28,J58))</f>
        <v>1</v>
      </c>
      <c r="K59" s="31">
        <f t="shared" ref="K59" si="97">IF(K56=0,0,IF($C$29*1/$C$28&gt;K58,$C$29*1/$C$28,K58))</f>
        <v>0</v>
      </c>
      <c r="L59" s="31">
        <f t="shared" ref="L59" si="98">IF(L56=0,0,IF($C$29*1/$C$28&gt;L58,$C$29*1/$C$28,L58))</f>
        <v>0</v>
      </c>
      <c r="M59" s="31">
        <f t="shared" ref="M59" si="99">IF(M56=0,0,IF($C$29*1/$C$28&gt;M58,$C$29*1/$C$28,M58))</f>
        <v>0</v>
      </c>
    </row>
    <row r="60" spans="1:13" s="11" customFormat="1" ht="11.4" x14ac:dyDescent="0.25">
      <c r="A60" s="29" t="s">
        <v>41</v>
      </c>
      <c r="B60" s="29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1.4" x14ac:dyDescent="0.25">
      <c r="A61" s="29" t="s">
        <v>42</v>
      </c>
      <c r="B61" s="29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1.4" x14ac:dyDescent="0.25">
      <c r="A62" s="29"/>
      <c r="B62" s="29"/>
    </row>
    <row r="63" spans="1:13" s="11" customFormat="1" ht="12" x14ac:dyDescent="0.25">
      <c r="A63" s="6" t="s">
        <v>64</v>
      </c>
      <c r="B63" s="29"/>
    </row>
    <row r="64" spans="1:13" s="11" customFormat="1" ht="11.4" x14ac:dyDescent="0.25">
      <c r="A64" s="29" t="s">
        <v>40</v>
      </c>
      <c r="B64" s="29" t="s">
        <v>35</v>
      </c>
      <c r="G64" s="30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1.4" x14ac:dyDescent="0.25">
      <c r="A65" s="29" t="s">
        <v>39</v>
      </c>
      <c r="B65" s="29" t="s">
        <v>7</v>
      </c>
      <c r="G65" s="30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1.4" x14ac:dyDescent="0.25">
      <c r="A66" s="29" t="s">
        <v>75</v>
      </c>
      <c r="B66" s="29" t="s">
        <v>8</v>
      </c>
      <c r="G66" s="31">
        <f>IF(G64=0,0,1/G64)</f>
        <v>0.2</v>
      </c>
      <c r="H66" s="31">
        <f>IF(H64=0,0,1/H64)</f>
        <v>0.25</v>
      </c>
      <c r="I66" s="31">
        <f t="shared" ref="I66:M66" si="114">IF(I64=0,0,1/I64)</f>
        <v>0.33333333333333331</v>
      </c>
      <c r="J66" s="31">
        <f t="shared" si="114"/>
        <v>0.5</v>
      </c>
      <c r="K66" s="31">
        <f t="shared" si="114"/>
        <v>1</v>
      </c>
      <c r="L66" s="31">
        <f t="shared" si="114"/>
        <v>0</v>
      </c>
      <c r="M66" s="31">
        <f t="shared" si="114"/>
        <v>0</v>
      </c>
    </row>
    <row r="67" spans="1:13" s="11" customFormat="1" ht="11.4" x14ac:dyDescent="0.25">
      <c r="A67" s="29" t="s">
        <v>74</v>
      </c>
      <c r="B67" s="29" t="s">
        <v>8</v>
      </c>
      <c r="G67" s="31">
        <f>IF(G64=0,0,IF($C$29*1/$C$28&gt;G66,$C$29*1/$C$28,G66))</f>
        <v>0.4</v>
      </c>
      <c r="H67" s="31">
        <f>IF(H64=0,0,IF($C$29*1/$C$28&gt;H66,$C$29*1/$C$28,H66))</f>
        <v>0.4</v>
      </c>
      <c r="I67" s="31">
        <f t="shared" ref="I67" si="115">IF(I64=0,0,IF($C$29*1/$C$28&gt;I66,$C$29*1/$C$28,I66))</f>
        <v>0.4</v>
      </c>
      <c r="J67" s="31">
        <f t="shared" ref="J67" si="116">IF(J64=0,0,IF($C$29*1/$C$28&gt;J66,$C$29*1/$C$28,J66))</f>
        <v>0.5</v>
      </c>
      <c r="K67" s="31">
        <f t="shared" ref="K67" si="117">IF(K64=0,0,IF($C$29*1/$C$28&gt;K66,$C$29*1/$C$28,K66))</f>
        <v>1</v>
      </c>
      <c r="L67" s="31">
        <f t="shared" ref="L67" si="118">IF(L64=0,0,IF($C$29*1/$C$28&gt;L66,$C$29*1/$C$28,L66))</f>
        <v>0</v>
      </c>
      <c r="M67" s="31">
        <f t="shared" ref="M67" si="119">IF(M64=0,0,IF($C$29*1/$C$28&gt;M66,$C$29*1/$C$28,M66))</f>
        <v>0</v>
      </c>
    </row>
    <row r="68" spans="1:13" s="11" customFormat="1" ht="11.4" x14ac:dyDescent="0.25">
      <c r="A68" s="29" t="s">
        <v>41</v>
      </c>
      <c r="B68" s="29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1.4" x14ac:dyDescent="0.25">
      <c r="A69" s="29" t="s">
        <v>42</v>
      </c>
      <c r="B69" s="29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1.4" x14ac:dyDescent="0.25">
      <c r="A70" s="29"/>
      <c r="B70" s="29"/>
    </row>
    <row r="71" spans="1:13" s="11" customFormat="1" ht="12" x14ac:dyDescent="0.25">
      <c r="A71" s="6" t="s">
        <v>65</v>
      </c>
      <c r="B71" s="29"/>
    </row>
    <row r="72" spans="1:13" s="11" customFormat="1" ht="11.4" x14ac:dyDescent="0.25">
      <c r="A72" s="29" t="s">
        <v>40</v>
      </c>
      <c r="B72" s="29" t="s">
        <v>35</v>
      </c>
      <c r="H72" s="30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1.4" x14ac:dyDescent="0.25">
      <c r="A73" s="29" t="s">
        <v>39</v>
      </c>
      <c r="B73" s="29" t="s">
        <v>7</v>
      </c>
      <c r="H73" s="30">
        <f>Modèle!H$10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1.4" x14ac:dyDescent="0.25">
      <c r="A74" s="29" t="s">
        <v>75</v>
      </c>
      <c r="B74" s="29" t="s">
        <v>8</v>
      </c>
      <c r="H74" s="31">
        <f>IF(H72=0,0,1/H72)</f>
        <v>0.2</v>
      </c>
      <c r="I74" s="31">
        <f>IF(I72=0,0,1/I72)</f>
        <v>0.25</v>
      </c>
      <c r="J74" s="31">
        <f t="shared" ref="J74:M74" si="132">IF(J72=0,0,1/J72)</f>
        <v>0.33333333333333331</v>
      </c>
      <c r="K74" s="31">
        <f t="shared" si="132"/>
        <v>0.5</v>
      </c>
      <c r="L74" s="31">
        <f t="shared" si="132"/>
        <v>1</v>
      </c>
      <c r="M74" s="31">
        <f t="shared" si="132"/>
        <v>0</v>
      </c>
    </row>
    <row r="75" spans="1:13" s="11" customFormat="1" ht="11.4" x14ac:dyDescent="0.25">
      <c r="A75" s="29" t="s">
        <v>74</v>
      </c>
      <c r="B75" s="29" t="s">
        <v>8</v>
      </c>
      <c r="H75" s="31">
        <f>IF(H72=0,0,IF($C$29*1/$C$28&gt;H74,$C$29*1/$C$28,H74))</f>
        <v>0.4</v>
      </c>
      <c r="I75" s="31">
        <f>IF(I72=0,0,IF($C$29*1/$C$28&gt;I74,$C$29*1/$C$28,I74))</f>
        <v>0.4</v>
      </c>
      <c r="J75" s="31">
        <f t="shared" ref="J75" si="133">IF(J72=0,0,IF($C$29*1/$C$28&gt;J74,$C$29*1/$C$28,J74))</f>
        <v>0.4</v>
      </c>
      <c r="K75" s="31">
        <f t="shared" ref="K75" si="134">IF(K72=0,0,IF($C$29*1/$C$28&gt;K74,$C$29*1/$C$28,K74))</f>
        <v>0.5</v>
      </c>
      <c r="L75" s="31">
        <f t="shared" ref="L75" si="135">IF(L72=0,0,IF($C$29*1/$C$28&gt;L74,$C$29*1/$C$28,L74))</f>
        <v>1</v>
      </c>
      <c r="M75" s="31">
        <f t="shared" ref="M75" si="136">IF(M72=0,0,IF($C$29*1/$C$28&gt;M74,$C$29*1/$C$28,M74))</f>
        <v>0</v>
      </c>
    </row>
    <row r="76" spans="1:13" s="11" customFormat="1" ht="11.4" x14ac:dyDescent="0.25">
      <c r="A76" s="29" t="s">
        <v>41</v>
      </c>
      <c r="B76" s="29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1.4" x14ac:dyDescent="0.25">
      <c r="A77" s="29" t="s">
        <v>42</v>
      </c>
      <c r="B77" s="29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1.4" x14ac:dyDescent="0.25">
      <c r="A78" s="29"/>
      <c r="B78" s="29"/>
    </row>
    <row r="79" spans="1:13" s="11" customFormat="1" ht="12" x14ac:dyDescent="0.25">
      <c r="A79" s="6" t="s">
        <v>66</v>
      </c>
      <c r="B79" s="29"/>
    </row>
    <row r="80" spans="1:13" s="11" customFormat="1" ht="11.4" x14ac:dyDescent="0.25">
      <c r="A80" s="29" t="s">
        <v>40</v>
      </c>
      <c r="B80" s="29" t="s">
        <v>35</v>
      </c>
      <c r="I80" s="30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1.4" x14ac:dyDescent="0.25">
      <c r="A81" s="29" t="s">
        <v>39</v>
      </c>
      <c r="B81" s="29" t="s">
        <v>7</v>
      </c>
      <c r="I81" s="30">
        <f>Modèle!I$10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1.4" x14ac:dyDescent="0.25">
      <c r="A82" s="29" t="s">
        <v>75</v>
      </c>
      <c r="B82" s="29" t="s">
        <v>8</v>
      </c>
      <c r="I82" s="31">
        <f>IF(I80=0,0,1/I80)</f>
        <v>0.2</v>
      </c>
      <c r="J82" s="31">
        <f>IF(J80=0,0,1/J80)</f>
        <v>0.25</v>
      </c>
      <c r="K82" s="31">
        <f t="shared" ref="K82:M82" si="147">IF(K80=0,0,1/K80)</f>
        <v>0.33333333333333331</v>
      </c>
      <c r="L82" s="31">
        <f t="shared" si="147"/>
        <v>0.5</v>
      </c>
      <c r="M82" s="31">
        <f t="shared" si="147"/>
        <v>1</v>
      </c>
    </row>
    <row r="83" spans="1:13" s="11" customFormat="1" ht="11.4" x14ac:dyDescent="0.25">
      <c r="A83" s="29" t="s">
        <v>74</v>
      </c>
      <c r="B83" s="29" t="s">
        <v>8</v>
      </c>
      <c r="I83" s="31">
        <f>IF(I80=0,0,IF($C$29*1/$C$28&gt;I82,$C$29*1/$C$28,I82))</f>
        <v>0.4</v>
      </c>
      <c r="J83" s="31">
        <f>IF(J80=0,0,IF($C$29*1/$C$28&gt;J82,$C$29*1/$C$28,J82))</f>
        <v>0.4</v>
      </c>
      <c r="K83" s="31">
        <f t="shared" ref="K83" si="148">IF(K80=0,0,IF($C$29*1/$C$28&gt;K82,$C$29*1/$C$28,K82))</f>
        <v>0.4</v>
      </c>
      <c r="L83" s="31">
        <f t="shared" ref="L83" si="149">IF(L80=0,0,IF($C$29*1/$C$28&gt;L82,$C$29*1/$C$28,L82))</f>
        <v>0.5</v>
      </c>
      <c r="M83" s="31">
        <f t="shared" ref="M83" si="150">IF(M80=0,0,IF($C$29*1/$C$28&gt;M82,$C$29*1/$C$28,M82))</f>
        <v>1</v>
      </c>
    </row>
    <row r="84" spans="1:13" s="11" customFormat="1" ht="11.4" x14ac:dyDescent="0.25">
      <c r="A84" s="29" t="s">
        <v>41</v>
      </c>
      <c r="B84" s="29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1.4" x14ac:dyDescent="0.25">
      <c r="A85" s="29" t="s">
        <v>42</v>
      </c>
      <c r="B85" s="29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1.4" x14ac:dyDescent="0.25">
      <c r="A86" s="29"/>
      <c r="B86" s="29"/>
    </row>
    <row r="87" spans="1:13" s="11" customFormat="1" ht="12" x14ac:dyDescent="0.25">
      <c r="A87" s="6" t="s">
        <v>67</v>
      </c>
      <c r="B87" s="29"/>
    </row>
    <row r="88" spans="1:13" s="11" customFormat="1" ht="11.4" x14ac:dyDescent="0.25">
      <c r="A88" s="29" t="s">
        <v>40</v>
      </c>
      <c r="B88" s="29" t="s">
        <v>35</v>
      </c>
      <c r="J88" s="30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1.4" x14ac:dyDescent="0.25">
      <c r="A89" s="29" t="s">
        <v>39</v>
      </c>
      <c r="B89" s="29" t="s">
        <v>7</v>
      </c>
      <c r="J89" s="30">
        <f>Modèle!J$10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1.4" x14ac:dyDescent="0.25">
      <c r="A90" s="29" t="s">
        <v>75</v>
      </c>
      <c r="B90" s="29" t="s">
        <v>8</v>
      </c>
      <c r="J90" s="31">
        <f>IF(J88=0,0,1/J88)</f>
        <v>0.25</v>
      </c>
      <c r="K90" s="31">
        <f>IF(K88=0,0,1/K88)</f>
        <v>0.33333333333333331</v>
      </c>
      <c r="L90" s="31">
        <f t="shared" ref="L90:M90" si="159">IF(L88=0,0,1/L88)</f>
        <v>0.5</v>
      </c>
      <c r="M90" s="31">
        <f t="shared" si="159"/>
        <v>1</v>
      </c>
    </row>
    <row r="91" spans="1:13" s="11" customFormat="1" ht="11.4" x14ac:dyDescent="0.25">
      <c r="A91" s="29" t="s">
        <v>74</v>
      </c>
      <c r="B91" s="29" t="s">
        <v>8</v>
      </c>
      <c r="J91" s="31">
        <f>IF(J88=0,0,IF($C$29*1/$C$28&gt;J90,$C$29*1/$C$28,J90))</f>
        <v>0.4</v>
      </c>
      <c r="K91" s="31">
        <f>IF(K88=0,0,IF($C$29*1/$C$28&gt;K90,$C$29*1/$C$28,K90))</f>
        <v>0.4</v>
      </c>
      <c r="L91" s="31">
        <f t="shared" ref="L91" si="160">IF(L88=0,0,IF($C$29*1/$C$28&gt;L90,$C$29*1/$C$28,L90))</f>
        <v>0.5</v>
      </c>
      <c r="M91" s="31">
        <f t="shared" ref="M91" si="161">IF(M88=0,0,IF($C$29*1/$C$28&gt;M90,$C$29*1/$C$28,M90))</f>
        <v>1</v>
      </c>
    </row>
    <row r="92" spans="1:13" s="11" customFormat="1" ht="11.4" x14ac:dyDescent="0.25">
      <c r="A92" s="29" t="s">
        <v>41</v>
      </c>
      <c r="B92" s="29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1.4" x14ac:dyDescent="0.25">
      <c r="A93" s="29" t="s">
        <v>42</v>
      </c>
      <c r="B93" s="29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1.4" x14ac:dyDescent="0.25">
      <c r="A94" s="29"/>
      <c r="B94" s="29"/>
    </row>
    <row r="95" spans="1:13" s="11" customFormat="1" ht="12" x14ac:dyDescent="0.25">
      <c r="A95" s="6" t="s">
        <v>68</v>
      </c>
      <c r="B95" s="29"/>
    </row>
    <row r="96" spans="1:13" s="11" customFormat="1" ht="11.4" x14ac:dyDescent="0.25">
      <c r="A96" s="29" t="s">
        <v>40</v>
      </c>
      <c r="B96" s="29" t="s">
        <v>35</v>
      </c>
      <c r="K96" s="30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1.4" x14ac:dyDescent="0.25">
      <c r="A97" s="29" t="s">
        <v>39</v>
      </c>
      <c r="B97" s="29" t="s">
        <v>7</v>
      </c>
      <c r="K97" s="30">
        <f>Modèle!K$10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1.4" x14ac:dyDescent="0.25">
      <c r="A98" s="29" t="s">
        <v>75</v>
      </c>
      <c r="B98" s="29" t="s">
        <v>8</v>
      </c>
      <c r="K98" s="31">
        <f>IF(K96=0,0,1/K96)</f>
        <v>0.33333333333333331</v>
      </c>
      <c r="L98" s="31">
        <f>IF(L96=0,0,1/L96)</f>
        <v>0.5</v>
      </c>
      <c r="M98" s="31">
        <f t="shared" ref="M98" si="168">IF(M96=0,0,1/M96)</f>
        <v>1</v>
      </c>
    </row>
    <row r="99" spans="1:13" s="11" customFormat="1" ht="11.4" x14ac:dyDescent="0.25">
      <c r="A99" s="29" t="s">
        <v>74</v>
      </c>
      <c r="B99" s="29" t="s">
        <v>8</v>
      </c>
      <c r="K99" s="31">
        <f>IF(K96=0,0,IF($C$29*1/$C$28&gt;K98,$C$29*1/$C$28,K98))</f>
        <v>0.4</v>
      </c>
      <c r="L99" s="31">
        <f>IF(L96=0,0,IF($C$29*1/$C$28&gt;L98,$C$29*1/$C$28,L98))</f>
        <v>0.5</v>
      </c>
      <c r="M99" s="31">
        <f t="shared" ref="M99" si="169">IF(M96=0,0,IF($C$29*1/$C$28&gt;M98,$C$29*1/$C$28,M98))</f>
        <v>1</v>
      </c>
    </row>
    <row r="100" spans="1:13" s="11" customFormat="1" ht="11.4" x14ac:dyDescent="0.25">
      <c r="A100" s="29" t="s">
        <v>41</v>
      </c>
      <c r="B100" s="29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1.4" x14ac:dyDescent="0.25">
      <c r="A101" s="29" t="s">
        <v>42</v>
      </c>
      <c r="B101" s="29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1.4" x14ac:dyDescent="0.25">
      <c r="A102" s="29"/>
      <c r="B102" s="29"/>
    </row>
    <row r="103" spans="1:13" s="11" customFormat="1" ht="12" x14ac:dyDescent="0.25">
      <c r="A103" s="6" t="s">
        <v>69</v>
      </c>
      <c r="B103" s="29"/>
    </row>
    <row r="104" spans="1:13" s="11" customFormat="1" ht="11.4" x14ac:dyDescent="0.25">
      <c r="A104" s="29" t="s">
        <v>40</v>
      </c>
      <c r="B104" s="29" t="s">
        <v>35</v>
      </c>
      <c r="L104" s="30">
        <f>IF($C$28&lt;L$3,$C$28,L$3)</f>
        <v>2</v>
      </c>
      <c r="M104" s="12">
        <f>IF(L104=0,0,IF(L104-1&lt;M$3,L104-1,M$3))</f>
        <v>1</v>
      </c>
    </row>
    <row r="105" spans="1:13" s="11" customFormat="1" ht="11.4" x14ac:dyDescent="0.25">
      <c r="A105" s="29" t="s">
        <v>39</v>
      </c>
      <c r="B105" s="29" t="s">
        <v>7</v>
      </c>
      <c r="L105" s="30">
        <f>Modèle!L$10</f>
        <v>5000000</v>
      </c>
      <c r="M105" s="12">
        <f>L109</f>
        <v>2500000</v>
      </c>
    </row>
    <row r="106" spans="1:13" s="11" customFormat="1" ht="11.4" x14ac:dyDescent="0.25">
      <c r="A106" s="29" t="s">
        <v>75</v>
      </c>
      <c r="B106" s="29" t="s">
        <v>8</v>
      </c>
      <c r="L106" s="31">
        <f>IF(L104=0,0,1/L104)</f>
        <v>0.5</v>
      </c>
      <c r="M106" s="31">
        <f>IF(M104=0,0,1/M104)</f>
        <v>1</v>
      </c>
    </row>
    <row r="107" spans="1:13" s="11" customFormat="1" ht="11.4" x14ac:dyDescent="0.25">
      <c r="A107" s="29" t="s">
        <v>74</v>
      </c>
      <c r="B107" s="29" t="s">
        <v>8</v>
      </c>
      <c r="L107" s="31">
        <f>IF(L104=0,0,IF($C$29*1/$C$28&gt;L106,$C$29*1/$C$28,L106))</f>
        <v>0.5</v>
      </c>
      <c r="M107" s="31">
        <f>IF(M104=0,0,IF($C$29*1/$C$28&gt;M106,$C$29*1/$C$28,M106))</f>
        <v>1</v>
      </c>
    </row>
    <row r="108" spans="1:13" s="11" customFormat="1" ht="11.4" x14ac:dyDescent="0.25">
      <c r="A108" s="29" t="s">
        <v>41</v>
      </c>
      <c r="B108" s="29" t="s">
        <v>7</v>
      </c>
      <c r="L108" s="12">
        <f>L105*L107</f>
        <v>2500000</v>
      </c>
      <c r="M108" s="12">
        <f>M105*M107</f>
        <v>2500000</v>
      </c>
    </row>
    <row r="109" spans="1:13" s="11" customFormat="1" ht="11.4" x14ac:dyDescent="0.25">
      <c r="A109" s="29" t="s">
        <v>42</v>
      </c>
      <c r="B109" s="29" t="s">
        <v>7</v>
      </c>
      <c r="L109" s="12">
        <f>L105-L108</f>
        <v>2500000</v>
      </c>
      <c r="M109" s="12">
        <f>M105-M108</f>
        <v>0</v>
      </c>
    </row>
    <row r="110" spans="1:13" s="11" customFormat="1" ht="11.4" x14ac:dyDescent="0.25">
      <c r="A110" s="29"/>
      <c r="B110" s="29"/>
    </row>
    <row r="111" spans="1:13" s="11" customFormat="1" ht="12" x14ac:dyDescent="0.25">
      <c r="A111" s="6" t="s">
        <v>70</v>
      </c>
      <c r="B111" s="29"/>
    </row>
    <row r="112" spans="1:13" s="11" customFormat="1" ht="11.4" x14ac:dyDescent="0.25">
      <c r="A112" s="29" t="s">
        <v>40</v>
      </c>
      <c r="B112" s="29" t="s">
        <v>35</v>
      </c>
      <c r="M112" s="30">
        <f>IF($C$28&lt;M$3,$C$28,M$3)</f>
        <v>1</v>
      </c>
    </row>
    <row r="113" spans="1:13" s="11" customFormat="1" ht="11.4" x14ac:dyDescent="0.25">
      <c r="A113" s="29" t="s">
        <v>39</v>
      </c>
      <c r="B113" s="29" t="s">
        <v>7</v>
      </c>
      <c r="M113" s="30">
        <f>Modèle!M$10</f>
        <v>0</v>
      </c>
    </row>
    <row r="114" spans="1:13" s="11" customFormat="1" ht="11.4" x14ac:dyDescent="0.25">
      <c r="A114" s="29" t="s">
        <v>75</v>
      </c>
      <c r="B114" s="29" t="s">
        <v>8</v>
      </c>
      <c r="M114" s="31">
        <f>IF(M112=0,0,1/M112)</f>
        <v>1</v>
      </c>
    </row>
    <row r="115" spans="1:13" s="11" customFormat="1" ht="11.4" x14ac:dyDescent="0.25">
      <c r="A115" s="29" t="s">
        <v>74</v>
      </c>
      <c r="B115" s="29" t="s">
        <v>8</v>
      </c>
      <c r="M115" s="31">
        <f>IF(M112=0,0,IF($C$29*1/$C$28&gt;M114,$C$29*1/$C$28,M114))</f>
        <v>1</v>
      </c>
    </row>
    <row r="116" spans="1:13" s="11" customFormat="1" ht="11.4" x14ac:dyDescent="0.25">
      <c r="A116" s="29" t="s">
        <v>41</v>
      </c>
      <c r="B116" s="29" t="s">
        <v>7</v>
      </c>
      <c r="M116" s="12">
        <f>M113*M115</f>
        <v>0</v>
      </c>
    </row>
    <row r="117" spans="1:13" s="11" customFormat="1" ht="11.4" x14ac:dyDescent="0.25">
      <c r="A117" s="29" t="s">
        <v>42</v>
      </c>
      <c r="B117" s="29" t="s">
        <v>7</v>
      </c>
      <c r="M117" s="12">
        <f>M113-M116</f>
        <v>0</v>
      </c>
    </row>
    <row r="118" spans="1:13" s="11" customFormat="1" ht="11.4" x14ac:dyDescent="0.25">
      <c r="A118" s="29"/>
      <c r="B118" s="29"/>
    </row>
    <row r="119" spans="1:13" s="11" customFormat="1" ht="12" x14ac:dyDescent="0.25">
      <c r="A119" s="6" t="s">
        <v>44</v>
      </c>
      <c r="B119" s="29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 t="shared" si="172"/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1.4" x14ac:dyDescent="0.25">
      <c r="A120" s="29"/>
      <c r="B120" s="29"/>
    </row>
    <row r="121" spans="1:13" s="11" customFormat="1" ht="12" x14ac:dyDescent="0.25">
      <c r="A121" s="3" t="s">
        <v>72</v>
      </c>
      <c r="B121" s="33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</row>
    <row r="122" spans="1:13" s="11" customFormat="1" ht="12" x14ac:dyDescent="0.25">
      <c r="A122" s="6" t="s">
        <v>34</v>
      </c>
      <c r="B122" s="29" t="s">
        <v>35</v>
      </c>
      <c r="C122" s="23">
        <v>1</v>
      </c>
    </row>
    <row r="123" spans="1:13" s="11" customFormat="1" ht="12" x14ac:dyDescent="0.25">
      <c r="A123" s="6" t="s">
        <v>36</v>
      </c>
      <c r="B123" s="29" t="s">
        <v>37</v>
      </c>
      <c r="C123" s="23">
        <v>1</v>
      </c>
    </row>
    <row r="124" spans="1:13" s="11" customFormat="1" ht="11.4" x14ac:dyDescent="0.25">
      <c r="A124" s="29"/>
      <c r="B124" s="29"/>
    </row>
    <row r="125" spans="1:13" s="11" customFormat="1" ht="12" x14ac:dyDescent="0.25">
      <c r="A125" s="6" t="s">
        <v>70</v>
      </c>
      <c r="B125" s="29"/>
    </row>
    <row r="126" spans="1:13" s="11" customFormat="1" ht="11.4" x14ac:dyDescent="0.25">
      <c r="A126" s="29" t="s">
        <v>40</v>
      </c>
      <c r="B126" s="29" t="s">
        <v>35</v>
      </c>
      <c r="M126" s="30">
        <f>IF($C$122&lt;M$3,$C$122,M$3)</f>
        <v>1</v>
      </c>
    </row>
    <row r="127" spans="1:13" s="11" customFormat="1" ht="11.4" x14ac:dyDescent="0.25">
      <c r="A127" s="29" t="s">
        <v>39</v>
      </c>
      <c r="B127" s="29" t="s">
        <v>7</v>
      </c>
      <c r="M127" s="30">
        <f>Modèle!M$11</f>
        <v>10000000</v>
      </c>
    </row>
    <row r="128" spans="1:13" s="11" customFormat="1" ht="11.4" x14ac:dyDescent="0.25">
      <c r="A128" s="29" t="s">
        <v>75</v>
      </c>
      <c r="B128" s="29" t="s">
        <v>8</v>
      </c>
      <c r="M128" s="31">
        <f>IF(M126=0,0,1/M126)</f>
        <v>1</v>
      </c>
    </row>
    <row r="129" spans="1:13" s="11" customFormat="1" ht="11.4" x14ac:dyDescent="0.25">
      <c r="A129" s="29" t="s">
        <v>74</v>
      </c>
      <c r="B129" s="29" t="s">
        <v>8</v>
      </c>
      <c r="M129" s="31">
        <f>IF(M126=0,0,IF($C$123*1/$C$122&gt;M128,$C$123*1/$C$122,M128))</f>
        <v>1</v>
      </c>
    </row>
    <row r="130" spans="1:13" s="11" customFormat="1" ht="11.4" x14ac:dyDescent="0.25">
      <c r="A130" s="29" t="s">
        <v>41</v>
      </c>
      <c r="B130" s="29" t="s">
        <v>7</v>
      </c>
      <c r="M130" s="12">
        <f>M127*M129</f>
        <v>10000000</v>
      </c>
    </row>
    <row r="131" spans="1:13" s="11" customFormat="1" ht="11.4" x14ac:dyDescent="0.25">
      <c r="A131" s="29" t="s">
        <v>42</v>
      </c>
      <c r="B131" s="29" t="s">
        <v>7</v>
      </c>
      <c r="M131" s="12">
        <f>M127-M130</f>
        <v>0</v>
      </c>
    </row>
    <row r="132" spans="1:13" s="11" customFormat="1" ht="11.4" x14ac:dyDescent="0.25">
      <c r="A132" s="29"/>
      <c r="B132" s="29"/>
    </row>
    <row r="133" spans="1:13" s="11" customFormat="1" ht="12" x14ac:dyDescent="0.25">
      <c r="A133" s="6" t="s">
        <v>71</v>
      </c>
      <c r="B133" s="29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  <row r="134" spans="1:13" s="11" customFormat="1" ht="11.4" x14ac:dyDescent="0.25">
      <c r="A134" s="29"/>
      <c r="B134" s="29"/>
    </row>
    <row r="135" spans="1:13" s="11" customFormat="1" ht="12" x14ac:dyDescent="0.25">
      <c r="A135" s="3" t="s">
        <v>73</v>
      </c>
      <c r="B135" s="33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11" customFormat="1" ht="12" x14ac:dyDescent="0.25">
      <c r="A136" s="6" t="s">
        <v>53</v>
      </c>
      <c r="B136" s="29"/>
    </row>
    <row r="137" spans="1:13" s="11" customFormat="1" ht="11.4" x14ac:dyDescent="0.25">
      <c r="A137" s="29" t="s">
        <v>46</v>
      </c>
      <c r="B137" s="29" t="s">
        <v>35</v>
      </c>
      <c r="C137" s="23">
        <v>5</v>
      </c>
    </row>
    <row r="138" spans="1:13" s="11" customFormat="1" ht="11.4" x14ac:dyDescent="0.25">
      <c r="A138" s="29" t="s">
        <v>47</v>
      </c>
      <c r="B138" s="29" t="s">
        <v>8</v>
      </c>
      <c r="C138" s="25">
        <v>0.1</v>
      </c>
    </row>
    <row r="139" spans="1:13" s="11" customFormat="1" ht="12" x14ac:dyDescent="0.25">
      <c r="A139" s="6" t="s">
        <v>55</v>
      </c>
      <c r="B139" s="29"/>
    </row>
    <row r="140" spans="1:13" s="11" customFormat="1" ht="11.4" x14ac:dyDescent="0.25">
      <c r="A140" s="29" t="s">
        <v>56</v>
      </c>
      <c r="B140" s="29" t="s">
        <v>8</v>
      </c>
      <c r="C140" s="25">
        <v>0.05</v>
      </c>
    </row>
    <row r="141" spans="1:13" s="11" customFormat="1" ht="11.4" x14ac:dyDescent="0.25">
      <c r="A141" s="29"/>
      <c r="B141" s="29"/>
    </row>
    <row r="142" spans="1:13" s="11" customFormat="1" ht="12" x14ac:dyDescent="0.25">
      <c r="A142" s="6" t="s">
        <v>49</v>
      </c>
      <c r="B142" s="29"/>
    </row>
    <row r="143" spans="1:13" s="11" customFormat="1" ht="11.4" x14ac:dyDescent="0.25">
      <c r="A143" s="29" t="s">
        <v>40</v>
      </c>
      <c r="B143" s="29" t="s">
        <v>35</v>
      </c>
      <c r="C143" s="30">
        <f>IF($C$137+1&lt;C$3,$C$137+1,C$3)</f>
        <v>6</v>
      </c>
      <c r="D143" s="12">
        <f>IF(C143=0,0,IF(C143-1&lt;D$3,C143-1,D$3))</f>
        <v>5</v>
      </c>
      <c r="E143" s="12">
        <f t="shared" ref="E143:M143" si="174">IF(D143=0,0,IF(D143-1&lt;E$3,D143-1,E$3))</f>
        <v>4</v>
      </c>
      <c r="F143" s="12">
        <f t="shared" si="174"/>
        <v>3</v>
      </c>
      <c r="G143" s="12">
        <f t="shared" si="174"/>
        <v>2</v>
      </c>
      <c r="H143" s="12">
        <f t="shared" si="174"/>
        <v>1</v>
      </c>
      <c r="I143" s="12">
        <f t="shared" si="174"/>
        <v>0</v>
      </c>
      <c r="J143" s="12">
        <f t="shared" si="174"/>
        <v>0</v>
      </c>
      <c r="K143" s="12">
        <f t="shared" si="174"/>
        <v>0</v>
      </c>
      <c r="L143" s="12">
        <f t="shared" si="174"/>
        <v>0</v>
      </c>
      <c r="M143" s="12">
        <f t="shared" si="174"/>
        <v>0</v>
      </c>
    </row>
    <row r="144" spans="1:13" s="11" customFormat="1" ht="11.4" x14ac:dyDescent="0.25">
      <c r="A144" s="29" t="s">
        <v>48</v>
      </c>
      <c r="B144" s="29" t="s">
        <v>7</v>
      </c>
      <c r="C144" s="30">
        <f>Modèle!C$12</f>
        <v>50000000</v>
      </c>
      <c r="D144" s="12">
        <f>C144-D145</f>
        <v>40000000</v>
      </c>
      <c r="E144" s="12">
        <f t="shared" ref="E144:M144" si="175">D144-E145</f>
        <v>30000000</v>
      </c>
      <c r="F144" s="12">
        <f t="shared" si="175"/>
        <v>20000000</v>
      </c>
      <c r="G144" s="12">
        <f t="shared" si="175"/>
        <v>10000000</v>
      </c>
      <c r="H144" s="12">
        <f t="shared" si="175"/>
        <v>0</v>
      </c>
      <c r="I144" s="12">
        <f t="shared" si="175"/>
        <v>0</v>
      </c>
      <c r="J144" s="12">
        <f t="shared" si="175"/>
        <v>0</v>
      </c>
      <c r="K144" s="12">
        <f t="shared" si="175"/>
        <v>0</v>
      </c>
      <c r="L144" s="12">
        <f t="shared" si="175"/>
        <v>0</v>
      </c>
      <c r="M144" s="12">
        <f t="shared" si="175"/>
        <v>0</v>
      </c>
    </row>
    <row r="145" spans="1:13" s="11" customFormat="1" ht="11.4" x14ac:dyDescent="0.25">
      <c r="A145" s="29" t="s">
        <v>50</v>
      </c>
      <c r="B145" s="29" t="s">
        <v>7</v>
      </c>
      <c r="C145" s="33"/>
      <c r="D145" s="34">
        <f>IF(D143=0,0,C144/D143)</f>
        <v>10000000</v>
      </c>
      <c r="E145" s="34">
        <f t="shared" ref="E145:M145" si="176">IF(E143=0,0,D144/E143)</f>
        <v>10000000</v>
      </c>
      <c r="F145" s="34">
        <f t="shared" si="176"/>
        <v>10000000</v>
      </c>
      <c r="G145" s="34">
        <f t="shared" si="176"/>
        <v>10000000</v>
      </c>
      <c r="H145" s="34">
        <f t="shared" si="176"/>
        <v>10000000</v>
      </c>
      <c r="I145" s="34">
        <f t="shared" si="176"/>
        <v>0</v>
      </c>
      <c r="J145" s="34">
        <f t="shared" si="176"/>
        <v>0</v>
      </c>
      <c r="K145" s="34">
        <f t="shared" si="176"/>
        <v>0</v>
      </c>
      <c r="L145" s="34">
        <f t="shared" si="176"/>
        <v>0</v>
      </c>
      <c r="M145" s="34">
        <f t="shared" si="176"/>
        <v>0</v>
      </c>
    </row>
    <row r="146" spans="1:13" s="11" customFormat="1" ht="11.4" x14ac:dyDescent="0.25">
      <c r="A146" s="29" t="s">
        <v>45</v>
      </c>
      <c r="B146" s="29" t="s">
        <v>7</v>
      </c>
      <c r="C146" s="34">
        <f>C144*$C$138</f>
        <v>5000000</v>
      </c>
      <c r="D146" s="34">
        <f>D144*$C$138</f>
        <v>4000000</v>
      </c>
      <c r="E146" s="34">
        <f t="shared" ref="E146:M146" si="177">E144*$C$138</f>
        <v>3000000</v>
      </c>
      <c r="F146" s="34">
        <f t="shared" si="177"/>
        <v>2000000</v>
      </c>
      <c r="G146" s="34">
        <f t="shared" si="177"/>
        <v>1000000</v>
      </c>
      <c r="H146" s="34">
        <f t="shared" si="177"/>
        <v>0</v>
      </c>
      <c r="I146" s="34">
        <f t="shared" si="177"/>
        <v>0</v>
      </c>
      <c r="J146" s="34">
        <f t="shared" si="177"/>
        <v>0</v>
      </c>
      <c r="K146" s="34">
        <f t="shared" si="177"/>
        <v>0</v>
      </c>
      <c r="L146" s="34">
        <f t="shared" si="177"/>
        <v>0</v>
      </c>
      <c r="M146" s="34">
        <f t="shared" si="177"/>
        <v>0</v>
      </c>
    </row>
    <row r="147" spans="1:13" s="11" customFormat="1" ht="11.4" x14ac:dyDescent="0.25">
      <c r="A147" s="29" t="s">
        <v>54</v>
      </c>
      <c r="B147" s="29" t="s">
        <v>7</v>
      </c>
      <c r="C147" s="34">
        <f>IF(C144*$C$140&lt;C146,C144*$C$140,C146)</f>
        <v>2500000</v>
      </c>
      <c r="D147" s="34">
        <f t="shared" ref="D147:M147" si="178">IF(D144*$C$140&lt;D146,D144*$C$140,D146)</f>
        <v>2000000</v>
      </c>
      <c r="E147" s="34">
        <f t="shared" si="178"/>
        <v>1500000</v>
      </c>
      <c r="F147" s="34">
        <f t="shared" si="178"/>
        <v>1000000</v>
      </c>
      <c r="G147" s="34">
        <f t="shared" si="178"/>
        <v>500000</v>
      </c>
      <c r="H147" s="34">
        <f t="shared" si="178"/>
        <v>0</v>
      </c>
      <c r="I147" s="34">
        <f t="shared" si="178"/>
        <v>0</v>
      </c>
      <c r="J147" s="34">
        <f t="shared" si="178"/>
        <v>0</v>
      </c>
      <c r="K147" s="34">
        <f t="shared" si="178"/>
        <v>0</v>
      </c>
      <c r="L147" s="34">
        <f t="shared" si="178"/>
        <v>0</v>
      </c>
      <c r="M147" s="34">
        <f t="shared" si="178"/>
        <v>0</v>
      </c>
    </row>
    <row r="148" spans="1:13" s="11" customFormat="1" ht="11.4" x14ac:dyDescent="0.25">
      <c r="A148" s="29"/>
      <c r="B148" s="29"/>
    </row>
    <row r="149" spans="1:13" s="11" customFormat="1" ht="12" x14ac:dyDescent="0.25">
      <c r="A149" s="6" t="s">
        <v>51</v>
      </c>
      <c r="B149" s="29"/>
    </row>
    <row r="150" spans="1:13" s="11" customFormat="1" ht="11.4" x14ac:dyDescent="0.25">
      <c r="A150" s="29" t="s">
        <v>40</v>
      </c>
      <c r="B150" s="29" t="s">
        <v>35</v>
      </c>
      <c r="D150" s="30">
        <f>IF($C$137+1&lt;D$3,$C$137+1,D$3)</f>
        <v>6</v>
      </c>
      <c r="E150" s="12">
        <f>IF(D150=0,0,IF(D150-1&lt;E$3,D150-1,E$3))</f>
        <v>5</v>
      </c>
      <c r="F150" s="12">
        <f t="shared" ref="F150:M150" si="179">IF(E150=0,0,IF(E150-1&lt;F$3,E150-1,F$3))</f>
        <v>4</v>
      </c>
      <c r="G150" s="12">
        <f t="shared" si="179"/>
        <v>3</v>
      </c>
      <c r="H150" s="12">
        <f t="shared" si="179"/>
        <v>2</v>
      </c>
      <c r="I150" s="12">
        <f t="shared" si="179"/>
        <v>1</v>
      </c>
      <c r="J150" s="12">
        <f t="shared" si="179"/>
        <v>0</v>
      </c>
      <c r="K150" s="12">
        <f t="shared" si="179"/>
        <v>0</v>
      </c>
      <c r="L150" s="12">
        <f t="shared" si="179"/>
        <v>0</v>
      </c>
      <c r="M150" s="12">
        <f t="shared" si="179"/>
        <v>0</v>
      </c>
    </row>
    <row r="151" spans="1:13" s="11" customFormat="1" ht="11.4" x14ac:dyDescent="0.25">
      <c r="A151" s="29" t="s">
        <v>48</v>
      </c>
      <c r="B151" s="29" t="s">
        <v>7</v>
      </c>
      <c r="D151" s="30">
        <f>Modèle!D$12</f>
        <v>150000000</v>
      </c>
      <c r="E151" s="12">
        <f>D151-E152</f>
        <v>120000000</v>
      </c>
      <c r="F151" s="12">
        <f t="shared" ref="F151" si="180">E151-F152</f>
        <v>90000000</v>
      </c>
      <c r="G151" s="12">
        <f t="shared" ref="G151" si="181">F151-G152</f>
        <v>60000000</v>
      </c>
      <c r="H151" s="12">
        <f t="shared" ref="H151" si="182">G151-H152</f>
        <v>30000000</v>
      </c>
      <c r="I151" s="12">
        <f t="shared" ref="I151" si="183">H151-I152</f>
        <v>0</v>
      </c>
      <c r="J151" s="12">
        <f t="shared" ref="J151" si="184">I151-J152</f>
        <v>0</v>
      </c>
      <c r="K151" s="12">
        <f t="shared" ref="K151" si="185">J151-K152</f>
        <v>0</v>
      </c>
      <c r="L151" s="12">
        <f t="shared" ref="L151" si="186">K151-L152</f>
        <v>0</v>
      </c>
      <c r="M151" s="12">
        <f t="shared" ref="M151" si="187">L151-M152</f>
        <v>0</v>
      </c>
    </row>
    <row r="152" spans="1:13" s="11" customFormat="1" ht="11.4" x14ac:dyDescent="0.25">
      <c r="A152" s="29" t="s">
        <v>50</v>
      </c>
      <c r="B152" s="29" t="s">
        <v>7</v>
      </c>
      <c r="D152" s="33"/>
      <c r="E152" s="34">
        <f>IF(E150=0,0,D151/E150)</f>
        <v>30000000</v>
      </c>
      <c r="F152" s="34">
        <f t="shared" ref="F152:M152" si="188">IF(F150=0,0,E151/F150)</f>
        <v>30000000</v>
      </c>
      <c r="G152" s="34">
        <f t="shared" si="188"/>
        <v>30000000</v>
      </c>
      <c r="H152" s="34">
        <f t="shared" si="188"/>
        <v>30000000</v>
      </c>
      <c r="I152" s="34">
        <f t="shared" si="188"/>
        <v>30000000</v>
      </c>
      <c r="J152" s="34">
        <f t="shared" si="188"/>
        <v>0</v>
      </c>
      <c r="K152" s="34">
        <f t="shared" si="188"/>
        <v>0</v>
      </c>
      <c r="L152" s="34">
        <f t="shared" si="188"/>
        <v>0</v>
      </c>
      <c r="M152" s="34">
        <f t="shared" si="188"/>
        <v>0</v>
      </c>
    </row>
    <row r="153" spans="1:13" s="11" customFormat="1" ht="11.4" x14ac:dyDescent="0.25">
      <c r="A153" s="29" t="s">
        <v>45</v>
      </c>
      <c r="B153" s="29" t="s">
        <v>7</v>
      </c>
      <c r="D153" s="34">
        <f>D151*$C$138</f>
        <v>15000000</v>
      </c>
      <c r="E153" s="34">
        <f>E151*$C$138</f>
        <v>12000000</v>
      </c>
      <c r="F153" s="34">
        <f t="shared" ref="F153:M153" si="189">F151*$C$138</f>
        <v>9000000</v>
      </c>
      <c r="G153" s="34">
        <f t="shared" si="189"/>
        <v>6000000</v>
      </c>
      <c r="H153" s="34">
        <f t="shared" si="189"/>
        <v>3000000</v>
      </c>
      <c r="I153" s="34">
        <f t="shared" si="189"/>
        <v>0</v>
      </c>
      <c r="J153" s="34">
        <f t="shared" si="189"/>
        <v>0</v>
      </c>
      <c r="K153" s="34">
        <f t="shared" si="189"/>
        <v>0</v>
      </c>
      <c r="L153" s="34">
        <f t="shared" si="189"/>
        <v>0</v>
      </c>
      <c r="M153" s="34">
        <f t="shared" si="189"/>
        <v>0</v>
      </c>
    </row>
    <row r="154" spans="1:13" s="11" customFormat="1" ht="11.4" x14ac:dyDescent="0.25">
      <c r="A154" s="29" t="s">
        <v>54</v>
      </c>
      <c r="B154" s="29" t="s">
        <v>7</v>
      </c>
      <c r="D154" s="34">
        <f>IF(D151*$C$140&lt;D153,D151*$C$140,D153)</f>
        <v>7500000</v>
      </c>
      <c r="E154" s="34">
        <f t="shared" ref="E154:M154" si="190">IF(E151*$C$140&lt;E153,E151*$C$140,E153)</f>
        <v>6000000</v>
      </c>
      <c r="F154" s="34">
        <f t="shared" si="190"/>
        <v>4500000</v>
      </c>
      <c r="G154" s="34">
        <f t="shared" si="190"/>
        <v>3000000</v>
      </c>
      <c r="H154" s="34">
        <f t="shared" si="190"/>
        <v>1500000</v>
      </c>
      <c r="I154" s="34">
        <f t="shared" si="190"/>
        <v>0</v>
      </c>
      <c r="J154" s="34">
        <f t="shared" si="190"/>
        <v>0</v>
      </c>
      <c r="K154" s="34">
        <f t="shared" si="190"/>
        <v>0</v>
      </c>
      <c r="L154" s="34">
        <f t="shared" si="190"/>
        <v>0</v>
      </c>
      <c r="M154" s="34">
        <f t="shared" si="190"/>
        <v>0</v>
      </c>
    </row>
    <row r="155" spans="1:13" s="11" customFormat="1" ht="11.4" x14ac:dyDescent="0.25">
      <c r="A155" s="29"/>
      <c r="B155" s="29"/>
    </row>
    <row r="156" spans="1:13" s="11" customFormat="1" ht="12" x14ac:dyDescent="0.25">
      <c r="A156" s="6" t="s">
        <v>52</v>
      </c>
      <c r="B156" s="29" t="s">
        <v>7</v>
      </c>
      <c r="C156" s="12">
        <f>C$146+C$153</f>
        <v>5000000</v>
      </c>
      <c r="D156" s="12">
        <f>D$146+D$153</f>
        <v>19000000</v>
      </c>
      <c r="E156" s="12">
        <f t="shared" ref="E156:M156" si="191">E$146+E$153</f>
        <v>15000000</v>
      </c>
      <c r="F156" s="12">
        <f t="shared" si="191"/>
        <v>11000000</v>
      </c>
      <c r="G156" s="12">
        <f t="shared" si="191"/>
        <v>7000000</v>
      </c>
      <c r="H156" s="12">
        <f t="shared" si="191"/>
        <v>3000000</v>
      </c>
      <c r="I156" s="12">
        <f t="shared" si="191"/>
        <v>0</v>
      </c>
      <c r="J156" s="12">
        <f t="shared" si="191"/>
        <v>0</v>
      </c>
      <c r="K156" s="12">
        <f t="shared" si="191"/>
        <v>0</v>
      </c>
      <c r="L156" s="12">
        <f t="shared" si="191"/>
        <v>0</v>
      </c>
      <c r="M156" s="12">
        <f t="shared" si="191"/>
        <v>0</v>
      </c>
    </row>
    <row r="157" spans="1:13" s="11" customFormat="1" ht="12" x14ac:dyDescent="0.25">
      <c r="A157" s="6" t="s">
        <v>57</v>
      </c>
      <c r="B157" s="29" t="s">
        <v>7</v>
      </c>
      <c r="C157" s="12">
        <f>C$147+C$154</f>
        <v>2500000</v>
      </c>
      <c r="D157" s="12">
        <f>D$147+D$154</f>
        <v>9500000</v>
      </c>
      <c r="E157" s="12">
        <f t="shared" ref="E157:M157" si="192">E$147+E$154</f>
        <v>7500000</v>
      </c>
      <c r="F157" s="12">
        <f t="shared" si="192"/>
        <v>5500000</v>
      </c>
      <c r="G157" s="12">
        <f t="shared" si="192"/>
        <v>3500000</v>
      </c>
      <c r="H157" s="12">
        <f t="shared" si="192"/>
        <v>1500000</v>
      </c>
      <c r="I157" s="12">
        <f t="shared" si="192"/>
        <v>0</v>
      </c>
      <c r="J157" s="12">
        <f t="shared" si="192"/>
        <v>0</v>
      </c>
      <c r="K157" s="12">
        <f t="shared" si="192"/>
        <v>0</v>
      </c>
      <c r="L157" s="12">
        <f t="shared" si="192"/>
        <v>0</v>
      </c>
      <c r="M157" s="12">
        <f t="shared" si="192"/>
        <v>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Amortissements et Emprunt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2023-03-11T20:23:13Z</dcterms:modified>
</cp:coreProperties>
</file>