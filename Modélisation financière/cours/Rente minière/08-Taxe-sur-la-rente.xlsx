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2977A942-67B0-4206-83F2-08CEE23D289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60" i="3" l="1"/>
  <c r="E60" i="3"/>
  <c r="F60" i="3"/>
  <c r="G60" i="3"/>
  <c r="H60" i="3"/>
  <c r="I60" i="3"/>
  <c r="J60" i="3"/>
  <c r="K60" i="3"/>
  <c r="L60" i="3"/>
  <c r="M60" i="3"/>
  <c r="C60" i="3"/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C54" i="3" l="1"/>
  <c r="F54" i="3"/>
  <c r="F32" i="3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H54" i="3" s="1"/>
  <c r="G6" i="3"/>
  <c r="E6" i="3"/>
  <c r="D6" i="3"/>
  <c r="I54" i="3" l="1"/>
  <c r="J54" i="3"/>
  <c r="G54" i="3"/>
  <c r="K54" i="3"/>
  <c r="D54" i="3"/>
  <c r="M54" i="3"/>
  <c r="E54" i="3"/>
  <c r="L54" i="3"/>
  <c r="G19" i="3"/>
  <c r="G36" i="3" s="1"/>
  <c r="E19" i="3"/>
  <c r="E36" i="3" s="1"/>
  <c r="L32" i="3"/>
  <c r="G32" i="3"/>
  <c r="K32" i="3"/>
  <c r="H32" i="3"/>
  <c r="E32" i="3"/>
  <c r="I32" i="3"/>
  <c r="J32" i="3"/>
  <c r="C19" i="3"/>
  <c r="C36" i="3" s="1"/>
  <c r="N12" i="3"/>
  <c r="O12" i="3"/>
  <c r="C144" i="4"/>
  <c r="D19" i="3"/>
  <c r="D36" i="3" s="1"/>
  <c r="H19" i="3"/>
  <c r="H36" i="3" s="1"/>
  <c r="L19" i="3"/>
  <c r="L36" i="3" s="1"/>
  <c r="E152" i="4"/>
  <c r="E151" i="4" s="1"/>
  <c r="D153" i="4"/>
  <c r="D154" i="4" s="1"/>
  <c r="I19" i="3"/>
  <c r="I36" i="3" s="1"/>
  <c r="M19" i="3"/>
  <c r="M36" i="3" s="1"/>
  <c r="F19" i="3"/>
  <c r="F36" i="3" s="1"/>
  <c r="J19" i="3"/>
  <c r="J36" i="3" s="1"/>
  <c r="K19" i="3"/>
  <c r="K36" i="3" s="1"/>
  <c r="O6" i="3"/>
  <c r="N6" i="3"/>
  <c r="C37" i="3" l="1"/>
  <c r="K37" i="3"/>
  <c r="I37" i="3"/>
  <c r="J37" i="3"/>
  <c r="D37" i="3"/>
  <c r="L37" i="3"/>
  <c r="E37" i="3"/>
  <c r="F37" i="3"/>
  <c r="H37" i="3"/>
  <c r="G37" i="3"/>
  <c r="M37" i="3"/>
  <c r="O36" i="3"/>
  <c r="C40" i="3"/>
  <c r="N36" i="3"/>
  <c r="N54" i="3"/>
  <c r="O54" i="3"/>
  <c r="D20" i="3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N67" i="3" s="1"/>
  <c r="G20" i="3"/>
  <c r="M20" i="3"/>
  <c r="H20" i="3"/>
  <c r="N32" i="3"/>
  <c r="O32" i="3"/>
  <c r="O19" i="3"/>
  <c r="O67" i="3" s="1"/>
  <c r="K20" i="3"/>
  <c r="L20" i="3"/>
  <c r="D39" i="3" l="1"/>
  <c r="D40" i="3" s="1"/>
  <c r="E39" i="3" s="1"/>
  <c r="E40" i="3" s="1"/>
  <c r="F39" i="3" s="1"/>
  <c r="F40" i="3" s="1"/>
  <c r="G39" i="3" s="1"/>
  <c r="G40" i="3" s="1"/>
  <c r="H39" i="3" s="1"/>
  <c r="H40" i="3" s="1"/>
  <c r="I39" i="3" s="1"/>
  <c r="I40" i="3" s="1"/>
  <c r="J39" i="3" s="1"/>
  <c r="J40" i="3" s="1"/>
  <c r="K39" i="3" s="1"/>
  <c r="K40" i="3" s="1"/>
  <c r="L39" i="3" s="1"/>
  <c r="L40" i="3" s="1"/>
  <c r="M39" i="3" s="1"/>
  <c r="M40" i="3" s="1"/>
  <c r="M42" i="3" s="1"/>
  <c r="C42" i="3"/>
  <c r="C156" i="4"/>
  <c r="C147" i="4"/>
  <c r="C157" i="4" s="1"/>
  <c r="E145" i="4"/>
  <c r="E144" i="4" s="1"/>
  <c r="D146" i="4"/>
  <c r="F153" i="4"/>
  <c r="F154" i="4" s="1"/>
  <c r="G152" i="4"/>
  <c r="G151" i="4" s="1"/>
  <c r="C45" i="3" l="1"/>
  <c r="C47" i="3" s="1"/>
  <c r="D42" i="3"/>
  <c r="J42" i="3"/>
  <c r="N40" i="3"/>
  <c r="H42" i="3"/>
  <c r="L42" i="3"/>
  <c r="K42" i="3"/>
  <c r="G42" i="3"/>
  <c r="F42" i="3"/>
  <c r="O40" i="3"/>
  <c r="I42" i="3"/>
  <c r="E42" i="3"/>
  <c r="D156" i="4"/>
  <c r="D147" i="4"/>
  <c r="D157" i="4" s="1"/>
  <c r="D45" i="3" s="1"/>
  <c r="H152" i="4"/>
  <c r="H151" i="4" s="1"/>
  <c r="G153" i="4"/>
  <c r="G154" i="4" s="1"/>
  <c r="F145" i="4"/>
  <c r="F144" i="4" s="1"/>
  <c r="E146" i="4"/>
  <c r="O42" i="3" l="1"/>
  <c r="N42" i="3"/>
  <c r="D46" i="3"/>
  <c r="D47" i="3" s="1"/>
  <c r="C49" i="3"/>
  <c r="C57" i="3" s="1"/>
  <c r="E156" i="4"/>
  <c r="E147" i="4"/>
  <c r="E157" i="4" s="1"/>
  <c r="E45" i="3" s="1"/>
  <c r="H153" i="4"/>
  <c r="H154" i="4" s="1"/>
  <c r="I152" i="4"/>
  <c r="I151" i="4" s="1"/>
  <c r="G145" i="4"/>
  <c r="G144" i="4" s="1"/>
  <c r="F146" i="4"/>
  <c r="D49" i="3" l="1"/>
  <c r="D57" i="3" s="1"/>
  <c r="E46" i="3"/>
  <c r="E47" i="3" s="1"/>
  <c r="F156" i="4"/>
  <c r="F147" i="4"/>
  <c r="F157" i="4" s="1"/>
  <c r="F45" i="3" s="1"/>
  <c r="G146" i="4"/>
  <c r="H145" i="4"/>
  <c r="H144" i="4" s="1"/>
  <c r="I153" i="4"/>
  <c r="I154" i="4" s="1"/>
  <c r="J151" i="4"/>
  <c r="F46" i="3" l="1"/>
  <c r="F47" i="3" s="1"/>
  <c r="G156" i="4"/>
  <c r="G147" i="4"/>
  <c r="G157" i="4" s="1"/>
  <c r="G45" i="3" s="1"/>
  <c r="E49" i="3"/>
  <c r="E57" i="3" s="1"/>
  <c r="J153" i="4"/>
  <c r="J154" i="4" s="1"/>
  <c r="K151" i="4"/>
  <c r="H146" i="4"/>
  <c r="I144" i="4"/>
  <c r="C63" i="3" l="1"/>
  <c r="F49" i="3"/>
  <c r="F57" i="3" s="1"/>
  <c r="H156" i="4"/>
  <c r="H147" i="4"/>
  <c r="H157" i="4" s="1"/>
  <c r="H45" i="3" s="1"/>
  <c r="G46" i="3"/>
  <c r="G47" i="3" s="1"/>
  <c r="K153" i="4"/>
  <c r="K154" i="4" s="1"/>
  <c r="L151" i="4"/>
  <c r="I146" i="4"/>
  <c r="J144" i="4"/>
  <c r="C64" i="3" l="1"/>
  <c r="G49" i="3"/>
  <c r="G57" i="3" s="1"/>
  <c r="I156" i="4"/>
  <c r="I147" i="4"/>
  <c r="I157" i="4" s="1"/>
  <c r="I45" i="3" s="1"/>
  <c r="H46" i="3"/>
  <c r="H47" i="3" s="1"/>
  <c r="J146" i="4"/>
  <c r="K144" i="4"/>
  <c r="M151" i="4"/>
  <c r="L153" i="4"/>
  <c r="L154" i="4" s="1"/>
  <c r="D63" i="3" l="1"/>
  <c r="I46" i="3"/>
  <c r="I47" i="3" s="1"/>
  <c r="J156" i="4"/>
  <c r="J147" i="4"/>
  <c r="J157" i="4" s="1"/>
  <c r="J45" i="3" s="1"/>
  <c r="H49" i="3"/>
  <c r="H57" i="3" s="1"/>
  <c r="M153" i="4"/>
  <c r="M154" i="4" s="1"/>
  <c r="K146" i="4"/>
  <c r="L144" i="4"/>
  <c r="E63" i="3" l="1"/>
  <c r="D64" i="3"/>
  <c r="J46" i="3"/>
  <c r="J47" i="3" s="1"/>
  <c r="I49" i="3"/>
  <c r="I57" i="3" s="1"/>
  <c r="K156" i="4"/>
  <c r="K147" i="4"/>
  <c r="K157" i="4" s="1"/>
  <c r="K45" i="3" s="1"/>
  <c r="M144" i="4"/>
  <c r="L146" i="4"/>
  <c r="F63" i="3" l="1"/>
  <c r="E64" i="3"/>
  <c r="K46" i="3"/>
  <c r="K47" i="3" s="1"/>
  <c r="J49" i="3"/>
  <c r="J57" i="3" s="1"/>
  <c r="L156" i="4"/>
  <c r="L147" i="4"/>
  <c r="L157" i="4" s="1"/>
  <c r="L45" i="3" s="1"/>
  <c r="G63" i="3"/>
  <c r="M146" i="4"/>
  <c r="F64" i="3" l="1"/>
  <c r="K49" i="3"/>
  <c r="K57" i="3" s="1"/>
  <c r="M156" i="4"/>
  <c r="M147" i="4"/>
  <c r="M157" i="4" s="1"/>
  <c r="M45" i="3" s="1"/>
  <c r="L46" i="3"/>
  <c r="L47" i="3" s="1"/>
  <c r="G64" i="3"/>
  <c r="O45" i="3" l="1"/>
  <c r="M46" i="3"/>
  <c r="L49" i="3"/>
  <c r="L57" i="3" s="1"/>
  <c r="H63" i="3"/>
  <c r="I63" i="3" l="1"/>
  <c r="M47" i="3"/>
  <c r="N45" i="3"/>
  <c r="I64" i="3"/>
  <c r="H64" i="3"/>
  <c r="J63" i="3" l="1"/>
  <c r="N47" i="3"/>
  <c r="M49" i="3"/>
  <c r="O47" i="3"/>
  <c r="K63" i="3" l="1"/>
  <c r="L63" i="3"/>
  <c r="J64" i="3"/>
  <c r="M57" i="3"/>
  <c r="N49" i="3"/>
  <c r="O49" i="3"/>
  <c r="L64" i="3"/>
  <c r="K64" i="3" l="1"/>
  <c r="O57" i="3"/>
  <c r="N57" i="3"/>
  <c r="M63" i="3" l="1"/>
  <c r="N60" i="3"/>
  <c r="N68" i="3" s="1"/>
  <c r="O60" i="3"/>
  <c r="O68" i="3" s="1"/>
  <c r="N63" i="3" l="1"/>
  <c r="N69" i="3" s="1"/>
  <c r="O63" i="3"/>
  <c r="O69" i="3" s="1"/>
  <c r="M64" i="3"/>
</calcChain>
</file>

<file path=xl/sharedStrings.xml><?xml version="1.0" encoding="utf-8"?>
<sst xmlns="http://schemas.openxmlformats.org/spreadsheetml/2006/main" count="361" uniqueCount="117">
  <si>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</si>
  <si>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</si>
  <si>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</si>
  <si>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</si>
  <si>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</si>
  <si>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</si>
  <si>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</si>
  <si>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</si>
  <si>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</si>
  <si>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</si>
  <si>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</si>
  <si>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</si>
  <si>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</si>
  <si>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</si>
  <si>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</si>
  <si>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</si>
  <si>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</si>
  <si>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</si>
  <si>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</si>
  <si>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</si>
  <si>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</si>
  <si>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</si>
  <si>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</si>
  <si>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</si>
  <si>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</si>
  <si>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</si>
  <si>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</si>
  <si>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</si>
  <si>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</si>
  <si>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</si>
  <si>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</si>
  <si>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</si>
  <si>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</si>
  <si>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</si>
  <si>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</si>
  <si>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</si>
  <si>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</si>
  <si>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</si>
  <si>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</si>
  <si>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</si>
  <si>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</si>
  <si>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</si>
  <si>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</si>
  <si>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</si>
  <si>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</si>
  <si>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</si>
  <si>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</si>
  <si>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</si>
  <si>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</si>
  <si>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</si>
  <si>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</si>
  <si>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</si>
  <si>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</si>
  <si>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</si>
  <si>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</si>
  <si>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Report des pertes</t>
  </si>
  <si>
    <t>Bénéfice fiscal</t>
  </si>
  <si>
    <t>Impôt sur les sociétés</t>
  </si>
  <si>
    <t>Taux de l'impôt sur les sociétés</t>
  </si>
  <si>
    <t>Taux de l'impôt minimum forfaitaire</t>
  </si>
  <si>
    <t>Impôt minimum forfaitaire</t>
  </si>
  <si>
    <t>Impôt sur les sociétés / Impôt minimum forfaitaire</t>
  </si>
  <si>
    <t>Total des prélèvements publics</t>
  </si>
  <si>
    <t>Flux nets de trésorerie après impôts</t>
  </si>
  <si>
    <t>Taux de rendement interne après impôts</t>
  </si>
  <si>
    <t>Rente minière</t>
  </si>
  <si>
    <t>Part de l'Etat</t>
  </si>
  <si>
    <t>Part de l'investisseur</t>
  </si>
  <si>
    <t>Régle de sous-capitalisation</t>
  </si>
  <si>
    <t>Taux d'intérêt légal maximum</t>
  </si>
  <si>
    <t>Total des intérêts déductibles</t>
  </si>
  <si>
    <t>Bénéfice avant report des pertes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</si>
  <si>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</si>
  <si>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</si>
  <si>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</si>
  <si>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</si>
  <si>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</si>
  <si>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</si>
  <si>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</si>
  <si>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</si>
  <si>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</si>
  <si>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</si>
  <si>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</si>
  <si>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</si>
  <si>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</si>
  <si>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</si>
  <si>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</si>
  <si>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</si>
  <si>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</si>
  <si>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</si>
  <si>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Montant minimum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</si>
  <si>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</si>
  <si>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</si>
  <si>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</si>
  <si>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</si>
  <si>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</si>
  <si>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</si>
  <si>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</si>
  <si>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</si>
  <si>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</si>
  <si>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</si>
  <si>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</si>
  <si>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+. LA TAXE SUR LA RENTE</t>
  </si>
  <si>
    <t>Taux de revalorisation des pertes</t>
  </si>
  <si>
    <t>Flux nets de trésorerie revalorisés</t>
  </si>
  <si>
    <t>Taux de rendement interne</t>
  </si>
  <si>
    <t>Seuil de déclenchement de la taxe sur la rente</t>
  </si>
  <si>
    <t>Report des pertes revalorisées</t>
  </si>
  <si>
    <t>Flux nets de trésorerie après report des pertes revalorisées</t>
  </si>
  <si>
    <t>Taux de la taxe sur la rente</t>
  </si>
  <si>
    <t>Taxe sur la rente</t>
  </si>
  <si>
    <t>VIII. IMPÔT SUR LES SOCIETES (IS)</t>
  </si>
  <si>
    <t>IX. IMPÔT MINIMUM FORFAITAIRE (IMF)</t>
  </si>
  <si>
    <t>X. IMPÔT SUR LES SOCIETES (IS) / IMPÔT MINIMUM FORFAITAIRE (IMF)</t>
  </si>
  <si>
    <t>XI. PRELEVEMENTS PUBLICS</t>
  </si>
  <si>
    <t>XII. FLUX NETS DE TRESORERIE APRES IMPÔTS</t>
  </si>
  <si>
    <t>XIII. PARTAGE DE LA RENTE MINIERE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</si>
</sst>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40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3" fontId="15" fillId="39" borderId="0" xfId="0" applyNumberFormat="1" applyFont="1" applyFill="1" applyAlignment="1">
      <alignment horizontal="right" vertical="top"/>
    </xf>
    <xf numFmtId="164" fontId="15" fillId="39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  <xf numFmtId="9" fontId="15" fillId="36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zoomScaleNormal="100" workbookViewId="0">
      <pane xSplit="2" ySplit="1" topLeftCell="C3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  <c r="N1" s="32" t="s">
        <v>22</v>
      </c>
      <c r="O1" s="32" t="s">
        <v>1</v>
      </c>
    </row>
    <row r="2" spans="1:15" s="2" customFormat="1" x14ac:dyDescent="0.2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30" customFormat="1" x14ac:dyDescent="0.2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  <row r="33" spans="1:15" x14ac:dyDescent="0.2">
      <c r="A33" s="8"/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">
      <c r="A34" s="3" t="s">
        <v>102</v>
      </c>
      <c r="B34" s="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">
      <c r="A35" s="6" t="s">
        <v>103</v>
      </c>
      <c r="B35" s="7" t="s">
        <v>8</v>
      </c>
      <c r="C35" s="25">
        <v>0.02</v>
      </c>
      <c r="D35" s="25">
        <v>0.02</v>
      </c>
      <c r="E35" s="25">
        <v>0.02</v>
      </c>
      <c r="F35" s="25">
        <v>0.02</v>
      </c>
      <c r="G35" s="25">
        <v>0.02</v>
      </c>
      <c r="H35" s="25">
        <v>0.02</v>
      </c>
      <c r="I35" s="25">
        <v>0.02</v>
      </c>
      <c r="J35" s="25">
        <v>0.02</v>
      </c>
      <c r="K35" s="25">
        <v>0.02</v>
      </c>
      <c r="L35" s="25">
        <v>0.02</v>
      </c>
      <c r="M35" s="25">
        <v>0.02</v>
      </c>
      <c r="N35" s="13"/>
      <c r="O35" s="13"/>
    </row>
    <row r="36" spans="1:15" x14ac:dyDescent="0.2">
      <c r="A36" s="6" t="s">
        <v>104</v>
      </c>
      <c r="B36" s="7" t="s">
        <v>7</v>
      </c>
      <c r="C36" s="13">
        <f>IF(C19&lt;0,C19*(1+C35),C19)</f>
        <v>-51000000</v>
      </c>
      <c r="D36" s="13">
        <f t="shared" ref="D36:M36" si="18">IF(D19&lt;0,D19*(1+D35),D19)</f>
        <v>-153000000</v>
      </c>
      <c r="E36" s="13">
        <f t="shared" si="18"/>
        <v>145000000</v>
      </c>
      <c r="F36" s="13">
        <f t="shared" si="18"/>
        <v>145000000</v>
      </c>
      <c r="G36" s="13">
        <f t="shared" si="18"/>
        <v>145000000</v>
      </c>
      <c r="H36" s="13">
        <f t="shared" si="18"/>
        <v>145000000</v>
      </c>
      <c r="I36" s="13">
        <f t="shared" si="18"/>
        <v>145000000</v>
      </c>
      <c r="J36" s="13">
        <f t="shared" si="18"/>
        <v>145000000</v>
      </c>
      <c r="K36" s="13">
        <f t="shared" si="18"/>
        <v>145000000</v>
      </c>
      <c r="L36" s="13">
        <f t="shared" si="18"/>
        <v>145000000</v>
      </c>
      <c r="M36" s="13">
        <f t="shared" si="18"/>
        <v>-10200000</v>
      </c>
      <c r="N36" s="13">
        <f t="shared" ref="N36" si="19">SUM($C36:$M36)</f>
        <v>945800000</v>
      </c>
      <c r="O36" s="13">
        <f t="shared" ref="O36" si="20">$C36+NPV(10%,$D36:$M36)</f>
        <v>509216820.89862442</v>
      </c>
    </row>
    <row r="37" spans="1:15" x14ac:dyDescent="0.2">
      <c r="A37" s="6" t="s">
        <v>105</v>
      </c>
      <c r="B37" s="7" t="s">
        <v>8</v>
      </c>
      <c r="C37" s="39" t="str">
        <f>IF(ISNUMBER(IRR($C36:C36)),IF(IRR($C36:C36)&gt;0,IRR($C36:C36),""),"")</f>
        <v/>
      </c>
      <c r="D37" s="39" t="str">
        <f>IF(ISNUMBER(IRR($C36:D36)),IF(IRR($C36:D36)&gt;0,IRR($C36:D36),""),"")</f>
        <v/>
      </c>
      <c r="E37" s="39" t="str">
        <f>IF(ISNUMBER(IRR($C36:E36)),IF(IRR($C36:E36)&gt;0,IRR($C36:E36),""),"")</f>
        <v/>
      </c>
      <c r="F37" s="39">
        <f>IF(ISNUMBER(IRR($C36:F36)),IF(IRR($C36:F36)&gt;0,IRR($C36:F36),""),"")</f>
        <v>0.22342633235459886</v>
      </c>
      <c r="G37" s="39">
        <f>IF(ISNUMBER(IRR($C36:G36)),IF(IRR($C36:G36)&gt;0,IRR($C36:G36),""),"")</f>
        <v>0.41772237809300017</v>
      </c>
      <c r="H37" s="39">
        <f>IF(ISNUMBER(IRR($C36:H36)),IF(IRR($C36:H36)&gt;0,IRR($C36:H36),""),"")</f>
        <v>0.50892360100087197</v>
      </c>
      <c r="I37" s="39">
        <f>IF(ISNUMBER(IRR($C36:I36)),IF(IRR($C36:I36)&gt;0,IRR($C36:I36),""),"")</f>
        <v>0.55558431271047115</v>
      </c>
      <c r="J37" s="39">
        <f>IF(ISNUMBER(IRR($C36:J36)),IF(IRR($C36:J36)&gt;0,IRR($C36:J36),""),"")</f>
        <v>0.58089254297937165</v>
      </c>
      <c r="K37" s="39">
        <f>IF(ISNUMBER(IRR($C36:K36)),IF(IRR($C36:K36)&gt;0,IRR($C36:K36),""),"")</f>
        <v>0.59518047980290656</v>
      </c>
      <c r="L37" s="39">
        <f>IF(ISNUMBER(IRR($C36:L36)),IF(IRR($C36:L36)&gt;0,IRR($C36:L36),""),"")</f>
        <v>0.60347443537632639</v>
      </c>
      <c r="M37" s="39">
        <f>IF(ISNUMBER(IRR($C36:M36)),IF(IRR($C36:M36)&gt;0,IRR($C36:M36),""),"")</f>
        <v>0.60312111594384543</v>
      </c>
      <c r="N37" s="13"/>
      <c r="O37" s="13"/>
    </row>
    <row r="38" spans="1:15" x14ac:dyDescent="0.2">
      <c r="A38" s="6" t="s">
        <v>106</v>
      </c>
      <c r="B38" s="7" t="s">
        <v>8</v>
      </c>
      <c r="C38" s="25">
        <v>0.15</v>
      </c>
      <c r="D38" s="25">
        <v>0.15</v>
      </c>
      <c r="E38" s="25">
        <v>0.15</v>
      </c>
      <c r="F38" s="25">
        <v>0.15</v>
      </c>
      <c r="G38" s="25">
        <v>0.15</v>
      </c>
      <c r="H38" s="25">
        <v>0.15</v>
      </c>
      <c r="I38" s="25">
        <v>0.15</v>
      </c>
      <c r="J38" s="25">
        <v>0.15</v>
      </c>
      <c r="K38" s="25">
        <v>0.15</v>
      </c>
      <c r="L38" s="25">
        <v>0.15</v>
      </c>
      <c r="M38" s="25">
        <v>0.15</v>
      </c>
      <c r="N38" s="13"/>
      <c r="O38" s="13"/>
    </row>
    <row r="39" spans="1:15" x14ac:dyDescent="0.2">
      <c r="A39" s="6" t="s">
        <v>107</v>
      </c>
      <c r="B39" s="7"/>
      <c r="C39" s="13"/>
      <c r="D39" s="13">
        <f>IF(C40&lt;0,C40,0)</f>
        <v>-51000000</v>
      </c>
      <c r="E39" s="13">
        <f t="shared" ref="E39:M39" si="21">IF(D40&lt;0,D40,0)</f>
        <v>-204000000</v>
      </c>
      <c r="F39" s="13">
        <f t="shared" si="21"/>
        <v>-59000000</v>
      </c>
      <c r="G39" s="13">
        <f t="shared" si="21"/>
        <v>0</v>
      </c>
      <c r="H39" s="13">
        <f t="shared" si="21"/>
        <v>0</v>
      </c>
      <c r="I39" s="13">
        <f t="shared" si="21"/>
        <v>0</v>
      </c>
      <c r="J39" s="13">
        <f t="shared" si="21"/>
        <v>0</v>
      </c>
      <c r="K39" s="13">
        <f t="shared" si="21"/>
        <v>0</v>
      </c>
      <c r="L39" s="13">
        <f t="shared" si="21"/>
        <v>0</v>
      </c>
      <c r="M39" s="13">
        <f t="shared" si="21"/>
        <v>0</v>
      </c>
      <c r="N39" s="13"/>
      <c r="O39" s="13"/>
    </row>
    <row r="40" spans="1:15" x14ac:dyDescent="0.2">
      <c r="A40" s="6" t="s">
        <v>108</v>
      </c>
      <c r="B40" s="7" t="s">
        <v>7</v>
      </c>
      <c r="C40" s="13">
        <f>C36+C39</f>
        <v>-51000000</v>
      </c>
      <c r="D40" s="13">
        <f>D36+D39</f>
        <v>-204000000</v>
      </c>
      <c r="E40" s="13">
        <f t="shared" ref="E40:M40" si="22">E36+E39</f>
        <v>-59000000</v>
      </c>
      <c r="F40" s="13">
        <f t="shared" si="22"/>
        <v>86000000</v>
      </c>
      <c r="G40" s="13">
        <f t="shared" si="22"/>
        <v>145000000</v>
      </c>
      <c r="H40" s="13">
        <f t="shared" si="22"/>
        <v>145000000</v>
      </c>
      <c r="I40" s="13">
        <f t="shared" si="22"/>
        <v>145000000</v>
      </c>
      <c r="J40" s="13">
        <f t="shared" si="22"/>
        <v>145000000</v>
      </c>
      <c r="K40" s="13">
        <f t="shared" si="22"/>
        <v>145000000</v>
      </c>
      <c r="L40" s="13">
        <f t="shared" si="22"/>
        <v>145000000</v>
      </c>
      <c r="M40" s="13">
        <f t="shared" si="22"/>
        <v>-10200000</v>
      </c>
      <c r="N40" s="13">
        <f t="shared" ref="N40" si="23">SUM($C40:$M40)</f>
        <v>631800000</v>
      </c>
      <c r="O40" s="13">
        <f t="shared" ref="O40" si="24">$C40+NPV(10%,$D40:$M40)</f>
        <v>249930569.95948094</v>
      </c>
    </row>
    <row r="41" spans="1:15" x14ac:dyDescent="0.2">
      <c r="A41" s="6" t="s">
        <v>109</v>
      </c>
      <c r="B41" s="7" t="s">
        <v>8</v>
      </c>
      <c r="C41" s="25">
        <v>0.2</v>
      </c>
      <c r="D41" s="25">
        <v>0.2</v>
      </c>
      <c r="E41" s="25">
        <v>0.2</v>
      </c>
      <c r="F41" s="25">
        <v>0.2</v>
      </c>
      <c r="G41" s="25">
        <v>0.2</v>
      </c>
      <c r="H41" s="25">
        <v>0.2</v>
      </c>
      <c r="I41" s="25">
        <v>0.2</v>
      </c>
      <c r="J41" s="25">
        <v>0.2</v>
      </c>
      <c r="K41" s="25">
        <v>0.2</v>
      </c>
      <c r="L41" s="25">
        <v>0.2</v>
      </c>
      <c r="M41" s="25">
        <v>0.2</v>
      </c>
      <c r="N41" s="13"/>
      <c r="O41" s="13"/>
    </row>
    <row r="42" spans="1:15" x14ac:dyDescent="0.2">
      <c r="A42" s="6" t="s">
        <v>110</v>
      </c>
      <c r="B42" s="7" t="s">
        <v>7</v>
      </c>
      <c r="C42" s="14">
        <f>IF(C37&lt;C38,0,IF(C40&lt;0,0,C40*C41))</f>
        <v>0</v>
      </c>
      <c r="D42" s="14">
        <f t="shared" ref="D42:M42" si="25">IF(D37&lt;D38,0,IF(D40&lt;0,0,D40*D41))</f>
        <v>0</v>
      </c>
      <c r="E42" s="14">
        <f t="shared" si="25"/>
        <v>0</v>
      </c>
      <c r="F42" s="14">
        <f>IF(F37&lt;F38,0,IF(F40&lt;0,0,F40*F41))</f>
        <v>17200000</v>
      </c>
      <c r="G42" s="14">
        <f t="shared" si="25"/>
        <v>29000000</v>
      </c>
      <c r="H42" s="14">
        <f t="shared" si="25"/>
        <v>29000000</v>
      </c>
      <c r="I42" s="14">
        <f t="shared" si="25"/>
        <v>29000000</v>
      </c>
      <c r="J42" s="14">
        <f t="shared" si="25"/>
        <v>29000000</v>
      </c>
      <c r="K42" s="14">
        <f t="shared" si="25"/>
        <v>29000000</v>
      </c>
      <c r="L42" s="14">
        <f t="shared" si="25"/>
        <v>29000000</v>
      </c>
      <c r="M42" s="14">
        <f t="shared" si="25"/>
        <v>0</v>
      </c>
      <c r="N42" s="14">
        <f>SUM($C42:$M42)</f>
        <v>191200000</v>
      </c>
      <c r="O42" s="14">
        <f t="shared" ref="O42" si="26">$C42+NPV(10%,$D42:$M42)</f>
        <v>107815597.508944</v>
      </c>
    </row>
    <row r="43" spans="1:15" x14ac:dyDescent="0.2">
      <c r="A43" s="8"/>
      <c r="B43" s="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">
      <c r="A44" s="3" t="s">
        <v>111</v>
      </c>
      <c r="B44" s="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x14ac:dyDescent="0.2">
      <c r="A45" s="6" t="s">
        <v>71</v>
      </c>
      <c r="B45" s="7" t="s">
        <v>7</v>
      </c>
      <c r="C45" s="13">
        <f>C$6-C$16-C$23-C$28-C$32-C$42-'Amortissements et Emprunt'!C$25-'Amortissements et Emprunt'!C$119-'Amortissements et Emprunt'!C133-'Amortissements et Emprunt'!C$157</f>
        <v>-7610000</v>
      </c>
      <c r="D45" s="13">
        <f>D$6-D$16-D$23-D$28-D$32-D$42-'Amortissements et Emprunt'!D$25-'Amortissements et Emprunt'!D$119-'Amortissements et Emprunt'!D133-'Amortissements et Emprunt'!D$157</f>
        <v>-44510000</v>
      </c>
      <c r="E45" s="13">
        <f>E$6-E$16-E$23-E$28-E$32-E$42-'Amortissements et Emprunt'!E$25-'Amortissements et Emprunt'!E$119-'Amortissements et Emprunt'!E133-'Amortissements et Emprunt'!E$157</f>
        <v>100490000</v>
      </c>
      <c r="F45" s="13">
        <f>F$6-F$16-F$23-F$28-F$32-F$42-'Amortissements et Emprunt'!F$25-'Amortissements et Emprunt'!F$119-'Amortissements et Emprunt'!F133-'Amortissements et Emprunt'!F$157</f>
        <v>88890000</v>
      </c>
      <c r="G45" s="13">
        <f>G$6-G$16-G$23-G$28-G$32-G$42-'Amortissements et Emprunt'!G$25-'Amortissements et Emprunt'!G$119-'Amortissements et Emprunt'!G133-'Amortissements et Emprunt'!G$157</f>
        <v>80170000</v>
      </c>
      <c r="H45" s="13">
        <f>H$6-H$16-H$23-H$28-H$32-H$42-'Amortissements et Emprunt'!H$25-'Amortissements et Emprunt'!H$119-'Amortissements et Emprunt'!H133-'Amortissements et Emprunt'!H$157</f>
        <v>81630000</v>
      </c>
      <c r="I45" s="13">
        <f>I$6-I$16-I$23-I$28-I$32-I$42-'Amortissements et Emprunt'!I$25-'Amortissements et Emprunt'!I$119-'Amortissements et Emprunt'!I133-'Amortissements et Emprunt'!I$157</f>
        <v>87990000</v>
      </c>
      <c r="J45" s="13">
        <f>J$6-J$16-J$23-J$28-J$32-J$42-'Amortissements et Emprunt'!J$25-'Amortissements et Emprunt'!J$119-'Amortissements et Emprunt'!J133-'Amortissements et Emprunt'!J$157</f>
        <v>87990000</v>
      </c>
      <c r="K45" s="13">
        <f>K$6-K$16-K$23-K$28-K$32-K$42-'Amortissements et Emprunt'!K$25-'Amortissements et Emprunt'!K$119-'Amortissements et Emprunt'!K133-'Amortissements et Emprunt'!K$157</f>
        <v>87990000</v>
      </c>
      <c r="L45" s="13">
        <f>L$6-L$16-L$23-L$28-L$32-L$42-'Amortissements et Emprunt'!L$25-'Amortissements et Emprunt'!L$119-'Amortissements et Emprunt'!L133-'Amortissements et Emprunt'!L$157</f>
        <v>87010000</v>
      </c>
      <c r="M45" s="13">
        <f>M$6-M$16-M$23-M$28-M$32-M$42-'Amortissements et Emprunt'!M$25-'Amortissements et Emprunt'!M$119-'Amortissements et Emprunt'!M133-'Amortissements et Emprunt'!M$157</f>
        <v>-25450000</v>
      </c>
      <c r="N45" s="13">
        <f t="shared" ref="N45" si="27">SUM($C45:$M45)</f>
        <v>624590000</v>
      </c>
      <c r="O45" s="13">
        <f t="shared" ref="O45" si="28">$C45+NPV(10%,$D45:$M45)</f>
        <v>370160804.75511533</v>
      </c>
    </row>
    <row r="46" spans="1:15" x14ac:dyDescent="0.2">
      <c r="A46" s="6" t="s">
        <v>55</v>
      </c>
      <c r="B46" s="7" t="s">
        <v>7</v>
      </c>
      <c r="C46" s="13"/>
      <c r="D46" s="13">
        <f>IF(C47&lt;0,C47,0)</f>
        <v>-7610000</v>
      </c>
      <c r="E46" s="13">
        <f>IF(D47&lt;0,D47,0)</f>
        <v>-52120000</v>
      </c>
      <c r="F46" s="13">
        <f t="shared" ref="F46:M46" si="29">IF(E47&lt;0,E47,0)</f>
        <v>0</v>
      </c>
      <c r="G46" s="13">
        <f t="shared" si="29"/>
        <v>0</v>
      </c>
      <c r="H46" s="13">
        <f t="shared" si="29"/>
        <v>0</v>
      </c>
      <c r="I46" s="13">
        <f t="shared" si="29"/>
        <v>0</v>
      </c>
      <c r="J46" s="13">
        <f t="shared" si="29"/>
        <v>0</v>
      </c>
      <c r="K46" s="13">
        <f t="shared" si="29"/>
        <v>0</v>
      </c>
      <c r="L46" s="13">
        <f t="shared" si="29"/>
        <v>0</v>
      </c>
      <c r="M46" s="13">
        <f t="shared" si="29"/>
        <v>0</v>
      </c>
      <c r="N46" s="17"/>
      <c r="O46" s="17"/>
    </row>
    <row r="47" spans="1:15" x14ac:dyDescent="0.2">
      <c r="A47" s="6" t="s">
        <v>56</v>
      </c>
      <c r="B47" s="7" t="s">
        <v>7</v>
      </c>
      <c r="C47" s="13">
        <f t="shared" ref="C47:M47" si="30">C$45+C$46</f>
        <v>-7610000</v>
      </c>
      <c r="D47" s="13">
        <f t="shared" si="30"/>
        <v>-52120000</v>
      </c>
      <c r="E47" s="13">
        <f t="shared" si="30"/>
        <v>48370000</v>
      </c>
      <c r="F47" s="13">
        <f t="shared" si="30"/>
        <v>88890000</v>
      </c>
      <c r="G47" s="13">
        <f t="shared" si="30"/>
        <v>80170000</v>
      </c>
      <c r="H47" s="13">
        <f t="shared" si="30"/>
        <v>81630000</v>
      </c>
      <c r="I47" s="13">
        <f t="shared" si="30"/>
        <v>87990000</v>
      </c>
      <c r="J47" s="13">
        <f t="shared" si="30"/>
        <v>87990000</v>
      </c>
      <c r="K47" s="13">
        <f t="shared" si="30"/>
        <v>87990000</v>
      </c>
      <c r="L47" s="13">
        <f t="shared" si="30"/>
        <v>87010000</v>
      </c>
      <c r="M47" s="13">
        <f t="shared" si="30"/>
        <v>-25450000</v>
      </c>
      <c r="N47" s="13">
        <f t="shared" ref="N47" si="31">SUM($C47:$M47)</f>
        <v>564860000</v>
      </c>
      <c r="O47" s="13">
        <f t="shared" ref="O47" si="32">$C47+NPV(10%,$D47:$M47)</f>
        <v>320168242.77164423</v>
      </c>
    </row>
    <row r="48" spans="1:15" x14ac:dyDescent="0.2">
      <c r="A48" s="6" t="s">
        <v>58</v>
      </c>
      <c r="B48" s="7" t="s">
        <v>8</v>
      </c>
      <c r="C48" s="25">
        <v>0.3</v>
      </c>
      <c r="D48" s="25">
        <v>0.3</v>
      </c>
      <c r="E48" s="25">
        <v>0.3</v>
      </c>
      <c r="F48" s="25">
        <v>0.3</v>
      </c>
      <c r="G48" s="25">
        <v>0.3</v>
      </c>
      <c r="H48" s="25">
        <v>0.3</v>
      </c>
      <c r="I48" s="25">
        <v>0.3</v>
      </c>
      <c r="J48" s="25">
        <v>0.3</v>
      </c>
      <c r="K48" s="25">
        <v>0.3</v>
      </c>
      <c r="L48" s="25">
        <v>0.3</v>
      </c>
      <c r="M48" s="25">
        <v>0.3</v>
      </c>
      <c r="N48" s="17"/>
      <c r="O48" s="17"/>
    </row>
    <row r="49" spans="1:15" x14ac:dyDescent="0.2">
      <c r="A49" s="6" t="s">
        <v>57</v>
      </c>
      <c r="B49" s="7" t="s">
        <v>7</v>
      </c>
      <c r="C49" s="14">
        <f>IF(C$47&gt;0,C$47*C$48,0)</f>
        <v>0</v>
      </c>
      <c r="D49" s="14">
        <f t="shared" ref="D49:M49" si="33">IF(D$47&gt;0,D$47*D$48,0)</f>
        <v>0</v>
      </c>
      <c r="E49" s="14">
        <f t="shared" si="33"/>
        <v>14511000</v>
      </c>
      <c r="F49" s="14">
        <f t="shared" si="33"/>
        <v>26667000</v>
      </c>
      <c r="G49" s="14">
        <f t="shared" si="33"/>
        <v>24051000</v>
      </c>
      <c r="H49" s="14">
        <f t="shared" si="33"/>
        <v>24489000</v>
      </c>
      <c r="I49" s="14">
        <f t="shared" si="33"/>
        <v>26397000</v>
      </c>
      <c r="J49" s="14">
        <f t="shared" si="33"/>
        <v>26397000</v>
      </c>
      <c r="K49" s="14">
        <f t="shared" si="33"/>
        <v>26397000</v>
      </c>
      <c r="L49" s="14">
        <f t="shared" si="33"/>
        <v>26103000</v>
      </c>
      <c r="M49" s="14">
        <f t="shared" si="33"/>
        <v>0</v>
      </c>
      <c r="N49" s="14">
        <f>SUM($C49:$M49)</f>
        <v>195012000</v>
      </c>
      <c r="O49" s="14">
        <f t="shared" ref="O49" si="34">$C49+NPV(10%,$D49:$M49)</f>
        <v>115491641.3008332</v>
      </c>
    </row>
    <row r="50" spans="1:15" x14ac:dyDescent="0.2">
      <c r="A50" s="8"/>
      <c r="B50" s="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2">
      <c r="A51" s="3" t="s">
        <v>112</v>
      </c>
      <c r="B51" s="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">
      <c r="A52" s="6" t="s">
        <v>90</v>
      </c>
      <c r="B52" s="7" t="s">
        <v>7</v>
      </c>
      <c r="C52" s="23">
        <v>2000</v>
      </c>
      <c r="D52" s="23">
        <v>2000</v>
      </c>
      <c r="E52" s="23">
        <v>2000</v>
      </c>
      <c r="F52" s="23">
        <v>2000</v>
      </c>
      <c r="G52" s="23">
        <v>2000</v>
      </c>
      <c r="H52" s="23">
        <v>2000</v>
      </c>
      <c r="I52" s="23">
        <v>2000</v>
      </c>
      <c r="J52" s="23">
        <v>2000</v>
      </c>
      <c r="K52" s="23">
        <v>2000</v>
      </c>
      <c r="L52" s="23">
        <v>2000</v>
      </c>
      <c r="M52" s="23">
        <v>2000</v>
      </c>
      <c r="N52" s="17"/>
      <c r="O52" s="17"/>
    </row>
    <row r="53" spans="1:15" x14ac:dyDescent="0.2">
      <c r="A53" s="6" t="s">
        <v>59</v>
      </c>
      <c r="B53" s="7" t="s">
        <v>8</v>
      </c>
      <c r="C53" s="25">
        <v>0.01</v>
      </c>
      <c r="D53" s="25">
        <v>0.01</v>
      </c>
      <c r="E53" s="25">
        <v>0.01</v>
      </c>
      <c r="F53" s="25">
        <v>0.01</v>
      </c>
      <c r="G53" s="25">
        <v>0.01</v>
      </c>
      <c r="H53" s="25">
        <v>0.01</v>
      </c>
      <c r="I53" s="25">
        <v>0.01</v>
      </c>
      <c r="J53" s="25">
        <v>0.01</v>
      </c>
      <c r="K53" s="25">
        <v>0.01</v>
      </c>
      <c r="L53" s="25">
        <v>0.01</v>
      </c>
      <c r="M53" s="25">
        <v>0.01</v>
      </c>
      <c r="N53" s="17"/>
      <c r="O53" s="17"/>
    </row>
    <row r="54" spans="1:15" x14ac:dyDescent="0.2">
      <c r="A54" s="6" t="s">
        <v>60</v>
      </c>
      <c r="B54" s="7" t="s">
        <v>7</v>
      </c>
      <c r="C54" s="14">
        <f t="shared" ref="C54:M54" si="35">IF(C$6*C$53&gt;C$52,C$6*C$53,C$52)</f>
        <v>2000</v>
      </c>
      <c r="D54" s="14">
        <f t="shared" si="35"/>
        <v>2000</v>
      </c>
      <c r="E54" s="14">
        <f t="shared" si="35"/>
        <v>3250000</v>
      </c>
      <c r="F54" s="14">
        <f t="shared" si="35"/>
        <v>3250000</v>
      </c>
      <c r="G54" s="14">
        <f t="shared" si="35"/>
        <v>3250000</v>
      </c>
      <c r="H54" s="14">
        <f t="shared" si="35"/>
        <v>3250000</v>
      </c>
      <c r="I54" s="14">
        <f t="shared" si="35"/>
        <v>3250000</v>
      </c>
      <c r="J54" s="14">
        <f t="shared" si="35"/>
        <v>3250000</v>
      </c>
      <c r="K54" s="14">
        <f t="shared" si="35"/>
        <v>3250000</v>
      </c>
      <c r="L54" s="14">
        <f t="shared" si="35"/>
        <v>3250000</v>
      </c>
      <c r="M54" s="14">
        <f t="shared" si="35"/>
        <v>2000</v>
      </c>
      <c r="N54" s="14">
        <f>SUM($C54:$M54)</f>
        <v>26006000</v>
      </c>
      <c r="O54" s="14">
        <f t="shared" ref="O54" si="36">$C54+NPV(10%,$D54:$M54)</f>
        <v>15766871.216745818</v>
      </c>
    </row>
    <row r="55" spans="1:15" x14ac:dyDescent="0.2">
      <c r="A55" s="8"/>
      <c r="B55" s="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">
      <c r="A56" s="3" t="s">
        <v>113</v>
      </c>
      <c r="B56" s="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">
      <c r="A57" s="6" t="s">
        <v>61</v>
      </c>
      <c r="B57" s="7" t="s">
        <v>7</v>
      </c>
      <c r="C57" s="14">
        <f t="shared" ref="C57:M57" si="37">IF(C$54&gt;C$49,C$54,C$49)</f>
        <v>2000</v>
      </c>
      <c r="D57" s="14">
        <f t="shared" si="37"/>
        <v>2000</v>
      </c>
      <c r="E57" s="14">
        <f t="shared" si="37"/>
        <v>14511000</v>
      </c>
      <c r="F57" s="14">
        <f t="shared" si="37"/>
        <v>26667000</v>
      </c>
      <c r="G57" s="14">
        <f t="shared" si="37"/>
        <v>24051000</v>
      </c>
      <c r="H57" s="14">
        <f t="shared" si="37"/>
        <v>24489000</v>
      </c>
      <c r="I57" s="14">
        <f t="shared" si="37"/>
        <v>26397000</v>
      </c>
      <c r="J57" s="14">
        <f t="shared" si="37"/>
        <v>26397000</v>
      </c>
      <c r="K57" s="14">
        <f t="shared" si="37"/>
        <v>26397000</v>
      </c>
      <c r="L57" s="14">
        <f t="shared" si="37"/>
        <v>26103000</v>
      </c>
      <c r="M57" s="14">
        <f t="shared" si="37"/>
        <v>2000</v>
      </c>
      <c r="N57" s="14">
        <f>SUM($C57:$M57)</f>
        <v>195018000</v>
      </c>
      <c r="O57" s="14">
        <f t="shared" ref="O57" si="38">$C57+NPV(10%,$D57:$M57)</f>
        <v>115496230.56923024</v>
      </c>
    </row>
    <row r="58" spans="1:15" x14ac:dyDescent="0.2">
      <c r="A58" s="11"/>
      <c r="B58" s="1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5" x14ac:dyDescent="0.2">
      <c r="A59" s="3" t="s">
        <v>114</v>
      </c>
      <c r="B59" s="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">
      <c r="A60" s="6" t="s">
        <v>62</v>
      </c>
      <c r="B60" s="7" t="s">
        <v>7</v>
      </c>
      <c r="C60" s="14">
        <f>C$23+C$28+C$32+C$42+C$57</f>
        <v>112000</v>
      </c>
      <c r="D60" s="14">
        <f t="shared" ref="D60:M60" si="39">D$23+D$28+D$32+D$42+D$57</f>
        <v>12000</v>
      </c>
      <c r="E60" s="14">
        <f t="shared" si="39"/>
        <v>27521000</v>
      </c>
      <c r="F60" s="14">
        <f t="shared" si="39"/>
        <v>56877000</v>
      </c>
      <c r="G60" s="14">
        <f t="shared" si="39"/>
        <v>66061000</v>
      </c>
      <c r="H60" s="14">
        <f t="shared" si="39"/>
        <v>66499000</v>
      </c>
      <c r="I60" s="14">
        <f t="shared" si="39"/>
        <v>68407000</v>
      </c>
      <c r="J60" s="14">
        <f t="shared" si="39"/>
        <v>68407000</v>
      </c>
      <c r="K60" s="14">
        <f t="shared" si="39"/>
        <v>68407000</v>
      </c>
      <c r="L60" s="14">
        <f t="shared" si="39"/>
        <v>68113000</v>
      </c>
      <c r="M60" s="14">
        <f t="shared" si="39"/>
        <v>12000</v>
      </c>
      <c r="N60" s="14">
        <f>SUM($C60:$M60)</f>
        <v>490428000</v>
      </c>
      <c r="O60" s="14">
        <f t="shared" ref="O60" si="40">$C60+NPV(10%,$D60:$M60)</f>
        <v>286532401.54262638</v>
      </c>
    </row>
    <row r="61" spans="1:15" x14ac:dyDescent="0.2">
      <c r="A61" s="11"/>
      <c r="B61" s="11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x14ac:dyDescent="0.2">
      <c r="A62" s="3" t="s">
        <v>115</v>
      </c>
      <c r="B62" s="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">
      <c r="A63" s="6" t="s">
        <v>63</v>
      </c>
      <c r="B63" s="7" t="s">
        <v>7</v>
      </c>
      <c r="C63" s="14">
        <f t="shared" ref="C63:M63" si="41">C$19-C$60</f>
        <v>-50112000</v>
      </c>
      <c r="D63" s="14">
        <f t="shared" si="41"/>
        <v>-150012000</v>
      </c>
      <c r="E63" s="14">
        <f t="shared" si="41"/>
        <v>117479000</v>
      </c>
      <c r="F63" s="14">
        <f t="shared" si="41"/>
        <v>88123000</v>
      </c>
      <c r="G63" s="14">
        <f t="shared" si="41"/>
        <v>78939000</v>
      </c>
      <c r="H63" s="14">
        <f t="shared" si="41"/>
        <v>78501000</v>
      </c>
      <c r="I63" s="14">
        <f t="shared" si="41"/>
        <v>76593000</v>
      </c>
      <c r="J63" s="14">
        <f t="shared" si="41"/>
        <v>76593000</v>
      </c>
      <c r="K63" s="14">
        <f t="shared" si="41"/>
        <v>76593000</v>
      </c>
      <c r="L63" s="14">
        <f t="shared" si="41"/>
        <v>76887000</v>
      </c>
      <c r="M63" s="14">
        <f t="shared" si="41"/>
        <v>-10012000</v>
      </c>
      <c r="N63" s="14">
        <f t="shared" ref="N63" si="42">SUM($C63:$M63)</f>
        <v>459572000</v>
      </c>
      <c r="O63" s="14">
        <f t="shared" ref="O63" si="43">$C63+NPV(10%,$D63:$M63)</f>
        <v>226488800.74115664</v>
      </c>
    </row>
    <row r="64" spans="1:15" x14ac:dyDescent="0.2">
      <c r="A64" s="6" t="s">
        <v>64</v>
      </c>
      <c r="B64" s="7" t="s">
        <v>8</v>
      </c>
      <c r="C64" s="19" t="str">
        <f>IF(ISNUMBER(IRR($C63:C63)),IF(IRR($C63:C63)&gt;0,IRR($C63:C63),""),"")</f>
        <v/>
      </c>
      <c r="D64" s="19" t="str">
        <f>IF(ISNUMBER(IRR($C63:D63)),IF(IRR($C63:D63)&gt;0,IRR($C63:D63),""),"")</f>
        <v/>
      </c>
      <c r="E64" s="19" t="str">
        <f>IF(ISNUMBER(IRR($C63:E63)),IF(IRR($C63:E63)&gt;0,IRR($C63:E63),""),"")</f>
        <v/>
      </c>
      <c r="F64" s="19">
        <f>IF(ISNUMBER(IRR($C63:F63)),IF(IRR($C63:F63)&gt;0,IRR($C63:F63),""),"")</f>
        <v>1.621836067264959E-2</v>
      </c>
      <c r="G64" s="19">
        <f>IF(ISNUMBER(IRR($C63:G63)),IF(IRR($C63:G63)&gt;0,IRR($C63:G63),""),"")</f>
        <v>0.18482883039868825</v>
      </c>
      <c r="H64" s="19">
        <f>IF(ISNUMBER(IRR($C63:H63)),IF(IRR($C63:H63)&gt;0,IRR($C63:H63),""),"")</f>
        <v>0.27560328630237207</v>
      </c>
      <c r="I64" s="19">
        <f>IF(ISNUMBER(IRR($C63:I63)),IF(IRR($C63:I63)&gt;0,IRR($C63:I63),""),"")</f>
        <v>0.32645511735050814</v>
      </c>
      <c r="J64" s="19">
        <f>IF(ISNUMBER(IRR($C63:J63)),IF(IRR($C63:J63)&gt;0,IRR($C63:J63),""),"")</f>
        <v>0.35715004002994277</v>
      </c>
      <c r="K64" s="19">
        <f>IF(ISNUMBER(IRR($C63:K63)),IF(IRR($C63:K63)&gt;0,IRR($C63:K63),""),"")</f>
        <v>0.37635888156083253</v>
      </c>
      <c r="L64" s="19">
        <f>IF(ISNUMBER(IRR($C63:L63)),IF(IRR($C63:L63)&gt;0,IRR($C63:L63),""),"")</f>
        <v>0.38876600729821997</v>
      </c>
      <c r="M64" s="19">
        <f>IF(ISNUMBER(IRR($C63:M63)),IF(IRR($C63:M63)&gt;0,IRR($C63:M63),""),"")</f>
        <v>0.38765506942281225</v>
      </c>
      <c r="N64" s="20"/>
      <c r="O64" s="20"/>
    </row>
    <row r="65" spans="1:15" x14ac:dyDescent="0.2">
      <c r="A65" s="11"/>
      <c r="B65" s="11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x14ac:dyDescent="0.2">
      <c r="A66" s="3" t="s">
        <v>116</v>
      </c>
      <c r="B66" s="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">
      <c r="A67" s="6" t="s">
        <v>65</v>
      </c>
      <c r="B67" s="7" t="s">
        <v>7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>
        <f>N$19</f>
        <v>950000000</v>
      </c>
      <c r="O67" s="14">
        <f>O$19</f>
        <v>513021202.28378308</v>
      </c>
    </row>
    <row r="68" spans="1:15" x14ac:dyDescent="0.2">
      <c r="A68" s="6" t="s">
        <v>66</v>
      </c>
      <c r="B68" s="7" t="s">
        <v>8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>
        <f>N$60/N$67</f>
        <v>0.51624000000000003</v>
      </c>
      <c r="O68" s="29">
        <f>O$60/O$67</f>
        <v>0.55851960945685819</v>
      </c>
    </row>
    <row r="69" spans="1:15" x14ac:dyDescent="0.2">
      <c r="A69" s="6" t="s">
        <v>67</v>
      </c>
      <c r="B69" s="7" t="s">
        <v>8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9">
        <f>N$63/N$67</f>
        <v>0.48376000000000002</v>
      </c>
      <c r="O69" s="29">
        <f>O$63/O$67</f>
        <v>0.4414803905431417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3" width="15.83203125" style="1" customWidth="1"/>
    <col min="14" max="16384" width="10.83203125" style="1"/>
  </cols>
  <sheetData>
    <row r="1" spans="1:13" s="11" customFormat="1" ht="12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</row>
    <row r="2" spans="1:13" s="11" customFormat="1" ht="12" x14ac:dyDescent="0.2"/>
    <row r="3" spans="1:13" s="11" customFormat="1" ht="12" x14ac:dyDescent="0.2">
      <c r="A3" s="6" t="s">
        <v>38</v>
      </c>
      <c r="B3" s="33" t="s">
        <v>35</v>
      </c>
      <c r="C3" s="34">
        <v>11</v>
      </c>
      <c r="D3" s="34">
        <v>10</v>
      </c>
      <c r="E3" s="34">
        <v>9</v>
      </c>
      <c r="F3" s="34">
        <v>8</v>
      </c>
      <c r="G3" s="34">
        <v>7</v>
      </c>
      <c r="H3" s="34">
        <v>6</v>
      </c>
      <c r="I3" s="34">
        <v>5</v>
      </c>
      <c r="J3" s="34">
        <v>4</v>
      </c>
      <c r="K3" s="34">
        <v>3</v>
      </c>
      <c r="L3" s="34">
        <v>2</v>
      </c>
      <c r="M3" s="34">
        <v>1</v>
      </c>
    </row>
    <row r="4" spans="1:13" s="11" customFormat="1" ht="12" x14ac:dyDescent="0.2">
      <c r="A4" s="33"/>
      <c r="B4" s="33"/>
    </row>
    <row r="5" spans="1:13" s="11" customFormat="1" ht="12" x14ac:dyDescent="0.2">
      <c r="A5" s="3" t="s">
        <v>72</v>
      </c>
      <c r="B5" s="37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1" customFormat="1" ht="12" x14ac:dyDescent="0.2">
      <c r="A6" s="6" t="s">
        <v>34</v>
      </c>
      <c r="B6" s="33" t="s">
        <v>35</v>
      </c>
      <c r="C6" s="23">
        <v>10</v>
      </c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s="11" customFormat="1" ht="12" x14ac:dyDescent="0.2">
      <c r="A7" s="6" t="s">
        <v>36</v>
      </c>
      <c r="B7" s="33" t="s">
        <v>37</v>
      </c>
      <c r="C7" s="2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s="11" customFormat="1" ht="12" x14ac:dyDescent="0.2">
      <c r="A8" s="33"/>
      <c r="B8" s="33"/>
    </row>
    <row r="9" spans="1:13" s="11" customFormat="1" ht="12" x14ac:dyDescent="0.2">
      <c r="A9" s="6" t="s">
        <v>74</v>
      </c>
      <c r="B9" s="33"/>
    </row>
    <row r="10" spans="1:13" s="11" customFormat="1" ht="12" x14ac:dyDescent="0.2">
      <c r="A10" s="33" t="s">
        <v>40</v>
      </c>
      <c r="B10" s="33" t="s">
        <v>35</v>
      </c>
      <c r="C10" s="34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2" x14ac:dyDescent="0.2">
      <c r="A11" s="33" t="s">
        <v>39</v>
      </c>
      <c r="B11" s="33" t="s">
        <v>7</v>
      </c>
      <c r="C11" s="34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2" x14ac:dyDescent="0.2">
      <c r="A12" s="33" t="s">
        <v>89</v>
      </c>
      <c r="B12" s="33" t="s">
        <v>8</v>
      </c>
      <c r="C12" s="35">
        <f>IF(C10=0,0,1/C10)</f>
        <v>0.1</v>
      </c>
      <c r="D12" s="35">
        <f>IF(D10=0,0,1/D10)</f>
        <v>0.1111111111111111</v>
      </c>
      <c r="E12" s="35">
        <f t="shared" ref="E12:M12" si="2">IF(E10=0,0,1/E10)</f>
        <v>0.125</v>
      </c>
      <c r="F12" s="35">
        <f t="shared" si="2"/>
        <v>0.14285714285714285</v>
      </c>
      <c r="G12" s="35">
        <f t="shared" si="2"/>
        <v>0.16666666666666666</v>
      </c>
      <c r="H12" s="35">
        <f t="shared" si="2"/>
        <v>0.2</v>
      </c>
      <c r="I12" s="35">
        <f t="shared" si="2"/>
        <v>0.25</v>
      </c>
      <c r="J12" s="35">
        <f t="shared" si="2"/>
        <v>0.33333333333333331</v>
      </c>
      <c r="K12" s="35">
        <f t="shared" si="2"/>
        <v>0.5</v>
      </c>
      <c r="L12" s="35">
        <f t="shared" si="2"/>
        <v>1</v>
      </c>
      <c r="M12" s="35">
        <f t="shared" si="2"/>
        <v>0</v>
      </c>
    </row>
    <row r="13" spans="1:13" s="11" customFormat="1" ht="12" x14ac:dyDescent="0.2">
      <c r="A13" s="33" t="s">
        <v>88</v>
      </c>
      <c r="B13" s="33" t="s">
        <v>8</v>
      </c>
      <c r="C13" s="35">
        <f>IF(C10=0,0,IF($C$7*1/$C$6&gt;C12,$C$7*1/$C$6,C12))</f>
        <v>0.1</v>
      </c>
      <c r="D13" s="35">
        <f>IF(D10=0,0,IF($C$7*1/$C$6&gt;D12,$C$7*1/$C$6,D12))</f>
        <v>0.1111111111111111</v>
      </c>
      <c r="E13" s="35">
        <f t="shared" ref="E13:M13" si="3">IF(E10=0,0,IF($C$7*1/$C$6&gt;E12,$C$7*1/$C$6,E12))</f>
        <v>0.125</v>
      </c>
      <c r="F13" s="35">
        <f t="shared" si="3"/>
        <v>0.14285714285714285</v>
      </c>
      <c r="G13" s="35">
        <f t="shared" si="3"/>
        <v>0.16666666666666666</v>
      </c>
      <c r="H13" s="35">
        <f t="shared" si="3"/>
        <v>0.2</v>
      </c>
      <c r="I13" s="35">
        <f t="shared" si="3"/>
        <v>0.25</v>
      </c>
      <c r="J13" s="35">
        <f t="shared" si="3"/>
        <v>0.33333333333333331</v>
      </c>
      <c r="K13" s="35">
        <f t="shared" si="3"/>
        <v>0.5</v>
      </c>
      <c r="L13" s="35">
        <f t="shared" si="3"/>
        <v>1</v>
      </c>
      <c r="M13" s="35">
        <f t="shared" si="3"/>
        <v>0</v>
      </c>
    </row>
    <row r="14" spans="1:13" s="11" customFormat="1" ht="12" x14ac:dyDescent="0.2">
      <c r="A14" s="33" t="s">
        <v>41</v>
      </c>
      <c r="B14" s="33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2" x14ac:dyDescent="0.2">
      <c r="A15" s="33" t="s">
        <v>42</v>
      </c>
      <c r="B15" s="33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2" x14ac:dyDescent="0.2">
      <c r="A16" s="33"/>
      <c r="B16" s="33"/>
    </row>
    <row r="17" spans="1:13" s="11" customFormat="1" ht="12" x14ac:dyDescent="0.2">
      <c r="A17" s="6" t="s">
        <v>75</v>
      </c>
      <c r="B17" s="33"/>
    </row>
    <row r="18" spans="1:13" s="11" customFormat="1" ht="12" x14ac:dyDescent="0.2">
      <c r="A18" s="33" t="s">
        <v>40</v>
      </c>
      <c r="B18" s="33" t="s">
        <v>35</v>
      </c>
      <c r="D18" s="34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2" x14ac:dyDescent="0.2">
      <c r="A19" s="33" t="s">
        <v>39</v>
      </c>
      <c r="B19" s="33" t="s">
        <v>7</v>
      </c>
      <c r="D19" s="34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2" x14ac:dyDescent="0.2">
      <c r="A20" s="33" t="s">
        <v>89</v>
      </c>
      <c r="B20" s="33" t="s">
        <v>8</v>
      </c>
      <c r="D20" s="35">
        <f>IF(D18=0,0,1/D18)</f>
        <v>0.1</v>
      </c>
      <c r="E20" s="35">
        <f>IF(E18=0,0,1/E18)</f>
        <v>0.1111111111111111</v>
      </c>
      <c r="F20" s="35">
        <f t="shared" ref="F20:M20" si="8">IF(F18=0,0,1/F18)</f>
        <v>0.125</v>
      </c>
      <c r="G20" s="35">
        <f t="shared" si="8"/>
        <v>0.14285714285714285</v>
      </c>
      <c r="H20" s="35">
        <f t="shared" si="8"/>
        <v>0.16666666666666666</v>
      </c>
      <c r="I20" s="35">
        <f t="shared" si="8"/>
        <v>0.2</v>
      </c>
      <c r="J20" s="35">
        <f t="shared" si="8"/>
        <v>0.25</v>
      </c>
      <c r="K20" s="35">
        <f t="shared" si="8"/>
        <v>0.33333333333333331</v>
      </c>
      <c r="L20" s="35">
        <f t="shared" si="8"/>
        <v>0.5</v>
      </c>
      <c r="M20" s="35">
        <f t="shared" si="8"/>
        <v>1</v>
      </c>
    </row>
    <row r="21" spans="1:13" s="11" customFormat="1" ht="12" x14ac:dyDescent="0.2">
      <c r="A21" s="33" t="s">
        <v>88</v>
      </c>
      <c r="B21" s="33" t="s">
        <v>8</v>
      </c>
      <c r="D21" s="35">
        <f>IF(D18=0,0,IF($C$7*1/$C$6&gt;D20,$C$7*1/$C$6,D20))</f>
        <v>0.1</v>
      </c>
      <c r="E21" s="35">
        <f>IF(E18=0,0,IF($C$7*1/$C$6&gt;E20,$C$7*1/$C$6,E20))</f>
        <v>0.1111111111111111</v>
      </c>
      <c r="F21" s="35">
        <f t="shared" ref="F21" si="9">IF(F18=0,0,IF($C$7*1/$C$6&gt;F20,$C$7*1/$C$6,F20))</f>
        <v>0.125</v>
      </c>
      <c r="G21" s="35">
        <f t="shared" ref="G21" si="10">IF(G18=0,0,IF($C$7*1/$C$6&gt;G20,$C$7*1/$C$6,G20))</f>
        <v>0.14285714285714285</v>
      </c>
      <c r="H21" s="35">
        <f t="shared" ref="H21" si="11">IF(H18=0,0,IF($C$7*1/$C$6&gt;H20,$C$7*1/$C$6,H20))</f>
        <v>0.16666666666666666</v>
      </c>
      <c r="I21" s="35">
        <f t="shared" ref="I21" si="12">IF(I18=0,0,IF($C$7*1/$C$6&gt;I20,$C$7*1/$C$6,I20))</f>
        <v>0.2</v>
      </c>
      <c r="J21" s="35">
        <f t="shared" ref="J21" si="13">IF(J18=0,0,IF($C$7*1/$C$6&gt;J20,$C$7*1/$C$6,J20))</f>
        <v>0.25</v>
      </c>
      <c r="K21" s="35">
        <f t="shared" ref="K21" si="14">IF(K18=0,0,IF($C$7*1/$C$6&gt;K20,$C$7*1/$C$6,K20))</f>
        <v>0.33333333333333331</v>
      </c>
      <c r="L21" s="35">
        <f t="shared" ref="L21" si="15">IF(L18=0,0,IF($C$7*1/$C$6&gt;L20,$C$7*1/$C$6,L20))</f>
        <v>0.5</v>
      </c>
      <c r="M21" s="35">
        <f t="shared" ref="M21" si="16">IF(M18=0,0,IF($C$7*1/$C$6&gt;M20,$C$7*1/$C$6,M20))</f>
        <v>1</v>
      </c>
    </row>
    <row r="22" spans="1:13" s="11" customFormat="1" ht="12" x14ac:dyDescent="0.2">
      <c r="A22" s="33" t="s">
        <v>41</v>
      </c>
      <c r="B22" s="33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2" x14ac:dyDescent="0.2">
      <c r="A23" s="33" t="s">
        <v>42</v>
      </c>
      <c r="B23" s="33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2" x14ac:dyDescent="0.2">
      <c r="A24" s="33"/>
      <c r="B24" s="33"/>
    </row>
    <row r="25" spans="1:13" s="11" customFormat="1" ht="12" x14ac:dyDescent="0.2">
      <c r="A25" s="6" t="s">
        <v>43</v>
      </c>
      <c r="B25" s="33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2" x14ac:dyDescent="0.2">
      <c r="A26" s="33"/>
      <c r="B26" s="33"/>
    </row>
    <row r="27" spans="1:13" s="11" customFormat="1" ht="12" x14ac:dyDescent="0.2">
      <c r="A27" s="3" t="s">
        <v>73</v>
      </c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s="11" customFormat="1" ht="12" x14ac:dyDescent="0.2">
      <c r="A28" s="6" t="s">
        <v>34</v>
      </c>
      <c r="B28" s="33" t="s">
        <v>35</v>
      </c>
      <c r="C28" s="23">
        <v>5</v>
      </c>
    </row>
    <row r="29" spans="1:13" s="11" customFormat="1" ht="12" x14ac:dyDescent="0.2">
      <c r="A29" s="6" t="s">
        <v>36</v>
      </c>
      <c r="B29" s="33" t="s">
        <v>37</v>
      </c>
      <c r="C29" s="23">
        <v>2</v>
      </c>
    </row>
    <row r="30" spans="1:13" s="11" customFormat="1" ht="12" x14ac:dyDescent="0.2">
      <c r="A30" s="33"/>
      <c r="B30" s="33"/>
    </row>
    <row r="31" spans="1:13" s="11" customFormat="1" ht="12" x14ac:dyDescent="0.2">
      <c r="A31" s="6" t="s">
        <v>74</v>
      </c>
      <c r="B31" s="33"/>
    </row>
    <row r="32" spans="1:13" s="11" customFormat="1" ht="12" x14ac:dyDescent="0.2">
      <c r="A32" s="33" t="s">
        <v>40</v>
      </c>
      <c r="B32" s="33" t="s">
        <v>35</v>
      </c>
      <c r="C32" s="34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2" x14ac:dyDescent="0.2">
      <c r="A33" s="33" t="s">
        <v>39</v>
      </c>
      <c r="B33" s="33" t="s">
        <v>7</v>
      </c>
      <c r="C33" s="34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2" x14ac:dyDescent="0.2">
      <c r="A34" s="33" t="s">
        <v>89</v>
      </c>
      <c r="B34" s="33" t="s">
        <v>8</v>
      </c>
      <c r="C34" s="35">
        <f>IF(C32=0,0,1/C32)</f>
        <v>0.2</v>
      </c>
      <c r="D34" s="35">
        <f>IF(D32=0,0,1/D32)</f>
        <v>0.25</v>
      </c>
      <c r="E34" s="35">
        <f t="shared" ref="E34:M34" si="36">IF(E32=0,0,1/E32)</f>
        <v>0.33333333333333331</v>
      </c>
      <c r="F34" s="35">
        <f t="shared" si="36"/>
        <v>0.5</v>
      </c>
      <c r="G34" s="35">
        <f t="shared" si="36"/>
        <v>1</v>
      </c>
      <c r="H34" s="35">
        <f t="shared" si="36"/>
        <v>0</v>
      </c>
      <c r="I34" s="35">
        <f t="shared" si="36"/>
        <v>0</v>
      </c>
      <c r="J34" s="35">
        <f t="shared" si="36"/>
        <v>0</v>
      </c>
      <c r="K34" s="35">
        <f t="shared" si="36"/>
        <v>0</v>
      </c>
      <c r="L34" s="35">
        <f t="shared" si="36"/>
        <v>0</v>
      </c>
      <c r="M34" s="35">
        <f t="shared" si="36"/>
        <v>0</v>
      </c>
    </row>
    <row r="35" spans="1:13" s="11" customFormat="1" ht="12" x14ac:dyDescent="0.2">
      <c r="A35" s="33" t="s">
        <v>88</v>
      </c>
      <c r="B35" s="33" t="s">
        <v>8</v>
      </c>
      <c r="C35" s="35">
        <f>IF(C32=0,0,IF($C$29*1/$C$28&gt;C34,$C$29*1/$C$28,C34))</f>
        <v>0.4</v>
      </c>
      <c r="D35" s="35">
        <f>IF(D32=0,0,IF($C$29*1/$C$28&gt;D34,$C$29*1/$C$28,D34))</f>
        <v>0.4</v>
      </c>
      <c r="E35" s="35">
        <f t="shared" ref="E35:M35" si="37">IF(E32=0,0,IF($C$29*1/$C$28&gt;E34,$C$29*1/$C$28,E34))</f>
        <v>0.4</v>
      </c>
      <c r="F35" s="35">
        <f t="shared" si="37"/>
        <v>0.5</v>
      </c>
      <c r="G35" s="35">
        <f t="shared" si="37"/>
        <v>1</v>
      </c>
      <c r="H35" s="35">
        <f t="shared" si="37"/>
        <v>0</v>
      </c>
      <c r="I35" s="35">
        <f t="shared" si="37"/>
        <v>0</v>
      </c>
      <c r="J35" s="35">
        <f t="shared" si="37"/>
        <v>0</v>
      </c>
      <c r="K35" s="35">
        <f t="shared" si="37"/>
        <v>0</v>
      </c>
      <c r="L35" s="35">
        <f t="shared" si="37"/>
        <v>0</v>
      </c>
      <c r="M35" s="35">
        <f t="shared" si="37"/>
        <v>0</v>
      </c>
    </row>
    <row r="36" spans="1:13" s="11" customFormat="1" ht="12" x14ac:dyDescent="0.2">
      <c r="A36" s="33" t="s">
        <v>41</v>
      </c>
      <c r="B36" s="33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2" x14ac:dyDescent="0.2">
      <c r="A37" s="33" t="s">
        <v>42</v>
      </c>
      <c r="B37" s="33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2" x14ac:dyDescent="0.2">
      <c r="A38" s="33"/>
      <c r="B38" s="33"/>
    </row>
    <row r="39" spans="1:13" s="11" customFormat="1" ht="12" x14ac:dyDescent="0.2">
      <c r="A39" s="6" t="s">
        <v>75</v>
      </c>
      <c r="B39" s="33"/>
    </row>
    <row r="40" spans="1:13" s="11" customFormat="1" ht="12" x14ac:dyDescent="0.2">
      <c r="A40" s="33" t="s">
        <v>40</v>
      </c>
      <c r="B40" s="33" t="s">
        <v>35</v>
      </c>
      <c r="D40" s="34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2" x14ac:dyDescent="0.2">
      <c r="A41" s="33" t="s">
        <v>39</v>
      </c>
      <c r="B41" s="33" t="s">
        <v>7</v>
      </c>
      <c r="D41" s="34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2" x14ac:dyDescent="0.2">
      <c r="A42" s="33" t="s">
        <v>89</v>
      </c>
      <c r="B42" s="33" t="s">
        <v>8</v>
      </c>
      <c r="D42" s="35">
        <f>IF(D40=0,0,1/D40)</f>
        <v>0.2</v>
      </c>
      <c r="E42" s="35">
        <f>IF(E40=0,0,1/E40)</f>
        <v>0.25</v>
      </c>
      <c r="F42" s="35">
        <f t="shared" ref="F42:M42" si="42">IF(F40=0,0,1/F40)</f>
        <v>0.33333333333333331</v>
      </c>
      <c r="G42" s="35">
        <f t="shared" si="42"/>
        <v>0.5</v>
      </c>
      <c r="H42" s="35">
        <f t="shared" si="42"/>
        <v>1</v>
      </c>
      <c r="I42" s="35">
        <f t="shared" si="42"/>
        <v>0</v>
      </c>
      <c r="J42" s="35">
        <f t="shared" si="42"/>
        <v>0</v>
      </c>
      <c r="K42" s="35">
        <f t="shared" si="42"/>
        <v>0</v>
      </c>
      <c r="L42" s="35">
        <f t="shared" si="42"/>
        <v>0</v>
      </c>
      <c r="M42" s="35">
        <f t="shared" si="42"/>
        <v>0</v>
      </c>
    </row>
    <row r="43" spans="1:13" s="11" customFormat="1" ht="12" x14ac:dyDescent="0.2">
      <c r="A43" s="33" t="s">
        <v>88</v>
      </c>
      <c r="B43" s="33" t="s">
        <v>8</v>
      </c>
      <c r="D43" s="35">
        <f>IF(D40=0,0,IF($C$29*1/$C$28&gt;D42,$C$29*1/$C$28,D42))</f>
        <v>0.4</v>
      </c>
      <c r="E43" s="35">
        <f>IF(E40=0,0,IF($C$29*1/$C$28&gt;E42,$C$29*1/$C$28,E42))</f>
        <v>0.4</v>
      </c>
      <c r="F43" s="35">
        <f t="shared" ref="F43" si="43">IF(F40=0,0,IF($C$29*1/$C$28&gt;F42,$C$29*1/$C$28,F42))</f>
        <v>0.4</v>
      </c>
      <c r="G43" s="35">
        <f t="shared" ref="G43" si="44">IF(G40=0,0,IF($C$29*1/$C$28&gt;G42,$C$29*1/$C$28,G42))</f>
        <v>0.5</v>
      </c>
      <c r="H43" s="35">
        <f t="shared" ref="H43" si="45">IF(H40=0,0,IF($C$29*1/$C$28&gt;H42,$C$29*1/$C$28,H42))</f>
        <v>1</v>
      </c>
      <c r="I43" s="35">
        <f t="shared" ref="I43" si="46">IF(I40=0,0,IF($C$29*1/$C$28&gt;I42,$C$29*1/$C$28,I42))</f>
        <v>0</v>
      </c>
      <c r="J43" s="35">
        <f t="shared" ref="J43" si="47">IF(J40=0,0,IF($C$29*1/$C$28&gt;J42,$C$29*1/$C$28,J42))</f>
        <v>0</v>
      </c>
      <c r="K43" s="35">
        <f t="shared" ref="K43" si="48">IF(K40=0,0,IF($C$29*1/$C$28&gt;K42,$C$29*1/$C$28,K42))</f>
        <v>0</v>
      </c>
      <c r="L43" s="35">
        <f t="shared" ref="L43" si="49">IF(L40=0,0,IF($C$29*1/$C$28&gt;L42,$C$29*1/$C$28,L42))</f>
        <v>0</v>
      </c>
      <c r="M43" s="35">
        <f t="shared" ref="M43" si="50">IF(M40=0,0,IF($C$29*1/$C$28&gt;M42,$C$29*1/$C$28,M42))</f>
        <v>0</v>
      </c>
    </row>
    <row r="44" spans="1:13" s="11" customFormat="1" ht="12" x14ac:dyDescent="0.2">
      <c r="A44" s="33" t="s">
        <v>41</v>
      </c>
      <c r="B44" s="33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2" x14ac:dyDescent="0.2">
      <c r="A45" s="33" t="s">
        <v>42</v>
      </c>
      <c r="B45" s="33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2" x14ac:dyDescent="0.2">
      <c r="A46" s="33"/>
      <c r="B46" s="33"/>
    </row>
    <row r="47" spans="1:13" s="11" customFormat="1" ht="12" x14ac:dyDescent="0.2">
      <c r="A47" s="6" t="s">
        <v>76</v>
      </c>
      <c r="B47" s="33"/>
    </row>
    <row r="48" spans="1:13" s="11" customFormat="1" ht="12" x14ac:dyDescent="0.2">
      <c r="A48" s="33" t="s">
        <v>40</v>
      </c>
      <c r="B48" s="33" t="s">
        <v>35</v>
      </c>
      <c r="E48" s="34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2" x14ac:dyDescent="0.2">
      <c r="A49" s="33" t="s">
        <v>39</v>
      </c>
      <c r="B49" s="33" t="s">
        <v>7</v>
      </c>
      <c r="E49" s="34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2" x14ac:dyDescent="0.2">
      <c r="A50" s="33" t="s">
        <v>89</v>
      </c>
      <c r="B50" s="33" t="s">
        <v>8</v>
      </c>
      <c r="E50" s="35">
        <f>IF(E48=0,0,1/E48)</f>
        <v>0.2</v>
      </c>
      <c r="F50" s="35">
        <f>IF(F48=0,0,1/F48)</f>
        <v>0.25</v>
      </c>
      <c r="G50" s="35">
        <f t="shared" ref="G50:M50" si="69">IF(G48=0,0,1/G48)</f>
        <v>0.33333333333333331</v>
      </c>
      <c r="H50" s="35">
        <f t="shared" si="69"/>
        <v>0.5</v>
      </c>
      <c r="I50" s="35">
        <f t="shared" si="69"/>
        <v>1</v>
      </c>
      <c r="J50" s="35">
        <f t="shared" si="69"/>
        <v>0</v>
      </c>
      <c r="K50" s="35">
        <f t="shared" si="69"/>
        <v>0</v>
      </c>
      <c r="L50" s="35">
        <f t="shared" si="69"/>
        <v>0</v>
      </c>
      <c r="M50" s="35">
        <f t="shared" si="69"/>
        <v>0</v>
      </c>
    </row>
    <row r="51" spans="1:13" s="11" customFormat="1" ht="12" x14ac:dyDescent="0.2">
      <c r="A51" s="33" t="s">
        <v>88</v>
      </c>
      <c r="B51" s="33" t="s">
        <v>8</v>
      </c>
      <c r="E51" s="35">
        <f>IF(E48=0,0,IF($C$29*1/$C$28&gt;E50,$C$29*1/$C$28,E50))</f>
        <v>0.4</v>
      </c>
      <c r="F51" s="35">
        <f>IF(F48=0,0,IF($C$29*1/$C$28&gt;F50,$C$29*1/$C$28,F50))</f>
        <v>0.4</v>
      </c>
      <c r="G51" s="35">
        <f t="shared" ref="G51" si="70">IF(G48=0,0,IF($C$29*1/$C$28&gt;G50,$C$29*1/$C$28,G50))</f>
        <v>0.4</v>
      </c>
      <c r="H51" s="35">
        <f t="shared" ref="H51" si="71">IF(H48=0,0,IF($C$29*1/$C$28&gt;H50,$C$29*1/$C$28,H50))</f>
        <v>0.5</v>
      </c>
      <c r="I51" s="35">
        <f t="shared" ref="I51" si="72">IF(I48=0,0,IF($C$29*1/$C$28&gt;I50,$C$29*1/$C$28,I50))</f>
        <v>1</v>
      </c>
      <c r="J51" s="35">
        <f t="shared" ref="J51" si="73">IF(J48=0,0,IF($C$29*1/$C$28&gt;J50,$C$29*1/$C$28,J50))</f>
        <v>0</v>
      </c>
      <c r="K51" s="35">
        <f t="shared" ref="K51" si="74">IF(K48=0,0,IF($C$29*1/$C$28&gt;K50,$C$29*1/$C$28,K50))</f>
        <v>0</v>
      </c>
      <c r="L51" s="35">
        <f t="shared" ref="L51" si="75">IF(L48=0,0,IF($C$29*1/$C$28&gt;L50,$C$29*1/$C$28,L50))</f>
        <v>0</v>
      </c>
      <c r="M51" s="35">
        <f t="shared" ref="M51" si="76">IF(M48=0,0,IF($C$29*1/$C$28&gt;M50,$C$29*1/$C$28,M50))</f>
        <v>0</v>
      </c>
    </row>
    <row r="52" spans="1:13" s="11" customFormat="1" ht="12" x14ac:dyDescent="0.2">
      <c r="A52" s="33" t="s">
        <v>41</v>
      </c>
      <c r="B52" s="33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2" x14ac:dyDescent="0.2">
      <c r="A53" s="33" t="s">
        <v>42</v>
      </c>
      <c r="B53" s="33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2" x14ac:dyDescent="0.2">
      <c r="A54" s="33"/>
      <c r="B54" s="33"/>
    </row>
    <row r="55" spans="1:13" s="11" customFormat="1" ht="12" x14ac:dyDescent="0.2">
      <c r="A55" s="6" t="s">
        <v>77</v>
      </c>
      <c r="B55" s="33"/>
    </row>
    <row r="56" spans="1:13" s="11" customFormat="1" ht="12" x14ac:dyDescent="0.2">
      <c r="A56" s="33" t="s">
        <v>40</v>
      </c>
      <c r="B56" s="33" t="s">
        <v>35</v>
      </c>
      <c r="F56" s="34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2" x14ac:dyDescent="0.2">
      <c r="A57" s="33" t="s">
        <v>39</v>
      </c>
      <c r="B57" s="33" t="s">
        <v>7</v>
      </c>
      <c r="F57" s="34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2" x14ac:dyDescent="0.2">
      <c r="A58" s="33" t="s">
        <v>89</v>
      </c>
      <c r="B58" s="33" t="s">
        <v>8</v>
      </c>
      <c r="F58" s="35">
        <f>IF(F56=0,0,1/F56)</f>
        <v>0.2</v>
      </c>
      <c r="G58" s="35">
        <f>IF(G56=0,0,1/G56)</f>
        <v>0.25</v>
      </c>
      <c r="H58" s="35">
        <f t="shared" ref="H58:M58" si="93">IF(H56=0,0,1/H56)</f>
        <v>0.33333333333333331</v>
      </c>
      <c r="I58" s="35">
        <f t="shared" si="93"/>
        <v>0.5</v>
      </c>
      <c r="J58" s="35">
        <f t="shared" si="93"/>
        <v>1</v>
      </c>
      <c r="K58" s="35">
        <f t="shared" si="93"/>
        <v>0</v>
      </c>
      <c r="L58" s="35">
        <f t="shared" si="93"/>
        <v>0</v>
      </c>
      <c r="M58" s="35">
        <f t="shared" si="93"/>
        <v>0</v>
      </c>
    </row>
    <row r="59" spans="1:13" s="11" customFormat="1" ht="12" x14ac:dyDescent="0.2">
      <c r="A59" s="33" t="s">
        <v>88</v>
      </c>
      <c r="B59" s="33" t="s">
        <v>8</v>
      </c>
      <c r="F59" s="35">
        <f>IF(F56=0,0,IF($C$29*1/$C$28&gt;F58,$C$29*1/$C$28,F58))</f>
        <v>0.4</v>
      </c>
      <c r="G59" s="35">
        <f>IF(G56=0,0,IF($C$29*1/$C$28&gt;G58,$C$29*1/$C$28,G58))</f>
        <v>0.4</v>
      </c>
      <c r="H59" s="35">
        <f t="shared" ref="H59" si="94">IF(H56=0,0,IF($C$29*1/$C$28&gt;H58,$C$29*1/$C$28,H58))</f>
        <v>0.4</v>
      </c>
      <c r="I59" s="35">
        <f t="shared" ref="I59" si="95">IF(I56=0,0,IF($C$29*1/$C$28&gt;I58,$C$29*1/$C$28,I58))</f>
        <v>0.5</v>
      </c>
      <c r="J59" s="35">
        <f t="shared" ref="J59" si="96">IF(J56=0,0,IF($C$29*1/$C$28&gt;J58,$C$29*1/$C$28,J58))</f>
        <v>1</v>
      </c>
      <c r="K59" s="35">
        <f t="shared" ref="K59" si="97">IF(K56=0,0,IF($C$29*1/$C$28&gt;K58,$C$29*1/$C$28,K58))</f>
        <v>0</v>
      </c>
      <c r="L59" s="35">
        <f t="shared" ref="L59" si="98">IF(L56=0,0,IF($C$29*1/$C$28&gt;L58,$C$29*1/$C$28,L58))</f>
        <v>0</v>
      </c>
      <c r="M59" s="35">
        <f t="shared" ref="M59" si="99">IF(M56=0,0,IF($C$29*1/$C$28&gt;M58,$C$29*1/$C$28,M58))</f>
        <v>0</v>
      </c>
    </row>
    <row r="60" spans="1:13" s="11" customFormat="1" ht="12" x14ac:dyDescent="0.2">
      <c r="A60" s="33" t="s">
        <v>41</v>
      </c>
      <c r="B60" s="33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2" x14ac:dyDescent="0.2">
      <c r="A61" s="33" t="s">
        <v>42</v>
      </c>
      <c r="B61" s="33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2" x14ac:dyDescent="0.2">
      <c r="A62" s="33"/>
      <c r="B62" s="33"/>
    </row>
    <row r="63" spans="1:13" s="11" customFormat="1" ht="12" x14ac:dyDescent="0.2">
      <c r="A63" s="6" t="s">
        <v>78</v>
      </c>
      <c r="B63" s="33"/>
    </row>
    <row r="64" spans="1:13" s="11" customFormat="1" ht="12" x14ac:dyDescent="0.2">
      <c r="A64" s="33" t="s">
        <v>40</v>
      </c>
      <c r="B64" s="33" t="s">
        <v>35</v>
      </c>
      <c r="G64" s="34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2" x14ac:dyDescent="0.2">
      <c r="A65" s="33" t="s">
        <v>39</v>
      </c>
      <c r="B65" s="33" t="s">
        <v>7</v>
      </c>
      <c r="G65" s="34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2" x14ac:dyDescent="0.2">
      <c r="A66" s="33" t="s">
        <v>89</v>
      </c>
      <c r="B66" s="33" t="s">
        <v>8</v>
      </c>
      <c r="G66" s="35">
        <f>IF(G64=0,0,1/G64)</f>
        <v>0.2</v>
      </c>
      <c r="H66" s="35">
        <f>IF(H64=0,0,1/H64)</f>
        <v>0.25</v>
      </c>
      <c r="I66" s="35">
        <f t="shared" ref="I66:M66" si="114">IF(I64=0,0,1/I64)</f>
        <v>0.33333333333333331</v>
      </c>
      <c r="J66" s="35">
        <f t="shared" si="114"/>
        <v>0.5</v>
      </c>
      <c r="K66" s="35">
        <f t="shared" si="114"/>
        <v>1</v>
      </c>
      <c r="L66" s="35">
        <f t="shared" si="114"/>
        <v>0</v>
      </c>
      <c r="M66" s="35">
        <f t="shared" si="114"/>
        <v>0</v>
      </c>
    </row>
    <row r="67" spans="1:13" s="11" customFormat="1" ht="12" x14ac:dyDescent="0.2">
      <c r="A67" s="33" t="s">
        <v>88</v>
      </c>
      <c r="B67" s="33" t="s">
        <v>8</v>
      </c>
      <c r="G67" s="35">
        <f>IF(G64=0,0,IF($C$29*1/$C$28&gt;G66,$C$29*1/$C$28,G66))</f>
        <v>0.4</v>
      </c>
      <c r="H67" s="35">
        <f>IF(H64=0,0,IF($C$29*1/$C$28&gt;H66,$C$29*1/$C$28,H66))</f>
        <v>0.4</v>
      </c>
      <c r="I67" s="35">
        <f t="shared" ref="I67" si="115">IF(I64=0,0,IF($C$29*1/$C$28&gt;I66,$C$29*1/$C$28,I66))</f>
        <v>0.4</v>
      </c>
      <c r="J67" s="35">
        <f t="shared" ref="J67" si="116">IF(J64=0,0,IF($C$29*1/$C$28&gt;J66,$C$29*1/$C$28,J66))</f>
        <v>0.5</v>
      </c>
      <c r="K67" s="35">
        <f t="shared" ref="K67" si="117">IF(K64=0,0,IF($C$29*1/$C$28&gt;K66,$C$29*1/$C$28,K66))</f>
        <v>1</v>
      </c>
      <c r="L67" s="35">
        <f t="shared" ref="L67" si="118">IF(L64=0,0,IF($C$29*1/$C$28&gt;L66,$C$29*1/$C$28,L66))</f>
        <v>0</v>
      </c>
      <c r="M67" s="35">
        <f t="shared" ref="M67" si="119">IF(M64=0,0,IF($C$29*1/$C$28&gt;M66,$C$29*1/$C$28,M66))</f>
        <v>0</v>
      </c>
    </row>
    <row r="68" spans="1:13" s="11" customFormat="1" ht="12" x14ac:dyDescent="0.2">
      <c r="A68" s="33" t="s">
        <v>41</v>
      </c>
      <c r="B68" s="33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2" x14ac:dyDescent="0.2">
      <c r="A69" s="33" t="s">
        <v>42</v>
      </c>
      <c r="B69" s="33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2" x14ac:dyDescent="0.2">
      <c r="A70" s="33"/>
      <c r="B70" s="33"/>
    </row>
    <row r="71" spans="1:13" s="11" customFormat="1" ht="12" x14ac:dyDescent="0.2">
      <c r="A71" s="6" t="s">
        <v>79</v>
      </c>
      <c r="B71" s="33"/>
    </row>
    <row r="72" spans="1:13" s="11" customFormat="1" ht="12" x14ac:dyDescent="0.2">
      <c r="A72" s="33" t="s">
        <v>40</v>
      </c>
      <c r="B72" s="33" t="s">
        <v>35</v>
      </c>
      <c r="H72" s="34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2" x14ac:dyDescent="0.2">
      <c r="A73" s="33" t="s">
        <v>39</v>
      </c>
      <c r="B73" s="33" t="s">
        <v>7</v>
      </c>
      <c r="H73" s="34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2" x14ac:dyDescent="0.2">
      <c r="A74" s="33" t="s">
        <v>89</v>
      </c>
      <c r="B74" s="33" t="s">
        <v>8</v>
      </c>
      <c r="H74" s="35">
        <f>IF(H72=0,0,1/H72)</f>
        <v>0.2</v>
      </c>
      <c r="I74" s="35">
        <f>IF(I72=0,0,1/I72)</f>
        <v>0.25</v>
      </c>
      <c r="J74" s="35">
        <f t="shared" ref="J74:M74" si="132">IF(J72=0,0,1/J72)</f>
        <v>0.33333333333333331</v>
      </c>
      <c r="K74" s="35">
        <f t="shared" si="132"/>
        <v>0.5</v>
      </c>
      <c r="L74" s="35">
        <f t="shared" si="132"/>
        <v>1</v>
      </c>
      <c r="M74" s="35">
        <f t="shared" si="132"/>
        <v>0</v>
      </c>
    </row>
    <row r="75" spans="1:13" s="11" customFormat="1" ht="12" x14ac:dyDescent="0.2">
      <c r="A75" s="33" t="s">
        <v>88</v>
      </c>
      <c r="B75" s="33" t="s">
        <v>8</v>
      </c>
      <c r="H75" s="35">
        <f>IF(H72=0,0,IF($C$29*1/$C$28&gt;H74,$C$29*1/$C$28,H74))</f>
        <v>0.4</v>
      </c>
      <c r="I75" s="35">
        <f>IF(I72=0,0,IF($C$29*1/$C$28&gt;I74,$C$29*1/$C$28,I74))</f>
        <v>0.4</v>
      </c>
      <c r="J75" s="35">
        <f t="shared" ref="J75" si="133">IF(J72=0,0,IF($C$29*1/$C$28&gt;J74,$C$29*1/$C$28,J74))</f>
        <v>0.4</v>
      </c>
      <c r="K75" s="35">
        <f t="shared" ref="K75" si="134">IF(K72=0,0,IF($C$29*1/$C$28&gt;K74,$C$29*1/$C$28,K74))</f>
        <v>0.5</v>
      </c>
      <c r="L75" s="35">
        <f t="shared" ref="L75" si="135">IF(L72=0,0,IF($C$29*1/$C$28&gt;L74,$C$29*1/$C$28,L74))</f>
        <v>1</v>
      </c>
      <c r="M75" s="35">
        <f t="shared" ref="M75" si="136">IF(M72=0,0,IF($C$29*1/$C$28&gt;M74,$C$29*1/$C$28,M74))</f>
        <v>0</v>
      </c>
    </row>
    <row r="76" spans="1:13" s="11" customFormat="1" ht="12" x14ac:dyDescent="0.2">
      <c r="A76" s="33" t="s">
        <v>41</v>
      </c>
      <c r="B76" s="33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2" x14ac:dyDescent="0.2">
      <c r="A77" s="33" t="s">
        <v>42</v>
      </c>
      <c r="B77" s="33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2" x14ac:dyDescent="0.2">
      <c r="A78" s="33"/>
      <c r="B78" s="33"/>
    </row>
    <row r="79" spans="1:13" s="11" customFormat="1" ht="12" x14ac:dyDescent="0.2">
      <c r="A79" s="6" t="s">
        <v>80</v>
      </c>
      <c r="B79" s="33"/>
    </row>
    <row r="80" spans="1:13" s="11" customFormat="1" ht="12" x14ac:dyDescent="0.2">
      <c r="A80" s="33" t="s">
        <v>40</v>
      </c>
      <c r="B80" s="33" t="s">
        <v>35</v>
      </c>
      <c r="I80" s="34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2" x14ac:dyDescent="0.2">
      <c r="A81" s="33" t="s">
        <v>39</v>
      </c>
      <c r="B81" s="33" t="s">
        <v>7</v>
      </c>
      <c r="I81" s="34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2" x14ac:dyDescent="0.2">
      <c r="A82" s="33" t="s">
        <v>89</v>
      </c>
      <c r="B82" s="33" t="s">
        <v>8</v>
      </c>
      <c r="I82" s="35">
        <f>IF(I80=0,0,1/I80)</f>
        <v>0.2</v>
      </c>
      <c r="J82" s="35">
        <f>IF(J80=0,0,1/J80)</f>
        <v>0.25</v>
      </c>
      <c r="K82" s="35">
        <f t="shared" ref="K82:M82" si="147">IF(K80=0,0,1/K80)</f>
        <v>0.33333333333333331</v>
      </c>
      <c r="L82" s="35">
        <f t="shared" si="147"/>
        <v>0.5</v>
      </c>
      <c r="M82" s="35">
        <f t="shared" si="147"/>
        <v>1</v>
      </c>
    </row>
    <row r="83" spans="1:13" s="11" customFormat="1" ht="12" x14ac:dyDescent="0.2">
      <c r="A83" s="33" t="s">
        <v>88</v>
      </c>
      <c r="B83" s="33" t="s">
        <v>8</v>
      </c>
      <c r="I83" s="35">
        <f>IF(I80=0,0,IF($C$29*1/$C$28&gt;I82,$C$29*1/$C$28,I82))</f>
        <v>0.4</v>
      </c>
      <c r="J83" s="35">
        <f>IF(J80=0,0,IF($C$29*1/$C$28&gt;J82,$C$29*1/$C$28,J82))</f>
        <v>0.4</v>
      </c>
      <c r="K83" s="35">
        <f t="shared" ref="K83" si="148">IF(K80=0,0,IF($C$29*1/$C$28&gt;K82,$C$29*1/$C$28,K82))</f>
        <v>0.4</v>
      </c>
      <c r="L83" s="35">
        <f t="shared" ref="L83" si="149">IF(L80=0,0,IF($C$29*1/$C$28&gt;L82,$C$29*1/$C$28,L82))</f>
        <v>0.5</v>
      </c>
      <c r="M83" s="35">
        <f t="shared" ref="M83" si="150">IF(M80=0,0,IF($C$29*1/$C$28&gt;M82,$C$29*1/$C$28,M82))</f>
        <v>1</v>
      </c>
    </row>
    <row r="84" spans="1:13" s="11" customFormat="1" ht="12" x14ac:dyDescent="0.2">
      <c r="A84" s="33" t="s">
        <v>41</v>
      </c>
      <c r="B84" s="33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2" x14ac:dyDescent="0.2">
      <c r="A85" s="33" t="s">
        <v>42</v>
      </c>
      <c r="B85" s="33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2" x14ac:dyDescent="0.2">
      <c r="A86" s="33"/>
      <c r="B86" s="33"/>
    </row>
    <row r="87" spans="1:13" s="11" customFormat="1" ht="12" x14ac:dyDescent="0.2">
      <c r="A87" s="6" t="s">
        <v>81</v>
      </c>
      <c r="B87" s="33"/>
    </row>
    <row r="88" spans="1:13" s="11" customFormat="1" ht="12" x14ac:dyDescent="0.2">
      <c r="A88" s="33" t="s">
        <v>40</v>
      </c>
      <c r="B88" s="33" t="s">
        <v>35</v>
      </c>
      <c r="J88" s="34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2" x14ac:dyDescent="0.2">
      <c r="A89" s="33" t="s">
        <v>39</v>
      </c>
      <c r="B89" s="33" t="s">
        <v>7</v>
      </c>
      <c r="J89" s="34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2" x14ac:dyDescent="0.2">
      <c r="A90" s="33" t="s">
        <v>89</v>
      </c>
      <c r="B90" s="33" t="s">
        <v>8</v>
      </c>
      <c r="J90" s="35">
        <f>IF(J88=0,0,1/J88)</f>
        <v>0.25</v>
      </c>
      <c r="K90" s="35">
        <f>IF(K88=0,0,1/K88)</f>
        <v>0.33333333333333331</v>
      </c>
      <c r="L90" s="35">
        <f t="shared" ref="L90:M90" si="159">IF(L88=0,0,1/L88)</f>
        <v>0.5</v>
      </c>
      <c r="M90" s="35">
        <f t="shared" si="159"/>
        <v>1</v>
      </c>
    </row>
    <row r="91" spans="1:13" s="11" customFormat="1" ht="12" x14ac:dyDescent="0.2">
      <c r="A91" s="33" t="s">
        <v>88</v>
      </c>
      <c r="B91" s="33" t="s">
        <v>8</v>
      </c>
      <c r="J91" s="35">
        <f>IF(J88=0,0,IF($C$29*1/$C$28&gt;J90,$C$29*1/$C$28,J90))</f>
        <v>0.4</v>
      </c>
      <c r="K91" s="35">
        <f>IF(K88=0,0,IF($C$29*1/$C$28&gt;K90,$C$29*1/$C$28,K90))</f>
        <v>0.4</v>
      </c>
      <c r="L91" s="35">
        <f t="shared" ref="L91" si="160">IF(L88=0,0,IF($C$29*1/$C$28&gt;L90,$C$29*1/$C$28,L90))</f>
        <v>0.5</v>
      </c>
      <c r="M91" s="35">
        <f t="shared" ref="M91" si="161">IF(M88=0,0,IF($C$29*1/$C$28&gt;M90,$C$29*1/$C$28,M90))</f>
        <v>1</v>
      </c>
    </row>
    <row r="92" spans="1:13" s="11" customFormat="1" ht="12" x14ac:dyDescent="0.2">
      <c r="A92" s="33" t="s">
        <v>41</v>
      </c>
      <c r="B92" s="33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2" x14ac:dyDescent="0.2">
      <c r="A93" s="33" t="s">
        <v>42</v>
      </c>
      <c r="B93" s="33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2" x14ac:dyDescent="0.2">
      <c r="A94" s="33"/>
      <c r="B94" s="33"/>
    </row>
    <row r="95" spans="1:13" s="11" customFormat="1" ht="12" x14ac:dyDescent="0.2">
      <c r="A95" s="6" t="s">
        <v>82</v>
      </c>
      <c r="B95" s="33"/>
    </row>
    <row r="96" spans="1:13" s="11" customFormat="1" ht="12" x14ac:dyDescent="0.2">
      <c r="A96" s="33" t="s">
        <v>40</v>
      </c>
      <c r="B96" s="33" t="s">
        <v>35</v>
      </c>
      <c r="K96" s="34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2" x14ac:dyDescent="0.2">
      <c r="A97" s="33" t="s">
        <v>39</v>
      </c>
      <c r="B97" s="33" t="s">
        <v>7</v>
      </c>
      <c r="K97" s="34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2" x14ac:dyDescent="0.2">
      <c r="A98" s="33" t="s">
        <v>89</v>
      </c>
      <c r="B98" s="33" t="s">
        <v>8</v>
      </c>
      <c r="K98" s="35">
        <f>IF(K96=0,0,1/K96)</f>
        <v>0.33333333333333331</v>
      </c>
      <c r="L98" s="35">
        <f>IF(L96=0,0,1/L96)</f>
        <v>0.5</v>
      </c>
      <c r="M98" s="35">
        <f t="shared" ref="M98" si="168">IF(M96=0,0,1/M96)</f>
        <v>1</v>
      </c>
    </row>
    <row r="99" spans="1:13" s="11" customFormat="1" ht="12" x14ac:dyDescent="0.2">
      <c r="A99" s="33" t="s">
        <v>88</v>
      </c>
      <c r="B99" s="33" t="s">
        <v>8</v>
      </c>
      <c r="K99" s="35">
        <f>IF(K96=0,0,IF($C$29*1/$C$28&gt;K98,$C$29*1/$C$28,K98))</f>
        <v>0.4</v>
      </c>
      <c r="L99" s="35">
        <f>IF(L96=0,0,IF($C$29*1/$C$28&gt;L98,$C$29*1/$C$28,L98))</f>
        <v>0.5</v>
      </c>
      <c r="M99" s="35">
        <f t="shared" ref="M99" si="169">IF(M96=0,0,IF($C$29*1/$C$28&gt;M98,$C$29*1/$C$28,M98))</f>
        <v>1</v>
      </c>
    </row>
    <row r="100" spans="1:13" s="11" customFormat="1" ht="12" x14ac:dyDescent="0.2">
      <c r="A100" s="33" t="s">
        <v>41</v>
      </c>
      <c r="B100" s="33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2" x14ac:dyDescent="0.2">
      <c r="A101" s="33" t="s">
        <v>42</v>
      </c>
      <c r="B101" s="33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2" x14ac:dyDescent="0.2">
      <c r="A102" s="33"/>
      <c r="B102" s="33"/>
    </row>
    <row r="103" spans="1:13" s="11" customFormat="1" ht="12" x14ac:dyDescent="0.2">
      <c r="A103" s="6" t="s">
        <v>83</v>
      </c>
      <c r="B103" s="33"/>
    </row>
    <row r="104" spans="1:13" s="11" customFormat="1" ht="12" x14ac:dyDescent="0.2">
      <c r="A104" s="33" t="s">
        <v>40</v>
      </c>
      <c r="B104" s="33" t="s">
        <v>35</v>
      </c>
      <c r="L104" s="34">
        <f>IF($C$28&lt;L$3,$C$28,L$3)</f>
        <v>2</v>
      </c>
      <c r="M104" s="12">
        <f>IF(L104=0,0,IF(L104-1&lt;M$3,L104-1,M$3))</f>
        <v>1</v>
      </c>
    </row>
    <row r="105" spans="1:13" s="11" customFormat="1" ht="12" x14ac:dyDescent="0.2">
      <c r="A105" s="33" t="s">
        <v>39</v>
      </c>
      <c r="B105" s="33" t="s">
        <v>7</v>
      </c>
      <c r="L105" s="34">
        <f>Modèle!L$10</f>
        <v>5000000</v>
      </c>
      <c r="M105" s="12">
        <f>L109</f>
        <v>2500000</v>
      </c>
    </row>
    <row r="106" spans="1:13" s="11" customFormat="1" ht="12" x14ac:dyDescent="0.2">
      <c r="A106" s="33" t="s">
        <v>89</v>
      </c>
      <c r="B106" s="33" t="s">
        <v>8</v>
      </c>
      <c r="L106" s="35">
        <f>IF(L104=0,0,1/L104)</f>
        <v>0.5</v>
      </c>
      <c r="M106" s="35">
        <f>IF(M104=0,0,1/M104)</f>
        <v>1</v>
      </c>
    </row>
    <row r="107" spans="1:13" s="11" customFormat="1" ht="12" x14ac:dyDescent="0.2">
      <c r="A107" s="33" t="s">
        <v>88</v>
      </c>
      <c r="B107" s="33" t="s">
        <v>8</v>
      </c>
      <c r="L107" s="35">
        <f>IF(L104=0,0,IF($C$29*1/$C$28&gt;L106,$C$29*1/$C$28,L106))</f>
        <v>0.5</v>
      </c>
      <c r="M107" s="35">
        <f>IF(M104=0,0,IF($C$29*1/$C$28&gt;M106,$C$29*1/$C$28,M106))</f>
        <v>1</v>
      </c>
    </row>
    <row r="108" spans="1:13" s="11" customFormat="1" ht="12" x14ac:dyDescent="0.2">
      <c r="A108" s="33" t="s">
        <v>41</v>
      </c>
      <c r="B108" s="33" t="s">
        <v>7</v>
      </c>
      <c r="L108" s="12">
        <f>L105*L107</f>
        <v>2500000</v>
      </c>
      <c r="M108" s="12">
        <f>M105*M107</f>
        <v>2500000</v>
      </c>
    </row>
    <row r="109" spans="1:13" s="11" customFormat="1" ht="12" x14ac:dyDescent="0.2">
      <c r="A109" s="33" t="s">
        <v>42</v>
      </c>
      <c r="B109" s="33" t="s">
        <v>7</v>
      </c>
      <c r="L109" s="12">
        <f>L105-L108</f>
        <v>2500000</v>
      </c>
      <c r="M109" s="12">
        <f>M105-M108</f>
        <v>0</v>
      </c>
    </row>
    <row r="110" spans="1:13" s="11" customFormat="1" ht="12" x14ac:dyDescent="0.2">
      <c r="A110" s="33"/>
      <c r="B110" s="33"/>
    </row>
    <row r="111" spans="1:13" s="11" customFormat="1" ht="12" x14ac:dyDescent="0.2">
      <c r="A111" s="6" t="s">
        <v>84</v>
      </c>
      <c r="B111" s="33"/>
    </row>
    <row r="112" spans="1:13" s="11" customFormat="1" ht="12" x14ac:dyDescent="0.2">
      <c r="A112" s="33" t="s">
        <v>40</v>
      </c>
      <c r="B112" s="33" t="s">
        <v>35</v>
      </c>
      <c r="M112" s="34">
        <f>IF($C$28&lt;M$3,$C$28,M$3)</f>
        <v>1</v>
      </c>
    </row>
    <row r="113" spans="1:13" s="11" customFormat="1" ht="12" x14ac:dyDescent="0.2">
      <c r="A113" s="33" t="s">
        <v>39</v>
      </c>
      <c r="B113" s="33" t="s">
        <v>7</v>
      </c>
      <c r="M113" s="34">
        <f>Modèle!M$10</f>
        <v>0</v>
      </c>
    </row>
    <row r="114" spans="1:13" s="11" customFormat="1" ht="12" x14ac:dyDescent="0.2">
      <c r="A114" s="33" t="s">
        <v>89</v>
      </c>
      <c r="B114" s="33" t="s">
        <v>8</v>
      </c>
      <c r="M114" s="35">
        <f>IF(M112=0,0,1/M112)</f>
        <v>1</v>
      </c>
    </row>
    <row r="115" spans="1:13" s="11" customFormat="1" ht="12" x14ac:dyDescent="0.2">
      <c r="A115" s="33" t="s">
        <v>88</v>
      </c>
      <c r="B115" s="33" t="s">
        <v>8</v>
      </c>
      <c r="M115" s="35">
        <f>IF(M112=0,0,IF($C$29*1/$C$28&gt;M114,$C$29*1/$C$28,M114))</f>
        <v>1</v>
      </c>
    </row>
    <row r="116" spans="1:13" s="11" customFormat="1" ht="12" x14ac:dyDescent="0.2">
      <c r="A116" s="33" t="s">
        <v>41</v>
      </c>
      <c r="B116" s="33" t="s">
        <v>7</v>
      </c>
      <c r="M116" s="12">
        <f>M113*M115</f>
        <v>0</v>
      </c>
    </row>
    <row r="117" spans="1:13" s="11" customFormat="1" ht="12" x14ac:dyDescent="0.2">
      <c r="A117" s="33" t="s">
        <v>42</v>
      </c>
      <c r="B117" s="33" t="s">
        <v>7</v>
      </c>
      <c r="M117" s="12">
        <f>M113-M116</f>
        <v>0</v>
      </c>
    </row>
    <row r="118" spans="1:13" s="11" customFormat="1" ht="12" x14ac:dyDescent="0.2">
      <c r="A118" s="33"/>
      <c r="B118" s="33"/>
    </row>
    <row r="119" spans="1:13" s="11" customFormat="1" ht="12" x14ac:dyDescent="0.2">
      <c r="A119" s="6" t="s">
        <v>44</v>
      </c>
      <c r="B119" s="33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2" x14ac:dyDescent="0.2">
      <c r="A120" s="33"/>
      <c r="B120" s="33"/>
    </row>
    <row r="121" spans="1:13" s="11" customFormat="1" ht="12" x14ac:dyDescent="0.2">
      <c r="A121" s="3" t="s">
        <v>86</v>
      </c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s="11" customFormat="1" ht="12" x14ac:dyDescent="0.2">
      <c r="A122" s="6" t="s">
        <v>34</v>
      </c>
      <c r="B122" s="33" t="s">
        <v>35</v>
      </c>
      <c r="C122" s="23">
        <v>1</v>
      </c>
    </row>
    <row r="123" spans="1:13" s="11" customFormat="1" ht="12" x14ac:dyDescent="0.2">
      <c r="A123" s="6" t="s">
        <v>36</v>
      </c>
      <c r="B123" s="33" t="s">
        <v>37</v>
      </c>
      <c r="C123" s="23">
        <v>1</v>
      </c>
    </row>
    <row r="124" spans="1:13" s="11" customFormat="1" ht="12" x14ac:dyDescent="0.2">
      <c r="A124" s="33"/>
      <c r="B124" s="33"/>
    </row>
    <row r="125" spans="1:13" s="11" customFormat="1" ht="12" x14ac:dyDescent="0.2">
      <c r="A125" s="6" t="s">
        <v>84</v>
      </c>
      <c r="B125" s="33"/>
    </row>
    <row r="126" spans="1:13" s="11" customFormat="1" ht="12" x14ac:dyDescent="0.2">
      <c r="A126" s="33" t="s">
        <v>40</v>
      </c>
      <c r="B126" s="33" t="s">
        <v>35</v>
      </c>
      <c r="M126" s="34">
        <f>IF($C$122&lt;M$3,$C$122,M$3)</f>
        <v>1</v>
      </c>
    </row>
    <row r="127" spans="1:13" s="11" customFormat="1" ht="12" x14ac:dyDescent="0.2">
      <c r="A127" s="33" t="s">
        <v>39</v>
      </c>
      <c r="B127" s="33" t="s">
        <v>7</v>
      </c>
      <c r="M127" s="34">
        <f>Modèle!M$11</f>
        <v>10000000</v>
      </c>
    </row>
    <row r="128" spans="1:13" s="11" customFormat="1" ht="12" x14ac:dyDescent="0.2">
      <c r="A128" s="33" t="s">
        <v>89</v>
      </c>
      <c r="B128" s="33" t="s">
        <v>8</v>
      </c>
      <c r="M128" s="35">
        <f>IF(M126=0,0,1/M126)</f>
        <v>1</v>
      </c>
    </row>
    <row r="129" spans="1:13" s="11" customFormat="1" ht="12" x14ac:dyDescent="0.2">
      <c r="A129" s="33" t="s">
        <v>88</v>
      </c>
      <c r="B129" s="33" t="s">
        <v>8</v>
      </c>
      <c r="M129" s="35">
        <f>IF(M126=0,0,IF($C$123*1/$C$122&gt;M128,$C$123*1/$C$122,M128))</f>
        <v>1</v>
      </c>
    </row>
    <row r="130" spans="1:13" s="11" customFormat="1" ht="12" x14ac:dyDescent="0.2">
      <c r="A130" s="33" t="s">
        <v>41</v>
      </c>
      <c r="B130" s="33" t="s">
        <v>7</v>
      </c>
      <c r="M130" s="12">
        <f>M127*M129</f>
        <v>10000000</v>
      </c>
    </row>
    <row r="131" spans="1:13" s="11" customFormat="1" ht="12" x14ac:dyDescent="0.2">
      <c r="A131" s="33" t="s">
        <v>42</v>
      </c>
      <c r="B131" s="33" t="s">
        <v>7</v>
      </c>
      <c r="M131" s="12">
        <f>M127-M130</f>
        <v>0</v>
      </c>
    </row>
    <row r="132" spans="1:13" s="11" customFormat="1" ht="12" x14ac:dyDescent="0.2">
      <c r="A132" s="33"/>
      <c r="B132" s="33"/>
    </row>
    <row r="133" spans="1:13" s="11" customFormat="1" ht="12" x14ac:dyDescent="0.2">
      <c r="A133" s="6" t="s">
        <v>85</v>
      </c>
      <c r="B133" s="33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2" x14ac:dyDescent="0.2">
      <c r="A134" s="33"/>
      <c r="B134" s="33"/>
    </row>
    <row r="135" spans="1:13" s="11" customFormat="1" ht="12" x14ac:dyDescent="0.2">
      <c r="A135" s="3" t="s">
        <v>87</v>
      </c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s="11" customFormat="1" ht="12" x14ac:dyDescent="0.2">
      <c r="A136" s="6" t="s">
        <v>53</v>
      </c>
      <c r="B136" s="33"/>
    </row>
    <row r="137" spans="1:13" s="11" customFormat="1" ht="12" x14ac:dyDescent="0.2">
      <c r="A137" s="33" t="s">
        <v>46</v>
      </c>
      <c r="B137" s="33" t="s">
        <v>35</v>
      </c>
      <c r="C137" s="23">
        <v>5</v>
      </c>
    </row>
    <row r="138" spans="1:13" s="11" customFormat="1" ht="12" x14ac:dyDescent="0.2">
      <c r="A138" s="33" t="s">
        <v>47</v>
      </c>
      <c r="B138" s="33" t="s">
        <v>8</v>
      </c>
      <c r="C138" s="25">
        <v>0.1</v>
      </c>
    </row>
    <row r="139" spans="1:13" s="11" customFormat="1" ht="12" x14ac:dyDescent="0.2">
      <c r="A139" s="6" t="s">
        <v>68</v>
      </c>
      <c r="B139" s="33"/>
    </row>
    <row r="140" spans="1:13" s="11" customFormat="1" ht="12" x14ac:dyDescent="0.2">
      <c r="A140" s="33" t="s">
        <v>69</v>
      </c>
      <c r="B140" s="33" t="s">
        <v>8</v>
      </c>
      <c r="C140" s="25">
        <v>0.05</v>
      </c>
    </row>
    <row r="141" spans="1:13" s="11" customFormat="1" ht="12" x14ac:dyDescent="0.2">
      <c r="A141" s="33"/>
      <c r="B141" s="33"/>
    </row>
    <row r="142" spans="1:13" s="11" customFormat="1" ht="12" x14ac:dyDescent="0.2">
      <c r="A142" s="6" t="s">
        <v>49</v>
      </c>
      <c r="B142" s="33"/>
    </row>
    <row r="143" spans="1:13" s="11" customFormat="1" ht="12" x14ac:dyDescent="0.2">
      <c r="A143" s="33" t="s">
        <v>40</v>
      </c>
      <c r="B143" s="33" t="s">
        <v>35</v>
      </c>
      <c r="C143" s="34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2" x14ac:dyDescent="0.2">
      <c r="A144" s="33" t="s">
        <v>48</v>
      </c>
      <c r="B144" s="33" t="s">
        <v>7</v>
      </c>
      <c r="C144" s="34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2" x14ac:dyDescent="0.2">
      <c r="A145" s="33" t="s">
        <v>50</v>
      </c>
      <c r="B145" s="33" t="s">
        <v>7</v>
      </c>
      <c r="C145" s="37"/>
      <c r="D145" s="38">
        <f>IF(D143=0,0,C144/D143)</f>
        <v>10000000</v>
      </c>
      <c r="E145" s="38">
        <f t="shared" ref="E145:M145" si="176">IF(E143=0,0,D144/E143)</f>
        <v>10000000</v>
      </c>
      <c r="F145" s="38">
        <f t="shared" si="176"/>
        <v>10000000</v>
      </c>
      <c r="G145" s="38">
        <f t="shared" si="176"/>
        <v>10000000</v>
      </c>
      <c r="H145" s="38">
        <f t="shared" si="176"/>
        <v>10000000</v>
      </c>
      <c r="I145" s="38">
        <f t="shared" si="176"/>
        <v>0</v>
      </c>
      <c r="J145" s="38">
        <f t="shared" si="176"/>
        <v>0</v>
      </c>
      <c r="K145" s="38">
        <f t="shared" si="176"/>
        <v>0</v>
      </c>
      <c r="L145" s="38">
        <f t="shared" si="176"/>
        <v>0</v>
      </c>
      <c r="M145" s="38">
        <f t="shared" si="176"/>
        <v>0</v>
      </c>
    </row>
    <row r="146" spans="1:13" s="11" customFormat="1" ht="12" x14ac:dyDescent="0.2">
      <c r="A146" s="33" t="s">
        <v>45</v>
      </c>
      <c r="B146" s="33" t="s">
        <v>7</v>
      </c>
      <c r="C146" s="38">
        <f>C144*$C$138</f>
        <v>5000000</v>
      </c>
      <c r="D146" s="38">
        <f>D144*$C$138</f>
        <v>4000000</v>
      </c>
      <c r="E146" s="38">
        <f t="shared" ref="E146:M146" si="177">E144*$C$138</f>
        <v>3000000</v>
      </c>
      <c r="F146" s="38">
        <f t="shared" si="177"/>
        <v>2000000</v>
      </c>
      <c r="G146" s="38">
        <f t="shared" si="177"/>
        <v>1000000</v>
      </c>
      <c r="H146" s="38">
        <f t="shared" si="177"/>
        <v>0</v>
      </c>
      <c r="I146" s="38">
        <f t="shared" si="177"/>
        <v>0</v>
      </c>
      <c r="J146" s="38">
        <f t="shared" si="177"/>
        <v>0</v>
      </c>
      <c r="K146" s="38">
        <f t="shared" si="177"/>
        <v>0</v>
      </c>
      <c r="L146" s="38">
        <f t="shared" si="177"/>
        <v>0</v>
      </c>
      <c r="M146" s="38">
        <f t="shared" si="177"/>
        <v>0</v>
      </c>
    </row>
    <row r="147" spans="1:13" s="11" customFormat="1" ht="12" x14ac:dyDescent="0.2">
      <c r="A147" s="33" t="s">
        <v>54</v>
      </c>
      <c r="B147" s="33" t="s">
        <v>7</v>
      </c>
      <c r="C147" s="38">
        <f>IF(C144*$C$140&lt;C146,C144*$C$140,C146)</f>
        <v>2500000</v>
      </c>
      <c r="D147" s="38">
        <f t="shared" ref="D147:M147" si="178">IF(D144*$C$140&lt;D146,D144*$C$140,D146)</f>
        <v>2000000</v>
      </c>
      <c r="E147" s="38">
        <f t="shared" si="178"/>
        <v>1500000</v>
      </c>
      <c r="F147" s="38">
        <f t="shared" si="178"/>
        <v>1000000</v>
      </c>
      <c r="G147" s="38">
        <f t="shared" si="178"/>
        <v>500000</v>
      </c>
      <c r="H147" s="38">
        <f t="shared" si="178"/>
        <v>0</v>
      </c>
      <c r="I147" s="38">
        <f t="shared" si="178"/>
        <v>0</v>
      </c>
      <c r="J147" s="38">
        <f t="shared" si="178"/>
        <v>0</v>
      </c>
      <c r="K147" s="38">
        <f t="shared" si="178"/>
        <v>0</v>
      </c>
      <c r="L147" s="38">
        <f t="shared" si="178"/>
        <v>0</v>
      </c>
      <c r="M147" s="38">
        <f t="shared" si="178"/>
        <v>0</v>
      </c>
    </row>
    <row r="148" spans="1:13" s="11" customFormat="1" ht="12" x14ac:dyDescent="0.2">
      <c r="A148" s="33"/>
      <c r="B148" s="33"/>
    </row>
    <row r="149" spans="1:13" s="11" customFormat="1" ht="12" x14ac:dyDescent="0.2">
      <c r="A149" s="6" t="s">
        <v>51</v>
      </c>
      <c r="B149" s="33"/>
    </row>
    <row r="150" spans="1:13" s="11" customFormat="1" ht="12" x14ac:dyDescent="0.2">
      <c r="A150" s="33" t="s">
        <v>40</v>
      </c>
      <c r="B150" s="33" t="s">
        <v>35</v>
      </c>
      <c r="D150" s="34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2" x14ac:dyDescent="0.2">
      <c r="A151" s="33" t="s">
        <v>48</v>
      </c>
      <c r="B151" s="33" t="s">
        <v>7</v>
      </c>
      <c r="D151" s="34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2" x14ac:dyDescent="0.2">
      <c r="A152" s="33" t="s">
        <v>50</v>
      </c>
      <c r="B152" s="33" t="s">
        <v>7</v>
      </c>
      <c r="D152" s="37"/>
      <c r="E152" s="38">
        <f>IF(E150=0,0,D151/E150)</f>
        <v>30000000</v>
      </c>
      <c r="F152" s="38">
        <f t="shared" ref="F152:M152" si="188">IF(F150=0,0,E151/F150)</f>
        <v>30000000</v>
      </c>
      <c r="G152" s="38">
        <f t="shared" si="188"/>
        <v>30000000</v>
      </c>
      <c r="H152" s="38">
        <f t="shared" si="188"/>
        <v>30000000</v>
      </c>
      <c r="I152" s="38">
        <f t="shared" si="188"/>
        <v>30000000</v>
      </c>
      <c r="J152" s="38">
        <f t="shared" si="188"/>
        <v>0</v>
      </c>
      <c r="K152" s="38">
        <f t="shared" si="188"/>
        <v>0</v>
      </c>
      <c r="L152" s="38">
        <f t="shared" si="188"/>
        <v>0</v>
      </c>
      <c r="M152" s="38">
        <f t="shared" si="188"/>
        <v>0</v>
      </c>
    </row>
    <row r="153" spans="1:13" s="11" customFormat="1" ht="12" x14ac:dyDescent="0.2">
      <c r="A153" s="33" t="s">
        <v>45</v>
      </c>
      <c r="B153" s="33" t="s">
        <v>7</v>
      </c>
      <c r="D153" s="38">
        <f>D151*$C$138</f>
        <v>15000000</v>
      </c>
      <c r="E153" s="38">
        <f>E151*$C$138</f>
        <v>12000000</v>
      </c>
      <c r="F153" s="38">
        <f t="shared" ref="F153:M153" si="189">F151*$C$138</f>
        <v>9000000</v>
      </c>
      <c r="G153" s="38">
        <f t="shared" si="189"/>
        <v>6000000</v>
      </c>
      <c r="H153" s="38">
        <f t="shared" si="189"/>
        <v>3000000</v>
      </c>
      <c r="I153" s="38">
        <f t="shared" si="189"/>
        <v>0</v>
      </c>
      <c r="J153" s="38">
        <f t="shared" si="189"/>
        <v>0</v>
      </c>
      <c r="K153" s="38">
        <f t="shared" si="189"/>
        <v>0</v>
      </c>
      <c r="L153" s="38">
        <f t="shared" si="189"/>
        <v>0</v>
      </c>
      <c r="M153" s="38">
        <f t="shared" si="189"/>
        <v>0</v>
      </c>
    </row>
    <row r="154" spans="1:13" s="11" customFormat="1" ht="12" x14ac:dyDescent="0.2">
      <c r="A154" s="33" t="s">
        <v>54</v>
      </c>
      <c r="B154" s="33" t="s">
        <v>7</v>
      </c>
      <c r="D154" s="38">
        <f>IF(D151*$C$140&lt;D153,D151*$C$140,D153)</f>
        <v>7500000</v>
      </c>
      <c r="E154" s="38">
        <f t="shared" ref="E154:M154" si="190">IF(E151*$C$140&lt;E153,E151*$C$140,E153)</f>
        <v>6000000</v>
      </c>
      <c r="F154" s="38">
        <f t="shared" si="190"/>
        <v>4500000</v>
      </c>
      <c r="G154" s="38">
        <f t="shared" si="190"/>
        <v>3000000</v>
      </c>
      <c r="H154" s="38">
        <f t="shared" si="190"/>
        <v>1500000</v>
      </c>
      <c r="I154" s="38">
        <f t="shared" si="190"/>
        <v>0</v>
      </c>
      <c r="J154" s="38">
        <f t="shared" si="190"/>
        <v>0</v>
      </c>
      <c r="K154" s="38">
        <f t="shared" si="190"/>
        <v>0</v>
      </c>
      <c r="L154" s="38">
        <f t="shared" si="190"/>
        <v>0</v>
      </c>
      <c r="M154" s="38">
        <f t="shared" si="190"/>
        <v>0</v>
      </c>
    </row>
    <row r="155" spans="1:13" s="11" customFormat="1" ht="12" x14ac:dyDescent="0.2">
      <c r="A155" s="33"/>
      <c r="B155" s="33"/>
    </row>
    <row r="156" spans="1:13" s="11" customFormat="1" ht="12" x14ac:dyDescent="0.2">
      <c r="A156" s="6" t="s">
        <v>52</v>
      </c>
      <c r="B156" s="33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">
      <c r="A157" s="6" t="s">
        <v>70</v>
      </c>
      <c r="B157" s="33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2021-10-06T15:21:56Z</dcterms:modified>
</cp:coreProperties>
</file>