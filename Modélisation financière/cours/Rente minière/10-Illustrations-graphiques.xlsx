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228"/>
  </bookViews>
  <sheets>
    <sheet name="Modèle" sheetId="3" r:id="rId1"/>
    <sheet name="Amortissements et Emprunt" sheetId="4" r:id="rId2"/>
    <sheet name="Graphiques" sheetId="5" r:id="rId3"/>
  </sheets>
  <calcPr calcId="162913"/>
</workbook>
</file>

<file path=xl/calcChain.xml><?xml version="1.0" encoding="utf-8"?>
<calcChain xmlns="http://schemas.openxmlformats.org/spreadsheetml/2006/main">
  <c r="C157" i="4" l="1"/>
  <c r="C156" i="4"/>
  <c r="D150" i="4"/>
  <c r="C147" i="4"/>
  <c r="C146" i="4"/>
  <c r="C143" i="4"/>
  <c r="H119" i="4"/>
  <c r="C119" i="4"/>
  <c r="M112" i="4"/>
  <c r="M126" i="4"/>
  <c r="D18" i="4"/>
  <c r="F33" i="4"/>
  <c r="E33" i="4"/>
  <c r="D33" i="4"/>
  <c r="D11" i="4"/>
  <c r="K54" i="3" l="1"/>
  <c r="J54" i="3"/>
  <c r="I54" i="3"/>
  <c r="H54" i="3"/>
  <c r="H39" i="3"/>
  <c r="K31" i="3"/>
  <c r="K32" i="3" s="1"/>
  <c r="J31" i="3"/>
  <c r="J32" i="3" s="1"/>
  <c r="I31" i="3"/>
  <c r="I32" i="3" s="1"/>
  <c r="H31" i="3"/>
  <c r="H32" i="3" s="1"/>
  <c r="K28" i="3"/>
  <c r="J28" i="3"/>
  <c r="I28" i="3"/>
  <c r="H28" i="3"/>
  <c r="K16" i="3"/>
  <c r="J16" i="3"/>
  <c r="I16" i="3"/>
  <c r="H16" i="3"/>
  <c r="K12" i="3"/>
  <c r="J12" i="3"/>
  <c r="I12" i="3"/>
  <c r="H12" i="3"/>
  <c r="K6" i="3"/>
  <c r="J6" i="3"/>
  <c r="I6" i="3"/>
  <c r="H6" i="3"/>
  <c r="I19" i="3" l="1"/>
  <c r="K19" i="3"/>
  <c r="H19" i="3"/>
  <c r="J19" i="3"/>
  <c r="B75" i="5"/>
  <c r="B74" i="5"/>
  <c r="B73" i="5"/>
  <c r="B72" i="5"/>
  <c r="B71" i="5"/>
  <c r="B70" i="5"/>
  <c r="B69" i="5"/>
  <c r="B68" i="5"/>
  <c r="B67" i="5"/>
  <c r="B66" i="5"/>
  <c r="B65" i="5"/>
  <c r="D118" i="5"/>
  <c r="D117" i="5"/>
  <c r="D116" i="5"/>
  <c r="D115" i="5"/>
  <c r="D114" i="5"/>
  <c r="D113" i="5"/>
  <c r="D112" i="5"/>
  <c r="D111" i="5"/>
  <c r="D110" i="5"/>
  <c r="D109" i="5"/>
  <c r="D108" i="5"/>
  <c r="C118" i="5"/>
  <c r="C117" i="5"/>
  <c r="C116" i="5"/>
  <c r="C115" i="5"/>
  <c r="C114" i="5"/>
  <c r="C113" i="5"/>
  <c r="C112" i="5"/>
  <c r="C111" i="5"/>
  <c r="C110" i="5"/>
  <c r="C109" i="5"/>
  <c r="C108" i="5"/>
  <c r="B118" i="5"/>
  <c r="B117" i="5"/>
  <c r="B116" i="5"/>
  <c r="B115" i="5"/>
  <c r="B114" i="5"/>
  <c r="B113" i="5"/>
  <c r="B112" i="5"/>
  <c r="B111" i="5"/>
  <c r="B110" i="5"/>
  <c r="B109" i="5"/>
  <c r="B108" i="5"/>
  <c r="K36" i="3" l="1"/>
  <c r="I36" i="3"/>
  <c r="J36" i="3"/>
  <c r="H36" i="3"/>
  <c r="H40" i="3" s="1"/>
  <c r="I39" i="3" s="1"/>
  <c r="D133" i="4"/>
  <c r="E133" i="4"/>
  <c r="F133" i="4"/>
  <c r="G133" i="4"/>
  <c r="H133" i="4"/>
  <c r="I133" i="4"/>
  <c r="J133" i="4"/>
  <c r="K133" i="4"/>
  <c r="L133" i="4"/>
  <c r="C133" i="4"/>
  <c r="M127" i="4"/>
  <c r="J40" i="3" l="1"/>
  <c r="K39" i="3" s="1"/>
  <c r="K40" i="3" s="1"/>
  <c r="I40" i="3"/>
  <c r="J39" i="3" s="1"/>
  <c r="M128" i="4"/>
  <c r="M129" i="4" s="1"/>
  <c r="M130" i="4" s="1"/>
  <c r="D31" i="3"/>
  <c r="D32" i="3" s="1"/>
  <c r="D66" i="5" s="1"/>
  <c r="E31" i="3"/>
  <c r="F31" i="3"/>
  <c r="G31" i="3"/>
  <c r="L31" i="3"/>
  <c r="M31" i="3"/>
  <c r="N31" i="3"/>
  <c r="O31" i="3"/>
  <c r="P31" i="3"/>
  <c r="Q31" i="3"/>
  <c r="Q32" i="3" s="1"/>
  <c r="D75" i="5" s="1"/>
  <c r="C31" i="3"/>
  <c r="C32" i="3" s="1"/>
  <c r="D65" i="5" s="1"/>
  <c r="E28" i="3"/>
  <c r="C67" i="5" s="1"/>
  <c r="F16" i="3"/>
  <c r="E111" i="5" s="1"/>
  <c r="F12" i="3"/>
  <c r="F6" i="3"/>
  <c r="C6" i="3"/>
  <c r="C54" i="3" l="1"/>
  <c r="F54" i="3"/>
  <c r="F32" i="3"/>
  <c r="D68" i="5" s="1"/>
  <c r="M131" i="4"/>
  <c r="M133" i="4"/>
  <c r="E16" i="3"/>
  <c r="E110" i="5" s="1"/>
  <c r="E150" i="4" l="1"/>
  <c r="E152" i="4" s="1"/>
  <c r="D143" i="4"/>
  <c r="M113" i="4"/>
  <c r="M114" i="4"/>
  <c r="M115" i="4" s="1"/>
  <c r="L105" i="4"/>
  <c r="L104" i="4"/>
  <c r="L106" i="4" s="1"/>
  <c r="K97" i="4"/>
  <c r="K96" i="4"/>
  <c r="J89" i="4"/>
  <c r="J88" i="4"/>
  <c r="K88" i="4" s="1"/>
  <c r="I81" i="4"/>
  <c r="I80" i="4"/>
  <c r="J80" i="4" s="1"/>
  <c r="H73" i="4"/>
  <c r="H72" i="4"/>
  <c r="G65" i="4"/>
  <c r="G64" i="4"/>
  <c r="F57" i="4"/>
  <c r="F56" i="4"/>
  <c r="G56" i="4" s="1"/>
  <c r="E49" i="4"/>
  <c r="E48" i="4"/>
  <c r="F48" i="4" s="1"/>
  <c r="D41" i="4"/>
  <c r="D40" i="4"/>
  <c r="C33" i="4"/>
  <c r="C32" i="4"/>
  <c r="D19" i="4"/>
  <c r="D20" i="4"/>
  <c r="C11" i="4"/>
  <c r="C10" i="4"/>
  <c r="C12" i="4" s="1"/>
  <c r="C34" i="4" l="1"/>
  <c r="C35" i="4" s="1"/>
  <c r="C36" i="4" s="1"/>
  <c r="M116" i="4"/>
  <c r="M117" i="4" s="1"/>
  <c r="E143" i="4"/>
  <c r="F150" i="4"/>
  <c r="D32" i="4"/>
  <c r="E50" i="4"/>
  <c r="E51" i="4" s="1"/>
  <c r="E52" i="4" s="1"/>
  <c r="E53" i="4" s="1"/>
  <c r="F49" i="4" s="1"/>
  <c r="M104" i="4"/>
  <c r="L107" i="4"/>
  <c r="K98" i="4"/>
  <c r="K99" i="4" s="1"/>
  <c r="K100" i="4" s="1"/>
  <c r="K101" i="4" s="1"/>
  <c r="L97" i="4" s="1"/>
  <c r="L96" i="4"/>
  <c r="L88" i="4"/>
  <c r="K90" i="4"/>
  <c r="K91" i="4" s="1"/>
  <c r="J90" i="4"/>
  <c r="J91" i="4" s="1"/>
  <c r="J92" i="4" s="1"/>
  <c r="J93" i="4" s="1"/>
  <c r="K89" i="4" s="1"/>
  <c r="J82" i="4"/>
  <c r="J83" i="4" s="1"/>
  <c r="K80" i="4"/>
  <c r="I82" i="4"/>
  <c r="I83" i="4" s="1"/>
  <c r="I84" i="4" s="1"/>
  <c r="I85" i="4" s="1"/>
  <c r="J81" i="4" s="1"/>
  <c r="H74" i="4"/>
  <c r="H75" i="4" s="1"/>
  <c r="H76" i="4" s="1"/>
  <c r="H77" i="4" s="1"/>
  <c r="I73" i="4" s="1"/>
  <c r="I72" i="4"/>
  <c r="G66" i="4"/>
  <c r="G67" i="4" s="1"/>
  <c r="G68" i="4" s="1"/>
  <c r="G69" i="4" s="1"/>
  <c r="H65" i="4" s="1"/>
  <c r="H64" i="4"/>
  <c r="H56" i="4"/>
  <c r="G58" i="4"/>
  <c r="G59" i="4" s="1"/>
  <c r="F58" i="4"/>
  <c r="F59" i="4" s="1"/>
  <c r="F60" i="4" s="1"/>
  <c r="F61" i="4" s="1"/>
  <c r="G57" i="4" s="1"/>
  <c r="G48" i="4"/>
  <c r="F50" i="4"/>
  <c r="F51" i="4" s="1"/>
  <c r="D42" i="4"/>
  <c r="D43" i="4" s="1"/>
  <c r="D44" i="4" s="1"/>
  <c r="D45" i="4" s="1"/>
  <c r="E41" i="4" s="1"/>
  <c r="E40" i="4"/>
  <c r="C13" i="4"/>
  <c r="C14" i="4" s="1"/>
  <c r="C25" i="4" s="1"/>
  <c r="D10" i="4"/>
  <c r="D12" i="4" s="1"/>
  <c r="E18" i="4"/>
  <c r="D21" i="4"/>
  <c r="D22" i="4" s="1"/>
  <c r="D23" i="4" s="1"/>
  <c r="E19" i="4" s="1"/>
  <c r="L108" i="4" l="1"/>
  <c r="L109" i="4" s="1"/>
  <c r="M105" i="4" s="1"/>
  <c r="F143" i="4"/>
  <c r="G150" i="4"/>
  <c r="C37" i="4"/>
  <c r="D34" i="4"/>
  <c r="D35" i="4" s="1"/>
  <c r="E32" i="4"/>
  <c r="M106" i="4"/>
  <c r="M107" i="4" s="1"/>
  <c r="L98" i="4"/>
  <c r="L99" i="4" s="1"/>
  <c r="L100" i="4" s="1"/>
  <c r="L101" i="4" s="1"/>
  <c r="M97" i="4" s="1"/>
  <c r="M96" i="4"/>
  <c r="K92" i="4"/>
  <c r="K93" i="4" s="1"/>
  <c r="L89" i="4" s="1"/>
  <c r="M88" i="4"/>
  <c r="L90" i="4"/>
  <c r="L91" i="4" s="1"/>
  <c r="J84" i="4"/>
  <c r="J85" i="4" s="1"/>
  <c r="K81" i="4" s="1"/>
  <c r="K82" i="4"/>
  <c r="K83" i="4" s="1"/>
  <c r="L80" i="4"/>
  <c r="J72" i="4"/>
  <c r="I74" i="4"/>
  <c r="I75" i="4" s="1"/>
  <c r="I76" i="4" s="1"/>
  <c r="I77" i="4" s="1"/>
  <c r="J73" i="4" s="1"/>
  <c r="I64" i="4"/>
  <c r="H66" i="4"/>
  <c r="H67" i="4" s="1"/>
  <c r="H68" i="4" s="1"/>
  <c r="H69" i="4" s="1"/>
  <c r="I65" i="4" s="1"/>
  <c r="G60" i="4"/>
  <c r="G61" i="4" s="1"/>
  <c r="H57" i="4" s="1"/>
  <c r="I56" i="4"/>
  <c r="H58" i="4"/>
  <c r="H59" i="4" s="1"/>
  <c r="F52" i="4"/>
  <c r="F53" i="4" s="1"/>
  <c r="G49" i="4" s="1"/>
  <c r="G50" i="4"/>
  <c r="G51" i="4" s="1"/>
  <c r="H48" i="4"/>
  <c r="F40" i="4"/>
  <c r="E42" i="4"/>
  <c r="E43" i="4" s="1"/>
  <c r="E44" i="4" s="1"/>
  <c r="E45" i="4" s="1"/>
  <c r="F41" i="4" s="1"/>
  <c r="D13" i="4"/>
  <c r="E10" i="4"/>
  <c r="C15" i="4"/>
  <c r="E20" i="4"/>
  <c r="E21" i="4" s="1"/>
  <c r="E22" i="4" s="1"/>
  <c r="E23" i="4" s="1"/>
  <c r="F19" i="4" s="1"/>
  <c r="F18" i="4"/>
  <c r="M108" i="4" l="1"/>
  <c r="M109" i="4" s="1"/>
  <c r="D36" i="4"/>
  <c r="D37" i="4" s="1"/>
  <c r="G143" i="4"/>
  <c r="H150" i="4"/>
  <c r="F32" i="4"/>
  <c r="E34" i="4"/>
  <c r="E35" i="4" s="1"/>
  <c r="M98" i="4"/>
  <c r="M99" i="4" s="1"/>
  <c r="M100" i="4" s="1"/>
  <c r="M101" i="4" s="1"/>
  <c r="L92" i="4"/>
  <c r="L93" i="4" s="1"/>
  <c r="M89" i="4" s="1"/>
  <c r="M90" i="4"/>
  <c r="M91" i="4" s="1"/>
  <c r="K84" i="4"/>
  <c r="K85" i="4" s="1"/>
  <c r="L81" i="4" s="1"/>
  <c r="L82" i="4"/>
  <c r="L83" i="4" s="1"/>
  <c r="M80" i="4"/>
  <c r="K72" i="4"/>
  <c r="J74" i="4"/>
  <c r="J75" i="4" s="1"/>
  <c r="J76" i="4" s="1"/>
  <c r="J77" i="4" s="1"/>
  <c r="K73" i="4" s="1"/>
  <c r="I66" i="4"/>
  <c r="I67" i="4" s="1"/>
  <c r="I68" i="4" s="1"/>
  <c r="I69" i="4" s="1"/>
  <c r="J65" i="4" s="1"/>
  <c r="J64" i="4"/>
  <c r="H60" i="4"/>
  <c r="H61" i="4" s="1"/>
  <c r="I57" i="4" s="1"/>
  <c r="I58" i="4"/>
  <c r="I59" i="4" s="1"/>
  <c r="J56" i="4"/>
  <c r="G52" i="4"/>
  <c r="G53" i="4" s="1"/>
  <c r="H49" i="4" s="1"/>
  <c r="H50" i="4"/>
  <c r="H51" i="4" s="1"/>
  <c r="I48" i="4"/>
  <c r="G40" i="4"/>
  <c r="F42" i="4"/>
  <c r="F43" i="4" s="1"/>
  <c r="F44" i="4" s="1"/>
  <c r="F45" i="4" s="1"/>
  <c r="G41" i="4" s="1"/>
  <c r="F10" i="4"/>
  <c r="E12" i="4"/>
  <c r="E13" i="4" s="1"/>
  <c r="D14" i="4"/>
  <c r="D25" i="4" s="1"/>
  <c r="G18" i="4"/>
  <c r="F20" i="4"/>
  <c r="F21" i="4" s="1"/>
  <c r="F22" i="4" s="1"/>
  <c r="F23" i="4" s="1"/>
  <c r="G19" i="4" s="1"/>
  <c r="D119" i="4" l="1"/>
  <c r="E36" i="4"/>
  <c r="E37" i="4" s="1"/>
  <c r="H143" i="4"/>
  <c r="I150" i="4"/>
  <c r="D15" i="4"/>
  <c r="E11" i="4" s="1"/>
  <c r="E14" i="4" s="1"/>
  <c r="E25" i="4" s="1"/>
  <c r="F34" i="4"/>
  <c r="F35" i="4" s="1"/>
  <c r="G32" i="4"/>
  <c r="M92" i="4"/>
  <c r="M93" i="4" s="1"/>
  <c r="M82" i="4"/>
  <c r="M83" i="4" s="1"/>
  <c r="L84" i="4"/>
  <c r="L85" i="4" s="1"/>
  <c r="M81" i="4" s="1"/>
  <c r="K74" i="4"/>
  <c r="K75" i="4" s="1"/>
  <c r="K76" i="4" s="1"/>
  <c r="K77" i="4" s="1"/>
  <c r="L73" i="4" s="1"/>
  <c r="L72" i="4"/>
  <c r="J66" i="4"/>
  <c r="J67" i="4" s="1"/>
  <c r="J68" i="4" s="1"/>
  <c r="J69" i="4" s="1"/>
  <c r="K65" i="4" s="1"/>
  <c r="K64" i="4"/>
  <c r="I60" i="4"/>
  <c r="I61" i="4" s="1"/>
  <c r="J57" i="4" s="1"/>
  <c r="K56" i="4"/>
  <c r="J58" i="4"/>
  <c r="J59" i="4" s="1"/>
  <c r="H52" i="4"/>
  <c r="H53" i="4" s="1"/>
  <c r="I49" i="4" s="1"/>
  <c r="J48" i="4"/>
  <c r="I50" i="4"/>
  <c r="I51" i="4" s="1"/>
  <c r="G42" i="4"/>
  <c r="G43" i="4" s="1"/>
  <c r="G44" i="4" s="1"/>
  <c r="G45" i="4" s="1"/>
  <c r="H41" i="4" s="1"/>
  <c r="H40" i="4"/>
  <c r="G10" i="4"/>
  <c r="F12" i="4"/>
  <c r="F13" i="4" s="1"/>
  <c r="G20" i="4"/>
  <c r="G21" i="4" s="1"/>
  <c r="G22" i="4" s="1"/>
  <c r="G23" i="4" s="1"/>
  <c r="H19" i="4" s="1"/>
  <c r="H18" i="4"/>
  <c r="E119" i="4" l="1"/>
  <c r="F36" i="4"/>
  <c r="F37" i="4" s="1"/>
  <c r="G33" i="4" s="1"/>
  <c r="E15" i="4"/>
  <c r="F11" i="4" s="1"/>
  <c r="F14" i="4" s="1"/>
  <c r="F25" i="4" s="1"/>
  <c r="I143" i="4"/>
  <c r="J150" i="4"/>
  <c r="H32" i="4"/>
  <c r="G34" i="4"/>
  <c r="G35" i="4" s="1"/>
  <c r="M84" i="4"/>
  <c r="M85" i="4" s="1"/>
  <c r="M72" i="4"/>
  <c r="L74" i="4"/>
  <c r="L75" i="4" s="1"/>
  <c r="L76" i="4" s="1"/>
  <c r="L77" i="4" s="1"/>
  <c r="M73" i="4" s="1"/>
  <c r="L64" i="4"/>
  <c r="K66" i="4"/>
  <c r="K67" i="4" s="1"/>
  <c r="K68" i="4" s="1"/>
  <c r="K69" i="4" s="1"/>
  <c r="L65" i="4" s="1"/>
  <c r="J60" i="4"/>
  <c r="J61" i="4" s="1"/>
  <c r="K57" i="4" s="1"/>
  <c r="L56" i="4"/>
  <c r="K59" i="4"/>
  <c r="K58" i="4"/>
  <c r="I52" i="4"/>
  <c r="I53" i="4" s="1"/>
  <c r="J49" i="4" s="1"/>
  <c r="J51" i="4"/>
  <c r="J50" i="4"/>
  <c r="K48" i="4"/>
  <c r="I40" i="4"/>
  <c r="H42" i="4"/>
  <c r="H43" i="4" s="1"/>
  <c r="H44" i="4" s="1"/>
  <c r="H45" i="4" s="1"/>
  <c r="I41" i="4" s="1"/>
  <c r="H10" i="4"/>
  <c r="G12" i="4"/>
  <c r="G13" i="4" s="1"/>
  <c r="I18" i="4"/>
  <c r="H20" i="4"/>
  <c r="H21" i="4" s="1"/>
  <c r="H22" i="4" s="1"/>
  <c r="H23" i="4" s="1"/>
  <c r="I19" i="4" s="1"/>
  <c r="F119" i="4" l="1"/>
  <c r="F15" i="4"/>
  <c r="G11" i="4" s="1"/>
  <c r="G14" i="4" s="1"/>
  <c r="G25" i="4" s="1"/>
  <c r="G36" i="4"/>
  <c r="G119" i="4" s="1"/>
  <c r="J143" i="4"/>
  <c r="I145" i="4"/>
  <c r="K150" i="4"/>
  <c r="J152" i="4"/>
  <c r="H34" i="4"/>
  <c r="I32" i="4"/>
  <c r="H35" i="4"/>
  <c r="M75" i="4"/>
  <c r="M76" i="4" s="1"/>
  <c r="M77" i="4" s="1"/>
  <c r="M74" i="4"/>
  <c r="L67" i="4"/>
  <c r="L68" i="4" s="1"/>
  <c r="L69" i="4" s="1"/>
  <c r="M65" i="4" s="1"/>
  <c r="L66" i="4"/>
  <c r="M64" i="4"/>
  <c r="K60" i="4"/>
  <c r="K61" i="4" s="1"/>
  <c r="L57" i="4" s="1"/>
  <c r="M56" i="4"/>
  <c r="L59" i="4"/>
  <c r="L58" i="4"/>
  <c r="J52" i="4"/>
  <c r="J53" i="4" s="1"/>
  <c r="K49" i="4" s="1"/>
  <c r="K51" i="4"/>
  <c r="L48" i="4"/>
  <c r="K50" i="4"/>
  <c r="I43" i="4"/>
  <c r="I44" i="4" s="1"/>
  <c r="I45" i="4" s="1"/>
  <c r="J41" i="4" s="1"/>
  <c r="J40" i="4"/>
  <c r="I42" i="4"/>
  <c r="H12" i="4"/>
  <c r="H13" i="4" s="1"/>
  <c r="I10" i="4"/>
  <c r="J18" i="4"/>
  <c r="I20" i="4"/>
  <c r="I21" i="4" s="1"/>
  <c r="I22" i="4" s="1"/>
  <c r="I23" i="4" s="1"/>
  <c r="J19" i="4" s="1"/>
  <c r="G37" i="4" l="1"/>
  <c r="H33" i="4" s="1"/>
  <c r="H36" i="4" s="1"/>
  <c r="J145" i="4"/>
  <c r="K143" i="4"/>
  <c r="L150" i="4"/>
  <c r="K152" i="4"/>
  <c r="I35" i="4"/>
  <c r="I34" i="4"/>
  <c r="J32" i="4"/>
  <c r="M66" i="4"/>
  <c r="M67" i="4"/>
  <c r="M68" i="4" s="1"/>
  <c r="M69" i="4" s="1"/>
  <c r="L60" i="4"/>
  <c r="L61" i="4" s="1"/>
  <c r="M57" i="4" s="1"/>
  <c r="M59" i="4"/>
  <c r="M58" i="4"/>
  <c r="L50" i="4"/>
  <c r="L51" i="4"/>
  <c r="M48" i="4"/>
  <c r="K52" i="4"/>
  <c r="K53" i="4" s="1"/>
  <c r="L49" i="4" s="1"/>
  <c r="K40" i="4"/>
  <c r="J42" i="4"/>
  <c r="J43" i="4"/>
  <c r="J44" i="4" s="1"/>
  <c r="J45" i="4" s="1"/>
  <c r="K41" i="4" s="1"/>
  <c r="I12" i="4"/>
  <c r="I13" i="4" s="1"/>
  <c r="J10" i="4"/>
  <c r="G15" i="4"/>
  <c r="H11" i="4" s="1"/>
  <c r="H14" i="4" s="1"/>
  <c r="K18" i="4"/>
  <c r="J20" i="4"/>
  <c r="J21" i="4" s="1"/>
  <c r="J22" i="4" s="1"/>
  <c r="J23" i="4" s="1"/>
  <c r="K19" i="4" s="1"/>
  <c r="H37" i="4" l="1"/>
  <c r="I33" i="4" s="1"/>
  <c r="I36" i="4" s="1"/>
  <c r="I119" i="4" s="1"/>
  <c r="L143" i="4"/>
  <c r="K145" i="4"/>
  <c r="L152" i="4"/>
  <c r="M150" i="4"/>
  <c r="M152" i="4" s="1"/>
  <c r="J35" i="4"/>
  <c r="K32" i="4"/>
  <c r="J34" i="4"/>
  <c r="M60" i="4"/>
  <c r="M61" i="4" s="1"/>
  <c r="L52" i="4"/>
  <c r="L53" i="4" s="1"/>
  <c r="M49" i="4" s="1"/>
  <c r="M51" i="4"/>
  <c r="M50" i="4"/>
  <c r="K42" i="4"/>
  <c r="K43" i="4"/>
  <c r="K44" i="4" s="1"/>
  <c r="K45" i="4" s="1"/>
  <c r="L41" i="4" s="1"/>
  <c r="L40" i="4"/>
  <c r="J12" i="4"/>
  <c r="J13" i="4" s="1"/>
  <c r="K10" i="4"/>
  <c r="H15" i="4"/>
  <c r="I11" i="4" s="1"/>
  <c r="H25" i="4"/>
  <c r="K20" i="4"/>
  <c r="K21" i="4" s="1"/>
  <c r="K22" i="4" s="1"/>
  <c r="K23" i="4" s="1"/>
  <c r="L19" i="4" s="1"/>
  <c r="L18" i="4"/>
  <c r="I37" i="4" l="1"/>
  <c r="J33" i="4" s="1"/>
  <c r="J36" i="4" s="1"/>
  <c r="J37" i="4" s="1"/>
  <c r="K33" i="4" s="1"/>
  <c r="L145" i="4"/>
  <c r="M143" i="4"/>
  <c r="M145" i="4" s="1"/>
  <c r="K34" i="4"/>
  <c r="K35" i="4"/>
  <c r="L32" i="4"/>
  <c r="M52" i="4"/>
  <c r="M53" i="4" s="1"/>
  <c r="L43" i="4"/>
  <c r="L44" i="4" s="1"/>
  <c r="L45" i="4" s="1"/>
  <c r="M41" i="4" s="1"/>
  <c r="M40" i="4"/>
  <c r="L42" i="4"/>
  <c r="L10" i="4"/>
  <c r="K12" i="4"/>
  <c r="K13" i="4" s="1"/>
  <c r="I14" i="4"/>
  <c r="I25" i="4" s="1"/>
  <c r="M18" i="4"/>
  <c r="L20" i="4"/>
  <c r="L21" i="4" s="1"/>
  <c r="L22" i="4" s="1"/>
  <c r="L23" i="4" s="1"/>
  <c r="M19" i="4" s="1"/>
  <c r="J119" i="4" l="1"/>
  <c r="K36" i="4"/>
  <c r="K119" i="4" s="1"/>
  <c r="M32" i="4"/>
  <c r="L35" i="4"/>
  <c r="L34" i="4"/>
  <c r="M43" i="4"/>
  <c r="M44" i="4" s="1"/>
  <c r="M45" i="4" s="1"/>
  <c r="M42" i="4"/>
  <c r="L12" i="4"/>
  <c r="L13" i="4" s="1"/>
  <c r="M10" i="4"/>
  <c r="I15" i="4"/>
  <c r="J11" i="4" s="1"/>
  <c r="M20" i="4"/>
  <c r="M21" i="4" s="1"/>
  <c r="M22" i="4" s="1"/>
  <c r="M23" i="4" s="1"/>
  <c r="K37" i="4" l="1"/>
  <c r="L33" i="4" s="1"/>
  <c r="L36" i="4" s="1"/>
  <c r="L37" i="4" s="1"/>
  <c r="M33" i="4" s="1"/>
  <c r="M35" i="4"/>
  <c r="M34" i="4"/>
  <c r="M12" i="4"/>
  <c r="M13" i="4"/>
  <c r="J14" i="4"/>
  <c r="J25" i="4" s="1"/>
  <c r="J15" i="4" l="1"/>
  <c r="K11" i="4" s="1"/>
  <c r="K14" i="4" s="1"/>
  <c r="K25" i="4" s="1"/>
  <c r="L119" i="4"/>
  <c r="M36" i="4"/>
  <c r="M37" i="4" s="1"/>
  <c r="K15" i="4" l="1"/>
  <c r="L11" i="4" s="1"/>
  <c r="L14" i="4" s="1"/>
  <c r="L25" i="4" s="1"/>
  <c r="M119" i="4"/>
  <c r="L15" i="4" l="1"/>
  <c r="M11" i="4" s="1"/>
  <c r="M14" i="4" s="1"/>
  <c r="M25" i="4" l="1"/>
  <c r="M15" i="4"/>
  <c r="F28" i="3" l="1"/>
  <c r="C68" i="5" s="1"/>
  <c r="G28" i="3"/>
  <c r="C69" i="5" s="1"/>
  <c r="L28" i="3"/>
  <c r="C70" i="5" s="1"/>
  <c r="M28" i="3"/>
  <c r="C71" i="5" s="1"/>
  <c r="N28" i="3"/>
  <c r="C72" i="5" s="1"/>
  <c r="O28" i="3"/>
  <c r="C73" i="5" s="1"/>
  <c r="P28" i="3"/>
  <c r="C74" i="5" s="1"/>
  <c r="Q28" i="3"/>
  <c r="C75" i="5" s="1"/>
  <c r="D28" i="3"/>
  <c r="C66" i="5" s="1"/>
  <c r="C28" i="3"/>
  <c r="C65" i="5" s="1"/>
  <c r="S23" i="3"/>
  <c r="B88" i="5" s="1"/>
  <c r="R23" i="3"/>
  <c r="G16" i="3"/>
  <c r="E112" i="5" s="1"/>
  <c r="L16" i="3"/>
  <c r="E113" i="5" s="1"/>
  <c r="M16" i="3"/>
  <c r="E114" i="5" s="1"/>
  <c r="N16" i="3"/>
  <c r="E115" i="5" s="1"/>
  <c r="O16" i="3"/>
  <c r="E116" i="5" s="1"/>
  <c r="P16" i="3"/>
  <c r="E117" i="5" s="1"/>
  <c r="Q16" i="3"/>
  <c r="E118" i="5" s="1"/>
  <c r="D16" i="3"/>
  <c r="E109" i="5" s="1"/>
  <c r="C16" i="3"/>
  <c r="E108" i="5" s="1"/>
  <c r="R16" i="3" l="1"/>
  <c r="S28" i="3"/>
  <c r="C88" i="5" s="1"/>
  <c r="S16" i="3"/>
  <c r="R28" i="3"/>
  <c r="R10" i="3"/>
  <c r="S10" i="3"/>
  <c r="R11" i="3"/>
  <c r="S11" i="3"/>
  <c r="S9" i="3"/>
  <c r="R9" i="3"/>
  <c r="Q12" i="3"/>
  <c r="P12" i="3"/>
  <c r="O12" i="3"/>
  <c r="N12" i="3"/>
  <c r="M12" i="3"/>
  <c r="L12" i="3"/>
  <c r="G12" i="3"/>
  <c r="E12" i="3"/>
  <c r="D12" i="3"/>
  <c r="D151" i="4" s="1"/>
  <c r="C12" i="3"/>
  <c r="R4" i="3"/>
  <c r="Q6" i="3"/>
  <c r="P6" i="3"/>
  <c r="O6" i="3"/>
  <c r="N6" i="3"/>
  <c r="M6" i="3"/>
  <c r="L6" i="3"/>
  <c r="L54" i="3" s="1"/>
  <c r="G6" i="3"/>
  <c r="E6" i="3"/>
  <c r="D6" i="3"/>
  <c r="M54" i="3" l="1"/>
  <c r="N54" i="3"/>
  <c r="G54" i="3"/>
  <c r="O54" i="3"/>
  <c r="D54" i="3"/>
  <c r="Q54" i="3"/>
  <c r="E54" i="3"/>
  <c r="P54" i="3"/>
  <c r="G19" i="3"/>
  <c r="G36" i="3" s="1"/>
  <c r="E19" i="3"/>
  <c r="E36" i="3" s="1"/>
  <c r="P32" i="3"/>
  <c r="D74" i="5" s="1"/>
  <c r="G32" i="3"/>
  <c r="D69" i="5" s="1"/>
  <c r="O32" i="3"/>
  <c r="D73" i="5" s="1"/>
  <c r="L32" i="3"/>
  <c r="D70" i="5" s="1"/>
  <c r="E32" i="3"/>
  <c r="D67" i="5" s="1"/>
  <c r="M32" i="3"/>
  <c r="D71" i="5" s="1"/>
  <c r="N32" i="3"/>
  <c r="D72" i="5" s="1"/>
  <c r="C19" i="3"/>
  <c r="C36" i="3" s="1"/>
  <c r="R12" i="3"/>
  <c r="S12" i="3"/>
  <c r="C144" i="4"/>
  <c r="D19" i="3"/>
  <c r="L19" i="3"/>
  <c r="L36" i="3" s="1"/>
  <c r="P19" i="3"/>
  <c r="P36" i="3" s="1"/>
  <c r="E151" i="4"/>
  <c r="D153" i="4"/>
  <c r="D154" i="4" s="1"/>
  <c r="M19" i="3"/>
  <c r="M36" i="3" s="1"/>
  <c r="Q19" i="3"/>
  <c r="Q36" i="3" s="1"/>
  <c r="F19" i="3"/>
  <c r="F36" i="3" s="1"/>
  <c r="N19" i="3"/>
  <c r="N36" i="3" s="1"/>
  <c r="O19" i="3"/>
  <c r="O36" i="3" s="1"/>
  <c r="S6" i="3"/>
  <c r="R6" i="3"/>
  <c r="K20" i="3" l="1"/>
  <c r="J20" i="3"/>
  <c r="I20" i="3"/>
  <c r="H20" i="3"/>
  <c r="D36" i="3"/>
  <c r="C37" i="3"/>
  <c r="O37" i="3"/>
  <c r="M37" i="3"/>
  <c r="N37" i="3"/>
  <c r="D37" i="3"/>
  <c r="P37" i="3"/>
  <c r="E37" i="3"/>
  <c r="L37" i="3"/>
  <c r="S36" i="3"/>
  <c r="C40" i="3"/>
  <c r="R36" i="3"/>
  <c r="R54" i="3"/>
  <c r="S54" i="3"/>
  <c r="D20" i="3"/>
  <c r="B46" i="5" s="1"/>
  <c r="N20" i="3"/>
  <c r="B52" i="5" s="1"/>
  <c r="F20" i="3"/>
  <c r="B48" i="5" s="1"/>
  <c r="C20" i="3"/>
  <c r="B45" i="5" s="1"/>
  <c r="F152" i="4"/>
  <c r="F151" i="4" s="1"/>
  <c r="E153" i="4"/>
  <c r="E154" i="4" s="1"/>
  <c r="D145" i="4"/>
  <c r="D144" i="4" s="1"/>
  <c r="D146" i="4" s="1"/>
  <c r="M20" i="3"/>
  <c r="B51" i="5" s="1"/>
  <c r="E20" i="3"/>
  <c r="B47" i="5" s="1"/>
  <c r="R19" i="3"/>
  <c r="R78" i="3" s="1"/>
  <c r="G20" i="3"/>
  <c r="B49" i="5" s="1"/>
  <c r="Q20" i="3"/>
  <c r="B55" i="5" s="1"/>
  <c r="L20" i="3"/>
  <c r="B50" i="5" s="1"/>
  <c r="R32" i="3"/>
  <c r="S32" i="3"/>
  <c r="D88" i="5" s="1"/>
  <c r="S19" i="3"/>
  <c r="S78" i="3" s="1"/>
  <c r="O20" i="3"/>
  <c r="B53" i="5" s="1"/>
  <c r="P20" i="3"/>
  <c r="B54" i="5" s="1"/>
  <c r="J37" i="3" l="1"/>
  <c r="J42" i="3" s="1"/>
  <c r="I37" i="3"/>
  <c r="I42" i="3" s="1"/>
  <c r="H37" i="3"/>
  <c r="H42" i="3" s="1"/>
  <c r="K37" i="3"/>
  <c r="K42" i="3" s="1"/>
  <c r="Q37" i="3"/>
  <c r="G37" i="3"/>
  <c r="F37" i="3"/>
  <c r="D39" i="3"/>
  <c r="D40" i="3" s="1"/>
  <c r="E39" i="3" s="1"/>
  <c r="E40" i="3" s="1"/>
  <c r="F39" i="3" s="1"/>
  <c r="F40" i="3" s="1"/>
  <c r="G39" i="3" s="1"/>
  <c r="G40" i="3" s="1"/>
  <c r="L39" i="3" s="1"/>
  <c r="L40" i="3" s="1"/>
  <c r="M39" i="3" s="1"/>
  <c r="M40" i="3" s="1"/>
  <c r="C42" i="3"/>
  <c r="E65" i="5" s="1"/>
  <c r="E145" i="4"/>
  <c r="E144" i="4" s="1"/>
  <c r="F153" i="4"/>
  <c r="F154" i="4" s="1"/>
  <c r="G152" i="4"/>
  <c r="G151" i="4" s="1"/>
  <c r="N39" i="3" l="1"/>
  <c r="N40" i="3" s="1"/>
  <c r="O39" i="3" s="1"/>
  <c r="O40" i="3" s="1"/>
  <c r="P39" i="3" s="1"/>
  <c r="P40" i="3" s="1"/>
  <c r="Q39" i="3" s="1"/>
  <c r="Q40" i="3" s="1"/>
  <c r="Q42" i="3" s="1"/>
  <c r="E75" i="5" s="1"/>
  <c r="C45" i="3"/>
  <c r="C47" i="3" s="1"/>
  <c r="H46" i="3" s="1"/>
  <c r="D42" i="3"/>
  <c r="E66" i="5" s="1"/>
  <c r="N42" i="3"/>
  <c r="E72" i="5" s="1"/>
  <c r="R40" i="3"/>
  <c r="L42" i="3"/>
  <c r="E70" i="5" s="1"/>
  <c r="G42" i="3"/>
  <c r="E69" i="5" s="1"/>
  <c r="F42" i="3"/>
  <c r="E68" i="5" s="1"/>
  <c r="M42" i="3"/>
  <c r="E71" i="5" s="1"/>
  <c r="E42" i="3"/>
  <c r="E67" i="5" s="1"/>
  <c r="D156" i="4"/>
  <c r="D147" i="4"/>
  <c r="D157" i="4" s="1"/>
  <c r="H152" i="4"/>
  <c r="H151" i="4" s="1"/>
  <c r="G153" i="4"/>
  <c r="G154" i="4" s="1"/>
  <c r="F145" i="4"/>
  <c r="F144" i="4" s="1"/>
  <c r="E146" i="4"/>
  <c r="D45" i="3" l="1"/>
  <c r="O42" i="3"/>
  <c r="E73" i="5" s="1"/>
  <c r="H45" i="3"/>
  <c r="H47" i="3" s="1"/>
  <c r="P42" i="3"/>
  <c r="E74" i="5" s="1"/>
  <c r="S40" i="3"/>
  <c r="D46" i="3"/>
  <c r="D47" i="3" s="1"/>
  <c r="C49" i="3"/>
  <c r="C57" i="3" s="1"/>
  <c r="F65" i="5" s="1"/>
  <c r="E156" i="4"/>
  <c r="E147" i="4"/>
  <c r="E157" i="4" s="1"/>
  <c r="H153" i="4"/>
  <c r="H154" i="4" s="1"/>
  <c r="I152" i="4"/>
  <c r="I151" i="4" s="1"/>
  <c r="G145" i="4"/>
  <c r="G144" i="4" s="1"/>
  <c r="F146" i="4"/>
  <c r="R42" i="3" l="1"/>
  <c r="S42" i="3"/>
  <c r="E88" i="5" s="1"/>
  <c r="H49" i="3"/>
  <c r="H57" i="3" s="1"/>
  <c r="I46" i="3"/>
  <c r="E45" i="3"/>
  <c r="I45" i="3"/>
  <c r="I47" i="3" s="1"/>
  <c r="C60" i="3"/>
  <c r="C62" i="3" s="1"/>
  <c r="G65" i="5" s="1"/>
  <c r="D49" i="3"/>
  <c r="D57" i="3" s="1"/>
  <c r="F66" i="5" s="1"/>
  <c r="E46" i="3"/>
  <c r="E47" i="3" s="1"/>
  <c r="F156" i="4"/>
  <c r="F147" i="4"/>
  <c r="F157" i="4" s="1"/>
  <c r="G146" i="4"/>
  <c r="H145" i="4"/>
  <c r="H144" i="4" s="1"/>
  <c r="I153" i="4"/>
  <c r="I154" i="4" s="1"/>
  <c r="J151" i="4"/>
  <c r="H60" i="3" l="1"/>
  <c r="F45" i="3"/>
  <c r="J45" i="3"/>
  <c r="I49" i="3"/>
  <c r="I57" i="3" s="1"/>
  <c r="J46" i="3"/>
  <c r="C66" i="3"/>
  <c r="C68" i="3" s="1"/>
  <c r="D60" i="3"/>
  <c r="F46" i="3"/>
  <c r="G156" i="4"/>
  <c r="G147" i="4"/>
  <c r="G157" i="4" s="1"/>
  <c r="E49" i="3"/>
  <c r="E57" i="3" s="1"/>
  <c r="F67" i="5" s="1"/>
  <c r="J153" i="4"/>
  <c r="J154" i="4" s="1"/>
  <c r="K151" i="4"/>
  <c r="H146" i="4"/>
  <c r="I144" i="4"/>
  <c r="F47" i="3" l="1"/>
  <c r="G46" i="3" s="1"/>
  <c r="G47" i="3" s="1"/>
  <c r="G45" i="3"/>
  <c r="K45" i="3"/>
  <c r="I60" i="3"/>
  <c r="J47" i="3"/>
  <c r="H62" i="3"/>
  <c r="H66" i="3"/>
  <c r="H68" i="3" s="1"/>
  <c r="C71" i="3"/>
  <c r="B23" i="5" s="1"/>
  <c r="H65" i="5"/>
  <c r="E60" i="3"/>
  <c r="E66" i="3" s="1"/>
  <c r="D66" i="3"/>
  <c r="D68" i="3" s="1"/>
  <c r="H66" i="5" s="1"/>
  <c r="D62" i="3"/>
  <c r="G66" i="5" s="1"/>
  <c r="F49" i="3"/>
  <c r="F57" i="3" s="1"/>
  <c r="F68" i="5" s="1"/>
  <c r="H156" i="4"/>
  <c r="H147" i="4"/>
  <c r="H157" i="4" s="1"/>
  <c r="K153" i="4"/>
  <c r="K154" i="4" s="1"/>
  <c r="L151" i="4"/>
  <c r="I146" i="4"/>
  <c r="J144" i="4"/>
  <c r="J49" i="3" l="1"/>
  <c r="J57" i="3" s="1"/>
  <c r="K46" i="3"/>
  <c r="H71" i="3"/>
  <c r="H74" i="3" s="1"/>
  <c r="I66" i="3"/>
  <c r="I68" i="3" s="1"/>
  <c r="I62" i="3"/>
  <c r="I71" i="3" s="1"/>
  <c r="I74" i="3" s="1"/>
  <c r="K47" i="3"/>
  <c r="C74" i="3"/>
  <c r="L45" i="3"/>
  <c r="C75" i="3"/>
  <c r="C45" i="5" s="1"/>
  <c r="C23" i="5"/>
  <c r="D71" i="3"/>
  <c r="E68" i="3"/>
  <c r="H67" i="5" s="1"/>
  <c r="E62" i="3"/>
  <c r="G67" i="5" s="1"/>
  <c r="F60" i="3"/>
  <c r="G49" i="3"/>
  <c r="G57" i="3" s="1"/>
  <c r="I156" i="4"/>
  <c r="I147" i="4"/>
  <c r="I157" i="4" s="1"/>
  <c r="L46" i="3"/>
  <c r="J146" i="4"/>
  <c r="K144" i="4"/>
  <c r="M151" i="4"/>
  <c r="L153" i="4"/>
  <c r="L154" i="4" s="1"/>
  <c r="L47" i="3" l="1"/>
  <c r="L49" i="3" s="1"/>
  <c r="L57" i="3" s="1"/>
  <c r="F70" i="5" s="1"/>
  <c r="K49" i="3"/>
  <c r="K57" i="3" s="1"/>
  <c r="J60" i="3"/>
  <c r="M45" i="3"/>
  <c r="G60" i="3"/>
  <c r="G66" i="3" s="1"/>
  <c r="G68" i="3" s="1"/>
  <c r="H69" i="5" s="1"/>
  <c r="F69" i="5"/>
  <c r="D74" i="3"/>
  <c r="B24" i="5"/>
  <c r="E71" i="3"/>
  <c r="F66" i="3"/>
  <c r="F68" i="3" s="1"/>
  <c r="H68" i="5" s="1"/>
  <c r="F62" i="3"/>
  <c r="G68" i="5" s="1"/>
  <c r="J156" i="4"/>
  <c r="J147" i="4"/>
  <c r="J157" i="4" s="1"/>
  <c r="N45" i="3" s="1"/>
  <c r="M153" i="4"/>
  <c r="M154" i="4" s="1"/>
  <c r="K146" i="4"/>
  <c r="L144" i="4"/>
  <c r="M46" i="3" l="1"/>
  <c r="M47" i="3" s="1"/>
  <c r="N46" i="3" s="1"/>
  <c r="N47" i="3" s="1"/>
  <c r="J66" i="3"/>
  <c r="J68" i="3" s="1"/>
  <c r="J62" i="3"/>
  <c r="K60" i="3"/>
  <c r="G62" i="3"/>
  <c r="G69" i="5" s="1"/>
  <c r="E74" i="3"/>
  <c r="B25" i="5"/>
  <c r="D75" i="3"/>
  <c r="C46" i="5" s="1"/>
  <c r="C24" i="5"/>
  <c r="F71" i="3"/>
  <c r="L60" i="3"/>
  <c r="K156" i="4"/>
  <c r="K147" i="4"/>
  <c r="K157" i="4" s="1"/>
  <c r="O45" i="3" s="1"/>
  <c r="M144" i="4"/>
  <c r="L146" i="4"/>
  <c r="J71" i="3" l="1"/>
  <c r="J74" i="3" s="1"/>
  <c r="K66" i="3"/>
  <c r="K68" i="3" s="1"/>
  <c r="K62" i="3"/>
  <c r="G71" i="3"/>
  <c r="B27" i="5" s="1"/>
  <c r="M49" i="3"/>
  <c r="M57" i="3" s="1"/>
  <c r="F71" i="5" s="1"/>
  <c r="F74" i="3"/>
  <c r="B26" i="5"/>
  <c r="E75" i="3"/>
  <c r="C47" i="5" s="1"/>
  <c r="C25" i="5"/>
  <c r="L62" i="3"/>
  <c r="G70" i="5" s="1"/>
  <c r="L66" i="3"/>
  <c r="L68" i="3" s="1"/>
  <c r="H70" i="5" s="1"/>
  <c r="O46" i="3"/>
  <c r="O47" i="3" s="1"/>
  <c r="N49" i="3"/>
  <c r="N57" i="3" s="1"/>
  <c r="F72" i="5" s="1"/>
  <c r="L156" i="4"/>
  <c r="L147" i="4"/>
  <c r="L157" i="4" s="1"/>
  <c r="P45" i="3" s="1"/>
  <c r="M146" i="4"/>
  <c r="K71" i="3" l="1"/>
  <c r="K74" i="3" s="1"/>
  <c r="G74" i="3"/>
  <c r="C27" i="5" s="1"/>
  <c r="M60" i="3"/>
  <c r="M66" i="3" s="1"/>
  <c r="M68" i="3" s="1"/>
  <c r="H71" i="5" s="1"/>
  <c r="F75" i="3"/>
  <c r="C48" i="5" s="1"/>
  <c r="C26" i="5"/>
  <c r="L71" i="3"/>
  <c r="B28" i="5" s="1"/>
  <c r="N60" i="3"/>
  <c r="O49" i="3"/>
  <c r="O57" i="3" s="1"/>
  <c r="F73" i="5" s="1"/>
  <c r="M156" i="4"/>
  <c r="M147" i="4"/>
  <c r="M157" i="4" s="1"/>
  <c r="Q45" i="3" s="1"/>
  <c r="P46" i="3"/>
  <c r="P47" i="3" s="1"/>
  <c r="M62" i="3" l="1"/>
  <c r="G71" i="5" s="1"/>
  <c r="I75" i="3"/>
  <c r="G75" i="3"/>
  <c r="C49" i="5" s="1"/>
  <c r="J75" i="3"/>
  <c r="K75" i="3"/>
  <c r="H75" i="3"/>
  <c r="M71" i="3"/>
  <c r="N62" i="3"/>
  <c r="G72" i="5" s="1"/>
  <c r="N66" i="3"/>
  <c r="N68" i="3" s="1"/>
  <c r="H72" i="5" s="1"/>
  <c r="O60" i="3"/>
  <c r="S45" i="3"/>
  <c r="Q46" i="3"/>
  <c r="P49" i="3"/>
  <c r="P57" i="3" s="1"/>
  <c r="L74" i="3"/>
  <c r="C28" i="5" l="1"/>
  <c r="P60" i="3"/>
  <c r="P66" i="3" s="1"/>
  <c r="P68" i="3" s="1"/>
  <c r="H74" i="5" s="1"/>
  <c r="F74" i="5"/>
  <c r="M74" i="3"/>
  <c r="C29" i="5" s="1"/>
  <c r="B29" i="5"/>
  <c r="N71" i="3"/>
  <c r="O62" i="3"/>
  <c r="G73" i="5" s="1"/>
  <c r="O66" i="3"/>
  <c r="O68" i="3" s="1"/>
  <c r="H73" i="5" s="1"/>
  <c r="Q47" i="3"/>
  <c r="R45" i="3"/>
  <c r="L75" i="3"/>
  <c r="C50" i="5" s="1"/>
  <c r="P62" i="3" l="1"/>
  <c r="P71" i="3" s="1"/>
  <c r="B32" i="5" s="1"/>
  <c r="M75" i="3"/>
  <c r="C51" i="5" s="1"/>
  <c r="N74" i="3"/>
  <c r="B30" i="5"/>
  <c r="O71" i="3"/>
  <c r="R47" i="3"/>
  <c r="Q49" i="3"/>
  <c r="S47" i="3"/>
  <c r="G74" i="5" l="1"/>
  <c r="O74" i="3"/>
  <c r="B31" i="5"/>
  <c r="P74" i="3"/>
  <c r="C32" i="5" s="1"/>
  <c r="N75" i="3"/>
  <c r="C52" i="5" s="1"/>
  <c r="C30" i="5"/>
  <c r="Q57" i="3"/>
  <c r="F75" i="5" s="1"/>
  <c r="R49" i="3"/>
  <c r="S49" i="3"/>
  <c r="P75" i="3" l="1"/>
  <c r="C54" i="5" s="1"/>
  <c r="O75" i="3"/>
  <c r="C53" i="5" s="1"/>
  <c r="C31" i="5"/>
  <c r="Q60" i="3"/>
  <c r="S57" i="3"/>
  <c r="F88" i="5" s="1"/>
  <c r="R57" i="3"/>
  <c r="Q62" i="3" l="1"/>
  <c r="G75" i="5" s="1"/>
  <c r="Q66" i="3"/>
  <c r="S60" i="3"/>
  <c r="R60" i="3"/>
  <c r="Q68" i="3" l="1"/>
  <c r="S66" i="3"/>
  <c r="R66" i="3"/>
  <c r="S62" i="3"/>
  <c r="G88" i="5" s="1"/>
  <c r="R62" i="3"/>
  <c r="Q71" i="3" l="1"/>
  <c r="B33" i="5" s="1"/>
  <c r="H75" i="5"/>
  <c r="R68" i="3"/>
  <c r="S68" i="3"/>
  <c r="H88" i="5" s="1"/>
  <c r="Q74" i="3" l="1"/>
  <c r="C33" i="5" s="1"/>
  <c r="R71" i="3"/>
  <c r="R79" i="3" s="1"/>
  <c r="S71" i="3"/>
  <c r="S79" i="3" s="1"/>
  <c r="B3" i="5" s="1"/>
  <c r="R74" i="3" l="1"/>
  <c r="R80" i="3" s="1"/>
  <c r="S74" i="3"/>
  <c r="S80" i="3" s="1"/>
  <c r="C3" i="5" s="1"/>
  <c r="Q75" i="3"/>
  <c r="C55" i="5" s="1"/>
</calcChain>
</file>

<file path=xl/sharedStrings.xml><?xml version="1.0" encoding="utf-8"?>
<sst xmlns="http://schemas.openxmlformats.org/spreadsheetml/2006/main" count="419" uniqueCount="144">
  <si>
    <t>Unité</t>
  </si>
  <si>
    <t>VAN</t>
  </si>
  <si>
    <t>oz</t>
  </si>
  <si>
    <t>Production d'or</t>
  </si>
  <si>
    <t>Cours de l'or</t>
  </si>
  <si>
    <t>USD/oz</t>
  </si>
  <si>
    <t>Chiffre d'affaires</t>
  </si>
  <si>
    <t>USD</t>
  </si>
  <si>
    <t>%</t>
  </si>
  <si>
    <t>Coûts des construction industrielles</t>
  </si>
  <si>
    <t>Coûts des biens d'équipement</t>
  </si>
  <si>
    <t>Coûts de réhabilitation du site</t>
  </si>
  <si>
    <t>Total des dépenses d'investissement</t>
  </si>
  <si>
    <t>Total des coûts d'exploitation</t>
  </si>
  <si>
    <t>Coût moyen d'exploitation</t>
  </si>
  <si>
    <t>Taux de rendement interne avant impôts</t>
  </si>
  <si>
    <t>Nom</t>
  </si>
  <si>
    <t>I. PRODUCTION</t>
  </si>
  <si>
    <t>II. DEPENSES D'INVESTISSEMENT (CAPEX)</t>
  </si>
  <si>
    <t>Flux nets de trésorerie avant impôts</t>
  </si>
  <si>
    <t>III. COÛTS D'EXPLOITATION (OPEX)</t>
  </si>
  <si>
    <t>IV. FLUX NETS DE TRESORERIE AVANT IMPÔTS</t>
  </si>
  <si>
    <t>SOMME</t>
  </si>
  <si>
    <t>km²</t>
  </si>
  <si>
    <t>USD/km²</t>
  </si>
  <si>
    <t>Droits fixes</t>
  </si>
  <si>
    <t>Redevance superficiaire</t>
  </si>
  <si>
    <t>Redevance minière</t>
  </si>
  <si>
    <t>Superficie de la mine</t>
  </si>
  <si>
    <t>Montant de la redevance superfiaire</t>
  </si>
  <si>
    <t>Taux de la redevance minière</t>
  </si>
  <si>
    <t>V. DROITS FIXES</t>
  </si>
  <si>
    <t>VI. REDEVANCE SUPERFICAIRE</t>
  </si>
  <si>
    <t>VII. REDEVANCE MINIERE</t>
  </si>
  <si>
    <t>Durée d'amortissement linéaire</t>
  </si>
  <si>
    <t>Années</t>
  </si>
  <si>
    <t>Coefficient d'amortissement dégressif</t>
  </si>
  <si>
    <t>Coefficient</t>
  </si>
  <si>
    <t>Durée restante maximum</t>
  </si>
  <si>
    <t>Base amortissable</t>
  </si>
  <si>
    <t>Durée restante</t>
  </si>
  <si>
    <t>Charge d'amortissement</t>
  </si>
  <si>
    <t>Amortissement restant</t>
  </si>
  <si>
    <t>Amortissements des constructions industrielles</t>
  </si>
  <si>
    <t>Amortissements des biens d'équipement</t>
  </si>
  <si>
    <t>Intérêts versés</t>
  </si>
  <si>
    <t>Durée de l'emprunt</t>
  </si>
  <si>
    <t>Taux d'intérêt de l'emprunt</t>
  </si>
  <si>
    <t>Emprunt restant</t>
  </si>
  <si>
    <t>Emprunt de l'année A1</t>
  </si>
  <si>
    <t>Remboursement du principal</t>
  </si>
  <si>
    <t>Emprunt de l'année A2</t>
  </si>
  <si>
    <t>Total des intérêts versés</t>
  </si>
  <si>
    <t>Emprunt</t>
  </si>
  <si>
    <t>Intérêts déductibles</t>
  </si>
  <si>
    <t>Report des pertes</t>
  </si>
  <si>
    <t>Bénéfice fiscal</t>
  </si>
  <si>
    <t>Impôt sur les sociétés</t>
  </si>
  <si>
    <t>Taux de l'impôt sur les sociétés</t>
  </si>
  <si>
    <t>Taux de l'impôt minimum forfaitaire</t>
  </si>
  <si>
    <t>Impôt minimum forfaitaire</t>
  </si>
  <si>
    <t>Impôt sur les sociétés / Impôt minimum forfaitaire</t>
  </si>
  <si>
    <t>Total des prélèvements publics</t>
  </si>
  <si>
    <t>Flux nets de trésorerie après impôts</t>
  </si>
  <si>
    <t>Taux de rendement interne après impôts</t>
  </si>
  <si>
    <t>Rente minière</t>
  </si>
  <si>
    <t>Part de l'Etat</t>
  </si>
  <si>
    <t>Part de l'investisseur</t>
  </si>
  <si>
    <t>Régle de sous-capitalisation</t>
  </si>
  <si>
    <t>Taux d'intérêt légal maximum</t>
  </si>
  <si>
    <t>Total des intérêts déductibles</t>
  </si>
  <si>
    <t>Bénéfice avant report des pertes</t>
  </si>
  <si>
    <t>I. AMORTISSEMENTS DES CONSTRUCTIONS INDUSTRIELLES</t>
  </si>
  <si>
    <t>II. AMORTISSEMENTS DES BIENS D'EQUIPEMENT</t>
  </si>
  <si>
    <t>Immobilisations de l'année A1</t>
  </si>
  <si>
    <t>Immobilisations de l'année A2</t>
  </si>
  <si>
    <t>Immobilisations de l'année A3</t>
  </si>
  <si>
    <t>Immobilisations de l'année A4</t>
  </si>
  <si>
    <t>Immobilisations de l'année A5</t>
  </si>
  <si>
    <t>Immobilisations de l'année A6</t>
  </si>
  <si>
    <t>Immobilisations de l'année A7</t>
  </si>
  <si>
    <t>Immobilisations de l'année A8</t>
  </si>
  <si>
    <t>Immobilisations de l'année A9</t>
  </si>
  <si>
    <t>Immobilisations de l'année A10</t>
  </si>
  <si>
    <t>Immobilisations de l'année A11</t>
  </si>
  <si>
    <t>Amortissements des dépenses de réhabilitation</t>
  </si>
  <si>
    <t>III. AMORTISSEMENTS DES DEPENSES DE REHABILITATION</t>
  </si>
  <si>
    <t>IV. CHARGES FINANCIERES</t>
  </si>
  <si>
    <t>Taux dégressif</t>
  </si>
  <si>
    <t>Inverse de la durée restante</t>
  </si>
  <si>
    <t>Montant minimum</t>
  </si>
  <si>
    <t>Année 1</t>
  </si>
  <si>
    <t>Année 2</t>
  </si>
  <si>
    <t>Année 3</t>
  </si>
  <si>
    <t>Année 4</t>
  </si>
  <si>
    <t>Année 5</t>
  </si>
  <si>
    <t>Année 6</t>
  </si>
  <si>
    <t>Année 7</t>
  </si>
  <si>
    <t>Année 8</t>
  </si>
  <si>
    <t>Année 9</t>
  </si>
  <si>
    <t>Année 10</t>
  </si>
  <si>
    <t>Année 11</t>
  </si>
  <si>
    <t>+. LA TAXE SUR LA RENTE</t>
  </si>
  <si>
    <t>Taux de revalorisation des pertes</t>
  </si>
  <si>
    <t>Flux nets de trésorerie revalorisés</t>
  </si>
  <si>
    <t>Taux de rendement interne</t>
  </si>
  <si>
    <t>Seuil de déclenchement de la taxe sur la rente</t>
  </si>
  <si>
    <t>Report des pertes revalorisées</t>
  </si>
  <si>
    <t>Flux nets de trésorerie après report des pertes revalorisées</t>
  </si>
  <si>
    <t>Taux de la taxe sur la rente</t>
  </si>
  <si>
    <t>Taxe sur la rente</t>
  </si>
  <si>
    <t>VIII. IMPÔT SUR LES SOCIETES (IS)</t>
  </si>
  <si>
    <t>IX. IMPÔT MINIMUM FORFAITAIRE (IMF)</t>
  </si>
  <si>
    <t>X. IMPÔT SUR LES SOCIETES (IS) / IMPÔT MINIMUM FORFAITAIRE (IMF)</t>
  </si>
  <si>
    <t>XIII. PRELEVEMENTS PUBLICS</t>
  </si>
  <si>
    <t>XIV. FLUX NETS DE TRESORERIE APRES IMPÔTS</t>
  </si>
  <si>
    <t>XV. PARTAGE DE LA RENTE MINIERE</t>
  </si>
  <si>
    <t>Bénéfice distribuable</t>
  </si>
  <si>
    <t>Taux de la participation de l'Etat</t>
  </si>
  <si>
    <t>Participation de l'Etat</t>
  </si>
  <si>
    <t>XI. PARTICIPATION DE L'ETAT</t>
  </si>
  <si>
    <t>Taux de l'impöt sur le revenu des valeurs mobilières</t>
  </si>
  <si>
    <t>Impöt sur le revenu des valeurs mobilières</t>
  </si>
  <si>
    <t>XII. IMPÔT SUR LE REVENU DES VALEURS MOBILIERS (IRVM)</t>
  </si>
  <si>
    <t>Part distribuée aux actionnaires privés</t>
  </si>
  <si>
    <t>Dividendes distribués aux actionnaires privés</t>
  </si>
  <si>
    <t>Année</t>
  </si>
  <si>
    <t>Constructions</t>
  </si>
  <si>
    <t>Biens d'équipement</t>
  </si>
  <si>
    <t>Réhabilitation</t>
  </si>
  <si>
    <t>Exploitation</t>
  </si>
  <si>
    <t>IS et IMF</t>
  </si>
  <si>
    <t>IRVM</t>
  </si>
  <si>
    <t>Investisseur</t>
  </si>
  <si>
    <t>TRI avant impôts</t>
  </si>
  <si>
    <t>TRI après impôts</t>
  </si>
  <si>
    <t>La structure des coûts (valeur courante)</t>
  </si>
  <si>
    <t>Les recettes fiscales annuelles (valeur courante)</t>
  </si>
  <si>
    <t>Toutes</t>
  </si>
  <si>
    <t>Les recettes fiscales totales (valeur actuelle)</t>
  </si>
  <si>
    <t>Le taux effectif moyen d'imposition (valeur actuelle)</t>
  </si>
  <si>
    <t>Les flux nets de trésorerie (valeur courante)</t>
  </si>
  <si>
    <t>Le taux de rendement interne</t>
  </si>
  <si>
    <t>État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</si>
</sst>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\ &quot;€&quot;_-;\-* #,##0\ &quot;€&quot;_-;_-* &quot;-&quot;\ &quot;€&quot;_-;_-@_-"/>
    <numFmt numFmtId="165" formatCode="_-* #,##0\ _€_-;\-* #,##0\ _€_-;_-* &quot;-&quot;\ _€_-;_-@_-"/>
    <numFmt numFmtId="166" formatCode="_-* #,##0.00\ &quot;€&quot;_-;\-* #,##0.00\ &quot;€&quot;_-;_-* &quot;-&quot;??\ &quot;€&quot;_-;_-@_-"/>
    <numFmt numFmtId="167" formatCode="_-* #,##0.00\ _€_-;\-* #,##0.00\ _€_-;_-* &quot;-&quot;??\ _€_-;_-@_-"/>
    <numFmt numFmtId="168" formatCode="0.0%"/>
  </numFmts>
  <fonts count="21" x14ac:knownFonts="1"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9"/>
      <color theme="0"/>
      <name val="Arial"/>
      <family val="2"/>
    </font>
    <font>
      <b/>
      <sz val="9"/>
      <color rgb="FF104258"/>
      <name val="Arial"/>
      <family val="2"/>
    </font>
    <font>
      <sz val="9"/>
      <color rgb="FF10425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04258"/>
        <bgColor indexed="64"/>
      </patternFill>
    </fill>
    <fill>
      <patternFill patternType="solid">
        <fgColor rgb="FFCFDCE8"/>
        <bgColor indexed="64"/>
      </patternFill>
    </fill>
    <fill>
      <patternFill patternType="solid">
        <fgColor rgb="FF026E8F"/>
        <bgColor indexed="64"/>
      </patternFill>
    </fill>
    <fill>
      <patternFill patternType="solid">
        <fgColor rgb="FFE75D5C"/>
        <bgColor indexed="64"/>
      </patternFill>
    </fill>
    <fill>
      <patternFill patternType="solid">
        <fgColor rgb="FFD53738"/>
        <bgColor indexed="64"/>
      </patternFill>
    </fill>
    <fill>
      <patternFill patternType="solid">
        <fgColor rgb="FFE3A728"/>
        <bgColor indexed="64"/>
      </patternFill>
    </fill>
    <fill>
      <patternFill patternType="solid">
        <fgColor rgb="FFA6353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3">
    <xf numFmtId="0" fontId="0" fillId="0" borderId="0">
      <alignment horizontal="left" vertical="top"/>
    </xf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0" borderId="0" applyNumberFormat="0" applyFont="0" applyFill="0" applyBorder="0" applyAlignment="0" applyProtection="0">
      <alignment horizontal="left" vertical="top"/>
    </xf>
    <xf numFmtId="0" fontId="13" fillId="0" borderId="0" applyNumberFormat="0" applyFont="0" applyFill="0" applyBorder="0" applyAlignment="0" applyProtection="0">
      <alignment horizontal="left" vertical="top"/>
    </xf>
  </cellStyleXfs>
  <cellXfs count="47">
    <xf numFmtId="0" fontId="0" fillId="0" borderId="0" xfId="0">
      <alignment horizontal="left" vertical="top"/>
    </xf>
    <xf numFmtId="0" fontId="0" fillId="0" borderId="0" xfId="0">
      <alignment horizontal="left" vertical="top"/>
    </xf>
    <xf numFmtId="0" fontId="14" fillId="0" borderId="0" xfId="0" applyFont="1">
      <alignment horizontal="left" vertical="top"/>
    </xf>
    <xf numFmtId="0" fontId="16" fillId="34" borderId="0" xfId="0" applyFont="1" applyFill="1">
      <alignment horizontal="left" vertical="top"/>
    </xf>
    <xf numFmtId="0" fontId="16" fillId="34" borderId="0" xfId="0" applyFont="1" applyFill="1" applyAlignment="1">
      <alignment horizontal="center" vertical="top"/>
    </xf>
    <xf numFmtId="0" fontId="17" fillId="34" borderId="0" xfId="0" applyFont="1" applyFill="1" applyAlignment="1">
      <alignment vertical="top"/>
    </xf>
    <xf numFmtId="0" fontId="16" fillId="0" borderId="0" xfId="0" applyFont="1">
      <alignment horizontal="left" vertical="top"/>
    </xf>
    <xf numFmtId="0" fontId="16" fillId="0" borderId="0" xfId="0" applyFont="1" applyAlignment="1">
      <alignment horizontal="center" vertical="top"/>
    </xf>
    <xf numFmtId="0" fontId="16" fillId="0" borderId="0" xfId="0" applyFont="1" applyFill="1">
      <alignment horizontal="left" vertical="top"/>
    </xf>
    <xf numFmtId="0" fontId="16" fillId="0" borderId="0" xfId="0" applyFont="1" applyFill="1" applyAlignment="1">
      <alignment horizontal="center" vertical="top"/>
    </xf>
    <xf numFmtId="0" fontId="19" fillId="34" borderId="0" xfId="0" applyFont="1" applyFill="1" applyAlignment="1">
      <alignment horizontal="center" vertical="top"/>
    </xf>
    <xf numFmtId="0" fontId="18" fillId="0" borderId="0" xfId="0" applyFont="1">
      <alignment horizontal="left" vertical="top"/>
    </xf>
    <xf numFmtId="3" fontId="15" fillId="35" borderId="0" xfId="0" applyNumberFormat="1" applyFont="1" applyFill="1" applyAlignment="1">
      <alignment horizontal="right" vertical="top"/>
    </xf>
    <xf numFmtId="3" fontId="15" fillId="36" borderId="0" xfId="0" applyNumberFormat="1" applyFont="1" applyFill="1" applyAlignment="1">
      <alignment horizontal="right" vertical="top"/>
    </xf>
    <xf numFmtId="3" fontId="15" fillId="37" borderId="0" xfId="0" applyNumberFormat="1" applyFont="1" applyFill="1" applyAlignment="1">
      <alignment horizontal="right" vertical="top"/>
    </xf>
    <xf numFmtId="3" fontId="15" fillId="0" borderId="0" xfId="0" applyNumberFormat="1" applyFont="1" applyFill="1" applyAlignment="1">
      <alignment horizontal="right" vertical="top"/>
    </xf>
    <xf numFmtId="0" fontId="17" fillId="34" borderId="0" xfId="0" applyFont="1" applyFill="1" applyAlignment="1">
      <alignment horizontal="right" vertical="top"/>
    </xf>
    <xf numFmtId="0" fontId="15" fillId="36" borderId="0" xfId="0" applyFont="1" applyFill="1" applyAlignment="1">
      <alignment horizontal="right" vertical="top"/>
    </xf>
    <xf numFmtId="0" fontId="18" fillId="34" borderId="0" xfId="0" applyFont="1" applyFill="1" applyAlignment="1">
      <alignment horizontal="right" vertical="top"/>
    </xf>
    <xf numFmtId="9" fontId="15" fillId="37" borderId="0" xfId="0" applyNumberFormat="1" applyFont="1" applyFill="1" applyAlignment="1">
      <alignment horizontal="right" vertical="top"/>
    </xf>
    <xf numFmtId="0" fontId="15" fillId="37" borderId="0" xfId="0" applyFont="1" applyFill="1" applyAlignment="1">
      <alignment horizontal="right" vertical="top"/>
    </xf>
    <xf numFmtId="9" fontId="15" fillId="0" borderId="0" xfId="0" applyNumberFormat="1" applyFont="1" applyFill="1" applyAlignment="1">
      <alignment horizontal="right" vertical="top"/>
    </xf>
    <xf numFmtId="0" fontId="15" fillId="0" borderId="0" xfId="0" applyFont="1" applyFill="1" applyAlignment="1">
      <alignment horizontal="right" vertical="top"/>
    </xf>
    <xf numFmtId="3" fontId="15" fillId="38" borderId="0" xfId="0" applyNumberFormat="1" applyFont="1" applyFill="1" applyAlignment="1">
      <alignment horizontal="right" vertical="top"/>
    </xf>
    <xf numFmtId="0" fontId="15" fillId="34" borderId="0" xfId="0" applyFont="1" applyFill="1" applyAlignment="1">
      <alignment horizontal="right" vertical="top"/>
    </xf>
    <xf numFmtId="9" fontId="15" fillId="38" borderId="0" xfId="0" applyNumberFormat="1" applyFont="1" applyFill="1" applyAlignment="1">
      <alignment horizontal="right" vertical="top"/>
    </xf>
    <xf numFmtId="0" fontId="18" fillId="0" borderId="0" xfId="0" applyFont="1" applyAlignment="1">
      <alignment horizontal="right" vertical="top"/>
    </xf>
    <xf numFmtId="0" fontId="15" fillId="0" borderId="0" xfId="0" applyFont="1" applyAlignment="1">
      <alignment horizontal="right" vertical="top"/>
    </xf>
    <xf numFmtId="3" fontId="15" fillId="39" borderId="0" xfId="0" applyNumberFormat="1" applyFont="1" applyFill="1" applyAlignment="1">
      <alignment horizontal="right" vertical="top"/>
    </xf>
    <xf numFmtId="168" fontId="15" fillId="39" borderId="0" xfId="0" applyNumberFormat="1" applyFont="1" applyFill="1" applyAlignment="1">
      <alignment horizontal="right" vertical="top"/>
    </xf>
    <xf numFmtId="0" fontId="0" fillId="0" borderId="0" xfId="0" applyFill="1">
      <alignment horizontal="left" vertical="top"/>
    </xf>
    <xf numFmtId="3" fontId="18" fillId="0" borderId="0" xfId="0" applyNumberFormat="1" applyFont="1" applyFill="1" applyAlignment="1">
      <alignment horizontal="right" vertical="top"/>
    </xf>
    <xf numFmtId="0" fontId="20" fillId="33" borderId="0" xfId="0" applyFont="1" applyFill="1" applyAlignment="1">
      <alignment horizontal="center" vertical="center"/>
    </xf>
    <xf numFmtId="0" fontId="17" fillId="0" borderId="0" xfId="0" applyFont="1">
      <alignment horizontal="left" vertical="top"/>
    </xf>
    <xf numFmtId="3" fontId="15" fillId="33" borderId="0" xfId="0" applyNumberFormat="1" applyFont="1" applyFill="1" applyAlignment="1">
      <alignment horizontal="right" vertical="top"/>
    </xf>
    <xf numFmtId="9" fontId="17" fillId="34" borderId="0" xfId="0" applyNumberFormat="1" applyFont="1" applyFill="1" applyAlignment="1">
      <alignment horizontal="right" vertical="top"/>
    </xf>
    <xf numFmtId="0" fontId="18" fillId="34" borderId="0" xfId="0" applyFont="1" applyFill="1">
      <alignment horizontal="left" vertical="top"/>
    </xf>
    <xf numFmtId="0" fontId="17" fillId="34" borderId="0" xfId="0" applyFont="1" applyFill="1">
      <alignment horizontal="left" vertical="top"/>
    </xf>
    <xf numFmtId="3" fontId="17" fillId="34" borderId="0" xfId="0" applyNumberFormat="1" applyFont="1" applyFill="1" applyAlignment="1">
      <alignment horizontal="right" vertical="top"/>
    </xf>
    <xf numFmtId="9" fontId="15" fillId="35" borderId="0" xfId="0" applyNumberFormat="1" applyFont="1" applyFill="1" applyAlignment="1">
      <alignment horizontal="right" vertical="top"/>
    </xf>
    <xf numFmtId="9" fontId="15" fillId="36" borderId="0" xfId="0" applyNumberFormat="1" applyFont="1" applyFill="1" applyAlignment="1">
      <alignment horizontal="right" vertical="top"/>
    </xf>
    <xf numFmtId="3" fontId="0" fillId="0" borderId="0" xfId="0" applyNumberFormat="1">
      <alignment horizontal="left" vertical="top"/>
    </xf>
    <xf numFmtId="0" fontId="18" fillId="41" borderId="0" xfId="0" applyFont="1" applyFill="1">
      <alignment horizontal="left" vertical="top"/>
    </xf>
    <xf numFmtId="3" fontId="18" fillId="40" borderId="0" xfId="0" applyNumberFormat="1" applyFont="1" applyFill="1" applyAlignment="1">
      <alignment horizontal="right" vertical="top"/>
    </xf>
    <xf numFmtId="0" fontId="19" fillId="42" borderId="0" xfId="0" applyFont="1" applyFill="1">
      <alignment horizontal="left" vertical="top"/>
    </xf>
    <xf numFmtId="0" fontId="19" fillId="0" borderId="0" xfId="0" applyFont="1">
      <alignment horizontal="left" vertical="top"/>
    </xf>
    <xf numFmtId="168" fontId="18" fillId="40" borderId="0" xfId="0" applyNumberFormat="1" applyFont="1" applyFill="1" applyAlignment="1">
      <alignment horizontal="right" vertical="top"/>
    </xf>
  </cellXfs>
  <cellStyles count="43">
    <cellStyle name="20 % - Accent1" xfId="18" builtinId="30" hidden="1"/>
    <cellStyle name="20 % - Accent2" xfId="22" builtinId="34" hidden="1"/>
    <cellStyle name="20 % - Accent3" xfId="26" builtinId="38" hidden="1"/>
    <cellStyle name="20 % - Accent4" xfId="30" builtinId="42" hidden="1"/>
    <cellStyle name="20 % - Accent5" xfId="34" builtinId="46" hidden="1"/>
    <cellStyle name="20 % - Accent6" xfId="38" builtinId="50" hidden="1"/>
    <cellStyle name="40 % - Accent1" xfId="19" builtinId="31" hidden="1"/>
    <cellStyle name="40 % - Accent2" xfId="23" builtinId="35" hidden="1"/>
    <cellStyle name="40 % - Accent3" xfId="27" builtinId="39" hidden="1"/>
    <cellStyle name="40 % - Accent4" xfId="31" builtinId="43" hidden="1"/>
    <cellStyle name="40 % - Accent5" xfId="35" builtinId="47" hidden="1"/>
    <cellStyle name="40 % - Accent6" xfId="39" builtinId="51" hidden="1"/>
    <cellStyle name="60 % - Accent1" xfId="20" builtinId="32" hidden="1"/>
    <cellStyle name="60 % - Accent2" xfId="24" builtinId="36" hidden="1"/>
    <cellStyle name="60 % - Accent3" xfId="28" builtinId="40" hidden="1"/>
    <cellStyle name="60 % - Accent4" xfId="32" builtinId="44" hidden="1"/>
    <cellStyle name="60 % - Accent5" xfId="36" builtinId="48" hidden="1"/>
    <cellStyle name="60 % - Accent6" xfId="40" builtinId="52" hidden="1"/>
    <cellStyle name="Accent1" xfId="17" builtinId="29" hidden="1"/>
    <cellStyle name="Accent2" xfId="21" builtinId="33" hidden="1"/>
    <cellStyle name="Accent3" xfId="25" builtinId="37" hidden="1"/>
    <cellStyle name="Accent4" xfId="29" builtinId="41" hidden="1"/>
    <cellStyle name="Accent5" xfId="33" builtinId="45" hidden="1"/>
    <cellStyle name="Accent6" xfId="37" builtinId="49" hidden="1"/>
    <cellStyle name="Avertissement" xfId="14" builtinId="11" hidden="1"/>
    <cellStyle name="Calcul" xfId="11" builtinId="22" hidden="1"/>
    <cellStyle name="Cellule liée" xfId="12" builtinId="24" hidden="1"/>
    <cellStyle name="Entrée" xfId="9" builtinId="20" hidden="1"/>
    <cellStyle name="Insatisfaisant" xfId="7" builtinId="27" hidden="1"/>
    <cellStyle name="Lien hypertexte" xfId="41" builtinId="8" customBuiltin="1"/>
    <cellStyle name="Lien hypertexte visité" xfId="42" builtinId="9" customBuiltin="1"/>
    <cellStyle name="Milliers" xfId="1" builtinId="3" hidden="1"/>
    <cellStyle name="Milliers [0]" xfId="2" builtinId="6" hidden="1"/>
    <cellStyle name="Monétaire" xfId="3" builtinId="4" hidden="1"/>
    <cellStyle name="Monétaire [0]" xfId="4" builtinId="7" hidden="1"/>
    <cellStyle name="Neutre" xfId="8" builtinId="28" hidden="1"/>
    <cellStyle name="Normal" xfId="0" builtinId="0" customBuiltin="1"/>
    <cellStyle name="Note" xfId="15" builtinId="10" hidden="1"/>
    <cellStyle name="Pourcentage" xfId="5" builtinId="5" hidden="1"/>
    <cellStyle name="Satisfaisant" xfId="6" builtinId="26" hidden="1"/>
    <cellStyle name="Sortie" xfId="10" builtinId="21" hidden="1"/>
    <cellStyle name="Texte explicatif" xfId="16" builtinId="53" hidden="1"/>
    <cellStyle name="Vérification" xfId="13" builtinId="23" hidden="1"/>
  </cellStyles>
  <dxfs count="0"/>
  <tableStyles count="0" defaultTableStyle="TableStyleMedium2" defaultPivotStyle="PivotStyleMedium9"/>
  <colors>
    <mruColors>
      <color rgb="FFD53738"/>
      <color rgb="FF026E8F"/>
      <color rgb="FF104258"/>
      <color rgb="FFA63535"/>
      <color rgb="FFE3A728"/>
      <color rgb="FFCFDC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Graphiques!$A$107</c:f>
              <c:strCache>
                <c:ptCount val="1"/>
                <c:pt idx="0">
                  <c:v>Année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Graphiques!$A$108:$A$118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B-4A48-825D-BDED694E7EC5}"/>
            </c:ext>
          </c:extLst>
        </c:ser>
        <c:ser>
          <c:idx val="1"/>
          <c:order val="1"/>
          <c:tx>
            <c:strRef>
              <c:f>Graphiques!$B$107</c:f>
              <c:strCache>
                <c:ptCount val="1"/>
                <c:pt idx="0">
                  <c:v>Constructions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Graphiques!$B$108:$B$118</c:f>
              <c:numCache>
                <c:formatCode>#,##0</c:formatCode>
                <c:ptCount val="11"/>
                <c:pt idx="0">
                  <c:v>50000000</c:v>
                </c:pt>
                <c:pt idx="1">
                  <c:v>100000000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CB-4A48-825D-BDED694E7EC5}"/>
            </c:ext>
          </c:extLst>
        </c:ser>
        <c:ser>
          <c:idx val="2"/>
          <c:order val="2"/>
          <c:tx>
            <c:strRef>
              <c:f>Graphiques!$C$107</c:f>
              <c:strCache>
                <c:ptCount val="1"/>
                <c:pt idx="0">
                  <c:v>Biens d'équipement</c:v>
                </c:pt>
              </c:strCache>
            </c:strRef>
          </c:tx>
          <c:spPr>
            <a:solidFill>
              <a:srgbClr val="E3A728"/>
            </a:solidFill>
            <a:ln>
              <a:noFill/>
            </a:ln>
            <a:effectLst/>
          </c:spPr>
          <c:invertIfNegative val="0"/>
          <c:val>
            <c:numRef>
              <c:f>Graphiques!$C$108:$C$118</c:f>
              <c:numCache>
                <c:formatCode>#,##0</c:formatCode>
                <c:ptCount val="11"/>
                <c:pt idx="0">
                  <c:v>0</c:v>
                </c:pt>
                <c:pt idx="1">
                  <c:v>50000000</c:v>
                </c:pt>
                <c:pt idx="2">
                  <c:v>5000000</c:v>
                </c:pt>
                <c:pt idx="3">
                  <c:v>5000000</c:v>
                </c:pt>
                <c:pt idx="4">
                  <c:v>5000000</c:v>
                </c:pt>
                <c:pt idx="5">
                  <c:v>5000000</c:v>
                </c:pt>
                <c:pt idx="6">
                  <c:v>5000000</c:v>
                </c:pt>
                <c:pt idx="7">
                  <c:v>5000000</c:v>
                </c:pt>
                <c:pt idx="8">
                  <c:v>5000000</c:v>
                </c:pt>
                <c:pt idx="9">
                  <c:v>5000000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CB-4A48-825D-BDED694E7EC5}"/>
            </c:ext>
          </c:extLst>
        </c:ser>
        <c:ser>
          <c:idx val="3"/>
          <c:order val="3"/>
          <c:tx>
            <c:strRef>
              <c:f>Graphiques!$D$107</c:f>
              <c:strCache>
                <c:ptCount val="1"/>
                <c:pt idx="0">
                  <c:v>Réhabilitation</c:v>
                </c:pt>
              </c:strCache>
            </c:strRef>
          </c:tx>
          <c:spPr>
            <a:solidFill>
              <a:srgbClr val="104258"/>
            </a:solidFill>
            <a:ln>
              <a:noFill/>
            </a:ln>
            <a:effectLst/>
          </c:spPr>
          <c:invertIfNegative val="0"/>
          <c:val>
            <c:numRef>
              <c:f>Graphiques!$D$108:$D$118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CB-4A48-825D-BDED694E7EC5}"/>
            </c:ext>
          </c:extLst>
        </c:ser>
        <c:ser>
          <c:idx val="4"/>
          <c:order val="4"/>
          <c:tx>
            <c:strRef>
              <c:f>Graphiques!$E$107</c:f>
              <c:strCache>
                <c:ptCount val="1"/>
                <c:pt idx="0">
                  <c:v>Exploitation</c:v>
                </c:pt>
              </c:strCache>
            </c:strRef>
          </c:tx>
          <c:spPr>
            <a:solidFill>
              <a:srgbClr val="026E8F"/>
            </a:solidFill>
            <a:ln>
              <a:noFill/>
            </a:ln>
            <a:effectLst/>
          </c:spPr>
          <c:invertIfNegative val="0"/>
          <c:val>
            <c:numRef>
              <c:f>Graphiques!$E$108:$E$118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175000000</c:v>
                </c:pt>
                <c:pt idx="3">
                  <c:v>175000000</c:v>
                </c:pt>
                <c:pt idx="4">
                  <c:v>175000000</c:v>
                </c:pt>
                <c:pt idx="5">
                  <c:v>175000000</c:v>
                </c:pt>
                <c:pt idx="6">
                  <c:v>175000000</c:v>
                </c:pt>
                <c:pt idx="7">
                  <c:v>175000000</c:v>
                </c:pt>
                <c:pt idx="8">
                  <c:v>175000000</c:v>
                </c:pt>
                <c:pt idx="9">
                  <c:v>175000000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CB-4A48-825D-BDED694E7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1422272"/>
        <c:axId val="441418008"/>
      </c:barChart>
      <c:catAx>
        <c:axId val="441422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DIN Pro Bold" panose="020B0804020101020102" pitchFamily="34" charset="0"/>
                    <a:ea typeface="+mn-ea"/>
                    <a:cs typeface="DIN Pro Bold" panose="020B0804020101020102" pitchFamily="34" charset="0"/>
                  </a:defRPr>
                </a:pPr>
                <a:r>
                  <a:rPr lang="fr-FR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DIN Pro Bold" panose="020B0804020101020102" pitchFamily="34" charset="0"/>
                    <a:cs typeface="DIN Pro Bold" panose="020B0804020101020102" pitchFamily="34" charset="0"/>
                  </a:rPr>
                  <a:t>Année du projet minier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DIN Pro Bold" panose="020B0804020101020102" pitchFamily="34" charset="0"/>
                  <a:ea typeface="+mn-ea"/>
                  <a:cs typeface="DIN Pro Bold" panose="020B0804020101020102" pitchFamily="34" charset="0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DIN Pro Regular" panose="020B0504020101020102" pitchFamily="34" charset="0"/>
                <a:ea typeface="+mn-ea"/>
                <a:cs typeface="DIN Pro Regular" panose="020B0504020101020102" pitchFamily="34" charset="0"/>
              </a:defRPr>
            </a:pPr>
            <a:endParaRPr lang="en-US"/>
          </a:p>
        </c:txPr>
        <c:crossAx val="441418008"/>
        <c:crosses val="autoZero"/>
        <c:auto val="1"/>
        <c:lblAlgn val="ctr"/>
        <c:lblOffset val="100"/>
        <c:noMultiLvlLbl val="0"/>
      </c:catAx>
      <c:valAx>
        <c:axId val="441418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DIN Pro Bold" panose="020B0804020101020102" pitchFamily="34" charset="0"/>
                    <a:ea typeface="+mn-ea"/>
                    <a:cs typeface="DIN Pro Bold" panose="020B0804020101020102" pitchFamily="34" charset="0"/>
                  </a:defRPr>
                </a:pPr>
                <a:r>
                  <a:rPr lang="fr-FR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DIN Pro Bold" panose="020B0804020101020102" pitchFamily="34" charset="0"/>
                    <a:cs typeface="DIN Pro Bold" panose="020B0804020101020102" pitchFamily="34" charset="0"/>
                  </a:rPr>
                  <a:t>Dollars américains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DIN Pro Bold" panose="020B0804020101020102" pitchFamily="34" charset="0"/>
                  <a:ea typeface="+mn-ea"/>
                  <a:cs typeface="DIN Pro Bold" panose="020B0804020101020102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DIN Pro Regular" panose="020B0504020101020102" pitchFamily="34" charset="0"/>
                <a:ea typeface="+mn-ea"/>
                <a:cs typeface="DIN Pro Regular" panose="020B0504020101020102" pitchFamily="34" charset="0"/>
              </a:defRPr>
            </a:pPr>
            <a:endParaRPr lang="en-US"/>
          </a:p>
        </c:txPr>
        <c:crossAx val="44142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DIN Pro Regular" panose="020B0504020101020102" pitchFamily="34" charset="0"/>
              <a:ea typeface="+mn-ea"/>
              <a:cs typeface="DIN Pro Regular" panose="020B0504020101020102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C8-4C2A-9759-A7B5BF7B267C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AC8-4C2A-9759-A7B5BF7B267C}"/>
              </c:ext>
            </c:extLst>
          </c:dPt>
          <c:dPt>
            <c:idx val="2"/>
            <c:bubble3D val="0"/>
            <c:spPr>
              <a:solidFill>
                <a:srgbClr val="10425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AC8-4C2A-9759-A7B5BF7B267C}"/>
              </c:ext>
            </c:extLst>
          </c:dPt>
          <c:dPt>
            <c:idx val="3"/>
            <c:bubble3D val="0"/>
            <c:spPr>
              <a:solidFill>
                <a:srgbClr val="026E8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AC8-4C2A-9759-A7B5BF7B267C}"/>
              </c:ext>
            </c:extLst>
          </c:dPt>
          <c:dPt>
            <c:idx val="4"/>
            <c:bubble3D val="0"/>
            <c:spPr>
              <a:solidFill>
                <a:srgbClr val="E3A72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AC8-4C2A-9759-A7B5BF7B267C}"/>
              </c:ext>
            </c:extLst>
          </c:dPt>
          <c:dPt>
            <c:idx val="5"/>
            <c:bubble3D val="0"/>
            <c:spPr>
              <a:solidFill>
                <a:srgbClr val="D5373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AC8-4C2A-9759-A7B5BF7B267C}"/>
              </c:ext>
            </c:extLst>
          </c:dPt>
          <c:dPt>
            <c:idx val="6"/>
            <c:bubble3D val="0"/>
            <c:spPr>
              <a:solidFill>
                <a:srgbClr val="A635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AC8-4C2A-9759-A7B5BF7B267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AC8-4C2A-9759-A7B5BF7B267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AC8-4C2A-9759-A7B5BF7B26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DIN Pro Regular" panose="020B0504020101020102" pitchFamily="34" charset="0"/>
                    <a:ea typeface="+mn-ea"/>
                    <a:cs typeface="DIN Pro Regular" panose="020B0504020101020102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Graphiques!$B$87:$H$87</c:f>
              <c:strCache>
                <c:ptCount val="7"/>
                <c:pt idx="0">
                  <c:v>Droits fixes</c:v>
                </c:pt>
                <c:pt idx="1">
                  <c:v>Redevance superficiaire</c:v>
                </c:pt>
                <c:pt idx="2">
                  <c:v>Redevance minière</c:v>
                </c:pt>
                <c:pt idx="3">
                  <c:v>Taxe sur la rente</c:v>
                </c:pt>
                <c:pt idx="4">
                  <c:v>IS et IMF</c:v>
                </c:pt>
                <c:pt idx="5">
                  <c:v>Participation de l'Etat</c:v>
                </c:pt>
                <c:pt idx="6">
                  <c:v>IRVM</c:v>
                </c:pt>
              </c:strCache>
            </c:strRef>
          </c:cat>
          <c:val>
            <c:numRef>
              <c:f>Graphiques!$B$88:$H$88</c:f>
              <c:numCache>
                <c:formatCode>#,##0</c:formatCode>
                <c:ptCount val="7"/>
                <c:pt idx="0">
                  <c:v>100000</c:v>
                </c:pt>
                <c:pt idx="1">
                  <c:v>83666.874569391963</c:v>
                </c:pt>
                <c:pt idx="2">
                  <c:v>80525448.816048682</c:v>
                </c:pt>
                <c:pt idx="3">
                  <c:v>140467839.21812171</c:v>
                </c:pt>
                <c:pt idx="4">
                  <c:v>141749475.97773188</c:v>
                </c:pt>
                <c:pt idx="5">
                  <c:v>33073863.931127857</c:v>
                </c:pt>
                <c:pt idx="6">
                  <c:v>6614772.7862255722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AC8-4C2A-9759-A7B5BF7B2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DIN Pro Regular" panose="020B0504020101020102" pitchFamily="34" charset="0"/>
              <a:ea typeface="+mn-ea"/>
              <a:cs typeface="DIN Pro Regular" panose="020B0504020101020102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Graphiques!$A$64</c:f>
              <c:strCache>
                <c:ptCount val="1"/>
                <c:pt idx="0">
                  <c:v>Année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Graphiques!$A$65:$A$75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4-43FB-AEFD-CE3237049FAC}"/>
            </c:ext>
          </c:extLst>
        </c:ser>
        <c:ser>
          <c:idx val="1"/>
          <c:order val="1"/>
          <c:tx>
            <c:strRef>
              <c:f>Graphiques!$B$64</c:f>
              <c:strCache>
                <c:ptCount val="1"/>
                <c:pt idx="0">
                  <c:v>Droits fixes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val>
            <c:numRef>
              <c:f>Graphiques!$B$65:$B$75</c:f>
              <c:numCache>
                <c:formatCode>#,##0</c:formatCode>
                <c:ptCount val="11"/>
                <c:pt idx="0">
                  <c:v>100000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C4-43FB-AEFD-CE3237049FAC}"/>
            </c:ext>
          </c:extLst>
        </c:ser>
        <c:ser>
          <c:idx val="2"/>
          <c:order val="2"/>
          <c:tx>
            <c:strRef>
              <c:f>Graphiques!$C$64</c:f>
              <c:strCache>
                <c:ptCount val="1"/>
                <c:pt idx="0">
                  <c:v>Redevance superficiaire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Graphiques!$C$65:$C$75</c:f>
              <c:numCache>
                <c:formatCode>#,##0</c:formatCode>
                <c:ptCount val="11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C4-43FB-AEFD-CE3237049FAC}"/>
            </c:ext>
          </c:extLst>
        </c:ser>
        <c:ser>
          <c:idx val="3"/>
          <c:order val="3"/>
          <c:tx>
            <c:strRef>
              <c:f>Graphiques!$D$64</c:f>
              <c:strCache>
                <c:ptCount val="1"/>
                <c:pt idx="0">
                  <c:v>Redevance minière</c:v>
                </c:pt>
              </c:strCache>
            </c:strRef>
          </c:tx>
          <c:spPr>
            <a:solidFill>
              <a:srgbClr val="104258"/>
            </a:solidFill>
            <a:ln>
              <a:noFill/>
            </a:ln>
            <a:effectLst/>
          </c:spPr>
          <c:invertIfNegative val="0"/>
          <c:val>
            <c:numRef>
              <c:f>Graphiques!$D$65:$D$75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13000000</c:v>
                </c:pt>
                <c:pt idx="3">
                  <c:v>13000000</c:v>
                </c:pt>
                <c:pt idx="4">
                  <c:v>13000000</c:v>
                </c:pt>
                <c:pt idx="5">
                  <c:v>13000000</c:v>
                </c:pt>
                <c:pt idx="6">
                  <c:v>13000000</c:v>
                </c:pt>
                <c:pt idx="7">
                  <c:v>13000000</c:v>
                </c:pt>
                <c:pt idx="8">
                  <c:v>13000000</c:v>
                </c:pt>
                <c:pt idx="9">
                  <c:v>13000000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C4-43FB-AEFD-CE3237049FAC}"/>
            </c:ext>
          </c:extLst>
        </c:ser>
        <c:ser>
          <c:idx val="4"/>
          <c:order val="4"/>
          <c:tx>
            <c:strRef>
              <c:f>Graphiques!$E$64</c:f>
              <c:strCache>
                <c:ptCount val="1"/>
                <c:pt idx="0">
                  <c:v>Taxe sur la rente</c:v>
                </c:pt>
              </c:strCache>
            </c:strRef>
          </c:tx>
          <c:spPr>
            <a:solidFill>
              <a:srgbClr val="026E8F"/>
            </a:solidFill>
            <a:ln>
              <a:noFill/>
            </a:ln>
            <a:effectLst/>
          </c:spPr>
          <c:invertIfNegative val="0"/>
          <c:val>
            <c:numRef>
              <c:f>Graphiques!$E$65:$E$75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17200000</c:v>
                </c:pt>
                <c:pt idx="4">
                  <c:v>29000000</c:v>
                </c:pt>
                <c:pt idx="5">
                  <c:v>29000000</c:v>
                </c:pt>
                <c:pt idx="6">
                  <c:v>29000000</c:v>
                </c:pt>
                <c:pt idx="7">
                  <c:v>29000000</c:v>
                </c:pt>
                <c:pt idx="8">
                  <c:v>29000000</c:v>
                </c:pt>
                <c:pt idx="9">
                  <c:v>29000000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C4-43FB-AEFD-CE3237049FAC}"/>
            </c:ext>
          </c:extLst>
        </c:ser>
        <c:ser>
          <c:idx val="5"/>
          <c:order val="5"/>
          <c:tx>
            <c:strRef>
              <c:f>Graphiques!$F$64</c:f>
              <c:strCache>
                <c:ptCount val="1"/>
                <c:pt idx="0">
                  <c:v>IS et IMF</c:v>
                </c:pt>
              </c:strCache>
            </c:strRef>
          </c:tx>
          <c:spPr>
            <a:solidFill>
              <a:srgbClr val="E3A728"/>
            </a:solidFill>
            <a:ln>
              <a:noFill/>
            </a:ln>
            <a:effectLst/>
          </c:spPr>
          <c:invertIfNegative val="0"/>
          <c:val>
            <c:numRef>
              <c:f>Graphiques!$F$65:$F$75</c:f>
              <c:numCache>
                <c:formatCode>#,##0</c:formatCode>
                <c:ptCount val="11"/>
                <c:pt idx="0">
                  <c:v>2000</c:v>
                </c:pt>
                <c:pt idx="1">
                  <c:v>2000</c:v>
                </c:pt>
                <c:pt idx="2">
                  <c:v>14511000</c:v>
                </c:pt>
                <c:pt idx="3">
                  <c:v>26667000</c:v>
                </c:pt>
                <c:pt idx="4">
                  <c:v>24051000</c:v>
                </c:pt>
                <c:pt idx="5">
                  <c:v>24489000</c:v>
                </c:pt>
                <c:pt idx="6">
                  <c:v>26397000</c:v>
                </c:pt>
                <c:pt idx="7">
                  <c:v>26397000</c:v>
                </c:pt>
                <c:pt idx="8">
                  <c:v>26397000</c:v>
                </c:pt>
                <c:pt idx="9">
                  <c:v>26103000</c:v>
                </c:pt>
                <c:pt idx="10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C4-43FB-AEFD-CE3237049FAC}"/>
            </c:ext>
          </c:extLst>
        </c:ser>
        <c:ser>
          <c:idx val="6"/>
          <c:order val="6"/>
          <c:tx>
            <c:strRef>
              <c:f>Graphiques!$G$64</c:f>
              <c:strCache>
                <c:ptCount val="1"/>
                <c:pt idx="0">
                  <c:v>Participation de l'Etat</c:v>
                </c:pt>
              </c:strCache>
            </c:strRef>
          </c:tx>
          <c:spPr>
            <a:solidFill>
              <a:srgbClr val="D53738"/>
            </a:solidFill>
            <a:ln>
              <a:noFill/>
            </a:ln>
            <a:effectLst/>
          </c:spPr>
          <c:invertIfNegative val="0"/>
          <c:val>
            <c:numRef>
              <c:f>Graphiques!$G$65:$G$75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3385900</c:v>
                </c:pt>
                <c:pt idx="3">
                  <c:v>6222300</c:v>
                </c:pt>
                <c:pt idx="4">
                  <c:v>5611900</c:v>
                </c:pt>
                <c:pt idx="5">
                  <c:v>5714100</c:v>
                </c:pt>
                <c:pt idx="6">
                  <c:v>6159300</c:v>
                </c:pt>
                <c:pt idx="7">
                  <c:v>6159300</c:v>
                </c:pt>
                <c:pt idx="8">
                  <c:v>6159300</c:v>
                </c:pt>
                <c:pt idx="9">
                  <c:v>6090700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C4-43FB-AEFD-CE3237049FAC}"/>
            </c:ext>
          </c:extLst>
        </c:ser>
        <c:ser>
          <c:idx val="7"/>
          <c:order val="7"/>
          <c:tx>
            <c:strRef>
              <c:f>Graphiques!$H$64</c:f>
              <c:strCache>
                <c:ptCount val="1"/>
                <c:pt idx="0">
                  <c:v>IRVM</c:v>
                </c:pt>
              </c:strCache>
            </c:strRef>
          </c:tx>
          <c:spPr>
            <a:solidFill>
              <a:srgbClr val="A63535"/>
            </a:solidFill>
            <a:ln>
              <a:noFill/>
            </a:ln>
            <a:effectLst/>
          </c:spPr>
          <c:invertIfNegative val="0"/>
          <c:val>
            <c:numRef>
              <c:f>Graphiques!$H$65:$H$75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677180</c:v>
                </c:pt>
                <c:pt idx="3">
                  <c:v>1244460</c:v>
                </c:pt>
                <c:pt idx="4">
                  <c:v>1122380</c:v>
                </c:pt>
                <c:pt idx="5">
                  <c:v>1142820</c:v>
                </c:pt>
                <c:pt idx="6">
                  <c:v>1231860</c:v>
                </c:pt>
                <c:pt idx="7">
                  <c:v>1231860</c:v>
                </c:pt>
                <c:pt idx="8">
                  <c:v>1231860</c:v>
                </c:pt>
                <c:pt idx="9">
                  <c:v>1218140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CC4-43FB-AEFD-CE3237049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1422272"/>
        <c:axId val="441418008"/>
      </c:barChart>
      <c:catAx>
        <c:axId val="441422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DIN Pro Bold" panose="020B0804020101020102" pitchFamily="34" charset="0"/>
                    <a:ea typeface="+mn-ea"/>
                    <a:cs typeface="DIN Pro Bold" panose="020B0804020101020102" pitchFamily="34" charset="0"/>
                  </a:defRPr>
                </a:pPr>
                <a:r>
                  <a:rPr lang="fr-FR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DIN Pro Bold" panose="020B0804020101020102" pitchFamily="34" charset="0"/>
                    <a:cs typeface="DIN Pro Bold" panose="020B0804020101020102" pitchFamily="34" charset="0"/>
                  </a:rPr>
                  <a:t>Année du projet minier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DIN Pro Bold" panose="020B0804020101020102" pitchFamily="34" charset="0"/>
                  <a:ea typeface="+mn-ea"/>
                  <a:cs typeface="DIN Pro Bold" panose="020B0804020101020102" pitchFamily="34" charset="0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DIN Pro Regular" panose="020B0504020101020102" pitchFamily="34" charset="0"/>
                <a:ea typeface="+mn-ea"/>
                <a:cs typeface="DIN Pro Regular" panose="020B0504020101020102" pitchFamily="34" charset="0"/>
              </a:defRPr>
            </a:pPr>
            <a:endParaRPr lang="en-US"/>
          </a:p>
        </c:txPr>
        <c:crossAx val="441418008"/>
        <c:crosses val="autoZero"/>
        <c:auto val="1"/>
        <c:lblAlgn val="ctr"/>
        <c:lblOffset val="100"/>
        <c:noMultiLvlLbl val="0"/>
      </c:catAx>
      <c:valAx>
        <c:axId val="441418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DIN Pro Bold" panose="020B0804020101020102" pitchFamily="34" charset="0"/>
                    <a:ea typeface="+mn-ea"/>
                    <a:cs typeface="DIN Pro Bold" panose="020B0804020101020102" pitchFamily="34" charset="0"/>
                  </a:defRPr>
                </a:pPr>
                <a:r>
                  <a:rPr lang="fr-FR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DIN Pro Bold" panose="020B0804020101020102" pitchFamily="34" charset="0"/>
                    <a:cs typeface="DIN Pro Bold" panose="020B0804020101020102" pitchFamily="34" charset="0"/>
                  </a:rPr>
                  <a:t>Dollars américains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DIN Pro Bold" panose="020B0804020101020102" pitchFamily="34" charset="0"/>
                  <a:ea typeface="+mn-ea"/>
                  <a:cs typeface="DIN Pro Bold" panose="020B0804020101020102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DIN Pro Regular" panose="020B0504020101020102" pitchFamily="34" charset="0"/>
                <a:ea typeface="+mn-ea"/>
                <a:cs typeface="DIN Pro Regular" panose="020B0504020101020102" pitchFamily="34" charset="0"/>
              </a:defRPr>
            </a:pPr>
            <a:endParaRPr lang="en-US"/>
          </a:p>
        </c:txPr>
        <c:crossAx val="44142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DIN Pro Regular" panose="020B0504020101020102" pitchFamily="34" charset="0"/>
              <a:ea typeface="+mn-ea"/>
              <a:cs typeface="DIN Pro Regular" panose="020B0504020101020102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DIN Pro Regular" panose="020B0504020101020102" pitchFamily="34" charset="0"/>
          <a:cs typeface="DIN Pro Regular" panose="020B0504020101020102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D5373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591-4437-BE7E-D78578D59C78}"/>
              </c:ext>
            </c:extLst>
          </c:dPt>
          <c:dPt>
            <c:idx val="1"/>
            <c:bubble3D val="0"/>
            <c:spPr>
              <a:solidFill>
                <a:srgbClr val="026E8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591-4437-BE7E-D78578D59C78}"/>
              </c:ext>
            </c:extLst>
          </c:dPt>
          <c:dPt>
            <c:idx val="2"/>
            <c:bubble3D val="0"/>
            <c:spPr>
              <a:solidFill>
                <a:srgbClr val="10425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591-4437-BE7E-D78578D59C78}"/>
              </c:ext>
            </c:extLst>
          </c:dPt>
          <c:dPt>
            <c:idx val="3"/>
            <c:bubble3D val="0"/>
            <c:spPr>
              <a:solidFill>
                <a:srgbClr val="026E8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591-4437-BE7E-D78578D59C78}"/>
              </c:ext>
            </c:extLst>
          </c:dPt>
          <c:dPt>
            <c:idx val="4"/>
            <c:bubble3D val="0"/>
            <c:spPr>
              <a:solidFill>
                <a:srgbClr val="E3A72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591-4437-BE7E-D78578D59C78}"/>
              </c:ext>
            </c:extLst>
          </c:dPt>
          <c:dPt>
            <c:idx val="5"/>
            <c:bubble3D val="0"/>
            <c:spPr>
              <a:solidFill>
                <a:srgbClr val="D5373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591-4437-BE7E-D78578D59C78}"/>
              </c:ext>
            </c:extLst>
          </c:dPt>
          <c:dPt>
            <c:idx val="6"/>
            <c:bubble3D val="0"/>
            <c:spPr>
              <a:solidFill>
                <a:srgbClr val="A635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591-4437-BE7E-D78578D59C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DIN Pro Regular" panose="020B0504020101020102" pitchFamily="34" charset="0"/>
                    <a:ea typeface="DIN Condensed" panose="020B0606040000020204" pitchFamily="34" charset="0"/>
                    <a:cs typeface="DIN Pro Regular" panose="020B0504020101020102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Graphiques!$B$2:$C$2</c:f>
              <c:strCache>
                <c:ptCount val="2"/>
                <c:pt idx="0">
                  <c:v>État</c:v>
                </c:pt>
                <c:pt idx="1">
                  <c:v>Investisseur</c:v>
                </c:pt>
              </c:strCache>
            </c:strRef>
          </c:cat>
          <c:val>
            <c:numRef>
              <c:f>Graphiques!$B$3:$C$3</c:f>
              <c:numCache>
                <c:formatCode>0.0%</c:formatCode>
                <c:ptCount val="2"/>
                <c:pt idx="0">
                  <c:v>0.56772594077991856</c:v>
                </c:pt>
                <c:pt idx="1">
                  <c:v>0.43227405922008161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591-4437-BE7E-D78578D59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DIN Pro Regular" panose="020B0504020101020102" pitchFamily="34" charset="0"/>
              <a:ea typeface="DIN Condensed" panose="020B0606040000020204" pitchFamily="34" charset="0"/>
              <a:cs typeface="DIN Pro Regular" panose="020B0504020101020102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Graphiques!$A$22</c:f>
              <c:strCache>
                <c:ptCount val="1"/>
                <c:pt idx="0">
                  <c:v>Année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Graphiques!$A$23:$A$33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D9-420D-B8BD-504F70A5754E}"/>
            </c:ext>
          </c:extLst>
        </c:ser>
        <c:ser>
          <c:idx val="1"/>
          <c:order val="1"/>
          <c:tx>
            <c:strRef>
              <c:f>Graphiques!$B$22</c:f>
              <c:strCache>
                <c:ptCount val="1"/>
                <c:pt idx="0">
                  <c:v>État</c:v>
                </c:pt>
              </c:strCache>
            </c:strRef>
          </c:tx>
          <c:spPr>
            <a:solidFill>
              <a:srgbClr val="D53738"/>
            </a:solidFill>
            <a:ln>
              <a:noFill/>
            </a:ln>
            <a:effectLst/>
          </c:spPr>
          <c:invertIfNegative val="0"/>
          <c:val>
            <c:numRef>
              <c:f>Graphiques!$B$23:$B$33</c:f>
              <c:numCache>
                <c:formatCode>#,##0</c:formatCode>
                <c:ptCount val="11"/>
                <c:pt idx="0">
                  <c:v>112000</c:v>
                </c:pt>
                <c:pt idx="1">
                  <c:v>12000</c:v>
                </c:pt>
                <c:pt idx="2">
                  <c:v>31584080</c:v>
                </c:pt>
                <c:pt idx="3">
                  <c:v>64343760</c:v>
                </c:pt>
                <c:pt idx="4">
                  <c:v>72795280</c:v>
                </c:pt>
                <c:pt idx="5">
                  <c:v>73355920</c:v>
                </c:pt>
                <c:pt idx="6">
                  <c:v>75798160</c:v>
                </c:pt>
                <c:pt idx="7">
                  <c:v>75798160</c:v>
                </c:pt>
                <c:pt idx="8">
                  <c:v>75798160</c:v>
                </c:pt>
                <c:pt idx="9">
                  <c:v>75421840</c:v>
                </c:pt>
                <c:pt idx="10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D9-420D-B8BD-504F70A5754E}"/>
            </c:ext>
          </c:extLst>
        </c:ser>
        <c:ser>
          <c:idx val="2"/>
          <c:order val="2"/>
          <c:tx>
            <c:strRef>
              <c:f>Graphiques!$C$22</c:f>
              <c:strCache>
                <c:ptCount val="1"/>
                <c:pt idx="0">
                  <c:v>Investisseur</c:v>
                </c:pt>
              </c:strCache>
            </c:strRef>
          </c:tx>
          <c:spPr>
            <a:solidFill>
              <a:srgbClr val="026E8F"/>
            </a:solidFill>
            <a:ln>
              <a:noFill/>
            </a:ln>
            <a:effectLst/>
          </c:spPr>
          <c:invertIfNegative val="0"/>
          <c:val>
            <c:numRef>
              <c:f>Graphiques!$C$23:$C$33</c:f>
              <c:numCache>
                <c:formatCode>#,##0</c:formatCode>
                <c:ptCount val="11"/>
                <c:pt idx="0">
                  <c:v>-50112000</c:v>
                </c:pt>
                <c:pt idx="1">
                  <c:v>-150012000</c:v>
                </c:pt>
                <c:pt idx="2">
                  <c:v>113415920</c:v>
                </c:pt>
                <c:pt idx="3">
                  <c:v>80656240</c:v>
                </c:pt>
                <c:pt idx="4">
                  <c:v>72204720</c:v>
                </c:pt>
                <c:pt idx="5">
                  <c:v>71644080</c:v>
                </c:pt>
                <c:pt idx="6">
                  <c:v>69201840</c:v>
                </c:pt>
                <c:pt idx="7">
                  <c:v>69201840</c:v>
                </c:pt>
                <c:pt idx="8">
                  <c:v>69201840</c:v>
                </c:pt>
                <c:pt idx="9">
                  <c:v>69578160</c:v>
                </c:pt>
                <c:pt idx="10">
                  <c:v>-10012000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D9-420D-B8BD-504F70A57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1422272"/>
        <c:axId val="441418008"/>
      </c:barChart>
      <c:catAx>
        <c:axId val="441422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DIN Pro Bold" panose="020B0804020101020102" pitchFamily="34" charset="0"/>
                    <a:ea typeface="+mn-ea"/>
                    <a:cs typeface="DIN Pro Bold" panose="020B0804020101020102" pitchFamily="34" charset="0"/>
                  </a:defRPr>
                </a:pPr>
                <a:r>
                  <a:rPr lang="fr-FR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DIN Pro Bold" panose="020B0804020101020102" pitchFamily="34" charset="0"/>
                    <a:cs typeface="DIN Pro Bold" panose="020B0804020101020102" pitchFamily="34" charset="0"/>
                  </a:rPr>
                  <a:t>Année du projet minier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DIN Pro Bold" panose="020B0804020101020102" pitchFamily="34" charset="0"/>
                  <a:ea typeface="+mn-ea"/>
                  <a:cs typeface="DIN Pro Bold" panose="020B0804020101020102" pitchFamily="34" charset="0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DIN Pro Regular" panose="020B0504020101020102" pitchFamily="34" charset="0"/>
                <a:ea typeface="+mn-ea"/>
                <a:cs typeface="DIN Pro Regular" panose="020B0504020101020102" pitchFamily="34" charset="0"/>
              </a:defRPr>
            </a:pPr>
            <a:endParaRPr lang="en-US"/>
          </a:p>
        </c:txPr>
        <c:crossAx val="441418008"/>
        <c:crosses val="autoZero"/>
        <c:auto val="1"/>
        <c:lblAlgn val="ctr"/>
        <c:lblOffset val="100"/>
        <c:noMultiLvlLbl val="0"/>
      </c:catAx>
      <c:valAx>
        <c:axId val="441418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DIN Pro Bold" panose="020B0804020101020102" pitchFamily="34" charset="0"/>
                    <a:ea typeface="+mn-ea"/>
                    <a:cs typeface="DIN Pro Bold" panose="020B0804020101020102" pitchFamily="34" charset="0"/>
                  </a:defRPr>
                </a:pPr>
                <a:r>
                  <a:rPr lang="fr-FR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DIN Pro Bold" panose="020B0804020101020102" pitchFamily="34" charset="0"/>
                    <a:cs typeface="DIN Pro Bold" panose="020B0804020101020102" pitchFamily="34" charset="0"/>
                  </a:rPr>
                  <a:t>Dollars américains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DIN Pro Bold" panose="020B0804020101020102" pitchFamily="34" charset="0"/>
                  <a:ea typeface="+mn-ea"/>
                  <a:cs typeface="DIN Pro Bold" panose="020B0804020101020102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DIN Pro Regular" panose="020B0504020101020102" pitchFamily="34" charset="0"/>
                <a:ea typeface="+mn-ea"/>
                <a:cs typeface="DIN Pro Regular" panose="020B0504020101020102" pitchFamily="34" charset="0"/>
              </a:defRPr>
            </a:pPr>
            <a:endParaRPr lang="en-US"/>
          </a:p>
        </c:txPr>
        <c:crossAx val="44142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DIN Pro Regular" panose="020B0504020101020102" pitchFamily="34" charset="0"/>
              <a:ea typeface="+mn-ea"/>
              <a:cs typeface="DIN Pro Regular" panose="020B0504020101020102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DIN Pro Regular" panose="020B0504020101020102" pitchFamily="34" charset="0"/>
          <a:cs typeface="DIN Pro Regular" panose="020B0504020101020102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Graphiques!$B$44</c:f>
              <c:strCache>
                <c:ptCount val="1"/>
                <c:pt idx="0">
                  <c:v>TRI avant impôts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2C-4B2A-9DA6-950ECEA3845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2C-4B2A-9DA6-950ECEA3845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2C-4B2A-9DA6-950ECEA3845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2C-4B2A-9DA6-950ECEA3845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52C-4B2A-9DA6-950ECEA3845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52C-4B2A-9DA6-950ECEA3845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52C-4B2A-9DA6-950ECEA3845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52C-4B2A-9DA6-950ECEA3845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52C-4B2A-9DA6-950ECEA3845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52C-4B2A-9DA6-950ECEA3845C}"/>
                </c:ext>
              </c:extLst>
            </c:dLbl>
            <c:dLbl>
              <c:idx val="10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DIN Pro Regular" panose="020B0504020101020102" pitchFamily="34" charset="0"/>
                      <a:ea typeface="+mn-ea"/>
                      <a:cs typeface="DIN Pro Regular" panose="020B0504020101020102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152C-4B2A-9DA6-950ECEA384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DIN Pro Regular" panose="020B0504020101020102" pitchFamily="34" charset="0"/>
                    <a:ea typeface="+mn-ea"/>
                    <a:cs typeface="DIN Pro Regular" panose="020B0504020101020102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Graphiques!$B$45:$B$55</c:f>
              <c:numCache>
                <c:formatCode>0.0%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0.23743595812084983</c:v>
                </c:pt>
                <c:pt idx="4">
                  <c:v>0.4312133242672187</c:v>
                </c:pt>
                <c:pt idx="5">
                  <c:v>0.61481929116363609</c:v>
                </c:pt>
                <c:pt idx="6">
                  <c:v>0.61957519755522261</c:v>
                </c:pt>
                <c:pt idx="7">
                  <c:v>0.62241299952781226</c:v>
                </c:pt>
                <c:pt idx="8">
                  <c:v>0.62412218834436484</c:v>
                </c:pt>
                <c:pt idx="9">
                  <c:v>0.62515832350764655</c:v>
                </c:pt>
                <c:pt idx="10">
                  <c:v>0.62511461492194975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52C-4B2A-9DA6-950ECEA3845C}"/>
            </c:ext>
          </c:extLst>
        </c:ser>
        <c:ser>
          <c:idx val="2"/>
          <c:order val="1"/>
          <c:tx>
            <c:strRef>
              <c:f>Graphiques!$C$44</c:f>
              <c:strCache>
                <c:ptCount val="1"/>
                <c:pt idx="0">
                  <c:v>TRI après impôts</c:v>
                </c:pt>
              </c:strCache>
            </c:strRef>
          </c:tx>
          <c:spPr>
            <a:ln w="28575" cap="rnd">
              <a:solidFill>
                <a:srgbClr val="D53738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DIN Pro Regular" panose="020B0504020101020102" pitchFamily="34" charset="0"/>
                      <a:ea typeface="+mn-ea"/>
                      <a:cs typeface="DIN Pro Regular" panose="020B0504020101020102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152C-4B2A-9DA6-950ECEA384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DIN Pro Regular" panose="020B0504020101020102" pitchFamily="34" charset="0"/>
                    <a:ea typeface="+mn-ea"/>
                    <a:cs typeface="DIN Pro Regular" panose="020B0504020101020102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Graphiques!$C$45:$C$55</c:f>
              <c:numCache>
                <c:formatCode>0.0%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0.14848600971802162</c:v>
                </c:pt>
                <c:pt idx="5">
                  <c:v>0.3712263783337828</c:v>
                </c:pt>
                <c:pt idx="6">
                  <c:v>0.37922038318023787</c:v>
                </c:pt>
                <c:pt idx="7">
                  <c:v>0.38463494342105409</c:v>
                </c:pt>
                <c:pt idx="8">
                  <c:v>0.38834693813762411</c:v>
                </c:pt>
                <c:pt idx="9">
                  <c:v>0.39092981802554583</c:v>
                </c:pt>
                <c:pt idx="10">
                  <c:v>0.39066668858732423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52C-4B2A-9DA6-950ECEA38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422272"/>
        <c:axId val="441418008"/>
      </c:lineChart>
      <c:catAx>
        <c:axId val="441422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DIN Pro Bold" panose="020B0804020101020102" pitchFamily="34" charset="0"/>
                    <a:ea typeface="+mn-ea"/>
                    <a:cs typeface="DIN Pro Bold" panose="020B0804020101020102" pitchFamily="34" charset="0"/>
                  </a:defRPr>
                </a:pPr>
                <a:r>
                  <a:rPr lang="fr-FR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DIN Pro Bold" panose="020B0804020101020102" pitchFamily="34" charset="0"/>
                    <a:cs typeface="DIN Pro Bold" panose="020B0804020101020102" pitchFamily="34" charset="0"/>
                  </a:rPr>
                  <a:t>Année du projet minier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DIN Pro Bold" panose="020B0804020101020102" pitchFamily="34" charset="0"/>
                  <a:ea typeface="+mn-ea"/>
                  <a:cs typeface="DIN Pro Bold" panose="020B0804020101020102" pitchFamily="34" charset="0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DIN Pro Regular" panose="020B0504020101020102" pitchFamily="34" charset="0"/>
                <a:ea typeface="+mn-ea"/>
                <a:cs typeface="DIN Pro Regular" panose="020B0504020101020102" pitchFamily="34" charset="0"/>
              </a:defRPr>
            </a:pPr>
            <a:endParaRPr lang="en-US"/>
          </a:p>
        </c:txPr>
        <c:crossAx val="441418008"/>
        <c:crosses val="autoZero"/>
        <c:auto val="1"/>
        <c:lblAlgn val="ctr"/>
        <c:lblOffset val="100"/>
        <c:noMultiLvlLbl val="0"/>
      </c:catAx>
      <c:valAx>
        <c:axId val="441418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DIN Pro Regular" panose="020B0504020101020102" pitchFamily="34" charset="0"/>
                <a:ea typeface="+mn-ea"/>
                <a:cs typeface="DIN Pro Regular" panose="020B0504020101020102" pitchFamily="34" charset="0"/>
              </a:defRPr>
            </a:pPr>
            <a:endParaRPr lang="en-US"/>
          </a:p>
        </c:txPr>
        <c:crossAx val="44142227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DIN Pro Regular" panose="020B0504020101020102" pitchFamily="34" charset="0"/>
              <a:ea typeface="+mn-ea"/>
              <a:cs typeface="DIN Pro Regular" panose="020B0504020101020102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105</xdr:row>
      <xdr:rowOff>0</xdr:rowOff>
    </xdr:from>
    <xdr:to>
      <xdr:col>18</xdr:col>
      <xdr:colOff>277875</xdr:colOff>
      <xdr:row>123</xdr:row>
      <xdr:rowOff>136800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85</xdr:row>
      <xdr:rowOff>0</xdr:rowOff>
    </xdr:from>
    <xdr:to>
      <xdr:col>18</xdr:col>
      <xdr:colOff>277875</xdr:colOff>
      <xdr:row>103</xdr:row>
      <xdr:rowOff>136800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62</xdr:row>
      <xdr:rowOff>0</xdr:rowOff>
    </xdr:from>
    <xdr:to>
      <xdr:col>18</xdr:col>
      <xdr:colOff>277875</xdr:colOff>
      <xdr:row>83</xdr:row>
      <xdr:rowOff>39600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18</xdr:col>
      <xdr:colOff>277875</xdr:colOff>
      <xdr:row>18</xdr:row>
      <xdr:rowOff>136800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18</xdr:col>
      <xdr:colOff>277875</xdr:colOff>
      <xdr:row>41</xdr:row>
      <xdr:rowOff>39600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42</xdr:row>
      <xdr:rowOff>0</xdr:rowOff>
    </xdr:from>
    <xdr:to>
      <xdr:col>18</xdr:col>
      <xdr:colOff>277875</xdr:colOff>
      <xdr:row>60</xdr:row>
      <xdr:rowOff>136800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0"/>
  <sheetViews>
    <sheetView tabSelected="1" zoomScaleNormal="100"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H26" sqref="H26"/>
    </sheetView>
  </sheetViews>
  <sheetFormatPr baseColWidth="10" defaultColWidth="10.77734375" defaultRowHeight="13.2" x14ac:dyDescent="0.25"/>
  <cols>
    <col min="1" max="1" width="40.77734375" style="1" customWidth="1"/>
    <col min="2" max="2" width="10.77734375" style="1"/>
    <col min="3" max="19" width="15.77734375" style="1" customWidth="1"/>
    <col min="20" max="16384" width="10.77734375" style="1"/>
  </cols>
  <sheetData>
    <row r="1" spans="1:19" s="2" customFormat="1" x14ac:dyDescent="0.25">
      <c r="A1" s="32" t="s">
        <v>16</v>
      </c>
      <c r="B1" s="32" t="s">
        <v>0</v>
      </c>
      <c r="C1" s="32" t="s">
        <v>91</v>
      </c>
      <c r="D1" s="32" t="s">
        <v>92</v>
      </c>
      <c r="E1" s="32" t="s">
        <v>93</v>
      </c>
      <c r="F1" s="32" t="s">
        <v>94</v>
      </c>
      <c r="G1" s="32" t="s">
        <v>95</v>
      </c>
      <c r="H1" s="32" t="s">
        <v>96</v>
      </c>
      <c r="I1" s="32" t="s">
        <v>97</v>
      </c>
      <c r="J1" s="32" t="s">
        <v>98</v>
      </c>
      <c r="K1" s="32" t="s">
        <v>99</v>
      </c>
      <c r="L1" s="32" t="s">
        <v>96</v>
      </c>
      <c r="M1" s="32" t="s">
        <v>97</v>
      </c>
      <c r="N1" s="32" t="s">
        <v>98</v>
      </c>
      <c r="O1" s="32" t="s">
        <v>99</v>
      </c>
      <c r="P1" s="32" t="s">
        <v>100</v>
      </c>
      <c r="Q1" s="32" t="s">
        <v>101</v>
      </c>
      <c r="R1" s="32" t="s">
        <v>22</v>
      </c>
      <c r="S1" s="32" t="s">
        <v>1</v>
      </c>
    </row>
    <row r="2" spans="1:19" s="2" customFormat="1" x14ac:dyDescent="0.25">
      <c r="A2" s="8"/>
      <c r="B2" s="9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19" x14ac:dyDescent="0.25">
      <c r="A3" s="3" t="s">
        <v>17</v>
      </c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x14ac:dyDescent="0.25">
      <c r="A4" s="6" t="s">
        <v>3</v>
      </c>
      <c r="B4" s="7" t="s">
        <v>2</v>
      </c>
      <c r="C4" s="12"/>
      <c r="D4" s="12"/>
      <c r="E4" s="12">
        <v>250000</v>
      </c>
      <c r="F4" s="12">
        <v>250000</v>
      </c>
      <c r="G4" s="12">
        <v>250000</v>
      </c>
      <c r="H4" s="12">
        <v>250000</v>
      </c>
      <c r="I4" s="12">
        <v>250000</v>
      </c>
      <c r="J4" s="12">
        <v>250000</v>
      </c>
      <c r="K4" s="12">
        <v>250000</v>
      </c>
      <c r="L4" s="12">
        <v>250000</v>
      </c>
      <c r="M4" s="12">
        <v>250000</v>
      </c>
      <c r="N4" s="12">
        <v>250000</v>
      </c>
      <c r="O4" s="12">
        <v>250000</v>
      </c>
      <c r="P4" s="12">
        <v>250000</v>
      </c>
      <c r="Q4" s="12"/>
      <c r="R4" s="13">
        <f>SUM($C4:$Q4)</f>
        <v>3000000</v>
      </c>
      <c r="S4" s="13"/>
    </row>
    <row r="5" spans="1:19" x14ac:dyDescent="0.25">
      <c r="A5" s="6" t="s">
        <v>4</v>
      </c>
      <c r="B5" s="7" t="s">
        <v>5</v>
      </c>
      <c r="C5" s="12"/>
      <c r="D5" s="12"/>
      <c r="E5" s="12">
        <v>1300</v>
      </c>
      <c r="F5" s="12">
        <v>1300</v>
      </c>
      <c r="G5" s="12">
        <v>1300</v>
      </c>
      <c r="H5" s="12">
        <v>1300</v>
      </c>
      <c r="I5" s="12">
        <v>1300</v>
      </c>
      <c r="J5" s="12">
        <v>1300</v>
      </c>
      <c r="K5" s="12">
        <v>1300</v>
      </c>
      <c r="L5" s="12">
        <v>1300</v>
      </c>
      <c r="M5" s="12">
        <v>1300</v>
      </c>
      <c r="N5" s="12">
        <v>1300</v>
      </c>
      <c r="O5" s="12">
        <v>1300</v>
      </c>
      <c r="P5" s="12">
        <v>1300</v>
      </c>
      <c r="Q5" s="12"/>
      <c r="R5" s="13"/>
      <c r="S5" s="13"/>
    </row>
    <row r="6" spans="1:19" x14ac:dyDescent="0.25">
      <c r="A6" s="6" t="s">
        <v>6</v>
      </c>
      <c r="B6" s="7" t="s">
        <v>7</v>
      </c>
      <c r="C6" s="14">
        <f>C$4*C$5</f>
        <v>0</v>
      </c>
      <c r="D6" s="14">
        <f t="shared" ref="D6:Q6" si="0">D$4*D$5</f>
        <v>0</v>
      </c>
      <c r="E6" s="14">
        <f t="shared" si="0"/>
        <v>325000000</v>
      </c>
      <c r="F6" s="14">
        <f>F$4*F$5</f>
        <v>325000000</v>
      </c>
      <c r="G6" s="14">
        <f t="shared" si="0"/>
        <v>325000000</v>
      </c>
      <c r="H6" s="14">
        <f t="shared" si="0"/>
        <v>325000000</v>
      </c>
      <c r="I6" s="14">
        <f t="shared" si="0"/>
        <v>325000000</v>
      </c>
      <c r="J6" s="14">
        <f t="shared" si="0"/>
        <v>325000000</v>
      </c>
      <c r="K6" s="14">
        <f t="shared" si="0"/>
        <v>325000000</v>
      </c>
      <c r="L6" s="14">
        <f t="shared" si="0"/>
        <v>325000000</v>
      </c>
      <c r="M6" s="14">
        <f t="shared" si="0"/>
        <v>325000000</v>
      </c>
      <c r="N6" s="14">
        <f t="shared" si="0"/>
        <v>325000000</v>
      </c>
      <c r="O6" s="14">
        <f t="shared" si="0"/>
        <v>325000000</v>
      </c>
      <c r="P6" s="14">
        <f t="shared" si="0"/>
        <v>325000000</v>
      </c>
      <c r="Q6" s="14">
        <f t="shared" si="0"/>
        <v>0</v>
      </c>
      <c r="R6" s="14">
        <f>SUM($C6:$Q6)</f>
        <v>3900000000</v>
      </c>
      <c r="S6" s="14">
        <f>$C6+NPV(10%,$D6:$Q6)</f>
        <v>2013136220.4012172</v>
      </c>
    </row>
    <row r="7" spans="1:19" x14ac:dyDescent="0.25">
      <c r="A7" s="8"/>
      <c r="B7" s="9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x14ac:dyDescent="0.25">
      <c r="A8" s="3" t="s">
        <v>18</v>
      </c>
      <c r="B8" s="4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</row>
    <row r="9" spans="1:19" x14ac:dyDescent="0.25">
      <c r="A9" s="6" t="s">
        <v>9</v>
      </c>
      <c r="B9" s="7" t="s">
        <v>7</v>
      </c>
      <c r="C9" s="12">
        <v>50000000</v>
      </c>
      <c r="D9" s="12">
        <v>100000000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3">
        <f>SUM($C9:$Q9)</f>
        <v>150000000</v>
      </c>
      <c r="S9" s="13">
        <f>$C9+NPV(10%,$D9:$Q9)</f>
        <v>140909090.90909091</v>
      </c>
    </row>
    <row r="10" spans="1:19" x14ac:dyDescent="0.25">
      <c r="A10" s="6" t="s">
        <v>10</v>
      </c>
      <c r="B10" s="7" t="s">
        <v>7</v>
      </c>
      <c r="C10" s="12"/>
      <c r="D10" s="12">
        <v>50000000</v>
      </c>
      <c r="E10" s="12">
        <v>5000000</v>
      </c>
      <c r="F10" s="12">
        <v>5000000</v>
      </c>
      <c r="G10" s="12">
        <v>5000000</v>
      </c>
      <c r="H10" s="12">
        <v>5000000</v>
      </c>
      <c r="I10" s="12">
        <v>5000000</v>
      </c>
      <c r="J10" s="12">
        <v>5000000</v>
      </c>
      <c r="K10" s="12">
        <v>5000000</v>
      </c>
      <c r="L10" s="12">
        <v>5000000</v>
      </c>
      <c r="M10" s="12">
        <v>5000000</v>
      </c>
      <c r="N10" s="12">
        <v>5000000</v>
      </c>
      <c r="O10" s="12">
        <v>5000000</v>
      </c>
      <c r="P10" s="12">
        <v>5000000</v>
      </c>
      <c r="Q10" s="12"/>
      <c r="R10" s="13">
        <f>SUM($C10:$Q10)</f>
        <v>110000000</v>
      </c>
      <c r="S10" s="13">
        <f>$C10+NPV(10%,$D10:$Q10)</f>
        <v>76425871.922256485</v>
      </c>
    </row>
    <row r="11" spans="1:19" x14ac:dyDescent="0.25">
      <c r="A11" s="6" t="s">
        <v>11</v>
      </c>
      <c r="B11" s="7" t="s">
        <v>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>
        <v>10000000</v>
      </c>
      <c r="R11" s="13">
        <f>SUM($C11:$Q11)</f>
        <v>10000000</v>
      </c>
      <c r="S11" s="13">
        <f>$C11+NPV(10%,$D11:$Q11)</f>
        <v>9090909.0909090899</v>
      </c>
    </row>
    <row r="12" spans="1:19" x14ac:dyDescent="0.25">
      <c r="A12" s="6" t="s">
        <v>12</v>
      </c>
      <c r="B12" s="7" t="s">
        <v>7</v>
      </c>
      <c r="C12" s="14">
        <f>SUM(C$9:C$11)</f>
        <v>50000000</v>
      </c>
      <c r="D12" s="14">
        <f t="shared" ref="D12:Q12" si="1">SUM(D$9:D$11)</f>
        <v>150000000</v>
      </c>
      <c r="E12" s="14">
        <f>SUM(E$9:E$11)</f>
        <v>5000000</v>
      </c>
      <c r="F12" s="14">
        <f>SUM(F$9:F$11)</f>
        <v>5000000</v>
      </c>
      <c r="G12" s="14">
        <f t="shared" si="1"/>
        <v>5000000</v>
      </c>
      <c r="H12" s="14">
        <f t="shared" si="1"/>
        <v>5000000</v>
      </c>
      <c r="I12" s="14">
        <f t="shared" si="1"/>
        <v>5000000</v>
      </c>
      <c r="J12" s="14">
        <f t="shared" si="1"/>
        <v>5000000</v>
      </c>
      <c r="K12" s="14">
        <f t="shared" si="1"/>
        <v>5000000</v>
      </c>
      <c r="L12" s="14">
        <f t="shared" si="1"/>
        <v>5000000</v>
      </c>
      <c r="M12" s="14">
        <f t="shared" si="1"/>
        <v>5000000</v>
      </c>
      <c r="N12" s="14">
        <f t="shared" si="1"/>
        <v>5000000</v>
      </c>
      <c r="O12" s="14">
        <f t="shared" si="1"/>
        <v>5000000</v>
      </c>
      <c r="P12" s="14">
        <f t="shared" si="1"/>
        <v>5000000</v>
      </c>
      <c r="Q12" s="14">
        <f t="shared" si="1"/>
        <v>10000000</v>
      </c>
      <c r="R12" s="14">
        <f>SUM($C12:$Q12)</f>
        <v>270000000</v>
      </c>
      <c r="S12" s="14">
        <f>$C12+NPV(10%,$D12:$Q12)</f>
        <v>219968275.37440816</v>
      </c>
    </row>
    <row r="13" spans="1:19" s="30" customFormat="1" x14ac:dyDescent="0.25">
      <c r="A13" s="8"/>
      <c r="B13" s="9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x14ac:dyDescent="0.25">
      <c r="A14" s="3" t="s">
        <v>20</v>
      </c>
      <c r="B14" s="4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</row>
    <row r="15" spans="1:19" x14ac:dyDescent="0.25">
      <c r="A15" s="6" t="s">
        <v>14</v>
      </c>
      <c r="B15" s="7" t="s">
        <v>5</v>
      </c>
      <c r="C15" s="12"/>
      <c r="D15" s="12"/>
      <c r="E15" s="12">
        <v>700</v>
      </c>
      <c r="F15" s="12">
        <v>700</v>
      </c>
      <c r="G15" s="12">
        <v>700</v>
      </c>
      <c r="H15" s="12">
        <v>700</v>
      </c>
      <c r="I15" s="12">
        <v>700</v>
      </c>
      <c r="J15" s="12">
        <v>700</v>
      </c>
      <c r="K15" s="12">
        <v>700</v>
      </c>
      <c r="L15" s="12">
        <v>700</v>
      </c>
      <c r="M15" s="12">
        <v>700</v>
      </c>
      <c r="N15" s="12">
        <v>700</v>
      </c>
      <c r="O15" s="12">
        <v>700</v>
      </c>
      <c r="P15" s="12">
        <v>700</v>
      </c>
      <c r="Q15" s="12"/>
      <c r="R15" s="17"/>
      <c r="S15" s="17"/>
    </row>
    <row r="16" spans="1:19" x14ac:dyDescent="0.25">
      <c r="A16" s="6" t="s">
        <v>13</v>
      </c>
      <c r="B16" s="7" t="s">
        <v>7</v>
      </c>
      <c r="C16" s="14">
        <f>C$4*C$15</f>
        <v>0</v>
      </c>
      <c r="D16" s="14">
        <f t="shared" ref="D16:Q16" si="2">D$4*D$15</f>
        <v>0</v>
      </c>
      <c r="E16" s="14">
        <f>E$4*E$15</f>
        <v>175000000</v>
      </c>
      <c r="F16" s="14">
        <f>F$4*F$15</f>
        <v>175000000</v>
      </c>
      <c r="G16" s="14">
        <f t="shared" si="2"/>
        <v>175000000</v>
      </c>
      <c r="H16" s="14">
        <f t="shared" si="2"/>
        <v>175000000</v>
      </c>
      <c r="I16" s="14">
        <f t="shared" si="2"/>
        <v>175000000</v>
      </c>
      <c r="J16" s="14">
        <f t="shared" si="2"/>
        <v>175000000</v>
      </c>
      <c r="K16" s="14">
        <f t="shared" si="2"/>
        <v>175000000</v>
      </c>
      <c r="L16" s="14">
        <f t="shared" si="2"/>
        <v>175000000</v>
      </c>
      <c r="M16" s="14">
        <f t="shared" si="2"/>
        <v>175000000</v>
      </c>
      <c r="N16" s="14">
        <f t="shared" si="2"/>
        <v>175000000</v>
      </c>
      <c r="O16" s="14">
        <f t="shared" si="2"/>
        <v>175000000</v>
      </c>
      <c r="P16" s="14">
        <f t="shared" si="2"/>
        <v>175000000</v>
      </c>
      <c r="Q16" s="14">
        <f t="shared" si="2"/>
        <v>0</v>
      </c>
      <c r="R16" s="14">
        <f>SUM($C16:$Q16)</f>
        <v>2100000000</v>
      </c>
      <c r="S16" s="14">
        <f>$C16+NPV(10%,$D16:$Q16)</f>
        <v>1083996426.3698864</v>
      </c>
    </row>
    <row r="17" spans="1:19" x14ac:dyDescent="0.25">
      <c r="A17" s="8"/>
      <c r="B17" s="9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1:19" x14ac:dyDescent="0.25">
      <c r="A18" s="3" t="s">
        <v>21</v>
      </c>
      <c r="B18" s="4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</row>
    <row r="19" spans="1:19" x14ac:dyDescent="0.25">
      <c r="A19" s="6" t="s">
        <v>19</v>
      </c>
      <c r="B19" s="7" t="s">
        <v>7</v>
      </c>
      <c r="C19" s="14">
        <f>C$6-C$12-C$16</f>
        <v>-50000000</v>
      </c>
      <c r="D19" s="14">
        <f t="shared" ref="D19:Q19" si="3">D$6-D$12-D$16</f>
        <v>-150000000</v>
      </c>
      <c r="E19" s="14">
        <f>E$6-E$12-E$16</f>
        <v>145000000</v>
      </c>
      <c r="F19" s="14">
        <f t="shared" si="3"/>
        <v>145000000</v>
      </c>
      <c r="G19" s="14">
        <f>G$6-G$12-G$16</f>
        <v>145000000</v>
      </c>
      <c r="H19" s="14">
        <f t="shared" si="3"/>
        <v>145000000</v>
      </c>
      <c r="I19" s="14">
        <f t="shared" si="3"/>
        <v>145000000</v>
      </c>
      <c r="J19" s="14">
        <f t="shared" si="3"/>
        <v>145000000</v>
      </c>
      <c r="K19" s="14">
        <f t="shared" si="3"/>
        <v>145000000</v>
      </c>
      <c r="L19" s="14">
        <f t="shared" si="3"/>
        <v>145000000</v>
      </c>
      <c r="M19" s="14">
        <f t="shared" si="3"/>
        <v>145000000</v>
      </c>
      <c r="N19" s="14">
        <f t="shared" si="3"/>
        <v>145000000</v>
      </c>
      <c r="O19" s="14">
        <f t="shared" si="3"/>
        <v>145000000</v>
      </c>
      <c r="P19" s="14">
        <f t="shared" si="3"/>
        <v>145000000</v>
      </c>
      <c r="Q19" s="14">
        <f t="shared" si="3"/>
        <v>-10000000</v>
      </c>
      <c r="R19" s="14">
        <f>SUM($C19:$Q19)</f>
        <v>1530000000</v>
      </c>
      <c r="S19" s="14">
        <f>$C19+NPV(10%,$D19:$Q19)</f>
        <v>709171518.65692282</v>
      </c>
    </row>
    <row r="20" spans="1:19" x14ac:dyDescent="0.25">
      <c r="A20" s="6" t="s">
        <v>15</v>
      </c>
      <c r="B20" s="7" t="s">
        <v>8</v>
      </c>
      <c r="C20" s="19" t="str">
        <f>IF(ISNUMBER(IRR($C19:C19)),IF(IRR($C19:C19)&gt;0,IRR($C19:C19),""),"")</f>
        <v/>
      </c>
      <c r="D20" s="19" t="str">
        <f>IF(ISNUMBER(IRR($C19:D19)),IF(IRR($C19:D19)&gt;0,IRR($C19:D19),""),"")</f>
        <v/>
      </c>
      <c r="E20" s="19" t="str">
        <f>IF(ISNUMBER(IRR($C19:E19)),IF(IRR($C19:E19)&gt;0,IRR($C19:E19),""),"")</f>
        <v/>
      </c>
      <c r="F20" s="19">
        <f>IF(ISNUMBER(IRR($C19:F19)),IF(IRR($C19:F19)&gt;0,IRR($C19:F19),""),"")</f>
        <v>0.23743595812084983</v>
      </c>
      <c r="G20" s="19">
        <f>IF(ISNUMBER(IRR($C19:G19)),IF(IRR($C19:G19)&gt;0,IRR($C19:G19),""),"")</f>
        <v>0.4312133242672187</v>
      </c>
      <c r="H20" s="19">
        <f>IF(ISNUMBER(IRR($C19:H19)),IF(IRR($C19:H19)&gt;0,IRR($C19:H19),""),"")</f>
        <v>0.52174773300464294</v>
      </c>
      <c r="I20" s="19">
        <f>IF(ISNUMBER(IRR($C19:I19)),IF(IRR($C19:I19)&gt;0,IRR($C19:I19),""),"")</f>
        <v>0.56785909655562739</v>
      </c>
      <c r="J20" s="19">
        <f>IF(ISNUMBER(IRR($C19:J19)),IF(IRR($C19:J19)&gt;0,IRR($C19:J19),""),"")</f>
        <v>0.59275422323488747</v>
      </c>
      <c r="K20" s="19">
        <f>IF(ISNUMBER(IRR($C19:K19)),IF(IRR($C19:K19)&gt;0,IRR($C19:K19),""),"")</f>
        <v>0.60674121571268969</v>
      </c>
      <c r="L20" s="19">
        <f>IF(ISNUMBER(IRR($C19:L19)),IF(IRR($C19:L19)&gt;0,IRR($C19:L19),""),"")</f>
        <v>0.61481929116363609</v>
      </c>
      <c r="M20" s="19">
        <f>IF(ISNUMBER(IRR($C19:M19)),IF(IRR($C19:M19)&gt;0,IRR($C19:M19),""),"")</f>
        <v>0.61957519755522261</v>
      </c>
      <c r="N20" s="19">
        <f>IF(ISNUMBER(IRR($C19:N19)),IF(IRR($C19:N19)&gt;0,IRR($C19:N19),""),"")</f>
        <v>0.62241299952781226</v>
      </c>
      <c r="O20" s="19">
        <f>IF(ISNUMBER(IRR($C19:O19)),IF(IRR($C19:O19)&gt;0,IRR($C19:O19),""),"")</f>
        <v>0.62412218834436484</v>
      </c>
      <c r="P20" s="19">
        <f>IF(ISNUMBER(IRR($C19:P19)),IF(IRR($C19:P19)&gt;0,IRR($C19:P19),""),"")</f>
        <v>0.62515832350764655</v>
      </c>
      <c r="Q20" s="19">
        <f>IF(ISNUMBER(IRR($C19:Q19)),IF(IRR($C19:Q19)&gt;0,IRR($C19:Q19),""),"")</f>
        <v>0.62511461492194975</v>
      </c>
      <c r="R20" s="20"/>
      <c r="S20" s="20"/>
    </row>
    <row r="21" spans="1:19" x14ac:dyDescent="0.25">
      <c r="A21" s="8"/>
      <c r="B21" s="9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22"/>
    </row>
    <row r="22" spans="1:19" x14ac:dyDescent="0.25">
      <c r="A22" s="3" t="s">
        <v>31</v>
      </c>
      <c r="B22" s="10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</row>
    <row r="23" spans="1:19" x14ac:dyDescent="0.25">
      <c r="A23" s="6" t="s">
        <v>25</v>
      </c>
      <c r="B23" s="7" t="s">
        <v>7</v>
      </c>
      <c r="C23" s="23">
        <v>100000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14">
        <f>SUM($C23:$Q23)</f>
        <v>100000</v>
      </c>
      <c r="S23" s="14">
        <f>$C23+NPV(10%,$D23:$Q23)</f>
        <v>100000</v>
      </c>
    </row>
    <row r="24" spans="1:19" x14ac:dyDescent="0.25">
      <c r="A24" s="6"/>
      <c r="B24" s="7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22"/>
    </row>
    <row r="25" spans="1:19" x14ac:dyDescent="0.25">
      <c r="A25" s="3" t="s">
        <v>32</v>
      </c>
      <c r="B25" s="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</row>
    <row r="26" spans="1:19" x14ac:dyDescent="0.25">
      <c r="A26" s="6" t="s">
        <v>28</v>
      </c>
      <c r="B26" s="7" t="s">
        <v>23</v>
      </c>
      <c r="C26" s="12">
        <v>100</v>
      </c>
      <c r="D26" s="12">
        <v>100</v>
      </c>
      <c r="E26" s="12">
        <v>100</v>
      </c>
      <c r="F26" s="12">
        <v>100</v>
      </c>
      <c r="G26" s="12">
        <v>100</v>
      </c>
      <c r="H26" s="12">
        <v>100</v>
      </c>
      <c r="I26" s="12">
        <v>100</v>
      </c>
      <c r="J26" s="12">
        <v>100</v>
      </c>
      <c r="K26" s="12">
        <v>100</v>
      </c>
      <c r="L26" s="12">
        <v>100</v>
      </c>
      <c r="M26" s="12">
        <v>100</v>
      </c>
      <c r="N26" s="12">
        <v>100</v>
      </c>
      <c r="O26" s="12">
        <v>100</v>
      </c>
      <c r="P26" s="12">
        <v>100</v>
      </c>
      <c r="Q26" s="12">
        <v>100</v>
      </c>
      <c r="R26" s="17"/>
      <c r="S26" s="17"/>
    </row>
    <row r="27" spans="1:19" x14ac:dyDescent="0.25">
      <c r="A27" s="6" t="s">
        <v>29</v>
      </c>
      <c r="B27" s="7" t="s">
        <v>24</v>
      </c>
      <c r="C27" s="23">
        <v>100</v>
      </c>
      <c r="D27" s="23">
        <v>100</v>
      </c>
      <c r="E27" s="23">
        <v>100</v>
      </c>
      <c r="F27" s="23">
        <v>100</v>
      </c>
      <c r="G27" s="23">
        <v>100</v>
      </c>
      <c r="H27" s="23">
        <v>100</v>
      </c>
      <c r="I27" s="23">
        <v>100</v>
      </c>
      <c r="J27" s="23">
        <v>100</v>
      </c>
      <c r="K27" s="23">
        <v>100</v>
      </c>
      <c r="L27" s="23">
        <v>100</v>
      </c>
      <c r="M27" s="23">
        <v>100</v>
      </c>
      <c r="N27" s="23">
        <v>100</v>
      </c>
      <c r="O27" s="23">
        <v>100</v>
      </c>
      <c r="P27" s="23">
        <v>100</v>
      </c>
      <c r="Q27" s="23">
        <v>100</v>
      </c>
      <c r="R27" s="17"/>
      <c r="S27" s="17"/>
    </row>
    <row r="28" spans="1:19" x14ac:dyDescent="0.25">
      <c r="A28" s="6" t="s">
        <v>26</v>
      </c>
      <c r="B28" s="7" t="s">
        <v>7</v>
      </c>
      <c r="C28" s="14">
        <f>C$26*C$27</f>
        <v>10000</v>
      </c>
      <c r="D28" s="14">
        <f t="shared" ref="D28:Q28" si="4">D$26*D$27</f>
        <v>10000</v>
      </c>
      <c r="E28" s="14">
        <f>E$26*E$27</f>
        <v>10000</v>
      </c>
      <c r="F28" s="14">
        <f t="shared" si="4"/>
        <v>10000</v>
      </c>
      <c r="G28" s="14">
        <f t="shared" si="4"/>
        <v>10000</v>
      </c>
      <c r="H28" s="14">
        <f t="shared" si="4"/>
        <v>10000</v>
      </c>
      <c r="I28" s="14">
        <f t="shared" si="4"/>
        <v>10000</v>
      </c>
      <c r="J28" s="14">
        <f t="shared" si="4"/>
        <v>10000</v>
      </c>
      <c r="K28" s="14">
        <f t="shared" si="4"/>
        <v>10000</v>
      </c>
      <c r="L28" s="14">
        <f t="shared" si="4"/>
        <v>10000</v>
      </c>
      <c r="M28" s="14">
        <f t="shared" si="4"/>
        <v>10000</v>
      </c>
      <c r="N28" s="14">
        <f t="shared" si="4"/>
        <v>10000</v>
      </c>
      <c r="O28" s="14">
        <f t="shared" si="4"/>
        <v>10000</v>
      </c>
      <c r="P28" s="14">
        <f t="shared" si="4"/>
        <v>10000</v>
      </c>
      <c r="Q28" s="14">
        <f t="shared" si="4"/>
        <v>10000</v>
      </c>
      <c r="R28" s="14">
        <f>SUM($C28:$Q28)</f>
        <v>150000</v>
      </c>
      <c r="S28" s="14">
        <f>$C28+NPV(10%,$D28:$Q28)</f>
        <v>83666.874569391963</v>
      </c>
    </row>
    <row r="29" spans="1:19" x14ac:dyDescent="0.25">
      <c r="A29" s="8"/>
      <c r="B29" s="9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  <row r="30" spans="1:19" x14ac:dyDescent="0.25">
      <c r="A30" s="3" t="s">
        <v>33</v>
      </c>
      <c r="B30" s="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</row>
    <row r="31" spans="1:19" x14ac:dyDescent="0.25">
      <c r="A31" s="6" t="s">
        <v>30</v>
      </c>
      <c r="B31" s="7" t="s">
        <v>8</v>
      </c>
      <c r="C31" s="25" t="str">
        <f t="shared" ref="C31:Q31" si="5">IF(ISNUMBER(C5),IF(C$5&lt;1300,3%,IF(C$5&lt;1500,4%,5%)),"")</f>
        <v/>
      </c>
      <c r="D31" s="25" t="str">
        <f t="shared" si="5"/>
        <v/>
      </c>
      <c r="E31" s="25">
        <f t="shared" si="5"/>
        <v>0.04</v>
      </c>
      <c r="F31" s="25">
        <f t="shared" si="5"/>
        <v>0.04</v>
      </c>
      <c r="G31" s="25">
        <f t="shared" si="5"/>
        <v>0.04</v>
      </c>
      <c r="H31" s="25">
        <f t="shared" ref="H31:K31" si="6">IF(ISNUMBER(H5),IF(H$5&lt;1300,3%,IF(H$5&lt;1500,4%,5%)),"")</f>
        <v>0.04</v>
      </c>
      <c r="I31" s="25">
        <f t="shared" si="6"/>
        <v>0.04</v>
      </c>
      <c r="J31" s="25">
        <f t="shared" si="6"/>
        <v>0.04</v>
      </c>
      <c r="K31" s="25">
        <f t="shared" si="6"/>
        <v>0.04</v>
      </c>
      <c r="L31" s="25">
        <f t="shared" si="5"/>
        <v>0.04</v>
      </c>
      <c r="M31" s="25">
        <f t="shared" si="5"/>
        <v>0.04</v>
      </c>
      <c r="N31" s="25">
        <f t="shared" si="5"/>
        <v>0.04</v>
      </c>
      <c r="O31" s="25">
        <f t="shared" si="5"/>
        <v>0.04</v>
      </c>
      <c r="P31" s="25">
        <f t="shared" si="5"/>
        <v>0.04</v>
      </c>
      <c r="Q31" s="25" t="str">
        <f t="shared" si="5"/>
        <v/>
      </c>
      <c r="R31" s="17"/>
      <c r="S31" s="17"/>
    </row>
    <row r="32" spans="1:19" x14ac:dyDescent="0.25">
      <c r="A32" s="6" t="s">
        <v>27</v>
      </c>
      <c r="B32" s="7" t="s">
        <v>7</v>
      </c>
      <c r="C32" s="14">
        <f t="shared" ref="C32:Q32" si="7">IF(ISNUMBER(C31),C$6*C$31,0)</f>
        <v>0</v>
      </c>
      <c r="D32" s="14">
        <f t="shared" si="7"/>
        <v>0</v>
      </c>
      <c r="E32" s="14">
        <f t="shared" si="7"/>
        <v>13000000</v>
      </c>
      <c r="F32" s="14">
        <f t="shared" si="7"/>
        <v>13000000</v>
      </c>
      <c r="G32" s="14">
        <f t="shared" si="7"/>
        <v>13000000</v>
      </c>
      <c r="H32" s="14">
        <f t="shared" ref="H32:K32" si="8">IF(ISNUMBER(H31),H$6*H$31,0)</f>
        <v>13000000</v>
      </c>
      <c r="I32" s="14">
        <f t="shared" si="8"/>
        <v>13000000</v>
      </c>
      <c r="J32" s="14">
        <f t="shared" si="8"/>
        <v>13000000</v>
      </c>
      <c r="K32" s="14">
        <f t="shared" si="8"/>
        <v>13000000</v>
      </c>
      <c r="L32" s="14">
        <f t="shared" si="7"/>
        <v>13000000</v>
      </c>
      <c r="M32" s="14">
        <f t="shared" si="7"/>
        <v>13000000</v>
      </c>
      <c r="N32" s="14">
        <f t="shared" si="7"/>
        <v>13000000</v>
      </c>
      <c r="O32" s="14">
        <f t="shared" si="7"/>
        <v>13000000</v>
      </c>
      <c r="P32" s="14">
        <f t="shared" si="7"/>
        <v>13000000</v>
      </c>
      <c r="Q32" s="14">
        <f t="shared" si="7"/>
        <v>0</v>
      </c>
      <c r="R32" s="14">
        <f>SUM($C32:$Q32)</f>
        <v>156000000</v>
      </c>
      <c r="S32" s="14">
        <f>$C32+NPV(10%,$D32:$Q32)</f>
        <v>80525448.816048682</v>
      </c>
    </row>
    <row r="33" spans="1:19" x14ac:dyDescent="0.25">
      <c r="A33" s="8"/>
      <c r="B33" s="9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 spans="1:19" x14ac:dyDescent="0.25">
      <c r="A34" s="3" t="s">
        <v>102</v>
      </c>
      <c r="B34" s="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</row>
    <row r="35" spans="1:19" x14ac:dyDescent="0.25">
      <c r="A35" s="6" t="s">
        <v>103</v>
      </c>
      <c r="B35" s="7" t="s">
        <v>8</v>
      </c>
      <c r="C35" s="25">
        <v>0.02</v>
      </c>
      <c r="D35" s="25">
        <v>0.02</v>
      </c>
      <c r="E35" s="25">
        <v>0.02</v>
      </c>
      <c r="F35" s="25">
        <v>0.02</v>
      </c>
      <c r="G35" s="25">
        <v>0.02</v>
      </c>
      <c r="H35" s="25">
        <v>0.02</v>
      </c>
      <c r="I35" s="25">
        <v>0.02</v>
      </c>
      <c r="J35" s="25">
        <v>0.02</v>
      </c>
      <c r="K35" s="25">
        <v>0.02</v>
      </c>
      <c r="L35" s="25">
        <v>0.02</v>
      </c>
      <c r="M35" s="25">
        <v>0.02</v>
      </c>
      <c r="N35" s="25">
        <v>0.02</v>
      </c>
      <c r="O35" s="25">
        <v>0.02</v>
      </c>
      <c r="P35" s="25">
        <v>0.02</v>
      </c>
      <c r="Q35" s="25">
        <v>0.02</v>
      </c>
      <c r="R35" s="13"/>
      <c r="S35" s="13"/>
    </row>
    <row r="36" spans="1:19" x14ac:dyDescent="0.25">
      <c r="A36" s="6" t="s">
        <v>104</v>
      </c>
      <c r="B36" s="7" t="s">
        <v>7</v>
      </c>
      <c r="C36" s="13">
        <f>IF(C19&lt;0,C19*(1+C35),C19)</f>
        <v>-51000000</v>
      </c>
      <c r="D36" s="13">
        <f t="shared" ref="D36:Q36" si="9">IF(D19&lt;0,D19*(1+D35),D19)</f>
        <v>-153000000</v>
      </c>
      <c r="E36" s="13">
        <f t="shared" si="9"/>
        <v>145000000</v>
      </c>
      <c r="F36" s="13">
        <f t="shared" si="9"/>
        <v>145000000</v>
      </c>
      <c r="G36" s="13">
        <f t="shared" si="9"/>
        <v>145000000</v>
      </c>
      <c r="H36" s="13">
        <f t="shared" ref="H36:K36" si="10">IF(H19&lt;0,H19*(1+H35),H19)</f>
        <v>145000000</v>
      </c>
      <c r="I36" s="13">
        <f t="shared" si="10"/>
        <v>145000000</v>
      </c>
      <c r="J36" s="13">
        <f t="shared" si="10"/>
        <v>145000000</v>
      </c>
      <c r="K36" s="13">
        <f t="shared" si="10"/>
        <v>145000000</v>
      </c>
      <c r="L36" s="13">
        <f t="shared" si="9"/>
        <v>145000000</v>
      </c>
      <c r="M36" s="13">
        <f t="shared" si="9"/>
        <v>145000000</v>
      </c>
      <c r="N36" s="13">
        <f t="shared" si="9"/>
        <v>145000000</v>
      </c>
      <c r="O36" s="13">
        <f t="shared" si="9"/>
        <v>145000000</v>
      </c>
      <c r="P36" s="13">
        <f t="shared" si="9"/>
        <v>145000000</v>
      </c>
      <c r="Q36" s="13">
        <f t="shared" si="9"/>
        <v>-10200000</v>
      </c>
      <c r="R36" s="13">
        <f>SUM($C36:$Q36)</f>
        <v>1525800000</v>
      </c>
      <c r="S36" s="13">
        <f>$C36+NPV(10%,$D36:$Q36)</f>
        <v>705391579.6787889</v>
      </c>
    </row>
    <row r="37" spans="1:19" x14ac:dyDescent="0.25">
      <c r="A37" s="6" t="s">
        <v>105</v>
      </c>
      <c r="B37" s="7" t="s">
        <v>8</v>
      </c>
      <c r="C37" s="40" t="str">
        <f>IF(ISNUMBER(IRR($C36:C36)),IF(IRR($C36:C36)&gt;0,IRR($C36:C36),""),"")</f>
        <v/>
      </c>
      <c r="D37" s="40" t="str">
        <f>IF(ISNUMBER(IRR($C36:D36)),IF(IRR($C36:D36)&gt;0,IRR($C36:D36),""),"")</f>
        <v/>
      </c>
      <c r="E37" s="40" t="str">
        <f>IF(ISNUMBER(IRR($C36:E36)),IF(IRR($C36:E36)&gt;0,IRR($C36:E36),""),"")</f>
        <v/>
      </c>
      <c r="F37" s="40">
        <f>IF(ISNUMBER(IRR($C36:F36)),IF(IRR($C36:F36)&gt;0,IRR($C36:F36),""),"")</f>
        <v>0.22342633235459886</v>
      </c>
      <c r="G37" s="40">
        <f>IF(ISNUMBER(IRR($C36:G36)),IF(IRR($C36:G36)&gt;0,IRR($C36:G36),""),"")</f>
        <v>0.41772237809300017</v>
      </c>
      <c r="H37" s="40">
        <f>IF(ISNUMBER(IRR($C36:H36)),IF(IRR($C36:H36)&gt;0,IRR($C36:H36),""),"")</f>
        <v>0.50892360100087197</v>
      </c>
      <c r="I37" s="40">
        <f>IF(ISNUMBER(IRR($C36:I36)),IF(IRR($C36:I36)&gt;0,IRR($C36:I36),""),"")</f>
        <v>0.55558431271047115</v>
      </c>
      <c r="J37" s="40">
        <f>IF(ISNUMBER(IRR($C36:J36)),IF(IRR($C36:J36)&gt;0,IRR($C36:J36),""),"")</f>
        <v>0.58089254297937165</v>
      </c>
      <c r="K37" s="40">
        <f>IF(ISNUMBER(IRR($C36:K36)),IF(IRR($C36:K36)&gt;0,IRR($C36:K36),""),"")</f>
        <v>0.59518047980290656</v>
      </c>
      <c r="L37" s="40">
        <f>IF(ISNUMBER(IRR($C36:L36)),IF(IRR($C36:L36)&gt;0,IRR($C36:L36),""),"")</f>
        <v>0.60347443537632639</v>
      </c>
      <c r="M37" s="40">
        <f>IF(ISNUMBER(IRR($C36:M36)),IF(IRR($C36:M36)&gt;0,IRR($C36:M36),""),"")</f>
        <v>0.60838361425527521</v>
      </c>
      <c r="N37" s="40">
        <f>IF(ISNUMBER(IRR($C36:N36)),IF(IRR($C36:N36)&gt;0,IRR($C36:N36),""),"")</f>
        <v>0.61132929931341029</v>
      </c>
      <c r="O37" s="40">
        <f>IF(ISNUMBER(IRR($C36:O36)),IF(IRR($C36:O36)&gt;0,IRR($C36:O36),""),"")</f>
        <v>0.61311380878067623</v>
      </c>
      <c r="P37" s="40">
        <f>IF(ISNUMBER(IRR($C36:P36)),IF(IRR($C36:P36)&gt;0,IRR($C36:P36),""),"")</f>
        <v>0.61420211850221129</v>
      </c>
      <c r="Q37" s="40">
        <f>IF(ISNUMBER(IRR($C36:Q36)),IF(IRR($C36:Q36)&gt;0,IRR($C36:Q36),""),"")</f>
        <v>0.61415498799529655</v>
      </c>
      <c r="R37" s="13"/>
      <c r="S37" s="13"/>
    </row>
    <row r="38" spans="1:19" x14ac:dyDescent="0.25">
      <c r="A38" s="6" t="s">
        <v>106</v>
      </c>
      <c r="B38" s="7" t="s">
        <v>8</v>
      </c>
      <c r="C38" s="25">
        <v>0.15</v>
      </c>
      <c r="D38" s="25">
        <v>0.15</v>
      </c>
      <c r="E38" s="25">
        <v>0.15</v>
      </c>
      <c r="F38" s="25">
        <v>0.15</v>
      </c>
      <c r="G38" s="25">
        <v>0.15</v>
      </c>
      <c r="H38" s="25">
        <v>0.15</v>
      </c>
      <c r="I38" s="25">
        <v>0.15</v>
      </c>
      <c r="J38" s="25">
        <v>0.15</v>
      </c>
      <c r="K38" s="25">
        <v>0.15</v>
      </c>
      <c r="L38" s="25">
        <v>0.15</v>
      </c>
      <c r="M38" s="25">
        <v>0.15</v>
      </c>
      <c r="N38" s="25">
        <v>0.15</v>
      </c>
      <c r="O38" s="25">
        <v>0.15</v>
      </c>
      <c r="P38" s="25">
        <v>0.15</v>
      </c>
      <c r="Q38" s="25">
        <v>0.15</v>
      </c>
      <c r="R38" s="13"/>
      <c r="S38" s="13"/>
    </row>
    <row r="39" spans="1:19" x14ac:dyDescent="0.25">
      <c r="A39" s="6" t="s">
        <v>107</v>
      </c>
      <c r="B39" s="7"/>
      <c r="C39" s="13"/>
      <c r="D39" s="13">
        <f>IF(C40&lt;0,C40,0)</f>
        <v>-51000000</v>
      </c>
      <c r="E39" s="13">
        <f t="shared" ref="E39:Q39" si="11">IF(D40&lt;0,D40,0)</f>
        <v>-204000000</v>
      </c>
      <c r="F39" s="13">
        <f t="shared" si="11"/>
        <v>-59000000</v>
      </c>
      <c r="G39" s="13">
        <f t="shared" si="11"/>
        <v>0</v>
      </c>
      <c r="H39" s="13">
        <f>IF(C40&lt;0,C40,0)</f>
        <v>-51000000</v>
      </c>
      <c r="I39" s="13">
        <f t="shared" ref="I39" si="12">IF(H40&lt;0,H40,0)</f>
        <v>0</v>
      </c>
      <c r="J39" s="13">
        <f>IF(I40&lt;0,I40,0)</f>
        <v>0</v>
      </c>
      <c r="K39" s="13">
        <f>IF(J40&lt;0,J40,0)</f>
        <v>0</v>
      </c>
      <c r="L39" s="13">
        <f>IF(G40&lt;0,G40,0)</f>
        <v>0</v>
      </c>
      <c r="M39" s="13">
        <f t="shared" si="11"/>
        <v>0</v>
      </c>
      <c r="N39" s="13">
        <f>IF(M40&lt;0,M40,0)</f>
        <v>0</v>
      </c>
      <c r="O39" s="13">
        <f>IF(N40&lt;0,N40,0)</f>
        <v>0</v>
      </c>
      <c r="P39" s="13">
        <f t="shared" si="11"/>
        <v>0</v>
      </c>
      <c r="Q39" s="13">
        <f t="shared" si="11"/>
        <v>0</v>
      </c>
      <c r="R39" s="13"/>
      <c r="S39" s="13"/>
    </row>
    <row r="40" spans="1:19" x14ac:dyDescent="0.25">
      <c r="A40" s="6" t="s">
        <v>108</v>
      </c>
      <c r="B40" s="7" t="s">
        <v>7</v>
      </c>
      <c r="C40" s="13">
        <f>C36+C39</f>
        <v>-51000000</v>
      </c>
      <c r="D40" s="13">
        <f>D36+D39</f>
        <v>-204000000</v>
      </c>
      <c r="E40" s="13">
        <f t="shared" ref="E40:Q40" si="13">E36+E39</f>
        <v>-59000000</v>
      </c>
      <c r="F40" s="13">
        <f t="shared" si="13"/>
        <v>86000000</v>
      </c>
      <c r="G40" s="13">
        <f t="shared" si="13"/>
        <v>145000000</v>
      </c>
      <c r="H40" s="13">
        <f t="shared" ref="H40:K40" si="14">H36+H39</f>
        <v>94000000</v>
      </c>
      <c r="I40" s="13">
        <f t="shared" si="14"/>
        <v>145000000</v>
      </c>
      <c r="J40" s="13">
        <f t="shared" si="14"/>
        <v>145000000</v>
      </c>
      <c r="K40" s="13">
        <f t="shared" si="14"/>
        <v>145000000</v>
      </c>
      <c r="L40" s="13">
        <f t="shared" si="13"/>
        <v>145000000</v>
      </c>
      <c r="M40" s="13">
        <f t="shared" si="13"/>
        <v>145000000</v>
      </c>
      <c r="N40" s="13">
        <f t="shared" si="13"/>
        <v>145000000</v>
      </c>
      <c r="O40" s="13">
        <f t="shared" si="13"/>
        <v>145000000</v>
      </c>
      <c r="P40" s="13">
        <f t="shared" si="13"/>
        <v>145000000</v>
      </c>
      <c r="Q40" s="13">
        <f t="shared" si="13"/>
        <v>-10200000</v>
      </c>
      <c r="R40" s="13">
        <f>SUM($C40:$Q40)</f>
        <v>1160800000</v>
      </c>
      <c r="S40" s="13">
        <f>$C40+NPV(10%,$D40:$Q40)</f>
        <v>414438341.2636286</v>
      </c>
    </row>
    <row r="41" spans="1:19" x14ac:dyDescent="0.25">
      <c r="A41" s="6" t="s">
        <v>109</v>
      </c>
      <c r="B41" s="7" t="s">
        <v>8</v>
      </c>
      <c r="C41" s="25">
        <v>0.2</v>
      </c>
      <c r="D41" s="25">
        <v>0.2</v>
      </c>
      <c r="E41" s="25">
        <v>0.2</v>
      </c>
      <c r="F41" s="25">
        <v>0.2</v>
      </c>
      <c r="G41" s="25">
        <v>0.2</v>
      </c>
      <c r="H41" s="25">
        <v>0.2</v>
      </c>
      <c r="I41" s="25">
        <v>0.2</v>
      </c>
      <c r="J41" s="25">
        <v>0.2</v>
      </c>
      <c r="K41" s="25">
        <v>0.2</v>
      </c>
      <c r="L41" s="25">
        <v>0.2</v>
      </c>
      <c r="M41" s="25">
        <v>0.2</v>
      </c>
      <c r="N41" s="25">
        <v>0.2</v>
      </c>
      <c r="O41" s="25">
        <v>0.2</v>
      </c>
      <c r="P41" s="25">
        <v>0.2</v>
      </c>
      <c r="Q41" s="25">
        <v>0.2</v>
      </c>
      <c r="R41" s="13"/>
      <c r="S41" s="13"/>
    </row>
    <row r="42" spans="1:19" x14ac:dyDescent="0.25">
      <c r="A42" s="6" t="s">
        <v>110</v>
      </c>
      <c r="B42" s="7" t="s">
        <v>7</v>
      </c>
      <c r="C42" s="14">
        <f>IF(C37&lt;C38,0,IF(C40&lt;0,0,C40*C41))</f>
        <v>0</v>
      </c>
      <c r="D42" s="14">
        <f t="shared" ref="D42:Q42" si="15">IF(D37&lt;D38,0,IF(D40&lt;0,0,D40*D41))</f>
        <v>0</v>
      </c>
      <c r="E42" s="14">
        <f t="shared" si="15"/>
        <v>0</v>
      </c>
      <c r="F42" s="14">
        <f>IF(F37&lt;F38,0,IF(F40&lt;0,0,F40*F41))</f>
        <v>17200000</v>
      </c>
      <c r="G42" s="14">
        <f t="shared" si="15"/>
        <v>29000000</v>
      </c>
      <c r="H42" s="14">
        <f t="shared" ref="H42:K42" si="16">IF(H37&lt;H38,0,IF(H40&lt;0,0,H40*H41))</f>
        <v>18800000</v>
      </c>
      <c r="I42" s="14">
        <f t="shared" si="16"/>
        <v>29000000</v>
      </c>
      <c r="J42" s="14">
        <f t="shared" si="16"/>
        <v>29000000</v>
      </c>
      <c r="K42" s="14">
        <f t="shared" si="16"/>
        <v>29000000</v>
      </c>
      <c r="L42" s="14">
        <f t="shared" si="15"/>
        <v>29000000</v>
      </c>
      <c r="M42" s="14">
        <f t="shared" si="15"/>
        <v>29000000</v>
      </c>
      <c r="N42" s="14">
        <f t="shared" si="15"/>
        <v>29000000</v>
      </c>
      <c r="O42" s="14">
        <f t="shared" si="15"/>
        <v>29000000</v>
      </c>
      <c r="P42" s="14">
        <f t="shared" si="15"/>
        <v>29000000</v>
      </c>
      <c r="Q42" s="14">
        <f t="shared" si="15"/>
        <v>0</v>
      </c>
      <c r="R42" s="14">
        <f>SUM($C42:$Q42)</f>
        <v>297000000</v>
      </c>
      <c r="S42" s="14">
        <f>$C42+NPV(10%,$D42:$Q42)</f>
        <v>140467839.21812171</v>
      </c>
    </row>
    <row r="43" spans="1:19" x14ac:dyDescent="0.25">
      <c r="A43" s="8"/>
      <c r="B43" s="9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1:19" x14ac:dyDescent="0.25">
      <c r="A44" s="3" t="s">
        <v>111</v>
      </c>
      <c r="B44" s="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</row>
    <row r="45" spans="1:19" x14ac:dyDescent="0.25">
      <c r="A45" s="6" t="s">
        <v>71</v>
      </c>
      <c r="B45" s="7" t="s">
        <v>7</v>
      </c>
      <c r="C45" s="13">
        <f>C$6-C$16-C$23-C$28-C$32-C$42-'Amortissements et Emprunt'!C$25-'Amortissements et Emprunt'!C$119-'Amortissements et Emprunt'!C133-'Amortissements et Emprunt'!C$157</f>
        <v>-7610000</v>
      </c>
      <c r="D45" s="13">
        <f>D$6-D$16-D$23-D$28-D$32-D$42-'Amortissements et Emprunt'!D$25-'Amortissements et Emprunt'!D$119-'Amortissements et Emprunt'!D133-'Amortissements et Emprunt'!D$157</f>
        <v>-44510000</v>
      </c>
      <c r="E45" s="13">
        <f>E$6-E$16-E$23-E$28-E$32-E$42-'Amortissements et Emprunt'!E$25-'Amortissements et Emprunt'!E$119-'Amortissements et Emprunt'!E133-'Amortissements et Emprunt'!E$157</f>
        <v>100490000</v>
      </c>
      <c r="F45" s="13">
        <f>F$6-F$16-F$23-F$28-F$32-F$42-'Amortissements et Emprunt'!F$25-'Amortissements et Emprunt'!F$119-'Amortissements et Emprunt'!F133-'Amortissements et Emprunt'!F$157</f>
        <v>88890000</v>
      </c>
      <c r="G45" s="13">
        <f>G$6-G$16-G$23-G$28-G$32-G$42-'Amortissements et Emprunt'!G$25-'Amortissements et Emprunt'!G$119-'Amortissements et Emprunt'!G133-'Amortissements et Emprunt'!G$157</f>
        <v>80170000</v>
      </c>
      <c r="H45" s="13">
        <f>H$6-H$16-H$23-H$28-H$32-H$42-'Amortissements et Emprunt'!D$25-'Amortissements et Emprunt'!D$119-'Amortissements et Emprunt'!D133-'Amortissements et Emprunt'!D$157</f>
        <v>73690000</v>
      </c>
      <c r="I45" s="13">
        <f>I$6-I$16-I$23-I$28-I$32-I$42-'Amortissements et Emprunt'!E$25-'Amortissements et Emprunt'!E$119-'Amortissements et Emprunt'!E133-'Amortissements et Emprunt'!E$157</f>
        <v>71490000</v>
      </c>
      <c r="J45" s="13">
        <f>J$6-J$16-J$23-J$28-J$32-J$42-'Amortissements et Emprunt'!F$25-'Amortissements et Emprunt'!F$119-'Amortissements et Emprunt'!F133-'Amortissements et Emprunt'!F$157</f>
        <v>77090000</v>
      </c>
      <c r="K45" s="13">
        <f>K$6-K$16-K$23-K$28-K$32-K$42-'Amortissements et Emprunt'!G$25-'Amortissements et Emprunt'!G$119-'Amortissements et Emprunt'!G133-'Amortissements et Emprunt'!G$157</f>
        <v>80170000</v>
      </c>
      <c r="L45" s="13">
        <f>L$6-L$16-L$23-L$28-L$32-L$42-'Amortissements et Emprunt'!H$25-'Amortissements et Emprunt'!H$119-'Amortissements et Emprunt'!H133-'Amortissements et Emprunt'!H$157</f>
        <v>81630000</v>
      </c>
      <c r="M45" s="13">
        <f>M$6-M$16-M$23-M$28-M$32-M$42-'Amortissements et Emprunt'!I$25-'Amortissements et Emprunt'!I$119-'Amortissements et Emprunt'!I133-'Amortissements et Emprunt'!I$157</f>
        <v>87990000</v>
      </c>
      <c r="N45" s="13">
        <f>N$6-N$16-N$23-N$28-N$32-N$42-'Amortissements et Emprunt'!J$25-'Amortissements et Emprunt'!J$119-'Amortissements et Emprunt'!J133-'Amortissements et Emprunt'!J$157</f>
        <v>87990000</v>
      </c>
      <c r="O45" s="13">
        <f>O$6-O$16-O$23-O$28-O$32-O$42-'Amortissements et Emprunt'!K$25-'Amortissements et Emprunt'!K$119-'Amortissements et Emprunt'!K133-'Amortissements et Emprunt'!K$157</f>
        <v>87990000</v>
      </c>
      <c r="P45" s="13">
        <f>P$6-P$16-P$23-P$28-P$32-P$42-'Amortissements et Emprunt'!L$25-'Amortissements et Emprunt'!L$119-'Amortissements et Emprunt'!L133-'Amortissements et Emprunt'!L$157</f>
        <v>87010000</v>
      </c>
      <c r="Q45" s="13">
        <f>Q$6-Q$16-Q$23-Q$28-Q$32-Q$42-'Amortissements et Emprunt'!M$25-'Amortissements et Emprunt'!M$119-'Amortissements et Emprunt'!M133-'Amortissements et Emprunt'!M$157</f>
        <v>-25450000</v>
      </c>
      <c r="R45" s="13">
        <f>SUM($C45:$Q45)</f>
        <v>927030000</v>
      </c>
      <c r="S45" s="13">
        <f>$C45+NPV(10%,$D45:$Q45)</f>
        <v>465507945.09272695</v>
      </c>
    </row>
    <row r="46" spans="1:19" x14ac:dyDescent="0.25">
      <c r="A46" s="6" t="s">
        <v>55</v>
      </c>
      <c r="B46" s="7" t="s">
        <v>7</v>
      </c>
      <c r="C46" s="13"/>
      <c r="D46" s="13">
        <f>IF(C47&lt;0,C47,0)</f>
        <v>-7610000</v>
      </c>
      <c r="E46" s="13">
        <f>IF(D47&lt;0,D47,0)</f>
        <v>-52120000</v>
      </c>
      <c r="F46" s="13">
        <f t="shared" ref="F46:Q46" si="17">IF(E47&lt;0,E47,0)</f>
        <v>0</v>
      </c>
      <c r="G46" s="13">
        <f t="shared" si="17"/>
        <v>0</v>
      </c>
      <c r="H46" s="13">
        <f>IF(C47&lt;0,C47,0)</f>
        <v>-7610000</v>
      </c>
      <c r="I46" s="13">
        <f t="shared" ref="I46" si="18">IF(H47&lt;0,H47,0)</f>
        <v>0</v>
      </c>
      <c r="J46" s="13">
        <f>IF(I47&lt;0,I47,0)</f>
        <v>0</v>
      </c>
      <c r="K46" s="13">
        <f>IF(J47&lt;0,J47,0)</f>
        <v>0</v>
      </c>
      <c r="L46" s="13">
        <f>IF(G47&lt;0,G47,0)</f>
        <v>0</v>
      </c>
      <c r="M46" s="13">
        <f t="shared" si="17"/>
        <v>0</v>
      </c>
      <c r="N46" s="13">
        <f>IF(M47&lt;0,M47,0)</f>
        <v>0</v>
      </c>
      <c r="O46" s="13">
        <f>IF(N47&lt;0,N47,0)</f>
        <v>0</v>
      </c>
      <c r="P46" s="13">
        <f t="shared" si="17"/>
        <v>0</v>
      </c>
      <c r="Q46" s="13">
        <f t="shared" si="17"/>
        <v>0</v>
      </c>
      <c r="R46" s="17"/>
      <c r="S46" s="17"/>
    </row>
    <row r="47" spans="1:19" x14ac:dyDescent="0.25">
      <c r="A47" s="6" t="s">
        <v>56</v>
      </c>
      <c r="B47" s="7" t="s">
        <v>7</v>
      </c>
      <c r="C47" s="13">
        <f t="shared" ref="C47:Q47" si="19">C$45+C$46</f>
        <v>-7610000</v>
      </c>
      <c r="D47" s="13">
        <f t="shared" si="19"/>
        <v>-52120000</v>
      </c>
      <c r="E47" s="13">
        <f t="shared" si="19"/>
        <v>48370000</v>
      </c>
      <c r="F47" s="13">
        <f t="shared" si="19"/>
        <v>88890000</v>
      </c>
      <c r="G47" s="13">
        <f t="shared" si="19"/>
        <v>80170000</v>
      </c>
      <c r="H47" s="13">
        <f t="shared" si="19"/>
        <v>66080000</v>
      </c>
      <c r="I47" s="13">
        <f t="shared" si="19"/>
        <v>71490000</v>
      </c>
      <c r="J47" s="13">
        <f t="shared" si="19"/>
        <v>77090000</v>
      </c>
      <c r="K47" s="13">
        <f t="shared" si="19"/>
        <v>80170000</v>
      </c>
      <c r="L47" s="13">
        <f t="shared" si="19"/>
        <v>81630000</v>
      </c>
      <c r="M47" s="13">
        <f t="shared" si="19"/>
        <v>87990000</v>
      </c>
      <c r="N47" s="13">
        <f t="shared" si="19"/>
        <v>87990000</v>
      </c>
      <c r="O47" s="13">
        <f t="shared" si="19"/>
        <v>87990000</v>
      </c>
      <c r="P47" s="13">
        <f t="shared" si="19"/>
        <v>87010000</v>
      </c>
      <c r="Q47" s="13">
        <f t="shared" si="19"/>
        <v>-25450000</v>
      </c>
      <c r="R47" s="13">
        <f>SUM($C47:$Q47)</f>
        <v>859690000</v>
      </c>
      <c r="S47" s="13">
        <f>$C47+NPV(10%,$D47:$Q47)</f>
        <v>410790171.84077573</v>
      </c>
    </row>
    <row r="48" spans="1:19" x14ac:dyDescent="0.25">
      <c r="A48" s="6" t="s">
        <v>58</v>
      </c>
      <c r="B48" s="7" t="s">
        <v>8</v>
      </c>
      <c r="C48" s="25">
        <v>0.3</v>
      </c>
      <c r="D48" s="25">
        <v>0.3</v>
      </c>
      <c r="E48" s="25">
        <v>0.3</v>
      </c>
      <c r="F48" s="25">
        <v>0.3</v>
      </c>
      <c r="G48" s="25">
        <v>0.3</v>
      </c>
      <c r="H48" s="25">
        <v>0.3</v>
      </c>
      <c r="I48" s="25">
        <v>0.3</v>
      </c>
      <c r="J48" s="25">
        <v>0.3</v>
      </c>
      <c r="K48" s="25">
        <v>0.3</v>
      </c>
      <c r="L48" s="25">
        <v>0.3</v>
      </c>
      <c r="M48" s="25">
        <v>0.3</v>
      </c>
      <c r="N48" s="25">
        <v>0.3</v>
      </c>
      <c r="O48" s="25">
        <v>0.3</v>
      </c>
      <c r="P48" s="25">
        <v>0.3</v>
      </c>
      <c r="Q48" s="25">
        <v>0.3</v>
      </c>
      <c r="R48" s="17"/>
      <c r="S48" s="17"/>
    </row>
    <row r="49" spans="1:21" x14ac:dyDescent="0.25">
      <c r="A49" s="6" t="s">
        <v>57</v>
      </c>
      <c r="B49" s="7" t="s">
        <v>7</v>
      </c>
      <c r="C49" s="14">
        <f>IF(C$47&gt;0,C$47*C$48,0)</f>
        <v>0</v>
      </c>
      <c r="D49" s="14">
        <f t="shared" ref="D49:Q49" si="20">IF(D$47&gt;0,D$47*D$48,0)</f>
        <v>0</v>
      </c>
      <c r="E49" s="14">
        <f t="shared" si="20"/>
        <v>14511000</v>
      </c>
      <c r="F49" s="14">
        <f t="shared" si="20"/>
        <v>26667000</v>
      </c>
      <c r="G49" s="14">
        <f t="shared" si="20"/>
        <v>24051000</v>
      </c>
      <c r="H49" s="14">
        <f t="shared" si="20"/>
        <v>19824000</v>
      </c>
      <c r="I49" s="14">
        <f t="shared" si="20"/>
        <v>21447000</v>
      </c>
      <c r="J49" s="14">
        <f t="shared" si="20"/>
        <v>23127000</v>
      </c>
      <c r="K49" s="14">
        <f t="shared" si="20"/>
        <v>24051000</v>
      </c>
      <c r="L49" s="14">
        <f t="shared" si="20"/>
        <v>24489000</v>
      </c>
      <c r="M49" s="14">
        <f t="shared" si="20"/>
        <v>26397000</v>
      </c>
      <c r="N49" s="14">
        <f t="shared" si="20"/>
        <v>26397000</v>
      </c>
      <c r="O49" s="14">
        <f t="shared" si="20"/>
        <v>26397000</v>
      </c>
      <c r="P49" s="14">
        <f t="shared" si="20"/>
        <v>26103000</v>
      </c>
      <c r="Q49" s="14">
        <f t="shared" si="20"/>
        <v>0</v>
      </c>
      <c r="R49" s="14">
        <f>SUM($C49:$Q49)</f>
        <v>283461000</v>
      </c>
      <c r="S49" s="14">
        <f>$C49+NPV(10%,$D49:$Q49)</f>
        <v>141745131.13340509</v>
      </c>
    </row>
    <row r="50" spans="1:21" x14ac:dyDescent="0.25">
      <c r="A50" s="8"/>
      <c r="B50" s="9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</row>
    <row r="51" spans="1:21" x14ac:dyDescent="0.25">
      <c r="A51" s="3" t="s">
        <v>112</v>
      </c>
      <c r="B51" s="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</row>
    <row r="52" spans="1:21" x14ac:dyDescent="0.25">
      <c r="A52" s="6" t="s">
        <v>90</v>
      </c>
      <c r="B52" s="7" t="s">
        <v>7</v>
      </c>
      <c r="C52" s="23">
        <v>2000</v>
      </c>
      <c r="D52" s="23">
        <v>2000</v>
      </c>
      <c r="E52" s="23">
        <v>2000</v>
      </c>
      <c r="F52" s="23">
        <v>2000</v>
      </c>
      <c r="G52" s="23">
        <v>2000</v>
      </c>
      <c r="H52" s="23">
        <v>2000</v>
      </c>
      <c r="I52" s="23">
        <v>2000</v>
      </c>
      <c r="J52" s="23">
        <v>2000</v>
      </c>
      <c r="K52" s="23">
        <v>2000</v>
      </c>
      <c r="L52" s="23">
        <v>2000</v>
      </c>
      <c r="M52" s="23">
        <v>2000</v>
      </c>
      <c r="N52" s="23">
        <v>2000</v>
      </c>
      <c r="O52" s="23">
        <v>2000</v>
      </c>
      <c r="P52" s="23">
        <v>2000</v>
      </c>
      <c r="Q52" s="23">
        <v>2000</v>
      </c>
      <c r="R52" s="17"/>
      <c r="S52" s="17"/>
    </row>
    <row r="53" spans="1:21" x14ac:dyDescent="0.25">
      <c r="A53" s="6" t="s">
        <v>59</v>
      </c>
      <c r="B53" s="7" t="s">
        <v>8</v>
      </c>
      <c r="C53" s="25">
        <v>0.01</v>
      </c>
      <c r="D53" s="25">
        <v>0.01</v>
      </c>
      <c r="E53" s="25">
        <v>0.01</v>
      </c>
      <c r="F53" s="25">
        <v>0.01</v>
      </c>
      <c r="G53" s="25">
        <v>0.01</v>
      </c>
      <c r="H53" s="25">
        <v>0.01</v>
      </c>
      <c r="I53" s="25">
        <v>0.01</v>
      </c>
      <c r="J53" s="25">
        <v>0.01</v>
      </c>
      <c r="K53" s="25">
        <v>0.01</v>
      </c>
      <c r="L53" s="25">
        <v>0.01</v>
      </c>
      <c r="M53" s="25">
        <v>0.01</v>
      </c>
      <c r="N53" s="25">
        <v>0.01</v>
      </c>
      <c r="O53" s="25">
        <v>0.01</v>
      </c>
      <c r="P53" s="25">
        <v>0.01</v>
      </c>
      <c r="Q53" s="25">
        <v>0.01</v>
      </c>
      <c r="R53" s="17"/>
      <c r="S53" s="17"/>
    </row>
    <row r="54" spans="1:21" x14ac:dyDescent="0.25">
      <c r="A54" s="6" t="s">
        <v>60</v>
      </c>
      <c r="B54" s="7" t="s">
        <v>7</v>
      </c>
      <c r="C54" s="14">
        <f t="shared" ref="C54:Q54" si="21">IF(C$6*C$53&gt;C$52,C$6*C$53,C$52)</f>
        <v>2000</v>
      </c>
      <c r="D54" s="14">
        <f t="shared" si="21"/>
        <v>2000</v>
      </c>
      <c r="E54" s="14">
        <f t="shared" si="21"/>
        <v>3250000</v>
      </c>
      <c r="F54" s="14">
        <f t="shared" si="21"/>
        <v>3250000</v>
      </c>
      <c r="G54" s="14">
        <f t="shared" si="21"/>
        <v>3250000</v>
      </c>
      <c r="H54" s="14">
        <f t="shared" si="21"/>
        <v>3250000</v>
      </c>
      <c r="I54" s="14">
        <f t="shared" si="21"/>
        <v>3250000</v>
      </c>
      <c r="J54" s="14">
        <f t="shared" si="21"/>
        <v>3250000</v>
      </c>
      <c r="K54" s="14">
        <f t="shared" si="21"/>
        <v>3250000</v>
      </c>
      <c r="L54" s="14">
        <f t="shared" si="21"/>
        <v>3250000</v>
      </c>
      <c r="M54" s="14">
        <f t="shared" si="21"/>
        <v>3250000</v>
      </c>
      <c r="N54" s="14">
        <f t="shared" si="21"/>
        <v>3250000</v>
      </c>
      <c r="O54" s="14">
        <f t="shared" si="21"/>
        <v>3250000</v>
      </c>
      <c r="P54" s="14">
        <f t="shared" si="21"/>
        <v>3250000</v>
      </c>
      <c r="Q54" s="14">
        <f t="shared" si="21"/>
        <v>2000</v>
      </c>
      <c r="R54" s="14">
        <f>SUM($C54:$Q54)</f>
        <v>39006000</v>
      </c>
      <c r="S54" s="14">
        <f>$C54+NPV(10%,$D54:$Q54)</f>
        <v>20135707.048338965</v>
      </c>
    </row>
    <row r="55" spans="1:21" x14ac:dyDescent="0.25">
      <c r="A55" s="8"/>
      <c r="B55" s="9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</row>
    <row r="56" spans="1:21" x14ac:dyDescent="0.25">
      <c r="A56" s="3" t="s">
        <v>113</v>
      </c>
      <c r="B56" s="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</row>
    <row r="57" spans="1:21" x14ac:dyDescent="0.25">
      <c r="A57" s="6" t="s">
        <v>61</v>
      </c>
      <c r="B57" s="7" t="s">
        <v>7</v>
      </c>
      <c r="C57" s="14">
        <f t="shared" ref="C57:Q57" si="22">IF(C$54&gt;C$49,C$54,C$49)</f>
        <v>2000</v>
      </c>
      <c r="D57" s="14">
        <f t="shared" si="22"/>
        <v>2000</v>
      </c>
      <c r="E57" s="14">
        <f t="shared" si="22"/>
        <v>14511000</v>
      </c>
      <c r="F57" s="14">
        <f t="shared" si="22"/>
        <v>26667000</v>
      </c>
      <c r="G57" s="14">
        <f t="shared" si="22"/>
        <v>24051000</v>
      </c>
      <c r="H57" s="14">
        <f t="shared" si="22"/>
        <v>19824000</v>
      </c>
      <c r="I57" s="14">
        <f t="shared" si="22"/>
        <v>21447000</v>
      </c>
      <c r="J57" s="14">
        <f t="shared" si="22"/>
        <v>23127000</v>
      </c>
      <c r="K57" s="14">
        <f t="shared" si="22"/>
        <v>24051000</v>
      </c>
      <c r="L57" s="14">
        <f t="shared" si="22"/>
        <v>24489000</v>
      </c>
      <c r="M57" s="14">
        <f t="shared" si="22"/>
        <v>26397000</v>
      </c>
      <c r="N57" s="14">
        <f t="shared" si="22"/>
        <v>26397000</v>
      </c>
      <c r="O57" s="14">
        <f t="shared" si="22"/>
        <v>26397000</v>
      </c>
      <c r="P57" s="14">
        <f t="shared" si="22"/>
        <v>26103000</v>
      </c>
      <c r="Q57" s="14">
        <f t="shared" si="22"/>
        <v>2000</v>
      </c>
      <c r="R57" s="14">
        <f>SUM($C57:$Q57)</f>
        <v>283467000</v>
      </c>
      <c r="S57" s="14">
        <f>$C57+NPV(10%,$D57:$Q57)</f>
        <v>141749475.97773188</v>
      </c>
    </row>
    <row r="58" spans="1:21" x14ac:dyDescent="0.25">
      <c r="A58" s="11"/>
      <c r="B58" s="11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</row>
    <row r="59" spans="1:21" x14ac:dyDescent="0.25">
      <c r="A59" s="3" t="s">
        <v>120</v>
      </c>
      <c r="B59" s="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</row>
    <row r="60" spans="1:21" x14ac:dyDescent="0.25">
      <c r="A60" s="6" t="s">
        <v>117</v>
      </c>
      <c r="B60" s="7" t="s">
        <v>7</v>
      </c>
      <c r="C60" s="13">
        <f>IF(C$47-C$57&gt;0,C$47-C$57,0)</f>
        <v>0</v>
      </c>
      <c r="D60" s="13">
        <f t="shared" ref="D60:Q60" si="23">IF(D$47-D$57&gt;0,D$47-D$57,0)</f>
        <v>0</v>
      </c>
      <c r="E60" s="13">
        <f>IF(E$47-E$57&gt;0,E$47-E$57,0)</f>
        <v>33859000</v>
      </c>
      <c r="F60" s="13">
        <f t="shared" si="23"/>
        <v>62223000</v>
      </c>
      <c r="G60" s="13">
        <f t="shared" si="23"/>
        <v>56119000</v>
      </c>
      <c r="H60" s="13">
        <f t="shared" si="23"/>
        <v>46256000</v>
      </c>
      <c r="I60" s="13">
        <f t="shared" si="23"/>
        <v>50043000</v>
      </c>
      <c r="J60" s="13">
        <f t="shared" si="23"/>
        <v>53963000</v>
      </c>
      <c r="K60" s="13">
        <f t="shared" si="23"/>
        <v>56119000</v>
      </c>
      <c r="L60" s="13">
        <f t="shared" si="23"/>
        <v>57141000</v>
      </c>
      <c r="M60" s="13">
        <f t="shared" si="23"/>
        <v>61593000</v>
      </c>
      <c r="N60" s="13">
        <f t="shared" si="23"/>
        <v>61593000</v>
      </c>
      <c r="O60" s="13">
        <f t="shared" si="23"/>
        <v>61593000</v>
      </c>
      <c r="P60" s="13">
        <f t="shared" si="23"/>
        <v>60907000</v>
      </c>
      <c r="Q60" s="13">
        <f t="shared" si="23"/>
        <v>0</v>
      </c>
      <c r="R60" s="13">
        <f>SUM($C60:$Q60)</f>
        <v>661409000</v>
      </c>
      <c r="S60" s="13">
        <f>$C60+NPV(10%,$D60:$Q60)</f>
        <v>330738639.31127852</v>
      </c>
    </row>
    <row r="61" spans="1:21" x14ac:dyDescent="0.25">
      <c r="A61" s="6" t="s">
        <v>118</v>
      </c>
      <c r="B61" s="7" t="s">
        <v>8</v>
      </c>
      <c r="C61" s="25">
        <v>0.1</v>
      </c>
      <c r="D61" s="25">
        <v>0.1</v>
      </c>
      <c r="E61" s="25">
        <v>0.1</v>
      </c>
      <c r="F61" s="25">
        <v>0.1</v>
      </c>
      <c r="G61" s="25">
        <v>0.1</v>
      </c>
      <c r="H61" s="25">
        <v>0.1</v>
      </c>
      <c r="I61" s="25">
        <v>0.1</v>
      </c>
      <c r="J61" s="25">
        <v>0.1</v>
      </c>
      <c r="K61" s="25">
        <v>0.1</v>
      </c>
      <c r="L61" s="25">
        <v>0.1</v>
      </c>
      <c r="M61" s="25">
        <v>0.1</v>
      </c>
      <c r="N61" s="25">
        <v>0.1</v>
      </c>
      <c r="O61" s="25">
        <v>0.1</v>
      </c>
      <c r="P61" s="25">
        <v>0.1</v>
      </c>
      <c r="Q61" s="25">
        <v>0.1</v>
      </c>
      <c r="R61" s="13"/>
      <c r="S61" s="13"/>
    </row>
    <row r="62" spans="1:21" x14ac:dyDescent="0.25">
      <c r="A62" s="6" t="s">
        <v>119</v>
      </c>
      <c r="B62" s="7" t="s">
        <v>7</v>
      </c>
      <c r="C62" s="14">
        <f t="shared" ref="C62:Q62" si="24">C$60*C$61</f>
        <v>0</v>
      </c>
      <c r="D62" s="14">
        <f t="shared" si="24"/>
        <v>0</v>
      </c>
      <c r="E62" s="14">
        <f t="shared" si="24"/>
        <v>3385900</v>
      </c>
      <c r="F62" s="14">
        <f t="shared" si="24"/>
        <v>6222300</v>
      </c>
      <c r="G62" s="14">
        <f t="shared" si="24"/>
        <v>5611900</v>
      </c>
      <c r="H62" s="14">
        <f t="shared" si="24"/>
        <v>4625600</v>
      </c>
      <c r="I62" s="14">
        <f t="shared" si="24"/>
        <v>5004300</v>
      </c>
      <c r="J62" s="14">
        <f t="shared" si="24"/>
        <v>5396300</v>
      </c>
      <c r="K62" s="14">
        <f t="shared" si="24"/>
        <v>5611900</v>
      </c>
      <c r="L62" s="14">
        <f t="shared" si="24"/>
        <v>5714100</v>
      </c>
      <c r="M62" s="14">
        <f t="shared" si="24"/>
        <v>6159300</v>
      </c>
      <c r="N62" s="14">
        <f t="shared" si="24"/>
        <v>6159300</v>
      </c>
      <c r="O62" s="14">
        <f t="shared" si="24"/>
        <v>6159300</v>
      </c>
      <c r="P62" s="14">
        <f t="shared" si="24"/>
        <v>6090700</v>
      </c>
      <c r="Q62" s="14">
        <f t="shared" si="24"/>
        <v>0</v>
      </c>
      <c r="R62" s="14">
        <f>SUM($C62:$Q62)</f>
        <v>66140900</v>
      </c>
      <c r="S62" s="14">
        <f>$C62+NPV(10%,$D62:$Q62)</f>
        <v>33073863.931127857</v>
      </c>
      <c r="U62" s="41"/>
    </row>
    <row r="63" spans="1:21" x14ac:dyDescent="0.25">
      <c r="A63" s="6"/>
      <c r="B63" s="7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</row>
    <row r="64" spans="1:21" x14ac:dyDescent="0.25">
      <c r="A64" s="3" t="s">
        <v>123</v>
      </c>
      <c r="B64" s="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</row>
    <row r="65" spans="1:19" x14ac:dyDescent="0.25">
      <c r="A65" s="6" t="s">
        <v>124</v>
      </c>
      <c r="B65" s="7" t="s">
        <v>8</v>
      </c>
      <c r="C65" s="39">
        <v>0.2</v>
      </c>
      <c r="D65" s="39">
        <v>0.2</v>
      </c>
      <c r="E65" s="39">
        <v>0.2</v>
      </c>
      <c r="F65" s="39">
        <v>0.2</v>
      </c>
      <c r="G65" s="39">
        <v>0.2</v>
      </c>
      <c r="H65" s="39">
        <v>0.2</v>
      </c>
      <c r="I65" s="39">
        <v>0.2</v>
      </c>
      <c r="J65" s="39">
        <v>0.2</v>
      </c>
      <c r="K65" s="39">
        <v>0.2</v>
      </c>
      <c r="L65" s="39">
        <v>0.2</v>
      </c>
      <c r="M65" s="39">
        <v>0.2</v>
      </c>
      <c r="N65" s="39">
        <v>0.2</v>
      </c>
      <c r="O65" s="39">
        <v>0.2</v>
      </c>
      <c r="P65" s="39">
        <v>0.2</v>
      </c>
      <c r="Q65" s="39">
        <v>0.2</v>
      </c>
      <c r="R65" s="13"/>
      <c r="S65" s="13"/>
    </row>
    <row r="66" spans="1:19" x14ac:dyDescent="0.25">
      <c r="A66" s="6" t="s">
        <v>125</v>
      </c>
      <c r="B66" s="7" t="s">
        <v>7</v>
      </c>
      <c r="C66" s="13">
        <f>C$60*C$65</f>
        <v>0</v>
      </c>
      <c r="D66" s="13">
        <f t="shared" ref="D66:Q66" si="25">D$60*D$65</f>
        <v>0</v>
      </c>
      <c r="E66" s="13">
        <f>E$60*E$65</f>
        <v>6771800</v>
      </c>
      <c r="F66" s="13">
        <f t="shared" si="25"/>
        <v>12444600</v>
      </c>
      <c r="G66" s="13">
        <f t="shared" si="25"/>
        <v>11223800</v>
      </c>
      <c r="H66" s="13">
        <f t="shared" si="25"/>
        <v>9251200</v>
      </c>
      <c r="I66" s="13">
        <f t="shared" si="25"/>
        <v>10008600</v>
      </c>
      <c r="J66" s="13">
        <f t="shared" si="25"/>
        <v>10792600</v>
      </c>
      <c r="K66" s="13">
        <f t="shared" si="25"/>
        <v>11223800</v>
      </c>
      <c r="L66" s="13">
        <f t="shared" si="25"/>
        <v>11428200</v>
      </c>
      <c r="M66" s="13">
        <f t="shared" si="25"/>
        <v>12318600</v>
      </c>
      <c r="N66" s="13">
        <f t="shared" si="25"/>
        <v>12318600</v>
      </c>
      <c r="O66" s="13">
        <f t="shared" si="25"/>
        <v>12318600</v>
      </c>
      <c r="P66" s="13">
        <f t="shared" si="25"/>
        <v>12181400</v>
      </c>
      <c r="Q66" s="13">
        <f t="shared" si="25"/>
        <v>0</v>
      </c>
      <c r="R66" s="13">
        <f>SUM($C66:$Q66)</f>
        <v>132281800</v>
      </c>
      <c r="S66" s="13">
        <f>$C66+NPV(10%,$D66:$Q66)</f>
        <v>66147727.862255715</v>
      </c>
    </row>
    <row r="67" spans="1:19" x14ac:dyDescent="0.25">
      <c r="A67" s="6" t="s">
        <v>121</v>
      </c>
      <c r="B67" s="7" t="s">
        <v>8</v>
      </c>
      <c r="C67" s="25">
        <v>0.1</v>
      </c>
      <c r="D67" s="25">
        <v>0.1</v>
      </c>
      <c r="E67" s="25">
        <v>0.1</v>
      </c>
      <c r="F67" s="25">
        <v>0.1</v>
      </c>
      <c r="G67" s="25">
        <v>0.1</v>
      </c>
      <c r="H67" s="25">
        <v>0.1</v>
      </c>
      <c r="I67" s="25">
        <v>0.1</v>
      </c>
      <c r="J67" s="25">
        <v>0.1</v>
      </c>
      <c r="K67" s="25">
        <v>0.1</v>
      </c>
      <c r="L67" s="25">
        <v>0.1</v>
      </c>
      <c r="M67" s="25">
        <v>0.1</v>
      </c>
      <c r="N67" s="25">
        <v>0.1</v>
      </c>
      <c r="O67" s="25">
        <v>0.1</v>
      </c>
      <c r="P67" s="25">
        <v>0.1</v>
      </c>
      <c r="Q67" s="25">
        <v>0.1</v>
      </c>
      <c r="R67" s="13"/>
      <c r="S67" s="13"/>
    </row>
    <row r="68" spans="1:19" x14ac:dyDescent="0.25">
      <c r="A68" s="6" t="s">
        <v>122</v>
      </c>
      <c r="B68" s="7" t="s">
        <v>7</v>
      </c>
      <c r="C68" s="14">
        <f>C$66*C$67</f>
        <v>0</v>
      </c>
      <c r="D68" s="14">
        <f t="shared" ref="D68:Q68" si="26">D$66*D$67</f>
        <v>0</v>
      </c>
      <c r="E68" s="14">
        <f t="shared" si="26"/>
        <v>677180</v>
      </c>
      <c r="F68" s="14">
        <f t="shared" si="26"/>
        <v>1244460</v>
      </c>
      <c r="G68" s="14">
        <f t="shared" si="26"/>
        <v>1122380</v>
      </c>
      <c r="H68" s="14">
        <f t="shared" si="26"/>
        <v>925120</v>
      </c>
      <c r="I68" s="14">
        <f t="shared" si="26"/>
        <v>1000860</v>
      </c>
      <c r="J68" s="14">
        <f t="shared" si="26"/>
        <v>1079260</v>
      </c>
      <c r="K68" s="14">
        <f t="shared" si="26"/>
        <v>1122380</v>
      </c>
      <c r="L68" s="14">
        <f t="shared" si="26"/>
        <v>1142820</v>
      </c>
      <c r="M68" s="14">
        <f t="shared" si="26"/>
        <v>1231860</v>
      </c>
      <c r="N68" s="14">
        <f t="shared" si="26"/>
        <v>1231860</v>
      </c>
      <c r="O68" s="14">
        <f t="shared" si="26"/>
        <v>1231860</v>
      </c>
      <c r="P68" s="14">
        <f t="shared" si="26"/>
        <v>1218140</v>
      </c>
      <c r="Q68" s="14">
        <f t="shared" si="26"/>
        <v>0</v>
      </c>
      <c r="R68" s="14">
        <f>SUM($C68:$Q68)</f>
        <v>13228180</v>
      </c>
      <c r="S68" s="14">
        <f>$C68+NPV(10%,$D68:$Q68)</f>
        <v>6614772.7862255722</v>
      </c>
    </row>
    <row r="69" spans="1:19" x14ac:dyDescent="0.25">
      <c r="A69" s="6"/>
      <c r="B69" s="7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</row>
    <row r="70" spans="1:19" x14ac:dyDescent="0.25">
      <c r="A70" s="3" t="s">
        <v>114</v>
      </c>
      <c r="B70" s="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</row>
    <row r="71" spans="1:19" x14ac:dyDescent="0.25">
      <c r="A71" s="6" t="s">
        <v>62</v>
      </c>
      <c r="B71" s="7" t="s">
        <v>7</v>
      </c>
      <c r="C71" s="14">
        <f>C$23+C$28+C$32+C$42+C$57+C$62+C$68</f>
        <v>112000</v>
      </c>
      <c r="D71" s="14">
        <f t="shared" ref="D71:Q71" si="27">D$23+D$28+D$32+D$42+D$57+D$62+D$68</f>
        <v>12000</v>
      </c>
      <c r="E71" s="14">
        <f t="shared" si="27"/>
        <v>31584080</v>
      </c>
      <c r="F71" s="14">
        <f t="shared" si="27"/>
        <v>64343760</v>
      </c>
      <c r="G71" s="14">
        <f t="shared" si="27"/>
        <v>72795280</v>
      </c>
      <c r="H71" s="14">
        <f t="shared" si="27"/>
        <v>57184720</v>
      </c>
      <c r="I71" s="14">
        <f t="shared" si="27"/>
        <v>69462160</v>
      </c>
      <c r="J71" s="14">
        <f t="shared" si="27"/>
        <v>71612560</v>
      </c>
      <c r="K71" s="14">
        <f t="shared" si="27"/>
        <v>72795280</v>
      </c>
      <c r="L71" s="14">
        <f t="shared" si="27"/>
        <v>73355920</v>
      </c>
      <c r="M71" s="14">
        <f t="shared" si="27"/>
        <v>75798160</v>
      </c>
      <c r="N71" s="14">
        <f t="shared" si="27"/>
        <v>75798160</v>
      </c>
      <c r="O71" s="14">
        <f t="shared" si="27"/>
        <v>75798160</v>
      </c>
      <c r="P71" s="14">
        <f t="shared" si="27"/>
        <v>75421840</v>
      </c>
      <c r="Q71" s="14">
        <f t="shared" si="27"/>
        <v>12000</v>
      </c>
      <c r="R71" s="14">
        <f>SUM($C71:$Q71)</f>
        <v>816086080</v>
      </c>
      <c r="S71" s="14">
        <f>$C71+NPV(10%,$D71:$Q71)</f>
        <v>402615067.60382509</v>
      </c>
    </row>
    <row r="72" spans="1:19" x14ac:dyDescent="0.25">
      <c r="A72" s="11"/>
      <c r="B72" s="11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</row>
    <row r="73" spans="1:19" x14ac:dyDescent="0.25">
      <c r="A73" s="3" t="s">
        <v>115</v>
      </c>
      <c r="B73" s="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</row>
    <row r="74" spans="1:19" x14ac:dyDescent="0.25">
      <c r="A74" s="6" t="s">
        <v>63</v>
      </c>
      <c r="B74" s="7" t="s">
        <v>7</v>
      </c>
      <c r="C74" s="14">
        <f t="shared" ref="C74:Q74" si="28">C$19-C$71</f>
        <v>-50112000</v>
      </c>
      <c r="D74" s="14">
        <f t="shared" si="28"/>
        <v>-150012000</v>
      </c>
      <c r="E74" s="14">
        <f t="shared" si="28"/>
        <v>113415920</v>
      </c>
      <c r="F74" s="14">
        <f t="shared" si="28"/>
        <v>80656240</v>
      </c>
      <c r="G74" s="14">
        <f t="shared" si="28"/>
        <v>72204720</v>
      </c>
      <c r="H74" s="14">
        <f t="shared" si="28"/>
        <v>87815280</v>
      </c>
      <c r="I74" s="14">
        <f t="shared" si="28"/>
        <v>75537840</v>
      </c>
      <c r="J74" s="14">
        <f t="shared" si="28"/>
        <v>73387440</v>
      </c>
      <c r="K74" s="14">
        <f t="shared" si="28"/>
        <v>72204720</v>
      </c>
      <c r="L74" s="14">
        <f t="shared" si="28"/>
        <v>71644080</v>
      </c>
      <c r="M74" s="14">
        <f t="shared" si="28"/>
        <v>69201840</v>
      </c>
      <c r="N74" s="14">
        <f t="shared" si="28"/>
        <v>69201840</v>
      </c>
      <c r="O74" s="14">
        <f t="shared" si="28"/>
        <v>69201840</v>
      </c>
      <c r="P74" s="14">
        <f t="shared" si="28"/>
        <v>69578160</v>
      </c>
      <c r="Q74" s="14">
        <f t="shared" si="28"/>
        <v>-10012000</v>
      </c>
      <c r="R74" s="14">
        <f>SUM($C74:$Q74)</f>
        <v>713913920</v>
      </c>
      <c r="S74" s="14">
        <f>$C74+NPV(10%,$D74:$Q74)</f>
        <v>306556451.05309784</v>
      </c>
    </row>
    <row r="75" spans="1:19" x14ac:dyDescent="0.25">
      <c r="A75" s="6" t="s">
        <v>64</v>
      </c>
      <c r="B75" s="7" t="s">
        <v>8</v>
      </c>
      <c r="C75" s="19" t="str">
        <f>IF(ISNUMBER(IRR($C74:C74)),IF(IRR($C74:C74)&gt;0,IRR($C74:C74),""),"")</f>
        <v/>
      </c>
      <c r="D75" s="19" t="str">
        <f>IF(ISNUMBER(IRR($C74:D74)),IF(IRR($C74:D74)&gt;0,IRR($C74:D74),""),"")</f>
        <v/>
      </c>
      <c r="E75" s="19" t="str">
        <f>IF(ISNUMBER(IRR($C74:E74)),IF(IRR($C74:E74)&gt;0,IRR($C74:E74),""),"")</f>
        <v/>
      </c>
      <c r="F75" s="19" t="str">
        <f>IF(ISNUMBER(IRR($C74:F74)),IF(IRR($C74:F74)&gt;0,IRR($C74:F74),""),"")</f>
        <v/>
      </c>
      <c r="G75" s="19">
        <f>IF(ISNUMBER(IRR($C74:G74)),IF(IRR($C74:G74)&gt;0,IRR($C74:G74),""),"")</f>
        <v>0.14848600971802162</v>
      </c>
      <c r="H75" s="19">
        <f>IF(ISNUMBER(IRR($C74:H74)),IF(IRR($C74:H74)&gt;0,IRR($C74:H74),""),"")</f>
        <v>0.25650397316592177</v>
      </c>
      <c r="I75" s="19">
        <f>IF(ISNUMBER(IRR($C74:I74)),IF(IRR($C74:I74)&gt;0,IRR($C74:I74),""),"")</f>
        <v>0.30867900238367652</v>
      </c>
      <c r="J75" s="19">
        <f>IF(ISNUMBER(IRR($C74:J74)),IF(IRR($C74:J74)&gt;0,IRR($C74:J74),""),"")</f>
        <v>0.33955939943667457</v>
      </c>
      <c r="K75" s="19">
        <f>IF(ISNUMBER(IRR($C74:K74)),IF(IRR($C74:K74)&gt;0,IRR($C74:K74),""),"")</f>
        <v>0.35879672924688077</v>
      </c>
      <c r="L75" s="19">
        <f>IF(ISNUMBER(IRR($C74:L74)),IF(IRR($C74:L74)&gt;0,IRR($C74:L74),""),"")</f>
        <v>0.3712263783337828</v>
      </c>
      <c r="M75" s="19">
        <f>IF(ISNUMBER(IRR($C74:M74)),IF(IRR($C74:M74)&gt;0,IRR($C74:M74),""),"")</f>
        <v>0.37922038318023787</v>
      </c>
      <c r="N75" s="19">
        <f>IF(ISNUMBER(IRR($C74:N74)),IF(IRR($C74:N74)&gt;0,IRR($C74:N74),""),"")</f>
        <v>0.38463494342105409</v>
      </c>
      <c r="O75" s="19">
        <f>IF(ISNUMBER(IRR($C74:O74)),IF(IRR($C74:O74)&gt;0,IRR($C74:O74),""),"")</f>
        <v>0.38834693813762411</v>
      </c>
      <c r="P75" s="19">
        <f>IF(ISNUMBER(IRR($C74:P74)),IF(IRR($C74:P74)&gt;0,IRR($C74:P74),""),"")</f>
        <v>0.39092981802554583</v>
      </c>
      <c r="Q75" s="19">
        <f>IF(ISNUMBER(IRR($C74:Q74)),IF(IRR($C74:Q74)&gt;0,IRR($C74:Q74),""),"")</f>
        <v>0.39066668858732423</v>
      </c>
      <c r="R75" s="20"/>
      <c r="S75" s="20"/>
    </row>
    <row r="76" spans="1:19" x14ac:dyDescent="0.25">
      <c r="A76" s="11"/>
      <c r="B76" s="11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</row>
    <row r="77" spans="1:19" x14ac:dyDescent="0.25">
      <c r="A77" s="3" t="s">
        <v>116</v>
      </c>
      <c r="B77" s="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</row>
    <row r="78" spans="1:19" x14ac:dyDescent="0.25">
      <c r="A78" s="6" t="s">
        <v>65</v>
      </c>
      <c r="B78" s="7" t="s">
        <v>7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>
        <f>R$19</f>
        <v>1530000000</v>
      </c>
      <c r="S78" s="14">
        <f>S$19</f>
        <v>709171518.65692282</v>
      </c>
    </row>
    <row r="79" spans="1:19" x14ac:dyDescent="0.25">
      <c r="A79" s="6" t="s">
        <v>66</v>
      </c>
      <c r="B79" s="7" t="s">
        <v>8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9">
        <f>R$71/R$78</f>
        <v>0.53338959477124182</v>
      </c>
      <c r="S79" s="29">
        <f>S$71/S$78</f>
        <v>0.56772594077991856</v>
      </c>
    </row>
    <row r="80" spans="1:19" x14ac:dyDescent="0.25">
      <c r="A80" s="6" t="s">
        <v>67</v>
      </c>
      <c r="B80" s="7" t="s">
        <v>8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9">
        <f>R$74/R$78</f>
        <v>0.46661040522875818</v>
      </c>
      <c r="S80" s="29">
        <f>S$74/S$78</f>
        <v>0.43227405922008161</v>
      </c>
    </row>
  </sheetData>
  <pageMargins left="0.19685039370078741" right="0.19685039370078741" top="0.39370078740157483" bottom="0.39370078740157483" header="0.19685039370078741" footer="0.19685039370078741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7"/>
  <sheetViews>
    <sheetView zoomScale="88" zoomScaleNormal="126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57" sqref="C157"/>
    </sheetView>
  </sheetViews>
  <sheetFormatPr baseColWidth="10" defaultColWidth="10.77734375" defaultRowHeight="13.2" x14ac:dyDescent="0.25"/>
  <cols>
    <col min="1" max="1" width="40.77734375" style="1" customWidth="1"/>
    <col min="2" max="2" width="10.77734375" style="1"/>
    <col min="3" max="13" width="15.77734375" style="1" customWidth="1"/>
    <col min="14" max="16384" width="10.77734375" style="1"/>
  </cols>
  <sheetData>
    <row r="1" spans="1:13" s="11" customFormat="1" ht="12" x14ac:dyDescent="0.25">
      <c r="A1" s="32" t="s">
        <v>16</v>
      </c>
      <c r="B1" s="32" t="s">
        <v>0</v>
      </c>
      <c r="C1" s="32" t="s">
        <v>91</v>
      </c>
      <c r="D1" s="32" t="s">
        <v>92</v>
      </c>
      <c r="E1" s="32" t="s">
        <v>93</v>
      </c>
      <c r="F1" s="32" t="s">
        <v>94</v>
      </c>
      <c r="G1" s="32" t="s">
        <v>95</v>
      </c>
      <c r="H1" s="32" t="s">
        <v>96</v>
      </c>
      <c r="I1" s="32" t="s">
        <v>97</v>
      </c>
      <c r="J1" s="32" t="s">
        <v>98</v>
      </c>
      <c r="K1" s="32" t="s">
        <v>99</v>
      </c>
      <c r="L1" s="32" t="s">
        <v>100</v>
      </c>
      <c r="M1" s="32" t="s">
        <v>101</v>
      </c>
    </row>
    <row r="2" spans="1:13" s="11" customFormat="1" ht="11.4" x14ac:dyDescent="0.25"/>
    <row r="3" spans="1:13" s="11" customFormat="1" ht="12" x14ac:dyDescent="0.25">
      <c r="A3" s="6" t="s">
        <v>38</v>
      </c>
      <c r="B3" s="33" t="s">
        <v>35</v>
      </c>
      <c r="C3" s="34">
        <v>11</v>
      </c>
      <c r="D3" s="34">
        <v>10</v>
      </c>
      <c r="E3" s="34">
        <v>9</v>
      </c>
      <c r="F3" s="34">
        <v>8</v>
      </c>
      <c r="G3" s="34">
        <v>7</v>
      </c>
      <c r="H3" s="34">
        <v>6</v>
      </c>
      <c r="I3" s="34">
        <v>5</v>
      </c>
      <c r="J3" s="34">
        <v>4</v>
      </c>
      <c r="K3" s="34">
        <v>3</v>
      </c>
      <c r="L3" s="34">
        <v>2</v>
      </c>
      <c r="M3" s="34">
        <v>1</v>
      </c>
    </row>
    <row r="4" spans="1:13" s="11" customFormat="1" ht="11.4" x14ac:dyDescent="0.25">
      <c r="A4" s="33"/>
      <c r="B4" s="33"/>
    </row>
    <row r="5" spans="1:13" s="11" customFormat="1" ht="12" x14ac:dyDescent="0.25">
      <c r="A5" s="3" t="s">
        <v>72</v>
      </c>
      <c r="B5" s="37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 s="11" customFormat="1" ht="12" x14ac:dyDescent="0.25">
      <c r="A6" s="6" t="s">
        <v>34</v>
      </c>
      <c r="B6" s="33" t="s">
        <v>35</v>
      </c>
      <c r="C6" s="23">
        <v>10</v>
      </c>
      <c r="D6" s="31"/>
      <c r="E6" s="31"/>
      <c r="F6" s="31"/>
      <c r="G6" s="31"/>
      <c r="H6" s="31"/>
      <c r="I6" s="31"/>
      <c r="J6" s="31"/>
      <c r="K6" s="31"/>
      <c r="L6" s="31"/>
      <c r="M6" s="31"/>
    </row>
    <row r="7" spans="1:13" s="11" customFormat="1" ht="12" x14ac:dyDescent="0.25">
      <c r="A7" s="6" t="s">
        <v>36</v>
      </c>
      <c r="B7" s="33" t="s">
        <v>37</v>
      </c>
      <c r="C7" s="23">
        <v>1</v>
      </c>
      <c r="D7" s="31"/>
      <c r="E7" s="31"/>
      <c r="F7" s="31"/>
      <c r="G7" s="31"/>
      <c r="H7" s="31"/>
      <c r="I7" s="31"/>
      <c r="J7" s="31"/>
      <c r="K7" s="31"/>
      <c r="L7" s="31"/>
      <c r="M7" s="31"/>
    </row>
    <row r="8" spans="1:13" s="11" customFormat="1" ht="11.4" x14ac:dyDescent="0.25">
      <c r="A8" s="33"/>
      <c r="B8" s="33"/>
    </row>
    <row r="9" spans="1:13" s="11" customFormat="1" ht="12" x14ac:dyDescent="0.25">
      <c r="A9" s="6" t="s">
        <v>74</v>
      </c>
      <c r="B9" s="33"/>
    </row>
    <row r="10" spans="1:13" s="11" customFormat="1" ht="11.4" x14ac:dyDescent="0.25">
      <c r="A10" s="33" t="s">
        <v>40</v>
      </c>
      <c r="B10" s="33" t="s">
        <v>35</v>
      </c>
      <c r="C10" s="34">
        <f>IF($C$6&lt;C$3,$C$6,C$3)</f>
        <v>10</v>
      </c>
      <c r="D10" s="12">
        <f t="shared" ref="D10:M10" si="0">IF(C10=0,0,IF(C10-1&lt;D$3,C10-1,D$3))</f>
        <v>9</v>
      </c>
      <c r="E10" s="12">
        <f t="shared" si="0"/>
        <v>8</v>
      </c>
      <c r="F10" s="12">
        <f t="shared" si="0"/>
        <v>7</v>
      </c>
      <c r="G10" s="12">
        <f t="shared" si="0"/>
        <v>6</v>
      </c>
      <c r="H10" s="12">
        <f t="shared" si="0"/>
        <v>5</v>
      </c>
      <c r="I10" s="12">
        <f t="shared" si="0"/>
        <v>4</v>
      </c>
      <c r="J10" s="12">
        <f t="shared" si="0"/>
        <v>3</v>
      </c>
      <c r="K10" s="12">
        <f t="shared" si="0"/>
        <v>2</v>
      </c>
      <c r="L10" s="12">
        <f t="shared" si="0"/>
        <v>1</v>
      </c>
      <c r="M10" s="12">
        <f t="shared" si="0"/>
        <v>0</v>
      </c>
    </row>
    <row r="11" spans="1:13" s="11" customFormat="1" ht="11.4" x14ac:dyDescent="0.25">
      <c r="A11" s="33" t="s">
        <v>39</v>
      </c>
      <c r="B11" s="33" t="s">
        <v>7</v>
      </c>
      <c r="C11" s="34">
        <f>Modèle!C$9</f>
        <v>50000000</v>
      </c>
      <c r="D11" s="12">
        <f>C15</f>
        <v>45000000</v>
      </c>
      <c r="E11" s="12">
        <f t="shared" ref="E11:M11" si="1">D15</f>
        <v>40000000</v>
      </c>
      <c r="F11" s="12">
        <f t="shared" si="1"/>
        <v>35000000</v>
      </c>
      <c r="G11" s="12">
        <f t="shared" si="1"/>
        <v>30000000</v>
      </c>
      <c r="H11" s="12">
        <f t="shared" si="1"/>
        <v>25000000</v>
      </c>
      <c r="I11" s="12">
        <f t="shared" si="1"/>
        <v>20000000</v>
      </c>
      <c r="J11" s="12">
        <f t="shared" si="1"/>
        <v>15000000</v>
      </c>
      <c r="K11" s="12">
        <f t="shared" si="1"/>
        <v>10000000</v>
      </c>
      <c r="L11" s="12">
        <f t="shared" si="1"/>
        <v>5000000</v>
      </c>
      <c r="M11" s="12">
        <f t="shared" si="1"/>
        <v>0</v>
      </c>
    </row>
    <row r="12" spans="1:13" s="11" customFormat="1" ht="11.4" x14ac:dyDescent="0.25">
      <c r="A12" s="33" t="s">
        <v>89</v>
      </c>
      <c r="B12" s="33" t="s">
        <v>8</v>
      </c>
      <c r="C12" s="35">
        <f>IF(C10=0,0,1/C10)</f>
        <v>0.1</v>
      </c>
      <c r="D12" s="35">
        <f>IF(D10=0,0,1/D10)</f>
        <v>0.1111111111111111</v>
      </c>
      <c r="E12" s="35">
        <f t="shared" ref="E12:M12" si="2">IF(E10=0,0,1/E10)</f>
        <v>0.125</v>
      </c>
      <c r="F12" s="35">
        <f t="shared" si="2"/>
        <v>0.14285714285714285</v>
      </c>
      <c r="G12" s="35">
        <f t="shared" si="2"/>
        <v>0.16666666666666666</v>
      </c>
      <c r="H12" s="35">
        <f t="shared" si="2"/>
        <v>0.2</v>
      </c>
      <c r="I12" s="35">
        <f t="shared" si="2"/>
        <v>0.25</v>
      </c>
      <c r="J12" s="35">
        <f t="shared" si="2"/>
        <v>0.33333333333333331</v>
      </c>
      <c r="K12" s="35">
        <f t="shared" si="2"/>
        <v>0.5</v>
      </c>
      <c r="L12" s="35">
        <f t="shared" si="2"/>
        <v>1</v>
      </c>
      <c r="M12" s="35">
        <f t="shared" si="2"/>
        <v>0</v>
      </c>
    </row>
    <row r="13" spans="1:13" s="11" customFormat="1" ht="11.4" x14ac:dyDescent="0.25">
      <c r="A13" s="33" t="s">
        <v>88</v>
      </c>
      <c r="B13" s="33" t="s">
        <v>8</v>
      </c>
      <c r="C13" s="35">
        <f>IF(C10=0,0,IF($C$7*1/$C$6&gt;C12,$C$7*1/$C$6,C12))</f>
        <v>0.1</v>
      </c>
      <c r="D13" s="35">
        <f>IF(D10=0,0,IF($C$7*1/$C$6&gt;D12,$C$7*1/$C$6,D12))</f>
        <v>0.1111111111111111</v>
      </c>
      <c r="E13" s="35">
        <f t="shared" ref="E13:M13" si="3">IF(E10=0,0,IF($C$7*1/$C$6&gt;E12,$C$7*1/$C$6,E12))</f>
        <v>0.125</v>
      </c>
      <c r="F13" s="35">
        <f t="shared" si="3"/>
        <v>0.14285714285714285</v>
      </c>
      <c r="G13" s="35">
        <f t="shared" si="3"/>
        <v>0.16666666666666666</v>
      </c>
      <c r="H13" s="35">
        <f t="shared" si="3"/>
        <v>0.2</v>
      </c>
      <c r="I13" s="35">
        <f t="shared" si="3"/>
        <v>0.25</v>
      </c>
      <c r="J13" s="35">
        <f t="shared" si="3"/>
        <v>0.33333333333333331</v>
      </c>
      <c r="K13" s="35">
        <f t="shared" si="3"/>
        <v>0.5</v>
      </c>
      <c r="L13" s="35">
        <f t="shared" si="3"/>
        <v>1</v>
      </c>
      <c r="M13" s="35">
        <f t="shared" si="3"/>
        <v>0</v>
      </c>
    </row>
    <row r="14" spans="1:13" s="11" customFormat="1" ht="11.4" x14ac:dyDescent="0.25">
      <c r="A14" s="33" t="s">
        <v>41</v>
      </c>
      <c r="B14" s="33" t="s">
        <v>7</v>
      </c>
      <c r="C14" s="12">
        <f>C11*C13</f>
        <v>5000000</v>
      </c>
      <c r="D14" s="12">
        <f>D11*D13</f>
        <v>5000000</v>
      </c>
      <c r="E14" s="12">
        <f t="shared" ref="E14:M14" si="4">E11*E13</f>
        <v>5000000</v>
      </c>
      <c r="F14" s="12">
        <f t="shared" si="4"/>
        <v>5000000</v>
      </c>
      <c r="G14" s="12">
        <f t="shared" si="4"/>
        <v>5000000</v>
      </c>
      <c r="H14" s="12">
        <f t="shared" si="4"/>
        <v>5000000</v>
      </c>
      <c r="I14" s="12">
        <f t="shared" si="4"/>
        <v>5000000</v>
      </c>
      <c r="J14" s="12">
        <f t="shared" si="4"/>
        <v>5000000</v>
      </c>
      <c r="K14" s="12">
        <f t="shared" si="4"/>
        <v>5000000</v>
      </c>
      <c r="L14" s="12">
        <f t="shared" si="4"/>
        <v>5000000</v>
      </c>
      <c r="M14" s="12">
        <f t="shared" si="4"/>
        <v>0</v>
      </c>
    </row>
    <row r="15" spans="1:13" s="11" customFormat="1" ht="11.4" x14ac:dyDescent="0.25">
      <c r="A15" s="33" t="s">
        <v>42</v>
      </c>
      <c r="B15" s="33" t="s">
        <v>7</v>
      </c>
      <c r="C15" s="12">
        <f>C11-C14</f>
        <v>45000000</v>
      </c>
      <c r="D15" s="12">
        <f>D11-D14</f>
        <v>40000000</v>
      </c>
      <c r="E15" s="12">
        <f t="shared" ref="E15:M15" si="5">E11-E14</f>
        <v>35000000</v>
      </c>
      <c r="F15" s="12">
        <f t="shared" si="5"/>
        <v>30000000</v>
      </c>
      <c r="G15" s="12">
        <f t="shared" si="5"/>
        <v>25000000</v>
      </c>
      <c r="H15" s="12">
        <f t="shared" si="5"/>
        <v>20000000</v>
      </c>
      <c r="I15" s="12">
        <f t="shared" si="5"/>
        <v>15000000</v>
      </c>
      <c r="J15" s="12">
        <f t="shared" si="5"/>
        <v>10000000</v>
      </c>
      <c r="K15" s="12">
        <f t="shared" si="5"/>
        <v>5000000</v>
      </c>
      <c r="L15" s="12">
        <f t="shared" si="5"/>
        <v>0</v>
      </c>
      <c r="M15" s="12">
        <f t="shared" si="5"/>
        <v>0</v>
      </c>
    </row>
    <row r="16" spans="1:13" s="11" customFormat="1" ht="11.4" x14ac:dyDescent="0.25">
      <c r="A16" s="33"/>
      <c r="B16" s="33"/>
    </row>
    <row r="17" spans="1:13" s="11" customFormat="1" ht="12" x14ac:dyDescent="0.25">
      <c r="A17" s="6" t="s">
        <v>75</v>
      </c>
      <c r="B17" s="33"/>
    </row>
    <row r="18" spans="1:13" s="11" customFormat="1" ht="11.4" x14ac:dyDescent="0.25">
      <c r="A18" s="33" t="s">
        <v>40</v>
      </c>
      <c r="B18" s="33" t="s">
        <v>35</v>
      </c>
      <c r="D18" s="34">
        <f>IF($C$6&lt;D$3,$C$6,D$3)</f>
        <v>10</v>
      </c>
      <c r="E18" s="12">
        <f t="shared" ref="E18:M18" si="6">IF(D18=0,0,IF(D18-1&lt;E$3,D18-1,E$3))</f>
        <v>9</v>
      </c>
      <c r="F18" s="12">
        <f t="shared" si="6"/>
        <v>8</v>
      </c>
      <c r="G18" s="12">
        <f t="shared" si="6"/>
        <v>7</v>
      </c>
      <c r="H18" s="12">
        <f t="shared" si="6"/>
        <v>6</v>
      </c>
      <c r="I18" s="12">
        <f t="shared" si="6"/>
        <v>5</v>
      </c>
      <c r="J18" s="12">
        <f t="shared" si="6"/>
        <v>4</v>
      </c>
      <c r="K18" s="12">
        <f t="shared" si="6"/>
        <v>3</v>
      </c>
      <c r="L18" s="12">
        <f t="shared" si="6"/>
        <v>2</v>
      </c>
      <c r="M18" s="12">
        <f t="shared" si="6"/>
        <v>1</v>
      </c>
    </row>
    <row r="19" spans="1:13" s="11" customFormat="1" ht="11.4" x14ac:dyDescent="0.25">
      <c r="A19" s="33" t="s">
        <v>39</v>
      </c>
      <c r="B19" s="33" t="s">
        <v>7</v>
      </c>
      <c r="D19" s="34">
        <f>Modèle!D$9</f>
        <v>100000000</v>
      </c>
      <c r="E19" s="12">
        <f>D23</f>
        <v>90000000</v>
      </c>
      <c r="F19" s="12">
        <f t="shared" ref="F19:M19" si="7">E23</f>
        <v>80000000</v>
      </c>
      <c r="G19" s="12">
        <f t="shared" si="7"/>
        <v>70000000</v>
      </c>
      <c r="H19" s="12">
        <f t="shared" si="7"/>
        <v>60000000</v>
      </c>
      <c r="I19" s="12">
        <f t="shared" si="7"/>
        <v>50000000</v>
      </c>
      <c r="J19" s="12">
        <f t="shared" si="7"/>
        <v>40000000</v>
      </c>
      <c r="K19" s="12">
        <f t="shared" si="7"/>
        <v>30000000</v>
      </c>
      <c r="L19" s="12">
        <f t="shared" si="7"/>
        <v>20000000</v>
      </c>
      <c r="M19" s="12">
        <f t="shared" si="7"/>
        <v>10000000</v>
      </c>
    </row>
    <row r="20" spans="1:13" s="11" customFormat="1" ht="11.4" x14ac:dyDescent="0.25">
      <c r="A20" s="33" t="s">
        <v>89</v>
      </c>
      <c r="B20" s="33" t="s">
        <v>8</v>
      </c>
      <c r="D20" s="35">
        <f>IF(D18=0,0,1/D18)</f>
        <v>0.1</v>
      </c>
      <c r="E20" s="35">
        <f>IF(E18=0,0,1/E18)</f>
        <v>0.1111111111111111</v>
      </c>
      <c r="F20" s="35">
        <f t="shared" ref="F20:M20" si="8">IF(F18=0,0,1/F18)</f>
        <v>0.125</v>
      </c>
      <c r="G20" s="35">
        <f t="shared" si="8"/>
        <v>0.14285714285714285</v>
      </c>
      <c r="H20" s="35">
        <f t="shared" si="8"/>
        <v>0.16666666666666666</v>
      </c>
      <c r="I20" s="35">
        <f t="shared" si="8"/>
        <v>0.2</v>
      </c>
      <c r="J20" s="35">
        <f t="shared" si="8"/>
        <v>0.25</v>
      </c>
      <c r="K20" s="35">
        <f t="shared" si="8"/>
        <v>0.33333333333333331</v>
      </c>
      <c r="L20" s="35">
        <f t="shared" si="8"/>
        <v>0.5</v>
      </c>
      <c r="M20" s="35">
        <f t="shared" si="8"/>
        <v>1</v>
      </c>
    </row>
    <row r="21" spans="1:13" s="11" customFormat="1" ht="11.4" x14ac:dyDescent="0.25">
      <c r="A21" s="33" t="s">
        <v>88</v>
      </c>
      <c r="B21" s="33" t="s">
        <v>8</v>
      </c>
      <c r="D21" s="35">
        <f>IF(D18=0,0,IF($C$7*1/$C$6&gt;D20,$C$7*1/$C$6,D20))</f>
        <v>0.1</v>
      </c>
      <c r="E21" s="35">
        <f>IF(E18=0,0,IF($C$7*1/$C$6&gt;E20,$C$7*1/$C$6,E20))</f>
        <v>0.1111111111111111</v>
      </c>
      <c r="F21" s="35">
        <f t="shared" ref="F21" si="9">IF(F18=0,0,IF($C$7*1/$C$6&gt;F20,$C$7*1/$C$6,F20))</f>
        <v>0.125</v>
      </c>
      <c r="G21" s="35">
        <f t="shared" ref="G21" si="10">IF(G18=0,0,IF($C$7*1/$C$6&gt;G20,$C$7*1/$C$6,G20))</f>
        <v>0.14285714285714285</v>
      </c>
      <c r="H21" s="35">
        <f t="shared" ref="H21" si="11">IF(H18=0,0,IF($C$7*1/$C$6&gt;H20,$C$7*1/$C$6,H20))</f>
        <v>0.16666666666666666</v>
      </c>
      <c r="I21" s="35">
        <f t="shared" ref="I21" si="12">IF(I18=0,0,IF($C$7*1/$C$6&gt;I20,$C$7*1/$C$6,I20))</f>
        <v>0.2</v>
      </c>
      <c r="J21" s="35">
        <f t="shared" ref="J21" si="13">IF(J18=0,0,IF($C$7*1/$C$6&gt;J20,$C$7*1/$C$6,J20))</f>
        <v>0.25</v>
      </c>
      <c r="K21" s="35">
        <f t="shared" ref="K21" si="14">IF(K18=0,0,IF($C$7*1/$C$6&gt;K20,$C$7*1/$C$6,K20))</f>
        <v>0.33333333333333331</v>
      </c>
      <c r="L21" s="35">
        <f t="shared" ref="L21" si="15">IF(L18=0,0,IF($C$7*1/$C$6&gt;L20,$C$7*1/$C$6,L20))</f>
        <v>0.5</v>
      </c>
      <c r="M21" s="35">
        <f t="shared" ref="M21" si="16">IF(M18=0,0,IF($C$7*1/$C$6&gt;M20,$C$7*1/$C$6,M20))</f>
        <v>1</v>
      </c>
    </row>
    <row r="22" spans="1:13" s="11" customFormat="1" ht="11.4" x14ac:dyDescent="0.25">
      <c r="A22" s="33" t="s">
        <v>41</v>
      </c>
      <c r="B22" s="33" t="s">
        <v>7</v>
      </c>
      <c r="D22" s="12">
        <f>D19*D21</f>
        <v>10000000</v>
      </c>
      <c r="E22" s="12">
        <f>E19*E21</f>
        <v>10000000</v>
      </c>
      <c r="F22" s="12">
        <f t="shared" ref="F22" si="17">F19*F21</f>
        <v>10000000</v>
      </c>
      <c r="G22" s="12">
        <f t="shared" ref="G22" si="18">G19*G21</f>
        <v>10000000</v>
      </c>
      <c r="H22" s="12">
        <f t="shared" ref="H22" si="19">H19*H21</f>
        <v>10000000</v>
      </c>
      <c r="I22" s="12">
        <f t="shared" ref="I22" si="20">I19*I21</f>
        <v>10000000</v>
      </c>
      <c r="J22" s="12">
        <f t="shared" ref="J22" si="21">J19*J21</f>
        <v>10000000</v>
      </c>
      <c r="K22" s="12">
        <f t="shared" ref="K22" si="22">K19*K21</f>
        <v>10000000</v>
      </c>
      <c r="L22" s="12">
        <f t="shared" ref="L22" si="23">L19*L21</f>
        <v>10000000</v>
      </c>
      <c r="M22" s="12">
        <f t="shared" ref="M22" si="24">M19*M21</f>
        <v>10000000</v>
      </c>
    </row>
    <row r="23" spans="1:13" s="11" customFormat="1" ht="11.4" x14ac:dyDescent="0.25">
      <c r="A23" s="33" t="s">
        <v>42</v>
      </c>
      <c r="B23" s="33" t="s">
        <v>7</v>
      </c>
      <c r="D23" s="12">
        <f>D19-D22</f>
        <v>90000000</v>
      </c>
      <c r="E23" s="12">
        <f>E19-E22</f>
        <v>80000000</v>
      </c>
      <c r="F23" s="12">
        <f t="shared" ref="F23" si="25">F19-F22</f>
        <v>70000000</v>
      </c>
      <c r="G23" s="12">
        <f t="shared" ref="G23" si="26">G19-G22</f>
        <v>60000000</v>
      </c>
      <c r="H23" s="12">
        <f t="shared" ref="H23" si="27">H19-H22</f>
        <v>50000000</v>
      </c>
      <c r="I23" s="12">
        <f t="shared" ref="I23" si="28">I19-I22</f>
        <v>40000000</v>
      </c>
      <c r="J23" s="12">
        <f t="shared" ref="J23" si="29">J19-J22</f>
        <v>30000000</v>
      </c>
      <c r="K23" s="12">
        <f t="shared" ref="K23" si="30">K19-K22</f>
        <v>20000000</v>
      </c>
      <c r="L23" s="12">
        <f t="shared" ref="L23" si="31">L19-L22</f>
        <v>10000000</v>
      </c>
      <c r="M23" s="12">
        <f t="shared" ref="M23" si="32">M19-M22</f>
        <v>0</v>
      </c>
    </row>
    <row r="24" spans="1:13" s="11" customFormat="1" ht="11.4" x14ac:dyDescent="0.25">
      <c r="A24" s="33"/>
      <c r="B24" s="33"/>
    </row>
    <row r="25" spans="1:13" s="11" customFormat="1" ht="12" x14ac:dyDescent="0.25">
      <c r="A25" s="6" t="s">
        <v>43</v>
      </c>
      <c r="B25" s="33" t="s">
        <v>7</v>
      </c>
      <c r="C25" s="12">
        <f t="shared" ref="C25:M25" si="33">C$14+C$22</f>
        <v>5000000</v>
      </c>
      <c r="D25" s="12">
        <f t="shared" si="33"/>
        <v>15000000</v>
      </c>
      <c r="E25" s="12">
        <f t="shared" si="33"/>
        <v>15000000</v>
      </c>
      <c r="F25" s="12">
        <f t="shared" si="33"/>
        <v>15000000</v>
      </c>
      <c r="G25" s="12">
        <f t="shared" si="33"/>
        <v>15000000</v>
      </c>
      <c r="H25" s="12">
        <f t="shared" si="33"/>
        <v>15000000</v>
      </c>
      <c r="I25" s="12">
        <f t="shared" si="33"/>
        <v>15000000</v>
      </c>
      <c r="J25" s="12">
        <f t="shared" si="33"/>
        <v>15000000</v>
      </c>
      <c r="K25" s="12">
        <f t="shared" si="33"/>
        <v>15000000</v>
      </c>
      <c r="L25" s="12">
        <f t="shared" si="33"/>
        <v>15000000</v>
      </c>
      <c r="M25" s="12">
        <f t="shared" si="33"/>
        <v>10000000</v>
      </c>
    </row>
    <row r="26" spans="1:13" s="11" customFormat="1" ht="11.4" x14ac:dyDescent="0.25">
      <c r="A26" s="33"/>
      <c r="B26" s="33"/>
    </row>
    <row r="27" spans="1:13" s="11" customFormat="1" ht="12" x14ac:dyDescent="0.25">
      <c r="A27" s="3" t="s">
        <v>73</v>
      </c>
      <c r="B27" s="37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</row>
    <row r="28" spans="1:13" s="11" customFormat="1" ht="12" x14ac:dyDescent="0.25">
      <c r="A28" s="6" t="s">
        <v>34</v>
      </c>
      <c r="B28" s="33" t="s">
        <v>35</v>
      </c>
      <c r="C28" s="23">
        <v>5</v>
      </c>
    </row>
    <row r="29" spans="1:13" s="11" customFormat="1" ht="12" x14ac:dyDescent="0.25">
      <c r="A29" s="6" t="s">
        <v>36</v>
      </c>
      <c r="B29" s="33" t="s">
        <v>37</v>
      </c>
      <c r="C29" s="23">
        <v>2</v>
      </c>
    </row>
    <row r="30" spans="1:13" s="11" customFormat="1" ht="11.4" x14ac:dyDescent="0.25">
      <c r="A30" s="33"/>
      <c r="B30" s="33"/>
    </row>
    <row r="31" spans="1:13" s="11" customFormat="1" ht="12" x14ac:dyDescent="0.25">
      <c r="A31" s="6" t="s">
        <v>74</v>
      </c>
      <c r="B31" s="33"/>
    </row>
    <row r="32" spans="1:13" s="11" customFormat="1" ht="11.4" x14ac:dyDescent="0.25">
      <c r="A32" s="33" t="s">
        <v>40</v>
      </c>
      <c r="B32" s="33" t="s">
        <v>35</v>
      </c>
      <c r="C32" s="34">
        <f>IF($C$28&lt;C$3,$C$28,C$3)</f>
        <v>5</v>
      </c>
      <c r="D32" s="12">
        <f>IF(C32=0,0,IF(C32-1&lt;D$3,C32-1,D$3))</f>
        <v>4</v>
      </c>
      <c r="E32" s="12">
        <f t="shared" ref="E32:M32" si="34">IF(D32=0,0,IF(D32-1&lt;E$3,D32-1,E$3))</f>
        <v>3</v>
      </c>
      <c r="F32" s="12">
        <f t="shared" si="34"/>
        <v>2</v>
      </c>
      <c r="G32" s="12">
        <f t="shared" si="34"/>
        <v>1</v>
      </c>
      <c r="H32" s="12">
        <f t="shared" si="34"/>
        <v>0</v>
      </c>
      <c r="I32" s="12">
        <f t="shared" si="34"/>
        <v>0</v>
      </c>
      <c r="J32" s="12">
        <f t="shared" si="34"/>
        <v>0</v>
      </c>
      <c r="K32" s="12">
        <f t="shared" si="34"/>
        <v>0</v>
      </c>
      <c r="L32" s="12">
        <f t="shared" si="34"/>
        <v>0</v>
      </c>
      <c r="M32" s="12">
        <f t="shared" si="34"/>
        <v>0</v>
      </c>
    </row>
    <row r="33" spans="1:13" s="11" customFormat="1" ht="11.4" x14ac:dyDescent="0.25">
      <c r="A33" s="33" t="s">
        <v>39</v>
      </c>
      <c r="B33" s="33" t="s">
        <v>7</v>
      </c>
      <c r="C33" s="34">
        <f>Modèle!C$10</f>
        <v>0</v>
      </c>
      <c r="D33" s="12">
        <f>C37</f>
        <v>0</v>
      </c>
      <c r="E33" s="12">
        <f>D37</f>
        <v>0</v>
      </c>
      <c r="F33" s="12">
        <f>E37</f>
        <v>0</v>
      </c>
      <c r="G33" s="12">
        <f t="shared" ref="E33:M33" si="35">F37</f>
        <v>0</v>
      </c>
      <c r="H33" s="12">
        <f t="shared" si="35"/>
        <v>0</v>
      </c>
      <c r="I33" s="12">
        <f t="shared" si="35"/>
        <v>0</v>
      </c>
      <c r="J33" s="12">
        <f t="shared" si="35"/>
        <v>0</v>
      </c>
      <c r="K33" s="12">
        <f t="shared" si="35"/>
        <v>0</v>
      </c>
      <c r="L33" s="12">
        <f t="shared" si="35"/>
        <v>0</v>
      </c>
      <c r="M33" s="12">
        <f t="shared" si="35"/>
        <v>0</v>
      </c>
    </row>
    <row r="34" spans="1:13" s="11" customFormat="1" ht="11.4" x14ac:dyDescent="0.25">
      <c r="A34" s="33" t="s">
        <v>89</v>
      </c>
      <c r="B34" s="33" t="s">
        <v>8</v>
      </c>
      <c r="C34" s="35">
        <f>IF(C32=0,0,1/C32)</f>
        <v>0.2</v>
      </c>
      <c r="D34" s="35">
        <f>IF(D32=0,0,1/D32)</f>
        <v>0.25</v>
      </c>
      <c r="E34" s="35">
        <f t="shared" ref="E34:M34" si="36">IF(E32=0,0,1/E32)</f>
        <v>0.33333333333333331</v>
      </c>
      <c r="F34" s="35">
        <f t="shared" si="36"/>
        <v>0.5</v>
      </c>
      <c r="G34" s="35">
        <f t="shared" si="36"/>
        <v>1</v>
      </c>
      <c r="H34" s="35">
        <f t="shared" si="36"/>
        <v>0</v>
      </c>
      <c r="I34" s="35">
        <f t="shared" si="36"/>
        <v>0</v>
      </c>
      <c r="J34" s="35">
        <f t="shared" si="36"/>
        <v>0</v>
      </c>
      <c r="K34" s="35">
        <f t="shared" si="36"/>
        <v>0</v>
      </c>
      <c r="L34" s="35">
        <f t="shared" si="36"/>
        <v>0</v>
      </c>
      <c r="M34" s="35">
        <f t="shared" si="36"/>
        <v>0</v>
      </c>
    </row>
    <row r="35" spans="1:13" s="11" customFormat="1" ht="11.4" x14ac:dyDescent="0.25">
      <c r="A35" s="33" t="s">
        <v>88</v>
      </c>
      <c r="B35" s="33" t="s">
        <v>8</v>
      </c>
      <c r="C35" s="35">
        <f>IF(C32=0,0,IF($C$29*1/$C$28&gt;C34,$C$29*1/$C$28,C34))</f>
        <v>0.4</v>
      </c>
      <c r="D35" s="35">
        <f>IF(D32=0,0,IF($C$29*1/$C$28&gt;D34,$C$29*1/$C$28,D34))</f>
        <v>0.4</v>
      </c>
      <c r="E35" s="35">
        <f t="shared" ref="E35:M35" si="37">IF(E32=0,0,IF($C$29*1/$C$28&gt;E34,$C$29*1/$C$28,E34))</f>
        <v>0.4</v>
      </c>
      <c r="F35" s="35">
        <f t="shared" si="37"/>
        <v>0.5</v>
      </c>
      <c r="G35" s="35">
        <f t="shared" si="37"/>
        <v>1</v>
      </c>
      <c r="H35" s="35">
        <f t="shared" si="37"/>
        <v>0</v>
      </c>
      <c r="I35" s="35">
        <f t="shared" si="37"/>
        <v>0</v>
      </c>
      <c r="J35" s="35">
        <f t="shared" si="37"/>
        <v>0</v>
      </c>
      <c r="K35" s="35">
        <f t="shared" si="37"/>
        <v>0</v>
      </c>
      <c r="L35" s="35">
        <f t="shared" si="37"/>
        <v>0</v>
      </c>
      <c r="M35" s="35">
        <f t="shared" si="37"/>
        <v>0</v>
      </c>
    </row>
    <row r="36" spans="1:13" s="11" customFormat="1" ht="11.4" x14ac:dyDescent="0.25">
      <c r="A36" s="33" t="s">
        <v>41</v>
      </c>
      <c r="B36" s="33" t="s">
        <v>7</v>
      </c>
      <c r="C36" s="12">
        <f>C33*C35</f>
        <v>0</v>
      </c>
      <c r="D36" s="12">
        <f>D33*D35</f>
        <v>0</v>
      </c>
      <c r="E36" s="12">
        <f t="shared" ref="E36:M36" si="38">E33*E35</f>
        <v>0</v>
      </c>
      <c r="F36" s="12">
        <f t="shared" si="38"/>
        <v>0</v>
      </c>
      <c r="G36" s="12">
        <f t="shared" si="38"/>
        <v>0</v>
      </c>
      <c r="H36" s="12">
        <f t="shared" si="38"/>
        <v>0</v>
      </c>
      <c r="I36" s="12">
        <f t="shared" si="38"/>
        <v>0</v>
      </c>
      <c r="J36" s="12">
        <f t="shared" si="38"/>
        <v>0</v>
      </c>
      <c r="K36" s="12">
        <f t="shared" si="38"/>
        <v>0</v>
      </c>
      <c r="L36" s="12">
        <f t="shared" si="38"/>
        <v>0</v>
      </c>
      <c r="M36" s="12">
        <f t="shared" si="38"/>
        <v>0</v>
      </c>
    </row>
    <row r="37" spans="1:13" s="11" customFormat="1" ht="11.4" x14ac:dyDescent="0.25">
      <c r="A37" s="33" t="s">
        <v>42</v>
      </c>
      <c r="B37" s="33" t="s">
        <v>7</v>
      </c>
      <c r="C37" s="12">
        <f>C33-C36</f>
        <v>0</v>
      </c>
      <c r="D37" s="12">
        <f>D33-D36</f>
        <v>0</v>
      </c>
      <c r="E37" s="12">
        <f t="shared" ref="E37:M37" si="39">E33-E36</f>
        <v>0</v>
      </c>
      <c r="F37" s="12">
        <f t="shared" si="39"/>
        <v>0</v>
      </c>
      <c r="G37" s="12">
        <f t="shared" si="39"/>
        <v>0</v>
      </c>
      <c r="H37" s="12">
        <f t="shared" si="39"/>
        <v>0</v>
      </c>
      <c r="I37" s="12">
        <f t="shared" si="39"/>
        <v>0</v>
      </c>
      <c r="J37" s="12">
        <f t="shared" si="39"/>
        <v>0</v>
      </c>
      <c r="K37" s="12">
        <f t="shared" si="39"/>
        <v>0</v>
      </c>
      <c r="L37" s="12">
        <f t="shared" si="39"/>
        <v>0</v>
      </c>
      <c r="M37" s="12">
        <f t="shared" si="39"/>
        <v>0</v>
      </c>
    </row>
    <row r="38" spans="1:13" s="11" customFormat="1" ht="11.4" x14ac:dyDescent="0.25">
      <c r="A38" s="33"/>
      <c r="B38" s="33"/>
    </row>
    <row r="39" spans="1:13" s="11" customFormat="1" ht="12" x14ac:dyDescent="0.25">
      <c r="A39" s="6" t="s">
        <v>75</v>
      </c>
      <c r="B39" s="33"/>
    </row>
    <row r="40" spans="1:13" s="11" customFormat="1" ht="11.4" x14ac:dyDescent="0.25">
      <c r="A40" s="33" t="s">
        <v>40</v>
      </c>
      <c r="B40" s="33" t="s">
        <v>35</v>
      </c>
      <c r="D40" s="34">
        <f>IF($C$28&lt;D$3,$C$28,D$3)</f>
        <v>5</v>
      </c>
      <c r="E40" s="12">
        <f>IF(D40=0,0,IF(D40-1&lt;E$3,D40-1,E$3))</f>
        <v>4</v>
      </c>
      <c r="F40" s="12">
        <f t="shared" ref="F40:M40" si="40">IF(E40=0,0,IF(E40-1&lt;F$3,E40-1,F$3))</f>
        <v>3</v>
      </c>
      <c r="G40" s="12">
        <f t="shared" si="40"/>
        <v>2</v>
      </c>
      <c r="H40" s="12">
        <f t="shared" si="40"/>
        <v>1</v>
      </c>
      <c r="I40" s="12">
        <f t="shared" si="40"/>
        <v>0</v>
      </c>
      <c r="J40" s="12">
        <f t="shared" si="40"/>
        <v>0</v>
      </c>
      <c r="K40" s="12">
        <f t="shared" si="40"/>
        <v>0</v>
      </c>
      <c r="L40" s="12">
        <f t="shared" si="40"/>
        <v>0</v>
      </c>
      <c r="M40" s="12">
        <f t="shared" si="40"/>
        <v>0</v>
      </c>
    </row>
    <row r="41" spans="1:13" s="11" customFormat="1" ht="11.4" x14ac:dyDescent="0.25">
      <c r="A41" s="33" t="s">
        <v>39</v>
      </c>
      <c r="B41" s="33" t="s">
        <v>7</v>
      </c>
      <c r="D41" s="34">
        <f>Modèle!D$10</f>
        <v>50000000</v>
      </c>
      <c r="E41" s="12">
        <f>D45</f>
        <v>30000000</v>
      </c>
      <c r="F41" s="12">
        <f t="shared" ref="F41:M41" si="41">E45</f>
        <v>18000000</v>
      </c>
      <c r="G41" s="12">
        <f t="shared" si="41"/>
        <v>10800000</v>
      </c>
      <c r="H41" s="12">
        <f t="shared" si="41"/>
        <v>5400000</v>
      </c>
      <c r="I41" s="12">
        <f t="shared" si="41"/>
        <v>0</v>
      </c>
      <c r="J41" s="12">
        <f t="shared" si="41"/>
        <v>0</v>
      </c>
      <c r="K41" s="12">
        <f t="shared" si="41"/>
        <v>0</v>
      </c>
      <c r="L41" s="12">
        <f t="shared" si="41"/>
        <v>0</v>
      </c>
      <c r="M41" s="12">
        <f t="shared" si="41"/>
        <v>0</v>
      </c>
    </row>
    <row r="42" spans="1:13" s="11" customFormat="1" ht="11.4" x14ac:dyDescent="0.25">
      <c r="A42" s="33" t="s">
        <v>89</v>
      </c>
      <c r="B42" s="33" t="s">
        <v>8</v>
      </c>
      <c r="D42" s="35">
        <f>IF(D40=0,0,1/D40)</f>
        <v>0.2</v>
      </c>
      <c r="E42" s="35">
        <f>IF(E40=0,0,1/E40)</f>
        <v>0.25</v>
      </c>
      <c r="F42" s="35">
        <f t="shared" ref="F42:M42" si="42">IF(F40=0,0,1/F40)</f>
        <v>0.33333333333333331</v>
      </c>
      <c r="G42" s="35">
        <f t="shared" si="42"/>
        <v>0.5</v>
      </c>
      <c r="H42" s="35">
        <f t="shared" si="42"/>
        <v>1</v>
      </c>
      <c r="I42" s="35">
        <f t="shared" si="42"/>
        <v>0</v>
      </c>
      <c r="J42" s="35">
        <f t="shared" si="42"/>
        <v>0</v>
      </c>
      <c r="K42" s="35">
        <f t="shared" si="42"/>
        <v>0</v>
      </c>
      <c r="L42" s="35">
        <f t="shared" si="42"/>
        <v>0</v>
      </c>
      <c r="M42" s="35">
        <f t="shared" si="42"/>
        <v>0</v>
      </c>
    </row>
    <row r="43" spans="1:13" s="11" customFormat="1" ht="11.4" x14ac:dyDescent="0.25">
      <c r="A43" s="33" t="s">
        <v>88</v>
      </c>
      <c r="B43" s="33" t="s">
        <v>8</v>
      </c>
      <c r="D43" s="35">
        <f>IF(D40=0,0,IF($C$29*1/$C$28&gt;D42,$C$29*1/$C$28,D42))</f>
        <v>0.4</v>
      </c>
      <c r="E43" s="35">
        <f>IF(E40=0,0,IF($C$29*1/$C$28&gt;E42,$C$29*1/$C$28,E42))</f>
        <v>0.4</v>
      </c>
      <c r="F43" s="35">
        <f t="shared" ref="F43" si="43">IF(F40=0,0,IF($C$29*1/$C$28&gt;F42,$C$29*1/$C$28,F42))</f>
        <v>0.4</v>
      </c>
      <c r="G43" s="35">
        <f t="shared" ref="G43" si="44">IF(G40=0,0,IF($C$29*1/$C$28&gt;G42,$C$29*1/$C$28,G42))</f>
        <v>0.5</v>
      </c>
      <c r="H43" s="35">
        <f t="shared" ref="H43" si="45">IF(H40=0,0,IF($C$29*1/$C$28&gt;H42,$C$29*1/$C$28,H42))</f>
        <v>1</v>
      </c>
      <c r="I43" s="35">
        <f t="shared" ref="I43" si="46">IF(I40=0,0,IF($C$29*1/$C$28&gt;I42,$C$29*1/$C$28,I42))</f>
        <v>0</v>
      </c>
      <c r="J43" s="35">
        <f t="shared" ref="J43" si="47">IF(J40=0,0,IF($C$29*1/$C$28&gt;J42,$C$29*1/$C$28,J42))</f>
        <v>0</v>
      </c>
      <c r="K43" s="35">
        <f t="shared" ref="K43" si="48">IF(K40=0,0,IF($C$29*1/$C$28&gt;K42,$C$29*1/$C$28,K42))</f>
        <v>0</v>
      </c>
      <c r="L43" s="35">
        <f t="shared" ref="L43" si="49">IF(L40=0,0,IF($C$29*1/$C$28&gt;L42,$C$29*1/$C$28,L42))</f>
        <v>0</v>
      </c>
      <c r="M43" s="35">
        <f t="shared" ref="M43" si="50">IF(M40=0,0,IF($C$29*1/$C$28&gt;M42,$C$29*1/$C$28,M42))</f>
        <v>0</v>
      </c>
    </row>
    <row r="44" spans="1:13" s="11" customFormat="1" ht="11.4" x14ac:dyDescent="0.25">
      <c r="A44" s="33" t="s">
        <v>41</v>
      </c>
      <c r="B44" s="33" t="s">
        <v>7</v>
      </c>
      <c r="D44" s="12">
        <f>D41*D43</f>
        <v>20000000</v>
      </c>
      <c r="E44" s="12">
        <f>E41*E43</f>
        <v>12000000</v>
      </c>
      <c r="F44" s="12">
        <f t="shared" ref="F44" si="51">F41*F43</f>
        <v>7200000</v>
      </c>
      <c r="G44" s="12">
        <f t="shared" ref="G44" si="52">G41*G43</f>
        <v>5400000</v>
      </c>
      <c r="H44" s="12">
        <f t="shared" ref="H44" si="53">H41*H43</f>
        <v>5400000</v>
      </c>
      <c r="I44" s="12">
        <f t="shared" ref="I44" si="54">I41*I43</f>
        <v>0</v>
      </c>
      <c r="J44" s="12">
        <f t="shared" ref="J44" si="55">J41*J43</f>
        <v>0</v>
      </c>
      <c r="K44" s="12">
        <f t="shared" ref="K44" si="56">K41*K43</f>
        <v>0</v>
      </c>
      <c r="L44" s="12">
        <f t="shared" ref="L44" si="57">L41*L43</f>
        <v>0</v>
      </c>
      <c r="M44" s="12">
        <f t="shared" ref="M44" si="58">M41*M43</f>
        <v>0</v>
      </c>
    </row>
    <row r="45" spans="1:13" s="11" customFormat="1" ht="11.4" x14ac:dyDescent="0.25">
      <c r="A45" s="33" t="s">
        <v>42</v>
      </c>
      <c r="B45" s="33" t="s">
        <v>7</v>
      </c>
      <c r="D45" s="12">
        <f>D41-D44</f>
        <v>30000000</v>
      </c>
      <c r="E45" s="12">
        <f>E41-E44</f>
        <v>18000000</v>
      </c>
      <c r="F45" s="12">
        <f t="shared" ref="F45" si="59">F41-F44</f>
        <v>10800000</v>
      </c>
      <c r="G45" s="12">
        <f t="shared" ref="G45" si="60">G41-G44</f>
        <v>5400000</v>
      </c>
      <c r="H45" s="12">
        <f t="shared" ref="H45" si="61">H41-H44</f>
        <v>0</v>
      </c>
      <c r="I45" s="12">
        <f t="shared" ref="I45" si="62">I41-I44</f>
        <v>0</v>
      </c>
      <c r="J45" s="12">
        <f t="shared" ref="J45" si="63">J41-J44</f>
        <v>0</v>
      </c>
      <c r="K45" s="12">
        <f t="shared" ref="K45" si="64">K41-K44</f>
        <v>0</v>
      </c>
      <c r="L45" s="12">
        <f t="shared" ref="L45" si="65">L41-L44</f>
        <v>0</v>
      </c>
      <c r="M45" s="12">
        <f t="shared" ref="M45" si="66">M41-M44</f>
        <v>0</v>
      </c>
    </row>
    <row r="46" spans="1:13" s="11" customFormat="1" ht="11.4" x14ac:dyDescent="0.25">
      <c r="A46" s="33"/>
      <c r="B46" s="33"/>
    </row>
    <row r="47" spans="1:13" s="11" customFormat="1" ht="12" x14ac:dyDescent="0.25">
      <c r="A47" s="6" t="s">
        <v>76</v>
      </c>
      <c r="B47" s="33"/>
    </row>
    <row r="48" spans="1:13" s="11" customFormat="1" ht="11.4" x14ac:dyDescent="0.25">
      <c r="A48" s="33" t="s">
        <v>40</v>
      </c>
      <c r="B48" s="33" t="s">
        <v>35</v>
      </c>
      <c r="E48" s="34">
        <f>IF($C$28&lt;E$3,$C$28,E$3)</f>
        <v>5</v>
      </c>
      <c r="F48" s="12">
        <f>IF(E48=0,0,IF(E48-1&lt;F$3,E48-1,F$3))</f>
        <v>4</v>
      </c>
      <c r="G48" s="12">
        <f t="shared" ref="G48:M48" si="67">IF(F48=0,0,IF(F48-1&lt;G$3,F48-1,G$3))</f>
        <v>3</v>
      </c>
      <c r="H48" s="12">
        <f t="shared" si="67"/>
        <v>2</v>
      </c>
      <c r="I48" s="12">
        <f t="shared" si="67"/>
        <v>1</v>
      </c>
      <c r="J48" s="12">
        <f t="shared" si="67"/>
        <v>0</v>
      </c>
      <c r="K48" s="12">
        <f t="shared" si="67"/>
        <v>0</v>
      </c>
      <c r="L48" s="12">
        <f t="shared" si="67"/>
        <v>0</v>
      </c>
      <c r="M48" s="12">
        <f t="shared" si="67"/>
        <v>0</v>
      </c>
    </row>
    <row r="49" spans="1:13" s="11" customFormat="1" ht="11.4" x14ac:dyDescent="0.25">
      <c r="A49" s="33" t="s">
        <v>39</v>
      </c>
      <c r="B49" s="33" t="s">
        <v>7</v>
      </c>
      <c r="E49" s="34">
        <f>Modèle!E$10</f>
        <v>5000000</v>
      </c>
      <c r="F49" s="12">
        <f>E53</f>
        <v>3000000</v>
      </c>
      <c r="G49" s="12">
        <f t="shared" ref="G49:M49" si="68">F53</f>
        <v>1800000</v>
      </c>
      <c r="H49" s="12">
        <f t="shared" si="68"/>
        <v>1080000</v>
      </c>
      <c r="I49" s="12">
        <f t="shared" si="68"/>
        <v>540000</v>
      </c>
      <c r="J49" s="12">
        <f t="shared" si="68"/>
        <v>0</v>
      </c>
      <c r="K49" s="12">
        <f t="shared" si="68"/>
        <v>0</v>
      </c>
      <c r="L49" s="12">
        <f t="shared" si="68"/>
        <v>0</v>
      </c>
      <c r="M49" s="12">
        <f t="shared" si="68"/>
        <v>0</v>
      </c>
    </row>
    <row r="50" spans="1:13" s="11" customFormat="1" ht="11.4" x14ac:dyDescent="0.25">
      <c r="A50" s="33" t="s">
        <v>89</v>
      </c>
      <c r="B50" s="33" t="s">
        <v>8</v>
      </c>
      <c r="E50" s="35">
        <f>IF(E48=0,0,1/E48)</f>
        <v>0.2</v>
      </c>
      <c r="F50" s="35">
        <f>IF(F48=0,0,1/F48)</f>
        <v>0.25</v>
      </c>
      <c r="G50" s="35">
        <f t="shared" ref="G50:M50" si="69">IF(G48=0,0,1/G48)</f>
        <v>0.33333333333333331</v>
      </c>
      <c r="H50" s="35">
        <f t="shared" si="69"/>
        <v>0.5</v>
      </c>
      <c r="I50" s="35">
        <f t="shared" si="69"/>
        <v>1</v>
      </c>
      <c r="J50" s="35">
        <f t="shared" si="69"/>
        <v>0</v>
      </c>
      <c r="K50" s="35">
        <f t="shared" si="69"/>
        <v>0</v>
      </c>
      <c r="L50" s="35">
        <f t="shared" si="69"/>
        <v>0</v>
      </c>
      <c r="M50" s="35">
        <f t="shared" si="69"/>
        <v>0</v>
      </c>
    </row>
    <row r="51" spans="1:13" s="11" customFormat="1" ht="11.4" x14ac:dyDescent="0.25">
      <c r="A51" s="33" t="s">
        <v>88</v>
      </c>
      <c r="B51" s="33" t="s">
        <v>8</v>
      </c>
      <c r="E51" s="35">
        <f>IF(E48=0,0,IF($C$29*1/$C$28&gt;E50,$C$29*1/$C$28,E50))</f>
        <v>0.4</v>
      </c>
      <c r="F51" s="35">
        <f>IF(F48=0,0,IF($C$29*1/$C$28&gt;F50,$C$29*1/$C$28,F50))</f>
        <v>0.4</v>
      </c>
      <c r="G51" s="35">
        <f t="shared" ref="G51" si="70">IF(G48=0,0,IF($C$29*1/$C$28&gt;G50,$C$29*1/$C$28,G50))</f>
        <v>0.4</v>
      </c>
      <c r="H51" s="35">
        <f t="shared" ref="H51" si="71">IF(H48=0,0,IF($C$29*1/$C$28&gt;H50,$C$29*1/$C$28,H50))</f>
        <v>0.5</v>
      </c>
      <c r="I51" s="35">
        <f t="shared" ref="I51" si="72">IF(I48=0,0,IF($C$29*1/$C$28&gt;I50,$C$29*1/$C$28,I50))</f>
        <v>1</v>
      </c>
      <c r="J51" s="35">
        <f t="shared" ref="J51" si="73">IF(J48=0,0,IF($C$29*1/$C$28&gt;J50,$C$29*1/$C$28,J50))</f>
        <v>0</v>
      </c>
      <c r="K51" s="35">
        <f t="shared" ref="K51" si="74">IF(K48=0,0,IF($C$29*1/$C$28&gt;K50,$C$29*1/$C$28,K50))</f>
        <v>0</v>
      </c>
      <c r="L51" s="35">
        <f t="shared" ref="L51" si="75">IF(L48=0,0,IF($C$29*1/$C$28&gt;L50,$C$29*1/$C$28,L50))</f>
        <v>0</v>
      </c>
      <c r="M51" s="35">
        <f t="shared" ref="M51" si="76">IF(M48=0,0,IF($C$29*1/$C$28&gt;M50,$C$29*1/$C$28,M50))</f>
        <v>0</v>
      </c>
    </row>
    <row r="52" spans="1:13" s="11" customFormat="1" ht="11.4" x14ac:dyDescent="0.25">
      <c r="A52" s="33" t="s">
        <v>41</v>
      </c>
      <c r="B52" s="33" t="s">
        <v>7</v>
      </c>
      <c r="E52" s="12">
        <f>E49*E51</f>
        <v>2000000</v>
      </c>
      <c r="F52" s="12">
        <f>F49*F51</f>
        <v>1200000</v>
      </c>
      <c r="G52" s="12">
        <f t="shared" ref="G52" si="77">G49*G51</f>
        <v>720000</v>
      </c>
      <c r="H52" s="12">
        <f t="shared" ref="H52" si="78">H49*H51</f>
        <v>540000</v>
      </c>
      <c r="I52" s="12">
        <f t="shared" ref="I52" si="79">I49*I51</f>
        <v>540000</v>
      </c>
      <c r="J52" s="12">
        <f t="shared" ref="J52" si="80">J49*J51</f>
        <v>0</v>
      </c>
      <c r="K52" s="12">
        <f t="shared" ref="K52" si="81">K49*K51</f>
        <v>0</v>
      </c>
      <c r="L52" s="12">
        <f t="shared" ref="L52" si="82">L49*L51</f>
        <v>0</v>
      </c>
      <c r="M52" s="12">
        <f t="shared" ref="M52" si="83">M49*M51</f>
        <v>0</v>
      </c>
    </row>
    <row r="53" spans="1:13" s="11" customFormat="1" ht="11.4" x14ac:dyDescent="0.25">
      <c r="A53" s="33" t="s">
        <v>42</v>
      </c>
      <c r="B53" s="33" t="s">
        <v>7</v>
      </c>
      <c r="E53" s="12">
        <f>E49-E52</f>
        <v>3000000</v>
      </c>
      <c r="F53" s="12">
        <f>F49-F52</f>
        <v>1800000</v>
      </c>
      <c r="G53" s="12">
        <f t="shared" ref="G53" si="84">G49-G52</f>
        <v>1080000</v>
      </c>
      <c r="H53" s="12">
        <f t="shared" ref="H53" si="85">H49-H52</f>
        <v>540000</v>
      </c>
      <c r="I53" s="12">
        <f t="shared" ref="I53" si="86">I49-I52</f>
        <v>0</v>
      </c>
      <c r="J53" s="12">
        <f t="shared" ref="J53" si="87">J49-J52</f>
        <v>0</v>
      </c>
      <c r="K53" s="12">
        <f t="shared" ref="K53" si="88">K49-K52</f>
        <v>0</v>
      </c>
      <c r="L53" s="12">
        <f t="shared" ref="L53" si="89">L49-L52</f>
        <v>0</v>
      </c>
      <c r="M53" s="12">
        <f t="shared" ref="M53" si="90">M49-M52</f>
        <v>0</v>
      </c>
    </row>
    <row r="54" spans="1:13" s="11" customFormat="1" ht="11.4" x14ac:dyDescent="0.25">
      <c r="A54" s="33"/>
      <c r="B54" s="33"/>
    </row>
    <row r="55" spans="1:13" s="11" customFormat="1" ht="12" x14ac:dyDescent="0.25">
      <c r="A55" s="6" t="s">
        <v>77</v>
      </c>
      <c r="B55" s="33"/>
    </row>
    <row r="56" spans="1:13" s="11" customFormat="1" ht="11.4" x14ac:dyDescent="0.25">
      <c r="A56" s="33" t="s">
        <v>40</v>
      </c>
      <c r="B56" s="33" t="s">
        <v>35</v>
      </c>
      <c r="F56" s="34">
        <f>IF($C$28&lt;F$3,$C$28,F$3)</f>
        <v>5</v>
      </c>
      <c r="G56" s="12">
        <f>IF(F56=0,0,IF(F56-1&lt;G$3,F56-1,G$3))</f>
        <v>4</v>
      </c>
      <c r="H56" s="12">
        <f t="shared" ref="H56:M56" si="91">IF(G56=0,0,IF(G56-1&lt;H$3,G56-1,H$3))</f>
        <v>3</v>
      </c>
      <c r="I56" s="12">
        <f t="shared" si="91"/>
        <v>2</v>
      </c>
      <c r="J56" s="12">
        <f t="shared" si="91"/>
        <v>1</v>
      </c>
      <c r="K56" s="12">
        <f t="shared" si="91"/>
        <v>0</v>
      </c>
      <c r="L56" s="12">
        <f t="shared" si="91"/>
        <v>0</v>
      </c>
      <c r="M56" s="12">
        <f t="shared" si="91"/>
        <v>0</v>
      </c>
    </row>
    <row r="57" spans="1:13" s="11" customFormat="1" ht="11.4" x14ac:dyDescent="0.25">
      <c r="A57" s="33" t="s">
        <v>39</v>
      </c>
      <c r="B57" s="33" t="s">
        <v>7</v>
      </c>
      <c r="F57" s="34">
        <f>Modèle!F$10</f>
        <v>5000000</v>
      </c>
      <c r="G57" s="12">
        <f>F61</f>
        <v>3000000</v>
      </c>
      <c r="H57" s="12">
        <f t="shared" ref="H57:M57" si="92">G61</f>
        <v>1800000</v>
      </c>
      <c r="I57" s="12">
        <f t="shared" si="92"/>
        <v>1080000</v>
      </c>
      <c r="J57" s="12">
        <f t="shared" si="92"/>
        <v>540000</v>
      </c>
      <c r="K57" s="12">
        <f t="shared" si="92"/>
        <v>0</v>
      </c>
      <c r="L57" s="12">
        <f t="shared" si="92"/>
        <v>0</v>
      </c>
      <c r="M57" s="12">
        <f t="shared" si="92"/>
        <v>0</v>
      </c>
    </row>
    <row r="58" spans="1:13" s="11" customFormat="1" ht="11.4" x14ac:dyDescent="0.25">
      <c r="A58" s="33" t="s">
        <v>89</v>
      </c>
      <c r="B58" s="33" t="s">
        <v>8</v>
      </c>
      <c r="F58" s="35">
        <f>IF(F56=0,0,1/F56)</f>
        <v>0.2</v>
      </c>
      <c r="G58" s="35">
        <f>IF(G56=0,0,1/G56)</f>
        <v>0.25</v>
      </c>
      <c r="H58" s="35">
        <f t="shared" ref="H58:M58" si="93">IF(H56=0,0,1/H56)</f>
        <v>0.33333333333333331</v>
      </c>
      <c r="I58" s="35">
        <f t="shared" si="93"/>
        <v>0.5</v>
      </c>
      <c r="J58" s="35">
        <f t="shared" si="93"/>
        <v>1</v>
      </c>
      <c r="K58" s="35">
        <f t="shared" si="93"/>
        <v>0</v>
      </c>
      <c r="L58" s="35">
        <f t="shared" si="93"/>
        <v>0</v>
      </c>
      <c r="M58" s="35">
        <f t="shared" si="93"/>
        <v>0</v>
      </c>
    </row>
    <row r="59" spans="1:13" s="11" customFormat="1" ht="11.4" x14ac:dyDescent="0.25">
      <c r="A59" s="33" t="s">
        <v>88</v>
      </c>
      <c r="B59" s="33" t="s">
        <v>8</v>
      </c>
      <c r="F59" s="35">
        <f>IF(F56=0,0,IF($C$29*1/$C$28&gt;F58,$C$29*1/$C$28,F58))</f>
        <v>0.4</v>
      </c>
      <c r="G59" s="35">
        <f>IF(G56=0,0,IF($C$29*1/$C$28&gt;G58,$C$29*1/$C$28,G58))</f>
        <v>0.4</v>
      </c>
      <c r="H59" s="35">
        <f t="shared" ref="H59" si="94">IF(H56=0,0,IF($C$29*1/$C$28&gt;H58,$C$29*1/$C$28,H58))</f>
        <v>0.4</v>
      </c>
      <c r="I59" s="35">
        <f t="shared" ref="I59" si="95">IF(I56=0,0,IF($C$29*1/$C$28&gt;I58,$C$29*1/$C$28,I58))</f>
        <v>0.5</v>
      </c>
      <c r="J59" s="35">
        <f t="shared" ref="J59" si="96">IF(J56=0,0,IF($C$29*1/$C$28&gt;J58,$C$29*1/$C$28,J58))</f>
        <v>1</v>
      </c>
      <c r="K59" s="35">
        <f t="shared" ref="K59" si="97">IF(K56=0,0,IF($C$29*1/$C$28&gt;K58,$C$29*1/$C$28,K58))</f>
        <v>0</v>
      </c>
      <c r="L59" s="35">
        <f t="shared" ref="L59" si="98">IF(L56=0,0,IF($C$29*1/$C$28&gt;L58,$C$29*1/$C$28,L58))</f>
        <v>0</v>
      </c>
      <c r="M59" s="35">
        <f t="shared" ref="M59" si="99">IF(M56=0,0,IF($C$29*1/$C$28&gt;M58,$C$29*1/$C$28,M58))</f>
        <v>0</v>
      </c>
    </row>
    <row r="60" spans="1:13" s="11" customFormat="1" ht="11.4" x14ac:dyDescent="0.25">
      <c r="A60" s="33" t="s">
        <v>41</v>
      </c>
      <c r="B60" s="33" t="s">
        <v>7</v>
      </c>
      <c r="F60" s="12">
        <f>F57*F59</f>
        <v>2000000</v>
      </c>
      <c r="G60" s="12">
        <f>G57*G59</f>
        <v>1200000</v>
      </c>
      <c r="H60" s="12">
        <f t="shared" ref="H60" si="100">H57*H59</f>
        <v>720000</v>
      </c>
      <c r="I60" s="12">
        <f t="shared" ref="I60" si="101">I57*I59</f>
        <v>540000</v>
      </c>
      <c r="J60" s="12">
        <f t="shared" ref="J60" si="102">J57*J59</f>
        <v>540000</v>
      </c>
      <c r="K60" s="12">
        <f t="shared" ref="K60" si="103">K57*K59</f>
        <v>0</v>
      </c>
      <c r="L60" s="12">
        <f t="shared" ref="L60" si="104">L57*L59</f>
        <v>0</v>
      </c>
      <c r="M60" s="12">
        <f t="shared" ref="M60" si="105">M57*M59</f>
        <v>0</v>
      </c>
    </row>
    <row r="61" spans="1:13" s="11" customFormat="1" ht="11.4" x14ac:dyDescent="0.25">
      <c r="A61" s="33" t="s">
        <v>42</v>
      </c>
      <c r="B61" s="33" t="s">
        <v>7</v>
      </c>
      <c r="F61" s="12">
        <f>F57-F60</f>
        <v>3000000</v>
      </c>
      <c r="G61" s="12">
        <f>G57-G60</f>
        <v>1800000</v>
      </c>
      <c r="H61" s="12">
        <f t="shared" ref="H61" si="106">H57-H60</f>
        <v>1080000</v>
      </c>
      <c r="I61" s="12">
        <f t="shared" ref="I61" si="107">I57-I60</f>
        <v>540000</v>
      </c>
      <c r="J61" s="12">
        <f t="shared" ref="J61" si="108">J57-J60</f>
        <v>0</v>
      </c>
      <c r="K61" s="12">
        <f t="shared" ref="K61" si="109">K57-K60</f>
        <v>0</v>
      </c>
      <c r="L61" s="12">
        <f t="shared" ref="L61" si="110">L57-L60</f>
        <v>0</v>
      </c>
      <c r="M61" s="12">
        <f t="shared" ref="M61" si="111">M57-M60</f>
        <v>0</v>
      </c>
    </row>
    <row r="62" spans="1:13" s="11" customFormat="1" ht="11.4" x14ac:dyDescent="0.25">
      <c r="A62" s="33"/>
      <c r="B62" s="33"/>
    </row>
    <row r="63" spans="1:13" s="11" customFormat="1" ht="12" x14ac:dyDescent="0.25">
      <c r="A63" s="6" t="s">
        <v>78</v>
      </c>
      <c r="B63" s="33"/>
    </row>
    <row r="64" spans="1:13" s="11" customFormat="1" ht="11.4" x14ac:dyDescent="0.25">
      <c r="A64" s="33" t="s">
        <v>40</v>
      </c>
      <c r="B64" s="33" t="s">
        <v>35</v>
      </c>
      <c r="G64" s="34">
        <f>IF($C$28&lt;G$3,$C$28,G$3)</f>
        <v>5</v>
      </c>
      <c r="H64" s="12">
        <f>IF(G64=0,0,IF(G64-1&lt;H$3,G64-1,H$3))</f>
        <v>4</v>
      </c>
      <c r="I64" s="12">
        <f t="shared" ref="I64:M64" si="112">IF(H64=0,0,IF(H64-1&lt;I$3,H64-1,I$3))</f>
        <v>3</v>
      </c>
      <c r="J64" s="12">
        <f t="shared" si="112"/>
        <v>2</v>
      </c>
      <c r="K64" s="12">
        <f t="shared" si="112"/>
        <v>1</v>
      </c>
      <c r="L64" s="12">
        <f t="shared" si="112"/>
        <v>0</v>
      </c>
      <c r="M64" s="12">
        <f t="shared" si="112"/>
        <v>0</v>
      </c>
    </row>
    <row r="65" spans="1:13" s="11" customFormat="1" ht="11.4" x14ac:dyDescent="0.25">
      <c r="A65" s="33" t="s">
        <v>39</v>
      </c>
      <c r="B65" s="33" t="s">
        <v>7</v>
      </c>
      <c r="G65" s="34">
        <f>Modèle!G$10</f>
        <v>5000000</v>
      </c>
      <c r="H65" s="12">
        <f>G69</f>
        <v>3000000</v>
      </c>
      <c r="I65" s="12">
        <f t="shared" ref="I65:M65" si="113">H69</f>
        <v>1800000</v>
      </c>
      <c r="J65" s="12">
        <f t="shared" si="113"/>
        <v>1080000</v>
      </c>
      <c r="K65" s="12">
        <f t="shared" si="113"/>
        <v>540000</v>
      </c>
      <c r="L65" s="12">
        <f t="shared" si="113"/>
        <v>0</v>
      </c>
      <c r="M65" s="12">
        <f t="shared" si="113"/>
        <v>0</v>
      </c>
    </row>
    <row r="66" spans="1:13" s="11" customFormat="1" ht="11.4" x14ac:dyDescent="0.25">
      <c r="A66" s="33" t="s">
        <v>89</v>
      </c>
      <c r="B66" s="33" t="s">
        <v>8</v>
      </c>
      <c r="G66" s="35">
        <f>IF(G64=0,0,1/G64)</f>
        <v>0.2</v>
      </c>
      <c r="H66" s="35">
        <f>IF(H64=0,0,1/H64)</f>
        <v>0.25</v>
      </c>
      <c r="I66" s="35">
        <f t="shared" ref="I66:M66" si="114">IF(I64=0,0,1/I64)</f>
        <v>0.33333333333333331</v>
      </c>
      <c r="J66" s="35">
        <f t="shared" si="114"/>
        <v>0.5</v>
      </c>
      <c r="K66" s="35">
        <f t="shared" si="114"/>
        <v>1</v>
      </c>
      <c r="L66" s="35">
        <f t="shared" si="114"/>
        <v>0</v>
      </c>
      <c r="M66" s="35">
        <f t="shared" si="114"/>
        <v>0</v>
      </c>
    </row>
    <row r="67" spans="1:13" s="11" customFormat="1" ht="11.4" x14ac:dyDescent="0.25">
      <c r="A67" s="33" t="s">
        <v>88</v>
      </c>
      <c r="B67" s="33" t="s">
        <v>8</v>
      </c>
      <c r="G67" s="35">
        <f>IF(G64=0,0,IF($C$29*1/$C$28&gt;G66,$C$29*1/$C$28,G66))</f>
        <v>0.4</v>
      </c>
      <c r="H67" s="35">
        <f>IF(H64=0,0,IF($C$29*1/$C$28&gt;H66,$C$29*1/$C$28,H66))</f>
        <v>0.4</v>
      </c>
      <c r="I67" s="35">
        <f t="shared" ref="I67" si="115">IF(I64=0,0,IF($C$29*1/$C$28&gt;I66,$C$29*1/$C$28,I66))</f>
        <v>0.4</v>
      </c>
      <c r="J67" s="35">
        <f t="shared" ref="J67" si="116">IF(J64=0,0,IF($C$29*1/$C$28&gt;J66,$C$29*1/$C$28,J66))</f>
        <v>0.5</v>
      </c>
      <c r="K67" s="35">
        <f t="shared" ref="K67" si="117">IF(K64=0,0,IF($C$29*1/$C$28&gt;K66,$C$29*1/$C$28,K66))</f>
        <v>1</v>
      </c>
      <c r="L67" s="35">
        <f t="shared" ref="L67" si="118">IF(L64=0,0,IF($C$29*1/$C$28&gt;L66,$C$29*1/$C$28,L66))</f>
        <v>0</v>
      </c>
      <c r="M67" s="35">
        <f t="shared" ref="M67" si="119">IF(M64=0,0,IF($C$29*1/$C$28&gt;M66,$C$29*1/$C$28,M66))</f>
        <v>0</v>
      </c>
    </row>
    <row r="68" spans="1:13" s="11" customFormat="1" ht="11.4" x14ac:dyDescent="0.25">
      <c r="A68" s="33" t="s">
        <v>41</v>
      </c>
      <c r="B68" s="33" t="s">
        <v>7</v>
      </c>
      <c r="G68" s="12">
        <f>G65*G67</f>
        <v>2000000</v>
      </c>
      <c r="H68" s="12">
        <f>H65*H67</f>
        <v>1200000</v>
      </c>
      <c r="I68" s="12">
        <f t="shared" ref="I68" si="120">I65*I67</f>
        <v>720000</v>
      </c>
      <c r="J68" s="12">
        <f t="shared" ref="J68" si="121">J65*J67</f>
        <v>540000</v>
      </c>
      <c r="K68" s="12">
        <f t="shared" ref="K68" si="122">K65*K67</f>
        <v>540000</v>
      </c>
      <c r="L68" s="12">
        <f t="shared" ref="L68" si="123">L65*L67</f>
        <v>0</v>
      </c>
      <c r="M68" s="12">
        <f t="shared" ref="M68" si="124">M65*M67</f>
        <v>0</v>
      </c>
    </row>
    <row r="69" spans="1:13" s="11" customFormat="1" ht="11.4" x14ac:dyDescent="0.25">
      <c r="A69" s="33" t="s">
        <v>42</v>
      </c>
      <c r="B69" s="33" t="s">
        <v>7</v>
      </c>
      <c r="G69" s="12">
        <f>G65-G68</f>
        <v>3000000</v>
      </c>
      <c r="H69" s="12">
        <f>H65-H68</f>
        <v>1800000</v>
      </c>
      <c r="I69" s="12">
        <f t="shared" ref="I69" si="125">I65-I68</f>
        <v>1080000</v>
      </c>
      <c r="J69" s="12">
        <f t="shared" ref="J69" si="126">J65-J68</f>
        <v>540000</v>
      </c>
      <c r="K69" s="12">
        <f t="shared" ref="K69" si="127">K65-K68</f>
        <v>0</v>
      </c>
      <c r="L69" s="12">
        <f t="shared" ref="L69" si="128">L65-L68</f>
        <v>0</v>
      </c>
      <c r="M69" s="12">
        <f t="shared" ref="M69" si="129">M65-M68</f>
        <v>0</v>
      </c>
    </row>
    <row r="70" spans="1:13" s="11" customFormat="1" ht="11.4" x14ac:dyDescent="0.25">
      <c r="A70" s="33"/>
      <c r="B70" s="33"/>
    </row>
    <row r="71" spans="1:13" s="11" customFormat="1" ht="12" x14ac:dyDescent="0.25">
      <c r="A71" s="6" t="s">
        <v>79</v>
      </c>
      <c r="B71" s="33"/>
    </row>
    <row r="72" spans="1:13" s="11" customFormat="1" ht="11.4" x14ac:dyDescent="0.25">
      <c r="A72" s="33" t="s">
        <v>40</v>
      </c>
      <c r="B72" s="33" t="s">
        <v>35</v>
      </c>
      <c r="H72" s="34">
        <f>IF($C$28&lt;H$3,$C$28,H$3)</f>
        <v>5</v>
      </c>
      <c r="I72" s="12">
        <f>IF(H72=0,0,IF(H72-1&lt;I$3,H72-1,I$3))</f>
        <v>4</v>
      </c>
      <c r="J72" s="12">
        <f t="shared" ref="J72:M72" si="130">IF(I72=0,0,IF(I72-1&lt;J$3,I72-1,J$3))</f>
        <v>3</v>
      </c>
      <c r="K72" s="12">
        <f t="shared" si="130"/>
        <v>2</v>
      </c>
      <c r="L72" s="12">
        <f t="shared" si="130"/>
        <v>1</v>
      </c>
      <c r="M72" s="12">
        <f t="shared" si="130"/>
        <v>0</v>
      </c>
    </row>
    <row r="73" spans="1:13" s="11" customFormat="1" ht="11.4" x14ac:dyDescent="0.25">
      <c r="A73" s="33" t="s">
        <v>39</v>
      </c>
      <c r="B73" s="33" t="s">
        <v>7</v>
      </c>
      <c r="H73" s="34">
        <f>Modèle!L$10</f>
        <v>5000000</v>
      </c>
      <c r="I73" s="12">
        <f>H77</f>
        <v>3000000</v>
      </c>
      <c r="J73" s="12">
        <f t="shared" ref="J73:M73" si="131">I77</f>
        <v>1800000</v>
      </c>
      <c r="K73" s="12">
        <f t="shared" si="131"/>
        <v>1080000</v>
      </c>
      <c r="L73" s="12">
        <f t="shared" si="131"/>
        <v>540000</v>
      </c>
      <c r="M73" s="12">
        <f t="shared" si="131"/>
        <v>0</v>
      </c>
    </row>
    <row r="74" spans="1:13" s="11" customFormat="1" ht="11.4" x14ac:dyDescent="0.25">
      <c r="A74" s="33" t="s">
        <v>89</v>
      </c>
      <c r="B74" s="33" t="s">
        <v>8</v>
      </c>
      <c r="H74" s="35">
        <f>IF(H72=0,0,1/H72)</f>
        <v>0.2</v>
      </c>
      <c r="I74" s="35">
        <f>IF(I72=0,0,1/I72)</f>
        <v>0.25</v>
      </c>
      <c r="J74" s="35">
        <f t="shared" ref="J74:M74" si="132">IF(J72=0,0,1/J72)</f>
        <v>0.33333333333333331</v>
      </c>
      <c r="K74" s="35">
        <f t="shared" si="132"/>
        <v>0.5</v>
      </c>
      <c r="L74" s="35">
        <f t="shared" si="132"/>
        <v>1</v>
      </c>
      <c r="M74" s="35">
        <f t="shared" si="132"/>
        <v>0</v>
      </c>
    </row>
    <row r="75" spans="1:13" s="11" customFormat="1" ht="11.4" x14ac:dyDescent="0.25">
      <c r="A75" s="33" t="s">
        <v>88</v>
      </c>
      <c r="B75" s="33" t="s">
        <v>8</v>
      </c>
      <c r="H75" s="35">
        <f>IF(H72=0,0,IF($C$29*1/$C$28&gt;H74,$C$29*1/$C$28,H74))</f>
        <v>0.4</v>
      </c>
      <c r="I75" s="35">
        <f>IF(I72=0,0,IF($C$29*1/$C$28&gt;I74,$C$29*1/$C$28,I74))</f>
        <v>0.4</v>
      </c>
      <c r="J75" s="35">
        <f t="shared" ref="J75" si="133">IF(J72=0,0,IF($C$29*1/$C$28&gt;J74,$C$29*1/$C$28,J74))</f>
        <v>0.4</v>
      </c>
      <c r="K75" s="35">
        <f t="shared" ref="K75" si="134">IF(K72=0,0,IF($C$29*1/$C$28&gt;K74,$C$29*1/$C$28,K74))</f>
        <v>0.5</v>
      </c>
      <c r="L75" s="35">
        <f t="shared" ref="L75" si="135">IF(L72=0,0,IF($C$29*1/$C$28&gt;L74,$C$29*1/$C$28,L74))</f>
        <v>1</v>
      </c>
      <c r="M75" s="35">
        <f t="shared" ref="M75" si="136">IF(M72=0,0,IF($C$29*1/$C$28&gt;M74,$C$29*1/$C$28,M74))</f>
        <v>0</v>
      </c>
    </row>
    <row r="76" spans="1:13" s="11" customFormat="1" ht="11.4" x14ac:dyDescent="0.25">
      <c r="A76" s="33" t="s">
        <v>41</v>
      </c>
      <c r="B76" s="33" t="s">
        <v>7</v>
      </c>
      <c r="H76" s="12">
        <f>H73*H75</f>
        <v>2000000</v>
      </c>
      <c r="I76" s="12">
        <f>I73*I75</f>
        <v>1200000</v>
      </c>
      <c r="J76" s="12">
        <f t="shared" ref="J76" si="137">J73*J75</f>
        <v>720000</v>
      </c>
      <c r="K76" s="12">
        <f t="shared" ref="K76" si="138">K73*K75</f>
        <v>540000</v>
      </c>
      <c r="L76" s="12">
        <f t="shared" ref="L76" si="139">L73*L75</f>
        <v>540000</v>
      </c>
      <c r="M76" s="12">
        <f t="shared" ref="M76" si="140">M73*M75</f>
        <v>0</v>
      </c>
    </row>
    <row r="77" spans="1:13" s="11" customFormat="1" ht="11.4" x14ac:dyDescent="0.25">
      <c r="A77" s="33" t="s">
        <v>42</v>
      </c>
      <c r="B77" s="33" t="s">
        <v>7</v>
      </c>
      <c r="H77" s="12">
        <f>H73-H76</f>
        <v>3000000</v>
      </c>
      <c r="I77" s="12">
        <f>I73-I76</f>
        <v>1800000</v>
      </c>
      <c r="J77" s="12">
        <f t="shared" ref="J77" si="141">J73-J76</f>
        <v>1080000</v>
      </c>
      <c r="K77" s="12">
        <f t="shared" ref="K77" si="142">K73-K76</f>
        <v>540000</v>
      </c>
      <c r="L77" s="12">
        <f t="shared" ref="L77" si="143">L73-L76</f>
        <v>0</v>
      </c>
      <c r="M77" s="12">
        <f t="shared" ref="M77" si="144">M73-M76</f>
        <v>0</v>
      </c>
    </row>
    <row r="78" spans="1:13" s="11" customFormat="1" ht="11.4" x14ac:dyDescent="0.25">
      <c r="A78" s="33"/>
      <c r="B78" s="33"/>
    </row>
    <row r="79" spans="1:13" s="11" customFormat="1" ht="12" x14ac:dyDescent="0.25">
      <c r="A79" s="6" t="s">
        <v>80</v>
      </c>
      <c r="B79" s="33"/>
    </row>
    <row r="80" spans="1:13" s="11" customFormat="1" ht="11.4" x14ac:dyDescent="0.25">
      <c r="A80" s="33" t="s">
        <v>40</v>
      </c>
      <c r="B80" s="33" t="s">
        <v>35</v>
      </c>
      <c r="I80" s="34">
        <f>IF($C$28&lt;I$3,$C$28,I$3)</f>
        <v>5</v>
      </c>
      <c r="J80" s="12">
        <f>IF(I80=0,0,IF(I80-1&lt;J$3,I80-1,J$3))</f>
        <v>4</v>
      </c>
      <c r="K80" s="12">
        <f t="shared" ref="K80:M80" si="145">IF(J80=0,0,IF(J80-1&lt;K$3,J80-1,K$3))</f>
        <v>3</v>
      </c>
      <c r="L80" s="12">
        <f t="shared" si="145"/>
        <v>2</v>
      </c>
      <c r="M80" s="12">
        <f t="shared" si="145"/>
        <v>1</v>
      </c>
    </row>
    <row r="81" spans="1:13" s="11" customFormat="1" ht="11.4" x14ac:dyDescent="0.25">
      <c r="A81" s="33" t="s">
        <v>39</v>
      </c>
      <c r="B81" s="33" t="s">
        <v>7</v>
      </c>
      <c r="I81" s="34">
        <f>Modèle!M$10</f>
        <v>5000000</v>
      </c>
      <c r="J81" s="12">
        <f>I85</f>
        <v>3000000</v>
      </c>
      <c r="K81" s="12">
        <f t="shared" ref="K81:M81" si="146">J85</f>
        <v>1800000</v>
      </c>
      <c r="L81" s="12">
        <f t="shared" si="146"/>
        <v>1080000</v>
      </c>
      <c r="M81" s="12">
        <f t="shared" si="146"/>
        <v>540000</v>
      </c>
    </row>
    <row r="82" spans="1:13" s="11" customFormat="1" ht="11.4" x14ac:dyDescent="0.25">
      <c r="A82" s="33" t="s">
        <v>89</v>
      </c>
      <c r="B82" s="33" t="s">
        <v>8</v>
      </c>
      <c r="I82" s="35">
        <f>IF(I80=0,0,1/I80)</f>
        <v>0.2</v>
      </c>
      <c r="J82" s="35">
        <f>IF(J80=0,0,1/J80)</f>
        <v>0.25</v>
      </c>
      <c r="K82" s="35">
        <f t="shared" ref="K82:M82" si="147">IF(K80=0,0,1/K80)</f>
        <v>0.33333333333333331</v>
      </c>
      <c r="L82" s="35">
        <f t="shared" si="147"/>
        <v>0.5</v>
      </c>
      <c r="M82" s="35">
        <f t="shared" si="147"/>
        <v>1</v>
      </c>
    </row>
    <row r="83" spans="1:13" s="11" customFormat="1" ht="11.4" x14ac:dyDescent="0.25">
      <c r="A83" s="33" t="s">
        <v>88</v>
      </c>
      <c r="B83" s="33" t="s">
        <v>8</v>
      </c>
      <c r="I83" s="35">
        <f>IF(I80=0,0,IF($C$29*1/$C$28&gt;I82,$C$29*1/$C$28,I82))</f>
        <v>0.4</v>
      </c>
      <c r="J83" s="35">
        <f>IF(J80=0,0,IF($C$29*1/$C$28&gt;J82,$C$29*1/$C$28,J82))</f>
        <v>0.4</v>
      </c>
      <c r="K83" s="35">
        <f t="shared" ref="K83" si="148">IF(K80=0,0,IF($C$29*1/$C$28&gt;K82,$C$29*1/$C$28,K82))</f>
        <v>0.4</v>
      </c>
      <c r="L83" s="35">
        <f t="shared" ref="L83" si="149">IF(L80=0,0,IF($C$29*1/$C$28&gt;L82,$C$29*1/$C$28,L82))</f>
        <v>0.5</v>
      </c>
      <c r="M83" s="35">
        <f t="shared" ref="M83" si="150">IF(M80=0,0,IF($C$29*1/$C$28&gt;M82,$C$29*1/$C$28,M82))</f>
        <v>1</v>
      </c>
    </row>
    <row r="84" spans="1:13" s="11" customFormat="1" ht="11.4" x14ac:dyDescent="0.25">
      <c r="A84" s="33" t="s">
        <v>41</v>
      </c>
      <c r="B84" s="33" t="s">
        <v>7</v>
      </c>
      <c r="I84" s="12">
        <f>I81*I83</f>
        <v>2000000</v>
      </c>
      <c r="J84" s="12">
        <f>J81*J83</f>
        <v>1200000</v>
      </c>
      <c r="K84" s="12">
        <f t="shared" ref="K84" si="151">K81*K83</f>
        <v>720000</v>
      </c>
      <c r="L84" s="12">
        <f t="shared" ref="L84" si="152">L81*L83</f>
        <v>540000</v>
      </c>
      <c r="M84" s="12">
        <f t="shared" ref="M84" si="153">M81*M83</f>
        <v>540000</v>
      </c>
    </row>
    <row r="85" spans="1:13" s="11" customFormat="1" ht="11.4" x14ac:dyDescent="0.25">
      <c r="A85" s="33" t="s">
        <v>42</v>
      </c>
      <c r="B85" s="33" t="s">
        <v>7</v>
      </c>
      <c r="I85" s="12">
        <f>I81-I84</f>
        <v>3000000</v>
      </c>
      <c r="J85" s="12">
        <f>J81-J84</f>
        <v>1800000</v>
      </c>
      <c r="K85" s="12">
        <f t="shared" ref="K85" si="154">K81-K84</f>
        <v>1080000</v>
      </c>
      <c r="L85" s="12">
        <f t="shared" ref="L85" si="155">L81-L84</f>
        <v>540000</v>
      </c>
      <c r="M85" s="12">
        <f t="shared" ref="M85" si="156">M81-M84</f>
        <v>0</v>
      </c>
    </row>
    <row r="86" spans="1:13" s="11" customFormat="1" ht="11.4" x14ac:dyDescent="0.25">
      <c r="A86" s="33"/>
      <c r="B86" s="33"/>
    </row>
    <row r="87" spans="1:13" s="11" customFormat="1" ht="12" x14ac:dyDescent="0.25">
      <c r="A87" s="6" t="s">
        <v>81</v>
      </c>
      <c r="B87" s="33"/>
    </row>
    <row r="88" spans="1:13" s="11" customFormat="1" ht="11.4" x14ac:dyDescent="0.25">
      <c r="A88" s="33" t="s">
        <v>40</v>
      </c>
      <c r="B88" s="33" t="s">
        <v>35</v>
      </c>
      <c r="J88" s="34">
        <f>IF($C$28&lt;J$3,$C$28,J$3)</f>
        <v>4</v>
      </c>
      <c r="K88" s="12">
        <f>IF(J88=0,0,IF(J88-1&lt;K$3,J88-1,K$3))</f>
        <v>3</v>
      </c>
      <c r="L88" s="12">
        <f t="shared" ref="L88:M88" si="157">IF(K88=0,0,IF(K88-1&lt;L$3,K88-1,L$3))</f>
        <v>2</v>
      </c>
      <c r="M88" s="12">
        <f t="shared" si="157"/>
        <v>1</v>
      </c>
    </row>
    <row r="89" spans="1:13" s="11" customFormat="1" ht="11.4" x14ac:dyDescent="0.25">
      <c r="A89" s="33" t="s">
        <v>39</v>
      </c>
      <c r="B89" s="33" t="s">
        <v>7</v>
      </c>
      <c r="J89" s="34">
        <f>Modèle!N$10</f>
        <v>5000000</v>
      </c>
      <c r="K89" s="12">
        <f>J93</f>
        <v>3000000</v>
      </c>
      <c r="L89" s="12">
        <f t="shared" ref="L89:M89" si="158">K93</f>
        <v>1800000</v>
      </c>
      <c r="M89" s="12">
        <f t="shared" si="158"/>
        <v>900000</v>
      </c>
    </row>
    <row r="90" spans="1:13" s="11" customFormat="1" ht="11.4" x14ac:dyDescent="0.25">
      <c r="A90" s="33" t="s">
        <v>89</v>
      </c>
      <c r="B90" s="33" t="s">
        <v>8</v>
      </c>
      <c r="J90" s="35">
        <f>IF(J88=0,0,1/J88)</f>
        <v>0.25</v>
      </c>
      <c r="K90" s="35">
        <f>IF(K88=0,0,1/K88)</f>
        <v>0.33333333333333331</v>
      </c>
      <c r="L90" s="35">
        <f t="shared" ref="L90:M90" si="159">IF(L88=0,0,1/L88)</f>
        <v>0.5</v>
      </c>
      <c r="M90" s="35">
        <f t="shared" si="159"/>
        <v>1</v>
      </c>
    </row>
    <row r="91" spans="1:13" s="11" customFormat="1" ht="11.4" x14ac:dyDescent="0.25">
      <c r="A91" s="33" t="s">
        <v>88</v>
      </c>
      <c r="B91" s="33" t="s">
        <v>8</v>
      </c>
      <c r="J91" s="35">
        <f>IF(J88=0,0,IF($C$29*1/$C$28&gt;J90,$C$29*1/$C$28,J90))</f>
        <v>0.4</v>
      </c>
      <c r="K91" s="35">
        <f>IF(K88=0,0,IF($C$29*1/$C$28&gt;K90,$C$29*1/$C$28,K90))</f>
        <v>0.4</v>
      </c>
      <c r="L91" s="35">
        <f t="shared" ref="L91" si="160">IF(L88=0,0,IF($C$29*1/$C$28&gt;L90,$C$29*1/$C$28,L90))</f>
        <v>0.5</v>
      </c>
      <c r="M91" s="35">
        <f t="shared" ref="M91" si="161">IF(M88=0,0,IF($C$29*1/$C$28&gt;M90,$C$29*1/$C$28,M90))</f>
        <v>1</v>
      </c>
    </row>
    <row r="92" spans="1:13" s="11" customFormat="1" ht="11.4" x14ac:dyDescent="0.25">
      <c r="A92" s="33" t="s">
        <v>41</v>
      </c>
      <c r="B92" s="33" t="s">
        <v>7</v>
      </c>
      <c r="J92" s="12">
        <f>J89*J91</f>
        <v>2000000</v>
      </c>
      <c r="K92" s="12">
        <f>K89*K91</f>
        <v>1200000</v>
      </c>
      <c r="L92" s="12">
        <f t="shared" ref="L92" si="162">L89*L91</f>
        <v>900000</v>
      </c>
      <c r="M92" s="12">
        <f t="shared" ref="M92" si="163">M89*M91</f>
        <v>900000</v>
      </c>
    </row>
    <row r="93" spans="1:13" s="11" customFormat="1" ht="11.4" x14ac:dyDescent="0.25">
      <c r="A93" s="33" t="s">
        <v>42</v>
      </c>
      <c r="B93" s="33" t="s">
        <v>7</v>
      </c>
      <c r="J93" s="12">
        <f>J89-J92</f>
        <v>3000000</v>
      </c>
      <c r="K93" s="12">
        <f>K89-K92</f>
        <v>1800000</v>
      </c>
      <c r="L93" s="12">
        <f t="shared" ref="L93" si="164">L89-L92</f>
        <v>900000</v>
      </c>
      <c r="M93" s="12">
        <f t="shared" ref="M93" si="165">M89-M92</f>
        <v>0</v>
      </c>
    </row>
    <row r="94" spans="1:13" s="11" customFormat="1" ht="11.4" x14ac:dyDescent="0.25">
      <c r="A94" s="33"/>
      <c r="B94" s="33"/>
    </row>
    <row r="95" spans="1:13" s="11" customFormat="1" ht="12" x14ac:dyDescent="0.25">
      <c r="A95" s="6" t="s">
        <v>82</v>
      </c>
      <c r="B95" s="33"/>
    </row>
    <row r="96" spans="1:13" s="11" customFormat="1" ht="11.4" x14ac:dyDescent="0.25">
      <c r="A96" s="33" t="s">
        <v>40</v>
      </c>
      <c r="B96" s="33" t="s">
        <v>35</v>
      </c>
      <c r="K96" s="34">
        <f>IF($C$28&lt;K$3,$C$28,K$3)</f>
        <v>3</v>
      </c>
      <c r="L96" s="12">
        <f>IF(K96=0,0,IF(K96-1&lt;L$3,K96-1,L$3))</f>
        <v>2</v>
      </c>
      <c r="M96" s="12">
        <f t="shared" ref="M96" si="166">IF(L96=0,0,IF(L96-1&lt;M$3,L96-1,M$3))</f>
        <v>1</v>
      </c>
    </row>
    <row r="97" spans="1:13" s="11" customFormat="1" ht="11.4" x14ac:dyDescent="0.25">
      <c r="A97" s="33" t="s">
        <v>39</v>
      </c>
      <c r="B97" s="33" t="s">
        <v>7</v>
      </c>
      <c r="K97" s="34">
        <f>Modèle!O$10</f>
        <v>5000000</v>
      </c>
      <c r="L97" s="12">
        <f>K101</f>
        <v>3000000</v>
      </c>
      <c r="M97" s="12">
        <f t="shared" ref="M97" si="167">L101</f>
        <v>1500000</v>
      </c>
    </row>
    <row r="98" spans="1:13" s="11" customFormat="1" ht="11.4" x14ac:dyDescent="0.25">
      <c r="A98" s="33" t="s">
        <v>89</v>
      </c>
      <c r="B98" s="33" t="s">
        <v>8</v>
      </c>
      <c r="K98" s="35">
        <f>IF(K96=0,0,1/K96)</f>
        <v>0.33333333333333331</v>
      </c>
      <c r="L98" s="35">
        <f>IF(L96=0,0,1/L96)</f>
        <v>0.5</v>
      </c>
      <c r="M98" s="35">
        <f t="shared" ref="M98" si="168">IF(M96=0,0,1/M96)</f>
        <v>1</v>
      </c>
    </row>
    <row r="99" spans="1:13" s="11" customFormat="1" ht="11.4" x14ac:dyDescent="0.25">
      <c r="A99" s="33" t="s">
        <v>88</v>
      </c>
      <c r="B99" s="33" t="s">
        <v>8</v>
      </c>
      <c r="K99" s="35">
        <f>IF(K96=0,0,IF($C$29*1/$C$28&gt;K98,$C$29*1/$C$28,K98))</f>
        <v>0.4</v>
      </c>
      <c r="L99" s="35">
        <f>IF(L96=0,0,IF($C$29*1/$C$28&gt;L98,$C$29*1/$C$28,L98))</f>
        <v>0.5</v>
      </c>
      <c r="M99" s="35">
        <f t="shared" ref="M99" si="169">IF(M96=0,0,IF($C$29*1/$C$28&gt;M98,$C$29*1/$C$28,M98))</f>
        <v>1</v>
      </c>
    </row>
    <row r="100" spans="1:13" s="11" customFormat="1" ht="11.4" x14ac:dyDescent="0.25">
      <c r="A100" s="33" t="s">
        <v>41</v>
      </c>
      <c r="B100" s="33" t="s">
        <v>7</v>
      </c>
      <c r="K100" s="12">
        <f>K97*K99</f>
        <v>2000000</v>
      </c>
      <c r="L100" s="12">
        <f>L97*L99</f>
        <v>1500000</v>
      </c>
      <c r="M100" s="12">
        <f t="shared" ref="M100" si="170">M97*M99</f>
        <v>1500000</v>
      </c>
    </row>
    <row r="101" spans="1:13" s="11" customFormat="1" ht="11.4" x14ac:dyDescent="0.25">
      <c r="A101" s="33" t="s">
        <v>42</v>
      </c>
      <c r="B101" s="33" t="s">
        <v>7</v>
      </c>
      <c r="K101" s="12">
        <f>K97-K100</f>
        <v>3000000</v>
      </c>
      <c r="L101" s="12">
        <f>L97-L100</f>
        <v>1500000</v>
      </c>
      <c r="M101" s="12">
        <f t="shared" ref="M101" si="171">M97-M100</f>
        <v>0</v>
      </c>
    </row>
    <row r="102" spans="1:13" s="11" customFormat="1" ht="11.4" x14ac:dyDescent="0.25">
      <c r="A102" s="33"/>
      <c r="B102" s="33"/>
    </row>
    <row r="103" spans="1:13" s="11" customFormat="1" ht="12" x14ac:dyDescent="0.25">
      <c r="A103" s="6" t="s">
        <v>83</v>
      </c>
      <c r="B103" s="33"/>
    </row>
    <row r="104" spans="1:13" s="11" customFormat="1" ht="11.4" x14ac:dyDescent="0.25">
      <c r="A104" s="33" t="s">
        <v>40</v>
      </c>
      <c r="B104" s="33" t="s">
        <v>35</v>
      </c>
      <c r="L104" s="34">
        <f>IF($C$28&lt;L$3,$C$28,L$3)</f>
        <v>2</v>
      </c>
      <c r="M104" s="12">
        <f>IF(L104=0,0,IF(L104-1&lt;M$3,L104-1,M$3))</f>
        <v>1</v>
      </c>
    </row>
    <row r="105" spans="1:13" s="11" customFormat="1" ht="11.4" x14ac:dyDescent="0.25">
      <c r="A105" s="33" t="s">
        <v>39</v>
      </c>
      <c r="B105" s="33" t="s">
        <v>7</v>
      </c>
      <c r="L105" s="34">
        <f>Modèle!P$10</f>
        <v>5000000</v>
      </c>
      <c r="M105" s="12">
        <f>L109</f>
        <v>2500000</v>
      </c>
    </row>
    <row r="106" spans="1:13" s="11" customFormat="1" ht="11.4" x14ac:dyDescent="0.25">
      <c r="A106" s="33" t="s">
        <v>89</v>
      </c>
      <c r="B106" s="33" t="s">
        <v>8</v>
      </c>
      <c r="L106" s="35">
        <f>IF(L104=0,0,1/L104)</f>
        <v>0.5</v>
      </c>
      <c r="M106" s="35">
        <f>IF(M104=0,0,1/M104)</f>
        <v>1</v>
      </c>
    </row>
    <row r="107" spans="1:13" s="11" customFormat="1" ht="11.4" x14ac:dyDescent="0.25">
      <c r="A107" s="33" t="s">
        <v>88</v>
      </c>
      <c r="B107" s="33" t="s">
        <v>8</v>
      </c>
      <c r="L107" s="35">
        <f>IF(L104=0,0,IF($C$29*1/$C$28&gt;L106,$C$29*1/$C$28,L106))</f>
        <v>0.5</v>
      </c>
      <c r="M107" s="35">
        <f>IF(M104=0,0,IF($C$29*1/$C$28&gt;M106,$C$29*1/$C$28,M106))</f>
        <v>1</v>
      </c>
    </row>
    <row r="108" spans="1:13" s="11" customFormat="1" ht="11.4" x14ac:dyDescent="0.25">
      <c r="A108" s="33" t="s">
        <v>41</v>
      </c>
      <c r="B108" s="33" t="s">
        <v>7</v>
      </c>
      <c r="L108" s="12">
        <f>L105*L107</f>
        <v>2500000</v>
      </c>
      <c r="M108" s="12">
        <f>M105*M107</f>
        <v>2500000</v>
      </c>
    </row>
    <row r="109" spans="1:13" s="11" customFormat="1" ht="11.4" x14ac:dyDescent="0.25">
      <c r="A109" s="33" t="s">
        <v>42</v>
      </c>
      <c r="B109" s="33" t="s">
        <v>7</v>
      </c>
      <c r="L109" s="12">
        <f>L105-L108</f>
        <v>2500000</v>
      </c>
      <c r="M109" s="12">
        <f>M105-M108</f>
        <v>0</v>
      </c>
    </row>
    <row r="110" spans="1:13" s="11" customFormat="1" ht="11.4" x14ac:dyDescent="0.25">
      <c r="A110" s="33"/>
      <c r="B110" s="33"/>
    </row>
    <row r="111" spans="1:13" s="11" customFormat="1" ht="12" x14ac:dyDescent="0.25">
      <c r="A111" s="6" t="s">
        <v>84</v>
      </c>
      <c r="B111" s="33"/>
    </row>
    <row r="112" spans="1:13" s="11" customFormat="1" ht="11.4" x14ac:dyDescent="0.25">
      <c r="A112" s="33" t="s">
        <v>40</v>
      </c>
      <c r="B112" s="33" t="s">
        <v>35</v>
      </c>
      <c r="M112" s="34">
        <f>IF($C$28&lt;M$3,$C$28,M$3)</f>
        <v>1</v>
      </c>
    </row>
    <row r="113" spans="1:13" s="11" customFormat="1" ht="11.4" x14ac:dyDescent="0.25">
      <c r="A113" s="33" t="s">
        <v>39</v>
      </c>
      <c r="B113" s="33" t="s">
        <v>7</v>
      </c>
      <c r="M113" s="34">
        <f>Modèle!Q$10</f>
        <v>0</v>
      </c>
    </row>
    <row r="114" spans="1:13" s="11" customFormat="1" ht="11.4" x14ac:dyDescent="0.25">
      <c r="A114" s="33" t="s">
        <v>89</v>
      </c>
      <c r="B114" s="33" t="s">
        <v>8</v>
      </c>
      <c r="M114" s="35">
        <f>IF(M112=0,0,1/M112)</f>
        <v>1</v>
      </c>
    </row>
    <row r="115" spans="1:13" s="11" customFormat="1" ht="11.4" x14ac:dyDescent="0.25">
      <c r="A115" s="33" t="s">
        <v>88</v>
      </c>
      <c r="B115" s="33" t="s">
        <v>8</v>
      </c>
      <c r="M115" s="35">
        <f>IF(M112=0,0,IF($C$29*1/$C$28&gt;M114,$C$29*1/$C$28,M114))</f>
        <v>1</v>
      </c>
    </row>
    <row r="116" spans="1:13" s="11" customFormat="1" ht="11.4" x14ac:dyDescent="0.25">
      <c r="A116" s="33" t="s">
        <v>41</v>
      </c>
      <c r="B116" s="33" t="s">
        <v>7</v>
      </c>
      <c r="M116" s="12">
        <f>M113*M115</f>
        <v>0</v>
      </c>
    </row>
    <row r="117" spans="1:13" s="11" customFormat="1" ht="11.4" x14ac:dyDescent="0.25">
      <c r="A117" s="33" t="s">
        <v>42</v>
      </c>
      <c r="B117" s="33" t="s">
        <v>7</v>
      </c>
      <c r="M117" s="12">
        <f>M113-M116</f>
        <v>0</v>
      </c>
    </row>
    <row r="118" spans="1:13" s="11" customFormat="1" ht="11.4" x14ac:dyDescent="0.25">
      <c r="A118" s="33"/>
      <c r="B118" s="33"/>
    </row>
    <row r="119" spans="1:13" s="11" customFormat="1" ht="12" x14ac:dyDescent="0.25">
      <c r="A119" s="6" t="s">
        <v>44</v>
      </c>
      <c r="B119" s="33" t="s">
        <v>7</v>
      </c>
      <c r="C119" s="12">
        <f>C$36+C$44+C$52+C$60+C$68+C$76+C$84+C$92+C$100+C$108+C$116</f>
        <v>0</v>
      </c>
      <c r="D119" s="12">
        <f t="shared" ref="D119:M119" si="172">D$36+D$44+D$52+D$60+D$68+D$76+D$84+D$92+D$100+D$108+D$116</f>
        <v>20000000</v>
      </c>
      <c r="E119" s="12">
        <f t="shared" si="172"/>
        <v>14000000</v>
      </c>
      <c r="F119" s="12">
        <f t="shared" si="172"/>
        <v>10400000</v>
      </c>
      <c r="G119" s="12">
        <f t="shared" si="172"/>
        <v>9320000</v>
      </c>
      <c r="H119" s="12">
        <f>H$36+H$44+H$52+H$60+H$68+H$76+H$84+H$92+H$100+H$108+H$116</f>
        <v>9860000</v>
      </c>
      <c r="I119" s="12">
        <f t="shared" si="172"/>
        <v>5000000</v>
      </c>
      <c r="J119" s="12">
        <f t="shared" si="172"/>
        <v>5000000</v>
      </c>
      <c r="K119" s="12">
        <f t="shared" si="172"/>
        <v>5000000</v>
      </c>
      <c r="L119" s="12">
        <f t="shared" si="172"/>
        <v>5980000</v>
      </c>
      <c r="M119" s="12">
        <f t="shared" si="172"/>
        <v>5440000</v>
      </c>
    </row>
    <row r="120" spans="1:13" s="11" customFormat="1" ht="11.4" x14ac:dyDescent="0.25">
      <c r="A120" s="33"/>
      <c r="B120" s="33"/>
    </row>
    <row r="121" spans="1:13" s="11" customFormat="1" ht="12" x14ac:dyDescent="0.25">
      <c r="A121" s="3" t="s">
        <v>86</v>
      </c>
      <c r="B121" s="37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</row>
    <row r="122" spans="1:13" s="11" customFormat="1" ht="12" x14ac:dyDescent="0.25">
      <c r="A122" s="6" t="s">
        <v>34</v>
      </c>
      <c r="B122" s="33" t="s">
        <v>35</v>
      </c>
      <c r="C122" s="23">
        <v>1</v>
      </c>
    </row>
    <row r="123" spans="1:13" s="11" customFormat="1" ht="12" x14ac:dyDescent="0.25">
      <c r="A123" s="6" t="s">
        <v>36</v>
      </c>
      <c r="B123" s="33" t="s">
        <v>37</v>
      </c>
      <c r="C123" s="23">
        <v>1</v>
      </c>
    </row>
    <row r="124" spans="1:13" s="11" customFormat="1" ht="11.4" x14ac:dyDescent="0.25">
      <c r="A124" s="33"/>
      <c r="B124" s="33"/>
    </row>
    <row r="125" spans="1:13" s="11" customFormat="1" ht="12" x14ac:dyDescent="0.25">
      <c r="A125" s="6" t="s">
        <v>84</v>
      </c>
      <c r="B125" s="33"/>
    </row>
    <row r="126" spans="1:13" s="11" customFormat="1" ht="11.4" x14ac:dyDescent="0.25">
      <c r="A126" s="33" t="s">
        <v>40</v>
      </c>
      <c r="B126" s="33" t="s">
        <v>35</v>
      </c>
      <c r="M126" s="34">
        <f>IF($C$122&lt;M$3,$C$122,M$3)</f>
        <v>1</v>
      </c>
    </row>
    <row r="127" spans="1:13" s="11" customFormat="1" ht="11.4" x14ac:dyDescent="0.25">
      <c r="A127" s="33" t="s">
        <v>39</v>
      </c>
      <c r="B127" s="33" t="s">
        <v>7</v>
      </c>
      <c r="M127" s="34">
        <f>Modèle!Q$11</f>
        <v>10000000</v>
      </c>
    </row>
    <row r="128" spans="1:13" s="11" customFormat="1" ht="11.4" x14ac:dyDescent="0.25">
      <c r="A128" s="33" t="s">
        <v>89</v>
      </c>
      <c r="B128" s="33" t="s">
        <v>8</v>
      </c>
      <c r="M128" s="35">
        <f>IF(M126=0,0,1/M126)</f>
        <v>1</v>
      </c>
    </row>
    <row r="129" spans="1:13" s="11" customFormat="1" ht="11.4" x14ac:dyDescent="0.25">
      <c r="A129" s="33" t="s">
        <v>88</v>
      </c>
      <c r="B129" s="33" t="s">
        <v>8</v>
      </c>
      <c r="M129" s="35">
        <f>IF(M126=0,0,IF($C$123*1/$C$122&gt;M128,$C$123*1/$C$122,M128))</f>
        <v>1</v>
      </c>
    </row>
    <row r="130" spans="1:13" s="11" customFormat="1" ht="11.4" x14ac:dyDescent="0.25">
      <c r="A130" s="33" t="s">
        <v>41</v>
      </c>
      <c r="B130" s="33" t="s">
        <v>7</v>
      </c>
      <c r="M130" s="12">
        <f>M127*M129</f>
        <v>10000000</v>
      </c>
    </row>
    <row r="131" spans="1:13" s="11" customFormat="1" ht="11.4" x14ac:dyDescent="0.25">
      <c r="A131" s="33" t="s">
        <v>42</v>
      </c>
      <c r="B131" s="33" t="s">
        <v>7</v>
      </c>
      <c r="M131" s="12">
        <f>M127-M130</f>
        <v>0</v>
      </c>
    </row>
    <row r="132" spans="1:13" s="11" customFormat="1" ht="11.4" x14ac:dyDescent="0.25">
      <c r="A132" s="33"/>
      <c r="B132" s="33"/>
    </row>
    <row r="133" spans="1:13" s="11" customFormat="1" ht="12" x14ac:dyDescent="0.25">
      <c r="A133" s="6" t="s">
        <v>85</v>
      </c>
      <c r="B133" s="33" t="s">
        <v>7</v>
      </c>
      <c r="C133" s="12">
        <f>C130</f>
        <v>0</v>
      </c>
      <c r="D133" s="12">
        <f t="shared" ref="D133:M133" si="173">D130</f>
        <v>0</v>
      </c>
      <c r="E133" s="12">
        <f t="shared" si="173"/>
        <v>0</v>
      </c>
      <c r="F133" s="12">
        <f t="shared" si="173"/>
        <v>0</v>
      </c>
      <c r="G133" s="12">
        <f t="shared" si="173"/>
        <v>0</v>
      </c>
      <c r="H133" s="12">
        <f t="shared" si="173"/>
        <v>0</v>
      </c>
      <c r="I133" s="12">
        <f t="shared" si="173"/>
        <v>0</v>
      </c>
      <c r="J133" s="12">
        <f t="shared" si="173"/>
        <v>0</v>
      </c>
      <c r="K133" s="12">
        <f t="shared" si="173"/>
        <v>0</v>
      </c>
      <c r="L133" s="12">
        <f t="shared" si="173"/>
        <v>0</v>
      </c>
      <c r="M133" s="12">
        <f t="shared" si="173"/>
        <v>10000000</v>
      </c>
    </row>
    <row r="134" spans="1:13" s="11" customFormat="1" ht="11.4" x14ac:dyDescent="0.25">
      <c r="A134" s="33"/>
      <c r="B134" s="33"/>
    </row>
    <row r="135" spans="1:13" s="11" customFormat="1" ht="12" x14ac:dyDescent="0.25">
      <c r="A135" s="3" t="s">
        <v>87</v>
      </c>
      <c r="B135" s="37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</row>
    <row r="136" spans="1:13" s="11" customFormat="1" ht="12" x14ac:dyDescent="0.25">
      <c r="A136" s="6" t="s">
        <v>53</v>
      </c>
      <c r="B136" s="33"/>
    </row>
    <row r="137" spans="1:13" s="11" customFormat="1" ht="11.4" x14ac:dyDescent="0.25">
      <c r="A137" s="33" t="s">
        <v>46</v>
      </c>
      <c r="B137" s="33" t="s">
        <v>35</v>
      </c>
      <c r="C137" s="23">
        <v>5</v>
      </c>
    </row>
    <row r="138" spans="1:13" s="11" customFormat="1" ht="11.4" x14ac:dyDescent="0.25">
      <c r="A138" s="33" t="s">
        <v>47</v>
      </c>
      <c r="B138" s="33" t="s">
        <v>8</v>
      </c>
      <c r="C138" s="25">
        <v>0.1</v>
      </c>
    </row>
    <row r="139" spans="1:13" s="11" customFormat="1" ht="12" x14ac:dyDescent="0.25">
      <c r="A139" s="6" t="s">
        <v>68</v>
      </c>
      <c r="B139" s="33"/>
    </row>
    <row r="140" spans="1:13" s="11" customFormat="1" ht="11.4" x14ac:dyDescent="0.25">
      <c r="A140" s="33" t="s">
        <v>69</v>
      </c>
      <c r="B140" s="33" t="s">
        <v>8</v>
      </c>
      <c r="C140" s="25">
        <v>0.05</v>
      </c>
    </row>
    <row r="141" spans="1:13" s="11" customFormat="1" ht="11.4" x14ac:dyDescent="0.25">
      <c r="A141" s="33"/>
      <c r="B141" s="33"/>
    </row>
    <row r="142" spans="1:13" s="11" customFormat="1" ht="12" x14ac:dyDescent="0.25">
      <c r="A142" s="6" t="s">
        <v>49</v>
      </c>
      <c r="B142" s="33"/>
    </row>
    <row r="143" spans="1:13" s="11" customFormat="1" ht="11.4" x14ac:dyDescent="0.25">
      <c r="A143" s="33" t="s">
        <v>40</v>
      </c>
      <c r="B143" s="33" t="s">
        <v>35</v>
      </c>
      <c r="C143" s="34">
        <f>IF($C$137+1&lt;C$3,$C$137+1,C$3)</f>
        <v>6</v>
      </c>
      <c r="D143" s="12">
        <f>IF(C143=0,0,IF(C143-1&lt;D$3,C143-1,D$3))</f>
        <v>5</v>
      </c>
      <c r="E143" s="12">
        <f t="shared" ref="E143:M143" si="174">IF(D143=0,0,IF(D143-1&lt;E$3,D143-1,E$3))</f>
        <v>4</v>
      </c>
      <c r="F143" s="12">
        <f t="shared" si="174"/>
        <v>3</v>
      </c>
      <c r="G143" s="12">
        <f t="shared" si="174"/>
        <v>2</v>
      </c>
      <c r="H143" s="12">
        <f t="shared" si="174"/>
        <v>1</v>
      </c>
      <c r="I143" s="12">
        <f t="shared" si="174"/>
        <v>0</v>
      </c>
      <c r="J143" s="12">
        <f t="shared" si="174"/>
        <v>0</v>
      </c>
      <c r="K143" s="12">
        <f t="shared" si="174"/>
        <v>0</v>
      </c>
      <c r="L143" s="12">
        <f t="shared" si="174"/>
        <v>0</v>
      </c>
      <c r="M143" s="12">
        <f t="shared" si="174"/>
        <v>0</v>
      </c>
    </row>
    <row r="144" spans="1:13" s="11" customFormat="1" ht="11.4" x14ac:dyDescent="0.25">
      <c r="A144" s="33" t="s">
        <v>48</v>
      </c>
      <c r="B144" s="33" t="s">
        <v>7</v>
      </c>
      <c r="C144" s="34">
        <f>Modèle!C$12</f>
        <v>50000000</v>
      </c>
      <c r="D144" s="12">
        <f>C144-D145</f>
        <v>40000000</v>
      </c>
      <c r="E144" s="12">
        <f t="shared" ref="E144:M144" si="175">D144-E145</f>
        <v>30000000</v>
      </c>
      <c r="F144" s="12">
        <f t="shared" si="175"/>
        <v>20000000</v>
      </c>
      <c r="G144" s="12">
        <f t="shared" si="175"/>
        <v>10000000</v>
      </c>
      <c r="H144" s="12">
        <f t="shared" si="175"/>
        <v>0</v>
      </c>
      <c r="I144" s="12">
        <f t="shared" si="175"/>
        <v>0</v>
      </c>
      <c r="J144" s="12">
        <f t="shared" si="175"/>
        <v>0</v>
      </c>
      <c r="K144" s="12">
        <f t="shared" si="175"/>
        <v>0</v>
      </c>
      <c r="L144" s="12">
        <f t="shared" si="175"/>
        <v>0</v>
      </c>
      <c r="M144" s="12">
        <f t="shared" si="175"/>
        <v>0</v>
      </c>
    </row>
    <row r="145" spans="1:13" s="11" customFormat="1" ht="11.4" x14ac:dyDescent="0.25">
      <c r="A145" s="33" t="s">
        <v>50</v>
      </c>
      <c r="B145" s="33" t="s">
        <v>7</v>
      </c>
      <c r="C145" s="37"/>
      <c r="D145" s="38">
        <f>IF(D143=0,0,C144/D143)</f>
        <v>10000000</v>
      </c>
      <c r="E145" s="38">
        <f t="shared" ref="E145:M145" si="176">IF(E143=0,0,D144/E143)</f>
        <v>10000000</v>
      </c>
      <c r="F145" s="38">
        <f t="shared" si="176"/>
        <v>10000000</v>
      </c>
      <c r="G145" s="38">
        <f t="shared" si="176"/>
        <v>10000000</v>
      </c>
      <c r="H145" s="38">
        <f t="shared" si="176"/>
        <v>10000000</v>
      </c>
      <c r="I145" s="38">
        <f t="shared" si="176"/>
        <v>0</v>
      </c>
      <c r="J145" s="38">
        <f t="shared" si="176"/>
        <v>0</v>
      </c>
      <c r="K145" s="38">
        <f t="shared" si="176"/>
        <v>0</v>
      </c>
      <c r="L145" s="38">
        <f t="shared" si="176"/>
        <v>0</v>
      </c>
      <c r="M145" s="38">
        <f t="shared" si="176"/>
        <v>0</v>
      </c>
    </row>
    <row r="146" spans="1:13" s="11" customFormat="1" ht="11.4" x14ac:dyDescent="0.25">
      <c r="A146" s="33" t="s">
        <v>45</v>
      </c>
      <c r="B146" s="33" t="s">
        <v>7</v>
      </c>
      <c r="C146" s="38">
        <f>C144*$C$138</f>
        <v>5000000</v>
      </c>
      <c r="D146" s="38">
        <f>D144*$C$138</f>
        <v>4000000</v>
      </c>
      <c r="E146" s="38">
        <f t="shared" ref="E146:M146" si="177">E144*$C$138</f>
        <v>3000000</v>
      </c>
      <c r="F146" s="38">
        <f t="shared" si="177"/>
        <v>2000000</v>
      </c>
      <c r="G146" s="38">
        <f t="shared" si="177"/>
        <v>1000000</v>
      </c>
      <c r="H146" s="38">
        <f t="shared" si="177"/>
        <v>0</v>
      </c>
      <c r="I146" s="38">
        <f t="shared" si="177"/>
        <v>0</v>
      </c>
      <c r="J146" s="38">
        <f t="shared" si="177"/>
        <v>0</v>
      </c>
      <c r="K146" s="38">
        <f t="shared" si="177"/>
        <v>0</v>
      </c>
      <c r="L146" s="38">
        <f t="shared" si="177"/>
        <v>0</v>
      </c>
      <c r="M146" s="38">
        <f t="shared" si="177"/>
        <v>0</v>
      </c>
    </row>
    <row r="147" spans="1:13" s="11" customFormat="1" ht="11.4" x14ac:dyDescent="0.25">
      <c r="A147" s="33" t="s">
        <v>54</v>
      </c>
      <c r="B147" s="33" t="s">
        <v>7</v>
      </c>
      <c r="C147" s="38">
        <f>IF(C144*$C$140&lt;C146,C144*$C$140,C146)</f>
        <v>2500000</v>
      </c>
      <c r="D147" s="38">
        <f t="shared" ref="D147:M147" si="178">IF(D144*$C$140&lt;D146,D144*$C$140,D146)</f>
        <v>2000000</v>
      </c>
      <c r="E147" s="38">
        <f t="shared" si="178"/>
        <v>1500000</v>
      </c>
      <c r="F147" s="38">
        <f t="shared" si="178"/>
        <v>1000000</v>
      </c>
      <c r="G147" s="38">
        <f t="shared" si="178"/>
        <v>500000</v>
      </c>
      <c r="H147" s="38">
        <f t="shared" si="178"/>
        <v>0</v>
      </c>
      <c r="I147" s="38">
        <f t="shared" si="178"/>
        <v>0</v>
      </c>
      <c r="J147" s="38">
        <f t="shared" si="178"/>
        <v>0</v>
      </c>
      <c r="K147" s="38">
        <f t="shared" si="178"/>
        <v>0</v>
      </c>
      <c r="L147" s="38">
        <f t="shared" si="178"/>
        <v>0</v>
      </c>
      <c r="M147" s="38">
        <f t="shared" si="178"/>
        <v>0</v>
      </c>
    </row>
    <row r="148" spans="1:13" s="11" customFormat="1" ht="11.4" x14ac:dyDescent="0.25">
      <c r="A148" s="33"/>
      <c r="B148" s="33"/>
    </row>
    <row r="149" spans="1:13" s="11" customFormat="1" ht="12" x14ac:dyDescent="0.25">
      <c r="A149" s="6" t="s">
        <v>51</v>
      </c>
      <c r="B149" s="33"/>
    </row>
    <row r="150" spans="1:13" s="11" customFormat="1" ht="11.4" x14ac:dyDescent="0.25">
      <c r="A150" s="33" t="s">
        <v>40</v>
      </c>
      <c r="B150" s="33" t="s">
        <v>35</v>
      </c>
      <c r="D150" s="34">
        <f>IF($C$137+1&lt;D$3,$C$137+1,D$3)</f>
        <v>6</v>
      </c>
      <c r="E150" s="12">
        <f>IF(D150=0,0,IF(D150-1&lt;E$3,D150-1,E$3))</f>
        <v>5</v>
      </c>
      <c r="F150" s="12">
        <f t="shared" ref="F150:M150" si="179">IF(E150=0,0,IF(E150-1&lt;F$3,E150-1,F$3))</f>
        <v>4</v>
      </c>
      <c r="G150" s="12">
        <f t="shared" si="179"/>
        <v>3</v>
      </c>
      <c r="H150" s="12">
        <f t="shared" si="179"/>
        <v>2</v>
      </c>
      <c r="I150" s="12">
        <f t="shared" si="179"/>
        <v>1</v>
      </c>
      <c r="J150" s="12">
        <f t="shared" si="179"/>
        <v>0</v>
      </c>
      <c r="K150" s="12">
        <f t="shared" si="179"/>
        <v>0</v>
      </c>
      <c r="L150" s="12">
        <f t="shared" si="179"/>
        <v>0</v>
      </c>
      <c r="M150" s="12">
        <f t="shared" si="179"/>
        <v>0</v>
      </c>
    </row>
    <row r="151" spans="1:13" s="11" customFormat="1" ht="11.4" x14ac:dyDescent="0.25">
      <c r="A151" s="33" t="s">
        <v>48</v>
      </c>
      <c r="B151" s="33" t="s">
        <v>7</v>
      </c>
      <c r="D151" s="34">
        <f>Modèle!D$12</f>
        <v>150000000</v>
      </c>
      <c r="E151" s="12">
        <f>D151-E152</f>
        <v>120000000</v>
      </c>
      <c r="F151" s="12">
        <f t="shared" ref="F151" si="180">E151-F152</f>
        <v>90000000</v>
      </c>
      <c r="G151" s="12">
        <f t="shared" ref="G151" si="181">F151-G152</f>
        <v>60000000</v>
      </c>
      <c r="H151" s="12">
        <f t="shared" ref="H151" si="182">G151-H152</f>
        <v>30000000</v>
      </c>
      <c r="I151" s="12">
        <f t="shared" ref="I151" si="183">H151-I152</f>
        <v>0</v>
      </c>
      <c r="J151" s="12">
        <f t="shared" ref="J151" si="184">I151-J152</f>
        <v>0</v>
      </c>
      <c r="K151" s="12">
        <f t="shared" ref="K151" si="185">J151-K152</f>
        <v>0</v>
      </c>
      <c r="L151" s="12">
        <f t="shared" ref="L151" si="186">K151-L152</f>
        <v>0</v>
      </c>
      <c r="M151" s="12">
        <f t="shared" ref="M151" si="187">L151-M152</f>
        <v>0</v>
      </c>
    </row>
    <row r="152" spans="1:13" s="11" customFormat="1" ht="11.4" x14ac:dyDescent="0.25">
      <c r="A152" s="33" t="s">
        <v>50</v>
      </c>
      <c r="B152" s="33" t="s">
        <v>7</v>
      </c>
      <c r="D152" s="37"/>
      <c r="E152" s="38">
        <f>IF(E150=0,0,D151/E150)</f>
        <v>30000000</v>
      </c>
      <c r="F152" s="38">
        <f t="shared" ref="F152:M152" si="188">IF(F150=0,0,E151/F150)</f>
        <v>30000000</v>
      </c>
      <c r="G152" s="38">
        <f t="shared" si="188"/>
        <v>30000000</v>
      </c>
      <c r="H152" s="38">
        <f t="shared" si="188"/>
        <v>30000000</v>
      </c>
      <c r="I152" s="38">
        <f t="shared" si="188"/>
        <v>30000000</v>
      </c>
      <c r="J152" s="38">
        <f t="shared" si="188"/>
        <v>0</v>
      </c>
      <c r="K152" s="38">
        <f t="shared" si="188"/>
        <v>0</v>
      </c>
      <c r="L152" s="38">
        <f t="shared" si="188"/>
        <v>0</v>
      </c>
      <c r="M152" s="38">
        <f t="shared" si="188"/>
        <v>0</v>
      </c>
    </row>
    <row r="153" spans="1:13" s="11" customFormat="1" ht="11.4" x14ac:dyDescent="0.25">
      <c r="A153" s="33" t="s">
        <v>45</v>
      </c>
      <c r="B153" s="33" t="s">
        <v>7</v>
      </c>
      <c r="D153" s="38">
        <f>D151*$C$138</f>
        <v>15000000</v>
      </c>
      <c r="E153" s="38">
        <f>E151*$C$138</f>
        <v>12000000</v>
      </c>
      <c r="F153" s="38">
        <f t="shared" ref="F153:M153" si="189">F151*$C$138</f>
        <v>9000000</v>
      </c>
      <c r="G153" s="38">
        <f t="shared" si="189"/>
        <v>6000000</v>
      </c>
      <c r="H153" s="38">
        <f t="shared" si="189"/>
        <v>3000000</v>
      </c>
      <c r="I153" s="38">
        <f t="shared" si="189"/>
        <v>0</v>
      </c>
      <c r="J153" s="38">
        <f t="shared" si="189"/>
        <v>0</v>
      </c>
      <c r="K153" s="38">
        <f t="shared" si="189"/>
        <v>0</v>
      </c>
      <c r="L153" s="38">
        <f t="shared" si="189"/>
        <v>0</v>
      </c>
      <c r="M153" s="38">
        <f t="shared" si="189"/>
        <v>0</v>
      </c>
    </row>
    <row r="154" spans="1:13" s="11" customFormat="1" ht="11.4" x14ac:dyDescent="0.25">
      <c r="A154" s="33" t="s">
        <v>54</v>
      </c>
      <c r="B154" s="33" t="s">
        <v>7</v>
      </c>
      <c r="D154" s="38">
        <f>IF(D151*$C$140&lt;D153,D151*$C$140,D153)</f>
        <v>7500000</v>
      </c>
      <c r="E154" s="38">
        <f t="shared" ref="E154:M154" si="190">IF(E151*$C$140&lt;E153,E151*$C$140,E153)</f>
        <v>6000000</v>
      </c>
      <c r="F154" s="38">
        <f t="shared" si="190"/>
        <v>4500000</v>
      </c>
      <c r="G154" s="38">
        <f t="shared" si="190"/>
        <v>3000000</v>
      </c>
      <c r="H154" s="38">
        <f t="shared" si="190"/>
        <v>1500000</v>
      </c>
      <c r="I154" s="38">
        <f t="shared" si="190"/>
        <v>0</v>
      </c>
      <c r="J154" s="38">
        <f t="shared" si="190"/>
        <v>0</v>
      </c>
      <c r="K154" s="38">
        <f t="shared" si="190"/>
        <v>0</v>
      </c>
      <c r="L154" s="38">
        <f t="shared" si="190"/>
        <v>0</v>
      </c>
      <c r="M154" s="38">
        <f t="shared" si="190"/>
        <v>0</v>
      </c>
    </row>
    <row r="155" spans="1:13" s="11" customFormat="1" ht="11.4" x14ac:dyDescent="0.25">
      <c r="A155" s="33"/>
      <c r="B155" s="33"/>
    </row>
    <row r="156" spans="1:13" s="11" customFormat="1" ht="12" x14ac:dyDescent="0.25">
      <c r="A156" s="6" t="s">
        <v>52</v>
      </c>
      <c r="B156" s="33" t="s">
        <v>7</v>
      </c>
      <c r="C156" s="12">
        <f>C$146+C$153</f>
        <v>5000000</v>
      </c>
      <c r="D156" s="12">
        <f>D$146+D$153</f>
        <v>19000000</v>
      </c>
      <c r="E156" s="12">
        <f t="shared" ref="E156:M156" si="191">E$146+E$153</f>
        <v>15000000</v>
      </c>
      <c r="F156" s="12">
        <f t="shared" si="191"/>
        <v>11000000</v>
      </c>
      <c r="G156" s="12">
        <f t="shared" si="191"/>
        <v>7000000</v>
      </c>
      <c r="H156" s="12">
        <f t="shared" si="191"/>
        <v>3000000</v>
      </c>
      <c r="I156" s="12">
        <f t="shared" si="191"/>
        <v>0</v>
      </c>
      <c r="J156" s="12">
        <f t="shared" si="191"/>
        <v>0</v>
      </c>
      <c r="K156" s="12">
        <f t="shared" si="191"/>
        <v>0</v>
      </c>
      <c r="L156" s="12">
        <f t="shared" si="191"/>
        <v>0</v>
      </c>
      <c r="M156" s="12">
        <f t="shared" si="191"/>
        <v>0</v>
      </c>
    </row>
    <row r="157" spans="1:13" s="11" customFormat="1" ht="12" x14ac:dyDescent="0.25">
      <c r="A157" s="6" t="s">
        <v>70</v>
      </c>
      <c r="B157" s="33" t="s">
        <v>7</v>
      </c>
      <c r="C157" s="12">
        <f>C$147+C$154</f>
        <v>2500000</v>
      </c>
      <c r="D157" s="12">
        <f>D$147+D$154</f>
        <v>9500000</v>
      </c>
      <c r="E157" s="12">
        <f t="shared" ref="E157:M157" si="192">E$147+E$154</f>
        <v>7500000</v>
      </c>
      <c r="F157" s="12">
        <f t="shared" si="192"/>
        <v>5500000</v>
      </c>
      <c r="G157" s="12">
        <f t="shared" si="192"/>
        <v>3500000</v>
      </c>
      <c r="H157" s="12">
        <f t="shared" si="192"/>
        <v>1500000</v>
      </c>
      <c r="I157" s="12">
        <f t="shared" si="192"/>
        <v>0</v>
      </c>
      <c r="J157" s="12">
        <f t="shared" si="192"/>
        <v>0</v>
      </c>
      <c r="K157" s="12">
        <f t="shared" si="192"/>
        <v>0</v>
      </c>
      <c r="L157" s="12">
        <f t="shared" si="192"/>
        <v>0</v>
      </c>
      <c r="M157" s="12">
        <f t="shared" si="192"/>
        <v>0</v>
      </c>
    </row>
  </sheetData>
  <pageMargins left="0.19685039370078741" right="0.19685039370078741" top="0.39370078740157483" bottom="0.39370078740157483" header="0.19685039370078741" footer="0.19685039370078741"/>
  <pageSetup paperSize="9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4"/>
  <sheetViews>
    <sheetView topLeftCell="A130" zoomScaleNormal="100" workbookViewId="0"/>
  </sheetViews>
  <sheetFormatPr baseColWidth="10" defaultColWidth="10.77734375" defaultRowHeight="13.2" x14ac:dyDescent="0.25"/>
  <cols>
    <col min="1" max="8" width="12.77734375" style="1" customWidth="1"/>
    <col min="9" max="16384" width="10.77734375" style="1"/>
  </cols>
  <sheetData>
    <row r="1" spans="1:3" s="11" customFormat="1" ht="12" x14ac:dyDescent="0.25">
      <c r="A1" s="45" t="s">
        <v>140</v>
      </c>
    </row>
    <row r="2" spans="1:3" s="11" customFormat="1" ht="12" x14ac:dyDescent="0.25">
      <c r="A2" s="44" t="s">
        <v>126</v>
      </c>
      <c r="B2" s="44" t="s">
        <v>143</v>
      </c>
      <c r="C2" s="44" t="s">
        <v>133</v>
      </c>
    </row>
    <row r="3" spans="1:3" s="11" customFormat="1" ht="11.4" x14ac:dyDescent="0.25">
      <c r="A3" s="42" t="s">
        <v>138</v>
      </c>
      <c r="B3" s="46">
        <f>Modèle!$S$79</f>
        <v>0.56772594077991856</v>
      </c>
      <c r="C3" s="46">
        <f>Modèle!$S$80</f>
        <v>0.43227405922008161</v>
      </c>
    </row>
    <row r="4" spans="1:3" s="11" customFormat="1" ht="11.4" x14ac:dyDescent="0.25"/>
    <row r="5" spans="1:3" s="11" customFormat="1" ht="11.4" x14ac:dyDescent="0.25"/>
    <row r="6" spans="1:3" s="11" customFormat="1" ht="11.4" x14ac:dyDescent="0.25"/>
    <row r="7" spans="1:3" s="11" customFormat="1" ht="11.4" x14ac:dyDescent="0.25"/>
    <row r="8" spans="1:3" s="11" customFormat="1" ht="11.4" x14ac:dyDescent="0.25"/>
    <row r="9" spans="1:3" s="11" customFormat="1" ht="11.4" x14ac:dyDescent="0.25"/>
    <row r="10" spans="1:3" s="11" customFormat="1" ht="11.4" x14ac:dyDescent="0.25"/>
    <row r="11" spans="1:3" s="11" customFormat="1" ht="11.4" x14ac:dyDescent="0.25"/>
    <row r="12" spans="1:3" s="11" customFormat="1" ht="11.4" x14ac:dyDescent="0.25"/>
    <row r="13" spans="1:3" s="11" customFormat="1" ht="11.4" x14ac:dyDescent="0.25"/>
    <row r="14" spans="1:3" s="11" customFormat="1" ht="11.4" x14ac:dyDescent="0.25"/>
    <row r="15" spans="1:3" s="11" customFormat="1" ht="11.4" x14ac:dyDescent="0.25"/>
    <row r="16" spans="1:3" s="11" customFormat="1" ht="11.4" x14ac:dyDescent="0.25"/>
    <row r="17" spans="1:3" s="11" customFormat="1" ht="11.4" x14ac:dyDescent="0.25"/>
    <row r="18" spans="1:3" s="11" customFormat="1" ht="11.4" x14ac:dyDescent="0.25"/>
    <row r="19" spans="1:3" s="11" customFormat="1" ht="11.4" x14ac:dyDescent="0.25"/>
    <row r="20" spans="1:3" s="11" customFormat="1" ht="11.4" x14ac:dyDescent="0.25"/>
    <row r="21" spans="1:3" s="11" customFormat="1" ht="12" x14ac:dyDescent="0.25">
      <c r="A21" s="45" t="s">
        <v>141</v>
      </c>
    </row>
    <row r="22" spans="1:3" s="11" customFormat="1" ht="12" x14ac:dyDescent="0.25">
      <c r="A22" s="44" t="s">
        <v>126</v>
      </c>
      <c r="B22" s="44" t="s">
        <v>143</v>
      </c>
      <c r="C22" s="44" t="s">
        <v>133</v>
      </c>
    </row>
    <row r="23" spans="1:3" s="11" customFormat="1" ht="11.4" x14ac:dyDescent="0.25">
      <c r="A23" s="42">
        <v>1</v>
      </c>
      <c r="B23" s="43">
        <f>Modèle!$C$71</f>
        <v>112000</v>
      </c>
      <c r="C23" s="43">
        <f>Modèle!$C$74</f>
        <v>-50112000</v>
      </c>
    </row>
    <row r="24" spans="1:3" s="11" customFormat="1" ht="11.4" x14ac:dyDescent="0.25">
      <c r="A24" s="42">
        <v>2</v>
      </c>
      <c r="B24" s="43">
        <f>Modèle!$D$71</f>
        <v>12000</v>
      </c>
      <c r="C24" s="43">
        <f>Modèle!$D$74</f>
        <v>-150012000</v>
      </c>
    </row>
    <row r="25" spans="1:3" s="11" customFormat="1" ht="11.4" x14ac:dyDescent="0.25">
      <c r="A25" s="42">
        <v>3</v>
      </c>
      <c r="B25" s="43">
        <f>Modèle!$E$71</f>
        <v>31584080</v>
      </c>
      <c r="C25" s="43">
        <f>Modèle!$E$74</f>
        <v>113415920</v>
      </c>
    </row>
    <row r="26" spans="1:3" s="11" customFormat="1" ht="11.4" x14ac:dyDescent="0.25">
      <c r="A26" s="42">
        <v>4</v>
      </c>
      <c r="B26" s="43">
        <f>Modèle!$F$71</f>
        <v>64343760</v>
      </c>
      <c r="C26" s="43">
        <f>Modèle!$F$74</f>
        <v>80656240</v>
      </c>
    </row>
    <row r="27" spans="1:3" s="11" customFormat="1" ht="11.4" x14ac:dyDescent="0.25">
      <c r="A27" s="42">
        <v>5</v>
      </c>
      <c r="B27" s="43">
        <f>Modèle!$G$71</f>
        <v>72795280</v>
      </c>
      <c r="C27" s="43">
        <f>Modèle!$G$74</f>
        <v>72204720</v>
      </c>
    </row>
    <row r="28" spans="1:3" s="11" customFormat="1" ht="11.4" x14ac:dyDescent="0.25">
      <c r="A28" s="42">
        <v>6</v>
      </c>
      <c r="B28" s="43">
        <f>Modèle!$L$71</f>
        <v>73355920</v>
      </c>
      <c r="C28" s="43">
        <f>Modèle!$L$74</f>
        <v>71644080</v>
      </c>
    </row>
    <row r="29" spans="1:3" s="11" customFormat="1" ht="11.4" x14ac:dyDescent="0.25">
      <c r="A29" s="42">
        <v>7</v>
      </c>
      <c r="B29" s="43">
        <f>Modèle!$M$71</f>
        <v>75798160</v>
      </c>
      <c r="C29" s="43">
        <f>Modèle!$M$74</f>
        <v>69201840</v>
      </c>
    </row>
    <row r="30" spans="1:3" s="11" customFormat="1" ht="11.4" x14ac:dyDescent="0.25">
      <c r="A30" s="42">
        <v>8</v>
      </c>
      <c r="B30" s="43">
        <f>Modèle!$N$71</f>
        <v>75798160</v>
      </c>
      <c r="C30" s="43">
        <f>Modèle!$N$74</f>
        <v>69201840</v>
      </c>
    </row>
    <row r="31" spans="1:3" s="11" customFormat="1" ht="11.4" x14ac:dyDescent="0.25">
      <c r="A31" s="42">
        <v>9</v>
      </c>
      <c r="B31" s="43">
        <f>Modèle!$O$71</f>
        <v>75798160</v>
      </c>
      <c r="C31" s="43">
        <f>Modèle!$O$74</f>
        <v>69201840</v>
      </c>
    </row>
    <row r="32" spans="1:3" s="11" customFormat="1" ht="11.4" x14ac:dyDescent="0.25">
      <c r="A32" s="42">
        <v>10</v>
      </c>
      <c r="B32" s="43">
        <f>Modèle!$P$71</f>
        <v>75421840</v>
      </c>
      <c r="C32" s="43">
        <f>Modèle!$P$74</f>
        <v>69578160</v>
      </c>
    </row>
    <row r="33" spans="1:20" x14ac:dyDescent="0.25">
      <c r="A33" s="42">
        <v>11</v>
      </c>
      <c r="B33" s="43">
        <f>Modèle!$Q$71</f>
        <v>12000</v>
      </c>
      <c r="C33" s="43">
        <f>Modèle!$Q$74</f>
        <v>-10012000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1:20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:20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spans="1:20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spans="1:20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0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:20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spans="1:20" x14ac:dyDescent="0.25">
      <c r="A43" s="45" t="s">
        <v>142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spans="1:20" x14ac:dyDescent="0.25">
      <c r="A44" s="44" t="s">
        <v>126</v>
      </c>
      <c r="B44" s="44" t="s">
        <v>134</v>
      </c>
      <c r="C44" s="44" t="s">
        <v>135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spans="1:20" x14ac:dyDescent="0.25">
      <c r="A45" s="42">
        <v>1</v>
      </c>
      <c r="B45" s="46" t="str">
        <f>Modèle!$C$20</f>
        <v/>
      </c>
      <c r="C45" s="46" t="str">
        <f>Modèle!$C$75</f>
        <v/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 spans="1:20" x14ac:dyDescent="0.25">
      <c r="A46" s="42">
        <v>2</v>
      </c>
      <c r="B46" s="46" t="str">
        <f>Modèle!$D$20</f>
        <v/>
      </c>
      <c r="C46" s="46" t="str">
        <f>Modèle!$D$75</f>
        <v/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 spans="1:20" x14ac:dyDescent="0.25">
      <c r="A47" s="42">
        <v>3</v>
      </c>
      <c r="B47" s="46" t="str">
        <f>Modèle!$E$20</f>
        <v/>
      </c>
      <c r="C47" s="46" t="str">
        <f>Modèle!$E$75</f>
        <v/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 spans="1:20" x14ac:dyDescent="0.25">
      <c r="A48" s="42">
        <v>4</v>
      </c>
      <c r="B48" s="46">
        <f>Modèle!$F$20</f>
        <v>0.23743595812084983</v>
      </c>
      <c r="C48" s="46" t="str">
        <f>Modèle!$F$75</f>
        <v/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 spans="1:19" x14ac:dyDescent="0.25">
      <c r="A49" s="42">
        <v>5</v>
      </c>
      <c r="B49" s="46">
        <f>Modèle!$G$20</f>
        <v>0.4312133242672187</v>
      </c>
      <c r="C49" s="46">
        <f>Modèle!$G$75</f>
        <v>0.14848600971802162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</row>
    <row r="50" spans="1:19" x14ac:dyDescent="0.25">
      <c r="A50" s="42">
        <v>6</v>
      </c>
      <c r="B50" s="46">
        <f>Modèle!$L$20</f>
        <v>0.61481929116363609</v>
      </c>
      <c r="C50" s="46">
        <f>Modèle!$L$75</f>
        <v>0.3712263783337828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 spans="1:19" x14ac:dyDescent="0.25">
      <c r="A51" s="42">
        <v>7</v>
      </c>
      <c r="B51" s="46">
        <f>Modèle!$M$20</f>
        <v>0.61957519755522261</v>
      </c>
      <c r="C51" s="46">
        <f>Modèle!$M$75</f>
        <v>0.37922038318023787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spans="1:19" x14ac:dyDescent="0.25">
      <c r="A52" s="42">
        <v>8</v>
      </c>
      <c r="B52" s="46">
        <f>Modèle!$N$20</f>
        <v>0.62241299952781226</v>
      </c>
      <c r="C52" s="46">
        <f>Modèle!$N$75</f>
        <v>0.38463494342105409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 spans="1:19" x14ac:dyDescent="0.25">
      <c r="A53" s="42">
        <v>9</v>
      </c>
      <c r="B53" s="46">
        <f>Modèle!$O$20</f>
        <v>0.62412218834436484</v>
      </c>
      <c r="C53" s="46">
        <f>Modèle!$O$75</f>
        <v>0.38834693813762411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 spans="1:19" x14ac:dyDescent="0.25">
      <c r="A54" s="42">
        <v>10</v>
      </c>
      <c r="B54" s="46">
        <f>Modèle!$P$20</f>
        <v>0.62515832350764655</v>
      </c>
      <c r="C54" s="46">
        <f>Modèle!$P$75</f>
        <v>0.39092981802554583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 spans="1:19" x14ac:dyDescent="0.25">
      <c r="A55" s="42">
        <v>11</v>
      </c>
      <c r="B55" s="46">
        <f>Modèle!$Q$20</f>
        <v>0.62511461492194975</v>
      </c>
      <c r="C55" s="46">
        <f>Modèle!$Q$75</f>
        <v>0.39066668858732423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 spans="1:19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 spans="1:19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</row>
    <row r="58" spans="1:19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 spans="1:19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</row>
    <row r="60" spans="1:19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</row>
    <row r="61" spans="1:19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</row>
    <row r="63" spans="1:19" x14ac:dyDescent="0.25">
      <c r="A63" s="45" t="s">
        <v>137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</row>
    <row r="64" spans="1:19" x14ac:dyDescent="0.25">
      <c r="A64" s="44" t="s">
        <v>126</v>
      </c>
      <c r="B64" s="44" t="s">
        <v>25</v>
      </c>
      <c r="C64" s="44" t="s">
        <v>26</v>
      </c>
      <c r="D64" s="44" t="s">
        <v>27</v>
      </c>
      <c r="E64" s="44" t="s">
        <v>110</v>
      </c>
      <c r="F64" s="44" t="s">
        <v>131</v>
      </c>
      <c r="G64" s="44" t="s">
        <v>119</v>
      </c>
      <c r="H64" s="44" t="s">
        <v>132</v>
      </c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</row>
    <row r="65" spans="1:19" x14ac:dyDescent="0.25">
      <c r="A65" s="42">
        <v>1</v>
      </c>
      <c r="B65" s="43">
        <f>Modèle!$C$23</f>
        <v>100000</v>
      </c>
      <c r="C65" s="43">
        <f>Modèle!$C$28</f>
        <v>10000</v>
      </c>
      <c r="D65" s="43">
        <f>Modèle!$C$32</f>
        <v>0</v>
      </c>
      <c r="E65" s="43">
        <f>Modèle!$C$42</f>
        <v>0</v>
      </c>
      <c r="F65" s="43">
        <f>Modèle!$C$57</f>
        <v>2000</v>
      </c>
      <c r="G65" s="43">
        <f>Modèle!$C$62</f>
        <v>0</v>
      </c>
      <c r="H65" s="43">
        <f>Modèle!$C$68</f>
        <v>0</v>
      </c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</row>
    <row r="66" spans="1:19" x14ac:dyDescent="0.25">
      <c r="A66" s="42">
        <v>2</v>
      </c>
      <c r="B66" s="43">
        <f>Modèle!$D$23</f>
        <v>0</v>
      </c>
      <c r="C66" s="43">
        <f>Modèle!$D$28</f>
        <v>10000</v>
      </c>
      <c r="D66" s="43">
        <f>Modèle!$D$32</f>
        <v>0</v>
      </c>
      <c r="E66" s="43">
        <f>Modèle!$D$42</f>
        <v>0</v>
      </c>
      <c r="F66" s="43">
        <f>Modèle!$D$57</f>
        <v>2000</v>
      </c>
      <c r="G66" s="43">
        <f>Modèle!$D$62</f>
        <v>0</v>
      </c>
      <c r="H66" s="43">
        <f>Modèle!$D$68</f>
        <v>0</v>
      </c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</row>
    <row r="67" spans="1:19" x14ac:dyDescent="0.25">
      <c r="A67" s="42">
        <v>3</v>
      </c>
      <c r="B67" s="43">
        <f>Modèle!$E$23</f>
        <v>0</v>
      </c>
      <c r="C67" s="43">
        <f>Modèle!$E$28</f>
        <v>10000</v>
      </c>
      <c r="D67" s="43">
        <f>Modèle!$E$32</f>
        <v>13000000</v>
      </c>
      <c r="E67" s="43">
        <f>Modèle!$E$42</f>
        <v>0</v>
      </c>
      <c r="F67" s="43">
        <f>Modèle!$E$57</f>
        <v>14511000</v>
      </c>
      <c r="G67" s="43">
        <f>Modèle!$E$62</f>
        <v>3385900</v>
      </c>
      <c r="H67" s="43">
        <f>Modèle!$E$68</f>
        <v>677180</v>
      </c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</row>
    <row r="68" spans="1:19" x14ac:dyDescent="0.25">
      <c r="A68" s="42">
        <v>4</v>
      </c>
      <c r="B68" s="43">
        <f>Modèle!$F$23</f>
        <v>0</v>
      </c>
      <c r="C68" s="43">
        <f>Modèle!$F$28</f>
        <v>10000</v>
      </c>
      <c r="D68" s="43">
        <f>Modèle!$F$32</f>
        <v>13000000</v>
      </c>
      <c r="E68" s="43">
        <f>Modèle!$F$42</f>
        <v>17200000</v>
      </c>
      <c r="F68" s="43">
        <f>Modèle!$F$57</f>
        <v>26667000</v>
      </c>
      <c r="G68" s="43">
        <f>Modèle!$F$62</f>
        <v>6222300</v>
      </c>
      <c r="H68" s="43">
        <f>Modèle!$F$68</f>
        <v>1244460</v>
      </c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</row>
    <row r="69" spans="1:19" x14ac:dyDescent="0.25">
      <c r="A69" s="42">
        <v>5</v>
      </c>
      <c r="B69" s="43">
        <f>Modèle!$G$23</f>
        <v>0</v>
      </c>
      <c r="C69" s="43">
        <f>Modèle!$G$28</f>
        <v>10000</v>
      </c>
      <c r="D69" s="43">
        <f>Modèle!$G$32</f>
        <v>13000000</v>
      </c>
      <c r="E69" s="43">
        <f>Modèle!$G$42</f>
        <v>29000000</v>
      </c>
      <c r="F69" s="43">
        <f>Modèle!$G$57</f>
        <v>24051000</v>
      </c>
      <c r="G69" s="43">
        <f>Modèle!$G$62</f>
        <v>5611900</v>
      </c>
      <c r="H69" s="43">
        <f>Modèle!$G$68</f>
        <v>1122380</v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</row>
    <row r="70" spans="1:19" x14ac:dyDescent="0.25">
      <c r="A70" s="42">
        <v>6</v>
      </c>
      <c r="B70" s="43">
        <f>Modèle!$L$23</f>
        <v>0</v>
      </c>
      <c r="C70" s="43">
        <f>Modèle!$L$28</f>
        <v>10000</v>
      </c>
      <c r="D70" s="43">
        <f>Modèle!$L$32</f>
        <v>13000000</v>
      </c>
      <c r="E70" s="43">
        <f>Modèle!$L$42</f>
        <v>29000000</v>
      </c>
      <c r="F70" s="43">
        <f>Modèle!$L$57</f>
        <v>24489000</v>
      </c>
      <c r="G70" s="43">
        <f>Modèle!$L$62</f>
        <v>5714100</v>
      </c>
      <c r="H70" s="43">
        <f>Modèle!$L$68</f>
        <v>1142820</v>
      </c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</row>
    <row r="71" spans="1:19" x14ac:dyDescent="0.25">
      <c r="A71" s="42">
        <v>7</v>
      </c>
      <c r="B71" s="43">
        <f>Modèle!$M$23</f>
        <v>0</v>
      </c>
      <c r="C71" s="43">
        <f>Modèle!$M$28</f>
        <v>10000</v>
      </c>
      <c r="D71" s="43">
        <f>Modèle!$M$32</f>
        <v>13000000</v>
      </c>
      <c r="E71" s="43">
        <f>Modèle!$M$42</f>
        <v>29000000</v>
      </c>
      <c r="F71" s="43">
        <f>Modèle!$M$57</f>
        <v>26397000</v>
      </c>
      <c r="G71" s="43">
        <f>Modèle!$M$62</f>
        <v>6159300</v>
      </c>
      <c r="H71" s="43">
        <f>Modèle!$M$68</f>
        <v>1231860</v>
      </c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</row>
    <row r="72" spans="1:19" x14ac:dyDescent="0.25">
      <c r="A72" s="42">
        <v>8</v>
      </c>
      <c r="B72" s="43">
        <f>Modèle!$N$23</f>
        <v>0</v>
      </c>
      <c r="C72" s="43">
        <f>Modèle!$N$28</f>
        <v>10000</v>
      </c>
      <c r="D72" s="43">
        <f>Modèle!$N$32</f>
        <v>13000000</v>
      </c>
      <c r="E72" s="43">
        <f>Modèle!$N$42</f>
        <v>29000000</v>
      </c>
      <c r="F72" s="43">
        <f>Modèle!$N$57</f>
        <v>26397000</v>
      </c>
      <c r="G72" s="43">
        <f>Modèle!$N$62</f>
        <v>6159300</v>
      </c>
      <c r="H72" s="43">
        <f>Modèle!$N$68</f>
        <v>1231860</v>
      </c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</row>
    <row r="73" spans="1:19" x14ac:dyDescent="0.25">
      <c r="A73" s="42">
        <v>9</v>
      </c>
      <c r="B73" s="43">
        <f>Modèle!$O$23</f>
        <v>0</v>
      </c>
      <c r="C73" s="43">
        <f>Modèle!$O$28</f>
        <v>10000</v>
      </c>
      <c r="D73" s="43">
        <f>Modèle!$O$32</f>
        <v>13000000</v>
      </c>
      <c r="E73" s="43">
        <f>Modèle!$O$42</f>
        <v>29000000</v>
      </c>
      <c r="F73" s="43">
        <f>Modèle!$O$57</f>
        <v>26397000</v>
      </c>
      <c r="G73" s="43">
        <f>Modèle!$O$62</f>
        <v>6159300</v>
      </c>
      <c r="H73" s="43">
        <f>Modèle!$O$68</f>
        <v>1231860</v>
      </c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</row>
    <row r="74" spans="1:19" x14ac:dyDescent="0.25">
      <c r="A74" s="42">
        <v>10</v>
      </c>
      <c r="B74" s="43">
        <f>Modèle!$P$23</f>
        <v>0</v>
      </c>
      <c r="C74" s="43">
        <f>Modèle!$P$28</f>
        <v>10000</v>
      </c>
      <c r="D74" s="43">
        <f>Modèle!$P$32</f>
        <v>13000000</v>
      </c>
      <c r="E74" s="43">
        <f>Modèle!$P$42</f>
        <v>29000000</v>
      </c>
      <c r="F74" s="43">
        <f>Modèle!$P$57</f>
        <v>26103000</v>
      </c>
      <c r="G74" s="43">
        <f>Modèle!$P$62</f>
        <v>6090700</v>
      </c>
      <c r="H74" s="43">
        <f>Modèle!$P$68</f>
        <v>1218140</v>
      </c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</row>
    <row r="75" spans="1:19" x14ac:dyDescent="0.25">
      <c r="A75" s="42">
        <v>11</v>
      </c>
      <c r="B75" s="43">
        <f>Modèle!$Q$23</f>
        <v>0</v>
      </c>
      <c r="C75" s="43">
        <f>Modèle!$Q$28</f>
        <v>10000</v>
      </c>
      <c r="D75" s="43">
        <f>Modèle!$Q$32</f>
        <v>0</v>
      </c>
      <c r="E75" s="43">
        <f>Modèle!$Q$42</f>
        <v>0</v>
      </c>
      <c r="F75" s="43">
        <f>Modèle!$Q$57</f>
        <v>2000</v>
      </c>
      <c r="G75" s="43">
        <f>Modèle!$Q$62</f>
        <v>0</v>
      </c>
      <c r="H75" s="43">
        <f>Modèle!$Q$68</f>
        <v>0</v>
      </c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</row>
    <row r="76" spans="1:19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</row>
    <row r="77" spans="1:19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</row>
    <row r="78" spans="1:19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</row>
    <row r="79" spans="1:19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 spans="1:19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</row>
    <row r="81" spans="1:19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</row>
    <row r="82" spans="1:19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 spans="1:19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 spans="1:19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6" spans="1:19" x14ac:dyDescent="0.25">
      <c r="A86" s="45" t="s">
        <v>139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 spans="1:19" x14ac:dyDescent="0.25">
      <c r="A87" s="44" t="s">
        <v>126</v>
      </c>
      <c r="B87" s="44" t="s">
        <v>25</v>
      </c>
      <c r="C87" s="44" t="s">
        <v>26</v>
      </c>
      <c r="D87" s="44" t="s">
        <v>27</v>
      </c>
      <c r="E87" s="44" t="s">
        <v>110</v>
      </c>
      <c r="F87" s="44" t="s">
        <v>131</v>
      </c>
      <c r="G87" s="44" t="s">
        <v>119</v>
      </c>
      <c r="H87" s="44" t="s">
        <v>132</v>
      </c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</row>
    <row r="88" spans="1:19" x14ac:dyDescent="0.25">
      <c r="A88" s="42" t="s">
        <v>138</v>
      </c>
      <c r="B88" s="43">
        <f>Modèle!$S$23</f>
        <v>100000</v>
      </c>
      <c r="C88" s="43">
        <f>Modèle!$S$28</f>
        <v>83666.874569391963</v>
      </c>
      <c r="D88" s="43">
        <f>Modèle!$S$32</f>
        <v>80525448.816048682</v>
      </c>
      <c r="E88" s="43">
        <f>Modèle!$S$42</f>
        <v>140467839.21812171</v>
      </c>
      <c r="F88" s="43">
        <f>Modèle!$S$57</f>
        <v>141749475.97773188</v>
      </c>
      <c r="G88" s="43">
        <f>Modèle!$S$62</f>
        <v>33073863.931127857</v>
      </c>
      <c r="H88" s="43">
        <f>Modèle!$S$68</f>
        <v>6614772.7862255722</v>
      </c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 spans="1:19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 spans="1:19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 spans="1:19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 spans="1:19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 spans="1:19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</row>
    <row r="94" spans="1:19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 spans="1:19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</row>
    <row r="96" spans="1:19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 spans="1:19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</row>
    <row r="98" spans="1:19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</row>
    <row r="99" spans="1:19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</row>
    <row r="100" spans="1:19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</row>
    <row r="101" spans="1:19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</row>
    <row r="102" spans="1:19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</row>
    <row r="103" spans="1:19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</row>
    <row r="104" spans="1:19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</row>
    <row r="105" spans="1:19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</row>
    <row r="106" spans="1:19" x14ac:dyDescent="0.25">
      <c r="A106" s="45" t="s">
        <v>136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</row>
    <row r="107" spans="1:19" x14ac:dyDescent="0.25">
      <c r="A107" s="44" t="s">
        <v>126</v>
      </c>
      <c r="B107" s="44" t="s">
        <v>127</v>
      </c>
      <c r="C107" s="44" t="s">
        <v>128</v>
      </c>
      <c r="D107" s="44" t="s">
        <v>129</v>
      </c>
      <c r="E107" s="44" t="s">
        <v>130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</row>
    <row r="108" spans="1:19" x14ac:dyDescent="0.25">
      <c r="A108" s="42">
        <v>1</v>
      </c>
      <c r="B108" s="43">
        <f>Modèle!$C$9</f>
        <v>50000000</v>
      </c>
      <c r="C108" s="43">
        <f>Modèle!$C$10</f>
        <v>0</v>
      </c>
      <c r="D108" s="43">
        <f>Modèle!$C$11</f>
        <v>0</v>
      </c>
      <c r="E108" s="43">
        <f>Modèle!$C$16</f>
        <v>0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</row>
    <row r="109" spans="1:19" x14ac:dyDescent="0.25">
      <c r="A109" s="42">
        <v>2</v>
      </c>
      <c r="B109" s="43">
        <f>Modèle!$D$9</f>
        <v>100000000</v>
      </c>
      <c r="C109" s="43">
        <f>Modèle!$D$10</f>
        <v>50000000</v>
      </c>
      <c r="D109" s="43">
        <f>Modèle!$D$11</f>
        <v>0</v>
      </c>
      <c r="E109" s="43">
        <f>Modèle!$D$16</f>
        <v>0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</row>
    <row r="110" spans="1:19" x14ac:dyDescent="0.25">
      <c r="A110" s="42">
        <v>3</v>
      </c>
      <c r="B110" s="43">
        <f>Modèle!$E$9</f>
        <v>0</v>
      </c>
      <c r="C110" s="43">
        <f>Modèle!$E$10</f>
        <v>5000000</v>
      </c>
      <c r="D110" s="43">
        <f>Modèle!$E$11</f>
        <v>0</v>
      </c>
      <c r="E110" s="43">
        <f>Modèle!$E$16</f>
        <v>175000000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</row>
    <row r="111" spans="1:19" x14ac:dyDescent="0.25">
      <c r="A111" s="42">
        <v>4</v>
      </c>
      <c r="B111" s="43">
        <f>Modèle!$F$9</f>
        <v>0</v>
      </c>
      <c r="C111" s="43">
        <f>Modèle!$F$10</f>
        <v>5000000</v>
      </c>
      <c r="D111" s="43">
        <f>Modèle!$F$11</f>
        <v>0</v>
      </c>
      <c r="E111" s="43">
        <f>Modèle!$F$16</f>
        <v>175000000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</row>
    <row r="112" spans="1:19" x14ac:dyDescent="0.25">
      <c r="A112" s="42">
        <v>5</v>
      </c>
      <c r="B112" s="43">
        <f>Modèle!$G$9</f>
        <v>0</v>
      </c>
      <c r="C112" s="43">
        <f>Modèle!$G$10</f>
        <v>5000000</v>
      </c>
      <c r="D112" s="43">
        <f>Modèle!$G$11</f>
        <v>0</v>
      </c>
      <c r="E112" s="43">
        <f>Modèle!$G$16</f>
        <v>175000000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</row>
    <row r="113" spans="1:19" x14ac:dyDescent="0.25">
      <c r="A113" s="42">
        <v>6</v>
      </c>
      <c r="B113" s="43">
        <f>Modèle!$L$9</f>
        <v>0</v>
      </c>
      <c r="C113" s="43">
        <f>Modèle!$L$10</f>
        <v>5000000</v>
      </c>
      <c r="D113" s="43">
        <f>Modèle!$L$11</f>
        <v>0</v>
      </c>
      <c r="E113" s="43">
        <f>Modèle!$L$16</f>
        <v>175000000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</row>
    <row r="114" spans="1:19" x14ac:dyDescent="0.25">
      <c r="A114" s="42">
        <v>7</v>
      </c>
      <c r="B114" s="43">
        <f>Modèle!$M$9</f>
        <v>0</v>
      </c>
      <c r="C114" s="43">
        <f>Modèle!$M$10</f>
        <v>5000000</v>
      </c>
      <c r="D114" s="43">
        <f>Modèle!$M$11</f>
        <v>0</v>
      </c>
      <c r="E114" s="43">
        <f>Modèle!$M$16</f>
        <v>175000000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</row>
    <row r="115" spans="1:19" x14ac:dyDescent="0.25">
      <c r="A115" s="42">
        <v>8</v>
      </c>
      <c r="B115" s="43">
        <f>Modèle!$N$9</f>
        <v>0</v>
      </c>
      <c r="C115" s="43">
        <f>Modèle!$N$10</f>
        <v>5000000</v>
      </c>
      <c r="D115" s="43">
        <f>Modèle!$N$11</f>
        <v>0</v>
      </c>
      <c r="E115" s="43">
        <f>Modèle!$N$16</f>
        <v>175000000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</row>
    <row r="116" spans="1:19" x14ac:dyDescent="0.25">
      <c r="A116" s="42">
        <v>9</v>
      </c>
      <c r="B116" s="43">
        <f>Modèle!$O$9</f>
        <v>0</v>
      </c>
      <c r="C116" s="43">
        <f>Modèle!$O$10</f>
        <v>5000000</v>
      </c>
      <c r="D116" s="43">
        <f>Modèle!$O$11</f>
        <v>0</v>
      </c>
      <c r="E116" s="43">
        <f>Modèle!$O$16</f>
        <v>175000000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</row>
    <row r="117" spans="1:19" x14ac:dyDescent="0.25">
      <c r="A117" s="42">
        <v>10</v>
      </c>
      <c r="B117" s="43">
        <f>Modèle!$P$9</f>
        <v>0</v>
      </c>
      <c r="C117" s="43">
        <f>Modèle!$P$10</f>
        <v>5000000</v>
      </c>
      <c r="D117" s="43">
        <f>Modèle!$P$11</f>
        <v>0</v>
      </c>
      <c r="E117" s="43">
        <f>Modèle!$P$16</f>
        <v>175000000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</row>
    <row r="118" spans="1:19" x14ac:dyDescent="0.25">
      <c r="A118" s="42">
        <v>11</v>
      </c>
      <c r="B118" s="43">
        <f>Modèle!$Q$9</f>
        <v>0</v>
      </c>
      <c r="C118" s="43">
        <f>Modèle!$Q$10</f>
        <v>0</v>
      </c>
      <c r="D118" s="43">
        <f>Modèle!$Q$11</f>
        <v>10000000</v>
      </c>
      <c r="E118" s="43">
        <f>Modèle!$Q$16</f>
        <v>0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</row>
    <row r="119" spans="1:19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</row>
    <row r="120" spans="1:19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</row>
    <row r="121" spans="1:19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</row>
    <row r="122" spans="1:19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</row>
    <row r="123" spans="1:19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</row>
    <row r="124" spans="1:19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</row>
  </sheetData>
  <pageMargins left="0.19685039370078741" right="0.19685039370078741" top="0.39370078740157483" bottom="0.39370078740157483" header="0.19685039370078741" footer="0.19685039370078741"/>
  <pageSetup paperSize="9" scale="7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Modèle</vt:lpstr>
      <vt:lpstr>Amortissements et Emprunt</vt:lpstr>
      <vt:lpstr>Graphiques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2023-04-16T02:52:56Z</dcterms:modified>
</cp:coreProperties>
</file>